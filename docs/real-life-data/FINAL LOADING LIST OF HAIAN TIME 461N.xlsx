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esktop\LAM VIEC\"/>
    </mc:Choice>
  </mc:AlternateContent>
  <xr:revisionPtr revIDLastSave="0" documentId="13_ncr:1_{C4D77CAD-7113-4545-AA09-73E259D7475E}" xr6:coauthVersionLast="47" xr6:coauthVersionMax="47" xr10:uidLastSave="{00000000-0000-0000-0000-000000000000}"/>
  <bookViews>
    <workbookView xWindow="-120" yWindow="-120" windowWidth="29040" windowHeight="15840" tabRatio="553" xr2:uid="{00000000-000D-0000-FFFF-FFFF00000000}"/>
  </bookViews>
  <sheets>
    <sheet name="GỐC(427)" sheetId="41" r:id="rId1"/>
    <sheet name="Sheet24" sheetId="68" r:id="rId2"/>
    <sheet name="CHIA TAI" sheetId="65" state="hidden" r:id="rId3"/>
    <sheet name="Sheet23" sheetId="67" state="hidden" r:id="rId4"/>
    <sheet name="THONG TIN" sheetId="66" state="hidden" r:id="rId5"/>
    <sheet name="Sheet22" sheetId="64" state="hidden" r:id="rId6"/>
    <sheet name="Sheet21" sheetId="63" state="hidden" r:id="rId7"/>
    <sheet name="Sheet20" sheetId="62" state="hidden" r:id="rId8"/>
    <sheet name="Sheet19" sheetId="61" state="hidden" r:id="rId9"/>
    <sheet name="Sheet18" sheetId="60" state="hidden" r:id="rId10"/>
    <sheet name="Sheet17" sheetId="59" state="hidden" r:id="rId11"/>
    <sheet name="Sheet16" sheetId="58" state="hidden" r:id="rId12"/>
    <sheet name="Sheet15" sheetId="57" state="hidden" r:id="rId13"/>
    <sheet name="Sheet14" sheetId="56" state="hidden" r:id="rId14"/>
    <sheet name="Sheet13" sheetId="55" state="hidden" r:id="rId15"/>
    <sheet name="Sheet12" sheetId="54" state="hidden" r:id="rId16"/>
    <sheet name="Sheet11" sheetId="53" state="hidden" r:id="rId17"/>
    <sheet name="Sheet10" sheetId="52" state="hidden" r:id="rId18"/>
    <sheet name="Sheet9" sheetId="51" state="hidden" r:id="rId19"/>
    <sheet name="Sheet8" sheetId="50" state="hidden" r:id="rId20"/>
    <sheet name="Sheet7" sheetId="49" state="hidden" r:id="rId21"/>
    <sheet name="Sheet6" sheetId="48" state="hidden" r:id="rId22"/>
    <sheet name="Sheet5" sheetId="47" state="hidden" r:id="rId23"/>
    <sheet name="Sheet3" sheetId="45" state="hidden" r:id="rId24"/>
    <sheet name="Sheet4" sheetId="46" state="hidden" r:id="rId25"/>
    <sheet name="Sheet2" sheetId="44" state="hidden" r:id="rId26"/>
    <sheet name="Sheet1" sheetId="43" state="hidden" r:id="rId27"/>
    <sheet name="STAND BY" sheetId="42" state="hidden" r:id="rId28"/>
  </sheets>
  <externalReferences>
    <externalReference r:id="rId29"/>
  </externalReferences>
  <definedNames>
    <definedName name="_xlnm._FilterDatabase" localSheetId="0" hidden="1">'GỐC(427)'!$A$10:$BE$580</definedName>
    <definedName name="_xlnm.Print_Titles" localSheetId="0">'GỐC(427)'!$10:$10</definedName>
    <definedName name="TINHTEU_HACT">#REF!</definedName>
    <definedName name="TINHTEU_HAFC">#REF!</definedName>
    <definedName name="TINHTEU_ML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0" i="41" l="1"/>
  <c r="Q30" i="41"/>
  <c r="Q61" i="41"/>
  <c r="Q185" i="41"/>
  <c r="Q189" i="41"/>
  <c r="Q190" i="41"/>
  <c r="Q191" i="41"/>
  <c r="Q192" i="41"/>
  <c r="Q193" i="41"/>
  <c r="Q194" i="41"/>
  <c r="Q195" i="41"/>
  <c r="Q196" i="41"/>
  <c r="Q197" i="41"/>
  <c r="Q198" i="41"/>
  <c r="Q218" i="41"/>
  <c r="Q219" i="41"/>
  <c r="Q220" i="41"/>
  <c r="Q221" i="41"/>
  <c r="Q251" i="41"/>
  <c r="Q252" i="41"/>
  <c r="Q259" i="41"/>
  <c r="Q260" i="41"/>
  <c r="Q261" i="41"/>
  <c r="Q262" i="41"/>
  <c r="Q263" i="41"/>
  <c r="Q264" i="41"/>
  <c r="Q265" i="41"/>
  <c r="Q274" i="41"/>
  <c r="Q277" i="41"/>
  <c r="Q299" i="41"/>
  <c r="Q300" i="41"/>
  <c r="Q301" i="41"/>
  <c r="Q304" i="41"/>
  <c r="Q305" i="41"/>
  <c r="Q321" i="41"/>
  <c r="Q333" i="41"/>
  <c r="Q351" i="41"/>
  <c r="Q352" i="41"/>
  <c r="Q353" i="41"/>
  <c r="Q354" i="41"/>
  <c r="Q355" i="41"/>
  <c r="Q356" i="41"/>
  <c r="Q357" i="41"/>
  <c r="Q358" i="41"/>
  <c r="Q359" i="41"/>
  <c r="Q360" i="41"/>
  <c r="Q361" i="41"/>
  <c r="Q370" i="41"/>
  <c r="Q371" i="41"/>
  <c r="Q372" i="41"/>
  <c r="Q374" i="41"/>
  <c r="Q375" i="41"/>
  <c r="Q376" i="41"/>
  <c r="Q403" i="41"/>
  <c r="Q409" i="41"/>
  <c r="Q410" i="41"/>
  <c r="Q411" i="41"/>
  <c r="Q414" i="41"/>
  <c r="Q417" i="41"/>
  <c r="Q418" i="41"/>
  <c r="Q419" i="41"/>
  <c r="Q420" i="41"/>
  <c r="Q422" i="41"/>
  <c r="Q423" i="41"/>
  <c r="Q424" i="41"/>
  <c r="Q429" i="41"/>
  <c r="Q430" i="41"/>
  <c r="Q431" i="41"/>
  <c r="Q432" i="41"/>
  <c r="Q433" i="41"/>
  <c r="Q437" i="41"/>
  <c r="Q438" i="41"/>
  <c r="Q439" i="41"/>
  <c r="Q446" i="41"/>
  <c r="Q454" i="41"/>
  <c r="Q455" i="41"/>
  <c r="Q487" i="41"/>
  <c r="Q492" i="41"/>
  <c r="Q493" i="41"/>
  <c r="Q541" i="41"/>
  <c r="Q542" i="41"/>
  <c r="Q543" i="41"/>
  <c r="Q544" i="41"/>
  <c r="Q545" i="41"/>
  <c r="Q546" i="41"/>
  <c r="Q547" i="41"/>
  <c r="Q548" i="41"/>
  <c r="Q549" i="41"/>
  <c r="Q550" i="41"/>
  <c r="Q551" i="41"/>
  <c r="Q552" i="41"/>
  <c r="Q553" i="41"/>
  <c r="Q554" i="41"/>
  <c r="Q555" i="41"/>
  <c r="Q556" i="41"/>
  <c r="Q557" i="41"/>
  <c r="Q558" i="41"/>
  <c r="Q559" i="41"/>
  <c r="Q560" i="41"/>
  <c r="Q561" i="41"/>
  <c r="Q562" i="41"/>
  <c r="Q563" i="41"/>
  <c r="Q564" i="41"/>
  <c r="Q565" i="41"/>
  <c r="Q566" i="41"/>
  <c r="Q567" i="41"/>
  <c r="Q568" i="41"/>
  <c r="Q569" i="41"/>
  <c r="Q570" i="41"/>
  <c r="Q571" i="41"/>
  <c r="Q572" i="41"/>
  <c r="Q573" i="41"/>
  <c r="Q574" i="41"/>
  <c r="Q575" i="41"/>
  <c r="Q576" i="41"/>
  <c r="Q577" i="41"/>
  <c r="Q578" i="41"/>
  <c r="Q579" i="41"/>
  <c r="Q580" i="41"/>
  <c r="K500" i="41"/>
  <c r="K501" i="41"/>
  <c r="K502" i="41"/>
  <c r="K503" i="41"/>
  <c r="K504" i="41"/>
  <c r="K505" i="41"/>
  <c r="K506" i="41"/>
  <c r="K507" i="41"/>
  <c r="K508" i="41"/>
  <c r="K509" i="41"/>
  <c r="K510" i="41"/>
  <c r="K511" i="41"/>
  <c r="K512" i="41"/>
  <c r="K513" i="41"/>
  <c r="K514" i="41"/>
  <c r="K515" i="41"/>
  <c r="K516" i="41"/>
  <c r="K517" i="41"/>
  <c r="K518" i="41"/>
  <c r="K519" i="41"/>
  <c r="K520" i="41"/>
  <c r="K521" i="41"/>
  <c r="K522" i="41"/>
  <c r="K523" i="41"/>
  <c r="K524" i="41"/>
  <c r="K525" i="41"/>
  <c r="K526" i="41"/>
  <c r="K527" i="41"/>
  <c r="K528" i="41"/>
  <c r="K499" i="41"/>
  <c r="H12" i="41" l="1"/>
  <c r="I12" i="41"/>
  <c r="J12" i="41"/>
  <c r="K12" i="41"/>
  <c r="L12" i="41"/>
  <c r="M12" i="41"/>
  <c r="N12" i="41"/>
  <c r="H13" i="41"/>
  <c r="I13" i="41"/>
  <c r="J13" i="41"/>
  <c r="K13" i="41"/>
  <c r="L13" i="41"/>
  <c r="M13" i="41"/>
  <c r="N13" i="41"/>
  <c r="H14" i="41"/>
  <c r="I14" i="41"/>
  <c r="J14" i="41"/>
  <c r="K14" i="41"/>
  <c r="L14" i="41"/>
  <c r="M14" i="41"/>
  <c r="N14" i="41"/>
  <c r="H15" i="41"/>
  <c r="I15" i="41"/>
  <c r="J15" i="41"/>
  <c r="K15" i="41"/>
  <c r="L15" i="41"/>
  <c r="M15" i="41"/>
  <c r="N15" i="41"/>
  <c r="H16" i="41"/>
  <c r="I16" i="41"/>
  <c r="J16" i="41"/>
  <c r="K16" i="41"/>
  <c r="L16" i="41"/>
  <c r="M16" i="41"/>
  <c r="N16" i="41"/>
  <c r="H17" i="41"/>
  <c r="I17" i="41"/>
  <c r="J17" i="41"/>
  <c r="K17" i="41"/>
  <c r="L17" i="41"/>
  <c r="M17" i="41"/>
  <c r="N17" i="41"/>
  <c r="H18" i="41"/>
  <c r="I18" i="41"/>
  <c r="J18" i="41"/>
  <c r="K18" i="41"/>
  <c r="L18" i="41"/>
  <c r="M18" i="41"/>
  <c r="N18" i="41"/>
  <c r="H19" i="41"/>
  <c r="I19" i="41"/>
  <c r="J19" i="41"/>
  <c r="K19" i="41"/>
  <c r="L19" i="41"/>
  <c r="M19" i="41"/>
  <c r="N19" i="41"/>
  <c r="H21" i="41"/>
  <c r="I21" i="41"/>
  <c r="J21" i="41"/>
  <c r="K21" i="41"/>
  <c r="L21" i="41"/>
  <c r="M21" i="41"/>
  <c r="N21" i="41"/>
  <c r="H22" i="41"/>
  <c r="I22" i="41"/>
  <c r="J22" i="41"/>
  <c r="K22" i="41"/>
  <c r="L22" i="41"/>
  <c r="M22" i="41"/>
  <c r="N22" i="41"/>
  <c r="H23" i="41"/>
  <c r="I23" i="41"/>
  <c r="J23" i="41"/>
  <c r="K23" i="41"/>
  <c r="L23" i="41"/>
  <c r="M23" i="41"/>
  <c r="N23" i="41"/>
  <c r="H24" i="41"/>
  <c r="I24" i="41"/>
  <c r="J24" i="41"/>
  <c r="K24" i="41"/>
  <c r="L24" i="41"/>
  <c r="M24" i="41"/>
  <c r="N24" i="41"/>
  <c r="H25" i="41"/>
  <c r="I25" i="41"/>
  <c r="J25" i="41"/>
  <c r="K25" i="41"/>
  <c r="L25" i="41"/>
  <c r="M25" i="41"/>
  <c r="N25" i="41"/>
  <c r="H26" i="41"/>
  <c r="I26" i="41"/>
  <c r="J26" i="41"/>
  <c r="K26" i="41"/>
  <c r="L26" i="41"/>
  <c r="M26" i="41"/>
  <c r="N26" i="41"/>
  <c r="H27" i="41"/>
  <c r="I27" i="41"/>
  <c r="J27" i="41"/>
  <c r="K27" i="41"/>
  <c r="L27" i="41"/>
  <c r="M27" i="41"/>
  <c r="N27" i="41"/>
  <c r="H28" i="41"/>
  <c r="I28" i="41"/>
  <c r="J28" i="41"/>
  <c r="K28" i="41"/>
  <c r="L28" i="41"/>
  <c r="M28" i="41"/>
  <c r="N28" i="41"/>
  <c r="H29" i="41"/>
  <c r="I29" i="41"/>
  <c r="J29" i="41"/>
  <c r="K29" i="41"/>
  <c r="L29" i="41"/>
  <c r="M29" i="41"/>
  <c r="N29" i="41"/>
  <c r="H31" i="41"/>
  <c r="I31" i="41"/>
  <c r="J31" i="41"/>
  <c r="K31" i="41"/>
  <c r="L31" i="41"/>
  <c r="M31" i="41"/>
  <c r="N31" i="41"/>
  <c r="H32" i="41"/>
  <c r="I32" i="41"/>
  <c r="J32" i="41"/>
  <c r="K32" i="41"/>
  <c r="L32" i="41"/>
  <c r="M32" i="41"/>
  <c r="N32" i="41"/>
  <c r="H33" i="41"/>
  <c r="I33" i="41"/>
  <c r="J33" i="41"/>
  <c r="K33" i="41"/>
  <c r="L33" i="41"/>
  <c r="M33" i="41"/>
  <c r="N33" i="41"/>
  <c r="H34" i="41"/>
  <c r="I34" i="41"/>
  <c r="J34" i="41"/>
  <c r="K34" i="41"/>
  <c r="L34" i="41"/>
  <c r="M34" i="41"/>
  <c r="N34" i="41"/>
  <c r="H35" i="41"/>
  <c r="I35" i="41"/>
  <c r="J35" i="41"/>
  <c r="K35" i="41"/>
  <c r="L35" i="41"/>
  <c r="M35" i="41"/>
  <c r="N35" i="41"/>
  <c r="H36" i="41"/>
  <c r="I36" i="41"/>
  <c r="J36" i="41"/>
  <c r="K36" i="41"/>
  <c r="L36" i="41"/>
  <c r="M36" i="41"/>
  <c r="N36" i="41"/>
  <c r="H37" i="41"/>
  <c r="I37" i="41"/>
  <c r="J37" i="41"/>
  <c r="K37" i="41"/>
  <c r="L37" i="41"/>
  <c r="M37" i="41"/>
  <c r="N37" i="41"/>
  <c r="H38" i="41"/>
  <c r="I38" i="41"/>
  <c r="Q38" i="41" s="1"/>
  <c r="K38" i="41"/>
  <c r="L38" i="41"/>
  <c r="M38" i="41"/>
  <c r="N38" i="41"/>
  <c r="H39" i="41"/>
  <c r="I39" i="41"/>
  <c r="J39" i="41"/>
  <c r="K39" i="41"/>
  <c r="L39" i="41"/>
  <c r="M39" i="41"/>
  <c r="N39" i="41"/>
  <c r="H40" i="41"/>
  <c r="I40" i="41"/>
  <c r="J40" i="41"/>
  <c r="K40" i="41"/>
  <c r="L40" i="41"/>
  <c r="M40" i="41"/>
  <c r="N40" i="41"/>
  <c r="H41" i="41"/>
  <c r="I41" i="41"/>
  <c r="J41" i="41"/>
  <c r="K41" i="41"/>
  <c r="L41" i="41"/>
  <c r="M41" i="41"/>
  <c r="N41" i="41"/>
  <c r="H42" i="41"/>
  <c r="I42" i="41"/>
  <c r="J42" i="41"/>
  <c r="K42" i="41"/>
  <c r="L42" i="41"/>
  <c r="M42" i="41"/>
  <c r="N42" i="41"/>
  <c r="H43" i="41"/>
  <c r="I43" i="41"/>
  <c r="Q43" i="41" s="1"/>
  <c r="K43" i="41"/>
  <c r="L43" i="41"/>
  <c r="M43" i="41"/>
  <c r="N43" i="41"/>
  <c r="H44" i="41"/>
  <c r="I44" i="41"/>
  <c r="Q44" i="41" s="1"/>
  <c r="K44" i="41"/>
  <c r="L44" i="41"/>
  <c r="M44" i="41"/>
  <c r="N44" i="41"/>
  <c r="H45" i="41"/>
  <c r="I45" i="41"/>
  <c r="Q45" i="41" s="1"/>
  <c r="K45" i="41"/>
  <c r="L45" i="41"/>
  <c r="M45" i="41"/>
  <c r="N45" i="41"/>
  <c r="H46" i="41"/>
  <c r="I46" i="41"/>
  <c r="Q46" i="41" s="1"/>
  <c r="K46" i="41"/>
  <c r="L46" i="41"/>
  <c r="M46" i="41"/>
  <c r="N46" i="41"/>
  <c r="H47" i="41"/>
  <c r="I47" i="41"/>
  <c r="J47" i="41"/>
  <c r="K47" i="41"/>
  <c r="L47" i="41"/>
  <c r="M47" i="41"/>
  <c r="N47" i="41"/>
  <c r="H48" i="41"/>
  <c r="I48" i="41"/>
  <c r="J48" i="41"/>
  <c r="K48" i="41"/>
  <c r="L48" i="41"/>
  <c r="M48" i="41"/>
  <c r="N48" i="41"/>
  <c r="H49" i="41"/>
  <c r="I49" i="41"/>
  <c r="J49" i="41"/>
  <c r="K49" i="41"/>
  <c r="L49" i="41"/>
  <c r="M49" i="41"/>
  <c r="N49" i="41"/>
  <c r="H50" i="41"/>
  <c r="I50" i="41"/>
  <c r="J50" i="41"/>
  <c r="K50" i="41"/>
  <c r="L50" i="41"/>
  <c r="M50" i="41"/>
  <c r="N50" i="41"/>
  <c r="H51" i="41"/>
  <c r="I51" i="41"/>
  <c r="J51" i="41"/>
  <c r="K51" i="41"/>
  <c r="L51" i="41"/>
  <c r="M51" i="41"/>
  <c r="N51" i="41"/>
  <c r="H52" i="41"/>
  <c r="I52" i="41"/>
  <c r="J52" i="41"/>
  <c r="K52" i="41"/>
  <c r="L52" i="41"/>
  <c r="M52" i="41"/>
  <c r="N52" i="41"/>
  <c r="H53" i="41"/>
  <c r="I53" i="41"/>
  <c r="J53" i="41"/>
  <c r="K53" i="41"/>
  <c r="L53" i="41"/>
  <c r="M53" i="41"/>
  <c r="N53" i="41"/>
  <c r="H54" i="41"/>
  <c r="I54" i="41"/>
  <c r="J54" i="41"/>
  <c r="K54" i="41"/>
  <c r="L54" i="41"/>
  <c r="M54" i="41"/>
  <c r="N54" i="41"/>
  <c r="H55" i="41"/>
  <c r="I55" i="41"/>
  <c r="J55" i="41"/>
  <c r="K55" i="41"/>
  <c r="L55" i="41"/>
  <c r="M55" i="41"/>
  <c r="N55" i="41"/>
  <c r="H56" i="41"/>
  <c r="I56" i="41"/>
  <c r="J56" i="41"/>
  <c r="K56" i="41"/>
  <c r="L56" i="41"/>
  <c r="M56" i="41"/>
  <c r="N56" i="41"/>
  <c r="H57" i="41"/>
  <c r="I57" i="41"/>
  <c r="J57" i="41"/>
  <c r="K57" i="41"/>
  <c r="L57" i="41"/>
  <c r="M57" i="41"/>
  <c r="N57" i="41"/>
  <c r="H58" i="41"/>
  <c r="I58" i="41"/>
  <c r="J58" i="41"/>
  <c r="K58" i="41"/>
  <c r="L58" i="41"/>
  <c r="M58" i="41"/>
  <c r="N58" i="41"/>
  <c r="H59" i="41"/>
  <c r="I59" i="41"/>
  <c r="J59" i="41"/>
  <c r="K59" i="41"/>
  <c r="L59" i="41"/>
  <c r="M59" i="41"/>
  <c r="N59" i="41"/>
  <c r="H60" i="41"/>
  <c r="I60" i="41"/>
  <c r="J60" i="41"/>
  <c r="K60" i="41"/>
  <c r="L60" i="41"/>
  <c r="M60" i="41"/>
  <c r="N60" i="41"/>
  <c r="H62" i="41"/>
  <c r="I62" i="41"/>
  <c r="J62" i="41"/>
  <c r="K62" i="41"/>
  <c r="L62" i="41"/>
  <c r="M62" i="41"/>
  <c r="N62" i="41"/>
  <c r="H63" i="41"/>
  <c r="I63" i="41"/>
  <c r="J63" i="41"/>
  <c r="K63" i="41"/>
  <c r="L63" i="41"/>
  <c r="M63" i="41"/>
  <c r="N63" i="41"/>
  <c r="H64" i="41"/>
  <c r="I64" i="41"/>
  <c r="J64" i="41"/>
  <c r="K64" i="41"/>
  <c r="L64" i="41"/>
  <c r="M64" i="41"/>
  <c r="N64" i="41"/>
  <c r="H65" i="41"/>
  <c r="I65" i="41"/>
  <c r="J65" i="41"/>
  <c r="K65" i="41"/>
  <c r="L65" i="41"/>
  <c r="M65" i="41"/>
  <c r="N65" i="41"/>
  <c r="H66" i="41"/>
  <c r="I66" i="41"/>
  <c r="J66" i="41"/>
  <c r="K66" i="41"/>
  <c r="L66" i="41"/>
  <c r="M66" i="41"/>
  <c r="N66" i="41"/>
  <c r="H67" i="41"/>
  <c r="I67" i="41"/>
  <c r="Q67" i="41" s="1"/>
  <c r="K67" i="41"/>
  <c r="L67" i="41"/>
  <c r="M67" i="41"/>
  <c r="N67" i="41"/>
  <c r="H68" i="41"/>
  <c r="I68" i="41"/>
  <c r="Q68" i="41" s="1"/>
  <c r="K68" i="41"/>
  <c r="L68" i="41"/>
  <c r="M68" i="41"/>
  <c r="N68" i="41"/>
  <c r="H69" i="41"/>
  <c r="I69" i="41"/>
  <c r="Q69" i="41" s="1"/>
  <c r="K69" i="41"/>
  <c r="L69" i="41"/>
  <c r="M69" i="41"/>
  <c r="N69" i="41"/>
  <c r="H70" i="41"/>
  <c r="I70" i="41"/>
  <c r="J70" i="41"/>
  <c r="K70" i="41"/>
  <c r="L70" i="41"/>
  <c r="M70" i="41"/>
  <c r="N70" i="41"/>
  <c r="H71" i="41"/>
  <c r="I71" i="41"/>
  <c r="Q71" i="41" s="1"/>
  <c r="K71" i="41"/>
  <c r="L71" i="41"/>
  <c r="M71" i="41"/>
  <c r="N71" i="41"/>
  <c r="H72" i="41"/>
  <c r="I72" i="41"/>
  <c r="Q72" i="41" s="1"/>
  <c r="K72" i="41"/>
  <c r="L72" i="41"/>
  <c r="M72" i="41"/>
  <c r="N72" i="41"/>
  <c r="H73" i="41"/>
  <c r="I73" i="41"/>
  <c r="Q73" i="41" s="1"/>
  <c r="K73" i="41"/>
  <c r="L73" i="41"/>
  <c r="M73" i="41"/>
  <c r="N73" i="41"/>
  <c r="H74" i="41"/>
  <c r="I74" i="41"/>
  <c r="J74" i="41"/>
  <c r="K74" i="41"/>
  <c r="L74" i="41"/>
  <c r="M74" i="41"/>
  <c r="N74" i="41"/>
  <c r="H75" i="41"/>
  <c r="I75" i="41"/>
  <c r="J75" i="41"/>
  <c r="K75" i="41"/>
  <c r="L75" i="41"/>
  <c r="M75" i="41"/>
  <c r="N75" i="41"/>
  <c r="H76" i="41"/>
  <c r="I76" i="41"/>
  <c r="J76" i="41"/>
  <c r="K76" i="41"/>
  <c r="L76" i="41"/>
  <c r="M76" i="41"/>
  <c r="N76" i="41"/>
  <c r="H77" i="41"/>
  <c r="I77" i="41"/>
  <c r="J77" i="41"/>
  <c r="K77" i="41"/>
  <c r="L77" i="41"/>
  <c r="M77" i="41"/>
  <c r="N77" i="41"/>
  <c r="H78" i="41"/>
  <c r="I78" i="41"/>
  <c r="J78" i="41"/>
  <c r="K78" i="41"/>
  <c r="L78" i="41"/>
  <c r="M78" i="41"/>
  <c r="N78" i="41"/>
  <c r="H79" i="41"/>
  <c r="I79" i="41"/>
  <c r="J79" i="41"/>
  <c r="K79" i="41"/>
  <c r="L79" i="41"/>
  <c r="M79" i="41"/>
  <c r="N79" i="41"/>
  <c r="H80" i="41"/>
  <c r="I80" i="41"/>
  <c r="Q80" i="41" s="1"/>
  <c r="K80" i="41"/>
  <c r="L80" i="41"/>
  <c r="M80" i="41"/>
  <c r="N80" i="41"/>
  <c r="H81" i="41"/>
  <c r="I81" i="41"/>
  <c r="J81" i="41"/>
  <c r="K81" i="41"/>
  <c r="L81" i="41"/>
  <c r="M81" i="41"/>
  <c r="N81" i="41"/>
  <c r="H82" i="41"/>
  <c r="I82" i="41"/>
  <c r="Q82" i="41" s="1"/>
  <c r="K82" i="41"/>
  <c r="L82" i="41"/>
  <c r="M82" i="41"/>
  <c r="N82" i="41"/>
  <c r="H83" i="41"/>
  <c r="I83" i="41"/>
  <c r="Q83" i="41" s="1"/>
  <c r="K83" i="41"/>
  <c r="L83" i="41"/>
  <c r="M83" i="41"/>
  <c r="N83" i="41"/>
  <c r="H84" i="41"/>
  <c r="I84" i="41"/>
  <c r="Q84" i="41" s="1"/>
  <c r="K84" i="41"/>
  <c r="L84" i="41"/>
  <c r="M84" i="41"/>
  <c r="N84" i="41"/>
  <c r="H85" i="41"/>
  <c r="I85" i="41"/>
  <c r="Q85" i="41" s="1"/>
  <c r="K85" i="41"/>
  <c r="L85" i="41"/>
  <c r="M85" i="41"/>
  <c r="N85" i="41"/>
  <c r="H86" i="41"/>
  <c r="I86" i="41"/>
  <c r="Q86" i="41" s="1"/>
  <c r="K86" i="41"/>
  <c r="L86" i="41"/>
  <c r="M86" i="41"/>
  <c r="N86" i="41"/>
  <c r="H87" i="41"/>
  <c r="I87" i="41"/>
  <c r="Q87" i="41" s="1"/>
  <c r="K87" i="41"/>
  <c r="L87" i="41"/>
  <c r="M87" i="41"/>
  <c r="N87" i="41"/>
  <c r="H88" i="41"/>
  <c r="I88" i="41"/>
  <c r="J88" i="41"/>
  <c r="K88" i="41"/>
  <c r="L88" i="41"/>
  <c r="M88" i="41"/>
  <c r="N88" i="41"/>
  <c r="H89" i="41"/>
  <c r="I89" i="41"/>
  <c r="J89" i="41"/>
  <c r="K89" i="41"/>
  <c r="L89" i="41"/>
  <c r="M89" i="41"/>
  <c r="N89" i="41"/>
  <c r="H90" i="41"/>
  <c r="I90" i="41"/>
  <c r="J90" i="41"/>
  <c r="K90" i="41"/>
  <c r="L90" i="41"/>
  <c r="M90" i="41"/>
  <c r="N90" i="41"/>
  <c r="H91" i="41"/>
  <c r="I91" i="41"/>
  <c r="J91" i="41"/>
  <c r="K91" i="41"/>
  <c r="L91" i="41"/>
  <c r="M91" i="41"/>
  <c r="N91" i="41"/>
  <c r="H92" i="41"/>
  <c r="I92" i="41"/>
  <c r="J92" i="41"/>
  <c r="K92" i="41"/>
  <c r="L92" i="41"/>
  <c r="M92" i="41"/>
  <c r="N92" i="41"/>
  <c r="H93" i="41"/>
  <c r="I93" i="41"/>
  <c r="Q93" i="41" s="1"/>
  <c r="K93" i="41"/>
  <c r="L93" i="41"/>
  <c r="M93" i="41"/>
  <c r="N93" i="41"/>
  <c r="H94" i="41"/>
  <c r="I94" i="41"/>
  <c r="J94" i="41"/>
  <c r="K94" i="41"/>
  <c r="L94" i="41"/>
  <c r="M94" i="41"/>
  <c r="N94" i="41"/>
  <c r="H95" i="41"/>
  <c r="I95" i="41"/>
  <c r="J95" i="41"/>
  <c r="K95" i="41"/>
  <c r="L95" i="41"/>
  <c r="M95" i="41"/>
  <c r="N95" i="41"/>
  <c r="H96" i="41"/>
  <c r="I96" i="41"/>
  <c r="J96" i="41"/>
  <c r="K96" i="41"/>
  <c r="L96" i="41"/>
  <c r="M96" i="41"/>
  <c r="N96" i="41"/>
  <c r="H97" i="41"/>
  <c r="I97" i="41"/>
  <c r="J97" i="41"/>
  <c r="K97" i="41"/>
  <c r="L97" i="41"/>
  <c r="M97" i="41"/>
  <c r="N97" i="41"/>
  <c r="H98" i="41"/>
  <c r="I98" i="41"/>
  <c r="J98" i="41"/>
  <c r="K98" i="41"/>
  <c r="L98" i="41"/>
  <c r="M98" i="41"/>
  <c r="N98" i="41"/>
  <c r="H99" i="41"/>
  <c r="I99" i="41"/>
  <c r="J99" i="41"/>
  <c r="K99" i="41"/>
  <c r="L99" i="41"/>
  <c r="M99" i="41"/>
  <c r="N99" i="41"/>
  <c r="H100" i="41"/>
  <c r="I100" i="41"/>
  <c r="J100" i="41"/>
  <c r="K100" i="41"/>
  <c r="L100" i="41"/>
  <c r="M100" i="41"/>
  <c r="N100" i="41"/>
  <c r="H101" i="41"/>
  <c r="I101" i="41"/>
  <c r="J101" i="41"/>
  <c r="K101" i="41"/>
  <c r="L101" i="41"/>
  <c r="M101" i="41"/>
  <c r="N101" i="41"/>
  <c r="H102" i="41"/>
  <c r="I102" i="41"/>
  <c r="J102" i="41"/>
  <c r="K102" i="41"/>
  <c r="L102" i="41"/>
  <c r="M102" i="41"/>
  <c r="N102" i="41"/>
  <c r="H103" i="41"/>
  <c r="I103" i="41"/>
  <c r="J103" i="41"/>
  <c r="K103" i="41"/>
  <c r="L103" i="41"/>
  <c r="M103" i="41"/>
  <c r="N103" i="41"/>
  <c r="H104" i="41"/>
  <c r="I104" i="41"/>
  <c r="J104" i="41"/>
  <c r="K104" i="41"/>
  <c r="L104" i="41"/>
  <c r="M104" i="41"/>
  <c r="N104" i="41"/>
  <c r="H105" i="41"/>
  <c r="I105" i="41"/>
  <c r="J105" i="41"/>
  <c r="K105" i="41"/>
  <c r="L105" i="41"/>
  <c r="M105" i="41"/>
  <c r="N105" i="41"/>
  <c r="H106" i="41"/>
  <c r="I106" i="41"/>
  <c r="J106" i="41"/>
  <c r="K106" i="41"/>
  <c r="L106" i="41"/>
  <c r="M106" i="41"/>
  <c r="N106" i="41"/>
  <c r="H107" i="41"/>
  <c r="I107" i="41"/>
  <c r="J107" i="41"/>
  <c r="K107" i="41"/>
  <c r="L107" i="41"/>
  <c r="M107" i="41"/>
  <c r="N107" i="41"/>
  <c r="H108" i="41"/>
  <c r="I108" i="41"/>
  <c r="J108" i="41"/>
  <c r="K108" i="41"/>
  <c r="L108" i="41"/>
  <c r="M108" i="41"/>
  <c r="N108" i="41"/>
  <c r="H109" i="41"/>
  <c r="I109" i="41"/>
  <c r="J109" i="41"/>
  <c r="K109" i="41"/>
  <c r="L109" i="41"/>
  <c r="M109" i="41"/>
  <c r="N109" i="41"/>
  <c r="H110" i="41"/>
  <c r="I110" i="41"/>
  <c r="J110" i="41"/>
  <c r="K110" i="41"/>
  <c r="L110" i="41"/>
  <c r="M110" i="41"/>
  <c r="N110" i="41"/>
  <c r="H111" i="41"/>
  <c r="I111" i="41"/>
  <c r="J111" i="41"/>
  <c r="K111" i="41"/>
  <c r="L111" i="41"/>
  <c r="M111" i="41"/>
  <c r="N111" i="41"/>
  <c r="H112" i="41"/>
  <c r="I112" i="41"/>
  <c r="J112" i="41"/>
  <c r="K112" i="41"/>
  <c r="L112" i="41"/>
  <c r="M112" i="41"/>
  <c r="N112" i="41"/>
  <c r="H113" i="41"/>
  <c r="I113" i="41"/>
  <c r="J113" i="41"/>
  <c r="K113" i="41"/>
  <c r="L113" i="41"/>
  <c r="M113" i="41"/>
  <c r="N113" i="41"/>
  <c r="H114" i="41"/>
  <c r="I114" i="41"/>
  <c r="J114" i="41"/>
  <c r="K114" i="41"/>
  <c r="L114" i="41"/>
  <c r="M114" i="41"/>
  <c r="N114" i="41"/>
  <c r="H115" i="41"/>
  <c r="I115" i="41"/>
  <c r="J115" i="41"/>
  <c r="K115" i="41"/>
  <c r="L115" i="41"/>
  <c r="M115" i="41"/>
  <c r="N115" i="41"/>
  <c r="H116" i="41"/>
  <c r="I116" i="41"/>
  <c r="J116" i="41"/>
  <c r="K116" i="41"/>
  <c r="L116" i="41"/>
  <c r="M116" i="41"/>
  <c r="N116" i="41"/>
  <c r="H117" i="41"/>
  <c r="I117" i="41"/>
  <c r="J117" i="41"/>
  <c r="K117" i="41"/>
  <c r="L117" i="41"/>
  <c r="M117" i="41"/>
  <c r="N117" i="41"/>
  <c r="H118" i="41"/>
  <c r="I118" i="41"/>
  <c r="J118" i="41"/>
  <c r="K118" i="41"/>
  <c r="L118" i="41"/>
  <c r="M118" i="41"/>
  <c r="N118" i="41"/>
  <c r="H119" i="41"/>
  <c r="I119" i="41"/>
  <c r="J119" i="41"/>
  <c r="K119" i="41"/>
  <c r="L119" i="41"/>
  <c r="M119" i="41"/>
  <c r="N119" i="41"/>
  <c r="H120" i="41"/>
  <c r="I120" i="41"/>
  <c r="Q120" i="41" s="1"/>
  <c r="K120" i="41"/>
  <c r="L120" i="41"/>
  <c r="M120" i="41"/>
  <c r="N120" i="41"/>
  <c r="H121" i="41"/>
  <c r="I121" i="41"/>
  <c r="Q121" i="41" s="1"/>
  <c r="K121" i="41"/>
  <c r="L121" i="41"/>
  <c r="M121" i="41"/>
  <c r="N121" i="41"/>
  <c r="H122" i="41"/>
  <c r="I122" i="41"/>
  <c r="J122" i="41"/>
  <c r="K122" i="41"/>
  <c r="L122" i="41"/>
  <c r="M122" i="41"/>
  <c r="N122" i="41"/>
  <c r="H123" i="41"/>
  <c r="I123" i="41"/>
  <c r="J123" i="41"/>
  <c r="K123" i="41"/>
  <c r="L123" i="41"/>
  <c r="M123" i="41"/>
  <c r="N123" i="41"/>
  <c r="H124" i="41"/>
  <c r="I124" i="41"/>
  <c r="Q124" i="41" s="1"/>
  <c r="K124" i="41"/>
  <c r="L124" i="41"/>
  <c r="M124" i="41"/>
  <c r="N124" i="41"/>
  <c r="H125" i="41"/>
  <c r="I125" i="41"/>
  <c r="Q125" i="41" s="1"/>
  <c r="K125" i="41"/>
  <c r="L125" i="41"/>
  <c r="M125" i="41"/>
  <c r="N125" i="41"/>
  <c r="H126" i="41"/>
  <c r="I126" i="41"/>
  <c r="Q126" i="41" s="1"/>
  <c r="K126" i="41"/>
  <c r="L126" i="41"/>
  <c r="M126" i="41"/>
  <c r="N126" i="41"/>
  <c r="H127" i="41"/>
  <c r="I127" i="41"/>
  <c r="Q127" i="41" s="1"/>
  <c r="K127" i="41"/>
  <c r="L127" i="41"/>
  <c r="M127" i="41"/>
  <c r="N127" i="41"/>
  <c r="H128" i="41"/>
  <c r="I128" i="41"/>
  <c r="Q128" i="41" s="1"/>
  <c r="K128" i="41"/>
  <c r="L128" i="41"/>
  <c r="M128" i="41"/>
  <c r="N128" i="41"/>
  <c r="H129" i="41"/>
  <c r="I129" i="41"/>
  <c r="J129" i="41"/>
  <c r="K129" i="41"/>
  <c r="L129" i="41"/>
  <c r="N129" i="41"/>
  <c r="H130" i="41"/>
  <c r="I130" i="41"/>
  <c r="J130" i="41"/>
  <c r="K130" i="41"/>
  <c r="L130" i="41"/>
  <c r="N130" i="41"/>
  <c r="H131" i="41"/>
  <c r="I131" i="41"/>
  <c r="J131" i="41"/>
  <c r="K131" i="41"/>
  <c r="L131" i="41"/>
  <c r="N131" i="41"/>
  <c r="H132" i="41"/>
  <c r="I132" i="41"/>
  <c r="J132" i="41"/>
  <c r="K132" i="41"/>
  <c r="L132" i="41"/>
  <c r="N132" i="41"/>
  <c r="H133" i="41"/>
  <c r="I133" i="41"/>
  <c r="J133" i="41"/>
  <c r="K133" i="41"/>
  <c r="L133" i="41"/>
  <c r="N133" i="41"/>
  <c r="H134" i="41"/>
  <c r="I134" i="41"/>
  <c r="J134" i="41"/>
  <c r="K134" i="41"/>
  <c r="L134" i="41"/>
  <c r="N134" i="41"/>
  <c r="H135" i="41"/>
  <c r="I135" i="41"/>
  <c r="J135" i="41"/>
  <c r="K135" i="41"/>
  <c r="L135" i="41"/>
  <c r="N135" i="41"/>
  <c r="H136" i="41"/>
  <c r="I136" i="41"/>
  <c r="J136" i="41"/>
  <c r="K136" i="41"/>
  <c r="L136" i="41"/>
  <c r="N136" i="41"/>
  <c r="H137" i="41"/>
  <c r="I137" i="41"/>
  <c r="J137" i="41"/>
  <c r="K137" i="41"/>
  <c r="L137" i="41"/>
  <c r="N137" i="41"/>
  <c r="H138" i="41"/>
  <c r="I138" i="41"/>
  <c r="J138" i="41"/>
  <c r="K138" i="41"/>
  <c r="L138" i="41"/>
  <c r="N138" i="41"/>
  <c r="H139" i="41"/>
  <c r="I139" i="41"/>
  <c r="J139" i="41"/>
  <c r="K139" i="41"/>
  <c r="L139" i="41"/>
  <c r="N139" i="41"/>
  <c r="H140" i="41"/>
  <c r="I140" i="41"/>
  <c r="J140" i="41"/>
  <c r="K140" i="41"/>
  <c r="L140" i="41"/>
  <c r="N140" i="41"/>
  <c r="H141" i="41"/>
  <c r="I141" i="41"/>
  <c r="J141" i="41"/>
  <c r="K141" i="41"/>
  <c r="L141" i="41"/>
  <c r="N141" i="41"/>
  <c r="H142" i="41"/>
  <c r="I142" i="41"/>
  <c r="J142" i="41"/>
  <c r="K142" i="41"/>
  <c r="L142" i="41"/>
  <c r="N142" i="41"/>
  <c r="H143" i="41"/>
  <c r="I143" i="41"/>
  <c r="J143" i="41"/>
  <c r="K143" i="41"/>
  <c r="L143" i="41"/>
  <c r="N143" i="41"/>
  <c r="H144" i="41"/>
  <c r="I144" i="41"/>
  <c r="J144" i="41"/>
  <c r="K144" i="41"/>
  <c r="L144" i="41"/>
  <c r="N144" i="41"/>
  <c r="H145" i="41"/>
  <c r="I145" i="41"/>
  <c r="J145" i="41"/>
  <c r="K145" i="41"/>
  <c r="L145" i="41"/>
  <c r="N145" i="41"/>
  <c r="H146" i="41"/>
  <c r="I146" i="41"/>
  <c r="J146" i="41"/>
  <c r="K146" i="41"/>
  <c r="L146" i="41"/>
  <c r="N146" i="41"/>
  <c r="H147" i="41"/>
  <c r="I147" i="41"/>
  <c r="J147" i="41"/>
  <c r="K147" i="41"/>
  <c r="L147" i="41"/>
  <c r="N147" i="41"/>
  <c r="H148" i="41"/>
  <c r="I148" i="41"/>
  <c r="J148" i="41"/>
  <c r="K148" i="41"/>
  <c r="L148" i="41"/>
  <c r="N148" i="41"/>
  <c r="H149" i="41"/>
  <c r="I149" i="41"/>
  <c r="J149" i="41"/>
  <c r="K149" i="41"/>
  <c r="L149" i="41"/>
  <c r="M149" i="41"/>
  <c r="N149" i="41"/>
  <c r="H150" i="41"/>
  <c r="I150" i="41"/>
  <c r="J150" i="41"/>
  <c r="K150" i="41"/>
  <c r="L150" i="41"/>
  <c r="M150" i="41"/>
  <c r="N150" i="41"/>
  <c r="H151" i="41"/>
  <c r="I151" i="41"/>
  <c r="J151" i="41"/>
  <c r="K151" i="41"/>
  <c r="L151" i="41"/>
  <c r="M151" i="41"/>
  <c r="N151" i="41"/>
  <c r="H152" i="41"/>
  <c r="I152" i="41"/>
  <c r="J152" i="41"/>
  <c r="K152" i="41"/>
  <c r="L152" i="41"/>
  <c r="M152" i="41"/>
  <c r="N152" i="41"/>
  <c r="H153" i="41"/>
  <c r="I153" i="41"/>
  <c r="J153" i="41"/>
  <c r="K153" i="41"/>
  <c r="L153" i="41"/>
  <c r="M153" i="41"/>
  <c r="N153" i="41"/>
  <c r="H154" i="41"/>
  <c r="I154" i="41"/>
  <c r="Q154" i="41" s="1"/>
  <c r="K154" i="41"/>
  <c r="L154" i="41"/>
  <c r="M154" i="41"/>
  <c r="N154" i="41"/>
  <c r="H155" i="41"/>
  <c r="I155" i="41"/>
  <c r="J155" i="41"/>
  <c r="K155" i="41"/>
  <c r="L155" i="41"/>
  <c r="M155" i="41"/>
  <c r="N155" i="41"/>
  <c r="H156" i="41"/>
  <c r="I156" i="41"/>
  <c r="J156" i="41"/>
  <c r="K156" i="41"/>
  <c r="L156" i="41"/>
  <c r="M156" i="41"/>
  <c r="N156" i="41"/>
  <c r="H157" i="41"/>
  <c r="I157" i="41"/>
  <c r="Q157" i="41" s="1"/>
  <c r="K157" i="41"/>
  <c r="L157" i="41"/>
  <c r="M157" i="41"/>
  <c r="N157" i="41"/>
  <c r="H158" i="41"/>
  <c r="I158" i="41"/>
  <c r="Q158" i="41" s="1"/>
  <c r="K158" i="41"/>
  <c r="L158" i="41"/>
  <c r="M158" i="41"/>
  <c r="N158" i="41"/>
  <c r="H159" i="41"/>
  <c r="I159" i="41"/>
  <c r="J159" i="41"/>
  <c r="K159" i="41"/>
  <c r="L159" i="41"/>
  <c r="M159" i="41"/>
  <c r="N159" i="41"/>
  <c r="H160" i="41"/>
  <c r="I160" i="41"/>
  <c r="Q160" i="41" s="1"/>
  <c r="K160" i="41"/>
  <c r="L160" i="41"/>
  <c r="M160" i="41"/>
  <c r="N160" i="41"/>
  <c r="H161" i="41"/>
  <c r="I161" i="41"/>
  <c r="Q161" i="41" s="1"/>
  <c r="K161" i="41"/>
  <c r="L161" i="41"/>
  <c r="M161" i="41"/>
  <c r="N161" i="41"/>
  <c r="H162" i="41"/>
  <c r="I162" i="41"/>
  <c r="J162" i="41"/>
  <c r="K162" i="41"/>
  <c r="L162" i="41"/>
  <c r="M162" i="41"/>
  <c r="N162" i="41"/>
  <c r="H163" i="41"/>
  <c r="I163" i="41"/>
  <c r="Q163" i="41" s="1"/>
  <c r="K163" i="41"/>
  <c r="L163" i="41"/>
  <c r="M163" i="41"/>
  <c r="N163" i="41"/>
  <c r="H164" i="41"/>
  <c r="I164" i="41"/>
  <c r="J164" i="41"/>
  <c r="K164" i="41"/>
  <c r="L164" i="41"/>
  <c r="M164" i="41"/>
  <c r="N164" i="41"/>
  <c r="H165" i="41"/>
  <c r="I165" i="41"/>
  <c r="J165" i="41"/>
  <c r="K165" i="41"/>
  <c r="L165" i="41"/>
  <c r="M165" i="41"/>
  <c r="N165" i="41"/>
  <c r="H166" i="41"/>
  <c r="I166" i="41"/>
  <c r="J166" i="41"/>
  <c r="K166" i="41"/>
  <c r="L166" i="41"/>
  <c r="M166" i="41"/>
  <c r="N166" i="41"/>
  <c r="H167" i="41"/>
  <c r="I167" i="41"/>
  <c r="J167" i="41"/>
  <c r="K167" i="41"/>
  <c r="L167" i="41"/>
  <c r="M167" i="41"/>
  <c r="N167" i="41"/>
  <c r="H168" i="41"/>
  <c r="I168" i="41"/>
  <c r="J168" i="41"/>
  <c r="K168" i="41"/>
  <c r="L168" i="41"/>
  <c r="M168" i="41"/>
  <c r="N168" i="41"/>
  <c r="H169" i="41"/>
  <c r="I169" i="41"/>
  <c r="J169" i="41"/>
  <c r="K169" i="41"/>
  <c r="L169" i="41"/>
  <c r="M169" i="41"/>
  <c r="N169" i="41"/>
  <c r="H170" i="41"/>
  <c r="I170" i="41"/>
  <c r="Q170" i="41" s="1"/>
  <c r="K170" i="41"/>
  <c r="L170" i="41"/>
  <c r="M170" i="41"/>
  <c r="N170" i="41"/>
  <c r="H171" i="41"/>
  <c r="I171" i="41"/>
  <c r="J171" i="41"/>
  <c r="K171" i="41"/>
  <c r="L171" i="41"/>
  <c r="M171" i="41"/>
  <c r="N171" i="41"/>
  <c r="H172" i="41"/>
  <c r="I172" i="41"/>
  <c r="J172" i="41"/>
  <c r="K172" i="41"/>
  <c r="L172" i="41"/>
  <c r="M172" i="41"/>
  <c r="N172" i="41"/>
  <c r="H173" i="41"/>
  <c r="I173" i="41"/>
  <c r="J173" i="41"/>
  <c r="K173" i="41"/>
  <c r="L173" i="41"/>
  <c r="M173" i="41"/>
  <c r="N173" i="41"/>
  <c r="H174" i="41"/>
  <c r="I174" i="41"/>
  <c r="J174" i="41"/>
  <c r="K174" i="41"/>
  <c r="L174" i="41"/>
  <c r="M174" i="41"/>
  <c r="N174" i="41"/>
  <c r="H175" i="41"/>
  <c r="I175" i="41"/>
  <c r="J175" i="41"/>
  <c r="K175" i="41"/>
  <c r="L175" i="41"/>
  <c r="M175" i="41"/>
  <c r="N175" i="41"/>
  <c r="H176" i="41"/>
  <c r="I176" i="41"/>
  <c r="J176" i="41"/>
  <c r="K176" i="41"/>
  <c r="L176" i="41"/>
  <c r="N176" i="41"/>
  <c r="H177" i="41"/>
  <c r="I177" i="41"/>
  <c r="J177" i="41"/>
  <c r="K177" i="41"/>
  <c r="L177" i="41"/>
  <c r="N177" i="41"/>
  <c r="H178" i="41"/>
  <c r="I178" i="41"/>
  <c r="J178" i="41"/>
  <c r="K178" i="41"/>
  <c r="L178" i="41"/>
  <c r="N178" i="41"/>
  <c r="H179" i="41"/>
  <c r="I179" i="41"/>
  <c r="J179" i="41"/>
  <c r="K179" i="41"/>
  <c r="L179" i="41"/>
  <c r="N179" i="41"/>
  <c r="H180" i="41"/>
  <c r="I180" i="41"/>
  <c r="J180" i="41"/>
  <c r="K180" i="41"/>
  <c r="L180" i="41"/>
  <c r="N180" i="41"/>
  <c r="H181" i="41"/>
  <c r="I181" i="41"/>
  <c r="J181" i="41"/>
  <c r="K181" i="41"/>
  <c r="L181" i="41"/>
  <c r="M181" i="41"/>
  <c r="N181" i="41"/>
  <c r="H182" i="41"/>
  <c r="I182" i="41"/>
  <c r="J182" i="41"/>
  <c r="K182" i="41"/>
  <c r="L182" i="41"/>
  <c r="M182" i="41"/>
  <c r="N182" i="41"/>
  <c r="H183" i="41"/>
  <c r="I183" i="41"/>
  <c r="J183" i="41"/>
  <c r="K183" i="41"/>
  <c r="L183" i="41"/>
  <c r="M183" i="41"/>
  <c r="N183" i="41"/>
  <c r="H184" i="41"/>
  <c r="I184" i="41"/>
  <c r="J184" i="41"/>
  <c r="K184" i="41"/>
  <c r="L184" i="41"/>
  <c r="M184" i="41"/>
  <c r="N184" i="41"/>
  <c r="H186" i="41"/>
  <c r="I186" i="41"/>
  <c r="Q186" i="41" s="1"/>
  <c r="K186" i="41"/>
  <c r="L186" i="41"/>
  <c r="M186" i="41"/>
  <c r="N186" i="41"/>
  <c r="H187" i="41"/>
  <c r="I187" i="41"/>
  <c r="Q187" i="41" s="1"/>
  <c r="K187" i="41"/>
  <c r="L187" i="41"/>
  <c r="M187" i="41"/>
  <c r="N187" i="41"/>
  <c r="H188" i="41"/>
  <c r="I188" i="41"/>
  <c r="Q188" i="41" s="1"/>
  <c r="K188" i="41"/>
  <c r="L188" i="41"/>
  <c r="M188" i="41"/>
  <c r="N188" i="41"/>
  <c r="H199" i="41"/>
  <c r="I199" i="41"/>
  <c r="Q199" i="41" s="1"/>
  <c r="K199" i="41"/>
  <c r="L199" i="41"/>
  <c r="M199" i="41"/>
  <c r="N199" i="41"/>
  <c r="H200" i="41"/>
  <c r="I200" i="41"/>
  <c r="Q200" i="41" s="1"/>
  <c r="K200" i="41"/>
  <c r="L200" i="41"/>
  <c r="M200" i="41"/>
  <c r="N200" i="41"/>
  <c r="H201" i="41"/>
  <c r="I201" i="41"/>
  <c r="Q201" i="41" s="1"/>
  <c r="K201" i="41"/>
  <c r="L201" i="41"/>
  <c r="M201" i="41"/>
  <c r="N201" i="41"/>
  <c r="H202" i="41"/>
  <c r="I202" i="41"/>
  <c r="Q202" i="41" s="1"/>
  <c r="K202" i="41"/>
  <c r="L202" i="41"/>
  <c r="M202" i="41"/>
  <c r="N202" i="41"/>
  <c r="H203" i="41"/>
  <c r="I203" i="41"/>
  <c r="Q203" i="41" s="1"/>
  <c r="K203" i="41"/>
  <c r="L203" i="41"/>
  <c r="M203" i="41"/>
  <c r="N203" i="41"/>
  <c r="H204" i="41"/>
  <c r="I204" i="41"/>
  <c r="Q204" i="41" s="1"/>
  <c r="K204" i="41"/>
  <c r="L204" i="41"/>
  <c r="M204" i="41"/>
  <c r="N204" i="41"/>
  <c r="H205" i="41"/>
  <c r="I205" i="41"/>
  <c r="Q205" i="41" s="1"/>
  <c r="K205" i="41"/>
  <c r="L205" i="41"/>
  <c r="M205" i="41"/>
  <c r="N205" i="41"/>
  <c r="H206" i="41"/>
  <c r="I206" i="41"/>
  <c r="J206" i="41"/>
  <c r="K206" i="41"/>
  <c r="L206" i="41"/>
  <c r="M206" i="41"/>
  <c r="N206" i="41"/>
  <c r="H207" i="41"/>
  <c r="I207" i="41"/>
  <c r="J207" i="41"/>
  <c r="K207" i="41"/>
  <c r="L207" i="41"/>
  <c r="M207" i="41"/>
  <c r="N207" i="41"/>
  <c r="H208" i="41"/>
  <c r="I208" i="41"/>
  <c r="J208" i="41"/>
  <c r="K208" i="41"/>
  <c r="L208" i="41"/>
  <c r="M208" i="41"/>
  <c r="N208" i="41"/>
  <c r="H209" i="41"/>
  <c r="I209" i="41"/>
  <c r="J209" i="41"/>
  <c r="K209" i="41"/>
  <c r="L209" i="41"/>
  <c r="M209" i="41"/>
  <c r="N209" i="41"/>
  <c r="H210" i="41"/>
  <c r="I210" i="41"/>
  <c r="J210" i="41"/>
  <c r="K210" i="41"/>
  <c r="L210" i="41"/>
  <c r="M210" i="41"/>
  <c r="N210" i="41"/>
  <c r="H211" i="41"/>
  <c r="I211" i="41"/>
  <c r="J211" i="41"/>
  <c r="K211" i="41"/>
  <c r="L211" i="41"/>
  <c r="M211" i="41"/>
  <c r="N211" i="41"/>
  <c r="H212" i="41"/>
  <c r="I212" i="41"/>
  <c r="J212" i="41"/>
  <c r="K212" i="41"/>
  <c r="L212" i="41"/>
  <c r="M212" i="41"/>
  <c r="N212" i="41"/>
  <c r="H213" i="41"/>
  <c r="I213" i="41"/>
  <c r="J213" i="41"/>
  <c r="K213" i="41"/>
  <c r="L213" i="41"/>
  <c r="M213" i="41"/>
  <c r="N213" i="41"/>
  <c r="H214" i="41"/>
  <c r="I214" i="41"/>
  <c r="Q214" i="41" s="1"/>
  <c r="K214" i="41"/>
  <c r="L214" i="41"/>
  <c r="M214" i="41"/>
  <c r="N214" i="41"/>
  <c r="H215" i="41"/>
  <c r="I215" i="41"/>
  <c r="Q215" i="41" s="1"/>
  <c r="K215" i="41"/>
  <c r="L215" i="41"/>
  <c r="M215" i="41"/>
  <c r="N215" i="41"/>
  <c r="H216" i="41"/>
  <c r="I216" i="41"/>
  <c r="Q216" i="41" s="1"/>
  <c r="K216" i="41"/>
  <c r="L216" i="41"/>
  <c r="M216" i="41"/>
  <c r="N216" i="41"/>
  <c r="H217" i="41"/>
  <c r="I217" i="41"/>
  <c r="Q217" i="41" s="1"/>
  <c r="K217" i="41"/>
  <c r="L217" i="41"/>
  <c r="M217" i="41"/>
  <c r="N217" i="41"/>
  <c r="H222" i="41"/>
  <c r="I222" i="41"/>
  <c r="Q222" i="41" s="1"/>
  <c r="K222" i="41"/>
  <c r="L222" i="41"/>
  <c r="M222" i="41"/>
  <c r="N222" i="41"/>
  <c r="H223" i="41"/>
  <c r="I223" i="41"/>
  <c r="Q223" i="41" s="1"/>
  <c r="K223" i="41"/>
  <c r="L223" i="41"/>
  <c r="M223" i="41"/>
  <c r="N223" i="41"/>
  <c r="H224" i="41"/>
  <c r="I224" i="41"/>
  <c r="Q224" i="41" s="1"/>
  <c r="K224" i="41"/>
  <c r="L224" i="41"/>
  <c r="M224" i="41"/>
  <c r="N224" i="41"/>
  <c r="H225" i="41"/>
  <c r="I225" i="41"/>
  <c r="Q225" i="41" s="1"/>
  <c r="K225" i="41"/>
  <c r="L225" i="41"/>
  <c r="M225" i="41"/>
  <c r="N225" i="41"/>
  <c r="H226" i="41"/>
  <c r="I226" i="41"/>
  <c r="Q226" i="41" s="1"/>
  <c r="K226" i="41"/>
  <c r="L226" i="41"/>
  <c r="M226" i="41"/>
  <c r="N226" i="41"/>
  <c r="H227" i="41"/>
  <c r="I227" i="41"/>
  <c r="J227" i="41"/>
  <c r="K227" i="41"/>
  <c r="L227" i="41"/>
  <c r="M227" i="41"/>
  <c r="N227" i="41"/>
  <c r="H228" i="41"/>
  <c r="I228" i="41"/>
  <c r="J228" i="41"/>
  <c r="K228" i="41"/>
  <c r="L228" i="41"/>
  <c r="M228" i="41"/>
  <c r="N228" i="41"/>
  <c r="H229" i="41"/>
  <c r="I229" i="41"/>
  <c r="J229" i="41"/>
  <c r="K229" i="41"/>
  <c r="L229" i="41"/>
  <c r="M229" i="41"/>
  <c r="N229" i="41"/>
  <c r="H230" i="41"/>
  <c r="I230" i="41"/>
  <c r="Q230" i="41" s="1"/>
  <c r="K230" i="41"/>
  <c r="L230" i="41"/>
  <c r="M230" i="41"/>
  <c r="N230" i="41"/>
  <c r="H231" i="41"/>
  <c r="I231" i="41"/>
  <c r="J231" i="41"/>
  <c r="K231" i="41"/>
  <c r="L231" i="41"/>
  <c r="M231" i="41"/>
  <c r="N231" i="41"/>
  <c r="H232" i="41"/>
  <c r="I232" i="41"/>
  <c r="J232" i="41"/>
  <c r="K232" i="41"/>
  <c r="L232" i="41"/>
  <c r="M232" i="41"/>
  <c r="N232" i="41"/>
  <c r="H233" i="41"/>
  <c r="I233" i="41"/>
  <c r="J233" i="41"/>
  <c r="K233" i="41"/>
  <c r="L233" i="41"/>
  <c r="M233" i="41"/>
  <c r="N233" i="41"/>
  <c r="H234" i="41"/>
  <c r="I234" i="41"/>
  <c r="J234" i="41"/>
  <c r="K234" i="41"/>
  <c r="L234" i="41"/>
  <c r="M234" i="41"/>
  <c r="N234" i="41"/>
  <c r="H235" i="41"/>
  <c r="I235" i="41"/>
  <c r="Q235" i="41" s="1"/>
  <c r="K235" i="41"/>
  <c r="L235" i="41"/>
  <c r="M235" i="41"/>
  <c r="N235" i="41"/>
  <c r="H236" i="41"/>
  <c r="I236" i="41"/>
  <c r="Q236" i="41" s="1"/>
  <c r="K236" i="41"/>
  <c r="L236" i="41"/>
  <c r="M236" i="41"/>
  <c r="N236" i="41"/>
  <c r="H237" i="41"/>
  <c r="I237" i="41"/>
  <c r="Q237" i="41" s="1"/>
  <c r="K237" i="41"/>
  <c r="L237" i="41"/>
  <c r="M237" i="41"/>
  <c r="N237" i="41"/>
  <c r="H238" i="41"/>
  <c r="I238" i="41"/>
  <c r="Q238" i="41" s="1"/>
  <c r="K238" i="41"/>
  <c r="L238" i="41"/>
  <c r="M238" i="41"/>
  <c r="N238" i="41"/>
  <c r="H239" i="41"/>
  <c r="I239" i="41"/>
  <c r="Q239" i="41" s="1"/>
  <c r="K239" i="41"/>
  <c r="L239" i="41"/>
  <c r="M239" i="41"/>
  <c r="N239" i="41"/>
  <c r="H240" i="41"/>
  <c r="I240" i="41"/>
  <c r="J240" i="41"/>
  <c r="K240" i="41"/>
  <c r="L240" i="41"/>
  <c r="M240" i="41"/>
  <c r="N240" i="41"/>
  <c r="H241" i="41"/>
  <c r="I241" i="41"/>
  <c r="J241" i="41"/>
  <c r="K241" i="41"/>
  <c r="L241" i="41"/>
  <c r="M241" i="41"/>
  <c r="N241" i="41"/>
  <c r="H242" i="41"/>
  <c r="I242" i="41"/>
  <c r="J242" i="41"/>
  <c r="K242" i="41"/>
  <c r="L242" i="41"/>
  <c r="M242" i="41"/>
  <c r="N242" i="41"/>
  <c r="H243" i="41"/>
  <c r="I243" i="41"/>
  <c r="J243" i="41"/>
  <c r="K243" i="41"/>
  <c r="L243" i="41"/>
  <c r="M243" i="41"/>
  <c r="N243" i="41"/>
  <c r="H244" i="41"/>
  <c r="I244" i="41"/>
  <c r="J244" i="41"/>
  <c r="K244" i="41"/>
  <c r="L244" i="41"/>
  <c r="M244" i="41"/>
  <c r="N244" i="41"/>
  <c r="H245" i="41"/>
  <c r="I245" i="41"/>
  <c r="J245" i="41"/>
  <c r="K245" i="41"/>
  <c r="L245" i="41"/>
  <c r="M245" i="41"/>
  <c r="N245" i="41"/>
  <c r="H246" i="41"/>
  <c r="I246" i="41"/>
  <c r="J246" i="41"/>
  <c r="K246" i="41"/>
  <c r="L246" i="41"/>
  <c r="M246" i="41"/>
  <c r="N246" i="41"/>
  <c r="H247" i="41"/>
  <c r="I247" i="41"/>
  <c r="J247" i="41"/>
  <c r="K247" i="41"/>
  <c r="L247" i="41"/>
  <c r="M247" i="41"/>
  <c r="N247" i="41"/>
  <c r="H248" i="41"/>
  <c r="I248" i="41"/>
  <c r="J248" i="41"/>
  <c r="K248" i="41"/>
  <c r="L248" i="41"/>
  <c r="M248" i="41"/>
  <c r="N248" i="41"/>
  <c r="H249" i="41"/>
  <c r="I249" i="41"/>
  <c r="J249" i="41"/>
  <c r="K249" i="41"/>
  <c r="L249" i="41"/>
  <c r="M249" i="41"/>
  <c r="N249" i="41"/>
  <c r="H250" i="41"/>
  <c r="I250" i="41"/>
  <c r="J250" i="41"/>
  <c r="K250" i="41"/>
  <c r="L250" i="41"/>
  <c r="M250" i="41"/>
  <c r="N250" i="41"/>
  <c r="H253" i="41"/>
  <c r="I253" i="41"/>
  <c r="J253" i="41"/>
  <c r="K253" i="41"/>
  <c r="L253" i="41"/>
  <c r="M253" i="41"/>
  <c r="N253" i="41"/>
  <c r="H254" i="41"/>
  <c r="I254" i="41"/>
  <c r="J254" i="41"/>
  <c r="K254" i="41"/>
  <c r="L254" i="41"/>
  <c r="M254" i="41"/>
  <c r="N254" i="41"/>
  <c r="H255" i="41"/>
  <c r="I255" i="41"/>
  <c r="J255" i="41"/>
  <c r="K255" i="41"/>
  <c r="L255" i="41"/>
  <c r="M255" i="41"/>
  <c r="N255" i="41"/>
  <c r="H256" i="41"/>
  <c r="I256" i="41"/>
  <c r="J256" i="41"/>
  <c r="K256" i="41"/>
  <c r="L256" i="41"/>
  <c r="M256" i="41"/>
  <c r="N256" i="41"/>
  <c r="H257" i="41"/>
  <c r="I257" i="41"/>
  <c r="J257" i="41"/>
  <c r="K257" i="41"/>
  <c r="L257" i="41"/>
  <c r="M257" i="41"/>
  <c r="N257" i="41"/>
  <c r="H258" i="41"/>
  <c r="I258" i="41"/>
  <c r="Q258" i="41" s="1"/>
  <c r="K258" i="41"/>
  <c r="L258" i="41"/>
  <c r="M258" i="41"/>
  <c r="N258" i="41"/>
  <c r="H266" i="41"/>
  <c r="I266" i="41"/>
  <c r="Q266" i="41" s="1"/>
  <c r="K266" i="41"/>
  <c r="L266" i="41"/>
  <c r="M266" i="41"/>
  <c r="N266" i="41"/>
  <c r="H267" i="41"/>
  <c r="I267" i="41"/>
  <c r="Q267" i="41" s="1"/>
  <c r="K267" i="41"/>
  <c r="L267" i="41"/>
  <c r="M267" i="41"/>
  <c r="N267" i="41"/>
  <c r="H268" i="41"/>
  <c r="I268" i="41"/>
  <c r="J268" i="41"/>
  <c r="K268" i="41"/>
  <c r="L268" i="41"/>
  <c r="M268" i="41"/>
  <c r="N268" i="41"/>
  <c r="H269" i="41"/>
  <c r="I269" i="41"/>
  <c r="J269" i="41"/>
  <c r="K269" i="41"/>
  <c r="L269" i="41"/>
  <c r="M269" i="41"/>
  <c r="N269" i="41"/>
  <c r="H270" i="41"/>
  <c r="I270" i="41"/>
  <c r="J270" i="41"/>
  <c r="K270" i="41"/>
  <c r="L270" i="41"/>
  <c r="M270" i="41"/>
  <c r="N270" i="41"/>
  <c r="H271" i="41"/>
  <c r="I271" i="41"/>
  <c r="J271" i="41"/>
  <c r="K271" i="41"/>
  <c r="L271" i="41"/>
  <c r="M271" i="41"/>
  <c r="N271" i="41"/>
  <c r="H272" i="41"/>
  <c r="I272" i="41"/>
  <c r="Q272" i="41" s="1"/>
  <c r="K272" i="41"/>
  <c r="L272" i="41"/>
  <c r="M272" i="41"/>
  <c r="N272" i="41"/>
  <c r="H273" i="41"/>
  <c r="I273" i="41"/>
  <c r="Q273" i="41" s="1"/>
  <c r="K273" i="41"/>
  <c r="L273" i="41"/>
  <c r="M273" i="41"/>
  <c r="N273" i="41"/>
  <c r="H275" i="41"/>
  <c r="I275" i="41"/>
  <c r="Q275" i="41" s="1"/>
  <c r="K275" i="41"/>
  <c r="L275" i="41"/>
  <c r="M275" i="41"/>
  <c r="N275" i="41"/>
  <c r="H276" i="41"/>
  <c r="I276" i="41"/>
  <c r="Q276" i="41" s="1"/>
  <c r="K276" i="41"/>
  <c r="L276" i="41"/>
  <c r="M276" i="41"/>
  <c r="N276" i="41"/>
  <c r="H278" i="41"/>
  <c r="I278" i="41"/>
  <c r="J278" i="41"/>
  <c r="K278" i="41"/>
  <c r="L278" i="41"/>
  <c r="M278" i="41"/>
  <c r="N278" i="41"/>
  <c r="H279" i="41"/>
  <c r="I279" i="41"/>
  <c r="Q279" i="41" s="1"/>
  <c r="K279" i="41"/>
  <c r="L279" i="41"/>
  <c r="M279" i="41"/>
  <c r="N279" i="41"/>
  <c r="H280" i="41"/>
  <c r="I280" i="41"/>
  <c r="J280" i="41"/>
  <c r="K280" i="41"/>
  <c r="L280" i="41"/>
  <c r="M280" i="41"/>
  <c r="N280" i="41"/>
  <c r="H281" i="41"/>
  <c r="I281" i="41"/>
  <c r="Q281" i="41" s="1"/>
  <c r="K281" i="41"/>
  <c r="L281" i="41"/>
  <c r="M281" i="41"/>
  <c r="N281" i="41"/>
  <c r="H282" i="41"/>
  <c r="I282" i="41"/>
  <c r="J282" i="41"/>
  <c r="K282" i="41"/>
  <c r="L282" i="41"/>
  <c r="M282" i="41"/>
  <c r="N282" i="41"/>
  <c r="H283" i="41"/>
  <c r="I283" i="41"/>
  <c r="J283" i="41"/>
  <c r="K283" i="41"/>
  <c r="L283" i="41"/>
  <c r="M283" i="41"/>
  <c r="N283" i="41"/>
  <c r="H284" i="41"/>
  <c r="I284" i="41"/>
  <c r="J284" i="41"/>
  <c r="K284" i="41"/>
  <c r="L284" i="41"/>
  <c r="M284" i="41"/>
  <c r="N284" i="41"/>
  <c r="H285" i="41"/>
  <c r="I285" i="41"/>
  <c r="J285" i="41"/>
  <c r="K285" i="41"/>
  <c r="L285" i="41"/>
  <c r="M285" i="41"/>
  <c r="N285" i="41"/>
  <c r="H286" i="41"/>
  <c r="I286" i="41"/>
  <c r="J286" i="41"/>
  <c r="K286" i="41"/>
  <c r="L286" i="41"/>
  <c r="M286" i="41"/>
  <c r="N286" i="41"/>
  <c r="H287" i="41"/>
  <c r="I287" i="41"/>
  <c r="J287" i="41"/>
  <c r="K287" i="41"/>
  <c r="L287" i="41"/>
  <c r="M287" i="41"/>
  <c r="N287" i="41"/>
  <c r="H288" i="41"/>
  <c r="I288" i="41"/>
  <c r="J288" i="41"/>
  <c r="K288" i="41"/>
  <c r="L288" i="41"/>
  <c r="M288" i="41"/>
  <c r="N288" i="41"/>
  <c r="H289" i="41"/>
  <c r="I289" i="41"/>
  <c r="J289" i="41"/>
  <c r="K289" i="41"/>
  <c r="L289" i="41"/>
  <c r="M289" i="41"/>
  <c r="N289" i="41"/>
  <c r="H290" i="41"/>
  <c r="I290" i="41"/>
  <c r="J290" i="41"/>
  <c r="K290" i="41"/>
  <c r="L290" i="41"/>
  <c r="M290" i="41"/>
  <c r="N290" i="41"/>
  <c r="H291" i="41"/>
  <c r="I291" i="41"/>
  <c r="Q291" i="41" s="1"/>
  <c r="K291" i="41"/>
  <c r="L291" i="41"/>
  <c r="M291" i="41"/>
  <c r="N291" i="41"/>
  <c r="H292" i="41"/>
  <c r="I292" i="41"/>
  <c r="Q292" i="41" s="1"/>
  <c r="K292" i="41"/>
  <c r="L292" i="41"/>
  <c r="M292" i="41"/>
  <c r="N292" i="41"/>
  <c r="H293" i="41"/>
  <c r="I293" i="41"/>
  <c r="Q293" i="41" s="1"/>
  <c r="K293" i="41"/>
  <c r="L293" i="41"/>
  <c r="M293" i="41"/>
  <c r="N293" i="41"/>
  <c r="H294" i="41"/>
  <c r="I294" i="41"/>
  <c r="Q294" i="41" s="1"/>
  <c r="K294" i="41"/>
  <c r="L294" i="41"/>
  <c r="M294" i="41"/>
  <c r="N294" i="41"/>
  <c r="H295" i="41"/>
  <c r="I295" i="41"/>
  <c r="J295" i="41"/>
  <c r="K295" i="41"/>
  <c r="L295" i="41"/>
  <c r="M295" i="41"/>
  <c r="N295" i="41"/>
  <c r="H296" i="41"/>
  <c r="I296" i="41"/>
  <c r="Q296" i="41" s="1"/>
  <c r="K296" i="41"/>
  <c r="L296" i="41"/>
  <c r="M296" i="41"/>
  <c r="N296" i="41"/>
  <c r="H297" i="41"/>
  <c r="I297" i="41"/>
  <c r="Q297" i="41" s="1"/>
  <c r="K297" i="41"/>
  <c r="L297" i="41"/>
  <c r="M297" i="41"/>
  <c r="N297" i="41"/>
  <c r="H298" i="41"/>
  <c r="I298" i="41"/>
  <c r="Q298" i="41" s="1"/>
  <c r="K298" i="41"/>
  <c r="L298" i="41"/>
  <c r="M298" i="41"/>
  <c r="N298" i="41"/>
  <c r="H302" i="41"/>
  <c r="I302" i="41"/>
  <c r="Q302" i="41" s="1"/>
  <c r="K302" i="41"/>
  <c r="L302" i="41"/>
  <c r="M302" i="41"/>
  <c r="N302" i="41"/>
  <c r="H303" i="41"/>
  <c r="I303" i="41"/>
  <c r="Q303" i="41" s="1"/>
  <c r="K303" i="41"/>
  <c r="L303" i="41"/>
  <c r="M303" i="41"/>
  <c r="N303" i="41"/>
  <c r="H306" i="41"/>
  <c r="I306" i="41"/>
  <c r="Q306" i="41" s="1"/>
  <c r="K306" i="41"/>
  <c r="L306" i="41"/>
  <c r="M306" i="41"/>
  <c r="N306" i="41"/>
  <c r="H307" i="41"/>
  <c r="I307" i="41"/>
  <c r="Q307" i="41" s="1"/>
  <c r="K307" i="41"/>
  <c r="L307" i="41"/>
  <c r="M307" i="41"/>
  <c r="N307" i="41"/>
  <c r="H308" i="41"/>
  <c r="I308" i="41"/>
  <c r="Q308" i="41" s="1"/>
  <c r="K308" i="41"/>
  <c r="L308" i="41"/>
  <c r="M308" i="41"/>
  <c r="N308" i="41"/>
  <c r="H309" i="41"/>
  <c r="I309" i="41"/>
  <c r="Q309" i="41" s="1"/>
  <c r="K309" i="41"/>
  <c r="L309" i="41"/>
  <c r="M309" i="41"/>
  <c r="N309" i="41"/>
  <c r="H310" i="41"/>
  <c r="I310" i="41"/>
  <c r="Q310" i="41" s="1"/>
  <c r="K310" i="41"/>
  <c r="L310" i="41"/>
  <c r="M310" i="41"/>
  <c r="N310" i="41"/>
  <c r="H311" i="41"/>
  <c r="I311" i="41"/>
  <c r="Q311" i="41" s="1"/>
  <c r="K311" i="41"/>
  <c r="L311" i="41"/>
  <c r="M311" i="41"/>
  <c r="N311" i="41"/>
  <c r="H312" i="41"/>
  <c r="I312" i="41"/>
  <c r="J312" i="41"/>
  <c r="K312" i="41"/>
  <c r="L312" i="41"/>
  <c r="M312" i="41"/>
  <c r="N312" i="41"/>
  <c r="H313" i="41"/>
  <c r="I313" i="41"/>
  <c r="J313" i="41"/>
  <c r="K313" i="41"/>
  <c r="L313" i="41"/>
  <c r="M313" i="41"/>
  <c r="N313" i="41"/>
  <c r="H314" i="41"/>
  <c r="I314" i="41"/>
  <c r="J314" i="41"/>
  <c r="K314" i="41"/>
  <c r="L314" i="41"/>
  <c r="M314" i="41"/>
  <c r="N314" i="41"/>
  <c r="H315" i="41"/>
  <c r="I315" i="41"/>
  <c r="J315" i="41"/>
  <c r="K315" i="41"/>
  <c r="L315" i="41"/>
  <c r="M315" i="41"/>
  <c r="N315" i="41"/>
  <c r="H316" i="41"/>
  <c r="I316" i="41"/>
  <c r="J316" i="41"/>
  <c r="K316" i="41"/>
  <c r="L316" i="41"/>
  <c r="M316" i="41"/>
  <c r="N316" i="41"/>
  <c r="H317" i="41"/>
  <c r="I317" i="41"/>
  <c r="J317" i="41"/>
  <c r="K317" i="41"/>
  <c r="L317" i="41"/>
  <c r="M317" i="41"/>
  <c r="N317" i="41"/>
  <c r="H318" i="41"/>
  <c r="I318" i="41"/>
  <c r="J318" i="41"/>
  <c r="K318" i="41"/>
  <c r="L318" i="41"/>
  <c r="M318" i="41"/>
  <c r="N318" i="41"/>
  <c r="H319" i="41"/>
  <c r="I319" i="41"/>
  <c r="J319" i="41"/>
  <c r="K319" i="41"/>
  <c r="L319" i="41"/>
  <c r="M319" i="41"/>
  <c r="N319" i="41"/>
  <c r="H320" i="41"/>
  <c r="I320" i="41"/>
  <c r="J320" i="41"/>
  <c r="K320" i="41"/>
  <c r="L320" i="41"/>
  <c r="M320" i="41"/>
  <c r="N320" i="41"/>
  <c r="H322" i="41"/>
  <c r="I322" i="41"/>
  <c r="J322" i="41"/>
  <c r="K322" i="41"/>
  <c r="L322" i="41"/>
  <c r="M322" i="41"/>
  <c r="N322" i="41"/>
  <c r="H323" i="41"/>
  <c r="I323" i="41"/>
  <c r="J323" i="41"/>
  <c r="K323" i="41"/>
  <c r="L323" i="41"/>
  <c r="M323" i="41"/>
  <c r="N323" i="41"/>
  <c r="H324" i="41"/>
  <c r="I324" i="41"/>
  <c r="Q324" i="41" s="1"/>
  <c r="K324" i="41"/>
  <c r="L324" i="41"/>
  <c r="M324" i="41"/>
  <c r="N324" i="41"/>
  <c r="H325" i="41"/>
  <c r="I325" i="41"/>
  <c r="Q325" i="41" s="1"/>
  <c r="K325" i="41"/>
  <c r="L325" i="41"/>
  <c r="M325" i="41"/>
  <c r="N325" i="41"/>
  <c r="H326" i="41"/>
  <c r="I326" i="41"/>
  <c r="Q326" i="41" s="1"/>
  <c r="K326" i="41"/>
  <c r="L326" i="41"/>
  <c r="M326" i="41"/>
  <c r="N326" i="41"/>
  <c r="H327" i="41"/>
  <c r="I327" i="41"/>
  <c r="Q327" i="41" s="1"/>
  <c r="K327" i="41"/>
  <c r="L327" i="41"/>
  <c r="M327" i="41"/>
  <c r="N327" i="41"/>
  <c r="H328" i="41"/>
  <c r="I328" i="41"/>
  <c r="Q328" i="41" s="1"/>
  <c r="K328" i="41"/>
  <c r="L328" i="41"/>
  <c r="M328" i="41"/>
  <c r="N328" i="41"/>
  <c r="H329" i="41"/>
  <c r="I329" i="41"/>
  <c r="Q329" i="41" s="1"/>
  <c r="K329" i="41"/>
  <c r="L329" i="41"/>
  <c r="M329" i="41"/>
  <c r="N329" i="41"/>
  <c r="H330" i="41"/>
  <c r="I330" i="41"/>
  <c r="Q330" i="41" s="1"/>
  <c r="K330" i="41"/>
  <c r="L330" i="41"/>
  <c r="M330" i="41"/>
  <c r="N330" i="41"/>
  <c r="H331" i="41"/>
  <c r="I331" i="41"/>
  <c r="Q331" i="41" s="1"/>
  <c r="K331" i="41"/>
  <c r="L331" i="41"/>
  <c r="M331" i="41"/>
  <c r="N331" i="41"/>
  <c r="H332" i="41"/>
  <c r="I332" i="41"/>
  <c r="Q332" i="41" s="1"/>
  <c r="K332" i="41"/>
  <c r="L332" i="41"/>
  <c r="M332" i="41"/>
  <c r="N332" i="41"/>
  <c r="H334" i="41"/>
  <c r="I334" i="41"/>
  <c r="Q334" i="41" s="1"/>
  <c r="K334" i="41"/>
  <c r="L334" i="41"/>
  <c r="M334" i="41"/>
  <c r="N334" i="41"/>
  <c r="H335" i="41"/>
  <c r="I335" i="41"/>
  <c r="Q335" i="41" s="1"/>
  <c r="K335" i="41"/>
  <c r="L335" i="41"/>
  <c r="M335" i="41"/>
  <c r="N335" i="41"/>
  <c r="H336" i="41"/>
  <c r="I336" i="41"/>
  <c r="Q336" i="41" s="1"/>
  <c r="K336" i="41"/>
  <c r="L336" i="41"/>
  <c r="M336" i="41"/>
  <c r="N336" i="41"/>
  <c r="H337" i="41"/>
  <c r="I337" i="41"/>
  <c r="Q337" i="41" s="1"/>
  <c r="K337" i="41"/>
  <c r="L337" i="41"/>
  <c r="M337" i="41"/>
  <c r="N337" i="41"/>
  <c r="H338" i="41"/>
  <c r="I338" i="41"/>
  <c r="Q338" i="41" s="1"/>
  <c r="K338" i="41"/>
  <c r="L338" i="41"/>
  <c r="M338" i="41"/>
  <c r="N338" i="41"/>
  <c r="H339" i="41"/>
  <c r="I339" i="41"/>
  <c r="Q339" i="41" s="1"/>
  <c r="K339" i="41"/>
  <c r="L339" i="41"/>
  <c r="M339" i="41"/>
  <c r="N339" i="41"/>
  <c r="H340" i="41"/>
  <c r="I340" i="41"/>
  <c r="J340" i="41"/>
  <c r="K340" i="41"/>
  <c r="L340" i="41"/>
  <c r="M340" i="41"/>
  <c r="N340" i="41"/>
  <c r="H341" i="41"/>
  <c r="I341" i="41"/>
  <c r="J341" i="41"/>
  <c r="K341" i="41"/>
  <c r="L341" i="41"/>
  <c r="M341" i="41"/>
  <c r="N341" i="41"/>
  <c r="H342" i="41"/>
  <c r="I342" i="41"/>
  <c r="J342" i="41"/>
  <c r="K342" i="41"/>
  <c r="L342" i="41"/>
  <c r="M342" i="41"/>
  <c r="N342" i="41"/>
  <c r="H343" i="41"/>
  <c r="I343" i="41"/>
  <c r="J343" i="41"/>
  <c r="K343" i="41"/>
  <c r="L343" i="41"/>
  <c r="M343" i="41"/>
  <c r="N343" i="41"/>
  <c r="H344" i="41"/>
  <c r="I344" i="41"/>
  <c r="J344" i="41"/>
  <c r="K344" i="41"/>
  <c r="L344" i="41"/>
  <c r="M344" i="41"/>
  <c r="N344" i="41"/>
  <c r="H345" i="41"/>
  <c r="I345" i="41"/>
  <c r="J345" i="41"/>
  <c r="K345" i="41"/>
  <c r="L345" i="41"/>
  <c r="M345" i="41"/>
  <c r="N345" i="41"/>
  <c r="H346" i="41"/>
  <c r="I346" i="41"/>
  <c r="J346" i="41"/>
  <c r="K346" i="41"/>
  <c r="L346" i="41"/>
  <c r="M346" i="41"/>
  <c r="N346" i="41"/>
  <c r="H347" i="41"/>
  <c r="I347" i="41"/>
  <c r="J347" i="41"/>
  <c r="K347" i="41"/>
  <c r="L347" i="41"/>
  <c r="M347" i="41"/>
  <c r="N347" i="41"/>
  <c r="H348" i="41"/>
  <c r="I348" i="41"/>
  <c r="J348" i="41"/>
  <c r="K348" i="41"/>
  <c r="L348" i="41"/>
  <c r="M348" i="41"/>
  <c r="N348" i="41"/>
  <c r="H349" i="41"/>
  <c r="I349" i="41"/>
  <c r="J349" i="41"/>
  <c r="K349" i="41"/>
  <c r="L349" i="41"/>
  <c r="M349" i="41"/>
  <c r="N349" i="41"/>
  <c r="H350" i="41"/>
  <c r="I350" i="41"/>
  <c r="J350" i="41"/>
  <c r="K350" i="41"/>
  <c r="L350" i="41"/>
  <c r="M350" i="41"/>
  <c r="N350" i="41"/>
  <c r="H362" i="41"/>
  <c r="I362" i="41"/>
  <c r="J362" i="41"/>
  <c r="K362" i="41"/>
  <c r="L362" i="41"/>
  <c r="M362" i="41"/>
  <c r="N362" i="41"/>
  <c r="H363" i="41"/>
  <c r="I363" i="41"/>
  <c r="J363" i="41"/>
  <c r="K363" i="41"/>
  <c r="L363" i="41"/>
  <c r="M363" i="41"/>
  <c r="N363" i="41"/>
  <c r="H364" i="41"/>
  <c r="I364" i="41"/>
  <c r="J364" i="41"/>
  <c r="K364" i="41"/>
  <c r="L364" i="41"/>
  <c r="M364" i="41"/>
  <c r="N364" i="41"/>
  <c r="H365" i="41"/>
  <c r="I365" i="41"/>
  <c r="J365" i="41"/>
  <c r="K365" i="41"/>
  <c r="L365" i="41"/>
  <c r="M365" i="41"/>
  <c r="N365" i="41"/>
  <c r="H366" i="41"/>
  <c r="I366" i="41"/>
  <c r="J366" i="41"/>
  <c r="K366" i="41"/>
  <c r="L366" i="41"/>
  <c r="M366" i="41"/>
  <c r="N366" i="41"/>
  <c r="H367" i="41"/>
  <c r="I367" i="41"/>
  <c r="J367" i="41"/>
  <c r="K367" i="41"/>
  <c r="L367" i="41"/>
  <c r="M367" i="41"/>
  <c r="N367" i="41"/>
  <c r="H368" i="41"/>
  <c r="I368" i="41"/>
  <c r="J368" i="41"/>
  <c r="K368" i="41"/>
  <c r="L368" i="41"/>
  <c r="M368" i="41"/>
  <c r="N368" i="41"/>
  <c r="H369" i="41"/>
  <c r="I369" i="41"/>
  <c r="J369" i="41"/>
  <c r="K369" i="41"/>
  <c r="L369" i="41"/>
  <c r="M369" i="41"/>
  <c r="N369" i="41"/>
  <c r="H373" i="41"/>
  <c r="I373" i="41"/>
  <c r="J373" i="41"/>
  <c r="K373" i="41"/>
  <c r="L373" i="41"/>
  <c r="M373" i="41"/>
  <c r="N373" i="41"/>
  <c r="H377" i="41"/>
  <c r="I377" i="41"/>
  <c r="J377" i="41"/>
  <c r="K377" i="41"/>
  <c r="L377" i="41"/>
  <c r="M377" i="41"/>
  <c r="N377" i="41"/>
  <c r="H378" i="41"/>
  <c r="I378" i="41"/>
  <c r="J378" i="41"/>
  <c r="K378" i="41"/>
  <c r="L378" i="41"/>
  <c r="M378" i="41"/>
  <c r="N378" i="41"/>
  <c r="H379" i="41"/>
  <c r="I379" i="41"/>
  <c r="J379" i="41"/>
  <c r="K379" i="41"/>
  <c r="L379" i="41"/>
  <c r="M379" i="41"/>
  <c r="N379" i="41"/>
  <c r="H380" i="41"/>
  <c r="I380" i="41"/>
  <c r="J380" i="41"/>
  <c r="K380" i="41"/>
  <c r="L380" i="41"/>
  <c r="M380" i="41"/>
  <c r="N380" i="41"/>
  <c r="H381" i="41"/>
  <c r="I381" i="41"/>
  <c r="J381" i="41"/>
  <c r="K381" i="41"/>
  <c r="L381" i="41"/>
  <c r="M381" i="41"/>
  <c r="N381" i="41"/>
  <c r="H382" i="41"/>
  <c r="I382" i="41"/>
  <c r="J382" i="41"/>
  <c r="K382" i="41"/>
  <c r="L382" i="41"/>
  <c r="M382" i="41"/>
  <c r="N382" i="41"/>
  <c r="H383" i="41"/>
  <c r="I383" i="41"/>
  <c r="J383" i="41"/>
  <c r="K383" i="41"/>
  <c r="L383" i="41"/>
  <c r="M383" i="41"/>
  <c r="N383" i="41"/>
  <c r="H384" i="41"/>
  <c r="I384" i="41"/>
  <c r="J384" i="41"/>
  <c r="K384" i="41"/>
  <c r="L384" i="41"/>
  <c r="M384" i="41"/>
  <c r="N384" i="41"/>
  <c r="H385" i="41"/>
  <c r="I385" i="41"/>
  <c r="J385" i="41"/>
  <c r="K385" i="41"/>
  <c r="L385" i="41"/>
  <c r="M385" i="41"/>
  <c r="N385" i="41"/>
  <c r="H386" i="41"/>
  <c r="I386" i="41"/>
  <c r="J386" i="41"/>
  <c r="K386" i="41"/>
  <c r="L386" i="41"/>
  <c r="M386" i="41"/>
  <c r="N386" i="41"/>
  <c r="H387" i="41"/>
  <c r="I387" i="41"/>
  <c r="J387" i="41"/>
  <c r="K387" i="41"/>
  <c r="L387" i="41"/>
  <c r="M387" i="41"/>
  <c r="N387" i="41"/>
  <c r="H388" i="41"/>
  <c r="I388" i="41"/>
  <c r="J388" i="41"/>
  <c r="K388" i="41"/>
  <c r="L388" i="41"/>
  <c r="M388" i="41"/>
  <c r="N388" i="41"/>
  <c r="H389" i="41"/>
  <c r="I389" i="41"/>
  <c r="J389" i="41"/>
  <c r="K389" i="41"/>
  <c r="L389" i="41"/>
  <c r="M389" i="41"/>
  <c r="N389" i="41"/>
  <c r="H390" i="41"/>
  <c r="I390" i="41"/>
  <c r="Q390" i="41" s="1"/>
  <c r="K390" i="41"/>
  <c r="L390" i="41"/>
  <c r="M390" i="41"/>
  <c r="N390" i="41"/>
  <c r="H391" i="41"/>
  <c r="I391" i="41"/>
  <c r="Q391" i="41" s="1"/>
  <c r="K391" i="41"/>
  <c r="L391" i="41"/>
  <c r="M391" i="41"/>
  <c r="N391" i="41"/>
  <c r="H392" i="41"/>
  <c r="I392" i="41"/>
  <c r="Q392" i="41" s="1"/>
  <c r="K392" i="41"/>
  <c r="L392" i="41"/>
  <c r="M392" i="41"/>
  <c r="N392" i="41"/>
  <c r="H393" i="41"/>
  <c r="I393" i="41"/>
  <c r="J393" i="41"/>
  <c r="K393" i="41"/>
  <c r="L393" i="41"/>
  <c r="M393" i="41"/>
  <c r="N393" i="41"/>
  <c r="H394" i="41"/>
  <c r="I394" i="41"/>
  <c r="J394" i="41"/>
  <c r="K394" i="41"/>
  <c r="L394" i="41"/>
  <c r="M394" i="41"/>
  <c r="N394" i="41"/>
  <c r="H395" i="41"/>
  <c r="I395" i="41"/>
  <c r="J395" i="41"/>
  <c r="K395" i="41"/>
  <c r="L395" i="41"/>
  <c r="M395" i="41"/>
  <c r="N395" i="41"/>
  <c r="H396" i="41"/>
  <c r="I396" i="41"/>
  <c r="Q396" i="41" s="1"/>
  <c r="K396" i="41"/>
  <c r="L396" i="41"/>
  <c r="M396" i="41"/>
  <c r="N396" i="41"/>
  <c r="H397" i="41"/>
  <c r="I397" i="41"/>
  <c r="Q397" i="41" s="1"/>
  <c r="K397" i="41"/>
  <c r="L397" i="41"/>
  <c r="M397" i="41"/>
  <c r="N397" i="41"/>
  <c r="H398" i="41"/>
  <c r="I398" i="41"/>
  <c r="Q398" i="41" s="1"/>
  <c r="K398" i="41"/>
  <c r="L398" i="41"/>
  <c r="M398" i="41"/>
  <c r="N398" i="41"/>
  <c r="H399" i="41"/>
  <c r="I399" i="41"/>
  <c r="Q399" i="41" s="1"/>
  <c r="K399" i="41"/>
  <c r="L399" i="41"/>
  <c r="M399" i="41"/>
  <c r="N399" i="41"/>
  <c r="H400" i="41"/>
  <c r="I400" i="41"/>
  <c r="Q400" i="41" s="1"/>
  <c r="K400" i="41"/>
  <c r="L400" i="41"/>
  <c r="M400" i="41"/>
  <c r="N400" i="41"/>
  <c r="H401" i="41"/>
  <c r="I401" i="41"/>
  <c r="Q401" i="41" s="1"/>
  <c r="K401" i="41"/>
  <c r="L401" i="41"/>
  <c r="M401" i="41"/>
  <c r="N401" i="41"/>
  <c r="H402" i="41"/>
  <c r="I402" i="41"/>
  <c r="J402" i="41"/>
  <c r="K402" i="41"/>
  <c r="L402" i="41"/>
  <c r="M402" i="41"/>
  <c r="N402" i="41"/>
  <c r="H404" i="41"/>
  <c r="I404" i="41"/>
  <c r="J404" i="41"/>
  <c r="K404" i="41"/>
  <c r="L404" i="41"/>
  <c r="M404" i="41"/>
  <c r="N404" i="41"/>
  <c r="H405" i="41"/>
  <c r="I405" i="41"/>
  <c r="J405" i="41"/>
  <c r="K405" i="41"/>
  <c r="L405" i="41"/>
  <c r="M405" i="41"/>
  <c r="N405" i="41"/>
  <c r="H406" i="41"/>
  <c r="I406" i="41"/>
  <c r="J406" i="41"/>
  <c r="K406" i="41"/>
  <c r="L406" i="41"/>
  <c r="M406" i="41"/>
  <c r="N406" i="41"/>
  <c r="H407" i="41"/>
  <c r="I407" i="41"/>
  <c r="J407" i="41"/>
  <c r="K407" i="41"/>
  <c r="L407" i="41"/>
  <c r="M407" i="41"/>
  <c r="N407" i="41"/>
  <c r="H408" i="41"/>
  <c r="I408" i="41"/>
  <c r="J408" i="41"/>
  <c r="K408" i="41"/>
  <c r="L408" i="41"/>
  <c r="M408" i="41"/>
  <c r="N408" i="41"/>
  <c r="H412" i="41"/>
  <c r="I412" i="41"/>
  <c r="J412" i="41"/>
  <c r="K412" i="41"/>
  <c r="L412" i="41"/>
  <c r="M412" i="41"/>
  <c r="N412" i="41"/>
  <c r="H413" i="41"/>
  <c r="I413" i="41"/>
  <c r="J413" i="41"/>
  <c r="K413" i="41"/>
  <c r="L413" i="41"/>
  <c r="M413" i="41"/>
  <c r="N413" i="41"/>
  <c r="H415" i="41"/>
  <c r="I415" i="41"/>
  <c r="J415" i="41"/>
  <c r="K415" i="41"/>
  <c r="L415" i="41"/>
  <c r="M415" i="41"/>
  <c r="N415" i="41"/>
  <c r="H416" i="41"/>
  <c r="I416" i="41"/>
  <c r="Q416" i="41" s="1"/>
  <c r="K416" i="41"/>
  <c r="L416" i="41"/>
  <c r="M416" i="41"/>
  <c r="N416" i="41"/>
  <c r="H421" i="41"/>
  <c r="I421" i="41"/>
  <c r="J421" i="41"/>
  <c r="K421" i="41"/>
  <c r="L421" i="41"/>
  <c r="M421" i="41"/>
  <c r="N421" i="41"/>
  <c r="H425" i="41"/>
  <c r="I425" i="41"/>
  <c r="J425" i="41"/>
  <c r="K425" i="41"/>
  <c r="L425" i="41"/>
  <c r="M425" i="41"/>
  <c r="N425" i="41"/>
  <c r="H426" i="41"/>
  <c r="I426" i="41"/>
  <c r="Q426" i="41" s="1"/>
  <c r="K426" i="41"/>
  <c r="L426" i="41"/>
  <c r="M426" i="41"/>
  <c r="N426" i="41"/>
  <c r="H427" i="41"/>
  <c r="I427" i="41"/>
  <c r="J427" i="41"/>
  <c r="K427" i="41"/>
  <c r="L427" i="41"/>
  <c r="M427" i="41"/>
  <c r="N427" i="41"/>
  <c r="H428" i="41"/>
  <c r="I428" i="41"/>
  <c r="J428" i="41"/>
  <c r="K428" i="41"/>
  <c r="L428" i="41"/>
  <c r="M428" i="41"/>
  <c r="N428" i="41"/>
  <c r="H434" i="41"/>
  <c r="I434" i="41"/>
  <c r="J434" i="41"/>
  <c r="K434" i="41"/>
  <c r="L434" i="41"/>
  <c r="M434" i="41"/>
  <c r="N434" i="41"/>
  <c r="H435" i="41"/>
  <c r="I435" i="41"/>
  <c r="J435" i="41"/>
  <c r="K435" i="41"/>
  <c r="L435" i="41"/>
  <c r="M435" i="41"/>
  <c r="N435" i="41"/>
  <c r="H436" i="41"/>
  <c r="I436" i="41"/>
  <c r="J436" i="41"/>
  <c r="K436" i="41"/>
  <c r="L436" i="41"/>
  <c r="M436" i="41"/>
  <c r="N436" i="41"/>
  <c r="H440" i="41"/>
  <c r="I440" i="41"/>
  <c r="J440" i="41"/>
  <c r="K440" i="41"/>
  <c r="L440" i="41"/>
  <c r="M440" i="41"/>
  <c r="N440" i="41"/>
  <c r="H441" i="41"/>
  <c r="I441" i="41"/>
  <c r="J441" i="41"/>
  <c r="K441" i="41"/>
  <c r="L441" i="41"/>
  <c r="M441" i="41"/>
  <c r="N441" i="41"/>
  <c r="H442" i="41"/>
  <c r="I442" i="41"/>
  <c r="J442" i="41"/>
  <c r="K442" i="41"/>
  <c r="L442" i="41"/>
  <c r="M442" i="41"/>
  <c r="N442" i="41"/>
  <c r="H443" i="41"/>
  <c r="I443" i="41"/>
  <c r="J443" i="41"/>
  <c r="K443" i="41"/>
  <c r="L443" i="41"/>
  <c r="M443" i="41"/>
  <c r="N443" i="41"/>
  <c r="H444" i="41"/>
  <c r="I444" i="41"/>
  <c r="J444" i="41"/>
  <c r="K444" i="41"/>
  <c r="L444" i="41"/>
  <c r="M444" i="41"/>
  <c r="N444" i="41"/>
  <c r="H445" i="41"/>
  <c r="I445" i="41"/>
  <c r="J445" i="41"/>
  <c r="K445" i="41"/>
  <c r="L445" i="41"/>
  <c r="M445" i="41"/>
  <c r="N445" i="41"/>
  <c r="H447" i="41"/>
  <c r="I447" i="41"/>
  <c r="J447" i="41"/>
  <c r="K447" i="41"/>
  <c r="L447" i="41"/>
  <c r="M447" i="41"/>
  <c r="N447" i="41"/>
  <c r="H448" i="41"/>
  <c r="I448" i="41"/>
  <c r="J448" i="41"/>
  <c r="K448" i="41"/>
  <c r="L448" i="41"/>
  <c r="M448" i="41"/>
  <c r="N448" i="41"/>
  <c r="H449" i="41"/>
  <c r="I449" i="41"/>
  <c r="J449" i="41"/>
  <c r="K449" i="41"/>
  <c r="L449" i="41"/>
  <c r="M449" i="41"/>
  <c r="N449" i="41"/>
  <c r="H450" i="41"/>
  <c r="I450" i="41"/>
  <c r="J450" i="41"/>
  <c r="K450" i="41"/>
  <c r="L450" i="41"/>
  <c r="M450" i="41"/>
  <c r="N450" i="41"/>
  <c r="H451" i="41"/>
  <c r="I451" i="41"/>
  <c r="J451" i="41"/>
  <c r="K451" i="41"/>
  <c r="L451" i="41"/>
  <c r="M451" i="41"/>
  <c r="N451" i="41"/>
  <c r="H452" i="41"/>
  <c r="I452" i="41"/>
  <c r="J452" i="41"/>
  <c r="K452" i="41"/>
  <c r="L452" i="41"/>
  <c r="M452" i="41"/>
  <c r="N452" i="41"/>
  <c r="H453" i="41"/>
  <c r="I453" i="41"/>
  <c r="J453" i="41"/>
  <c r="K453" i="41"/>
  <c r="L453" i="41"/>
  <c r="M453" i="41"/>
  <c r="N453" i="41"/>
  <c r="H456" i="41"/>
  <c r="I456" i="41"/>
  <c r="J456" i="41"/>
  <c r="K456" i="41"/>
  <c r="L456" i="41"/>
  <c r="M456" i="41"/>
  <c r="N456" i="41"/>
  <c r="H457" i="41"/>
  <c r="I457" i="41"/>
  <c r="J457" i="41"/>
  <c r="K457" i="41"/>
  <c r="L457" i="41"/>
  <c r="M457" i="41"/>
  <c r="N457" i="41"/>
  <c r="H458" i="41"/>
  <c r="I458" i="41"/>
  <c r="J458" i="41"/>
  <c r="K458" i="41"/>
  <c r="L458" i="41"/>
  <c r="M458" i="41"/>
  <c r="N458" i="41"/>
  <c r="H459" i="41"/>
  <c r="I459" i="41"/>
  <c r="J459" i="41"/>
  <c r="K459" i="41"/>
  <c r="L459" i="41"/>
  <c r="M459" i="41"/>
  <c r="N459" i="41"/>
  <c r="H460" i="41"/>
  <c r="I460" i="41"/>
  <c r="J460" i="41"/>
  <c r="K460" i="41"/>
  <c r="L460" i="41"/>
  <c r="M460" i="41"/>
  <c r="N460" i="41"/>
  <c r="H461" i="41"/>
  <c r="I461" i="41"/>
  <c r="J461" i="41"/>
  <c r="K461" i="41"/>
  <c r="L461" i="41"/>
  <c r="M461" i="41"/>
  <c r="N461" i="41"/>
  <c r="H462" i="41"/>
  <c r="I462" i="41"/>
  <c r="Q462" i="41" s="1"/>
  <c r="K462" i="41"/>
  <c r="L462" i="41"/>
  <c r="M462" i="41"/>
  <c r="N462" i="41"/>
  <c r="H463" i="41"/>
  <c r="I463" i="41"/>
  <c r="J463" i="41"/>
  <c r="K463" i="41"/>
  <c r="L463" i="41"/>
  <c r="M463" i="41"/>
  <c r="N463" i="41"/>
  <c r="H464" i="41"/>
  <c r="I464" i="41"/>
  <c r="J464" i="41"/>
  <c r="K464" i="41"/>
  <c r="L464" i="41"/>
  <c r="M464" i="41"/>
  <c r="N464" i="41"/>
  <c r="H465" i="41"/>
  <c r="I465" i="41"/>
  <c r="J465" i="41"/>
  <c r="K465" i="41"/>
  <c r="L465" i="41"/>
  <c r="M465" i="41"/>
  <c r="N465" i="41"/>
  <c r="H466" i="41"/>
  <c r="I466" i="41"/>
  <c r="J466" i="41"/>
  <c r="K466" i="41"/>
  <c r="L466" i="41"/>
  <c r="M466" i="41"/>
  <c r="N466" i="41"/>
  <c r="H467" i="41"/>
  <c r="I467" i="41"/>
  <c r="J467" i="41"/>
  <c r="K467" i="41"/>
  <c r="L467" i="41"/>
  <c r="M467" i="41"/>
  <c r="N467" i="41"/>
  <c r="H468" i="41"/>
  <c r="I468" i="41"/>
  <c r="Q468" i="41" s="1"/>
  <c r="K468" i="41"/>
  <c r="L468" i="41"/>
  <c r="M468" i="41"/>
  <c r="N468" i="41"/>
  <c r="H469" i="41"/>
  <c r="I469" i="41"/>
  <c r="Q469" i="41" s="1"/>
  <c r="K469" i="41"/>
  <c r="L469" i="41"/>
  <c r="M469" i="41"/>
  <c r="N469" i="41"/>
  <c r="H470" i="41"/>
  <c r="I470" i="41"/>
  <c r="Q470" i="41" s="1"/>
  <c r="K470" i="41"/>
  <c r="L470" i="41"/>
  <c r="M470" i="41"/>
  <c r="N470" i="41"/>
  <c r="H471" i="41"/>
  <c r="I471" i="41"/>
  <c r="Q471" i="41" s="1"/>
  <c r="K471" i="41"/>
  <c r="L471" i="41"/>
  <c r="M471" i="41"/>
  <c r="N471" i="41"/>
  <c r="H472" i="41"/>
  <c r="I472" i="41"/>
  <c r="Q472" i="41" s="1"/>
  <c r="K472" i="41"/>
  <c r="L472" i="41"/>
  <c r="M472" i="41"/>
  <c r="N472" i="41"/>
  <c r="H473" i="41"/>
  <c r="I473" i="41"/>
  <c r="J473" i="41"/>
  <c r="K473" i="41"/>
  <c r="L473" i="41"/>
  <c r="M473" i="41"/>
  <c r="N473" i="41"/>
  <c r="H474" i="41"/>
  <c r="I474" i="41"/>
  <c r="J474" i="41"/>
  <c r="K474" i="41"/>
  <c r="L474" i="41"/>
  <c r="M474" i="41"/>
  <c r="N474" i="41"/>
  <c r="H475" i="41"/>
  <c r="I475" i="41"/>
  <c r="Q475" i="41" s="1"/>
  <c r="K475" i="41"/>
  <c r="L475" i="41"/>
  <c r="M475" i="41"/>
  <c r="N475" i="41"/>
  <c r="H476" i="41"/>
  <c r="I476" i="41"/>
  <c r="Q476" i="41" s="1"/>
  <c r="K476" i="41"/>
  <c r="L476" i="41"/>
  <c r="M476" i="41"/>
  <c r="N476" i="41"/>
  <c r="H477" i="41"/>
  <c r="I477" i="41"/>
  <c r="Q477" i="41" s="1"/>
  <c r="K477" i="41"/>
  <c r="L477" i="41"/>
  <c r="M477" i="41"/>
  <c r="N477" i="41"/>
  <c r="H478" i="41"/>
  <c r="I478" i="41"/>
  <c r="Q478" i="41" s="1"/>
  <c r="K478" i="41"/>
  <c r="L478" i="41"/>
  <c r="M478" i="41"/>
  <c r="N478" i="41"/>
  <c r="H479" i="41"/>
  <c r="I479" i="41"/>
  <c r="Q479" i="41" s="1"/>
  <c r="K479" i="41"/>
  <c r="L479" i="41"/>
  <c r="M479" i="41"/>
  <c r="N479" i="41"/>
  <c r="H480" i="41"/>
  <c r="I480" i="41"/>
  <c r="J480" i="41"/>
  <c r="K480" i="41"/>
  <c r="L480" i="41"/>
  <c r="M480" i="41"/>
  <c r="N480" i="41"/>
  <c r="H481" i="41"/>
  <c r="I481" i="41"/>
  <c r="J481" i="41"/>
  <c r="K481" i="41"/>
  <c r="L481" i="41"/>
  <c r="M481" i="41"/>
  <c r="N481" i="41"/>
  <c r="H482" i="41"/>
  <c r="I482" i="41"/>
  <c r="J482" i="41"/>
  <c r="K482" i="41"/>
  <c r="L482" i="41"/>
  <c r="M482" i="41"/>
  <c r="N482" i="41"/>
  <c r="H483" i="41"/>
  <c r="I483" i="41"/>
  <c r="J483" i="41"/>
  <c r="K483" i="41"/>
  <c r="L483" i="41"/>
  <c r="M483" i="41"/>
  <c r="N483" i="41"/>
  <c r="H484" i="41"/>
  <c r="I484" i="41"/>
  <c r="J484" i="41"/>
  <c r="K484" i="41"/>
  <c r="L484" i="41"/>
  <c r="M484" i="41"/>
  <c r="N484" i="41"/>
  <c r="H485" i="41"/>
  <c r="I485" i="41"/>
  <c r="Q485" i="41" s="1"/>
  <c r="K485" i="41"/>
  <c r="L485" i="41"/>
  <c r="M485" i="41"/>
  <c r="N485" i="41"/>
  <c r="H486" i="41"/>
  <c r="I486" i="41"/>
  <c r="Q486" i="41" s="1"/>
  <c r="K486" i="41"/>
  <c r="L486" i="41"/>
  <c r="M486" i="41"/>
  <c r="N486" i="41"/>
  <c r="H488" i="41"/>
  <c r="I488" i="41"/>
  <c r="Q488" i="41" s="1"/>
  <c r="K488" i="41"/>
  <c r="L488" i="41"/>
  <c r="M488" i="41"/>
  <c r="N488" i="41"/>
  <c r="H489" i="41"/>
  <c r="I489" i="41"/>
  <c r="Q489" i="41" s="1"/>
  <c r="K489" i="41"/>
  <c r="L489" i="41"/>
  <c r="M489" i="41"/>
  <c r="N489" i="41"/>
  <c r="H490" i="41"/>
  <c r="I490" i="41"/>
  <c r="Q490" i="41" s="1"/>
  <c r="K490" i="41"/>
  <c r="L490" i="41"/>
  <c r="M490" i="41"/>
  <c r="N490" i="41"/>
  <c r="H491" i="41"/>
  <c r="I491" i="41"/>
  <c r="Q491" i="41" s="1"/>
  <c r="K491" i="41"/>
  <c r="L491" i="41"/>
  <c r="M491" i="41"/>
  <c r="N491" i="41"/>
  <c r="H494" i="41"/>
  <c r="I494" i="41"/>
  <c r="Q494" i="41" s="1"/>
  <c r="K494" i="41"/>
  <c r="L494" i="41"/>
  <c r="M494" i="41"/>
  <c r="N494" i="41"/>
  <c r="H495" i="41"/>
  <c r="I495" i="41"/>
  <c r="Q495" i="41" s="1"/>
  <c r="K495" i="41"/>
  <c r="L495" i="41"/>
  <c r="M495" i="41"/>
  <c r="N495" i="41"/>
  <c r="H496" i="41"/>
  <c r="I496" i="41"/>
  <c r="Q496" i="41" s="1"/>
  <c r="K496" i="41"/>
  <c r="L496" i="41"/>
  <c r="M496" i="41"/>
  <c r="N496" i="41"/>
  <c r="H497" i="41"/>
  <c r="I497" i="41"/>
  <c r="J497" i="41"/>
  <c r="K497" i="41"/>
  <c r="L497" i="41"/>
  <c r="M497" i="41"/>
  <c r="N497" i="41"/>
  <c r="H498" i="41"/>
  <c r="I498" i="41"/>
  <c r="J498" i="41"/>
  <c r="K498" i="41"/>
  <c r="L498" i="41"/>
  <c r="M498" i="41"/>
  <c r="N498" i="41"/>
  <c r="H499" i="41"/>
  <c r="I499" i="41"/>
  <c r="Q499" i="41" s="1"/>
  <c r="L499" i="41"/>
  <c r="M499" i="41"/>
  <c r="N499" i="41"/>
  <c r="H500" i="41"/>
  <c r="I500" i="41"/>
  <c r="Q500" i="41" s="1"/>
  <c r="L500" i="41"/>
  <c r="M500" i="41"/>
  <c r="N500" i="41"/>
  <c r="H501" i="41"/>
  <c r="I501" i="41"/>
  <c r="Q501" i="41" s="1"/>
  <c r="L501" i="41"/>
  <c r="M501" i="41"/>
  <c r="N501" i="41"/>
  <c r="H502" i="41"/>
  <c r="I502" i="41"/>
  <c r="Q502" i="41" s="1"/>
  <c r="L502" i="41"/>
  <c r="M502" i="41"/>
  <c r="N502" i="41"/>
  <c r="H503" i="41"/>
  <c r="I503" i="41"/>
  <c r="Q503" i="41" s="1"/>
  <c r="L503" i="41"/>
  <c r="M503" i="41"/>
  <c r="N503" i="41"/>
  <c r="H504" i="41"/>
  <c r="I504" i="41"/>
  <c r="Q504" i="41" s="1"/>
  <c r="L504" i="41"/>
  <c r="M504" i="41"/>
  <c r="N504" i="41"/>
  <c r="H505" i="41"/>
  <c r="I505" i="41"/>
  <c r="Q505" i="41" s="1"/>
  <c r="L505" i="41"/>
  <c r="M505" i="41"/>
  <c r="N505" i="41"/>
  <c r="H506" i="41"/>
  <c r="I506" i="41"/>
  <c r="Q506" i="41" s="1"/>
  <c r="L506" i="41"/>
  <c r="M506" i="41"/>
  <c r="N506" i="41"/>
  <c r="H507" i="41"/>
  <c r="I507" i="41"/>
  <c r="Q507" i="41" s="1"/>
  <c r="L507" i="41"/>
  <c r="M507" i="41"/>
  <c r="N507" i="41"/>
  <c r="H508" i="41"/>
  <c r="I508" i="41"/>
  <c r="Q508" i="41" s="1"/>
  <c r="L508" i="41"/>
  <c r="M508" i="41"/>
  <c r="N508" i="41"/>
  <c r="H509" i="41"/>
  <c r="I509" i="41"/>
  <c r="Q509" i="41" s="1"/>
  <c r="L509" i="41"/>
  <c r="M509" i="41"/>
  <c r="N509" i="41"/>
  <c r="H510" i="41"/>
  <c r="I510" i="41"/>
  <c r="Q510" i="41" s="1"/>
  <c r="L510" i="41"/>
  <c r="M510" i="41"/>
  <c r="N510" i="41"/>
  <c r="H511" i="41"/>
  <c r="I511" i="41"/>
  <c r="Q511" i="41" s="1"/>
  <c r="L511" i="41"/>
  <c r="M511" i="41"/>
  <c r="N511" i="41"/>
  <c r="H512" i="41"/>
  <c r="I512" i="41"/>
  <c r="Q512" i="41" s="1"/>
  <c r="L512" i="41"/>
  <c r="M512" i="41"/>
  <c r="N512" i="41"/>
  <c r="H513" i="41"/>
  <c r="I513" i="41"/>
  <c r="Q513" i="41" s="1"/>
  <c r="L513" i="41"/>
  <c r="M513" i="41"/>
  <c r="N513" i="41"/>
  <c r="H514" i="41"/>
  <c r="I514" i="41"/>
  <c r="Q514" i="41" s="1"/>
  <c r="L514" i="41"/>
  <c r="M514" i="41"/>
  <c r="N514" i="41"/>
  <c r="H515" i="41"/>
  <c r="I515" i="41"/>
  <c r="Q515" i="41" s="1"/>
  <c r="L515" i="41"/>
  <c r="M515" i="41"/>
  <c r="N515" i="41"/>
  <c r="H516" i="41"/>
  <c r="I516" i="41"/>
  <c r="Q516" i="41" s="1"/>
  <c r="L516" i="41"/>
  <c r="M516" i="41"/>
  <c r="N516" i="41"/>
  <c r="H517" i="41"/>
  <c r="I517" i="41"/>
  <c r="Q517" i="41" s="1"/>
  <c r="L517" i="41"/>
  <c r="M517" i="41"/>
  <c r="N517" i="41"/>
  <c r="H518" i="41"/>
  <c r="I518" i="41"/>
  <c r="Q518" i="41" s="1"/>
  <c r="L518" i="41"/>
  <c r="M518" i="41"/>
  <c r="N518" i="41"/>
  <c r="H519" i="41"/>
  <c r="I519" i="41"/>
  <c r="Q519" i="41" s="1"/>
  <c r="L519" i="41"/>
  <c r="M519" i="41"/>
  <c r="N519" i="41"/>
  <c r="H520" i="41"/>
  <c r="I520" i="41"/>
  <c r="Q520" i="41" s="1"/>
  <c r="L520" i="41"/>
  <c r="M520" i="41"/>
  <c r="N520" i="41"/>
  <c r="H521" i="41"/>
  <c r="I521" i="41"/>
  <c r="Q521" i="41" s="1"/>
  <c r="L521" i="41"/>
  <c r="M521" i="41"/>
  <c r="N521" i="41"/>
  <c r="H522" i="41"/>
  <c r="I522" i="41"/>
  <c r="Q522" i="41" s="1"/>
  <c r="L522" i="41"/>
  <c r="M522" i="41"/>
  <c r="N522" i="41"/>
  <c r="H523" i="41"/>
  <c r="I523" i="41"/>
  <c r="Q523" i="41" s="1"/>
  <c r="L523" i="41"/>
  <c r="M523" i="41"/>
  <c r="N523" i="41"/>
  <c r="H524" i="41"/>
  <c r="I524" i="41"/>
  <c r="Q524" i="41" s="1"/>
  <c r="L524" i="41"/>
  <c r="M524" i="41"/>
  <c r="N524" i="41"/>
  <c r="H525" i="41"/>
  <c r="I525" i="41"/>
  <c r="Q525" i="41" s="1"/>
  <c r="L525" i="41"/>
  <c r="M525" i="41"/>
  <c r="N525" i="41"/>
  <c r="H526" i="41"/>
  <c r="I526" i="41"/>
  <c r="Q526" i="41" s="1"/>
  <c r="L526" i="41"/>
  <c r="M526" i="41"/>
  <c r="N526" i="41"/>
  <c r="H527" i="41"/>
  <c r="I527" i="41"/>
  <c r="Q527" i="41" s="1"/>
  <c r="L527" i="41"/>
  <c r="M527" i="41"/>
  <c r="N527" i="41"/>
  <c r="H528" i="41"/>
  <c r="I528" i="41"/>
  <c r="Q528" i="41" s="1"/>
  <c r="L528" i="41"/>
  <c r="M528" i="41"/>
  <c r="N528" i="41"/>
  <c r="H529" i="41"/>
  <c r="I529" i="41"/>
  <c r="J529" i="41"/>
  <c r="K529" i="41"/>
  <c r="L529" i="41"/>
  <c r="N529" i="41"/>
  <c r="H530" i="41"/>
  <c r="I530" i="41"/>
  <c r="J530" i="41"/>
  <c r="K530" i="41"/>
  <c r="L530" i="41"/>
  <c r="N530" i="41"/>
  <c r="H531" i="41"/>
  <c r="I531" i="41"/>
  <c r="J531" i="41"/>
  <c r="K531" i="41"/>
  <c r="L531" i="41"/>
  <c r="N531" i="41"/>
  <c r="H532" i="41"/>
  <c r="I532" i="41"/>
  <c r="J532" i="41"/>
  <c r="K532" i="41"/>
  <c r="L532" i="41"/>
  <c r="N532" i="41"/>
  <c r="H533" i="41"/>
  <c r="I533" i="41"/>
  <c r="J533" i="41"/>
  <c r="K533" i="41"/>
  <c r="L533" i="41"/>
  <c r="N533" i="41"/>
  <c r="H534" i="41"/>
  <c r="I534" i="41"/>
  <c r="J534" i="41"/>
  <c r="K534" i="41"/>
  <c r="L534" i="41"/>
  <c r="N534" i="41"/>
  <c r="H535" i="41"/>
  <c r="I535" i="41"/>
  <c r="J535" i="41"/>
  <c r="K535" i="41"/>
  <c r="L535" i="41"/>
  <c r="N535" i="41"/>
  <c r="H536" i="41"/>
  <c r="I536" i="41"/>
  <c r="J536" i="41"/>
  <c r="K536" i="41"/>
  <c r="L536" i="41"/>
  <c r="N536" i="41"/>
  <c r="H537" i="41"/>
  <c r="I537" i="41"/>
  <c r="J537" i="41"/>
  <c r="K537" i="41"/>
  <c r="L537" i="41"/>
  <c r="N537" i="41"/>
  <c r="H538" i="41"/>
  <c r="I538" i="41"/>
  <c r="J538" i="41"/>
  <c r="K538" i="41"/>
  <c r="L538" i="41"/>
  <c r="N538" i="41"/>
  <c r="H539" i="41"/>
  <c r="I539" i="41"/>
  <c r="J539" i="41"/>
  <c r="K539" i="41"/>
  <c r="L539" i="41"/>
  <c r="N539" i="41"/>
  <c r="H540" i="41"/>
  <c r="I540" i="41"/>
  <c r="J540" i="41"/>
  <c r="K540" i="41"/>
  <c r="L540" i="41"/>
  <c r="N540" i="41"/>
  <c r="P12" i="41"/>
  <c r="P13" i="41"/>
  <c r="P14" i="41"/>
  <c r="P15" i="41"/>
  <c r="P16" i="41"/>
  <c r="P17" i="41"/>
  <c r="P18" i="41"/>
  <c r="P19" i="41"/>
  <c r="P21" i="41"/>
  <c r="P22" i="41"/>
  <c r="P23" i="41"/>
  <c r="P24" i="41"/>
  <c r="P25" i="41"/>
  <c r="P26" i="41"/>
  <c r="P27" i="41"/>
  <c r="P28" i="41"/>
  <c r="P29" i="41"/>
  <c r="P31" i="41"/>
  <c r="P32" i="41"/>
  <c r="P33" i="41"/>
  <c r="P34" i="41"/>
  <c r="P35" i="41"/>
  <c r="P36" i="41"/>
  <c r="P37" i="41"/>
  <c r="P38" i="41"/>
  <c r="P39" i="41"/>
  <c r="P40" i="41"/>
  <c r="P41" i="41"/>
  <c r="P42" i="41"/>
  <c r="P43" i="41"/>
  <c r="P44" i="41"/>
  <c r="P45" i="41"/>
  <c r="P46" i="41"/>
  <c r="P47" i="41"/>
  <c r="P48" i="41"/>
  <c r="P49" i="41"/>
  <c r="P50" i="41"/>
  <c r="P51" i="41"/>
  <c r="P52" i="41"/>
  <c r="P53" i="41"/>
  <c r="P54" i="41"/>
  <c r="P55" i="41"/>
  <c r="P56" i="41"/>
  <c r="P57" i="41"/>
  <c r="P58" i="41"/>
  <c r="P59" i="41"/>
  <c r="P60" i="41"/>
  <c r="P62" i="41"/>
  <c r="P63" i="41"/>
  <c r="P64" i="41"/>
  <c r="P65" i="41"/>
  <c r="P66" i="41"/>
  <c r="P67" i="41"/>
  <c r="P68" i="41"/>
  <c r="P69" i="41"/>
  <c r="P70" i="41"/>
  <c r="P71" i="41"/>
  <c r="P72" i="41"/>
  <c r="P73" i="41"/>
  <c r="P74" i="41"/>
  <c r="P75" i="41"/>
  <c r="P76" i="41"/>
  <c r="P77" i="41"/>
  <c r="P78" i="41"/>
  <c r="P79" i="41"/>
  <c r="P80" i="41"/>
  <c r="P81" i="41"/>
  <c r="P82" i="41"/>
  <c r="P83" i="41"/>
  <c r="P84" i="41"/>
  <c r="P85" i="41"/>
  <c r="P86" i="41"/>
  <c r="P87" i="41"/>
  <c r="P88" i="41"/>
  <c r="P89" i="41"/>
  <c r="P90" i="41"/>
  <c r="P91" i="41"/>
  <c r="P92" i="41"/>
  <c r="P93" i="41"/>
  <c r="P94" i="41"/>
  <c r="P95" i="41"/>
  <c r="P96" i="41"/>
  <c r="P97" i="41"/>
  <c r="P98" i="41"/>
  <c r="P99" i="41"/>
  <c r="P100" i="41"/>
  <c r="P101" i="41"/>
  <c r="P102" i="41"/>
  <c r="P103" i="41"/>
  <c r="P104" i="41"/>
  <c r="P105" i="41"/>
  <c r="P106" i="41"/>
  <c r="P107" i="41"/>
  <c r="P108" i="41"/>
  <c r="P109" i="41"/>
  <c r="P110" i="41"/>
  <c r="P111" i="41"/>
  <c r="P112" i="41"/>
  <c r="P113" i="41"/>
  <c r="P114" i="41"/>
  <c r="P115" i="41"/>
  <c r="P116" i="41"/>
  <c r="P117" i="41"/>
  <c r="P118" i="41"/>
  <c r="P119" i="41"/>
  <c r="P120" i="41"/>
  <c r="P121" i="41"/>
  <c r="P122" i="41"/>
  <c r="P123" i="41"/>
  <c r="P124" i="41"/>
  <c r="P125" i="41"/>
  <c r="P126" i="41"/>
  <c r="P127" i="41"/>
  <c r="P128" i="41"/>
  <c r="P129" i="41"/>
  <c r="P130" i="41"/>
  <c r="P131" i="41"/>
  <c r="P132" i="41"/>
  <c r="P133" i="41"/>
  <c r="P134" i="41"/>
  <c r="P135" i="41"/>
  <c r="P136" i="41"/>
  <c r="P137" i="41"/>
  <c r="P138" i="41"/>
  <c r="P139" i="41"/>
  <c r="P140" i="41"/>
  <c r="P141" i="41"/>
  <c r="P142" i="41"/>
  <c r="P143" i="41"/>
  <c r="P144" i="41"/>
  <c r="P145" i="41"/>
  <c r="P146" i="41"/>
  <c r="P147" i="41"/>
  <c r="P148" i="41"/>
  <c r="P149" i="41"/>
  <c r="P150" i="41"/>
  <c r="P151" i="41"/>
  <c r="P152" i="41"/>
  <c r="P153" i="41"/>
  <c r="P154" i="41"/>
  <c r="P155" i="41"/>
  <c r="P156" i="41"/>
  <c r="P157" i="41"/>
  <c r="P158" i="41"/>
  <c r="P159" i="41"/>
  <c r="P160" i="41"/>
  <c r="P161" i="41"/>
  <c r="P162" i="41"/>
  <c r="P163" i="41"/>
  <c r="P164" i="41"/>
  <c r="P165" i="41"/>
  <c r="P166" i="41"/>
  <c r="P167" i="41"/>
  <c r="P168" i="41"/>
  <c r="P169" i="41"/>
  <c r="P170" i="41"/>
  <c r="P171" i="41"/>
  <c r="P172" i="41"/>
  <c r="P173" i="41"/>
  <c r="P174" i="41"/>
  <c r="P175" i="41"/>
  <c r="P176" i="41"/>
  <c r="P177" i="41"/>
  <c r="P178" i="41"/>
  <c r="P179" i="41"/>
  <c r="P180" i="41"/>
  <c r="P181" i="41"/>
  <c r="P182" i="41"/>
  <c r="P183" i="41"/>
  <c r="P184" i="41"/>
  <c r="P186" i="41"/>
  <c r="P187" i="41"/>
  <c r="P188" i="41"/>
  <c r="P199" i="41"/>
  <c r="P200" i="41"/>
  <c r="P201" i="41"/>
  <c r="P202" i="41"/>
  <c r="P203" i="41"/>
  <c r="P204" i="41"/>
  <c r="P205" i="41"/>
  <c r="P206" i="41"/>
  <c r="P207" i="41"/>
  <c r="P208" i="41"/>
  <c r="P209" i="41"/>
  <c r="P210" i="41"/>
  <c r="P211" i="41"/>
  <c r="P212" i="41"/>
  <c r="P213" i="41"/>
  <c r="P214" i="41"/>
  <c r="P215" i="41"/>
  <c r="P216" i="41"/>
  <c r="P217" i="41"/>
  <c r="P222" i="41"/>
  <c r="P223" i="41"/>
  <c r="P224" i="41"/>
  <c r="P225" i="41"/>
  <c r="P226" i="41"/>
  <c r="P227" i="41"/>
  <c r="P228" i="41"/>
  <c r="P229" i="41"/>
  <c r="P230" i="41"/>
  <c r="P231" i="41"/>
  <c r="P232" i="41"/>
  <c r="P233" i="41"/>
  <c r="P234" i="41"/>
  <c r="P235" i="41"/>
  <c r="P236" i="41"/>
  <c r="P237" i="41"/>
  <c r="P238" i="41"/>
  <c r="P239" i="41"/>
  <c r="P240" i="41"/>
  <c r="P241" i="41"/>
  <c r="P242" i="41"/>
  <c r="P243" i="41"/>
  <c r="P244" i="41"/>
  <c r="P245" i="41"/>
  <c r="P246" i="41"/>
  <c r="P247" i="41"/>
  <c r="P248" i="41"/>
  <c r="P249" i="41"/>
  <c r="P250" i="41"/>
  <c r="P253" i="41"/>
  <c r="P254" i="41"/>
  <c r="P255" i="41"/>
  <c r="P256" i="41"/>
  <c r="P257" i="41"/>
  <c r="P258" i="41"/>
  <c r="P266" i="41"/>
  <c r="P267" i="41"/>
  <c r="P268" i="41"/>
  <c r="P269" i="41"/>
  <c r="P270" i="41"/>
  <c r="P271" i="41"/>
  <c r="P272" i="41"/>
  <c r="P273" i="41"/>
  <c r="P275" i="41"/>
  <c r="P276" i="41"/>
  <c r="P278" i="41"/>
  <c r="P279" i="41"/>
  <c r="P280" i="41"/>
  <c r="P281" i="41"/>
  <c r="P282" i="41"/>
  <c r="P283" i="41"/>
  <c r="P284" i="41"/>
  <c r="P285" i="41"/>
  <c r="P286" i="41"/>
  <c r="P287" i="41"/>
  <c r="P288" i="41"/>
  <c r="P289" i="41"/>
  <c r="P290" i="41"/>
  <c r="P291" i="41"/>
  <c r="P292" i="41"/>
  <c r="P293" i="41"/>
  <c r="P294" i="41"/>
  <c r="P295" i="41"/>
  <c r="P296" i="41"/>
  <c r="P297" i="41"/>
  <c r="P298" i="41"/>
  <c r="P302" i="41"/>
  <c r="P303" i="41"/>
  <c r="P306" i="41"/>
  <c r="P307" i="41"/>
  <c r="P308" i="41"/>
  <c r="P309" i="41"/>
  <c r="P310" i="41"/>
  <c r="P311" i="41"/>
  <c r="P312" i="41"/>
  <c r="P313" i="41"/>
  <c r="P314" i="41"/>
  <c r="P315" i="41"/>
  <c r="P316" i="41"/>
  <c r="P317" i="41"/>
  <c r="P318" i="41"/>
  <c r="P319" i="41"/>
  <c r="P320" i="41"/>
  <c r="P322" i="41"/>
  <c r="P323" i="41"/>
  <c r="P324" i="41"/>
  <c r="P325" i="41"/>
  <c r="P326" i="41"/>
  <c r="P327" i="41"/>
  <c r="P328" i="41"/>
  <c r="P329" i="41"/>
  <c r="P330" i="41"/>
  <c r="P331" i="41"/>
  <c r="P332" i="41"/>
  <c r="P334" i="41"/>
  <c r="P335" i="41"/>
  <c r="P336" i="41"/>
  <c r="P337" i="41"/>
  <c r="P338" i="41"/>
  <c r="P339" i="41"/>
  <c r="P340" i="41"/>
  <c r="P341" i="41"/>
  <c r="P342" i="41"/>
  <c r="P343" i="41"/>
  <c r="P344" i="41"/>
  <c r="P345" i="41"/>
  <c r="P346" i="41"/>
  <c r="P347" i="41"/>
  <c r="P348" i="41"/>
  <c r="P349" i="41"/>
  <c r="P350" i="41"/>
  <c r="P362" i="41"/>
  <c r="P363" i="41"/>
  <c r="P364" i="41"/>
  <c r="P365" i="41"/>
  <c r="P366" i="41"/>
  <c r="P367" i="41"/>
  <c r="P368" i="41"/>
  <c r="P369" i="41"/>
  <c r="P373" i="41"/>
  <c r="P377" i="41"/>
  <c r="P378" i="41"/>
  <c r="P379" i="41"/>
  <c r="P380" i="41"/>
  <c r="P381" i="41"/>
  <c r="P382" i="41"/>
  <c r="P383" i="41"/>
  <c r="P384" i="41"/>
  <c r="P385" i="41"/>
  <c r="P386" i="41"/>
  <c r="P387" i="41"/>
  <c r="P388" i="41"/>
  <c r="P389" i="41"/>
  <c r="P390" i="41"/>
  <c r="P391" i="41"/>
  <c r="P392" i="41"/>
  <c r="P393" i="41"/>
  <c r="P394" i="41"/>
  <c r="P395" i="41"/>
  <c r="P396" i="41"/>
  <c r="P397" i="41"/>
  <c r="P398" i="41"/>
  <c r="P399" i="41"/>
  <c r="P400" i="41"/>
  <c r="P401" i="41"/>
  <c r="P402" i="41"/>
  <c r="P404" i="41"/>
  <c r="P405" i="41"/>
  <c r="P406" i="41"/>
  <c r="P407" i="41"/>
  <c r="P408" i="41"/>
  <c r="P412" i="41"/>
  <c r="P413" i="41"/>
  <c r="P415" i="41"/>
  <c r="P416" i="41"/>
  <c r="P421" i="41"/>
  <c r="P425" i="41"/>
  <c r="P426" i="41"/>
  <c r="P427" i="41"/>
  <c r="P428" i="41"/>
  <c r="P434" i="41"/>
  <c r="P435" i="41"/>
  <c r="P436" i="41"/>
  <c r="P440" i="41"/>
  <c r="P441" i="41"/>
  <c r="P442" i="41"/>
  <c r="P443" i="41"/>
  <c r="P444" i="41"/>
  <c r="P445" i="41"/>
  <c r="P447" i="41"/>
  <c r="P448" i="41"/>
  <c r="P449" i="41"/>
  <c r="P450" i="41"/>
  <c r="P451" i="41"/>
  <c r="P452" i="41"/>
  <c r="P453" i="41"/>
  <c r="P456" i="41"/>
  <c r="P457" i="41"/>
  <c r="P458" i="41"/>
  <c r="P459" i="41"/>
  <c r="P460" i="41"/>
  <c r="P461" i="41"/>
  <c r="P462" i="41"/>
  <c r="P463" i="41"/>
  <c r="P464" i="41"/>
  <c r="P465" i="41"/>
  <c r="P466" i="41"/>
  <c r="P467" i="41"/>
  <c r="P468" i="41"/>
  <c r="P469" i="41"/>
  <c r="P470" i="41"/>
  <c r="P471" i="41"/>
  <c r="P472" i="41"/>
  <c r="P473" i="41"/>
  <c r="P474" i="41"/>
  <c r="P475" i="41"/>
  <c r="P476" i="41"/>
  <c r="P477" i="41"/>
  <c r="P478" i="41"/>
  <c r="P479" i="41"/>
  <c r="P480" i="41"/>
  <c r="P481" i="41"/>
  <c r="P482" i="41"/>
  <c r="P483" i="41"/>
  <c r="P484" i="41"/>
  <c r="P485" i="41"/>
  <c r="P486" i="41"/>
  <c r="P488" i="41"/>
  <c r="P489" i="41"/>
  <c r="P490" i="41"/>
  <c r="P491" i="41"/>
  <c r="P494" i="41"/>
  <c r="P495" i="41"/>
  <c r="P496" i="41"/>
  <c r="P497" i="41"/>
  <c r="P498" i="41"/>
  <c r="P499" i="41"/>
  <c r="P500" i="41"/>
  <c r="P501" i="41"/>
  <c r="P502" i="41"/>
  <c r="P503" i="41"/>
  <c r="P504" i="41"/>
  <c r="P505" i="41"/>
  <c r="P506" i="41"/>
  <c r="P507" i="41"/>
  <c r="P508" i="41"/>
  <c r="P509" i="41"/>
  <c r="P510" i="41"/>
  <c r="P511" i="41"/>
  <c r="P512" i="41"/>
  <c r="P513" i="41"/>
  <c r="P514" i="41"/>
  <c r="P515" i="41"/>
  <c r="P516" i="41"/>
  <c r="P517" i="41"/>
  <c r="P518" i="41"/>
  <c r="P519" i="41"/>
  <c r="P520" i="41"/>
  <c r="P521" i="41"/>
  <c r="P522" i="41"/>
  <c r="P523" i="41"/>
  <c r="P524" i="41"/>
  <c r="P525" i="41"/>
  <c r="P526" i="41"/>
  <c r="P527" i="41"/>
  <c r="P528" i="41"/>
  <c r="P529" i="41"/>
  <c r="P530" i="41"/>
  <c r="P531" i="41"/>
  <c r="P532" i="41"/>
  <c r="P533" i="41"/>
  <c r="P534" i="41"/>
  <c r="P535" i="41"/>
  <c r="P536" i="41"/>
  <c r="P537" i="41"/>
  <c r="P538" i="41"/>
  <c r="P539" i="41"/>
  <c r="P540" i="41"/>
  <c r="R12" i="41"/>
  <c r="R13" i="41"/>
  <c r="R14" i="41"/>
  <c r="R15" i="41"/>
  <c r="R16" i="41"/>
  <c r="R17" i="41"/>
  <c r="R18" i="41"/>
  <c r="R19" i="41"/>
  <c r="R21" i="41"/>
  <c r="R22" i="41"/>
  <c r="R23" i="41"/>
  <c r="R24" i="41"/>
  <c r="R25" i="41"/>
  <c r="R26" i="41"/>
  <c r="R27" i="41"/>
  <c r="R28" i="41"/>
  <c r="R29" i="41"/>
  <c r="R31" i="41"/>
  <c r="R32" i="41"/>
  <c r="R33" i="41"/>
  <c r="R34" i="41"/>
  <c r="R35" i="41"/>
  <c r="R36" i="41"/>
  <c r="R37" i="41"/>
  <c r="R38" i="41"/>
  <c r="R39" i="41"/>
  <c r="R40" i="41"/>
  <c r="R41" i="41"/>
  <c r="R42" i="41"/>
  <c r="R43" i="41"/>
  <c r="R44" i="41"/>
  <c r="R45" i="41"/>
  <c r="R46" i="41"/>
  <c r="R47" i="41"/>
  <c r="R48" i="41"/>
  <c r="R49" i="41"/>
  <c r="R50" i="41"/>
  <c r="R51" i="41"/>
  <c r="R52" i="41"/>
  <c r="R53" i="41"/>
  <c r="R54" i="41"/>
  <c r="R55" i="41"/>
  <c r="R56" i="41"/>
  <c r="R57" i="41"/>
  <c r="R58" i="41"/>
  <c r="R59" i="41"/>
  <c r="R60" i="41"/>
  <c r="R62" i="41"/>
  <c r="R63" i="41"/>
  <c r="R64" i="41"/>
  <c r="R65" i="41"/>
  <c r="R66" i="41"/>
  <c r="R67" i="41"/>
  <c r="R68" i="41"/>
  <c r="R69" i="41"/>
  <c r="R70" i="41"/>
  <c r="R71" i="41"/>
  <c r="R72" i="41"/>
  <c r="R73" i="41"/>
  <c r="R74" i="41"/>
  <c r="R75" i="41"/>
  <c r="R76" i="41"/>
  <c r="R77" i="41"/>
  <c r="R78" i="41"/>
  <c r="R79" i="41"/>
  <c r="R80" i="41"/>
  <c r="R81" i="41"/>
  <c r="R82" i="41"/>
  <c r="R83" i="41"/>
  <c r="R84" i="41"/>
  <c r="R85" i="41"/>
  <c r="R86" i="41"/>
  <c r="R87" i="41"/>
  <c r="R88" i="41"/>
  <c r="R89" i="41"/>
  <c r="R90" i="41"/>
  <c r="R91" i="41"/>
  <c r="R92" i="41"/>
  <c r="R93" i="41"/>
  <c r="R94" i="41"/>
  <c r="R95" i="41"/>
  <c r="R96" i="41"/>
  <c r="R97" i="41"/>
  <c r="R98" i="41"/>
  <c r="R99" i="41"/>
  <c r="R100" i="41"/>
  <c r="R101" i="41"/>
  <c r="R102" i="41"/>
  <c r="R103" i="41"/>
  <c r="R104" i="41"/>
  <c r="R105" i="41"/>
  <c r="R106" i="41"/>
  <c r="R107" i="41"/>
  <c r="R108" i="41"/>
  <c r="R109" i="41"/>
  <c r="R110" i="41"/>
  <c r="R111" i="41"/>
  <c r="R112" i="41"/>
  <c r="R113" i="41"/>
  <c r="R114" i="41"/>
  <c r="R115" i="41"/>
  <c r="R116" i="41"/>
  <c r="R117" i="41"/>
  <c r="R118" i="41"/>
  <c r="R119" i="41"/>
  <c r="R120" i="41"/>
  <c r="R121" i="41"/>
  <c r="R122" i="41"/>
  <c r="R123" i="41"/>
  <c r="R124" i="41"/>
  <c r="R125" i="41"/>
  <c r="R126" i="41"/>
  <c r="R127" i="41"/>
  <c r="R128" i="41"/>
  <c r="R129" i="41"/>
  <c r="R130" i="41"/>
  <c r="R131" i="41"/>
  <c r="R132" i="41"/>
  <c r="R133" i="41"/>
  <c r="R134" i="41"/>
  <c r="R135" i="41"/>
  <c r="R136" i="41"/>
  <c r="R137" i="41"/>
  <c r="R138" i="41"/>
  <c r="R139" i="41"/>
  <c r="R140" i="41"/>
  <c r="R141" i="41"/>
  <c r="R142" i="41"/>
  <c r="R143" i="41"/>
  <c r="R144" i="41"/>
  <c r="R145" i="41"/>
  <c r="R146" i="41"/>
  <c r="R147" i="41"/>
  <c r="R148" i="41"/>
  <c r="R149" i="41"/>
  <c r="R150" i="41"/>
  <c r="R151" i="41"/>
  <c r="R152" i="41"/>
  <c r="R153" i="41"/>
  <c r="R154" i="41"/>
  <c r="R155" i="41"/>
  <c r="R156" i="41"/>
  <c r="R157" i="41"/>
  <c r="R158" i="41"/>
  <c r="R159" i="41"/>
  <c r="R160" i="41"/>
  <c r="R161" i="41"/>
  <c r="R162" i="41"/>
  <c r="R163" i="41"/>
  <c r="R164" i="41"/>
  <c r="R165" i="41"/>
  <c r="R166" i="41"/>
  <c r="R167" i="41"/>
  <c r="R168" i="41"/>
  <c r="R169" i="41"/>
  <c r="R170" i="41"/>
  <c r="R171" i="41"/>
  <c r="R172" i="41"/>
  <c r="R173" i="41"/>
  <c r="R174" i="41"/>
  <c r="R175" i="41"/>
  <c r="R176" i="41"/>
  <c r="R177" i="41"/>
  <c r="R178" i="41"/>
  <c r="R179" i="41"/>
  <c r="R180" i="41"/>
  <c r="R181" i="41"/>
  <c r="R182" i="41"/>
  <c r="R183" i="41"/>
  <c r="R184" i="41"/>
  <c r="R186" i="41"/>
  <c r="R187" i="41"/>
  <c r="R188" i="41"/>
  <c r="R199" i="41"/>
  <c r="R200" i="41"/>
  <c r="R201" i="41"/>
  <c r="R202" i="41"/>
  <c r="R203" i="41"/>
  <c r="R204" i="41"/>
  <c r="R205" i="41"/>
  <c r="R206" i="41"/>
  <c r="R207" i="41"/>
  <c r="R208" i="41"/>
  <c r="R209" i="41"/>
  <c r="R210" i="41"/>
  <c r="R211" i="41"/>
  <c r="R212" i="41"/>
  <c r="R213" i="41"/>
  <c r="R214" i="41"/>
  <c r="R215" i="41"/>
  <c r="R216" i="41"/>
  <c r="R217" i="41"/>
  <c r="R222" i="41"/>
  <c r="R223" i="41"/>
  <c r="R224" i="41"/>
  <c r="R225" i="41"/>
  <c r="R226" i="41"/>
  <c r="R227" i="41"/>
  <c r="R228" i="41"/>
  <c r="R229" i="41"/>
  <c r="R230" i="41"/>
  <c r="R231" i="41"/>
  <c r="R232" i="41"/>
  <c r="R233" i="41"/>
  <c r="R234" i="41"/>
  <c r="R235" i="41"/>
  <c r="R236" i="41"/>
  <c r="R237" i="41"/>
  <c r="R238" i="41"/>
  <c r="R239" i="41"/>
  <c r="R240" i="41"/>
  <c r="R241" i="41"/>
  <c r="R242" i="41"/>
  <c r="R243" i="41"/>
  <c r="R244" i="41"/>
  <c r="R245" i="41"/>
  <c r="R246" i="41"/>
  <c r="R247" i="41"/>
  <c r="R248" i="41"/>
  <c r="R249" i="41"/>
  <c r="R250" i="41"/>
  <c r="R253" i="41"/>
  <c r="R254" i="41"/>
  <c r="R255" i="41"/>
  <c r="R256" i="41"/>
  <c r="R257" i="41"/>
  <c r="R258" i="41"/>
  <c r="R266" i="41"/>
  <c r="R267" i="41"/>
  <c r="R268" i="41"/>
  <c r="R269" i="41"/>
  <c r="R270" i="41"/>
  <c r="R271" i="41"/>
  <c r="R272" i="41"/>
  <c r="R273" i="41"/>
  <c r="R275" i="41"/>
  <c r="R276" i="41"/>
  <c r="R278" i="41"/>
  <c r="R279" i="41"/>
  <c r="R280" i="41"/>
  <c r="R281" i="41"/>
  <c r="R282" i="41"/>
  <c r="R283" i="41"/>
  <c r="R284" i="41"/>
  <c r="R285" i="41"/>
  <c r="R286" i="41"/>
  <c r="R287" i="41"/>
  <c r="R288" i="41"/>
  <c r="R289" i="41"/>
  <c r="R290" i="41"/>
  <c r="R291" i="41"/>
  <c r="R292" i="41"/>
  <c r="R293" i="41"/>
  <c r="R294" i="41"/>
  <c r="R295" i="41"/>
  <c r="R296" i="41"/>
  <c r="R297" i="41"/>
  <c r="R298" i="41"/>
  <c r="R302" i="41"/>
  <c r="R303" i="41"/>
  <c r="R306" i="41"/>
  <c r="R307" i="41"/>
  <c r="R308" i="41"/>
  <c r="R309" i="41"/>
  <c r="R310" i="41"/>
  <c r="R311" i="41"/>
  <c r="R312" i="41"/>
  <c r="R313" i="41"/>
  <c r="R314" i="41"/>
  <c r="R315" i="41"/>
  <c r="R316" i="41"/>
  <c r="R317" i="41"/>
  <c r="R318" i="41"/>
  <c r="R319" i="41"/>
  <c r="R320" i="41"/>
  <c r="R322" i="41"/>
  <c r="R323" i="41"/>
  <c r="R324" i="41"/>
  <c r="R325" i="41"/>
  <c r="R326" i="41"/>
  <c r="R327" i="41"/>
  <c r="R328" i="41"/>
  <c r="R329" i="41"/>
  <c r="R330" i="41"/>
  <c r="R331" i="41"/>
  <c r="R332" i="41"/>
  <c r="R334" i="41"/>
  <c r="R335" i="41"/>
  <c r="R336" i="41"/>
  <c r="R337" i="41"/>
  <c r="R338" i="41"/>
  <c r="R339" i="41"/>
  <c r="R340" i="41"/>
  <c r="R341" i="41"/>
  <c r="R342" i="41"/>
  <c r="R343" i="41"/>
  <c r="R344" i="41"/>
  <c r="R345" i="41"/>
  <c r="R346" i="41"/>
  <c r="R347" i="41"/>
  <c r="R348" i="41"/>
  <c r="R349" i="41"/>
  <c r="R350" i="41"/>
  <c r="R362" i="41"/>
  <c r="R363" i="41"/>
  <c r="R364" i="41"/>
  <c r="R365" i="41"/>
  <c r="R366" i="41"/>
  <c r="R367" i="41"/>
  <c r="R368" i="41"/>
  <c r="R369" i="41"/>
  <c r="R373" i="41"/>
  <c r="R377" i="41"/>
  <c r="R378" i="41"/>
  <c r="R379" i="41"/>
  <c r="R380" i="41"/>
  <c r="R381" i="41"/>
  <c r="R382" i="41"/>
  <c r="R383" i="41"/>
  <c r="R384" i="41"/>
  <c r="R385" i="41"/>
  <c r="R386" i="41"/>
  <c r="R387" i="41"/>
  <c r="R388" i="41"/>
  <c r="R389" i="41"/>
  <c r="R390" i="41"/>
  <c r="R391" i="41"/>
  <c r="R392" i="41"/>
  <c r="R393" i="41"/>
  <c r="R394" i="41"/>
  <c r="R395" i="41"/>
  <c r="R396" i="41"/>
  <c r="R397" i="41"/>
  <c r="R398" i="41"/>
  <c r="R399" i="41"/>
  <c r="R400" i="41"/>
  <c r="R401" i="41"/>
  <c r="R402" i="41"/>
  <c r="R404" i="41"/>
  <c r="R405" i="41"/>
  <c r="R406" i="41"/>
  <c r="R407" i="41"/>
  <c r="R408" i="41"/>
  <c r="R412" i="41"/>
  <c r="R413" i="41"/>
  <c r="R415" i="41"/>
  <c r="R416" i="41"/>
  <c r="R421" i="41"/>
  <c r="R425" i="41"/>
  <c r="R426" i="41"/>
  <c r="R427" i="41"/>
  <c r="R428" i="41"/>
  <c r="R434" i="41"/>
  <c r="R435" i="41"/>
  <c r="R436" i="41"/>
  <c r="R440" i="41"/>
  <c r="R441" i="41"/>
  <c r="R442" i="41"/>
  <c r="R443" i="41"/>
  <c r="R444" i="41"/>
  <c r="R445" i="41"/>
  <c r="R447" i="41"/>
  <c r="R448" i="41"/>
  <c r="R449" i="41"/>
  <c r="R450" i="41"/>
  <c r="R451" i="41"/>
  <c r="R452" i="41"/>
  <c r="R453" i="41"/>
  <c r="R456" i="41"/>
  <c r="R457" i="41"/>
  <c r="R458" i="41"/>
  <c r="R459" i="41"/>
  <c r="R460" i="41"/>
  <c r="R461" i="41"/>
  <c r="R462" i="41"/>
  <c r="R463" i="41"/>
  <c r="R464" i="41"/>
  <c r="R465" i="41"/>
  <c r="R466" i="41"/>
  <c r="R467" i="41"/>
  <c r="R468" i="41"/>
  <c r="R469" i="41"/>
  <c r="R470" i="41"/>
  <c r="R471" i="41"/>
  <c r="R472" i="41"/>
  <c r="R473" i="41"/>
  <c r="R474" i="41"/>
  <c r="R475" i="41"/>
  <c r="R476" i="41"/>
  <c r="R477" i="41"/>
  <c r="R478" i="41"/>
  <c r="R479" i="41"/>
  <c r="R480" i="41"/>
  <c r="R481" i="41"/>
  <c r="R482" i="41"/>
  <c r="R483" i="41"/>
  <c r="R484" i="41"/>
  <c r="R485" i="41"/>
  <c r="R486" i="41"/>
  <c r="R488" i="41"/>
  <c r="R489" i="41"/>
  <c r="R490" i="41"/>
  <c r="R491" i="41"/>
  <c r="R494" i="41"/>
  <c r="R495" i="41"/>
  <c r="R496" i="41"/>
  <c r="R497" i="41"/>
  <c r="R498" i="41"/>
  <c r="R499" i="41"/>
  <c r="R500" i="41"/>
  <c r="R501" i="41"/>
  <c r="R502" i="41"/>
  <c r="R503" i="41"/>
  <c r="R504" i="41"/>
  <c r="R505" i="41"/>
  <c r="R506" i="41"/>
  <c r="R507" i="41"/>
  <c r="R508" i="41"/>
  <c r="R509" i="41"/>
  <c r="R510" i="41"/>
  <c r="R511" i="41"/>
  <c r="R512" i="41"/>
  <c r="R513" i="41"/>
  <c r="R514" i="41"/>
  <c r="R515" i="41"/>
  <c r="R516" i="41"/>
  <c r="R517" i="41"/>
  <c r="R518" i="41"/>
  <c r="R519" i="41"/>
  <c r="R520" i="41"/>
  <c r="R521" i="41"/>
  <c r="R522" i="41"/>
  <c r="R523" i="41"/>
  <c r="R524" i="41"/>
  <c r="R525" i="41"/>
  <c r="R526" i="41"/>
  <c r="R527" i="41"/>
  <c r="R528" i="41"/>
  <c r="R529" i="41"/>
  <c r="R530" i="41"/>
  <c r="R531" i="41"/>
  <c r="R532" i="41"/>
  <c r="R533" i="41"/>
  <c r="R534" i="41"/>
  <c r="R535" i="41"/>
  <c r="R536" i="41"/>
  <c r="R537" i="41"/>
  <c r="R538" i="41"/>
  <c r="R539" i="41"/>
  <c r="R540" i="41"/>
  <c r="R11" i="41"/>
  <c r="P11" i="41"/>
  <c r="N11" i="41"/>
  <c r="M11" i="41"/>
  <c r="L11" i="41"/>
  <c r="K11" i="41"/>
  <c r="J11" i="41"/>
  <c r="I11" i="41"/>
  <c r="H11" i="41"/>
  <c r="Q13" i="41" l="1"/>
  <c r="Q537" i="41"/>
  <c r="Q531" i="41"/>
  <c r="Q529" i="41"/>
  <c r="Q436" i="41"/>
  <c r="Q427" i="41"/>
  <c r="Q413" i="41"/>
  <c r="Q382" i="41"/>
  <c r="Q349" i="41"/>
  <c r="Q341" i="41"/>
  <c r="Q318" i="41"/>
  <c r="Q288" i="41"/>
  <c r="Q284" i="41"/>
  <c r="Q278" i="41"/>
  <c r="Q268" i="41"/>
  <c r="Q256" i="41"/>
  <c r="Q250" i="41"/>
  <c r="Q246" i="41"/>
  <c r="Q242" i="41"/>
  <c r="Q231" i="41"/>
  <c r="Q228" i="41"/>
  <c r="Q213" i="41"/>
  <c r="Q209" i="41"/>
  <c r="Q184" i="41"/>
  <c r="Q173" i="41"/>
  <c r="Q166" i="41"/>
  <c r="Q155" i="41"/>
  <c r="Q152" i="41"/>
  <c r="Q119" i="41"/>
  <c r="Q115" i="41"/>
  <c r="Q111" i="41"/>
  <c r="Q107" i="41"/>
  <c r="Q103" i="41"/>
  <c r="Q99" i="41"/>
  <c r="Q95" i="41"/>
  <c r="Q92" i="41"/>
  <c r="Q88" i="41"/>
  <c r="Q79" i="41"/>
  <c r="Q75" i="41"/>
  <c r="Q70" i="41"/>
  <c r="Q65" i="41"/>
  <c r="Q60" i="41"/>
  <c r="Q56" i="41"/>
  <c r="Q52" i="41"/>
  <c r="Q48" i="41"/>
  <c r="Q40" i="41"/>
  <c r="Q37" i="41"/>
  <c r="Q33" i="41"/>
  <c r="Q28" i="41"/>
  <c r="Q24" i="41"/>
  <c r="Q19" i="41"/>
  <c r="Q15" i="41"/>
  <c r="Q539" i="41"/>
  <c r="Q535" i="41"/>
  <c r="Q497" i="41"/>
  <c r="Q465" i="41"/>
  <c r="Q458" i="41"/>
  <c r="Q421" i="41"/>
  <c r="Q406" i="41"/>
  <c r="Q345" i="41"/>
  <c r="Q533" i="41"/>
  <c r="Q483" i="41"/>
  <c r="Q452" i="41"/>
  <c r="Q448" i="41"/>
  <c r="Q443" i="41"/>
  <c r="Q395" i="41"/>
  <c r="Q386" i="41"/>
  <c r="Q378" i="41"/>
  <c r="Q368" i="41"/>
  <c r="Q364" i="41"/>
  <c r="Q323" i="41"/>
  <c r="Q314" i="41"/>
  <c r="Q22" i="41"/>
  <c r="Q17" i="41"/>
  <c r="Q484" i="41"/>
  <c r="Q473" i="41"/>
  <c r="Q466" i="41"/>
  <c r="Q453" i="41"/>
  <c r="Q449" i="41"/>
  <c r="Q415" i="41"/>
  <c r="Q387" i="41"/>
  <c r="Q379" i="41"/>
  <c r="Q365" i="41"/>
  <c r="Q482" i="41"/>
  <c r="Q464" i="41"/>
  <c r="Q461" i="41"/>
  <c r="Q457" i="41"/>
  <c r="Q451" i="41"/>
  <c r="Q447" i="41"/>
  <c r="Q442" i="41"/>
  <c r="Q435" i="41"/>
  <c r="Q412" i="41"/>
  <c r="Q405" i="41"/>
  <c r="Q394" i="41"/>
  <c r="Q389" i="41"/>
  <c r="Q385" i="41"/>
  <c r="Q381" i="41"/>
  <c r="Q377" i="41"/>
  <c r="Q367" i="41"/>
  <c r="Q363" i="41"/>
  <c r="Q348" i="41"/>
  <c r="Q344" i="41"/>
  <c r="Q340" i="41"/>
  <c r="Q322" i="41"/>
  <c r="Q317" i="41"/>
  <c r="Q313" i="41"/>
  <c r="Q295" i="41"/>
  <c r="Q287" i="41"/>
  <c r="Q283" i="41"/>
  <c r="Q280" i="41"/>
  <c r="Q271" i="41"/>
  <c r="Q255" i="41"/>
  <c r="Q249" i="41"/>
  <c r="Q245" i="41"/>
  <c r="Q241" i="41"/>
  <c r="Q234" i="41"/>
  <c r="Q227" i="41"/>
  <c r="Q212" i="41"/>
  <c r="Q208" i="41"/>
  <c r="Q183" i="41"/>
  <c r="Q180" i="41"/>
  <c r="Q178" i="41"/>
  <c r="Q176" i="41"/>
  <c r="Q172" i="41"/>
  <c r="Q169" i="41"/>
  <c r="Q165" i="41"/>
  <c r="Q162" i="41"/>
  <c r="Q151" i="41"/>
  <c r="Q148" i="41"/>
  <c r="Q146" i="41"/>
  <c r="Q144" i="41"/>
  <c r="Q142" i="41"/>
  <c r="Q140" i="41"/>
  <c r="Q138" i="41"/>
  <c r="Q136" i="41"/>
  <c r="Q134" i="41"/>
  <c r="Q132" i="41"/>
  <c r="Q130" i="41"/>
  <c r="Q118" i="41"/>
  <c r="Q114" i="41"/>
  <c r="Q110" i="41"/>
  <c r="Q106" i="41"/>
  <c r="Q102" i="41"/>
  <c r="Q98" i="41"/>
  <c r="Q94" i="41"/>
  <c r="Q91" i="41"/>
  <c r="Q81" i="41"/>
  <c r="Q78" i="41"/>
  <c r="Q74" i="41"/>
  <c r="Q64" i="41"/>
  <c r="Q59" i="41"/>
  <c r="Q55" i="41"/>
  <c r="Q51" i="41"/>
  <c r="Q47" i="41"/>
  <c r="Q39" i="41"/>
  <c r="Q36" i="41"/>
  <c r="Q32" i="41"/>
  <c r="Q27" i="41"/>
  <c r="Q23" i="41"/>
  <c r="Q18" i="41"/>
  <c r="Q14" i="41"/>
  <c r="Q498" i="41"/>
  <c r="Q444" i="41"/>
  <c r="Q440" i="41"/>
  <c r="Q428" i="41"/>
  <c r="Q425" i="41"/>
  <c r="Q369" i="41"/>
  <c r="Q350" i="41"/>
  <c r="Q289" i="41"/>
  <c r="Q285" i="41"/>
  <c r="Q269" i="41"/>
  <c r="Q257" i="41"/>
  <c r="Q253" i="41"/>
  <c r="Q247" i="41"/>
  <c r="Q243" i="41"/>
  <c r="Q232" i="41"/>
  <c r="Q229" i="41"/>
  <c r="Q210" i="41"/>
  <c r="Q206" i="41"/>
  <c r="Q181" i="41"/>
  <c r="Q179" i="41"/>
  <c r="Q177" i="41"/>
  <c r="Q174" i="41"/>
  <c r="Q167" i="41"/>
  <c r="Q156" i="41"/>
  <c r="Q153" i="41"/>
  <c r="Q149" i="41"/>
  <c r="Q147" i="41"/>
  <c r="Q145" i="41"/>
  <c r="Q143" i="41"/>
  <c r="Q141" i="41"/>
  <c r="Q139" i="41"/>
  <c r="Q137" i="41"/>
  <c r="Q135" i="41"/>
  <c r="Q133" i="41"/>
  <c r="Q131" i="41"/>
  <c r="Q129" i="41"/>
  <c r="Q122" i="41"/>
  <c r="Q116" i="41"/>
  <c r="Q112" i="41"/>
  <c r="Q108" i="41"/>
  <c r="Q104" i="41"/>
  <c r="Q100" i="41"/>
  <c r="Q96" i="41"/>
  <c r="Q89" i="41"/>
  <c r="Q76" i="41"/>
  <c r="Q66" i="41"/>
  <c r="Q62" i="41"/>
  <c r="Q57" i="41"/>
  <c r="Q53" i="41"/>
  <c r="Q49" i="41"/>
  <c r="Q41" i="41"/>
  <c r="Q34" i="41"/>
  <c r="Q29" i="41"/>
  <c r="Q25" i="41"/>
  <c r="Q21" i="41"/>
  <c r="Q16" i="41"/>
  <c r="Q12" i="41"/>
  <c r="Q480" i="41"/>
  <c r="Q459" i="41"/>
  <c r="Q407" i="41"/>
  <c r="Q402" i="41"/>
  <c r="Q383" i="41"/>
  <c r="Q346" i="41"/>
  <c r="Q342" i="41"/>
  <c r="Q319" i="41"/>
  <c r="Q315" i="41"/>
  <c r="Q540" i="41"/>
  <c r="Q538" i="41"/>
  <c r="Q536" i="41"/>
  <c r="Q534" i="41"/>
  <c r="Q532" i="41"/>
  <c r="Q530" i="41"/>
  <c r="Q481" i="41"/>
  <c r="Q474" i="41"/>
  <c r="Q467" i="41"/>
  <c r="Q463" i="41"/>
  <c r="Q460" i="41"/>
  <c r="Q456" i="41"/>
  <c r="Q450" i="41"/>
  <c r="Q445" i="41"/>
  <c r="Q441" i="41"/>
  <c r="Q434" i="41"/>
  <c r="Q408" i="41"/>
  <c r="Q404" i="41"/>
  <c r="Q393" i="41"/>
  <c r="Q388" i="41"/>
  <c r="Q384" i="41"/>
  <c r="Q380" i="41"/>
  <c r="Q373" i="41"/>
  <c r="Q366" i="41"/>
  <c r="Q362" i="41"/>
  <c r="Q347" i="41"/>
  <c r="Q343" i="41"/>
  <c r="Q320" i="41"/>
  <c r="Q316" i="41"/>
  <c r="Q312" i="41"/>
  <c r="Q290" i="41"/>
  <c r="Q286" i="41"/>
  <c r="Q282" i="41"/>
  <c r="Q270" i="41"/>
  <c r="Q254" i="41"/>
  <c r="Q248" i="41"/>
  <c r="Q244" i="41"/>
  <c r="Q240" i="41"/>
  <c r="Q233" i="41"/>
  <c r="Q211" i="41"/>
  <c r="Q207" i="41"/>
  <c r="Q182" i="41"/>
  <c r="Q175" i="41"/>
  <c r="Q171" i="41"/>
  <c r="Q168" i="41"/>
  <c r="Q164" i="41"/>
  <c r="Q159" i="41"/>
  <c r="Q150" i="41"/>
  <c r="Q123" i="41"/>
  <c r="Q117" i="41"/>
  <c r="Q113" i="41"/>
  <c r="Q109" i="41"/>
  <c r="Q105" i="41"/>
  <c r="Q101" i="41"/>
  <c r="Q97" i="41"/>
  <c r="Q90" i="41"/>
  <c r="Q77" i="41"/>
  <c r="Q63" i="41"/>
  <c r="Q58" i="41"/>
  <c r="Q54" i="41"/>
  <c r="Q50" i="41"/>
  <c r="Q42" i="41"/>
  <c r="Q35" i="41"/>
  <c r="Q31" i="41"/>
  <c r="Q26" i="41"/>
  <c r="Q687" i="41"/>
  <c r="Q688" i="41"/>
  <c r="Q689" i="41"/>
  <c r="Q690" i="41"/>
  <c r="Q691" i="41"/>
  <c r="Q692" i="41"/>
  <c r="Q693" i="41"/>
  <c r="Q694" i="41"/>
  <c r="Q695" i="41"/>
  <c r="Q696" i="41"/>
  <c r="Q697" i="41"/>
  <c r="Q698" i="41"/>
  <c r="Q699" i="41"/>
  <c r="Q700" i="41"/>
  <c r="Q701" i="41"/>
  <c r="Q702" i="41"/>
  <c r="Q703" i="41"/>
  <c r="Q704" i="41"/>
  <c r="Q705" i="41"/>
  <c r="Q706" i="41" l="1"/>
  <c r="Q707" i="41"/>
  <c r="Q708" i="41"/>
  <c r="Q709" i="41"/>
  <c r="Q710" i="41"/>
  <c r="Q711" i="41"/>
  <c r="Q712" i="41"/>
  <c r="Q713" i="41"/>
  <c r="Q714" i="41"/>
  <c r="Q715" i="41"/>
  <c r="Q716" i="41"/>
  <c r="Q717" i="41"/>
  <c r="Q718" i="41"/>
  <c r="Q719" i="41"/>
  <c r="Q720" i="41"/>
  <c r="Q721" i="41"/>
  <c r="Q722" i="41"/>
  <c r="Q723" i="41"/>
  <c r="Q724" i="41"/>
  <c r="Q725" i="41"/>
  <c r="Q726" i="41"/>
  <c r="Q727" i="41"/>
  <c r="Q728" i="41"/>
  <c r="Q729" i="41"/>
  <c r="Q730" i="41"/>
  <c r="Q731" i="41"/>
  <c r="Q732" i="41"/>
  <c r="Q733" i="41"/>
  <c r="Q734" i="41"/>
  <c r="Q735" i="41"/>
  <c r="Q736" i="41"/>
  <c r="Q737" i="41"/>
  <c r="Q738" i="41"/>
  <c r="Q739" i="41"/>
  <c r="Q740" i="41"/>
  <c r="H7" i="68" l="1"/>
  <c r="H8" i="68"/>
  <c r="H9" i="68"/>
  <c r="H10" i="68"/>
  <c r="H11" i="68"/>
  <c r="H12" i="68"/>
  <c r="H6" i="68"/>
  <c r="M8" i="65" l="1"/>
  <c r="M9" i="65"/>
  <c r="M10" i="65"/>
  <c r="M11" i="65"/>
  <c r="M12" i="65"/>
  <c r="M13" i="65"/>
  <c r="M7" i="65"/>
  <c r="Q11" i="41"/>
  <c r="F46" i="65" l="1"/>
  <c r="F43" i="65"/>
  <c r="C46" i="65"/>
  <c r="D46" i="65"/>
  <c r="C43" i="65"/>
  <c r="D43" i="65"/>
  <c r="B43" i="65" s="1"/>
  <c r="B8" i="65"/>
  <c r="B6" i="65"/>
  <c r="E8" i="65"/>
  <c r="E6" i="65"/>
  <c r="E34" i="65"/>
  <c r="B34" i="65"/>
  <c r="E31" i="65"/>
  <c r="B31" i="65"/>
  <c r="B29" i="65" s="1"/>
  <c r="B38" i="65" s="1"/>
  <c r="F29" i="65"/>
  <c r="F38" i="65" s="1"/>
  <c r="D29" i="65"/>
  <c r="D38" i="65" s="1"/>
  <c r="C29" i="65"/>
  <c r="C38" i="65" s="1"/>
  <c r="E46" i="65" l="1"/>
  <c r="E41" i="65" s="1"/>
  <c r="E50" i="65" s="1"/>
  <c r="E43" i="65"/>
  <c r="E29" i="65"/>
  <c r="E38" i="65" s="1"/>
  <c r="B46" i="65"/>
  <c r="B41" i="65" s="1"/>
  <c r="B50" i="65" s="1"/>
  <c r="C41" i="65"/>
  <c r="C50" i="65" s="1"/>
  <c r="F41" i="65"/>
  <c r="F50" i="65" s="1"/>
  <c r="D41" i="65"/>
  <c r="D50" i="65" s="1"/>
  <c r="C15" i="65"/>
  <c r="D15" i="65"/>
  <c r="F15" i="65"/>
  <c r="E20" i="65"/>
  <c r="E17" i="65"/>
  <c r="B20" i="65"/>
  <c r="B17" i="65"/>
  <c r="M52" i="65"/>
  <c r="L52" i="65"/>
  <c r="K52" i="65"/>
  <c r="J52" i="65"/>
  <c r="B15" i="65" l="1"/>
  <c r="E15" i="65"/>
  <c r="S8" i="65"/>
  <c r="S11" i="65"/>
  <c r="S12" i="65"/>
  <c r="S13" i="65"/>
  <c r="S14" i="65"/>
  <c r="S15" i="65"/>
  <c r="S16" i="65"/>
  <c r="S17" i="65"/>
  <c r="S7" i="65"/>
  <c r="S10" i="65"/>
  <c r="S9" i="65"/>
  <c r="C4" i="65" l="1"/>
  <c r="C24" i="65" s="1"/>
  <c r="F4" i="65"/>
  <c r="F24" i="65" s="1"/>
  <c r="E4" i="65"/>
  <c r="E24" i="65" s="1"/>
  <c r="D4" i="65"/>
  <c r="D24" i="65" s="1"/>
  <c r="S18" i="65"/>
  <c r="P18" i="65"/>
  <c r="M18" i="65"/>
  <c r="J18" i="65"/>
  <c r="S12" i="41"/>
  <c r="S13" i="41"/>
  <c r="S14" i="41"/>
  <c r="S15" i="41"/>
  <c r="S16" i="41"/>
  <c r="S17" i="41"/>
  <c r="S18" i="41"/>
  <c r="S19" i="41"/>
  <c r="S21" i="41"/>
  <c r="S22" i="41"/>
  <c r="S23" i="41"/>
  <c r="S24" i="41"/>
  <c r="S25" i="41"/>
  <c r="S26" i="41"/>
  <c r="S27" i="41"/>
  <c r="S28" i="41"/>
  <c r="S29" i="41"/>
  <c r="S31" i="41"/>
  <c r="S32" i="41"/>
  <c r="S33" i="41"/>
  <c r="S34" i="41"/>
  <c r="S41" i="41"/>
  <c r="S42" i="41"/>
  <c r="S43" i="41"/>
  <c r="S44" i="41"/>
  <c r="S45" i="41"/>
  <c r="S46" i="41"/>
  <c r="S47" i="41"/>
  <c r="S48" i="41"/>
  <c r="S49" i="41"/>
  <c r="S50" i="41"/>
  <c r="S51" i="41"/>
  <c r="S52" i="41"/>
  <c r="S53" i="41"/>
  <c r="S54" i="41"/>
  <c r="S55" i="41"/>
  <c r="S56" i="41"/>
  <c r="S57" i="41"/>
  <c r="S58" i="41"/>
  <c r="S59" i="41"/>
  <c r="S60" i="41"/>
  <c r="S62" i="41"/>
  <c r="S63" i="41"/>
  <c r="S64" i="41"/>
  <c r="S65" i="41"/>
  <c r="S66" i="41"/>
  <c r="S67" i="41"/>
  <c r="S68" i="41"/>
  <c r="S69" i="41"/>
  <c r="S70" i="41"/>
  <c r="S71" i="41"/>
  <c r="S72" i="41"/>
  <c r="S73" i="41"/>
  <c r="S74" i="41"/>
  <c r="S75" i="41"/>
  <c r="S76" i="41"/>
  <c r="S77" i="41"/>
  <c r="S78" i="41"/>
  <c r="S79" i="41"/>
  <c r="S80" i="41"/>
  <c r="S82" i="41"/>
  <c r="S83" i="41"/>
  <c r="S84" i="41"/>
  <c r="S85" i="41"/>
  <c r="S86" i="41"/>
  <c r="S87" i="41"/>
  <c r="S88" i="41"/>
  <c r="S89" i="41"/>
  <c r="S90" i="41"/>
  <c r="S91" i="41"/>
  <c r="S92" i="41"/>
  <c r="S93" i="41"/>
  <c r="S94" i="41"/>
  <c r="S95" i="41"/>
  <c r="S96" i="41"/>
  <c r="S97" i="41"/>
  <c r="S98" i="41"/>
  <c r="S99" i="41"/>
  <c r="S100" i="41"/>
  <c r="S101" i="41"/>
  <c r="S102" i="41"/>
  <c r="S103" i="41"/>
  <c r="S104" i="41"/>
  <c r="S105" i="41"/>
  <c r="S106" i="41"/>
  <c r="S107" i="41"/>
  <c r="S108" i="41"/>
  <c r="S109" i="41"/>
  <c r="S110" i="41"/>
  <c r="S111" i="41"/>
  <c r="S112" i="41"/>
  <c r="S113" i="41"/>
  <c r="S114" i="41"/>
  <c r="S115" i="41"/>
  <c r="S116" i="41"/>
  <c r="S117" i="41"/>
  <c r="S118" i="41"/>
  <c r="S119" i="41"/>
  <c r="S120" i="41"/>
  <c r="S121" i="41"/>
  <c r="S122" i="41"/>
  <c r="S125" i="41"/>
  <c r="S126" i="41"/>
  <c r="S127" i="41"/>
  <c r="S131" i="41"/>
  <c r="S132" i="41"/>
  <c r="S133" i="41"/>
  <c r="S134" i="41"/>
  <c r="S135" i="41"/>
  <c r="S136" i="41"/>
  <c r="S137" i="41"/>
  <c r="S138" i="41"/>
  <c r="S139" i="41"/>
  <c r="S140" i="41"/>
  <c r="S141" i="41"/>
  <c r="S142" i="41"/>
  <c r="S144" i="41"/>
  <c r="S145" i="41"/>
  <c r="S146" i="41"/>
  <c r="S147" i="41"/>
  <c r="S148" i="41"/>
  <c r="S149" i="41"/>
  <c r="S150" i="41"/>
  <c r="S151" i="41"/>
  <c r="S152" i="41"/>
  <c r="S153" i="41"/>
  <c r="S154" i="41"/>
  <c r="S155" i="41"/>
  <c r="S156" i="41"/>
  <c r="S157" i="41"/>
  <c r="S158" i="41"/>
  <c r="S159" i="41"/>
  <c r="S160" i="41"/>
  <c r="S161" i="41"/>
  <c r="S162" i="41"/>
  <c r="S163" i="41"/>
  <c r="S164" i="41"/>
  <c r="S165" i="41"/>
  <c r="S166" i="41"/>
  <c r="S167" i="41"/>
  <c r="S168" i="41"/>
  <c r="S169" i="41"/>
  <c r="S170" i="41"/>
  <c r="S171" i="41"/>
  <c r="S172" i="41"/>
  <c r="S173" i="41"/>
  <c r="S174" i="41"/>
  <c r="S175" i="41"/>
  <c r="S176" i="41"/>
  <c r="S177" i="41"/>
  <c r="S178" i="41"/>
  <c r="S179" i="41"/>
  <c r="S180" i="41"/>
  <c r="S181" i="41"/>
  <c r="S182" i="41"/>
  <c r="S183" i="41"/>
  <c r="S184" i="41"/>
  <c r="S186" i="41"/>
  <c r="S187" i="41"/>
  <c r="S188" i="41"/>
  <c r="S199" i="41"/>
  <c r="S200" i="41"/>
  <c r="S201" i="41"/>
  <c r="S202" i="41"/>
  <c r="S203" i="41"/>
  <c r="S204" i="41"/>
  <c r="S205" i="41"/>
  <c r="S206" i="41"/>
  <c r="S207" i="41"/>
  <c r="S208" i="41"/>
  <c r="S209" i="41"/>
  <c r="S210" i="41"/>
  <c r="S211" i="41"/>
  <c r="S212" i="41"/>
  <c r="S213" i="41"/>
  <c r="S214" i="41"/>
  <c r="S215" i="41"/>
  <c r="S216" i="41"/>
  <c r="S217" i="41"/>
  <c r="S222" i="41"/>
  <c r="S223" i="41"/>
  <c r="S224" i="41"/>
  <c r="S225" i="41"/>
  <c r="S226" i="41"/>
  <c r="S227" i="41"/>
  <c r="S228" i="41"/>
  <c r="S229" i="41"/>
  <c r="S230" i="41"/>
  <c r="S231" i="41"/>
  <c r="S232" i="41"/>
  <c r="S233" i="41"/>
  <c r="S234" i="41"/>
  <c r="S235" i="41"/>
  <c r="S236" i="41"/>
  <c r="S237" i="41"/>
  <c r="S238" i="41"/>
  <c r="S239" i="41"/>
  <c r="S240" i="41"/>
  <c r="S241" i="41"/>
  <c r="S247" i="41"/>
  <c r="S248" i="41"/>
  <c r="S249" i="41"/>
  <c r="S250" i="41"/>
  <c r="S253" i="41"/>
  <c r="S270" i="41"/>
  <c r="S271" i="41"/>
  <c r="S272" i="41"/>
  <c r="S273" i="41"/>
  <c r="S275" i="41"/>
  <c r="S276" i="41"/>
  <c r="S278" i="41"/>
  <c r="S279" i="41"/>
  <c r="S280" i="41"/>
  <c r="S281" i="41"/>
  <c r="S282" i="41"/>
  <c r="S283" i="41"/>
  <c r="S284" i="41"/>
  <c r="S286" i="41"/>
  <c r="S287" i="41"/>
  <c r="S288" i="41"/>
  <c r="S289" i="41"/>
  <c r="S290" i="41"/>
  <c r="S291" i="41"/>
  <c r="S292" i="41"/>
  <c r="S293" i="41"/>
  <c r="S294" i="41"/>
  <c r="S295" i="41"/>
  <c r="S296" i="41"/>
  <c r="S297" i="41"/>
  <c r="S298" i="41"/>
  <c r="S302" i="41"/>
  <c r="S303" i="41"/>
  <c r="S306" i="41"/>
  <c r="S307" i="41"/>
  <c r="S308" i="41"/>
  <c r="S309" i="41"/>
  <c r="S310" i="41"/>
  <c r="S311" i="41"/>
  <c r="S312" i="41"/>
  <c r="S313" i="41"/>
  <c r="S314" i="41"/>
  <c r="S315" i="41"/>
  <c r="S316" i="41"/>
  <c r="S317" i="41"/>
  <c r="S318" i="41"/>
  <c r="S319" i="41"/>
  <c r="S320" i="41"/>
  <c r="S322" i="41"/>
  <c r="S323" i="41"/>
  <c r="S324" i="41"/>
  <c r="S326" i="41"/>
  <c r="S327" i="41"/>
  <c r="S328" i="41"/>
  <c r="S329" i="41"/>
  <c r="S330" i="41"/>
  <c r="S331" i="41"/>
  <c r="S332" i="41"/>
  <c r="S334" i="41"/>
  <c r="S335" i="41"/>
  <c r="S336" i="41"/>
  <c r="S337" i="41"/>
  <c r="S338" i="41"/>
  <c r="S339" i="41"/>
  <c r="S340" i="41"/>
  <c r="S341" i="41"/>
  <c r="S342" i="41"/>
  <c r="S343" i="41"/>
  <c r="S344" i="41"/>
  <c r="S345" i="41"/>
  <c r="S346" i="41"/>
  <c r="S347" i="41"/>
  <c r="S348" i="41"/>
  <c r="S349" i="41"/>
  <c r="S350" i="41"/>
  <c r="S362" i="41"/>
  <c r="S363" i="41"/>
  <c r="S364" i="41"/>
  <c r="S365" i="41"/>
  <c r="S366" i="41"/>
  <c r="S367" i="41"/>
  <c r="S368" i="41"/>
  <c r="S369" i="41"/>
  <c r="S373" i="41"/>
  <c r="S377" i="41"/>
  <c r="S378" i="41"/>
  <c r="S379" i="41"/>
  <c r="S380" i="41"/>
  <c r="S421" i="41"/>
  <c r="S425" i="41"/>
  <c r="S426" i="41"/>
  <c r="S427" i="41"/>
  <c r="S428" i="41"/>
  <c r="S434" i="41"/>
  <c r="S435" i="41"/>
  <c r="S436" i="41"/>
  <c r="S437" i="41"/>
  <c r="S438" i="41"/>
  <c r="S439" i="41"/>
  <c r="S440" i="41"/>
  <c r="S441" i="41"/>
  <c r="S442" i="41"/>
  <c r="S443" i="41"/>
  <c r="S444" i="41"/>
  <c r="S445" i="41"/>
  <c r="S447" i="41"/>
  <c r="S448" i="41"/>
  <c r="S449" i="41"/>
  <c r="S450" i="41"/>
  <c r="S451" i="41"/>
  <c r="S452" i="41"/>
  <c r="S453" i="41"/>
  <c r="S456" i="41"/>
  <c r="S457" i="41"/>
  <c r="S458" i="41"/>
  <c r="S459" i="41"/>
  <c r="S460" i="41"/>
  <c r="S461" i="41"/>
  <c r="S462" i="41"/>
  <c r="S463" i="41"/>
  <c r="S464" i="41"/>
  <c r="S465" i="41"/>
  <c r="S466" i="41"/>
  <c r="S467" i="41"/>
  <c r="S468" i="41"/>
  <c r="S469" i="41"/>
  <c r="S470" i="41"/>
  <c r="S471" i="41"/>
  <c r="S472" i="41"/>
  <c r="S473" i="41"/>
  <c r="S474" i="41"/>
  <c r="S475" i="41"/>
  <c r="S476" i="41"/>
  <c r="S477" i="41"/>
  <c r="S478" i="41"/>
  <c r="S479" i="41"/>
  <c r="S480" i="41"/>
  <c r="S481" i="41"/>
  <c r="S482" i="41"/>
  <c r="S483" i="41"/>
  <c r="S484" i="41"/>
  <c r="S485" i="41"/>
  <c r="S486" i="41"/>
  <c r="S488" i="41"/>
  <c r="S489" i="41"/>
  <c r="S490" i="41"/>
  <c r="S491" i="41"/>
  <c r="S494" i="41"/>
  <c r="S495" i="41"/>
  <c r="S496" i="41"/>
  <c r="S497" i="41"/>
  <c r="S498" i="41"/>
  <c r="S499" i="41"/>
  <c r="S500" i="41"/>
  <c r="S501" i="41"/>
  <c r="S502" i="41"/>
  <c r="S503" i="41"/>
  <c r="S504" i="41"/>
  <c r="S505" i="41"/>
  <c r="S506" i="41"/>
  <c r="S507" i="41"/>
  <c r="S508" i="41"/>
  <c r="S509" i="41"/>
  <c r="S510" i="41"/>
  <c r="S511" i="41"/>
  <c r="S512" i="41"/>
  <c r="S513" i="41"/>
  <c r="S514" i="41"/>
  <c r="S515" i="41"/>
  <c r="S516" i="41"/>
  <c r="S517" i="41"/>
  <c r="S518" i="41"/>
  <c r="S519" i="41"/>
  <c r="S520" i="41"/>
  <c r="S521" i="41"/>
  <c r="S522" i="41"/>
  <c r="S523" i="41"/>
  <c r="S524" i="41"/>
  <c r="S525" i="41"/>
  <c r="S526" i="41"/>
  <c r="S527" i="41"/>
  <c r="S528" i="41"/>
  <c r="S529" i="41"/>
  <c r="S530" i="41"/>
  <c r="S531" i="41"/>
  <c r="S532" i="41"/>
  <c r="S533" i="41"/>
  <c r="S534" i="41"/>
  <c r="S535" i="41"/>
  <c r="S536" i="41"/>
  <c r="S537" i="41"/>
  <c r="S538" i="41"/>
  <c r="S539" i="41"/>
  <c r="S540" i="41"/>
  <c r="S648" i="41"/>
  <c r="S649" i="41"/>
  <c r="S650" i="41"/>
  <c r="S651" i="41"/>
  <c r="S652" i="41"/>
  <c r="S653" i="41"/>
  <c r="S654" i="41"/>
  <c r="S655" i="41"/>
  <c r="S656" i="41"/>
  <c r="S657" i="41"/>
  <c r="S658" i="41"/>
  <c r="S659" i="41"/>
  <c r="S660" i="41"/>
  <c r="S661" i="41"/>
  <c r="S662" i="41"/>
  <c r="S663" i="41"/>
  <c r="S664" i="41"/>
  <c r="S665" i="41"/>
  <c r="S666" i="41"/>
  <c r="S667" i="41"/>
  <c r="S668" i="41"/>
  <c r="S669" i="41"/>
  <c r="S670" i="41"/>
  <c r="S671" i="41"/>
  <c r="S672" i="41"/>
  <c r="S673" i="41"/>
  <c r="S674" i="41"/>
  <c r="S675" i="41"/>
  <c r="S676" i="41"/>
  <c r="S677" i="41"/>
  <c r="S678" i="41"/>
  <c r="S679" i="41"/>
  <c r="S680" i="41"/>
  <c r="S681" i="41"/>
  <c r="S682" i="41"/>
  <c r="S683" i="41"/>
  <c r="S684" i="41"/>
  <c r="S685" i="41"/>
  <c r="S686" i="41"/>
  <c r="S687" i="41"/>
  <c r="S688" i="41"/>
  <c r="S689" i="41"/>
  <c r="S690" i="41"/>
  <c r="S691" i="41"/>
  <c r="S692" i="41"/>
  <c r="S693" i="41"/>
  <c r="S694" i="41"/>
  <c r="S695" i="41"/>
  <c r="S696" i="41"/>
  <c r="S697" i="41"/>
  <c r="S698" i="41"/>
  <c r="S699" i="41"/>
  <c r="S700" i="41"/>
  <c r="S701" i="41"/>
  <c r="S702" i="41"/>
  <c r="S703" i="41"/>
  <c r="S704" i="41"/>
  <c r="S705" i="41"/>
  <c r="S706" i="41"/>
  <c r="S707" i="41"/>
  <c r="S708" i="41"/>
  <c r="S709" i="41"/>
  <c r="S710" i="41"/>
  <c r="S711" i="41"/>
  <c r="S712" i="41"/>
  <c r="S713" i="41"/>
  <c r="S714" i="41"/>
  <c r="S715" i="41"/>
  <c r="S716" i="41"/>
  <c r="S717" i="41"/>
  <c r="S718" i="41"/>
  <c r="S719" i="41"/>
  <c r="S720" i="41"/>
  <c r="S721" i="41"/>
  <c r="S722" i="41"/>
  <c r="S723" i="41"/>
  <c r="S724" i="41"/>
  <c r="S725" i="41"/>
  <c r="S726" i="41"/>
  <c r="S727" i="41"/>
  <c r="S728" i="41"/>
  <c r="S729" i="41"/>
  <c r="S730" i="41"/>
  <c r="S731" i="41"/>
  <c r="S732" i="41"/>
  <c r="S733" i="41"/>
  <c r="S734" i="41"/>
  <c r="S735" i="41"/>
  <c r="S736" i="41"/>
  <c r="S737" i="41"/>
  <c r="S738" i="41"/>
  <c r="S739" i="41"/>
  <c r="S740" i="41"/>
  <c r="S741" i="41"/>
  <c r="S742" i="41"/>
  <c r="S743" i="41"/>
  <c r="S744" i="41"/>
  <c r="S745" i="41"/>
  <c r="S746" i="41"/>
  <c r="S747" i="41"/>
  <c r="S748" i="41"/>
  <c r="S749" i="41"/>
  <c r="S750" i="41"/>
  <c r="S751" i="41"/>
  <c r="S752" i="41"/>
  <c r="S753" i="41"/>
  <c r="S754" i="41"/>
  <c r="S755" i="41"/>
  <c r="S756" i="41"/>
  <c r="S757" i="41"/>
  <c r="S758" i="41"/>
  <c r="S759" i="41"/>
  <c r="S760" i="41"/>
  <c r="S761" i="41"/>
  <c r="S762" i="41"/>
  <c r="S763" i="41"/>
  <c r="S764" i="41"/>
  <c r="S765" i="41"/>
  <c r="S766" i="41"/>
  <c r="S767" i="41"/>
  <c r="S768" i="41"/>
  <c r="S769" i="41"/>
  <c r="S770" i="41"/>
  <c r="S771" i="41"/>
  <c r="S772" i="41"/>
  <c r="S773" i="41"/>
  <c r="S774" i="41"/>
  <c r="S775" i="41"/>
  <c r="S776" i="41"/>
  <c r="S777" i="41"/>
  <c r="S778" i="41"/>
  <c r="S779" i="41"/>
  <c r="S780" i="41"/>
  <c r="S781" i="41"/>
  <c r="S782" i="41"/>
  <c r="S783" i="41"/>
  <c r="S784" i="41"/>
  <c r="S785" i="41"/>
  <c r="S786" i="41"/>
  <c r="S787" i="41"/>
  <c r="S788" i="41"/>
  <c r="S789" i="41"/>
  <c r="S790" i="41"/>
  <c r="S791" i="41"/>
  <c r="S792" i="41"/>
  <c r="S793" i="41"/>
  <c r="S794" i="41"/>
  <c r="S795" i="41"/>
  <c r="S796" i="41"/>
  <c r="S797" i="41"/>
  <c r="S798" i="41"/>
  <c r="S799" i="41"/>
  <c r="S800" i="41"/>
  <c r="S801" i="41"/>
  <c r="S802" i="41"/>
  <c r="S803" i="41"/>
  <c r="S804" i="41"/>
  <c r="S805" i="41"/>
  <c r="S806" i="41"/>
  <c r="S807" i="41"/>
  <c r="S808" i="41"/>
  <c r="S809" i="41"/>
  <c r="S810" i="41"/>
  <c r="S811" i="41"/>
  <c r="S812" i="41"/>
  <c r="S813" i="41"/>
  <c r="S814" i="41"/>
  <c r="S815" i="41"/>
  <c r="S816" i="41"/>
  <c r="S817" i="41"/>
  <c r="S818" i="41"/>
  <c r="S819" i="41"/>
  <c r="S820" i="41"/>
  <c r="S821" i="41"/>
  <c r="S11" i="41"/>
  <c r="AN147" i="41"/>
  <c r="AF15" i="41"/>
  <c r="AF11" i="41"/>
  <c r="AC11" i="41"/>
  <c r="Y12" i="41"/>
  <c r="AJ12" i="41"/>
  <c r="Y11" i="41"/>
  <c r="AD12" i="41"/>
  <c r="AC12" i="41"/>
  <c r="AH12" i="41"/>
  <c r="X11" i="41"/>
  <c r="AD11" i="41"/>
  <c r="AG12" i="41"/>
  <c r="AE12" i="41"/>
  <c r="Z12" i="41"/>
  <c r="AB11" i="41"/>
  <c r="Z11" i="41"/>
  <c r="AJ11" i="41"/>
  <c r="AE11" i="41"/>
  <c r="AB12" i="41"/>
  <c r="AA12" i="41"/>
  <c r="AH11" i="41"/>
  <c r="AF12" i="41"/>
  <c r="AI12" i="41"/>
  <c r="AA11" i="41"/>
  <c r="AI11" i="41"/>
  <c r="AG11" i="41"/>
  <c r="X12" i="41"/>
  <c r="AH14" i="41" l="1"/>
  <c r="AF14" i="41"/>
  <c r="AA14" i="41"/>
  <c r="AX36" i="41"/>
  <c r="AP119" i="41"/>
  <c r="AU38" i="41"/>
  <c r="AS87" i="41"/>
  <c r="BA128" i="41"/>
  <c r="AD14" i="41"/>
  <c r="AT116" i="41"/>
  <c r="AQ89" i="41"/>
  <c r="AS25" i="41"/>
  <c r="AS41" i="41"/>
  <c r="BB107" i="41"/>
  <c r="AP61" i="41"/>
  <c r="AZ67" i="41"/>
  <c r="AV81" i="41"/>
  <c r="AP65" i="41"/>
  <c r="AV136" i="41"/>
  <c r="AV131" i="41"/>
  <c r="AG14" i="41"/>
  <c r="Z14" i="41"/>
  <c r="BA14" i="41"/>
  <c r="BB18" i="41"/>
  <c r="AW47" i="41"/>
  <c r="BC86" i="41"/>
  <c r="AO94" i="41"/>
  <c r="AW22" i="41"/>
  <c r="AU82" i="41"/>
  <c r="AZ120" i="41"/>
  <c r="AP40" i="41"/>
  <c r="AY21" i="41"/>
  <c r="AZ22" i="41"/>
  <c r="AU20" i="41"/>
  <c r="AN39" i="41"/>
  <c r="AY90" i="41"/>
  <c r="BB24" i="41"/>
  <c r="AN132" i="41"/>
  <c r="AO124" i="41"/>
  <c r="AO98" i="41"/>
  <c r="AX121" i="41"/>
  <c r="BA130" i="41"/>
  <c r="AZ97" i="41"/>
  <c r="AU56" i="41"/>
  <c r="AT80" i="41"/>
  <c r="AR53" i="41"/>
  <c r="AY86" i="41"/>
  <c r="AY85" i="41"/>
  <c r="AO127" i="41"/>
  <c r="BC61" i="41"/>
  <c r="BA51" i="41"/>
  <c r="BC21" i="41"/>
  <c r="AP136" i="41"/>
  <c r="BC22" i="41"/>
  <c r="AW114" i="41"/>
  <c r="AQ76" i="41"/>
  <c r="BB58" i="41"/>
  <c r="AO89" i="41"/>
  <c r="AP110" i="41"/>
  <c r="AR136" i="41"/>
  <c r="BA65" i="41"/>
  <c r="BC123" i="41"/>
  <c r="AO77" i="41"/>
  <c r="AP55" i="41"/>
  <c r="AN98" i="41"/>
  <c r="AV32" i="41"/>
  <c r="AX21" i="41"/>
  <c r="AR62" i="41"/>
  <c r="AZ117" i="41"/>
  <c r="AO103" i="41"/>
  <c r="BB93" i="41"/>
  <c r="BB47" i="41"/>
  <c r="AO121" i="41"/>
  <c r="AW14" i="41"/>
  <c r="AU50" i="41"/>
  <c r="AR68" i="41"/>
  <c r="AR115" i="41"/>
  <c r="AT96" i="41"/>
  <c r="AU110" i="41"/>
  <c r="AO74" i="41"/>
  <c r="AU111" i="41"/>
  <c r="AN90" i="41"/>
  <c r="AZ113" i="41"/>
  <c r="AV95" i="41"/>
  <c r="AS118" i="41"/>
  <c r="AO105" i="41"/>
  <c r="AN122" i="41"/>
  <c r="AU83" i="41"/>
  <c r="AN104" i="41"/>
  <c r="BC121" i="41"/>
  <c r="AN52" i="41"/>
  <c r="AS110" i="41"/>
  <c r="AY60" i="41"/>
  <c r="AS82" i="41"/>
  <c r="AS89" i="41"/>
  <c r="AV50" i="41"/>
  <c r="AT23" i="41"/>
  <c r="BB20" i="41"/>
  <c r="AS100" i="41"/>
  <c r="AX118" i="41"/>
  <c r="BB123" i="41"/>
  <c r="BB118" i="41"/>
  <c r="AV18" i="41"/>
  <c r="AS134" i="41"/>
  <c r="AU30" i="41"/>
  <c r="AO54" i="41"/>
  <c r="AZ56" i="41"/>
  <c r="AQ123" i="41"/>
  <c r="AV125" i="41"/>
  <c r="AZ133" i="41"/>
  <c r="AP24" i="41"/>
  <c r="BA44" i="41"/>
  <c r="BB30" i="41"/>
  <c r="BB129" i="41"/>
  <c r="AU18" i="41"/>
  <c r="AN47" i="41"/>
  <c r="AQ140" i="41"/>
  <c r="BC120" i="41"/>
  <c r="BB68" i="41"/>
  <c r="AW62" i="41"/>
  <c r="AP66" i="41"/>
  <c r="AT55" i="41"/>
  <c r="AV30" i="41"/>
  <c r="AW85" i="41"/>
  <c r="AY139" i="41"/>
  <c r="BB91" i="41"/>
  <c r="AZ82" i="41"/>
  <c r="AU41" i="41"/>
  <c r="AZ68" i="41"/>
  <c r="AT33" i="41"/>
  <c r="AR21" i="41"/>
  <c r="AQ21" i="41"/>
  <c r="BA27" i="41"/>
  <c r="AX92" i="41"/>
  <c r="AZ110" i="41"/>
  <c r="AV104" i="41"/>
  <c r="AR71" i="41"/>
  <c r="BC47" i="41"/>
  <c r="AS123" i="41"/>
  <c r="AQ112" i="41"/>
  <c r="AT48" i="41"/>
  <c r="BA55" i="41"/>
  <c r="AV134" i="41"/>
  <c r="AX75" i="41"/>
  <c r="AR135" i="41"/>
  <c r="AO102" i="41"/>
  <c r="BC71" i="41"/>
  <c r="AZ134" i="41"/>
  <c r="BC136" i="41"/>
  <c r="AR122" i="41"/>
  <c r="BB45" i="41"/>
  <c r="AR140" i="41"/>
  <c r="AS50" i="41"/>
  <c r="AW35" i="41"/>
  <c r="AR69" i="41"/>
  <c r="AY118" i="41"/>
  <c r="AO37" i="41"/>
  <c r="AQ104" i="41"/>
  <c r="AU137" i="41"/>
  <c r="AX116" i="41"/>
  <c r="AY57" i="41"/>
  <c r="AP62" i="41"/>
  <c r="AX84" i="41"/>
  <c r="AZ130" i="41"/>
  <c r="AR19" i="41"/>
  <c r="AS31" i="41"/>
  <c r="AS122" i="41"/>
  <c r="AW75" i="41"/>
  <c r="AN101" i="41"/>
  <c r="AP108" i="41"/>
  <c r="BC69" i="41"/>
  <c r="AO111" i="41"/>
  <c r="AW67" i="41"/>
  <c r="AW27" i="41"/>
  <c r="AW122" i="41"/>
  <c r="BC20" i="41"/>
  <c r="AO42" i="41"/>
  <c r="AS38" i="41"/>
  <c r="AX117" i="41"/>
  <c r="AT110" i="41"/>
  <c r="AR101" i="41"/>
  <c r="BC43" i="41"/>
  <c r="BB59" i="41"/>
  <c r="AV108" i="41"/>
  <c r="AQ31" i="41"/>
  <c r="AW17" i="41"/>
  <c r="AT35" i="41"/>
  <c r="AN97" i="41"/>
  <c r="AW68" i="41"/>
  <c r="BA90" i="41"/>
  <c r="AR29" i="41"/>
  <c r="AV132" i="41"/>
  <c r="AR72" i="41"/>
  <c r="AX129" i="41"/>
  <c r="BC40" i="41"/>
  <c r="AY146" i="41"/>
  <c r="AU19" i="41"/>
  <c r="AP84" i="41"/>
  <c r="BC139" i="41"/>
  <c r="BC35" i="41"/>
  <c r="BC49" i="41"/>
  <c r="AT132" i="41"/>
  <c r="AO135" i="41"/>
  <c r="BA26" i="41"/>
  <c r="AQ61" i="41"/>
  <c r="AY35" i="41"/>
  <c r="AS116" i="41"/>
  <c r="AV57" i="41"/>
  <c r="AS63" i="41"/>
  <c r="AW70" i="41"/>
  <c r="BA56" i="41"/>
  <c r="BB61" i="41"/>
  <c r="BA137" i="41"/>
  <c r="AO63" i="41"/>
  <c r="AT105" i="41"/>
  <c r="AU48" i="41"/>
  <c r="AZ145" i="41"/>
  <c r="AQ34" i="41"/>
  <c r="AV64" i="41"/>
  <c r="BC104" i="41"/>
  <c r="AP79" i="41"/>
  <c r="AX136" i="41"/>
  <c r="AN95" i="41"/>
  <c r="AO72" i="41"/>
  <c r="BB97" i="41"/>
  <c r="AO43" i="41"/>
  <c r="AN117" i="41"/>
  <c r="AZ131" i="41"/>
  <c r="AP123" i="41"/>
  <c r="AU97" i="41"/>
  <c r="AT75" i="41"/>
  <c r="AY42" i="41"/>
  <c r="AY79" i="41"/>
  <c r="AO66" i="41"/>
  <c r="AR114" i="41"/>
  <c r="AU39" i="41"/>
  <c r="AR102" i="41"/>
  <c r="AX59" i="41"/>
  <c r="AU65" i="41"/>
  <c r="AS26" i="41"/>
  <c r="AQ44" i="41"/>
  <c r="AP98" i="41"/>
  <c r="AR106" i="41"/>
  <c r="AT58" i="41"/>
  <c r="AX28" i="41"/>
  <c r="BA123" i="41"/>
  <c r="AP18" i="41"/>
  <c r="AX38" i="41"/>
  <c r="BA129" i="41"/>
  <c r="AR104" i="41"/>
  <c r="AP67" i="41"/>
  <c r="AY49" i="41"/>
  <c r="AI14" i="41"/>
  <c r="AT70" i="41"/>
  <c r="AS19" i="41"/>
  <c r="AY129" i="41"/>
  <c r="AP32" i="41"/>
  <c r="AT27" i="41"/>
  <c r="BB29" i="41"/>
  <c r="AR16" i="41"/>
  <c r="AS80" i="41"/>
  <c r="AZ46" i="41"/>
  <c r="AR64" i="41"/>
  <c r="AN28" i="41"/>
  <c r="AS142" i="41"/>
  <c r="AV102" i="41"/>
  <c r="AU15" i="41"/>
  <c r="AU85" i="41"/>
  <c r="BA39" i="41"/>
  <c r="AQ30" i="41"/>
  <c r="AN125" i="41"/>
  <c r="AV35" i="41"/>
  <c r="AV15" i="41"/>
  <c r="BA133" i="41"/>
  <c r="BC53" i="41"/>
  <c r="AW60" i="41"/>
  <c r="BA118" i="41"/>
  <c r="AS96" i="41"/>
  <c r="AZ21" i="41"/>
  <c r="AY51" i="41"/>
  <c r="AN25" i="41"/>
  <c r="AS52" i="41"/>
  <c r="AU64" i="41"/>
  <c r="AU24" i="41"/>
  <c r="AO48" i="41"/>
  <c r="AW111" i="41"/>
  <c r="AN26" i="41"/>
  <c r="AO16" i="41"/>
  <c r="AN93" i="41"/>
  <c r="AR103" i="41"/>
  <c r="AZ42" i="41"/>
  <c r="AY32" i="41"/>
  <c r="AQ135" i="41"/>
  <c r="BB120" i="41"/>
  <c r="AW57" i="41"/>
  <c r="AX14" i="41"/>
  <c r="AR125" i="41"/>
  <c r="AV129" i="41"/>
  <c r="AU122" i="41"/>
  <c r="AP20" i="41"/>
  <c r="AR31" i="41"/>
  <c r="AR18" i="41"/>
  <c r="BB51" i="41"/>
  <c r="AS16" i="41"/>
  <c r="BC100" i="41"/>
  <c r="AN55" i="41"/>
  <c r="AQ15" i="41"/>
  <c r="AQ121" i="41"/>
  <c r="BB84" i="41"/>
  <c r="AN58" i="41"/>
  <c r="AZ121" i="41"/>
  <c r="AQ33" i="41"/>
  <c r="AV31" i="41"/>
  <c r="AV61" i="41"/>
  <c r="AT118" i="41"/>
  <c r="AN17" i="41"/>
  <c r="AX108" i="41"/>
  <c r="AT65" i="41"/>
  <c r="AX85" i="41"/>
  <c r="AZ47" i="41"/>
  <c r="AU17" i="41"/>
  <c r="AQ114" i="41"/>
  <c r="BB43" i="41"/>
  <c r="AP127" i="41"/>
  <c r="AS117" i="41"/>
  <c r="BA20" i="41"/>
  <c r="AU54" i="41"/>
  <c r="AU77" i="41"/>
  <c r="BB108" i="41"/>
  <c r="AZ109" i="41"/>
  <c r="AQ116" i="41"/>
  <c r="AO65" i="41"/>
  <c r="AQ115" i="41"/>
  <c r="AY95" i="41"/>
  <c r="BB137" i="41"/>
  <c r="AP33" i="41"/>
  <c r="BA136" i="41"/>
  <c r="AS23" i="41"/>
  <c r="AZ19" i="41"/>
  <c r="AS18" i="41"/>
  <c r="AX98" i="41"/>
  <c r="AR89" i="41"/>
  <c r="AZ70" i="41"/>
  <c r="AW77" i="41"/>
  <c r="BB60" i="41"/>
  <c r="AV67" i="41"/>
  <c r="AR94" i="41"/>
  <c r="AY111" i="41"/>
  <c r="AQ105" i="41"/>
  <c r="AX111" i="41"/>
  <c r="AY66" i="41"/>
  <c r="AQ53" i="41"/>
  <c r="BC88" i="41"/>
  <c r="AW83" i="41"/>
  <c r="AR107" i="41"/>
  <c r="AZ43" i="41"/>
  <c r="AU117" i="41"/>
  <c r="AY112" i="41"/>
  <c r="AN69" i="41"/>
  <c r="AQ58" i="41"/>
  <c r="AR66" i="41"/>
  <c r="AV121" i="41"/>
  <c r="AS48" i="41"/>
  <c r="AS102" i="41"/>
  <c r="AR25" i="41"/>
  <c r="AN50" i="41"/>
  <c r="AY114" i="41"/>
  <c r="BC142" i="41"/>
  <c r="AT81" i="41"/>
  <c r="AR116" i="41"/>
  <c r="AU76" i="41"/>
  <c r="AO139" i="41"/>
  <c r="AW45" i="41"/>
  <c r="AT109" i="41"/>
  <c r="AV83" i="41"/>
  <c r="AQ55" i="41"/>
  <c r="AX128" i="41"/>
  <c r="AZ100" i="41"/>
  <c r="AV92" i="41"/>
  <c r="AW74" i="41"/>
  <c r="BC65" i="41"/>
  <c r="BC48" i="41"/>
  <c r="AV21" i="41"/>
  <c r="BB35" i="41"/>
  <c r="AN113" i="41"/>
  <c r="AZ91" i="41"/>
  <c r="BA88" i="41"/>
  <c r="AU88" i="41"/>
  <c r="AX120" i="41"/>
  <c r="AQ132" i="41"/>
  <c r="AV107" i="41"/>
  <c r="AN32" i="41"/>
  <c r="BB116" i="41"/>
  <c r="AR96" i="41"/>
  <c r="AY18" i="41"/>
  <c r="AT72" i="41"/>
  <c r="AZ93" i="41"/>
  <c r="AR57" i="41"/>
  <c r="AN92" i="41"/>
  <c r="AV38" i="41"/>
  <c r="AS55" i="41"/>
  <c r="AO104" i="41"/>
  <c r="AT57" i="41"/>
  <c r="AN134" i="41"/>
  <c r="AQ65" i="41"/>
  <c r="AN96" i="41"/>
  <c r="AX51" i="41"/>
  <c r="BC17" i="41"/>
  <c r="AQ20" i="41"/>
  <c r="AY28" i="41"/>
  <c r="AS69" i="41"/>
  <c r="AY67" i="41"/>
  <c r="AV27" i="41"/>
  <c r="BB113" i="41"/>
  <c r="AS120" i="41"/>
  <c r="AZ115" i="41"/>
  <c r="BC85" i="41"/>
  <c r="AX43" i="41"/>
  <c r="AO51" i="41"/>
  <c r="AY74" i="41"/>
  <c r="AU105" i="41"/>
  <c r="AN114" i="41"/>
  <c r="AQ32" i="41"/>
  <c r="AP120" i="41"/>
  <c r="AS54" i="41"/>
  <c r="AT121" i="41"/>
  <c r="AN73" i="41"/>
  <c r="AO125" i="41"/>
  <c r="AX66" i="41"/>
  <c r="AP41" i="41"/>
  <c r="AS47" i="41"/>
  <c r="AT36" i="41"/>
  <c r="AY124" i="41"/>
  <c r="AY75" i="41"/>
  <c r="AU40" i="41"/>
  <c r="AV123" i="41"/>
  <c r="BB111" i="41"/>
  <c r="AY100" i="41"/>
  <c r="BB80" i="41"/>
  <c r="BA102" i="41"/>
  <c r="AR126" i="41"/>
  <c r="BA17" i="41"/>
  <c r="AZ72" i="41"/>
  <c r="AY47" i="41"/>
  <c r="AV120" i="41"/>
  <c r="BB87" i="41"/>
  <c r="BA127" i="41"/>
  <c r="AW64" i="41"/>
  <c r="AR28" i="41"/>
  <c r="AQ124" i="41"/>
  <c r="AW33" i="41"/>
  <c r="AQ72" i="41"/>
  <c r="AN94" i="41"/>
  <c r="AV66" i="41"/>
  <c r="AO32" i="41"/>
  <c r="AZ106" i="41"/>
  <c r="BB95" i="41"/>
  <c r="BC133" i="41"/>
  <c r="AP126" i="41"/>
  <c r="BB65" i="41"/>
  <c r="AX89" i="41"/>
  <c r="AR121" i="41"/>
  <c r="AW110" i="41"/>
  <c r="BA100" i="41"/>
  <c r="AV74" i="41"/>
  <c r="AR39" i="41"/>
  <c r="AW117" i="41"/>
  <c r="AN71" i="41"/>
  <c r="AP106" i="41"/>
  <c r="AV140" i="41"/>
  <c r="AT34" i="41"/>
  <c r="BB70" i="41"/>
  <c r="AX39" i="41"/>
  <c r="AS97" i="41"/>
  <c r="AP19" i="41"/>
  <c r="AT100" i="41"/>
  <c r="AT129" i="41"/>
  <c r="AR52" i="41"/>
  <c r="AP46" i="41"/>
  <c r="AV34" i="41"/>
  <c r="AY121" i="41"/>
  <c r="AY128" i="41"/>
  <c r="AV122" i="41"/>
  <c r="AP16" i="41"/>
  <c r="BA34" i="41"/>
  <c r="AS90" i="41"/>
  <c r="AO86" i="41"/>
  <c r="AR58" i="41"/>
  <c r="AN60" i="41"/>
  <c r="AP115" i="41"/>
  <c r="AX102" i="41"/>
  <c r="BC134" i="41"/>
  <c r="AO58" i="41"/>
  <c r="AW84" i="41"/>
  <c r="AR15" i="41"/>
  <c r="AW119" i="41"/>
  <c r="AV89" i="41"/>
  <c r="AZ74" i="41"/>
  <c r="AV51" i="41"/>
  <c r="AY104" i="41"/>
  <c r="AV97" i="41"/>
  <c r="AT137" i="41"/>
  <c r="AP17" i="41"/>
  <c r="AX87" i="41"/>
  <c r="BB53" i="41"/>
  <c r="AV46" i="41"/>
  <c r="AV77" i="41"/>
  <c r="AU72" i="41"/>
  <c r="AP86" i="41"/>
  <c r="AS137" i="41"/>
  <c r="AT25" i="41"/>
  <c r="AQ137" i="41"/>
  <c r="BA83" i="41"/>
  <c r="BA67" i="41"/>
  <c r="BA58" i="41"/>
  <c r="AR110" i="41"/>
  <c r="AO79" i="41"/>
  <c r="AN34" i="41"/>
  <c r="AR77" i="41"/>
  <c r="AX61" i="41"/>
  <c r="BB135" i="41"/>
  <c r="AX62" i="41"/>
  <c r="AR73" i="41"/>
  <c r="AO67" i="41"/>
  <c r="AP51" i="41"/>
  <c r="AV111" i="41"/>
  <c r="AV117" i="41"/>
  <c r="BA35" i="41"/>
  <c r="AU59" i="41"/>
  <c r="AO113" i="41"/>
  <c r="AQ26" i="41"/>
  <c r="AP29" i="41"/>
  <c r="AT50" i="41"/>
  <c r="AN27" i="41"/>
  <c r="AZ61" i="41"/>
  <c r="AT125" i="41"/>
  <c r="AO83" i="41"/>
  <c r="AO126" i="41"/>
  <c r="AY93" i="41"/>
  <c r="AP50" i="41"/>
  <c r="BC33" i="41"/>
  <c r="AW103" i="41"/>
  <c r="AX119" i="41"/>
  <c r="BC81" i="41"/>
  <c r="AV14" i="41"/>
  <c r="AU89" i="41"/>
  <c r="AR49" i="41"/>
  <c r="AR139" i="41"/>
  <c r="AV42" i="41"/>
  <c r="BA53" i="41"/>
  <c r="AO49" i="41"/>
  <c r="AO61" i="41"/>
  <c r="AY16" i="41"/>
  <c r="BC70" i="41"/>
  <c r="AN62" i="41"/>
  <c r="AQ110" i="41"/>
  <c r="BC52" i="41"/>
  <c r="BB73" i="41"/>
  <c r="AZ32" i="41"/>
  <c r="AY116" i="41"/>
  <c r="AN77" i="41"/>
  <c r="AV44" i="41"/>
  <c r="AN51" i="41"/>
  <c r="AZ101" i="41"/>
  <c r="AW19" i="41"/>
  <c r="AY141" i="41"/>
  <c r="AR113" i="41"/>
  <c r="BB46" i="41"/>
  <c r="AZ27" i="41"/>
  <c r="AZ126" i="41"/>
  <c r="AS77" i="41"/>
  <c r="AU35" i="41"/>
  <c r="BA86" i="41"/>
  <c r="AZ41" i="41"/>
  <c r="AS114" i="41"/>
  <c r="BC55" i="41"/>
  <c r="AZ88" i="41"/>
  <c r="AV65" i="41"/>
  <c r="AU28" i="41"/>
  <c r="BC126" i="41"/>
  <c r="AU91" i="41"/>
  <c r="AX44" i="41"/>
  <c r="AV76" i="41"/>
  <c r="BA132" i="41"/>
  <c r="AW86" i="41"/>
  <c r="AR100" i="41"/>
  <c r="BA138" i="41"/>
  <c r="AW120" i="41"/>
  <c r="AS75" i="41"/>
  <c r="BA101" i="41"/>
  <c r="AV98" i="41"/>
  <c r="AY61" i="41"/>
  <c r="AT43" i="41"/>
  <c r="AU129" i="41"/>
  <c r="AX42" i="41"/>
  <c r="AO56" i="41"/>
  <c r="AP64" i="41"/>
  <c r="AZ94" i="41"/>
  <c r="AS30" i="41"/>
  <c r="AZ35" i="41"/>
  <c r="AS34" i="41"/>
  <c r="AR98" i="41"/>
  <c r="AP111" i="41"/>
  <c r="AQ66" i="41"/>
  <c r="AQ29" i="41"/>
  <c r="AP63" i="41"/>
  <c r="BC91" i="41"/>
  <c r="AQ69" i="41"/>
  <c r="AX30" i="41"/>
  <c r="AP137" i="41"/>
  <c r="AX132" i="41"/>
  <c r="AO14" i="41"/>
  <c r="AQ139" i="41"/>
  <c r="AO115" i="41"/>
  <c r="AT17" i="41"/>
  <c r="AQ102" i="41"/>
  <c r="AV23" i="41"/>
  <c r="AZ78" i="41"/>
  <c r="AT140" i="41"/>
  <c r="AP49" i="41"/>
  <c r="BC31" i="41"/>
  <c r="AR119" i="41"/>
  <c r="AR75" i="41"/>
  <c r="BA64" i="41"/>
  <c r="AY115" i="41"/>
  <c r="BA63" i="41"/>
  <c r="AQ98" i="41"/>
  <c r="BA92" i="41"/>
  <c r="AV26" i="41"/>
  <c r="AV84" i="41"/>
  <c r="BA41" i="41"/>
  <c r="AV128" i="41"/>
  <c r="AQ57" i="41"/>
  <c r="AN16" i="41"/>
  <c r="AR128" i="41"/>
  <c r="AO71" i="41"/>
  <c r="AQ138" i="41"/>
  <c r="AO90" i="41"/>
  <c r="AW139" i="41"/>
  <c r="BA107" i="41"/>
  <c r="AP83" i="41"/>
  <c r="AO75" i="41"/>
  <c r="AP104" i="41"/>
  <c r="AP130" i="41"/>
  <c r="AT53" i="41"/>
  <c r="AT123" i="41"/>
  <c r="AS39" i="41"/>
  <c r="AR108" i="41"/>
  <c r="AQ95" i="41"/>
  <c r="BB133" i="41"/>
  <c r="AR84" i="41"/>
  <c r="AX16" i="41"/>
  <c r="AZ146" i="41"/>
  <c r="BA38" i="41"/>
  <c r="AR105" i="41"/>
  <c r="AQ129" i="41"/>
  <c r="AT78" i="41"/>
  <c r="BC105" i="41"/>
  <c r="AX49" i="41"/>
  <c r="AW66" i="41"/>
  <c r="AZ15" i="41"/>
  <c r="AT56" i="41"/>
  <c r="AU33" i="41"/>
  <c r="AN53" i="41"/>
  <c r="AR70" i="41"/>
  <c r="AT92" i="41"/>
  <c r="BA121" i="41"/>
  <c r="AU47" i="41"/>
  <c r="BB38" i="41"/>
  <c r="AV119" i="41"/>
  <c r="AO109" i="41"/>
  <c r="BB114" i="41"/>
  <c r="AN105" i="41"/>
  <c r="AR132" i="41"/>
  <c r="AP135" i="41"/>
  <c r="AZ79" i="41"/>
  <c r="BB121" i="41"/>
  <c r="AZ58" i="41"/>
  <c r="AV17" i="41"/>
  <c r="AQ62" i="41"/>
  <c r="AV71" i="41"/>
  <c r="AS81" i="41"/>
  <c r="BA103" i="41"/>
  <c r="AT51" i="41"/>
  <c r="AX41" i="41"/>
  <c r="AU92" i="41"/>
  <c r="AT94" i="41"/>
  <c r="AX79" i="41"/>
  <c r="AW131" i="41"/>
  <c r="AO44" i="41"/>
  <c r="AN21" i="41"/>
  <c r="BC23" i="41"/>
  <c r="AX52" i="41"/>
  <c r="BB136" i="41"/>
  <c r="AX58" i="41"/>
  <c r="AR88" i="41"/>
  <c r="AV100" i="41"/>
  <c r="AT91" i="41"/>
  <c r="AX139" i="41"/>
  <c r="AR65" i="41"/>
  <c r="BA29" i="41"/>
  <c r="AQ46" i="41"/>
  <c r="BB31" i="41"/>
  <c r="AT41" i="41"/>
  <c r="AY15" i="41"/>
  <c r="BC76" i="41"/>
  <c r="AO73" i="41"/>
  <c r="BB126" i="41"/>
  <c r="BA78" i="41"/>
  <c r="BC114" i="41"/>
  <c r="AV54" i="41"/>
  <c r="BA96" i="41"/>
  <c r="AR50" i="41"/>
  <c r="AX86" i="41"/>
  <c r="BB82" i="41"/>
  <c r="AW54" i="41"/>
  <c r="AN87" i="41"/>
  <c r="AW44" i="41"/>
  <c r="AS109" i="41"/>
  <c r="AW109" i="41"/>
  <c r="BB127" i="41"/>
  <c r="AZ95" i="41"/>
  <c r="AX113" i="41"/>
  <c r="AT31" i="41"/>
  <c r="AS126" i="41"/>
  <c r="AY25" i="41"/>
  <c r="BC66" i="41"/>
  <c r="BC87" i="41"/>
  <c r="AW38" i="41"/>
  <c r="AQ131" i="41"/>
  <c r="AU98" i="41"/>
  <c r="AP58" i="41"/>
  <c r="AP99" i="41"/>
  <c r="BA15" i="41"/>
  <c r="BC68" i="41"/>
  <c r="AS128" i="41"/>
  <c r="BC62" i="41"/>
  <c r="AS94" i="41"/>
  <c r="AW142" i="41"/>
  <c r="AY137" i="41"/>
  <c r="AY55" i="41"/>
  <c r="AZ111" i="41"/>
  <c r="AS132" i="41"/>
  <c r="AR90" i="41"/>
  <c r="BB21" i="41"/>
  <c r="BB55" i="41"/>
  <c r="BA60" i="41"/>
  <c r="AZ123" i="41"/>
  <c r="AY103" i="41"/>
  <c r="AO24" i="41"/>
  <c r="AR26" i="41"/>
  <c r="AX15" i="41"/>
  <c r="AN111" i="41"/>
  <c r="AX33" i="41"/>
  <c r="AW61" i="41"/>
  <c r="BC127" i="41"/>
  <c r="AX46" i="41"/>
  <c r="AQ70" i="41"/>
  <c r="BB63" i="41"/>
  <c r="BC109" i="41"/>
  <c r="BB83" i="41"/>
  <c r="AU135" i="41"/>
  <c r="AT26" i="41"/>
  <c r="AX88" i="41"/>
  <c r="AR47" i="41"/>
  <c r="AZ16" i="41"/>
  <c r="AO30" i="41"/>
  <c r="AN64" i="41"/>
  <c r="AP114" i="41"/>
  <c r="AN63" i="41"/>
  <c r="AS21" i="41"/>
  <c r="BA30" i="41"/>
  <c r="AS78" i="41"/>
  <c r="AQ75" i="41"/>
  <c r="AZ124" i="41"/>
  <c r="AW90" i="41"/>
  <c r="AW124" i="41"/>
  <c r="AT71" i="41"/>
  <c r="AQ142" i="41"/>
  <c r="BC96" i="41"/>
  <c r="AW134" i="41"/>
  <c r="AZ99" i="41"/>
  <c r="AV90" i="41"/>
  <c r="BB86" i="41"/>
  <c r="AO40" i="41"/>
  <c r="AX55" i="41"/>
  <c r="BC97" i="41"/>
  <c r="AO116" i="41"/>
  <c r="AR44" i="41"/>
  <c r="BA112" i="41"/>
  <c r="AN127" i="41"/>
  <c r="AZ55" i="41"/>
  <c r="AO22" i="41"/>
  <c r="AQ87" i="41"/>
  <c r="AN61" i="41"/>
  <c r="AN89" i="41"/>
  <c r="AU114" i="41"/>
  <c r="BA54" i="41"/>
  <c r="AO20" i="41"/>
  <c r="AU14" i="41"/>
  <c r="AX95" i="41"/>
  <c r="BA134" i="41"/>
  <c r="AR37" i="41"/>
  <c r="AO39" i="41"/>
  <c r="AZ135" i="41"/>
  <c r="AW106" i="41"/>
  <c r="AN67" i="41"/>
  <c r="AY138" i="41"/>
  <c r="AS74" i="41"/>
  <c r="AQ60" i="41"/>
  <c r="AQ48" i="41"/>
  <c r="AS44" i="41"/>
  <c r="BA125" i="41"/>
  <c r="AN81" i="41"/>
  <c r="AU53" i="41"/>
  <c r="AN24" i="41"/>
  <c r="AT24" i="41"/>
  <c r="AX67" i="41"/>
  <c r="AN23" i="41"/>
  <c r="AV88" i="41"/>
  <c r="AX140" i="41"/>
  <c r="AP91" i="41"/>
  <c r="BB49" i="41"/>
  <c r="BA99" i="41"/>
  <c r="AV96" i="41"/>
  <c r="AR55" i="41"/>
  <c r="BA126" i="41"/>
  <c r="AS17" i="41"/>
  <c r="AV105" i="41"/>
  <c r="AS130" i="41"/>
  <c r="BB34" i="41"/>
  <c r="AO129" i="41"/>
  <c r="AW39" i="41"/>
  <c r="AS59" i="41"/>
  <c r="AT76" i="41"/>
  <c r="AN116" i="41"/>
  <c r="AS28" i="41"/>
  <c r="AQ73" i="41"/>
  <c r="BA57" i="41"/>
  <c r="AO145" i="41"/>
  <c r="BB52" i="41"/>
  <c r="BB125" i="41"/>
  <c r="AZ85" i="41"/>
  <c r="AP124" i="41"/>
  <c r="AW128" i="41"/>
  <c r="AO137" i="41"/>
  <c r="AS131" i="41"/>
  <c r="AX22" i="41"/>
  <c r="AU101" i="41"/>
  <c r="AP88" i="41"/>
  <c r="AS61" i="41"/>
  <c r="AS119" i="41"/>
  <c r="AR38" i="41"/>
  <c r="AO101" i="41"/>
  <c r="AT141" i="41"/>
  <c r="AY78" i="41"/>
  <c r="AY145" i="41"/>
  <c r="BB140" i="41"/>
  <c r="AZ63" i="41"/>
  <c r="AR131" i="41"/>
  <c r="AT108" i="41"/>
  <c r="AN78" i="41"/>
  <c r="AS112" i="41"/>
  <c r="AZ28" i="41"/>
  <c r="BB115" i="41"/>
  <c r="AX50" i="41"/>
  <c r="AR111" i="41"/>
  <c r="AU127" i="41"/>
  <c r="AV106" i="41"/>
  <c r="AR35" i="41"/>
  <c r="AT63" i="41"/>
  <c r="AQ68" i="41"/>
  <c r="AT119" i="41"/>
  <c r="AZ18" i="41"/>
  <c r="AU116" i="41"/>
  <c r="AS35" i="41"/>
  <c r="BC83" i="41"/>
  <c r="AS84" i="41"/>
  <c r="AY119" i="41"/>
  <c r="AV124" i="41"/>
  <c r="AS45" i="41"/>
  <c r="AP28" i="41"/>
  <c r="AN59" i="41"/>
  <c r="AS141" i="41"/>
  <c r="BB142" i="41"/>
  <c r="AZ48" i="41"/>
  <c r="AP95" i="41"/>
  <c r="BB112" i="41"/>
  <c r="AU80" i="41"/>
  <c r="AX54" i="41"/>
  <c r="AN36" i="41"/>
  <c r="AP15" i="41"/>
  <c r="AY107" i="41"/>
  <c r="AQ23" i="41"/>
  <c r="AU130" i="41"/>
  <c r="AY105" i="41"/>
  <c r="AO50" i="41"/>
  <c r="AQ40" i="41"/>
  <c r="AO134" i="41"/>
  <c r="AT142" i="41"/>
  <c r="AX81" i="41"/>
  <c r="AX57" i="41"/>
  <c r="AR22" i="41"/>
  <c r="BA42" i="41"/>
  <c r="AZ114" i="41"/>
  <c r="AN139" i="41"/>
  <c r="AY24" i="41"/>
  <c r="AQ120" i="41"/>
  <c r="BA48" i="41"/>
  <c r="AX82" i="41"/>
  <c r="AZ118" i="41"/>
  <c r="AY50" i="41"/>
  <c r="AZ105" i="41"/>
  <c r="BA25" i="41"/>
  <c r="AO100" i="41"/>
  <c r="AR56" i="41"/>
  <c r="AX134" i="41"/>
  <c r="AT120" i="41"/>
  <c r="BA68" i="41"/>
  <c r="AO46" i="41"/>
  <c r="AS99" i="41"/>
  <c r="AR118" i="41"/>
  <c r="AS14" i="41"/>
  <c r="AU107" i="41"/>
  <c r="BB96" i="41"/>
  <c r="BA84" i="41"/>
  <c r="AQ92" i="41"/>
  <c r="AY91" i="41"/>
  <c r="BB33" i="41"/>
  <c r="AQ101" i="41"/>
  <c r="AX142" i="41"/>
  <c r="AX48" i="41"/>
  <c r="AT124" i="41"/>
  <c r="AY106" i="41"/>
  <c r="AN141" i="41"/>
  <c r="AU25" i="41"/>
  <c r="AZ142" i="41"/>
  <c r="AR54" i="41"/>
  <c r="BB28" i="41"/>
  <c r="AO118" i="41"/>
  <c r="AQ18" i="41"/>
  <c r="AR48" i="41"/>
  <c r="AN100" i="41"/>
  <c r="AT69" i="41"/>
  <c r="AT127" i="41"/>
  <c r="AN14" i="41"/>
  <c r="AN120" i="41"/>
  <c r="BB92" i="41"/>
  <c r="AY101" i="41"/>
  <c r="AT136" i="41"/>
  <c r="AO106" i="41"/>
  <c r="AV29" i="41"/>
  <c r="AO28" i="41"/>
  <c r="AO23" i="41"/>
  <c r="AS125" i="41"/>
  <c r="AV58" i="41"/>
  <c r="AY38" i="41"/>
  <c r="BC132" i="41"/>
  <c r="AV59" i="41"/>
  <c r="AO131" i="41"/>
  <c r="AP105" i="41"/>
  <c r="AY135" i="41"/>
  <c r="AO130" i="41"/>
  <c r="AU104" i="41"/>
  <c r="AT84" i="41"/>
  <c r="AN142" i="41"/>
  <c r="AO146" i="41"/>
  <c r="AW141" i="41"/>
  <c r="AP90" i="41"/>
  <c r="BA142" i="41"/>
  <c r="AQ64" i="41"/>
  <c r="AS24" i="41"/>
  <c r="AP87" i="41"/>
  <c r="AT61" i="41"/>
  <c r="BC102" i="41"/>
  <c r="AW46" i="41"/>
  <c r="BB72" i="41"/>
  <c r="AO133" i="41"/>
  <c r="AN33" i="41"/>
  <c r="AP80" i="41"/>
  <c r="AQ84" i="41"/>
  <c r="AZ30" i="41"/>
  <c r="AO110" i="41"/>
  <c r="AX90" i="41"/>
  <c r="AX114" i="41"/>
  <c r="AV68" i="41"/>
  <c r="AT18" i="41"/>
  <c r="AX68" i="41"/>
  <c r="AQ107" i="41"/>
  <c r="AU68" i="41"/>
  <c r="BC63" i="41"/>
  <c r="AY113" i="41"/>
  <c r="AP89" i="41"/>
  <c r="AY108" i="41"/>
  <c r="BC78" i="41"/>
  <c r="AU93" i="41"/>
  <c r="AQ14" i="41"/>
  <c r="AN84" i="41"/>
  <c r="AX80" i="41"/>
  <c r="AQ126" i="41"/>
  <c r="AP75" i="41"/>
  <c r="AS121" i="41"/>
  <c r="AU87" i="41"/>
  <c r="BC141" i="41"/>
  <c r="BA141" i="41"/>
  <c r="BA43" i="41"/>
  <c r="AU128" i="41"/>
  <c r="AT46" i="41"/>
  <c r="AW118" i="41"/>
  <c r="AV69" i="41"/>
  <c r="AQ100" i="41"/>
  <c r="AY80" i="41"/>
  <c r="AX26" i="41"/>
  <c r="AQ17" i="41"/>
  <c r="AS76" i="41"/>
  <c r="BC125" i="41"/>
  <c r="AZ69" i="41"/>
  <c r="AW18" i="41"/>
  <c r="AX63" i="41"/>
  <c r="AT22" i="41"/>
  <c r="AU55" i="41"/>
  <c r="AW98" i="41"/>
  <c r="BA110" i="41"/>
  <c r="BB26" i="41"/>
  <c r="AV103" i="41"/>
  <c r="AW21" i="41"/>
  <c r="AR130" i="41"/>
  <c r="AO82" i="41"/>
  <c r="BC18" i="41"/>
  <c r="AT86" i="41"/>
  <c r="AP42" i="41"/>
  <c r="AN42" i="41"/>
  <c r="AV91" i="41"/>
  <c r="AU109" i="41"/>
  <c r="AY77" i="41"/>
  <c r="AV39" i="41"/>
  <c r="AZ141" i="41"/>
  <c r="AS104" i="41"/>
  <c r="AW91" i="41"/>
  <c r="AY23" i="41"/>
  <c r="AW127" i="41"/>
  <c r="BC57" i="41"/>
  <c r="AV62" i="41"/>
  <c r="BC28" i="41"/>
  <c r="BA113" i="41"/>
  <c r="AW80" i="41"/>
  <c r="AS140" i="41"/>
  <c r="AW25" i="41"/>
  <c r="AP118" i="41"/>
  <c r="AT64" i="41"/>
  <c r="AU32" i="41"/>
  <c r="AN43" i="41"/>
  <c r="AQ74" i="41"/>
  <c r="AZ33" i="41"/>
  <c r="AR92" i="41"/>
  <c r="AT14" i="41"/>
  <c r="AW135" i="41"/>
  <c r="AR86" i="41"/>
  <c r="AO69" i="41"/>
  <c r="BB104" i="41"/>
  <c r="AW126" i="41"/>
  <c r="AW26" i="41"/>
  <c r="AR97" i="41"/>
  <c r="BC146" i="41"/>
  <c r="AY59" i="41"/>
  <c r="AQ93" i="41"/>
  <c r="BB48" i="41"/>
  <c r="AP72" i="41"/>
  <c r="AO68" i="41"/>
  <c r="AY54" i="41"/>
  <c r="AN128" i="41"/>
  <c r="AN35" i="41"/>
  <c r="AT59" i="41"/>
  <c r="AQ108" i="41"/>
  <c r="AT49" i="41"/>
  <c r="AQ82" i="41"/>
  <c r="AZ80" i="41"/>
  <c r="AV133" i="41"/>
  <c r="BC27" i="41"/>
  <c r="AN65" i="41"/>
  <c r="AX35" i="41"/>
  <c r="AZ51" i="41"/>
  <c r="AZ86" i="41"/>
  <c r="AW89" i="41"/>
  <c r="AV116" i="41"/>
  <c r="AQ119" i="41"/>
  <c r="BC112" i="41"/>
  <c r="BB103" i="41"/>
  <c r="AV73" i="41"/>
  <c r="AR120" i="41"/>
  <c r="AN79" i="41"/>
  <c r="AP27" i="41"/>
  <c r="AV93" i="41"/>
  <c r="AY125" i="41"/>
  <c r="AQ38" i="41"/>
  <c r="AY83" i="41"/>
  <c r="AW105" i="41"/>
  <c r="AX138" i="41"/>
  <c r="AO108" i="41"/>
  <c r="AS60" i="41"/>
  <c r="AV49" i="41"/>
  <c r="BA33" i="41"/>
  <c r="AW36" i="41"/>
  <c r="BC25" i="41"/>
  <c r="AY19" i="41"/>
  <c r="AY133" i="41"/>
  <c r="AP38" i="41"/>
  <c r="AZ96" i="41"/>
  <c r="AW55" i="41"/>
  <c r="AO57" i="41"/>
  <c r="AN108" i="41"/>
  <c r="AX17" i="41"/>
  <c r="BB50" i="41"/>
  <c r="AT39" i="41"/>
  <c r="BB15" i="41"/>
  <c r="BA31" i="41"/>
  <c r="BC37" i="41"/>
  <c r="AZ136" i="41"/>
  <c r="AU134" i="41"/>
  <c r="AV118" i="41"/>
  <c r="AR76" i="41"/>
  <c r="AX105" i="41"/>
  <c r="AN99" i="41"/>
  <c r="AQ122" i="41"/>
  <c r="BC59" i="41"/>
  <c r="AS29" i="41"/>
  <c r="AY98" i="41"/>
  <c r="AV24" i="41"/>
  <c r="AY92" i="41"/>
  <c r="AT115" i="41"/>
  <c r="AU115" i="41"/>
  <c r="AT52" i="41"/>
  <c r="AT60" i="41"/>
  <c r="AQ42" i="41"/>
  <c r="AS85" i="41"/>
  <c r="AQ37" i="41"/>
  <c r="AP131" i="41"/>
  <c r="AT103" i="41"/>
  <c r="AV20" i="41"/>
  <c r="AY82" i="41"/>
  <c r="AY37" i="41"/>
  <c r="AP125" i="41"/>
  <c r="AU112" i="41"/>
  <c r="AV53" i="41"/>
  <c r="AO93" i="41"/>
  <c r="BA131" i="41"/>
  <c r="AP102" i="41"/>
  <c r="AW93" i="41"/>
  <c r="AT77" i="41"/>
  <c r="BA77" i="41"/>
  <c r="AS65" i="41"/>
  <c r="BB64" i="41"/>
  <c r="AZ20" i="41"/>
  <c r="AU31" i="41"/>
  <c r="AQ19" i="41"/>
  <c r="AT104" i="41"/>
  <c r="AW81" i="41"/>
  <c r="AT88" i="41"/>
  <c r="AQ24" i="41"/>
  <c r="AZ125" i="41"/>
  <c r="AV75" i="41"/>
  <c r="AX93" i="41"/>
  <c r="AQ22" i="41"/>
  <c r="AU119" i="41"/>
  <c r="BB119" i="41"/>
  <c r="AQ86" i="41"/>
  <c r="AW23" i="41"/>
  <c r="AX40" i="41"/>
  <c r="AY76" i="41"/>
  <c r="BB138" i="41"/>
  <c r="AW112" i="41"/>
  <c r="AW121" i="41"/>
  <c r="BA116" i="41"/>
  <c r="AW15" i="41"/>
  <c r="AZ104" i="41"/>
  <c r="AY14" i="41"/>
  <c r="AT38" i="41"/>
  <c r="BC117" i="41"/>
  <c r="AT44" i="41"/>
  <c r="AR59" i="41"/>
  <c r="BC106" i="41"/>
  <c r="AZ64" i="41"/>
  <c r="AX29" i="41"/>
  <c r="AR46" i="41"/>
  <c r="BC58" i="41"/>
  <c r="AR43" i="41"/>
  <c r="AO132" i="41"/>
  <c r="BC26" i="41"/>
  <c r="BA73" i="41"/>
  <c r="BB62" i="41"/>
  <c r="AY33" i="41"/>
  <c r="BC82" i="41"/>
  <c r="AQ111" i="41"/>
  <c r="AY45" i="41"/>
  <c r="BB90" i="41"/>
  <c r="AV47" i="41"/>
  <c r="AN102" i="41"/>
  <c r="AQ85" i="41"/>
  <c r="AR81" i="41"/>
  <c r="BA47" i="41"/>
  <c r="AX122" i="41"/>
  <c r="BC67" i="41"/>
  <c r="AW76" i="41"/>
  <c r="AQ134" i="41"/>
  <c r="BC131" i="41"/>
  <c r="AU71" i="41"/>
  <c r="AN137" i="41"/>
  <c r="AR95" i="41"/>
  <c r="AV101" i="41"/>
  <c r="BB42" i="41"/>
  <c r="AQ54" i="41"/>
  <c r="AO59" i="41"/>
  <c r="AP117" i="41"/>
  <c r="AX112" i="41"/>
  <c r="AQ59" i="41"/>
  <c r="AZ40" i="41"/>
  <c r="AZ71" i="41"/>
  <c r="AU43" i="41"/>
  <c r="BC16" i="41"/>
  <c r="AR32" i="41"/>
  <c r="BC124" i="41"/>
  <c r="AW40" i="41"/>
  <c r="AS43" i="41"/>
  <c r="BA108" i="41"/>
  <c r="AT67" i="41"/>
  <c r="AW104" i="41"/>
  <c r="BB16" i="41"/>
  <c r="AW125" i="41"/>
  <c r="AP77" i="41"/>
  <c r="AZ57" i="41"/>
  <c r="AW51" i="41"/>
  <c r="AQ78" i="41"/>
  <c r="AU136" i="41"/>
  <c r="AU58" i="41"/>
  <c r="AW101" i="41"/>
  <c r="AT85" i="41"/>
  <c r="AO120" i="41"/>
  <c r="AP74" i="41"/>
  <c r="AT98" i="41"/>
  <c r="AW72" i="41"/>
  <c r="AY97" i="41"/>
  <c r="AN57" i="41"/>
  <c r="AT62" i="41"/>
  <c r="BA122" i="41"/>
  <c r="AS127" i="41"/>
  <c r="AU60" i="41"/>
  <c r="AP34" i="41"/>
  <c r="AT79" i="41"/>
  <c r="BC128" i="41"/>
  <c r="AW24" i="41"/>
  <c r="AN66" i="41"/>
  <c r="AZ137" i="41"/>
  <c r="AX60" i="41"/>
  <c r="BA135" i="41"/>
  <c r="AV82" i="41"/>
  <c r="AN30" i="41"/>
  <c r="AV36" i="41"/>
  <c r="BA19" i="41"/>
  <c r="AO53" i="41"/>
  <c r="AP97" i="41"/>
  <c r="AV52" i="41"/>
  <c r="AN80" i="41"/>
  <c r="AV43" i="41"/>
  <c r="BC107" i="41"/>
  <c r="AN91" i="41"/>
  <c r="AU69" i="41"/>
  <c r="AT111" i="41"/>
  <c r="BB75" i="41"/>
  <c r="AO114" i="41"/>
  <c r="BC45" i="41"/>
  <c r="BC44" i="41"/>
  <c r="AS106" i="41"/>
  <c r="BC118" i="41"/>
  <c r="BA120" i="41"/>
  <c r="AQ36" i="41"/>
  <c r="AR23" i="41"/>
  <c r="AO136" i="41"/>
  <c r="AT40" i="41"/>
  <c r="AX71" i="41"/>
  <c r="AR51" i="41"/>
  <c r="AY127" i="41"/>
  <c r="AU86" i="41"/>
  <c r="AT130" i="41"/>
  <c r="AV139" i="41"/>
  <c r="AT20" i="41"/>
  <c r="AQ90" i="41"/>
  <c r="AO25" i="41"/>
  <c r="AR41" i="41"/>
  <c r="AS103" i="41"/>
  <c r="AZ83" i="41"/>
  <c r="AT101" i="41"/>
  <c r="AU74" i="41"/>
  <c r="AN40" i="41"/>
  <c r="AT99" i="41"/>
  <c r="AN138" i="41"/>
  <c r="AQ51" i="41"/>
  <c r="AU96" i="41"/>
  <c r="AW82" i="41"/>
  <c r="AZ31" i="41"/>
  <c r="AY84" i="41"/>
  <c r="AP23" i="41"/>
  <c r="AR79" i="41"/>
  <c r="AT139" i="41"/>
  <c r="AS88" i="41"/>
  <c r="BA59" i="41"/>
  <c r="AP112" i="41"/>
  <c r="AX20" i="41"/>
  <c r="BC140" i="41"/>
  <c r="AT21" i="41"/>
  <c r="BB89" i="41"/>
  <c r="AX125" i="41"/>
  <c r="BB69" i="41"/>
  <c r="AT30" i="41"/>
  <c r="AX91" i="41"/>
  <c r="AV25" i="41"/>
  <c r="AP93" i="41"/>
  <c r="BA109" i="41"/>
  <c r="AS129" i="41"/>
  <c r="AV135" i="41"/>
  <c r="AT82" i="41"/>
  <c r="AQ35" i="41"/>
  <c r="AZ60" i="41"/>
  <c r="BA82" i="41"/>
  <c r="AY68" i="41"/>
  <c r="AR134" i="41"/>
  <c r="AX18" i="41"/>
  <c r="AQ67" i="41"/>
  <c r="AZ14" i="41"/>
  <c r="AO123" i="41"/>
  <c r="AO119" i="41"/>
  <c r="AO62" i="41"/>
  <c r="AO27" i="41"/>
  <c r="AQ71" i="41"/>
  <c r="AV19" i="41"/>
  <c r="AR74" i="41"/>
  <c r="AQ127" i="41"/>
  <c r="BB130" i="41"/>
  <c r="AS68" i="41"/>
  <c r="AW95" i="41"/>
  <c r="AY99" i="41"/>
  <c r="AY73" i="41"/>
  <c r="AO142" i="41"/>
  <c r="AT134" i="41"/>
  <c r="AO78" i="41"/>
  <c r="AY142" i="41"/>
  <c r="AQ133" i="41"/>
  <c r="BC38" i="41"/>
  <c r="AW108" i="41"/>
  <c r="AZ129" i="41"/>
  <c r="AY30" i="41"/>
  <c r="AW37" i="41"/>
  <c r="AS33" i="41"/>
  <c r="BB57" i="41"/>
  <c r="AZ26" i="41"/>
  <c r="AZ119" i="41"/>
  <c r="AZ23" i="41"/>
  <c r="BC41" i="41"/>
  <c r="AY29" i="41"/>
  <c r="AW132" i="41"/>
  <c r="BC54" i="41"/>
  <c r="AS71" i="41"/>
  <c r="BA76" i="41"/>
  <c r="BC89" i="41"/>
  <c r="AY40" i="41"/>
  <c r="AR87" i="41"/>
  <c r="AQ136" i="41"/>
  <c r="AY102" i="41"/>
  <c r="AN136" i="41"/>
  <c r="AU84" i="41"/>
  <c r="AV70" i="41"/>
  <c r="BB102" i="41"/>
  <c r="AQ27" i="41"/>
  <c r="AU27" i="41"/>
  <c r="AV60" i="41"/>
  <c r="AU45" i="41"/>
  <c r="BA45" i="41"/>
  <c r="AS72" i="41"/>
  <c r="AX73" i="41"/>
  <c r="AP48" i="41"/>
  <c r="BA49" i="41"/>
  <c r="AR141" i="41"/>
  <c r="AU99" i="41"/>
  <c r="AS105" i="41"/>
  <c r="AS91" i="41"/>
  <c r="BC94" i="41"/>
  <c r="AP81" i="41"/>
  <c r="AN44" i="41"/>
  <c r="AR34" i="41"/>
  <c r="AR42" i="41"/>
  <c r="BC73" i="41"/>
  <c r="AW123" i="41"/>
  <c r="AQ39" i="41"/>
  <c r="AY44" i="41"/>
  <c r="AP107" i="41"/>
  <c r="AN88" i="41"/>
  <c r="AP73" i="41"/>
  <c r="AP129" i="41"/>
  <c r="AU23" i="41"/>
  <c r="AN85" i="41"/>
  <c r="BB36" i="41"/>
  <c r="AX101" i="41"/>
  <c r="AW28" i="41"/>
  <c r="AT89" i="41"/>
  <c r="BB117" i="41"/>
  <c r="AN45" i="41"/>
  <c r="BB122" i="41"/>
  <c r="AW100" i="41"/>
  <c r="BA72" i="41"/>
  <c r="AO85" i="41"/>
  <c r="AT135" i="41"/>
  <c r="AQ81" i="41"/>
  <c r="AO99" i="41"/>
  <c r="AO29" i="41"/>
  <c r="AR138" i="41"/>
  <c r="AU29" i="41"/>
  <c r="AQ45" i="41"/>
  <c r="AV40" i="41"/>
  <c r="AT54" i="41"/>
  <c r="AW53" i="41"/>
  <c r="BA37" i="41"/>
  <c r="BC108" i="41"/>
  <c r="AO41" i="41"/>
  <c r="AO64" i="41"/>
  <c r="BA21" i="41"/>
  <c r="AW115" i="41"/>
  <c r="AP44" i="41"/>
  <c r="BC80" i="41"/>
  <c r="AX130" i="41"/>
  <c r="AR14" i="41"/>
  <c r="AP37" i="41"/>
  <c r="AP56" i="41"/>
  <c r="AZ108" i="41"/>
  <c r="AP70" i="41"/>
  <c r="AN82" i="41"/>
  <c r="BC119" i="41"/>
  <c r="BC32" i="41"/>
  <c r="AZ50" i="41"/>
  <c r="AZ92" i="41"/>
  <c r="AX53" i="41"/>
  <c r="BC92" i="41"/>
  <c r="AP134" i="41"/>
  <c r="AQ16" i="41"/>
  <c r="AO55" i="41"/>
  <c r="AO92" i="41"/>
  <c r="BB99" i="41"/>
  <c r="AX70" i="41"/>
  <c r="AQ41" i="41"/>
  <c r="AZ77" i="41"/>
  <c r="AZ90" i="41"/>
  <c r="BC137" i="41"/>
  <c r="BB85" i="41"/>
  <c r="AY136" i="41"/>
  <c r="BA52" i="41"/>
  <c r="AY39" i="41"/>
  <c r="BC93" i="41"/>
  <c r="AO47" i="41"/>
  <c r="AT102" i="41"/>
  <c r="AN15" i="41"/>
  <c r="AW94" i="41"/>
  <c r="AY140" i="41"/>
  <c r="AW69" i="41"/>
  <c r="AX99" i="41"/>
  <c r="AS37" i="41"/>
  <c r="AP71" i="41"/>
  <c r="AN119" i="41"/>
  <c r="AX96" i="41"/>
  <c r="AN130" i="41"/>
  <c r="AO76" i="41"/>
  <c r="BA111" i="41"/>
  <c r="AT83" i="41"/>
  <c r="AZ25" i="41"/>
  <c r="AS83" i="41"/>
  <c r="AW137" i="41"/>
  <c r="AW58" i="41"/>
  <c r="AX100" i="41"/>
  <c r="AP116" i="41"/>
  <c r="AQ118" i="41"/>
  <c r="AV109" i="41"/>
  <c r="AU131" i="41"/>
  <c r="BA80" i="41"/>
  <c r="AO87" i="41"/>
  <c r="AU37" i="41"/>
  <c r="AU44" i="41"/>
  <c r="AZ107" i="41"/>
  <c r="AT131" i="41"/>
  <c r="BB41" i="41"/>
  <c r="AY126" i="41"/>
  <c r="AZ73" i="41"/>
  <c r="AO128" i="41"/>
  <c r="AS42" i="41"/>
  <c r="BA71" i="41"/>
  <c r="AW140" i="41"/>
  <c r="AY72" i="41"/>
  <c r="AR142" i="41"/>
  <c r="AT133" i="41"/>
  <c r="AP14" i="41"/>
  <c r="AY34" i="41"/>
  <c r="AY132" i="41"/>
  <c r="AQ128" i="41"/>
  <c r="AN46" i="41"/>
  <c r="AT138" i="41"/>
  <c r="BA69" i="41"/>
  <c r="AV99" i="41"/>
  <c r="AP78" i="41"/>
  <c r="AR112" i="41"/>
  <c r="AY58" i="41"/>
  <c r="AQ80" i="41"/>
  <c r="AU63" i="41"/>
  <c r="AZ34" i="41"/>
  <c r="AT37" i="41"/>
  <c r="AT47" i="41"/>
  <c r="BC130" i="41"/>
  <c r="AZ116" i="41"/>
  <c r="AU126" i="41"/>
  <c r="AQ113" i="41"/>
  <c r="BB14" i="41"/>
  <c r="AY46" i="41"/>
  <c r="AS79" i="41"/>
  <c r="AU121" i="41"/>
  <c r="AN76" i="41"/>
  <c r="AV110" i="41"/>
  <c r="BB76" i="41"/>
  <c r="BA46" i="41"/>
  <c r="BB100" i="41"/>
  <c r="BC103" i="41"/>
  <c r="BA85" i="41"/>
  <c r="AT87" i="41"/>
  <c r="AU21" i="41"/>
  <c r="AO84" i="41"/>
  <c r="BC129" i="41"/>
  <c r="AR124" i="41"/>
  <c r="AY65" i="41"/>
  <c r="AN70" i="41"/>
  <c r="AU46" i="41"/>
  <c r="AY26" i="41"/>
  <c r="BB101" i="41"/>
  <c r="AZ17" i="41"/>
  <c r="AT42" i="41"/>
  <c r="AZ102" i="41"/>
  <c r="AR83" i="41"/>
  <c r="AS46" i="41"/>
  <c r="AY36" i="41"/>
  <c r="BC113" i="41"/>
  <c r="AN110" i="41"/>
  <c r="AO96" i="41"/>
  <c r="AV127" i="41"/>
  <c r="AN49" i="41"/>
  <c r="AV138" i="41"/>
  <c r="AU90" i="41"/>
  <c r="BC98" i="41"/>
  <c r="AW31" i="41"/>
  <c r="BA93" i="41"/>
  <c r="AS27" i="41"/>
  <c r="AO141" i="41"/>
  <c r="AV79" i="41"/>
  <c r="BB131" i="41"/>
  <c r="AU75" i="41"/>
  <c r="AY109" i="41"/>
  <c r="AP96" i="41"/>
  <c r="AS57" i="41"/>
  <c r="AU73" i="41"/>
  <c r="AZ44" i="41"/>
  <c r="AP103" i="41"/>
  <c r="AZ45" i="41"/>
  <c r="BA140" i="41"/>
  <c r="AN131" i="41"/>
  <c r="BC64" i="41"/>
  <c r="AX74" i="41"/>
  <c r="BC15" i="41"/>
  <c r="AP52" i="41"/>
  <c r="BC84" i="41"/>
  <c r="BC145" i="41"/>
  <c r="AS22" i="41"/>
  <c r="AQ79" i="41"/>
  <c r="BA114" i="41"/>
  <c r="BB141" i="41"/>
  <c r="AW107" i="41"/>
  <c r="BB134" i="41"/>
  <c r="AW133" i="41"/>
  <c r="AX72" i="41"/>
  <c r="AU124" i="41"/>
  <c r="AQ50" i="41"/>
  <c r="AW99" i="41"/>
  <c r="AQ56" i="41"/>
  <c r="AY117" i="41"/>
  <c r="AS51" i="41"/>
  <c r="AP59" i="41"/>
  <c r="AO31" i="41"/>
  <c r="AZ36" i="41"/>
  <c r="BB139" i="41"/>
  <c r="AP94" i="41"/>
  <c r="AT97" i="41"/>
  <c r="AQ99" i="41"/>
  <c r="AQ52" i="41"/>
  <c r="AN115" i="41"/>
  <c r="AX109" i="41"/>
  <c r="AT93" i="41"/>
  <c r="AY130" i="41"/>
  <c r="AY52" i="41"/>
  <c r="AZ122" i="41"/>
  <c r="AP100" i="41"/>
  <c r="AQ83" i="41"/>
  <c r="BC34" i="41"/>
  <c r="AY56" i="41"/>
  <c r="AS135" i="41"/>
  <c r="AY63" i="41"/>
  <c r="AW102" i="41"/>
  <c r="AS133" i="41"/>
  <c r="AS113" i="41"/>
  <c r="AX133" i="41"/>
  <c r="BB44" i="41"/>
  <c r="AY89" i="41"/>
  <c r="AW130" i="41"/>
  <c r="AO88" i="41"/>
  <c r="BC135" i="41"/>
  <c r="BC36" i="41"/>
  <c r="AN38" i="41"/>
  <c r="AQ125" i="41"/>
  <c r="AV16" i="41"/>
  <c r="AT32" i="41"/>
  <c r="BB128" i="41"/>
  <c r="AV48" i="41"/>
  <c r="AT113" i="41"/>
  <c r="AS36" i="41"/>
  <c r="AP109" i="41"/>
  <c r="BC72" i="41"/>
  <c r="AP82" i="41"/>
  <c r="BB98" i="41"/>
  <c r="AT112" i="41"/>
  <c r="AV41" i="41"/>
  <c r="AS73" i="41"/>
  <c r="AY43" i="41"/>
  <c r="AX31" i="41"/>
  <c r="AX107" i="41"/>
  <c r="BC95" i="41"/>
  <c r="BA106" i="41"/>
  <c r="AU78" i="41"/>
  <c r="AZ59" i="41"/>
  <c r="AV142" i="41"/>
  <c r="AP22" i="41"/>
  <c r="AW71" i="41"/>
  <c r="AX94" i="41"/>
  <c r="AS115" i="41"/>
  <c r="AW16" i="41"/>
  <c r="AZ138" i="41"/>
  <c r="AZ98" i="41"/>
  <c r="BC122" i="41"/>
  <c r="AT106" i="41"/>
  <c r="AS138" i="41"/>
  <c r="AX25" i="41"/>
  <c r="BA89" i="41"/>
  <c r="AN129" i="41"/>
  <c r="AO112" i="41"/>
  <c r="AX65" i="41"/>
  <c r="BB105" i="41"/>
  <c r="AR67" i="41"/>
  <c r="BA66" i="41"/>
  <c r="AT114" i="41"/>
  <c r="BA98" i="41"/>
  <c r="AV113" i="41"/>
  <c r="BC79" i="41"/>
  <c r="AS93" i="41"/>
  <c r="AR91" i="41"/>
  <c r="BB124" i="41"/>
  <c r="AU62" i="41"/>
  <c r="AN68" i="41"/>
  <c r="AR40" i="41"/>
  <c r="AV115" i="41"/>
  <c r="AY31" i="41"/>
  <c r="BA23" i="41"/>
  <c r="AN54" i="41"/>
  <c r="AY53" i="41"/>
  <c r="AU26" i="41"/>
  <c r="AV114" i="41"/>
  <c r="AU102" i="41"/>
  <c r="AY22" i="41"/>
  <c r="AR82" i="41"/>
  <c r="BA22" i="41"/>
  <c r="AR80" i="41"/>
  <c r="BC51" i="41"/>
  <c r="AZ75" i="41"/>
  <c r="AW48" i="41"/>
  <c r="AP128" i="41"/>
  <c r="AV130" i="41"/>
  <c r="AP43" i="41"/>
  <c r="AQ43" i="41"/>
  <c r="BB39" i="41"/>
  <c r="BB40" i="41"/>
  <c r="BB56" i="41"/>
  <c r="AO70" i="41"/>
  <c r="AQ130" i="41"/>
  <c r="AQ49" i="41"/>
  <c r="AN83" i="41"/>
  <c r="AR36" i="41"/>
  <c r="AY94" i="41"/>
  <c r="AW129" i="41"/>
  <c r="AR27" i="41"/>
  <c r="AS67" i="41"/>
  <c r="AP30" i="41"/>
  <c r="AV80" i="41"/>
  <c r="AW34" i="41"/>
  <c r="AP35" i="41"/>
  <c r="AV85" i="41"/>
  <c r="AT126" i="41"/>
  <c r="AY48" i="41"/>
  <c r="AZ103" i="41"/>
  <c r="AO117" i="41"/>
  <c r="AO19" i="41"/>
  <c r="AO38" i="41"/>
  <c r="BB54" i="41"/>
  <c r="BB32" i="41"/>
  <c r="AV72" i="41"/>
  <c r="AS95" i="41"/>
  <c r="BB77" i="41"/>
  <c r="AX104" i="41"/>
  <c r="BB109" i="41"/>
  <c r="AN56" i="41"/>
  <c r="AZ62" i="41"/>
  <c r="BB110" i="41"/>
  <c r="BC19" i="41"/>
  <c r="AZ139" i="41"/>
  <c r="AU81" i="41"/>
  <c r="AP26" i="41"/>
  <c r="AX127" i="41"/>
  <c r="AO138" i="41"/>
  <c r="AN124" i="41"/>
  <c r="AQ96" i="41"/>
  <c r="AT45" i="41"/>
  <c r="AN107" i="41"/>
  <c r="AX97" i="41"/>
  <c r="AT90" i="41"/>
  <c r="AW113" i="41"/>
  <c r="AQ109" i="41"/>
  <c r="BB88" i="41"/>
  <c r="AR85" i="41"/>
  <c r="AQ91" i="41"/>
  <c r="AS15" i="41"/>
  <c r="AY17" i="41"/>
  <c r="AU100" i="41"/>
  <c r="AY131" i="41"/>
  <c r="AP69" i="41"/>
  <c r="AN121" i="41"/>
  <c r="AZ132" i="41"/>
  <c r="AO45" i="41"/>
  <c r="BC77" i="41"/>
  <c r="AT107" i="41"/>
  <c r="AP25" i="41"/>
  <c r="AW42" i="41"/>
  <c r="BC56" i="41"/>
  <c r="BA16" i="41"/>
  <c r="AS107" i="41"/>
  <c r="AU70" i="41"/>
  <c r="AX27" i="41"/>
  <c r="AW87" i="41"/>
  <c r="AN29" i="41"/>
  <c r="AT73" i="41"/>
  <c r="AN22" i="41"/>
  <c r="AP60" i="41"/>
  <c r="AW79" i="41"/>
  <c r="AW88" i="41"/>
  <c r="AW116" i="41"/>
  <c r="BC138" i="41"/>
  <c r="AR133" i="41"/>
  <c r="AU66" i="41"/>
  <c r="BB23" i="41"/>
  <c r="BA61" i="41"/>
  <c r="AU79" i="41"/>
  <c r="AN48" i="41"/>
  <c r="AQ97" i="41"/>
  <c r="AZ81" i="41"/>
  <c r="AB14" i="41"/>
  <c r="AZ127" i="41"/>
  <c r="AW78" i="41"/>
  <c r="AO15" i="41"/>
  <c r="BA62" i="41"/>
  <c r="BA94" i="41"/>
  <c r="AQ103" i="41"/>
  <c r="AU108" i="41"/>
  <c r="AV45" i="41"/>
  <c r="AO26" i="41"/>
  <c r="AO60" i="41"/>
  <c r="AY71" i="41"/>
  <c r="AZ66" i="41"/>
  <c r="AT128" i="41"/>
  <c r="AN140" i="41"/>
  <c r="B4" i="65"/>
  <c r="B24" i="65" s="1"/>
  <c r="K18" i="65"/>
  <c r="AW32" i="41"/>
  <c r="AX37" i="41"/>
  <c r="AO107" i="41"/>
  <c r="AQ94" i="41"/>
  <c r="AE14" i="41"/>
  <c r="X14" i="41"/>
  <c r="AX106" i="41"/>
  <c r="AU51" i="41"/>
  <c r="AT28" i="41"/>
  <c r="AY27" i="41"/>
  <c r="AY70" i="41"/>
  <c r="AN86" i="41"/>
  <c r="AR61" i="41"/>
  <c r="AS64" i="41"/>
  <c r="AN109" i="41"/>
  <c r="AU120" i="41"/>
  <c r="BB66" i="41"/>
  <c r="AS101" i="41"/>
  <c r="AT68" i="41"/>
  <c r="BC116" i="41"/>
  <c r="AY123" i="41"/>
  <c r="AR78" i="41"/>
  <c r="AU42" i="41"/>
  <c r="BC110" i="41"/>
  <c r="AT117" i="41"/>
  <c r="BA75" i="41"/>
  <c r="AW20" i="41"/>
  <c r="AX32" i="41"/>
  <c r="AN18" i="41"/>
  <c r="BC99" i="41"/>
  <c r="AT95" i="41"/>
  <c r="AV33" i="41"/>
  <c r="AN72" i="41"/>
  <c r="AX103" i="41"/>
  <c r="AX77" i="41"/>
  <c r="AO95" i="41"/>
  <c r="AS92" i="41"/>
  <c r="AW136" i="41"/>
  <c r="BA91" i="41"/>
  <c r="BB37" i="41"/>
  <c r="BC115" i="41"/>
  <c r="AX123" i="41"/>
  <c r="AX141" i="41"/>
  <c r="AO18" i="41"/>
  <c r="BC90" i="41"/>
  <c r="AW96" i="41"/>
  <c r="AO52" i="41"/>
  <c r="AO97" i="41"/>
  <c r="AZ128" i="41"/>
  <c r="AV56" i="41"/>
  <c r="AO81" i="41"/>
  <c r="AS136" i="41"/>
  <c r="AU133" i="41"/>
  <c r="AO36" i="41"/>
  <c r="AZ38" i="41"/>
  <c r="AS111" i="41"/>
  <c r="AT66" i="41"/>
  <c r="AZ87" i="41"/>
  <c r="AT19" i="41"/>
  <c r="AP92" i="41"/>
  <c r="AP113" i="41"/>
  <c r="AZ84" i="41"/>
  <c r="AX23" i="41"/>
  <c r="AN106" i="41"/>
  <c r="AP85" i="41"/>
  <c r="BA28" i="41"/>
  <c r="AR129" i="41"/>
  <c r="AV137" i="41"/>
  <c r="BC111" i="41"/>
  <c r="BB106" i="41"/>
  <c r="AZ53" i="41"/>
  <c r="AS58" i="41"/>
  <c r="AN126" i="41"/>
  <c r="BA24" i="41"/>
  <c r="AQ63" i="41"/>
  <c r="BB79" i="41"/>
  <c r="AU36" i="41"/>
  <c r="BA81" i="41"/>
  <c r="AS32" i="41"/>
  <c r="AW97" i="41"/>
  <c r="BC74" i="41"/>
  <c r="AY20" i="41"/>
  <c r="AU57" i="41"/>
  <c r="AU34" i="41"/>
  <c r="AV37" i="41"/>
  <c r="AW92" i="41"/>
  <c r="AW50" i="41"/>
  <c r="AQ88" i="41"/>
  <c r="AX131" i="41"/>
  <c r="AS66" i="41"/>
  <c r="BB25" i="41"/>
  <c r="AV78" i="41"/>
  <c r="AU61" i="41"/>
  <c r="AT29" i="41"/>
  <c r="AR109" i="41"/>
  <c r="AY122" i="41"/>
  <c r="AR20" i="41"/>
  <c r="AX19" i="41"/>
  <c r="AW56" i="41"/>
  <c r="BA74" i="41"/>
  <c r="AN103" i="41"/>
  <c r="AP76" i="41"/>
  <c r="AW73" i="41"/>
  <c r="AT16" i="41"/>
  <c r="AW65" i="41"/>
  <c r="AP45" i="41"/>
  <c r="AW52" i="41"/>
  <c r="AP54" i="41"/>
  <c r="AY87" i="41"/>
  <c r="AZ37" i="41"/>
  <c r="AT74" i="41"/>
  <c r="BB19" i="41"/>
  <c r="BA50" i="41"/>
  <c r="BA105" i="41"/>
  <c r="AV63" i="41"/>
  <c r="AZ39" i="41"/>
  <c r="AT15" i="41"/>
  <c r="AY64" i="41"/>
  <c r="BC46" i="41"/>
  <c r="AV86" i="41"/>
  <c r="BB81" i="41"/>
  <c r="AY120" i="41"/>
  <c r="AU118" i="41"/>
  <c r="BB94" i="41"/>
  <c r="BC29" i="41"/>
  <c r="BC101" i="41"/>
  <c r="AU103" i="41"/>
  <c r="AW29" i="41"/>
  <c r="AR30" i="41"/>
  <c r="AP101" i="41"/>
  <c r="AN123" i="41"/>
  <c r="AP47" i="41"/>
  <c r="AP133" i="41"/>
  <c r="AN37" i="41"/>
  <c r="AW59" i="41"/>
  <c r="AX137" i="41"/>
  <c r="AR123" i="41"/>
  <c r="AR127" i="41"/>
  <c r="BA95" i="41"/>
  <c r="AU125" i="41"/>
  <c r="AQ117" i="41"/>
  <c r="AO140" i="41"/>
  <c r="AQ28" i="41"/>
  <c r="AX135" i="41"/>
  <c r="AN20" i="41"/>
  <c r="BB17" i="41"/>
  <c r="AU22" i="41"/>
  <c r="AU16" i="41"/>
  <c r="AR93" i="41"/>
  <c r="AU132" i="41"/>
  <c r="BA119" i="41"/>
  <c r="AS98" i="41"/>
  <c r="AS49" i="41"/>
  <c r="AP36" i="41"/>
  <c r="BA139" i="41"/>
  <c r="AP53" i="41"/>
  <c r="AZ24" i="41"/>
  <c r="AS56" i="41"/>
  <c r="AX115" i="41"/>
  <c r="AR63" i="41"/>
  <c r="AR137" i="41"/>
  <c r="AN112" i="41"/>
  <c r="AN135" i="41"/>
  <c r="BB78" i="41"/>
  <c r="AP21" i="41"/>
  <c r="BB132" i="41"/>
  <c r="AZ29" i="41"/>
  <c r="AR24" i="41"/>
  <c r="AP68" i="41"/>
  <c r="AY134" i="41"/>
  <c r="AQ141" i="41"/>
  <c r="AY96" i="41"/>
  <c r="AU52" i="41"/>
  <c r="AW138" i="41"/>
  <c r="AZ140" i="41"/>
  <c r="AW30" i="41"/>
  <c r="BB27" i="41"/>
  <c r="AQ25" i="41"/>
  <c r="AS124" i="41"/>
  <c r="AO122" i="41"/>
  <c r="BC50" i="41"/>
  <c r="AX47" i="41"/>
  <c r="AS40" i="41"/>
  <c r="AX78" i="41"/>
  <c r="AX64" i="41"/>
  <c r="AT122" i="41"/>
  <c r="AO33" i="41"/>
  <c r="AJ14" i="41"/>
  <c r="AS20" i="41"/>
  <c r="BB71" i="41"/>
  <c r="AR99" i="41"/>
  <c r="Y14" i="41"/>
  <c r="AR33" i="41"/>
  <c r="BB74" i="41"/>
  <c r="AX24" i="41"/>
  <c r="AS53" i="41"/>
  <c r="AN75" i="41"/>
  <c r="BC42" i="41"/>
  <c r="AQ77" i="41"/>
  <c r="AP122" i="41"/>
  <c r="AN19" i="41"/>
  <c r="AP121" i="41"/>
  <c r="BA117" i="41"/>
  <c r="AW63" i="41"/>
  <c r="AO17" i="41"/>
  <c r="AZ52" i="41"/>
  <c r="AU123" i="41"/>
  <c r="AR17" i="41"/>
  <c r="AS86" i="41"/>
  <c r="AU113" i="41"/>
  <c r="BA115" i="41"/>
  <c r="BA79" i="41"/>
  <c r="AZ89" i="41"/>
  <c r="AU94" i="41"/>
  <c r="AZ54" i="41"/>
  <c r="AP39" i="41"/>
  <c r="BA36" i="41"/>
  <c r="BA32" i="41"/>
  <c r="AU95" i="41"/>
  <c r="AV112" i="41"/>
  <c r="BC24" i="41"/>
  <c r="AV55" i="41"/>
  <c r="AV87" i="41"/>
  <c r="AV94" i="41"/>
  <c r="AX126" i="41"/>
  <c r="BC14" i="41"/>
  <c r="AV141" i="41"/>
  <c r="AP132" i="41"/>
  <c r="AV126" i="41"/>
  <c r="AW41" i="41"/>
  <c r="BA124" i="41"/>
  <c r="AX76" i="41"/>
  <c r="AP31" i="41"/>
  <c r="AX69" i="41"/>
  <c r="AY110" i="41"/>
  <c r="BA97" i="41"/>
  <c r="AY69" i="41"/>
  <c r="AN41" i="41"/>
  <c r="AS62" i="41"/>
  <c r="AR60" i="41"/>
  <c r="AO21" i="41"/>
  <c r="BB22" i="41"/>
  <c r="AR117" i="41"/>
  <c r="BB67" i="41"/>
  <c r="BC39" i="41"/>
  <c r="BA40" i="41"/>
  <c r="AS108" i="41"/>
  <c r="AS139" i="41"/>
  <c r="AO34" i="41"/>
  <c r="AN118" i="41"/>
  <c r="BC30" i="41"/>
  <c r="AR45" i="41"/>
  <c r="AQ106" i="41"/>
  <c r="AX45" i="41"/>
  <c r="AS70" i="41"/>
  <c r="AY41" i="41"/>
  <c r="AU106" i="41"/>
  <c r="AW43" i="41"/>
  <c r="BA70" i="41"/>
  <c r="BA18" i="41"/>
  <c r="BA87" i="41"/>
  <c r="AZ112" i="41"/>
  <c r="AU49" i="41"/>
  <c r="AV28" i="41"/>
  <c r="AY62" i="41"/>
  <c r="AU67" i="41"/>
  <c r="AW49" i="41"/>
  <c r="AX124" i="41"/>
  <c r="AC14" i="41"/>
  <c r="AB15" i="41"/>
  <c r="BC75" i="41"/>
  <c r="AZ76" i="41"/>
  <c r="AN133" i="41"/>
  <c r="AV22" i="41"/>
  <c r="AX34" i="41"/>
  <c r="BA104" i="41"/>
  <c r="AN74" i="41"/>
  <c r="AN31" i="41"/>
  <c r="AZ49" i="41"/>
  <c r="AX110" i="41"/>
  <c r="AO35" i="41"/>
  <c r="AO91" i="41"/>
  <c r="AO80" i="41"/>
  <c r="AP57" i="41"/>
  <c r="AZ65" i="41"/>
  <c r="AQ47" i="41"/>
  <c r="AX56" i="41"/>
  <c r="AY81" i="41"/>
  <c r="BC60" i="41"/>
  <c r="AY88" i="41"/>
  <c r="AX83" i="41"/>
  <c r="AZ147" i="41" l="1"/>
  <c r="AY147" i="41"/>
  <c r="AO147" i="41"/>
  <c r="BD67" i="41"/>
  <c r="BE104" i="41"/>
  <c r="BE55" i="41"/>
  <c r="BD120" i="41"/>
  <c r="BD102" i="41"/>
  <c r="BD142" i="41"/>
  <c r="BE116" i="41"/>
  <c r="BE119" i="41"/>
  <c r="BD51" i="41"/>
  <c r="BD14" i="41"/>
  <c r="BD98" i="41"/>
  <c r="BE142" i="41"/>
  <c r="BD89" i="41"/>
  <c r="BD121" i="41"/>
  <c r="BD42" i="41"/>
  <c r="BD72" i="41"/>
  <c r="BD82" i="41"/>
  <c r="BD30" i="41"/>
  <c r="BE85" i="41"/>
  <c r="BD100" i="41"/>
  <c r="BE44" i="41"/>
  <c r="BE102" i="41"/>
  <c r="BE14" i="41"/>
  <c r="BE120" i="41"/>
  <c r="BD59" i="41"/>
  <c r="BD116" i="41"/>
  <c r="BE100" i="41"/>
  <c r="BD43" i="41"/>
  <c r="BE108" i="41"/>
  <c r="BE58" i="41"/>
  <c r="BC147" i="41"/>
  <c r="BE99" i="41"/>
  <c r="BD44" i="41"/>
  <c r="BE105" i="41"/>
  <c r="BE83" i="41"/>
  <c r="BD71" i="41"/>
  <c r="BE134" i="41"/>
  <c r="BE15" i="41"/>
  <c r="BE23" i="41"/>
  <c r="BD93" i="41"/>
  <c r="BE27" i="41"/>
  <c r="BD135" i="41"/>
  <c r="BD46" i="41"/>
  <c r="BE84" i="41"/>
  <c r="BE73" i="41"/>
  <c r="BE72" i="41"/>
  <c r="BE48" i="41"/>
  <c r="BD73" i="41"/>
  <c r="BD21" i="41"/>
  <c r="BD138" i="41"/>
  <c r="BD86" i="41"/>
  <c r="BD109" i="41"/>
  <c r="BE129" i="41"/>
  <c r="BD111" i="41"/>
  <c r="BE136" i="41"/>
  <c r="BE51" i="41"/>
  <c r="BD114" i="41"/>
  <c r="BD18" i="41"/>
  <c r="BD106" i="41"/>
  <c r="BE97" i="41"/>
  <c r="BE54" i="41"/>
  <c r="BE68" i="41"/>
  <c r="BE125" i="41"/>
  <c r="BD90" i="41"/>
  <c r="BE82" i="41"/>
  <c r="BD85" i="41"/>
  <c r="BE50" i="41"/>
  <c r="BD69" i="41"/>
  <c r="BE46" i="41"/>
  <c r="BD55" i="41"/>
  <c r="BE56" i="41"/>
  <c r="BE110" i="41"/>
  <c r="BE26" i="41"/>
  <c r="BD48" i="41"/>
  <c r="BD63" i="41"/>
  <c r="BE107" i="41"/>
  <c r="BE131" i="41"/>
  <c r="BD15" i="41"/>
  <c r="BD127" i="41"/>
  <c r="BE130" i="41"/>
  <c r="BD107" i="41"/>
  <c r="BE42" i="41"/>
  <c r="BD118" i="41"/>
  <c r="BE75" i="41"/>
  <c r="BD68" i="41"/>
  <c r="BD130" i="41"/>
  <c r="BE89" i="41"/>
  <c r="BD53" i="41"/>
  <c r="BE135" i="41"/>
  <c r="BE96" i="41"/>
  <c r="BE98" i="41"/>
  <c r="BE59" i="41"/>
  <c r="BD123" i="41"/>
  <c r="BD16" i="41"/>
  <c r="BD61" i="41"/>
  <c r="BD131" i="41"/>
  <c r="BE114" i="41"/>
  <c r="BD145" i="41"/>
  <c r="BD134" i="41"/>
  <c r="BD41" i="41"/>
  <c r="AR143" i="41"/>
  <c r="BE139" i="41"/>
  <c r="BD39" i="41"/>
  <c r="BE32" i="41"/>
  <c r="BE113" i="41"/>
  <c r="BE77" i="41"/>
  <c r="BD129" i="41"/>
  <c r="BE127" i="41"/>
  <c r="BD128" i="41"/>
  <c r="BD40" i="41"/>
  <c r="BE132" i="41"/>
  <c r="BE95" i="41"/>
  <c r="BD26" i="41"/>
  <c r="BE112" i="41"/>
  <c r="BD70" i="41"/>
  <c r="BD27" i="41"/>
  <c r="BD20" i="41"/>
  <c r="BD137" i="41"/>
  <c r="BD37" i="41"/>
  <c r="AV143" i="41"/>
  <c r="BD117" i="41"/>
  <c r="BD64" i="41"/>
  <c r="BE124" i="41"/>
  <c r="BD56" i="41"/>
  <c r="BD50" i="41"/>
  <c r="BE138" i="41"/>
  <c r="BD113" i="41"/>
  <c r="BD36" i="41"/>
  <c r="BD92" i="41"/>
  <c r="BD112" i="41"/>
  <c r="BE17" i="41"/>
  <c r="BE121" i="41"/>
  <c r="BD122" i="41"/>
  <c r="BD115" i="41"/>
  <c r="BE65" i="41"/>
  <c r="BE87" i="41"/>
  <c r="BD65" i="41"/>
  <c r="BD125" i="41"/>
  <c r="BE70" i="41"/>
  <c r="BE90" i="41"/>
  <c r="BE16" i="41"/>
  <c r="BE61" i="41"/>
  <c r="BD32" i="41"/>
  <c r="BD126" i="41"/>
  <c r="BD87" i="41"/>
  <c r="BE39" i="41"/>
  <c r="BE19" i="41"/>
  <c r="BD141" i="41"/>
  <c r="AP143" i="41"/>
  <c r="BE24" i="41"/>
  <c r="BE101" i="41"/>
  <c r="BD97" i="41"/>
  <c r="BE106" i="41"/>
  <c r="BE66" i="41"/>
  <c r="BE86" i="41"/>
  <c r="BD17" i="41"/>
  <c r="BE20" i="41"/>
  <c r="BE123" i="41"/>
  <c r="BE111" i="41"/>
  <c r="BD84" i="41"/>
  <c r="BD110" i="41"/>
  <c r="BC143" i="41"/>
  <c r="BE34" i="41"/>
  <c r="BE126" i="41"/>
  <c r="BD95" i="41"/>
  <c r="BE94" i="41"/>
  <c r="BD24" i="41"/>
  <c r="BE29" i="41"/>
  <c r="BE18" i="41"/>
  <c r="BE109" i="41"/>
  <c r="BE28" i="41"/>
  <c r="BD124" i="41"/>
  <c r="BE115" i="41"/>
  <c r="BE103" i="41"/>
  <c r="AT143" i="41"/>
  <c r="BD45" i="41"/>
  <c r="BE45" i="41"/>
  <c r="BE63" i="41"/>
  <c r="BD96" i="41"/>
  <c r="BE71" i="41"/>
  <c r="BD136" i="41"/>
  <c r="BD77" i="41"/>
  <c r="BE93" i="41"/>
  <c r="BD139" i="41"/>
  <c r="BE43" i="41"/>
  <c r="AZ143" i="41"/>
  <c r="AS143" i="41"/>
  <c r="BD140" i="41"/>
  <c r="BE78" i="41"/>
  <c r="BE141" i="41"/>
  <c r="X15" i="41"/>
  <c r="BE137" i="41"/>
  <c r="BD83" i="41"/>
  <c r="BD132" i="41"/>
  <c r="BE118" i="41"/>
  <c r="BD62" i="41"/>
  <c r="BD66" i="41"/>
  <c r="BE128" i="41"/>
  <c r="BD78" i="41"/>
  <c r="BE40" i="41"/>
  <c r="BE41" i="41"/>
  <c r="BD105" i="41"/>
  <c r="BE117" i="41"/>
  <c r="BD88" i="41"/>
  <c r="BB143" i="41"/>
  <c r="BE53" i="41"/>
  <c r="BE69" i="41"/>
  <c r="BE37" i="41"/>
  <c r="BD54" i="41"/>
  <c r="BD58" i="41"/>
  <c r="BD29" i="41"/>
  <c r="BE122" i="41"/>
  <c r="BE30" i="41"/>
  <c r="BE38" i="41"/>
  <c r="BD38" i="41"/>
  <c r="AW143" i="41"/>
  <c r="BE64" i="41"/>
  <c r="BD23" i="41"/>
  <c r="BD94" i="41"/>
  <c r="BE21" i="41"/>
  <c r="BE79" i="41"/>
  <c r="BE33" i="41"/>
  <c r="BD19" i="41"/>
  <c r="BE92" i="41"/>
  <c r="BE62" i="41"/>
  <c r="BD79" i="41"/>
  <c r="BE67" i="41"/>
  <c r="BD33" i="41"/>
  <c r="BD28" i="41"/>
  <c r="BD103" i="41"/>
  <c r="BE36" i="41"/>
  <c r="BD99" i="41"/>
  <c r="BE140" i="41"/>
  <c r="BD108" i="41"/>
  <c r="BD119" i="41"/>
  <c r="BD101" i="41"/>
  <c r="BE25" i="41"/>
  <c r="BD25" i="41"/>
  <c r="BE52" i="41"/>
  <c r="BD52" i="41"/>
  <c r="BD81" i="41"/>
  <c r="BE81" i="41"/>
  <c r="AY143" i="41"/>
  <c r="BE35" i="41"/>
  <c r="BD35" i="41"/>
  <c r="AO143" i="41"/>
  <c r="BD31" i="41"/>
  <c r="BE31" i="41"/>
  <c r="BD22" i="41"/>
  <c r="BE22" i="41"/>
  <c r="AX143" i="41"/>
  <c r="BA143" i="41"/>
  <c r="BE49" i="41"/>
  <c r="BD49" i="41"/>
  <c r="BD34" i="41"/>
  <c r="BE57" i="41"/>
  <c r="BD57" i="41"/>
  <c r="BE74" i="41"/>
  <c r="BD74" i="41"/>
  <c r="BE133" i="41"/>
  <c r="BD133" i="41"/>
  <c r="BE60" i="41"/>
  <c r="BD60" i="41"/>
  <c r="BD91" i="41"/>
  <c r="BE91" i="41"/>
  <c r="BE47" i="41"/>
  <c r="BD47" i="41"/>
  <c r="AQ143" i="41"/>
  <c r="BD80" i="41"/>
  <c r="BE80" i="41"/>
  <c r="BD76" i="41"/>
  <c r="BE76" i="41"/>
  <c r="AU143" i="41"/>
  <c r="BD104" i="41"/>
  <c r="AN143" i="41"/>
  <c r="BD75" i="41"/>
  <c r="BE88" i="41"/>
  <c r="BD147" i="41" l="1"/>
  <c r="BE145" i="41"/>
  <c r="BE147" i="41" s="1"/>
  <c r="BE143" i="41"/>
  <c r="BD143" i="41"/>
  <c r="Q18" i="65"/>
</calcChain>
</file>

<file path=xl/sharedStrings.xml><?xml version="1.0" encoding="utf-8"?>
<sst xmlns="http://schemas.openxmlformats.org/spreadsheetml/2006/main" count="5977" uniqueCount="1490">
  <si>
    <t>LIST OF LOADED CONTAINERS</t>
  </si>
  <si>
    <t>VESSEL:</t>
  </si>
  <si>
    <t>SERVICE:</t>
  </si>
  <si>
    <t>HAIAN LINES</t>
  </si>
  <si>
    <t>PORT OF LOADING:</t>
  </si>
  <si>
    <t>VOY:</t>
  </si>
  <si>
    <t xml:space="preserve">ETA: </t>
  </si>
  <si>
    <t>PORT OF DISCHARGING:</t>
  </si>
  <si>
    <t>FLAG:</t>
  </si>
  <si>
    <t>VIETNAM</t>
  </si>
  <si>
    <t xml:space="preserve">ETD: </t>
  </si>
  <si>
    <t>Marina Logistics &amp; Agencies Co.,LTD - HCM Branch</t>
  </si>
  <si>
    <t>Hai Ha building, 7 Fl, 217 Nguyen Van Thu, Da Kao ward, Dist.1, HCMC</t>
  </si>
  <si>
    <t>Tel:  (08) 3822 1170          Fax: (08) 3822 1180</t>
  </si>
  <si>
    <t>STT</t>
  </si>
  <si>
    <t>POL</t>
  </si>
  <si>
    <t>POD</t>
  </si>
  <si>
    <t>OPR</t>
  </si>
  <si>
    <t>LINE</t>
  </si>
  <si>
    <t>SLOT</t>
  </si>
  <si>
    <t>CONTAINERNo.</t>
  </si>
  <si>
    <t>CELL</t>
  </si>
  <si>
    <t>F/E</t>
  </si>
  <si>
    <t>SIZE</t>
  </si>
  <si>
    <t>SEAL</t>
  </si>
  <si>
    <t>DESCRIPTION 
OF GOODS</t>
  </si>
  <si>
    <t>TEMP</t>
  </si>
  <si>
    <t>REMARKS</t>
  </si>
  <si>
    <t>IMO</t>
  </si>
  <si>
    <t>SO BOOKING</t>
  </si>
  <si>
    <t>SHIPPER</t>
  </si>
  <si>
    <t>20DC</t>
  </si>
  <si>
    <t>20RF</t>
  </si>
  <si>
    <t>20FR</t>
  </si>
  <si>
    <t>20OT</t>
  </si>
  <si>
    <t>20TK</t>
  </si>
  <si>
    <t>40DC</t>
  </si>
  <si>
    <t>40HC</t>
  </si>
  <si>
    <t>40RF</t>
  </si>
  <si>
    <t>40FR</t>
  </si>
  <si>
    <t>40OT</t>
  </si>
  <si>
    <t>45RF</t>
  </si>
  <si>
    <t>53RF</t>
  </si>
  <si>
    <t>45HC</t>
  </si>
  <si>
    <t>OPS</t>
  </si>
  <si>
    <t>No.</t>
  </si>
  <si>
    <t>CUSTOMER'S DETAILS</t>
  </si>
  <si>
    <t>Laden</t>
  </si>
  <si>
    <t>Empty</t>
  </si>
  <si>
    <t>Total</t>
  </si>
  <si>
    <t>VICT</t>
  </si>
  <si>
    <t>HPH</t>
  </si>
  <si>
    <t>HN</t>
  </si>
  <si>
    <t>LADEN</t>
  </si>
  <si>
    <t xml:space="preserve"> Box</t>
  </si>
  <si>
    <t xml:space="preserve"> TEU</t>
  </si>
  <si>
    <t>EMPTY</t>
  </si>
  <si>
    <t>MLA</t>
  </si>
  <si>
    <t>TOTAL</t>
  </si>
  <si>
    <t>UNITS</t>
  </si>
  <si>
    <t>TEUS</t>
  </si>
  <si>
    <t>TONS</t>
  </si>
  <si>
    <t>HAAL</t>
  </si>
  <si>
    <t xml:space="preserve"> </t>
  </si>
  <si>
    <t>HACT-VT</t>
  </si>
  <si>
    <t>TOTAL OF HAAL</t>
  </si>
  <si>
    <t>COC</t>
  </si>
  <si>
    <t xml:space="preserve">TOTAL OF </t>
  </si>
  <si>
    <t xml:space="preserve"> TOTAL</t>
  </si>
  <si>
    <t/>
  </si>
  <si>
    <t>CONT</t>
  </si>
  <si>
    <t>20'</t>
  </si>
  <si>
    <t>40'</t>
  </si>
  <si>
    <t>TEU</t>
  </si>
  <si>
    <t>TẢI</t>
  </si>
  <si>
    <t xml:space="preserve">TỔNG LIST </t>
  </si>
  <si>
    <t>TRỌNG TẢI</t>
  </si>
  <si>
    <t>CHIA</t>
  </si>
  <si>
    <t>LIST</t>
  </si>
  <si>
    <t>+</t>
  </si>
  <si>
    <t>DƯ THIẾU</t>
  </si>
  <si>
    <t>DƯ/THIẾU</t>
  </si>
  <si>
    <t>HỦY</t>
  </si>
  <si>
    <t>HACT</t>
  </si>
  <si>
    <t>DAD</t>
  </si>
  <si>
    <t xml:space="preserve">MLA </t>
  </si>
  <si>
    <t>HAFC</t>
  </si>
  <si>
    <t>HVT</t>
  </si>
  <si>
    <t>HAVT</t>
  </si>
  <si>
    <t>DBSCL</t>
  </si>
  <si>
    <t>MLOS</t>
  </si>
  <si>
    <t>VUT</t>
  </si>
  <si>
    <t>TAI</t>
  </si>
  <si>
    <t>VICT 1</t>
  </si>
  <si>
    <t>VICT 2</t>
  </si>
  <si>
    <t xml:space="preserve">VT </t>
  </si>
  <si>
    <t xml:space="preserve">hph : </t>
  </si>
  <si>
    <t xml:space="preserve">DAD : </t>
  </si>
  <si>
    <t>HA</t>
  </si>
  <si>
    <t>hph : 147/112, 1rf, 6.400 tấn</t>
  </si>
  <si>
    <t>dad : 69/89, 3.400 tấn</t>
  </si>
  <si>
    <t xml:space="preserve">SÀ LAN  </t>
  </si>
  <si>
    <t xml:space="preserve">CHIA TẤN </t>
  </si>
  <si>
    <t>CHIA TEUS</t>
  </si>
  <si>
    <t xml:space="preserve">LIST TẤN </t>
  </si>
  <si>
    <t>LIST TEUS</t>
  </si>
  <si>
    <t>MLO</t>
  </si>
  <si>
    <t>LIST TẤN</t>
  </si>
  <si>
    <t>CHIA TẤN</t>
  </si>
  <si>
    <t xml:space="preserve">HAVT </t>
  </si>
  <si>
    <t>dư 10 teus</t>
  </si>
  <si>
    <t>dư 125 tấn</t>
  </si>
  <si>
    <t>dư 45 tấn</t>
  </si>
  <si>
    <t>dư 19 teus</t>
  </si>
  <si>
    <t>VT xếp : 2065 tấn, 323 teus MLO + 2028 tấn, 102 teus</t>
  </si>
  <si>
    <t>HALU5633682</t>
  </si>
  <si>
    <t>F</t>
  </si>
  <si>
    <t xml:space="preserve"> MLO </t>
  </si>
  <si>
    <t xml:space="preserve"> HEUNG-A DAD </t>
  </si>
  <si>
    <t>HLHU8111352</t>
  </si>
  <si>
    <t>HLHU8116605</t>
  </si>
  <si>
    <t>SKHU8939112</t>
  </si>
  <si>
    <t>TCLU1485012</t>
  </si>
  <si>
    <t>TEMU6132822</t>
  </si>
  <si>
    <t>FCIU7003341</t>
  </si>
  <si>
    <t>FDCU0075397</t>
  </si>
  <si>
    <t>HALU5692005</t>
  </si>
  <si>
    <t>TCNU4880661</t>
  </si>
  <si>
    <t>TCNU7574602</t>
  </si>
  <si>
    <t>TEMU7423870</t>
  </si>
  <si>
    <t>CXDU2382808</t>
  </si>
  <si>
    <t>SEGU6344110</t>
  </si>
  <si>
    <t>TCNU6297205</t>
  </si>
  <si>
    <t>WBPU7075182</t>
  </si>
  <si>
    <t>HP: 173/229, 1/1EM , 32 RF, 10K1</t>
  </si>
  <si>
    <t>ĐA : 108/62. 1/0 EMPTY, 4RF, 4K</t>
  </si>
  <si>
    <t>CÁI MÉP : 1755 TẤN, 81 TEUS + MLO : 1875 TẤN, 415 TEUS</t>
  </si>
  <si>
    <t>HPH : 245/ 213, 2/4 Empty , 34 RF. 11,500 TẤN</t>
  </si>
  <si>
    <t>DAD : 119 / 129 , 1 rf</t>
  </si>
  <si>
    <t>PASU3190465</t>
  </si>
  <si>
    <t xml:space="preserve"> 21.00 </t>
  </si>
  <si>
    <t>THAI MINH</t>
  </si>
  <si>
    <t xml:space="preserve">HAHU8225290 </t>
  </si>
  <si>
    <t xml:space="preserve"> 29.74 </t>
  </si>
  <si>
    <t>TCLU6368132</t>
  </si>
  <si>
    <t xml:space="preserve"> 27.00 </t>
  </si>
  <si>
    <t>CAIU9021454</t>
  </si>
  <si>
    <t xml:space="preserve"> 22.00 </t>
  </si>
  <si>
    <t>PCL</t>
  </si>
  <si>
    <t>DFSU6999278</t>
  </si>
  <si>
    <t xml:space="preserve"> 32.00 </t>
  </si>
  <si>
    <t>VIET SUN PTTT</t>
  </si>
  <si>
    <t>TCNU8215280</t>
  </si>
  <si>
    <t xml:space="preserve"> 26.66 </t>
  </si>
  <si>
    <t>MATRAN</t>
  </si>
  <si>
    <t>CAIU8591339</t>
  </si>
  <si>
    <t xml:space="preserve"> 29.16 </t>
  </si>
  <si>
    <t>TMS</t>
  </si>
  <si>
    <t>TCLU2886914</t>
  </si>
  <si>
    <t xml:space="preserve"> 27.64 </t>
  </si>
  <si>
    <t>MELODY</t>
  </si>
  <si>
    <t>TRLU9147936</t>
  </si>
  <si>
    <t xml:space="preserve"> 29.91 </t>
  </si>
  <si>
    <t>VDM</t>
  </si>
  <si>
    <t>TCKU3708226</t>
  </si>
  <si>
    <t xml:space="preserve"> 28.58 </t>
  </si>
  <si>
    <t>CANG PHUOC KHANG</t>
  </si>
  <si>
    <t>TCKU1335397</t>
  </si>
  <si>
    <t xml:space="preserve"> 30.47 </t>
  </si>
  <si>
    <t>NAM HAI</t>
  </si>
  <si>
    <t xml:space="preserve">EMCU9654904 </t>
  </si>
  <si>
    <t xml:space="preserve"> 29.29 </t>
  </si>
  <si>
    <t>THUY TUNG</t>
  </si>
  <si>
    <t>HAIAN</t>
  </si>
  <si>
    <t>KIOWAY</t>
  </si>
  <si>
    <t>AMTRAN</t>
  </si>
  <si>
    <t>NEWTREND</t>
  </si>
  <si>
    <t>SOTRANS</t>
  </si>
  <si>
    <t>DONG A</t>
  </si>
  <si>
    <t>NAM HOA SƠN</t>
  </si>
  <si>
    <t>HAI VUONG</t>
  </si>
  <si>
    <t>KMG</t>
  </si>
  <si>
    <t>VIET SUN LOG</t>
  </si>
  <si>
    <t>VIETCO</t>
  </si>
  <si>
    <t>TNN</t>
  </si>
  <si>
    <t xml:space="preserve">HAFC/CHÂU HẢI NAM </t>
  </si>
  <si>
    <t>TAY NAM BO</t>
  </si>
  <si>
    <t>HNC</t>
  </si>
  <si>
    <t>MINH TAN</t>
  </si>
  <si>
    <t>HAFC/ BƯU ĐIỆN</t>
  </si>
  <si>
    <t>NAM VIET</t>
  </si>
  <si>
    <t>TEXHONG</t>
  </si>
  <si>
    <t>CHAU KHANG</t>
  </si>
  <si>
    <t>THUC PHAM QUOC TE</t>
  </si>
  <si>
    <t>YES LOG</t>
  </si>
  <si>
    <t>NGUYỄN PHƯƠNG</t>
  </si>
  <si>
    <t>NGUYEN PHUONG</t>
  </si>
  <si>
    <t>ACECOOK</t>
  </si>
  <si>
    <t>HAFC/VINH NAM</t>
  </si>
  <si>
    <t>NHAT PHUONG</t>
  </si>
  <si>
    <t>HAFC/ĐẠI PHÚ</t>
  </si>
  <si>
    <t>VIETPEARL</t>
  </si>
  <si>
    <t>DEDWAY</t>
  </si>
  <si>
    <t>REAL</t>
  </si>
  <si>
    <t>HUY HOANG PHAT</t>
  </si>
  <si>
    <t>SAFI</t>
  </si>
  <si>
    <t>PHUC TIN</t>
  </si>
  <si>
    <t>LA BAN</t>
  </si>
  <si>
    <t>SCG-VKPC</t>
  </si>
  <si>
    <t xml:space="preserve">LINFOX-UNILEVER </t>
  </si>
  <si>
    <t>MINH PHUONG</t>
  </si>
  <si>
    <t>NGAN TRI</t>
  </si>
  <si>
    <t>TTO</t>
  </si>
  <si>
    <t>THAI BINH MINH</t>
  </si>
  <si>
    <t>HAFC/TÍN QUANG</t>
  </si>
  <si>
    <t>VIET HUNG</t>
  </si>
  <si>
    <t>GOLDSEA</t>
  </si>
  <si>
    <t>TAN BIEN</t>
  </si>
  <si>
    <t>BINH CHINH</t>
  </si>
  <si>
    <t>DAI LAM</t>
  </si>
  <si>
    <t>TMS 2</t>
  </si>
  <si>
    <t>GMD LOG</t>
  </si>
  <si>
    <t>NAM HOA SON</t>
  </si>
  <si>
    <t>THIEN LONG</t>
  </si>
  <si>
    <t>HÒA PHÁT</t>
  </si>
  <si>
    <t>HOÀNG ANH 98</t>
  </si>
  <si>
    <t>PHÚC TRỌNG TÍN</t>
  </si>
  <si>
    <t>SML</t>
  </si>
  <si>
    <t>DAI QUANG MINH</t>
  </si>
  <si>
    <t>PHUONG THAO</t>
  </si>
  <si>
    <t>HAI AU</t>
  </si>
  <si>
    <t>RED DRAGON</t>
  </si>
  <si>
    <t>AMETRANS</t>
  </si>
  <si>
    <t>VIET PHONG</t>
  </si>
  <si>
    <t>KIEN AN</t>
  </si>
  <si>
    <t>PHU XUAN</t>
  </si>
  <si>
    <t>LIEN VIET DUNG</t>
  </si>
  <si>
    <t>VIETTEL HANH</t>
  </si>
  <si>
    <t>HAFC/DC</t>
  </si>
  <si>
    <t>HAFC/TÂN ĐẠT</t>
  </si>
  <si>
    <t>HAFC/SAKURA</t>
  </si>
  <si>
    <t>HAFC/HÀ LINH ANH</t>
  </si>
  <si>
    <t>HAFC/VT CONTAINER HẢI AN DOR</t>
  </si>
  <si>
    <t>HAFC/TÂN ĐẠI DƯƠNG</t>
  </si>
  <si>
    <t>HAFC/CẢNG LONG AN</t>
  </si>
  <si>
    <t>HAFC/VĨNH TƯỜNG MIỀN BẮC</t>
  </si>
  <si>
    <t>HAFC/VITRANIMEX</t>
  </si>
  <si>
    <t>HAFC/MLC HCM</t>
  </si>
  <si>
    <t>HAFC/THUYỀN VÀNG</t>
  </si>
  <si>
    <t>HAFC/MLC ITL</t>
  </si>
  <si>
    <t>HAFC/CHÁNH DƯƠNG</t>
  </si>
  <si>
    <t>HAFC/ VITRANIMEX</t>
  </si>
  <si>
    <t>HAFC/ CHÂU HẢI NAM</t>
  </si>
  <si>
    <t>ACECOOK DAD</t>
  </si>
  <si>
    <t>SIKA DAD</t>
  </si>
  <si>
    <t>HAFC/LIÊN CHIỂU</t>
  </si>
  <si>
    <t>HAFC/SAKURA DAD</t>
  </si>
  <si>
    <t>HAFC/TÂN ĐẠT DAD</t>
  </si>
  <si>
    <t>HAFC/VT CONTAINER HẢI AN DOR DAD</t>
  </si>
  <si>
    <t>HAFC/VIỆT HOA DAD</t>
  </si>
  <si>
    <t>HAFC/SAINT-GOBAIN - CNHPHUOC DAD</t>
  </si>
  <si>
    <t>HAFC/CÔNG NGHIỆP VĨNH TƯỜNG DAD</t>
  </si>
  <si>
    <t>HAFC/HANACANS DAD</t>
  </si>
  <si>
    <t>HAFC/CHÂU HẢI NAM DAD</t>
  </si>
  <si>
    <t>HAFC/HÀ LINH ANH DAD</t>
  </si>
  <si>
    <t>HAFC/PEPSICO DAD</t>
  </si>
  <si>
    <t>HAFC/THỦY TÂN CẢNG DAD</t>
  </si>
  <si>
    <t>HAFC/Á CHÂU DAD</t>
  </si>
  <si>
    <t>TAN BIEN DAD</t>
  </si>
  <si>
    <t>SENDO</t>
  </si>
  <si>
    <t>VIET HUNG DAD</t>
  </si>
  <si>
    <t>DAI LAM DAD</t>
  </si>
  <si>
    <t>NGUYEN QUANG DAD</t>
  </si>
  <si>
    <t>TMS 2 DAD</t>
  </si>
  <si>
    <t>NAM HOA SON DAD</t>
  </si>
  <si>
    <t>PHU XUAN DAD</t>
  </si>
  <si>
    <t>THAI BINH MINH DAD</t>
  </si>
  <si>
    <t>AMETRANS DAD</t>
  </si>
  <si>
    <t>TVX DAD</t>
  </si>
  <si>
    <t>SHC DAD</t>
  </si>
  <si>
    <t>GMD LOG DAD</t>
  </si>
  <si>
    <t>VIETCO DAD</t>
  </si>
  <si>
    <t>DONG A DAD</t>
  </si>
  <si>
    <t>TAY NAM BO DAD</t>
  </si>
  <si>
    <t>THAI MINH DAD</t>
  </si>
  <si>
    <t>HEUNG-A DAD</t>
  </si>
  <si>
    <t>YML DAD</t>
  </si>
  <si>
    <t>PCL DAD</t>
  </si>
  <si>
    <t>KMG DAD</t>
  </si>
  <si>
    <t>TMS DAD</t>
  </si>
  <si>
    <t>KUKDONG DAD</t>
  </si>
  <si>
    <t>ATA DAD</t>
  </si>
  <si>
    <t>MELODY DAD</t>
  </si>
  <si>
    <t>HEADWAY DAD</t>
  </si>
  <si>
    <t>VAN TAI NHANH DAD</t>
  </si>
  <si>
    <t>VDM DAD</t>
  </si>
  <si>
    <t>NAKYDACO DAD</t>
  </si>
  <si>
    <t>THUC PHAM QUOC TE DAD</t>
  </si>
  <si>
    <t>TAN MINH NGOC</t>
  </si>
  <si>
    <t>SAS</t>
  </si>
  <si>
    <t>MINH LONG</t>
  </si>
  <si>
    <t>PANTOS</t>
  </si>
  <si>
    <t>HJS</t>
  </si>
  <si>
    <t>TAN LIEU</t>
  </si>
  <si>
    <t>VAN TAI NHANH</t>
  </si>
  <si>
    <t>ATA</t>
  </si>
  <si>
    <t>DINH TUAN</t>
  </si>
  <si>
    <t>TRACO</t>
  </si>
  <si>
    <t>SAO NAM</t>
  </si>
  <si>
    <t>INTERTRAN</t>
  </si>
  <si>
    <t>HOANG LONG CARGO</t>
  </si>
  <si>
    <t>DELTA</t>
  </si>
  <si>
    <t>VEDAN</t>
  </si>
  <si>
    <t>ZEGA</t>
  </si>
  <si>
    <t>DONG DUONG LOG</t>
  </si>
  <si>
    <t>LINFOX-UNILEVER</t>
  </si>
  <si>
    <t>MAI THUẬN VINH</t>
  </si>
  <si>
    <t>TOÀN CẦU AN KHANG</t>
  </si>
  <si>
    <t>VINA CARGO</t>
  </si>
  <si>
    <t>COLLYER</t>
  </si>
  <si>
    <t>APT</t>
  </si>
  <si>
    <t>HPT</t>
  </si>
  <si>
    <t>VIET A</t>
  </si>
  <si>
    <t>QUYNH NGOC</t>
  </si>
  <si>
    <t>CHAU HAI NAM</t>
  </si>
  <si>
    <t>AN KHANH</t>
  </si>
  <si>
    <t>VIEN DONG</t>
  </si>
  <si>
    <t>GMD</t>
  </si>
  <si>
    <t>VINALINES</t>
  </si>
  <si>
    <t>NGOI SAO XANH</t>
  </si>
  <si>
    <t>NGUYEN QUANG</t>
  </si>
  <si>
    <t>PANDA</t>
  </si>
  <si>
    <t>KHAI HUY</t>
  </si>
  <si>
    <t>BAO HUNG PHAT</t>
  </si>
  <si>
    <t>TM MINH LONG</t>
  </si>
  <si>
    <t>SLB</t>
  </si>
  <si>
    <t>CUONG THINH PHAT</t>
  </si>
  <si>
    <t>VT NHẬT MINH</t>
  </si>
  <si>
    <t>ĐƯỜNG SẮT HP</t>
  </si>
  <si>
    <t>TS LOGS</t>
  </si>
  <si>
    <t>LOKAPORT</t>
  </si>
  <si>
    <t>B.N</t>
  </si>
  <si>
    <t>HƯNG PHÁT THỊNH</t>
  </si>
  <si>
    <t>KHÁNH MINH</t>
  </si>
  <si>
    <t>MS HÀ</t>
  </si>
  <si>
    <t xml:space="preserve">VIETTEL HANH </t>
  </si>
  <si>
    <t>HAFC/SAM SUNG</t>
  </si>
  <si>
    <t>HAFC/SAINT-GOBAIN - CNHPHUOC</t>
  </si>
  <si>
    <t>HAFC/MLC-ITL</t>
  </si>
  <si>
    <t>HAFC/PHÚ TRƯỜNG QUỐC TẾ</t>
  </si>
  <si>
    <t>HAFC/THÙY DƯƠNG XANH</t>
  </si>
  <si>
    <t>HAFC/CON CÁ HEO</t>
  </si>
  <si>
    <t>HAFC/BOXPARK DAD</t>
  </si>
  <si>
    <t>HAFC/MLC HCM DAD</t>
  </si>
  <si>
    <t>HAFC/LIÊN CHIỂU XANH DAD</t>
  </si>
  <si>
    <t>HAI VUONG DAD</t>
  </si>
  <si>
    <t>TAN MINH NGOC DAD</t>
  </si>
  <si>
    <t>BLUESCOPE</t>
  </si>
  <si>
    <t>SCG-INTER FLOUR</t>
  </si>
  <si>
    <t>VEDAN VT</t>
  </si>
  <si>
    <t>LIXIL</t>
  </si>
  <si>
    <t>SƠN TRÌNH</t>
  </si>
  <si>
    <t>GIA DINH DAD</t>
  </si>
  <si>
    <t>TRƯỜNG PHÁT</t>
  </si>
  <si>
    <t>DELTA DAD</t>
  </si>
  <si>
    <t>TIỀN PHONG / VIỆT PHÁP</t>
  </si>
  <si>
    <t>ĐẠI DƯƠNG XANH</t>
  </si>
  <si>
    <t>LINFOX-UNILEVER DAD</t>
  </si>
  <si>
    <t>TOÀN CẦU AN KHANG VT</t>
  </si>
  <si>
    <t>SCG-MEISENG</t>
  </si>
  <si>
    <t>TAICERA</t>
  </si>
  <si>
    <t>SCG-TPC VINA</t>
  </si>
  <si>
    <t>AGC</t>
  </si>
  <si>
    <t>HAFC / VĨNH TƯỜNG</t>
  </si>
  <si>
    <t>RAL DAD</t>
  </si>
  <si>
    <t>MAI THUẬN VINH VT</t>
  </si>
  <si>
    <t>SIKA</t>
  </si>
  <si>
    <t>HẢI HÀ</t>
  </si>
  <si>
    <t>VIETTEL HONG DAD</t>
  </si>
  <si>
    <t>HAFC / LIÊN CHIỀU</t>
  </si>
  <si>
    <t>VIETTEL HANH DAD</t>
  </si>
  <si>
    <t>TH TRUE MILK</t>
  </si>
  <si>
    <t>LUTHAI</t>
  </si>
  <si>
    <t>HAFC/SAM SUNG DAD</t>
  </si>
  <si>
    <t xml:space="preserve">SEQ </t>
  </si>
  <si>
    <t>OP</t>
  </si>
  <si>
    <t>CNTNR NO.</t>
  </si>
  <si>
    <t>LEN</t>
  </si>
  <si>
    <t>TY</t>
  </si>
  <si>
    <t>DEST</t>
  </si>
  <si>
    <t>WN</t>
  </si>
  <si>
    <t>WD</t>
  </si>
  <si>
    <t>VGM</t>
  </si>
  <si>
    <t>ST</t>
  </si>
  <si>
    <t>CAIU 2834811</t>
  </si>
  <si>
    <t>GP</t>
  </si>
  <si>
    <t>VNDTS</t>
  </si>
  <si>
    <t xml:space="preserve">31.1 </t>
  </si>
  <si>
    <t>GLDU 5713793</t>
  </si>
  <si>
    <t xml:space="preserve">31.5 </t>
  </si>
  <si>
    <t>TCKU 1471984</t>
  </si>
  <si>
    <t xml:space="preserve">30.9 </t>
  </si>
  <si>
    <t>TCKU 3426053</t>
  </si>
  <si>
    <t xml:space="preserve">31.3 </t>
  </si>
  <si>
    <t>CAIU 9321960</t>
  </si>
  <si>
    <t>HC</t>
  </si>
  <si>
    <t xml:space="preserve">34.0 </t>
  </si>
  <si>
    <t>TRLU 7228140</t>
  </si>
  <si>
    <t xml:space="preserve">33.4 </t>
  </si>
  <si>
    <t>CAIU 2678597</t>
  </si>
  <si>
    <t>VNHPH</t>
  </si>
  <si>
    <t>TCKU 2017195</t>
  </si>
  <si>
    <t>VNHAN</t>
  </si>
  <si>
    <t>TCKU 2323702</t>
  </si>
  <si>
    <t>TCLU 5743706</t>
  </si>
  <si>
    <t xml:space="preserve">31.2 </t>
  </si>
  <si>
    <t>HACU 4180944</t>
  </si>
  <si>
    <t xml:space="preserve">32.7 </t>
  </si>
  <si>
    <t>HARU 5100746</t>
  </si>
  <si>
    <t>RH</t>
  </si>
  <si>
    <t>HDMU 6572915</t>
  </si>
  <si>
    <t>HNSU 5007260</t>
  </si>
  <si>
    <t>MAGU 5778334</t>
  </si>
  <si>
    <t>TCNU 5166031</t>
  </si>
  <si>
    <t xml:space="preserve">32.8 </t>
  </si>
  <si>
    <t>TCNU 5515555</t>
  </si>
  <si>
    <t xml:space="preserve">32.6 </t>
  </si>
  <si>
    <t>TCNU 6049913</t>
  </si>
  <si>
    <t xml:space="preserve">33.0 </t>
  </si>
  <si>
    <t>TCNU 7669056</t>
  </si>
  <si>
    <t>TCNU 8151185</t>
  </si>
  <si>
    <t xml:space="preserve">31.6 </t>
  </si>
  <si>
    <t>TCNU 8308145</t>
  </si>
  <si>
    <t xml:space="preserve">30.7 </t>
  </si>
  <si>
    <t>TCNU 9846377</t>
  </si>
  <si>
    <t xml:space="preserve">30.8 </t>
  </si>
  <si>
    <t>TCNU 9882250</t>
  </si>
  <si>
    <t>HAFC/ TÂN ĐẠI DƯƠNG</t>
  </si>
  <si>
    <t>HAFC/SAMSUNG</t>
  </si>
  <si>
    <t>SAGAWA</t>
  </si>
  <si>
    <t>HAFC/KIẾN VƯƠNG</t>
  </si>
  <si>
    <t>HAFC/ĐỒNG VIỆT</t>
  </si>
  <si>
    <t>HAFC/ DIỆU LINH</t>
  </si>
  <si>
    <t>HOA LAM</t>
  </si>
  <si>
    <t>HAFC/DETPAK</t>
  </si>
  <si>
    <t>HAFC/THIỆN PHÁT VN</t>
  </si>
  <si>
    <t>HAAL TAM LONG</t>
  </si>
  <si>
    <t>HAAL/TAL</t>
  </si>
  <si>
    <t>PHUONG QUOC HUNG</t>
  </si>
  <si>
    <t>HAFC/THIỆN KHANG</t>
  </si>
  <si>
    <t>TIN PHAT</t>
  </si>
  <si>
    <t>INTERFOOD</t>
  </si>
  <si>
    <t>HANJIN</t>
  </si>
  <si>
    <t>HAFC/EZ LIFE</t>
  </si>
  <si>
    <t>HAAL/NEW TREND</t>
  </si>
  <si>
    <t>HAAL/VIỆT THÀNH NHÂN</t>
  </si>
  <si>
    <t>HAAL/CHÁNH KIẾT</t>
  </si>
  <si>
    <t>HAAL/AMTRANS</t>
  </si>
  <si>
    <t>HAAL/TOSHIBA</t>
  </si>
  <si>
    <t>HAAL/BIM VN</t>
  </si>
  <si>
    <t>HAAL/KIOWAY</t>
  </si>
  <si>
    <t>HAAL/SOTRANS</t>
  </si>
  <si>
    <t>HAAL/LOKAPORT</t>
  </si>
  <si>
    <t>SAI GON LOG</t>
  </si>
  <si>
    <t>WING</t>
  </si>
  <si>
    <t>FATTON</t>
  </si>
  <si>
    <t>YUSEN</t>
  </si>
  <si>
    <t>OCEAN BRIDGE</t>
  </si>
  <si>
    <t>VIET A DAD</t>
  </si>
  <si>
    <t>HAFC/MAVI DAD</t>
  </si>
  <si>
    <t>CHU LAI DAD</t>
  </si>
  <si>
    <t>NGOI SAO XANH DAD</t>
  </si>
  <si>
    <t>NHIEN VINH PHUC DAD</t>
  </si>
  <si>
    <t>VC TA DAD</t>
  </si>
  <si>
    <t>NGAN TRI DAD</t>
  </si>
  <si>
    <t>CHAU HAI NAM DAD</t>
  </si>
  <si>
    <t>HAAL/ECOTRUCK</t>
  </si>
  <si>
    <t>HAAL/LINH HOÀNG</t>
  </si>
  <si>
    <t>HAFC/HÒA PHÁT DAD</t>
  </si>
  <si>
    <t>HAFC/ AJNOMOTO DAD</t>
  </si>
  <si>
    <t>SAO MOC</t>
  </si>
  <si>
    <t>VIET SUN PTTT DAD</t>
  </si>
  <si>
    <t>VIET SUN LOG DAD</t>
  </si>
  <si>
    <t>SCG-VKPC DAD</t>
  </si>
  <si>
    <t>VIETTRANS DAD</t>
  </si>
  <si>
    <t>KUKBO DAD</t>
  </si>
  <si>
    <t>TCNU 9397065</t>
  </si>
  <si>
    <t xml:space="preserve">31.8 </t>
  </si>
  <si>
    <t>HACU 2160872</t>
  </si>
  <si>
    <t>TCKU 2017723</t>
  </si>
  <si>
    <t>TCKU 3071800</t>
  </si>
  <si>
    <t xml:space="preserve">31.0 </t>
  </si>
  <si>
    <t>CAIU 9285776</t>
  </si>
  <si>
    <t xml:space="preserve">33.1 </t>
  </si>
  <si>
    <t>NYKU 7034573</t>
  </si>
  <si>
    <t xml:space="preserve">35.1 </t>
  </si>
  <si>
    <t>TCNU 4440786</t>
  </si>
  <si>
    <t xml:space="preserve">33.3 </t>
  </si>
  <si>
    <t>TCNU 6374446</t>
  </si>
  <si>
    <t xml:space="preserve">33.8 </t>
  </si>
  <si>
    <t>TCNU 8598620</t>
  </si>
  <si>
    <t>TRLU 6911995</t>
  </si>
  <si>
    <t xml:space="preserve">32.9 </t>
  </si>
  <si>
    <t>HNSU5021817</t>
  </si>
  <si>
    <t>TDRU4599809</t>
  </si>
  <si>
    <t>TDRU9089351</t>
  </si>
  <si>
    <t>BEAU5404131</t>
  </si>
  <si>
    <t>BS1</t>
  </si>
  <si>
    <t>TCNU6562572</t>
  </si>
  <si>
    <t>HACU4181940</t>
  </si>
  <si>
    <t>GLDU3995018</t>
  </si>
  <si>
    <t>TMS2</t>
  </si>
  <si>
    <t>BEAU5405631</t>
  </si>
  <si>
    <t>TCNU7708358</t>
  </si>
  <si>
    <t>TCNU7794171</t>
  </si>
  <si>
    <t>TCNU6421229</t>
  </si>
  <si>
    <t>HARU5120450</t>
  </si>
  <si>
    <t>HALU9001760</t>
  </si>
  <si>
    <t>HALU9001246</t>
  </si>
  <si>
    <t>HARU5120681</t>
  </si>
  <si>
    <t>HARU5121184</t>
  </si>
  <si>
    <t>HALU9001755</t>
  </si>
  <si>
    <t>TCNU9193441</t>
  </si>
  <si>
    <t>VUT + VICT</t>
  </si>
  <si>
    <t>VICT LIST</t>
  </si>
  <si>
    <t>VICT #</t>
  </si>
  <si>
    <t>THỦY SẢN -18</t>
  </si>
  <si>
    <t>TT GLOBAL</t>
  </si>
  <si>
    <t>LAGOM</t>
  </si>
  <si>
    <t>DFSU1743658</t>
  </si>
  <si>
    <t>TCLU2451130</t>
  </si>
  <si>
    <t>E</t>
  </si>
  <si>
    <t>AM 18C</t>
  </si>
  <si>
    <t>SIEU TOC</t>
  </si>
  <si>
    <t>DAI HUNG THINH</t>
  </si>
  <si>
    <t>DAI DUONG</t>
  </si>
  <si>
    <t>LINH LOC PHAT</t>
  </si>
  <si>
    <t>TRANSIMEX SHIPPING</t>
  </si>
  <si>
    <t>THILOGI</t>
  </si>
  <si>
    <t>PHUONG DONG</t>
  </si>
  <si>
    <t>TAN PHAT</t>
  </si>
  <si>
    <t>EQC</t>
  </si>
  <si>
    <t>HACU4160892</t>
  </si>
  <si>
    <t>SEKU5583305</t>
  </si>
  <si>
    <t>HACU4241572</t>
  </si>
  <si>
    <t>CAIU6539856</t>
  </si>
  <si>
    <t>TCKU1472091</t>
  </si>
  <si>
    <t>TACU2010832</t>
  </si>
  <si>
    <t>CAIU6870761</t>
  </si>
  <si>
    <t>TACU2010200</t>
  </si>
  <si>
    <t>CAIU6872677</t>
  </si>
  <si>
    <t>TACU2010030</t>
  </si>
  <si>
    <t>TACU2010621</t>
  </si>
  <si>
    <t>TACU2010690</t>
  </si>
  <si>
    <t>TACU2010452</t>
  </si>
  <si>
    <t>TIIU5773559</t>
  </si>
  <si>
    <t>DFSU1851185</t>
  </si>
  <si>
    <t>TCKU3625435</t>
  </si>
  <si>
    <t>HACU2212338</t>
  </si>
  <si>
    <t>SEKU1785885</t>
  </si>
  <si>
    <t xml:space="preserve"> 28.00 </t>
  </si>
  <si>
    <t>SEKU1807710</t>
  </si>
  <si>
    <t>SEKU1945480</t>
  </si>
  <si>
    <t>SEKU1808785</t>
  </si>
  <si>
    <t>HACU2250620</t>
  </si>
  <si>
    <t>SEKU1942330</t>
  </si>
  <si>
    <t>MORU1140730</t>
  </si>
  <si>
    <t>TCLU1231907</t>
  </si>
  <si>
    <t>TTNU8249338</t>
  </si>
  <si>
    <t>TRIU8891039</t>
  </si>
  <si>
    <t>CAAU2212380</t>
  </si>
  <si>
    <t>SEKU5572701</t>
  </si>
  <si>
    <t>GAOU7901700</t>
  </si>
  <si>
    <t>HACU4215423</t>
  </si>
  <si>
    <t>SEKU5564239</t>
  </si>
  <si>
    <t>CAIU3318110</t>
  </si>
  <si>
    <t>FCIU5392141</t>
  </si>
  <si>
    <t>HACU4215927</t>
  </si>
  <si>
    <t>HACU4213992</t>
  </si>
  <si>
    <t>TCNU6505633</t>
  </si>
  <si>
    <t>SEKU5581540</t>
  </si>
  <si>
    <t>TTNU8341948</t>
  </si>
  <si>
    <t>TCKU2323702</t>
  </si>
  <si>
    <t>CAIU3630129</t>
  </si>
  <si>
    <t>MNBU0132079</t>
  </si>
  <si>
    <t>AM 8C</t>
  </si>
  <si>
    <t>MNBU4181791</t>
  </si>
  <si>
    <t>PCVU2625497</t>
  </si>
  <si>
    <t>DFSU1942140</t>
  </si>
  <si>
    <t>DFSU1742543</t>
  </si>
  <si>
    <t>SGPU2240170</t>
  </si>
  <si>
    <t>BEAU5405863</t>
  </si>
  <si>
    <t>CAAU6409145</t>
  </si>
  <si>
    <t>HACU4245011</t>
  </si>
  <si>
    <t>SEGU3882935</t>
  </si>
  <si>
    <t>HACU4160280</t>
  </si>
  <si>
    <t>TRHU1155794</t>
  </si>
  <si>
    <t>DFSU1852495</t>
  </si>
  <si>
    <t>BK MKT</t>
  </si>
  <si>
    <t>COMMODITY MKT</t>
  </si>
  <si>
    <t>REF MKT</t>
  </si>
  <si>
    <t>HAIAN TIME</t>
  </si>
  <si>
    <t>GẠCH</t>
  </si>
  <si>
    <t>NGUYÊN LIỆU</t>
  </si>
  <si>
    <t>VẬT LIỆU THÉP</t>
  </si>
  <si>
    <t>THỰC PHẨM</t>
  </si>
  <si>
    <t>CHIA TEU</t>
  </si>
  <si>
    <t>DƯ</t>
  </si>
  <si>
    <t>F40HCTHAI BINH MINH</t>
  </si>
  <si>
    <t>F20DCDAI PHU</t>
  </si>
  <si>
    <t>F40HCAN THANH</t>
  </si>
  <si>
    <t>F40HCVIET A</t>
  </si>
  <si>
    <t>F40RFVIEN DONG</t>
  </si>
  <si>
    <t>GIAY</t>
  </si>
  <si>
    <t>F40HCHAFC/TD BIÊN HÒA/HCM</t>
  </si>
  <si>
    <t>F40HCHAFC/HACT/PEPSI FOOD/HCM</t>
  </si>
  <si>
    <t>F40HCHAFC/HEINEKEN/HCM</t>
  </si>
  <si>
    <t>VICT - HCM</t>
  </si>
  <si>
    <t>CAAU2134498</t>
  </si>
  <si>
    <t>GAOU6421517</t>
  </si>
  <si>
    <t>DFSU1146924</t>
  </si>
  <si>
    <t>HACU4213631</t>
  </si>
  <si>
    <t>F40HCYEN HOANG MINH</t>
  </si>
  <si>
    <t>HACU4222119</t>
  </si>
  <si>
    <t>TRHU3461561</t>
  </si>
  <si>
    <t>HACU4222823</t>
  </si>
  <si>
    <t>HH0223</t>
  </si>
  <si>
    <t>CAIU9533342</t>
  </si>
  <si>
    <t>TCNU9888979</t>
  </si>
  <si>
    <t>DFSU1839180</t>
  </si>
  <si>
    <t>HACU4160423</t>
  </si>
  <si>
    <t>CAIU4578220</t>
  </si>
  <si>
    <t>HACU2161462</t>
  </si>
  <si>
    <t>DFSU7547760</t>
  </si>
  <si>
    <t>CÁ -18</t>
  </si>
  <si>
    <t>THỰC PHẨM -22</t>
  </si>
  <si>
    <t>TTNU8400341</t>
  </si>
  <si>
    <t>GAO</t>
  </si>
  <si>
    <t>NGUYEN LIEU</t>
  </si>
  <si>
    <t>MO CA</t>
  </si>
  <si>
    <t>F20TKMAI THUẬN VINH</t>
  </si>
  <si>
    <t>F40HCMAI THUẬN VINH</t>
  </si>
  <si>
    <t>BIA</t>
  </si>
  <si>
    <t>NHUA</t>
  </si>
  <si>
    <t>VAI</t>
  </si>
  <si>
    <t>CA</t>
  </si>
  <si>
    <t>CA TRA</t>
  </si>
  <si>
    <t>THUC PHAM</t>
  </si>
  <si>
    <t>F40RHHNC</t>
  </si>
  <si>
    <t>F20GPMINH TAN</t>
  </si>
  <si>
    <t>BMOU1217040</t>
  </si>
  <si>
    <t>461N</t>
  </si>
  <si>
    <t>BEAU4811873</t>
  </si>
  <si>
    <t>HACU4243066</t>
  </si>
  <si>
    <t>HACU4217046</t>
  </si>
  <si>
    <t>HACU4240977</t>
  </si>
  <si>
    <t>SEKU5573056</t>
  </si>
  <si>
    <t>SELU4509342</t>
  </si>
  <si>
    <t>TCLU8748506</t>
  </si>
  <si>
    <t>SELU4506153</t>
  </si>
  <si>
    <t>CAAU9094355</t>
  </si>
  <si>
    <t>GAOU7902651</t>
  </si>
  <si>
    <t>BEAU5406345</t>
  </si>
  <si>
    <t>HACU4214047</t>
  </si>
  <si>
    <t>GAOU7902121</t>
  </si>
  <si>
    <t>HACU4210972</t>
  </si>
  <si>
    <t>TCNU6067624</t>
  </si>
  <si>
    <t>GAOU7902646</t>
  </si>
  <si>
    <t>HACU4241356</t>
  </si>
  <si>
    <t>CAIU9708029</t>
  </si>
  <si>
    <t>CAAU9096002</t>
  </si>
  <si>
    <t>HACU4241736</t>
  </si>
  <si>
    <t>GAOU7790910</t>
  </si>
  <si>
    <t>HACU4212390</t>
  </si>
  <si>
    <t>FBLU0215188</t>
  </si>
  <si>
    <t>HACU4217154</t>
  </si>
  <si>
    <t>SEKU5564481</t>
  </si>
  <si>
    <t>TCKU2245960</t>
  </si>
  <si>
    <t>SEKU5574643</t>
  </si>
  <si>
    <t>GLDU9354351</t>
  </si>
  <si>
    <t>GAOU7902857</t>
  </si>
  <si>
    <t>SEKU6805958</t>
  </si>
  <si>
    <t>SEKU1790449</t>
  </si>
  <si>
    <t>CAIU6672241</t>
  </si>
  <si>
    <t>HACU2211970</t>
  </si>
  <si>
    <t>CAAU2134693</t>
  </si>
  <si>
    <t>TCNU5127170</t>
  </si>
  <si>
    <t>TCNU8788595</t>
  </si>
  <si>
    <t>CAIU4969354</t>
  </si>
  <si>
    <t>TCLU1753440</t>
  </si>
  <si>
    <t>HACU4181299</t>
  </si>
  <si>
    <t>TCNU2041792</t>
  </si>
  <si>
    <t>GAOU7902796</t>
  </si>
  <si>
    <t>SEKU5580332</t>
  </si>
  <si>
    <t>GAOU7899590</t>
  </si>
  <si>
    <t>TCNU6322761</t>
  </si>
  <si>
    <t>SEKU6807919</t>
  </si>
  <si>
    <t>FBLU0208640</t>
  </si>
  <si>
    <t>TCLU5572970</t>
  </si>
  <si>
    <t>GAOU7658967</t>
  </si>
  <si>
    <t>TCNU6795363</t>
  </si>
  <si>
    <t>BEAU5404321</t>
  </si>
  <si>
    <t>HACU4217386</t>
  </si>
  <si>
    <t>CAAU6409910</t>
  </si>
  <si>
    <t>SELU4569510</t>
  </si>
  <si>
    <t>HAC260525117</t>
  </si>
  <si>
    <t>HAFCPEPH904</t>
  </si>
  <si>
    <t>BÁNH POCA</t>
  </si>
  <si>
    <t>HAC260525118</t>
  </si>
  <si>
    <t>HAFCHPVM904</t>
  </si>
  <si>
    <t>BÁNH KẸO</t>
  </si>
  <si>
    <t>HAC260522135</t>
  </si>
  <si>
    <t>HAFCHCMH905</t>
  </si>
  <si>
    <t>VỎ LON</t>
  </si>
  <si>
    <t>HAC260525115</t>
  </si>
  <si>
    <t xml:space="preserve">HAFCHCMH910         </t>
  </si>
  <si>
    <t>NGK</t>
  </si>
  <si>
    <t>HAC260525119</t>
  </si>
  <si>
    <t>HAFCCDUO105</t>
  </si>
  <si>
    <t>GIẤY CUỘN</t>
  </si>
  <si>
    <t>HAC260522136</t>
  </si>
  <si>
    <t>TÔN CUỘN</t>
  </si>
  <si>
    <t>HAC260525120</t>
  </si>
  <si>
    <t>HAFCHWII105</t>
  </si>
  <si>
    <t>BÌNH CHỮA CHÁY</t>
  </si>
  <si>
    <t>PHỤ GIA</t>
  </si>
  <si>
    <t>BÔNG</t>
  </si>
  <si>
    <t>SIÊU THỊ</t>
  </si>
  <si>
    <t>HAC260525116</t>
  </si>
  <si>
    <t>HAFCKENH904</t>
  </si>
  <si>
    <t>HAHU8289968</t>
  </si>
  <si>
    <t>FCIU6219090</t>
  </si>
  <si>
    <t>TRHU1524594</t>
  </si>
  <si>
    <t>SEKU5577489</t>
  </si>
  <si>
    <t>SEKU1456370</t>
  </si>
  <si>
    <t>SEKU1454845</t>
  </si>
  <si>
    <t>HACU2211250</t>
  </si>
  <si>
    <t>HACU4211310</t>
  </si>
  <si>
    <t>HACU4181766</t>
  </si>
  <si>
    <t>SEKU5572893</t>
  </si>
  <si>
    <t>GAOU7791265</t>
  </si>
  <si>
    <t>CAAU9099505</t>
  </si>
  <si>
    <t>HAC260523010</t>
  </si>
  <si>
    <t>HCM2605040</t>
  </si>
  <si>
    <t>HH0562</t>
  </si>
  <si>
    <t>HAC260525042</t>
  </si>
  <si>
    <t>HCM2603387</t>
  </si>
  <si>
    <t>HH0024</t>
  </si>
  <si>
    <t>HAC260527064</t>
  </si>
  <si>
    <t>HCM2604127</t>
  </si>
  <si>
    <t>HAC260526013</t>
  </si>
  <si>
    <t>HCM2605118</t>
  </si>
  <si>
    <t>BỘT ĐÓNG BAO</t>
  </si>
  <si>
    <t>HAC260525068</t>
  </si>
  <si>
    <t>HCM2604209</t>
  </si>
  <si>
    <t>HH0128</t>
  </si>
  <si>
    <t>HAC260526120</t>
  </si>
  <si>
    <t>HCM2603294</t>
  </si>
  <si>
    <t>SỮA</t>
  </si>
  <si>
    <t>HAC260526178</t>
  </si>
  <si>
    <t>HACU4210036</t>
  </si>
  <si>
    <t>CAAU2035561</t>
  </si>
  <si>
    <t>SELU4503869</t>
  </si>
  <si>
    <t>SEKU1944879</t>
  </si>
  <si>
    <t>FCIU5334696</t>
  </si>
  <si>
    <t>DFSU1909923</t>
  </si>
  <si>
    <t>TCKU3820730</t>
  </si>
  <si>
    <t>DFSU3013710</t>
  </si>
  <si>
    <t>SEKU6806569</t>
  </si>
  <si>
    <t>SEKU6803744</t>
  </si>
  <si>
    <t>FBLU0211460</t>
  </si>
  <si>
    <t>BEAU5404342</t>
  </si>
  <si>
    <t>SEKU1457119</t>
  </si>
  <si>
    <t>SEKU6804355</t>
  </si>
  <si>
    <t>GAOU7900828</t>
  </si>
  <si>
    <t>SEKU6806126</t>
  </si>
  <si>
    <t>SEKU6804308</t>
  </si>
  <si>
    <t>HACU4214957</t>
  </si>
  <si>
    <t>HACU4222989</t>
  </si>
  <si>
    <t>CAAU6413187</t>
  </si>
  <si>
    <t>HACU4217468</t>
  </si>
  <si>
    <t>HACU4222649</t>
  </si>
  <si>
    <t>SEKU6806907</t>
  </si>
  <si>
    <t>CAAU9079725</t>
  </si>
  <si>
    <t>CAAU9076238</t>
  </si>
  <si>
    <t>BEAU4816725</t>
  </si>
  <si>
    <t>CAAU6411564</t>
  </si>
  <si>
    <t>CAAU9078267</t>
  </si>
  <si>
    <t>GAOU7628638</t>
  </si>
  <si>
    <t>HACU4241905</t>
  </si>
  <si>
    <t>GAOU7898783</t>
  </si>
  <si>
    <t>SEKU6806110</t>
  </si>
  <si>
    <t>TCNU7820394</t>
  </si>
  <si>
    <t>CAAU6409166</t>
  </si>
  <si>
    <t>SEKU5574330</t>
  </si>
  <si>
    <t>BEAU5404050</t>
  </si>
  <si>
    <t>BEAU5405858</t>
  </si>
  <si>
    <t>SEKU6803364</t>
  </si>
  <si>
    <t>HACU2251798</t>
  </si>
  <si>
    <t>HACU2241784</t>
  </si>
  <si>
    <t>SELU4506425</t>
  </si>
  <si>
    <t>SELU4502883</t>
  </si>
  <si>
    <t>TCLU2416850</t>
  </si>
  <si>
    <t>TGCU0130894</t>
  </si>
  <si>
    <t>DFSU1851734</t>
  </si>
  <si>
    <t>SEKU1786449</t>
  </si>
  <si>
    <t>HACU2250615</t>
  </si>
  <si>
    <t>SLZU2404552</t>
  </si>
  <si>
    <t>NCCU0210683</t>
  </si>
  <si>
    <t>NCCU0201450</t>
  </si>
  <si>
    <t>NCCU1700324</t>
  </si>
  <si>
    <t>NCCU0222447</t>
  </si>
  <si>
    <t>NCCU1800597</t>
  </si>
  <si>
    <t>NCCU0201254</t>
  </si>
  <si>
    <t>NCCU0207735</t>
  </si>
  <si>
    <t>NCCU1811267</t>
  </si>
  <si>
    <t>NCCU0221287</t>
  </si>
  <si>
    <t>EXFU5621757</t>
  </si>
  <si>
    <t>NCCU0130612</t>
  </si>
  <si>
    <t>NCCU0223612</t>
  </si>
  <si>
    <t>NCCU1289511</t>
  </si>
  <si>
    <t>NCCU1810390</t>
  </si>
  <si>
    <t>NCCU1810980</t>
  </si>
  <si>
    <t>NCCU1900908</t>
  </si>
  <si>
    <t>NCCU1903574</t>
  </si>
  <si>
    <t>NCCU1701470</t>
  </si>
  <si>
    <t>NCCU1904502</t>
  </si>
  <si>
    <t>HÀNG ĐI NANSHA ( HAIAN BELL 326E)</t>
  </si>
  <si>
    <t xml:space="preserve">HAC260521157 </t>
  </si>
  <si>
    <t xml:space="preserve">HAC260526033 </t>
  </si>
  <si>
    <t>HAC260526180</t>
  </si>
  <si>
    <t>HAC260522081</t>
  </si>
  <si>
    <t xml:space="preserve">HAC260523020 </t>
  </si>
  <si>
    <t>GMDU8191930</t>
  </si>
  <si>
    <t>GMDU8190091</t>
  </si>
  <si>
    <t>GAOU7792045</t>
  </si>
  <si>
    <t>GAOU7900474</t>
  </si>
  <si>
    <t>GMDU8191755</t>
  </si>
  <si>
    <t>TGCU0125049</t>
  </si>
  <si>
    <t>SEKU5583250</t>
  </si>
  <si>
    <t>FCIU5643714</t>
  </si>
  <si>
    <t>DFSU3054581</t>
  </si>
  <si>
    <t>CAIU7933648</t>
  </si>
  <si>
    <t>HACU2247442</t>
  </si>
  <si>
    <t>TCKU1149140</t>
  </si>
  <si>
    <t>HACU4243148</t>
  </si>
  <si>
    <t>SEKU6805367</t>
  </si>
  <si>
    <t>PCVU2622991</t>
  </si>
  <si>
    <t>PCVU2625521</t>
  </si>
  <si>
    <t>PCVU2646843</t>
  </si>
  <si>
    <t>PCVU2646864</t>
  </si>
  <si>
    <t>PCVU2560502</t>
  </si>
  <si>
    <t>HACU2246554</t>
  </si>
  <si>
    <t>HACU4215300</t>
  </si>
  <si>
    <t>SELU4506385</t>
  </si>
  <si>
    <t>HACU4244714</t>
  </si>
  <si>
    <t>KOCU4996122</t>
  </si>
  <si>
    <t>KOCU5073304</t>
  </si>
  <si>
    <t>KTCU2312045</t>
  </si>
  <si>
    <t>KTCU2309020</t>
  </si>
  <si>
    <t>KTCU2311054</t>
  </si>
  <si>
    <t>BNFU7200435</t>
  </si>
  <si>
    <t>BNFU7200219</t>
  </si>
  <si>
    <t>CAIU4969729</t>
  </si>
  <si>
    <t>DFSU7651939</t>
  </si>
  <si>
    <t>TCNU6060105</t>
  </si>
  <si>
    <t>ASIU5754884</t>
  </si>
  <si>
    <t>MMAU1091247</t>
  </si>
  <si>
    <t>MSWU0047468</t>
  </si>
  <si>
    <t>CAAU2138765</t>
  </si>
  <si>
    <t>HACU2245820</t>
  </si>
  <si>
    <t>SEKU1949187</t>
  </si>
  <si>
    <t>HACU2252808</t>
  </si>
  <si>
    <t>SEGU3883607</t>
  </si>
  <si>
    <t>HACU2215580</t>
  </si>
  <si>
    <t>CAAU2139442</t>
  </si>
  <si>
    <t>CAAU6409314</t>
  </si>
  <si>
    <t>HACU4215193</t>
  </si>
  <si>
    <t>HACU4181318</t>
  </si>
  <si>
    <t>HACU4244078</t>
  </si>
  <si>
    <t>HACU4210822</t>
  </si>
  <si>
    <t>HACU4241145</t>
  </si>
  <si>
    <t>HACU4245449</t>
  </si>
  <si>
    <t>HACU2242950</t>
  </si>
  <si>
    <t>TRHU1519279</t>
  </si>
  <si>
    <t>YMLU3417882</t>
  </si>
  <si>
    <t>YMLU3487030</t>
  </si>
  <si>
    <t>CAAU2134707</t>
  </si>
  <si>
    <t>HACU2247421</t>
  </si>
  <si>
    <t>SEKU1470511</t>
  </si>
  <si>
    <t>HACU2215527</t>
  </si>
  <si>
    <t>SEKU5576121</t>
  </si>
  <si>
    <t>HACU4244458</t>
  </si>
  <si>
    <t>SELU4572540</t>
  </si>
  <si>
    <t>CAIU6488980</t>
  </si>
  <si>
    <t>GAOU6421836</t>
  </si>
  <si>
    <t>MTYU1000818</t>
  </si>
  <si>
    <t>MTYU1001223</t>
  </si>
  <si>
    <t>OTPU6055629</t>
  </si>
  <si>
    <t>OTPU6055700</t>
  </si>
  <si>
    <t>OTPU6055779</t>
  </si>
  <si>
    <t>OTPU6290612</t>
  </si>
  <si>
    <t>OTPU6290649</t>
  </si>
  <si>
    <t>CAAU6409654</t>
  </si>
  <si>
    <t>GAOU7633315</t>
  </si>
  <si>
    <t>GAOU7898206</t>
  </si>
  <si>
    <t>GAOU7898567</t>
  </si>
  <si>
    <t>GAOU7901803</t>
  </si>
  <si>
    <t>HACU4241016</t>
  </si>
  <si>
    <t>SEKU5564223</t>
  </si>
  <si>
    <t>HACU4211916</t>
  </si>
  <si>
    <t>SELU4504206</t>
  </si>
  <si>
    <t>SEKU5583178</t>
  </si>
  <si>
    <t>TCNU6244000</t>
  </si>
  <si>
    <t>DFSU7662229</t>
  </si>
  <si>
    <t>GAOU7901510</t>
  </si>
  <si>
    <t>BEAU5406200</t>
  </si>
  <si>
    <t>SEKU5576158</t>
  </si>
  <si>
    <t>HACU4244611</t>
  </si>
  <si>
    <t>TDRU7167706</t>
  </si>
  <si>
    <t>TCKU1834251</t>
  </si>
  <si>
    <t>CAIU2692471</t>
  </si>
  <si>
    <t>DFSU7675566</t>
  </si>
  <si>
    <t>DRYU9040687</t>
  </si>
  <si>
    <t>DRYU9045499</t>
  </si>
  <si>
    <t>PGTU9141952</t>
  </si>
  <si>
    <t>SEKU1458368</t>
  </si>
  <si>
    <t>SEGU3973491</t>
  </si>
  <si>
    <t>HACU2242590</t>
  </si>
  <si>
    <t>SEGU3972324</t>
  </si>
  <si>
    <t>SELU4506317</t>
  </si>
  <si>
    <t>HACU2250831</t>
  </si>
  <si>
    <t>SEKU5574664</t>
  </si>
  <si>
    <t>GAOU7633573</t>
  </si>
  <si>
    <t>CAAU6411749</t>
  </si>
  <si>
    <t>DRYU9913019</t>
  </si>
  <si>
    <t>CAIU8991150</t>
  </si>
  <si>
    <t>HACU4220939</t>
  </si>
  <si>
    <t>BEAU4812442</t>
  </si>
  <si>
    <t>TCNU4713664</t>
  </si>
  <si>
    <t>BEAU5406828</t>
  </si>
  <si>
    <t>HACU4211768</t>
  </si>
  <si>
    <t>HACU2242728</t>
  </si>
  <si>
    <t>HACU2210675</t>
  </si>
  <si>
    <t>HACU2252520</t>
  </si>
  <si>
    <t>BMOU1220803</t>
  </si>
  <si>
    <t>TCNU5216024</t>
  </si>
  <si>
    <t>DFSU1933787</t>
  </si>
  <si>
    <t>FCIU4229356</t>
  </si>
  <si>
    <t>DFSU1982544</t>
  </si>
  <si>
    <t>CAIU3628733</t>
  </si>
  <si>
    <t>TRHU2497554</t>
  </si>
  <si>
    <t>HAC260519096</t>
  </si>
  <si>
    <t>HAC260519094</t>
  </si>
  <si>
    <t>HAC260519062</t>
  </si>
  <si>
    <t>HAC260519084</t>
  </si>
  <si>
    <t>HAC260519100</t>
  </si>
  <si>
    <t>HAC260519179</t>
  </si>
  <si>
    <t>HAC260519123</t>
  </si>
  <si>
    <t>HAC260519049</t>
  </si>
  <si>
    <t>HAC260519053</t>
  </si>
  <si>
    <t>HAC260519058</t>
  </si>
  <si>
    <t>HAC260519064</t>
  </si>
  <si>
    <t>HAC260519065</t>
  </si>
  <si>
    <t>HAC260519075</t>
  </si>
  <si>
    <t>HAC260519077</t>
  </si>
  <si>
    <t>HAC260519078</t>
  </si>
  <si>
    <t>HAC260519082</t>
  </si>
  <si>
    <t>HAC260519086</t>
  </si>
  <si>
    <t>HAC260519088</t>
  </si>
  <si>
    <t>HAC260519108</t>
  </si>
  <si>
    <t>HAC260519090</t>
  </si>
  <si>
    <t>HAC260519106</t>
  </si>
  <si>
    <t>HAC260519110</t>
  </si>
  <si>
    <t>HAC260519114</t>
  </si>
  <si>
    <t>HAC260522059</t>
  </si>
  <si>
    <t>HAC260523024</t>
  </si>
  <si>
    <t>HAC260519126</t>
  </si>
  <si>
    <t>HAC260526057</t>
  </si>
  <si>
    <t>HAC260523045</t>
  </si>
  <si>
    <t>HAC260521020</t>
  </si>
  <si>
    <t>HAC260526123</t>
  </si>
  <si>
    <t>HAC260522127</t>
  </si>
  <si>
    <t>HAC260523035</t>
  </si>
  <si>
    <t>HAC260523036</t>
  </si>
  <si>
    <t>BAO BI</t>
  </si>
  <si>
    <t>DET MAY</t>
  </si>
  <si>
    <t>PHI NHUA</t>
  </si>
  <si>
    <t>CAM</t>
  </si>
  <si>
    <t>MO CA.</t>
  </si>
  <si>
    <t>DAU CA</t>
  </si>
  <si>
    <t>LOP XE</t>
  </si>
  <si>
    <t>THONG THUONG</t>
  </si>
  <si>
    <t>cám</t>
  </si>
  <si>
    <t>gạo</t>
  </si>
  <si>
    <t>nguyên liệu giày</t>
  </si>
  <si>
    <t>bột nhựa</t>
  </si>
  <si>
    <t>thực phẩm</t>
  </si>
  <si>
    <t>nội thất</t>
  </si>
  <si>
    <t>TON PALET</t>
  </si>
  <si>
    <t>TON PALLET</t>
  </si>
  <si>
    <t>NGUYENL IEU</t>
  </si>
  <si>
    <t>MY PHAM</t>
  </si>
  <si>
    <t>SLES</t>
  </si>
  <si>
    <t>DẦU ĂN</t>
  </si>
  <si>
    <t>THỰC PHẨM ĐÔNG LẠNH, NHIỆT ĐỘ +22*C, ĐÓNG THÔNG GIÓ</t>
  </si>
  <si>
    <t>DƯỢC PHẨM, NHIỆT ĐỘ +25*C, ĐÓNG THÔNG GIÓ</t>
  </si>
  <si>
    <t>THỰC PHẨM ĐÔNG LẠNH, NHIỆT ĐỘ -22*C, ĐÓNG THÔNG GIÓ</t>
  </si>
  <si>
    <t>THỰC PHẨM ĐÔNG LẠNH, NHIỆT ĐỘ -18*C, ĐÓNG THÔNG GIÓ</t>
  </si>
  <si>
    <t>DIEN TU</t>
  </si>
  <si>
    <t>KEO</t>
  </si>
  <si>
    <t>PHU TUNG</t>
  </si>
  <si>
    <t>CAO SU</t>
  </si>
  <si>
    <t>BOT MY</t>
  </si>
  <si>
    <t>SOI</t>
  </si>
  <si>
    <t>DAY DONG</t>
  </si>
  <si>
    <t>SON</t>
  </si>
  <si>
    <t>ONG THEP</t>
  </si>
  <si>
    <t>ONG THEP RONG</t>
  </si>
  <si>
    <t>PHAN BON</t>
  </si>
  <si>
    <t>TCKU3842148</t>
  </si>
  <si>
    <t>DFSU1826794</t>
  </si>
  <si>
    <t>HACU2243597</t>
  </si>
  <si>
    <t>TCKU3637040</t>
  </si>
  <si>
    <t>CAIU2759425</t>
  </si>
  <si>
    <t>TCKU1830410</t>
  </si>
  <si>
    <t>CAIU9622542</t>
  </si>
  <si>
    <t>TCLU1748356</t>
  </si>
  <si>
    <t>TCNU6063552</t>
  </si>
  <si>
    <t>HACU4180970</t>
  </si>
  <si>
    <t>DRYU9780960</t>
  </si>
  <si>
    <t>FSCU8107519</t>
  </si>
  <si>
    <t>TCLU5188250</t>
  </si>
  <si>
    <t>SEKU6807781</t>
  </si>
  <si>
    <t>TCLU7909519</t>
  </si>
  <si>
    <t>GLDU7443531</t>
  </si>
  <si>
    <t>CAIU3348809</t>
  </si>
  <si>
    <t>HACU2250209</t>
  </si>
  <si>
    <t>SEKU1786639</t>
  </si>
  <si>
    <t>TCKU3619520</t>
  </si>
  <si>
    <t>HACU2161478</t>
  </si>
  <si>
    <t>HACU2212810</t>
  </si>
  <si>
    <t>TGCU2014044</t>
  </si>
  <si>
    <t>TCKU1843799</t>
  </si>
  <si>
    <t>TCKU3619330</t>
  </si>
  <si>
    <t>TCKU2232979</t>
  </si>
  <si>
    <t>TGCU0124464</t>
  </si>
  <si>
    <t>BEAU2178827</t>
  </si>
  <si>
    <t>DFSU3062503</t>
  </si>
  <si>
    <t>HLXU6512860</t>
  </si>
  <si>
    <t>TCLU5166435</t>
  </si>
  <si>
    <t>GAOU7900371</t>
  </si>
  <si>
    <t>TCKU6106562</t>
  </si>
  <si>
    <t>GAOU7629866</t>
  </si>
  <si>
    <t>SEKU5573945</t>
  </si>
  <si>
    <t>GAOU7902230</t>
  </si>
  <si>
    <t>HACU4160531</t>
  </si>
  <si>
    <t>HACU4221494</t>
  </si>
  <si>
    <t>HACU4245963</t>
  </si>
  <si>
    <t>GAOU7901887</t>
  </si>
  <si>
    <t>GAOU7628026</t>
  </si>
  <si>
    <t>SEKU6799876</t>
  </si>
  <si>
    <t>HACU4244334</t>
  </si>
  <si>
    <t>SELU4505080</t>
  </si>
  <si>
    <t>HACU4210695</t>
  </si>
  <si>
    <t>HACU4214371</t>
  </si>
  <si>
    <t>SEKU6805074</t>
  </si>
  <si>
    <t>SEKU6807101</t>
  </si>
  <si>
    <t>SELU4552837</t>
  </si>
  <si>
    <t>TCNU6072277</t>
  </si>
  <si>
    <t>SELU4506472</t>
  </si>
  <si>
    <t>SEKU6806738</t>
  </si>
  <si>
    <t>EITU1330090</t>
  </si>
  <si>
    <t>HACU4220060</t>
  </si>
  <si>
    <t>SEKU5574577</t>
  </si>
  <si>
    <t>HACU4215341</t>
  </si>
  <si>
    <t>HACU4240935</t>
  </si>
  <si>
    <t>HACU4242183</t>
  </si>
  <si>
    <t>HACU4212960</t>
  </si>
  <si>
    <t>CAAU9083094</t>
  </si>
  <si>
    <t>GAOU7901249</t>
  </si>
  <si>
    <t>HACU4211705</t>
  </si>
  <si>
    <t>NYKU9001408</t>
  </si>
  <si>
    <t>KKFU6966664</t>
  </si>
  <si>
    <t>NNPU6576814</t>
  </si>
  <si>
    <t>SELU4498546</t>
  </si>
  <si>
    <t>HACU4210020</t>
  </si>
  <si>
    <t>TCNU7290400</t>
  </si>
  <si>
    <t>HACU2240176</t>
  </si>
  <si>
    <t>HACU2243025</t>
  </si>
  <si>
    <t>CAAU2139843</t>
  </si>
  <si>
    <t>SEKU1458877</t>
  </si>
  <si>
    <t>SEKU1808620</t>
  </si>
  <si>
    <t>SEKU1810020</t>
  </si>
  <si>
    <t>HACU4242645</t>
  </si>
  <si>
    <t>HACU4211372</t>
  </si>
  <si>
    <t>HACU4212492</t>
  </si>
  <si>
    <t>FBLU0021428</t>
  </si>
  <si>
    <t>TCNU6046508</t>
  </si>
  <si>
    <t>HACU4220899</t>
  </si>
  <si>
    <t>HACU4245583</t>
  </si>
  <si>
    <t>HACU2213761</t>
  </si>
  <si>
    <t>HAHU5020511</t>
  </si>
  <si>
    <t>SEKU6803528</t>
  </si>
  <si>
    <t>SEKU1457079</t>
  </si>
  <si>
    <t>CAIU9262045</t>
  </si>
  <si>
    <t>BEAU5405483</t>
  </si>
  <si>
    <t>HACU4160130</t>
  </si>
  <si>
    <t>HACU4210653</t>
  </si>
  <si>
    <t>HACU4212785</t>
  </si>
  <si>
    <t>SELU4506256</t>
  </si>
  <si>
    <t>HACU4217771</t>
  </si>
  <si>
    <t>SELU4505603</t>
  </si>
  <si>
    <t>HACU4245691</t>
  </si>
  <si>
    <t>BEAU5406601</t>
  </si>
  <si>
    <t>CAIU9314302</t>
  </si>
  <si>
    <t>EITU1233000</t>
  </si>
  <si>
    <t>FSCU8607509</t>
  </si>
  <si>
    <t>FSCU8977653</t>
  </si>
  <si>
    <t>TCLU7838312</t>
  </si>
  <si>
    <t>TCNU8180141</t>
  </si>
  <si>
    <t>FSCU8573939</t>
  </si>
  <si>
    <t>HACU4214793</t>
  </si>
  <si>
    <t>HACU4222654</t>
  </si>
  <si>
    <t>SELU4505692</t>
  </si>
  <si>
    <t>CAAU9086806</t>
  </si>
  <si>
    <t>CAAU9097101</t>
  </si>
  <si>
    <t>HACU4222530</t>
  </si>
  <si>
    <t>HACU4245562</t>
  </si>
  <si>
    <t>TCLU3863662</t>
  </si>
  <si>
    <t>DRYU9957552</t>
  </si>
  <si>
    <t>NPLU7500480</t>
  </si>
  <si>
    <t>NPLU7500346</t>
  </si>
  <si>
    <t>GAOU7897940</t>
  </si>
  <si>
    <t>CAXU2724483</t>
  </si>
  <si>
    <t>HACU2161971</t>
  </si>
  <si>
    <t>CAIU3668253</t>
  </si>
  <si>
    <t>TCLU2316824</t>
  </si>
  <si>
    <t>SEKU1802642</t>
  </si>
  <si>
    <t>BEAU5406896</t>
  </si>
  <si>
    <t>HACU4160450</t>
  </si>
  <si>
    <t>EMCU5384293</t>
  </si>
  <si>
    <t>CHIU9008523</t>
  </si>
  <si>
    <t>KKFU6701433</t>
  </si>
  <si>
    <t>EMCU5377910</t>
  </si>
  <si>
    <t>SEKU1465048</t>
  </si>
  <si>
    <t>HACU4215608</t>
  </si>
  <si>
    <t>GAOU7659140</t>
  </si>
  <si>
    <t>SEKU6807354</t>
  </si>
  <si>
    <t>SELU4564530</t>
  </si>
  <si>
    <t>GAOU7898886</t>
  </si>
  <si>
    <t>EMCU5354811</t>
  </si>
  <si>
    <t>TCLU1216800</t>
  </si>
  <si>
    <t>FSCU5692549</t>
  </si>
  <si>
    <t>TRIU8661186</t>
  </si>
  <si>
    <t>TRIU8660282</t>
  </si>
  <si>
    <t>TDRU7937664</t>
  </si>
  <si>
    <t>SZLU9831965</t>
  </si>
  <si>
    <t>TRHU1955441</t>
  </si>
  <si>
    <t>HACU4242603</t>
  </si>
  <si>
    <t>HACU4240426</t>
  </si>
  <si>
    <t>SEGU3972010</t>
  </si>
  <si>
    <t>SEGU3972860</t>
  </si>
  <si>
    <t>HACU2241228</t>
  </si>
  <si>
    <t>HACU2241402</t>
  </si>
  <si>
    <t>SEKU1785870</t>
  </si>
  <si>
    <t>SEKU1453936</t>
  </si>
  <si>
    <t>SEKU1943002</t>
  </si>
  <si>
    <t>HACU2250600</t>
  </si>
  <si>
    <t>SEKU1944483</t>
  </si>
  <si>
    <t>HACU2250554</t>
  </si>
  <si>
    <t>SEKU1944312</t>
  </si>
  <si>
    <t>HACU2252027</t>
  </si>
  <si>
    <t>CAAU2138410</t>
  </si>
  <si>
    <t>SEKU1942599</t>
  </si>
  <si>
    <t>HACU2247503</t>
  </si>
  <si>
    <t>HACU2243133</t>
  </si>
  <si>
    <t>HACU2221725</t>
  </si>
  <si>
    <t>BMOU1213466</t>
  </si>
  <si>
    <t>HACU2241830</t>
  </si>
  <si>
    <t>HACU2242245</t>
  </si>
  <si>
    <t>HACU2214428</t>
  </si>
  <si>
    <t>SEGU3880974</t>
  </si>
  <si>
    <t>HACU2212169</t>
  </si>
  <si>
    <t>HACU2215466</t>
  </si>
  <si>
    <t>SEKU1473038</t>
  </si>
  <si>
    <t>HACU2248367</t>
  </si>
  <si>
    <t>HACU2212723</t>
  </si>
  <si>
    <t>HACU2215532</t>
  </si>
  <si>
    <t>HACU2213545</t>
  </si>
  <si>
    <t>HACU2220626</t>
  </si>
  <si>
    <t>KKFU8060684</t>
  </si>
  <si>
    <t>FFAU3703421</t>
  </si>
  <si>
    <t>TCNU3084802</t>
  </si>
  <si>
    <t>TRHU7392617</t>
  </si>
  <si>
    <t>ONEU1971650</t>
  </si>
  <si>
    <t>FDCU0540863</t>
  </si>
  <si>
    <t>TGBU4498915</t>
  </si>
  <si>
    <t>FFAU6231801</t>
  </si>
  <si>
    <t>BEAU5266433</t>
  </si>
  <si>
    <t>ONEU6841433</t>
  </si>
  <si>
    <t>TCLU9646469</t>
  </si>
  <si>
    <t>TCNU6852015</t>
  </si>
  <si>
    <t>TCLU9341921</t>
  </si>
  <si>
    <t>BSIU9786937</t>
  </si>
  <si>
    <t>FFAU6460053</t>
  </si>
  <si>
    <t>TRHU8378634</t>
  </si>
  <si>
    <t>FDCU0601629</t>
  </si>
  <si>
    <t>BEAU5238046</t>
  </si>
  <si>
    <t>NYKU4707665</t>
  </si>
  <si>
    <t>TCLU9672431</t>
  </si>
  <si>
    <t>ONEU5666341</t>
  </si>
  <si>
    <t>CAAU7698572</t>
  </si>
  <si>
    <t>TCNU4429914</t>
  </si>
  <si>
    <t>TCLU1581280</t>
  </si>
  <si>
    <t>TCNU4905353</t>
  </si>
  <si>
    <t>ONEU5336627</t>
  </si>
  <si>
    <t>TCNU5129721</t>
  </si>
  <si>
    <t>TCLU1788451</t>
  </si>
  <si>
    <t>TCLU9719837</t>
  </si>
  <si>
    <t>ONEU1130582</t>
  </si>
  <si>
    <t>nhóm 3 - UN 1170</t>
  </si>
  <si>
    <t>Nhóm 8 - UN 2800</t>
  </si>
  <si>
    <t>Nhóm 8 - UN 3265</t>
  </si>
  <si>
    <t>IPA (Nhóm 3 - UN 1219</t>
  </si>
  <si>
    <t>Nhóm 3 - UN 1123</t>
  </si>
  <si>
    <t>Nhóm 3 - UN 1193</t>
  </si>
  <si>
    <t>Nhóm 3 - UN 1300</t>
  </si>
  <si>
    <t>HÀNG CÁ -20</t>
  </si>
  <si>
    <t>KEM -22</t>
  </si>
  <si>
    <t>THỦY SẢN -20</t>
  </si>
  <si>
    <t>HÀNG NGOẠI ĐI QUIZHOU</t>
  </si>
  <si>
    <t>MƯỢN CODE HN GHI NỢ LOLO</t>
  </si>
  <si>
    <t>HACU4241510</t>
  </si>
  <si>
    <t>CAAU9098392</t>
  </si>
  <si>
    <t>GAOU7631776</t>
  </si>
  <si>
    <t>GAOU7899183</t>
  </si>
  <si>
    <t>HACU4222274</t>
  </si>
  <si>
    <t>SEKU6804972</t>
  </si>
  <si>
    <t>GAOU7791476</t>
  </si>
  <si>
    <t>GAOU7629402</t>
  </si>
  <si>
    <t>GAOU7902564</t>
  </si>
  <si>
    <t>HACU4241675</t>
  </si>
  <si>
    <t>GAOU7901892</t>
  </si>
  <si>
    <t>GAOU7629763</t>
  </si>
  <si>
    <t>HACU4243894</t>
  </si>
  <si>
    <t>GAOU7901716</t>
  </si>
  <si>
    <t>SEKU5575017</t>
  </si>
  <si>
    <t>CAIU7265451</t>
  </si>
  <si>
    <t>SEKU6806300</t>
  </si>
  <si>
    <t>SEKU6807483</t>
  </si>
  <si>
    <t>DRYU9910832</t>
  </si>
  <si>
    <t>BEAU5405420</t>
  </si>
  <si>
    <t>HACU4220100</t>
  </si>
  <si>
    <t>HACU4241891</t>
  </si>
  <si>
    <t>BEAU5404018</t>
  </si>
  <si>
    <t>HACU4243683</t>
  </si>
  <si>
    <t>DRYU9871700</t>
  </si>
  <si>
    <t>CAAU6411651</t>
  </si>
  <si>
    <t>CAAU2137901</t>
  </si>
  <si>
    <t>HACU4240344</t>
  </si>
  <si>
    <t>TTNU8414540</t>
  </si>
  <si>
    <t>BEAU5406160</t>
  </si>
  <si>
    <t>HACU2221089</t>
  </si>
  <si>
    <t>EMCU5344454</t>
  </si>
  <si>
    <t>EMCU5294501</t>
  </si>
  <si>
    <t>SZLU9858159</t>
  </si>
  <si>
    <t>SZLU9843056</t>
  </si>
  <si>
    <t>EMCU5306583</t>
  </si>
  <si>
    <t>YMLU3383308</t>
  </si>
  <si>
    <t>YMLU3443789</t>
  </si>
  <si>
    <t>CAIU4965390</t>
  </si>
  <si>
    <t>GAOU7790952</t>
  </si>
  <si>
    <t>GAOU7792220</t>
  </si>
  <si>
    <t>GAOU7900849</t>
  </si>
  <si>
    <t>HACU4216250</t>
  </si>
  <si>
    <t>Caau6410953</t>
  </si>
  <si>
    <t>SEKU5575402</t>
  </si>
  <si>
    <t>SEKU1464519</t>
  </si>
  <si>
    <t>TTNU8342625</t>
  </si>
  <si>
    <t>SEKU5573462</t>
  </si>
  <si>
    <t>TCLU6604032</t>
  </si>
  <si>
    <t>GAOU7791795</t>
  </si>
  <si>
    <t>HACU4213312</t>
  </si>
  <si>
    <t>SEKU6803873</t>
  </si>
  <si>
    <t>HACU4245120</t>
  </si>
  <si>
    <t>BEAU5404609</t>
  </si>
  <si>
    <t>SELU4556128</t>
  </si>
  <si>
    <t>FBLU0098796</t>
  </si>
  <si>
    <t>HACU4244329</t>
  </si>
  <si>
    <t>SEKU5575001</t>
  </si>
  <si>
    <t>DFSU1742395</t>
  </si>
  <si>
    <t>TCLU7682560</t>
  </si>
  <si>
    <t>HACU4240067</t>
  </si>
  <si>
    <t>300582</t>
  </si>
  <si>
    <t>1082075</t>
  </si>
  <si>
    <t>SUA</t>
  </si>
  <si>
    <t>HAC260527044</t>
  </si>
  <si>
    <t>F40HCLOF</t>
  </si>
  <si>
    <t>220782</t>
  </si>
  <si>
    <t>23104730</t>
  </si>
  <si>
    <t>060686</t>
  </si>
  <si>
    <t>1042939</t>
  </si>
  <si>
    <t>MI</t>
  </si>
  <si>
    <t>HAC260527042</t>
  </si>
  <si>
    <t>F40HCHANJIN PALDO</t>
  </si>
  <si>
    <t>220484</t>
  </si>
  <si>
    <t>1078405</t>
  </si>
  <si>
    <t>220884</t>
  </si>
  <si>
    <t>1115307</t>
  </si>
  <si>
    <t>310710</t>
  </si>
  <si>
    <t>1106501</t>
  </si>
  <si>
    <t>NUOC NGOT</t>
  </si>
  <si>
    <t>F20GPHANJIN PALDO</t>
  </si>
  <si>
    <t>310208</t>
  </si>
  <si>
    <t>1106505</t>
  </si>
  <si>
    <t>140186</t>
  </si>
  <si>
    <t>003276</t>
  </si>
  <si>
    <t>HAC260525071</t>
  </si>
  <si>
    <t>F40HCDHL</t>
  </si>
  <si>
    <t>300684</t>
  </si>
  <si>
    <t>1115870</t>
  </si>
  <si>
    <t>HAC260526004</t>
  </si>
  <si>
    <t>F40HCMAERSK SAILUN</t>
  </si>
  <si>
    <t>300984</t>
  </si>
  <si>
    <t>003273</t>
  </si>
  <si>
    <t>060586</t>
  </si>
  <si>
    <t>003280</t>
  </si>
  <si>
    <t>140682</t>
  </si>
  <si>
    <t>10776</t>
  </si>
  <si>
    <t>-18C</t>
  </si>
  <si>
    <t>HAC260519098</t>
  </si>
  <si>
    <t>060886</t>
  </si>
  <si>
    <t>1119307</t>
  </si>
  <si>
    <t>220182</t>
  </si>
  <si>
    <t>23423</t>
  </si>
  <si>
    <t>290806</t>
  </si>
  <si>
    <t>2507314</t>
  </si>
  <si>
    <t>HAC260525144</t>
  </si>
  <si>
    <t>F20GPBEE HCM</t>
  </si>
  <si>
    <t>060386</t>
  </si>
  <si>
    <t>1107344</t>
  </si>
  <si>
    <t>K?O</t>
  </si>
  <si>
    <t>HAC251017100</t>
  </si>
  <si>
    <t>F40HCHAFC/PERFETTI VIỆT NAM/HCM</t>
  </si>
  <si>
    <t>140986</t>
  </si>
  <si>
    <t>1113182</t>
  </si>
  <si>
    <t>V? LON</t>
  </si>
  <si>
    <t>F40HCHAFC/MLC HCM/HCM</t>
  </si>
  <si>
    <t>220204</t>
  </si>
  <si>
    <t>05260</t>
  </si>
  <si>
    <t>HAC260522142</t>
  </si>
  <si>
    <t>140506</t>
  </si>
  <si>
    <t>05175</t>
  </si>
  <si>
    <t>260202</t>
  </si>
  <si>
    <t>05062</t>
  </si>
  <si>
    <t>141084</t>
  </si>
  <si>
    <t>00040</t>
  </si>
  <si>
    <t>NOI THAT</t>
  </si>
  <si>
    <t>HAC260521173</t>
  </si>
  <si>
    <t>310202</t>
  </si>
  <si>
    <t>VFC332637</t>
  </si>
  <si>
    <t>290404</t>
  </si>
  <si>
    <t>22582683</t>
  </si>
  <si>
    <t>220284</t>
  </si>
  <si>
    <t>334481</t>
  </si>
  <si>
    <t>XO DUA</t>
  </si>
  <si>
    <t>180782</t>
  </si>
  <si>
    <t>25003909</t>
  </si>
  <si>
    <t>140882</t>
  </si>
  <si>
    <t>640610</t>
  </si>
  <si>
    <t>140182</t>
  </si>
  <si>
    <t>25001782</t>
  </si>
  <si>
    <t>140706</t>
  </si>
  <si>
    <t>656125</t>
  </si>
  <si>
    <t>VLXD</t>
  </si>
  <si>
    <t>290604</t>
  </si>
  <si>
    <t>00141</t>
  </si>
  <si>
    <t>HAC260526167</t>
  </si>
  <si>
    <t>100882</t>
  </si>
  <si>
    <t>000755</t>
  </si>
  <si>
    <t>180382</t>
  </si>
  <si>
    <t>25001885</t>
  </si>
  <si>
    <t>290304</t>
  </si>
  <si>
    <t>1105863</t>
  </si>
  <si>
    <t>DUONG</t>
  </si>
  <si>
    <t>HAC260527048</t>
  </si>
  <si>
    <t>180884</t>
  </si>
  <si>
    <t>23139300</t>
  </si>
  <si>
    <t>HAC260527049</t>
  </si>
  <si>
    <t>140482</t>
  </si>
  <si>
    <t>0052</t>
  </si>
  <si>
    <t>HAC260526173</t>
  </si>
  <si>
    <t>300882</t>
  </si>
  <si>
    <t>1105727</t>
  </si>
  <si>
    <t>HAC260525072</t>
  </si>
  <si>
    <t>220982</t>
  </si>
  <si>
    <t>00671</t>
  </si>
  <si>
    <t>220482</t>
  </si>
  <si>
    <t>001063</t>
  </si>
  <si>
    <t>020282</t>
  </si>
  <si>
    <t>47110</t>
  </si>
  <si>
    <t>020384</t>
  </si>
  <si>
    <t>1104919</t>
  </si>
  <si>
    <t>220282</t>
  </si>
  <si>
    <t>1116438</t>
  </si>
  <si>
    <t>180204</t>
  </si>
  <si>
    <t>1104897</t>
  </si>
  <si>
    <t>180484</t>
  </si>
  <si>
    <t>1113577</t>
  </si>
  <si>
    <t>LON EP</t>
  </si>
  <si>
    <t>HAC260527051</t>
  </si>
  <si>
    <t>F40HCHÀ TRANG</t>
  </si>
  <si>
    <t>301082</t>
  </si>
  <si>
    <t>1104711</t>
  </si>
  <si>
    <t>HAC260526016</t>
  </si>
  <si>
    <t>F40HCLOTTE</t>
  </si>
  <si>
    <t>300982</t>
  </si>
  <si>
    <t>1116573</t>
  </si>
  <si>
    <t>BAT</t>
  </si>
  <si>
    <t>F40HCHOÀNG TRƯỜNG PHÁT</t>
  </si>
  <si>
    <t>100884</t>
  </si>
  <si>
    <t>1105762</t>
  </si>
  <si>
    <t>XE NANG</t>
  </si>
  <si>
    <t>HAC260527056</t>
  </si>
  <si>
    <t>F40HCMINH NHẬT</t>
  </si>
  <si>
    <t>220582</t>
  </si>
  <si>
    <t>1039148</t>
  </si>
  <si>
    <t>HAC260526017</t>
  </si>
  <si>
    <t>F40HCCHENG LOONG</t>
  </si>
  <si>
    <t>300782</t>
  </si>
  <si>
    <t>1115899</t>
  </si>
  <si>
    <t>180784</t>
  </si>
  <si>
    <t>000986</t>
  </si>
  <si>
    <t>100808</t>
  </si>
  <si>
    <t>18289</t>
  </si>
  <si>
    <t>020484</t>
  </si>
  <si>
    <t>1113502</t>
  </si>
  <si>
    <t>020184</t>
  </si>
  <si>
    <t>1106464</t>
  </si>
  <si>
    <t>140504</t>
  </si>
  <si>
    <t>1113547</t>
  </si>
  <si>
    <t>300682</t>
  </si>
  <si>
    <t>1106447</t>
  </si>
  <si>
    <t>180706</t>
  </si>
  <si>
    <t>1113552</t>
  </si>
  <si>
    <t>180606</t>
  </si>
  <si>
    <t>000962</t>
  </si>
  <si>
    <t>140302</t>
  </si>
  <si>
    <t>01119</t>
  </si>
  <si>
    <t>BOT NGOT</t>
  </si>
  <si>
    <t>HAC260526015</t>
  </si>
  <si>
    <t>F40HCAJINOMOTO</t>
  </si>
  <si>
    <t>020584</t>
  </si>
  <si>
    <t>1116537</t>
  </si>
  <si>
    <t>100106</t>
  </si>
  <si>
    <t>1104880</t>
  </si>
  <si>
    <t>140784</t>
  </si>
  <si>
    <t>1115912</t>
  </si>
  <si>
    <t>141082</t>
  </si>
  <si>
    <t>1106539</t>
  </si>
  <si>
    <t>300688</t>
  </si>
  <si>
    <t>N</t>
  </si>
  <si>
    <t>E40HCHỢP PHÁT / ONE</t>
  </si>
  <si>
    <t>300188</t>
  </si>
  <si>
    <t>140184</t>
  </si>
  <si>
    <t>23379131</t>
  </si>
  <si>
    <t>HAC260527127</t>
  </si>
  <si>
    <t>F40HCDAI QUANG MINH</t>
  </si>
  <si>
    <t>300488</t>
  </si>
  <si>
    <t>300988</t>
  </si>
  <si>
    <t>301088</t>
  </si>
  <si>
    <t>300888</t>
  </si>
  <si>
    <t>300788</t>
  </si>
  <si>
    <t>300286</t>
  </si>
  <si>
    <t>300588</t>
  </si>
  <si>
    <t>300288</t>
  </si>
  <si>
    <t>300486</t>
  </si>
  <si>
    <t>300686</t>
  </si>
  <si>
    <t>300886</t>
  </si>
  <si>
    <t>261086</t>
  </si>
  <si>
    <t>300186</t>
  </si>
  <si>
    <t>300786</t>
  </si>
  <si>
    <t>300586</t>
  </si>
  <si>
    <t>300386</t>
  </si>
  <si>
    <t>HACU2252304</t>
  </si>
  <si>
    <t>290708</t>
  </si>
  <si>
    <t>1114835</t>
  </si>
  <si>
    <t>SOC</t>
  </si>
  <si>
    <t>NHDV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</si>
</sst>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###"/>
    <numFmt numFmtId="165" formatCode="0.0"/>
    <numFmt numFmtId="166" formatCode="0_)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</numFmts>
  <fonts count="51">
    <font>
      <sz val="11"/>
      <name val="VNI-Times"/>
    </font>
    <font>
      <sz val="11"/>
      <name val="VNI-Times"/>
    </font>
    <font>
      <sz val="11"/>
      <name val="Times New Roman"/>
      <family val="1"/>
    </font>
    <font>
      <sz val="10"/>
      <name val="Times New Roman"/>
      <family val="1"/>
    </font>
    <font>
      <sz val="11"/>
      <color indexed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Times New Roman"/>
      <family val="1"/>
    </font>
    <font>
      <sz val="10"/>
      <name val="VNI-Times"/>
    </font>
    <font>
      <b/>
      <sz val="14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28"/>
      <name val="Times New Roman"/>
      <family val="1"/>
    </font>
    <font>
      <b/>
      <sz val="14"/>
      <color indexed="12"/>
      <name val="Times New Roman"/>
      <family val="1"/>
    </font>
    <font>
      <b/>
      <sz val="1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Helv"/>
    </font>
    <font>
      <b/>
      <sz val="18"/>
      <name val="Times New Roman"/>
      <family val="1"/>
    </font>
    <font>
      <sz val="10"/>
      <name val="Arial"/>
      <family val="2"/>
      <charset val="163"/>
    </font>
    <font>
      <sz val="12"/>
      <name val="Times New Roman"/>
      <family val="1"/>
    </font>
    <font>
      <sz val="10"/>
      <name val="Arial"/>
      <family val="2"/>
    </font>
    <font>
      <b/>
      <sz val="26"/>
      <name val="Times New Roman"/>
      <family val="1"/>
    </font>
    <font>
      <b/>
      <u/>
      <sz val="14"/>
      <name val="Times New Roman"/>
      <family val="1"/>
    </font>
    <font>
      <b/>
      <u/>
      <sz val="14"/>
      <color indexed="12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0"/>
      <color rgb="FF000000"/>
      <name val="Times New Roman"/>
      <family val="1"/>
    </font>
    <font>
      <sz val="9"/>
      <color rgb="FFFF0000"/>
      <name val="Times New Roman"/>
      <family val="1"/>
    </font>
    <font>
      <sz val="11"/>
      <color rgb="FFFF0000"/>
      <name val="Times New Roman"/>
      <family val="1"/>
    </font>
    <font>
      <sz val="14"/>
      <color rgb="FFFF0000"/>
      <name val="Times New Roman"/>
      <family val="1"/>
    </font>
    <font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0000FF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MS Sans Serif"/>
    </font>
    <font>
      <sz val="8"/>
      <color rgb="FF001A33"/>
      <name val="Segoe UI"/>
      <family val="2"/>
    </font>
    <font>
      <sz val="18"/>
      <color rgb="FFFF0000"/>
      <name val="Times New Roman"/>
      <family val="1"/>
    </font>
    <font>
      <sz val="8"/>
      <name val="VNI-Times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2" fillId="0" borderId="0"/>
    <xf numFmtId="0" fontId="7" fillId="0" borderId="0"/>
    <xf numFmtId="0" fontId="26" fillId="0" borderId="0"/>
    <xf numFmtId="0" fontId="1" fillId="0" borderId="0"/>
    <xf numFmtId="0" fontId="1" fillId="0" borderId="0"/>
    <xf numFmtId="0" fontId="3" fillId="0" borderId="0"/>
    <xf numFmtId="0" fontId="25" fillId="0" borderId="0"/>
    <xf numFmtId="0" fontId="9" fillId="0" borderId="0"/>
    <xf numFmtId="0" fontId="33" fillId="0" borderId="0"/>
    <xf numFmtId="0" fontId="34" fillId="0" borderId="0"/>
    <xf numFmtId="0" fontId="32" fillId="0" borderId="0"/>
    <xf numFmtId="0" fontId="27" fillId="0" borderId="0"/>
    <xf numFmtId="166" fontId="18" fillId="0" borderId="1">
      <alignment horizontal="justify" vertical="top" wrapText="1"/>
    </xf>
    <xf numFmtId="0" fontId="23" fillId="0" borderId="0"/>
    <xf numFmtId="0" fontId="7" fillId="0" borderId="2" applyNumberFormat="0" applyFont="0" applyFill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0" fontId="7" fillId="0" borderId="0" applyFont="0" applyFill="0" applyBorder="0" applyAlignment="0" applyProtection="0"/>
    <xf numFmtId="0" fontId="20" fillId="0" borderId="0"/>
    <xf numFmtId="170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8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2" fillId="0" borderId="0"/>
  </cellStyleXfs>
  <cellXfs count="174">
    <xf numFmtId="0" fontId="0" fillId="0" borderId="0" xfId="0"/>
    <xf numFmtId="0" fontId="2" fillId="0" borderId="3" xfId="0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35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4" fillId="0" borderId="0" xfId="0" applyNumberFormat="1" applyFont="1"/>
    <xf numFmtId="0" fontId="4" fillId="0" borderId="0" xfId="0" applyFont="1"/>
    <xf numFmtId="0" fontId="8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4" fontId="2" fillId="0" borderId="0" xfId="0" applyNumberFormat="1" applyFont="1" applyAlignment="1">
      <alignment horizontal="righ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/>
    </xf>
    <xf numFmtId="0" fontId="24" fillId="0" borderId="3" xfId="0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64" fontId="40" fillId="0" borderId="3" xfId="0" applyNumberFormat="1" applyFont="1" applyBorder="1" applyAlignment="1">
      <alignment horizontal="center" vertical="center"/>
    </xf>
    <xf numFmtId="164" fontId="24" fillId="0" borderId="3" xfId="0" applyNumberFormat="1" applyFont="1" applyBorder="1" applyAlignment="1">
      <alignment horizontal="center" vertical="center"/>
    </xf>
    <xf numFmtId="11" fontId="39" fillId="0" borderId="4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1" fontId="39" fillId="0" borderId="8" xfId="0" applyNumberFormat="1" applyFont="1" applyBorder="1"/>
    <xf numFmtId="0" fontId="12" fillId="0" borderId="3" xfId="0" applyFont="1" applyBorder="1"/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1" fontId="39" fillId="0" borderId="13" xfId="0" applyNumberFormat="1" applyFont="1" applyBorder="1"/>
    <xf numFmtId="0" fontId="12" fillId="0" borderId="14" xfId="0" applyFont="1" applyBorder="1"/>
    <xf numFmtId="0" fontId="12" fillId="0" borderId="15" xfId="0" applyFont="1" applyBorder="1"/>
    <xf numFmtId="0" fontId="11" fillId="0" borderId="16" xfId="0" applyFont="1" applyBorder="1" applyAlignment="1">
      <alignment horizontal="center" vertical="center"/>
    </xf>
    <xf numFmtId="0" fontId="10" fillId="0" borderId="14" xfId="0" applyFont="1" applyBorder="1"/>
    <xf numFmtId="0" fontId="8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7" xfId="0" applyFont="1" applyBorder="1"/>
    <xf numFmtId="165" fontId="10" fillId="0" borderId="18" xfId="0" applyNumberFormat="1" applyFont="1" applyBorder="1" applyAlignment="1">
      <alignment horizontal="center"/>
    </xf>
    <xf numFmtId="0" fontId="37" fillId="0" borderId="0" xfId="0" applyFont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164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0" fillId="0" borderId="20" xfId="0" applyFont="1" applyBorder="1" applyAlignment="1">
      <alignment horizontal="center" vertical="center"/>
    </xf>
    <xf numFmtId="49" fontId="2" fillId="0" borderId="0" xfId="0" applyNumberFormat="1" applyFont="1"/>
    <xf numFmtId="0" fontId="10" fillId="0" borderId="15" xfId="0" applyFont="1" applyBorder="1"/>
    <xf numFmtId="0" fontId="8" fillId="0" borderId="18" xfId="0" applyFont="1" applyBorder="1"/>
    <xf numFmtId="49" fontId="12" fillId="0" borderId="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21" xfId="0" applyFont="1" applyBorder="1" applyAlignment="1">
      <alignment vertical="center"/>
    </xf>
    <xf numFmtId="164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4" fillId="0" borderId="0" xfId="0" applyNumberFormat="1" applyFont="1" applyAlignment="1">
      <alignment horizontal="center"/>
    </xf>
    <xf numFmtId="0" fontId="2" fillId="0" borderId="0" xfId="0" applyFont="1"/>
    <xf numFmtId="0" fontId="41" fillId="2" borderId="3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/>
    </xf>
    <xf numFmtId="164" fontId="41" fillId="0" borderId="3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24" fillId="2" borderId="3" xfId="0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center"/>
    </xf>
    <xf numFmtId="0" fontId="41" fillId="2" borderId="3" xfId="0" applyFont="1" applyFill="1" applyBorder="1" applyAlignment="1">
      <alignment horizontal="center"/>
    </xf>
    <xf numFmtId="0" fontId="40" fillId="2" borderId="3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44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vertical="center"/>
    </xf>
    <xf numFmtId="0" fontId="45" fillId="0" borderId="26" xfId="0" applyFont="1" applyBorder="1" applyAlignment="1">
      <alignment vertical="center"/>
    </xf>
    <xf numFmtId="0" fontId="45" fillId="0" borderId="23" xfId="0" applyFont="1" applyBorder="1" applyAlignment="1">
      <alignment horizontal="center" vertical="center"/>
    </xf>
    <xf numFmtId="0" fontId="45" fillId="0" borderId="23" xfId="0" applyFont="1" applyBorder="1" applyAlignment="1">
      <alignment vertical="center"/>
    </xf>
    <xf numFmtId="0" fontId="45" fillId="0" borderId="23" xfId="0" applyFont="1" applyBorder="1" applyAlignment="1">
      <alignment horizontal="right" vertical="center"/>
    </xf>
    <xf numFmtId="0" fontId="45" fillId="0" borderId="24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6" fillId="0" borderId="25" xfId="0" applyFont="1" applyBorder="1" applyAlignment="1">
      <alignment vertical="center"/>
    </xf>
    <xf numFmtId="0" fontId="46" fillId="0" borderId="25" xfId="0" applyFont="1" applyBorder="1" applyAlignment="1">
      <alignment horizontal="center" vertical="center"/>
    </xf>
    <xf numFmtId="0" fontId="47" fillId="0" borderId="25" xfId="0" applyFont="1" applyBorder="1" applyAlignment="1">
      <alignment vertical="center"/>
    </xf>
    <xf numFmtId="0" fontId="45" fillId="0" borderId="25" xfId="0" applyFont="1" applyBorder="1" applyAlignment="1">
      <alignment horizontal="right" vertical="center"/>
    </xf>
    <xf numFmtId="0" fontId="45" fillId="0" borderId="2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quotePrefix="1" applyFont="1" applyAlignment="1">
      <alignment vertical="center"/>
    </xf>
    <xf numFmtId="0" fontId="0" fillId="0" borderId="0" xfId="0" applyAlignment="1">
      <alignment horizontal="center"/>
    </xf>
    <xf numFmtId="0" fontId="24" fillId="2" borderId="3" xfId="0" applyFont="1" applyFill="1" applyBorder="1" applyAlignment="1">
      <alignment horizontal="left" vertical="center"/>
    </xf>
    <xf numFmtId="0" fontId="48" fillId="0" borderId="0" xfId="0" applyFont="1"/>
    <xf numFmtId="0" fontId="35" fillId="2" borderId="3" xfId="0" applyFont="1" applyFill="1" applyBorder="1" applyAlignment="1">
      <alignment horizontal="left"/>
    </xf>
    <xf numFmtId="2" fontId="24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/>
    </xf>
    <xf numFmtId="165" fontId="24" fillId="2" borderId="3" xfId="0" applyNumberFormat="1" applyFont="1" applyFill="1" applyBorder="1" applyAlignment="1">
      <alignment horizontal="center"/>
    </xf>
    <xf numFmtId="49" fontId="6" fillId="2" borderId="3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/>
    </xf>
    <xf numFmtId="49" fontId="24" fillId="2" borderId="3" xfId="0" applyNumberFormat="1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/>
    </xf>
    <xf numFmtId="0" fontId="49" fillId="2" borderId="3" xfId="0" applyFont="1" applyFill="1" applyBorder="1" applyAlignment="1">
      <alignment horizontal="center"/>
    </xf>
    <xf numFmtId="0" fontId="0" fillId="0" borderId="3" xfId="0" applyBorder="1"/>
    <xf numFmtId="0" fontId="0" fillId="3" borderId="3" xfId="0" applyFill="1" applyBorder="1"/>
    <xf numFmtId="0" fontId="0" fillId="3" borderId="3" xfId="0" applyFill="1" applyBorder="1" applyAlignment="1">
      <alignment horizontal="center" vertical="center"/>
    </xf>
    <xf numFmtId="0" fontId="0" fillId="4" borderId="3" xfId="0" applyFill="1" applyBorder="1"/>
    <xf numFmtId="0" fontId="0" fillId="5" borderId="3" xfId="0" applyFill="1" applyBorder="1"/>
    <xf numFmtId="0" fontId="0" fillId="2" borderId="3" xfId="0" applyFill="1" applyBorder="1"/>
    <xf numFmtId="0" fontId="0" fillId="6" borderId="3" xfId="0" applyFill="1" applyBorder="1"/>
    <xf numFmtId="0" fontId="0" fillId="0" borderId="15" xfId="0" applyBorder="1"/>
    <xf numFmtId="0" fontId="0" fillId="0" borderId="39" xfId="0" applyBorder="1"/>
    <xf numFmtId="0" fontId="0" fillId="0" borderId="13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27" xfId="0" applyBorder="1"/>
    <xf numFmtId="0" fontId="0" fillId="0" borderId="43" xfId="0" applyBorder="1"/>
    <xf numFmtId="0" fontId="0" fillId="7" borderId="3" xfId="0" applyFill="1" applyBorder="1"/>
    <xf numFmtId="0" fontId="0" fillId="8" borderId="3" xfId="0" applyFill="1" applyBorder="1"/>
    <xf numFmtId="0" fontId="0" fillId="7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9" borderId="3" xfId="0" applyFill="1" applyBorder="1"/>
    <xf numFmtId="0" fontId="0" fillId="10" borderId="3" xfId="0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center" vertical="center"/>
    </xf>
    <xf numFmtId="0" fontId="41" fillId="3" borderId="3" xfId="0" applyFont="1" applyFill="1" applyBorder="1" applyAlignment="1">
      <alignment horizontal="center" vertical="center"/>
    </xf>
    <xf numFmtId="0" fontId="0" fillId="3" borderId="0" xfId="0" applyFill="1"/>
    <xf numFmtId="164" fontId="41" fillId="3" borderId="3" xfId="0" applyNumberFormat="1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4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11" fontId="39" fillId="0" borderId="14" xfId="0" applyNumberFormat="1" applyFont="1" applyBorder="1" applyAlignment="1">
      <alignment horizontal="center" vertical="center"/>
    </xf>
    <xf numFmtId="11" fontId="39" fillId="0" borderId="35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165" fontId="10" fillId="0" borderId="36" xfId="0" applyNumberFormat="1" applyFont="1" applyBorder="1" applyAlignment="1">
      <alignment horizontal="center"/>
    </xf>
    <xf numFmtId="165" fontId="10" fillId="0" borderId="18" xfId="0" applyNumberFormat="1" applyFont="1" applyBorder="1" applyAlignment="1">
      <alignment horizontal="center"/>
    </xf>
    <xf numFmtId="14" fontId="14" fillId="0" borderId="0" xfId="0" quotePrefix="1" applyNumberFormat="1" applyFont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24" fillId="3" borderId="3" xfId="0" applyNumberFormat="1" applyFont="1" applyFill="1" applyBorder="1" applyAlignment="1">
      <alignment horizontal="center" vertical="center"/>
    </xf>
  </cellXfs>
  <cellStyles count="37">
    <cellStyle name="Comma 2" xfId="1" xr:uid="{00000000-0005-0000-0000-000000000000}"/>
    <cellStyle name="Comma 3" xfId="2" xr:uid="{00000000-0005-0000-0000-000001000000}"/>
    <cellStyle name="Comma0" xfId="3" xr:uid="{00000000-0005-0000-0000-000002000000}"/>
    <cellStyle name="Currency0" xfId="4" xr:uid="{00000000-0005-0000-0000-000003000000}"/>
    <cellStyle name="Date" xfId="5" xr:uid="{00000000-0005-0000-0000-000004000000}"/>
    <cellStyle name="Fixed" xfId="6" xr:uid="{00000000-0005-0000-0000-000005000000}"/>
    <cellStyle name="Heading 1 2" xfId="7" xr:uid="{00000000-0005-0000-0000-000006000000}"/>
    <cellStyle name="Heading 2 2" xfId="8" xr:uid="{00000000-0005-0000-0000-000007000000}"/>
    <cellStyle name="Hyperlink 2" xfId="9" xr:uid="{00000000-0005-0000-0000-000008000000}"/>
    <cellStyle name="Normal" xfId="0" builtinId="0"/>
    <cellStyle name="Normal 1014" xfId="10" xr:uid="{00000000-0005-0000-0000-00000A000000}"/>
    <cellStyle name="Normal 111" xfId="11" xr:uid="{00000000-0005-0000-0000-00000B000000}"/>
    <cellStyle name="Normal 2" xfId="12" xr:uid="{00000000-0005-0000-0000-00000C000000}"/>
    <cellStyle name="Normal 2 2" xfId="13" xr:uid="{00000000-0005-0000-0000-00000D000000}"/>
    <cellStyle name="Normal 26" xfId="14" xr:uid="{00000000-0005-0000-0000-00000E000000}"/>
    <cellStyle name="Normal 27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5" xfId="19" xr:uid="{00000000-0005-0000-0000-000013000000}"/>
    <cellStyle name="Normal 573" xfId="20" xr:uid="{00000000-0005-0000-0000-000014000000}"/>
    <cellStyle name="Normal 6" xfId="21" xr:uid="{00000000-0005-0000-0000-000015000000}"/>
    <cellStyle name="Normal 7" xfId="22" xr:uid="{00000000-0005-0000-0000-000016000000}"/>
    <cellStyle name="Special" xfId="23" xr:uid="{00000000-0005-0000-0000-000017000000}"/>
    <cellStyle name="Style 1" xfId="24" xr:uid="{00000000-0005-0000-0000-000018000000}"/>
    <cellStyle name="Total 2" xfId="25" xr:uid="{00000000-0005-0000-0000-000019000000}"/>
    <cellStyle name="똿뗦먛귟 [0.00]_PRODUCT DETAIL Q1" xfId="26" xr:uid="{00000000-0005-0000-0000-00001A000000}"/>
    <cellStyle name="똿뗦먛귟_PRODUCT DETAIL Q1" xfId="27" xr:uid="{00000000-0005-0000-0000-00001B000000}"/>
    <cellStyle name="믅됞 [0.00]_PRODUCT DETAIL Q1" xfId="28" xr:uid="{00000000-0005-0000-0000-00001C000000}"/>
    <cellStyle name="믅됞_PRODUCT DETAIL Q1" xfId="29" xr:uid="{00000000-0005-0000-0000-00001D000000}"/>
    <cellStyle name="백분율_HOBONG" xfId="30" xr:uid="{00000000-0005-0000-0000-00001E000000}"/>
    <cellStyle name="뷭?_BOOKSHIP" xfId="31" xr:uid="{00000000-0005-0000-0000-00001F000000}"/>
    <cellStyle name="콤마 [0]_1202" xfId="32" xr:uid="{00000000-0005-0000-0000-000020000000}"/>
    <cellStyle name="콤마_1202" xfId="33" xr:uid="{00000000-0005-0000-0000-000021000000}"/>
    <cellStyle name="통화 [0]_1202" xfId="34" xr:uid="{00000000-0005-0000-0000-000022000000}"/>
    <cellStyle name="통화_1202" xfId="35" xr:uid="{00000000-0005-0000-0000-000023000000}"/>
    <cellStyle name="표준_(정보부문)월별인원계획" xfId="36" xr:uid="{00000000-0005-0000-0000-000024000000}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10"/>
      </font>
      <fill>
        <patternFill>
          <bgColor indexed="44"/>
        </patternFill>
      </fill>
    </dxf>
    <dxf>
      <font>
        <condense val="0"/>
        <extend val="0"/>
        <color indexed="10"/>
      </font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227</xdr:row>
      <xdr:rowOff>76200</xdr:rowOff>
    </xdr:from>
    <xdr:to>
      <xdr:col>6</xdr:col>
      <xdr:colOff>85725</xdr:colOff>
      <xdr:row>227</xdr:row>
      <xdr:rowOff>266700</xdr:rowOff>
    </xdr:to>
    <xdr:sp macro="" textlink="">
      <xdr:nvSpPr>
        <xdr:cNvPr id="30986" name="Text Box 4">
          <a:extLst>
            <a:ext uri="{FF2B5EF4-FFF2-40B4-BE49-F238E27FC236}">
              <a16:creationId xmlns:a16="http://schemas.microsoft.com/office/drawing/2014/main" id="{B4CB39ED-023E-4975-F5AF-4410C1D7767C}"/>
            </a:ext>
          </a:extLst>
        </xdr:cNvPr>
        <xdr:cNvSpPr>
          <a:spLocks noChangeArrowheads="1"/>
        </xdr:cNvSpPr>
      </xdr:nvSpPr>
      <xdr:spPr bwMode="auto">
        <a:xfrm>
          <a:off x="5029200" y="856869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371475</xdr:colOff>
      <xdr:row>230</xdr:row>
      <xdr:rowOff>76200</xdr:rowOff>
    </xdr:from>
    <xdr:to>
      <xdr:col>6</xdr:col>
      <xdr:colOff>466725</xdr:colOff>
      <xdr:row>230</xdr:row>
      <xdr:rowOff>266700</xdr:rowOff>
    </xdr:to>
    <xdr:sp macro="" textlink="">
      <xdr:nvSpPr>
        <xdr:cNvPr id="30987" name="Text Box 3">
          <a:extLst>
            <a:ext uri="{FF2B5EF4-FFF2-40B4-BE49-F238E27FC236}">
              <a16:creationId xmlns:a16="http://schemas.microsoft.com/office/drawing/2014/main" id="{BD5FC756-5E96-3A28-52F3-1D9A6BCD32E7}"/>
            </a:ext>
          </a:extLst>
        </xdr:cNvPr>
        <xdr:cNvSpPr>
          <a:spLocks noChangeArrowheads="1"/>
        </xdr:cNvSpPr>
      </xdr:nvSpPr>
      <xdr:spPr bwMode="auto">
        <a:xfrm>
          <a:off x="5400675" y="866298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371475</xdr:colOff>
      <xdr:row>232</xdr:row>
      <xdr:rowOff>76200</xdr:rowOff>
    </xdr:from>
    <xdr:to>
      <xdr:col>6</xdr:col>
      <xdr:colOff>466725</xdr:colOff>
      <xdr:row>232</xdr:row>
      <xdr:rowOff>266700</xdr:rowOff>
    </xdr:to>
    <xdr:sp macro="" textlink="">
      <xdr:nvSpPr>
        <xdr:cNvPr id="30988" name="Text Box 2">
          <a:extLst>
            <a:ext uri="{FF2B5EF4-FFF2-40B4-BE49-F238E27FC236}">
              <a16:creationId xmlns:a16="http://schemas.microsoft.com/office/drawing/2014/main" id="{734E2DB7-60F0-C911-1AFB-2CD8AEC742FD}"/>
            </a:ext>
          </a:extLst>
        </xdr:cNvPr>
        <xdr:cNvSpPr>
          <a:spLocks noChangeArrowheads="1"/>
        </xdr:cNvSpPr>
      </xdr:nvSpPr>
      <xdr:spPr bwMode="auto">
        <a:xfrm>
          <a:off x="5400675" y="87258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371475</xdr:colOff>
      <xdr:row>233</xdr:row>
      <xdr:rowOff>76200</xdr:rowOff>
    </xdr:from>
    <xdr:to>
      <xdr:col>6</xdr:col>
      <xdr:colOff>466725</xdr:colOff>
      <xdr:row>233</xdr:row>
      <xdr:rowOff>266700</xdr:rowOff>
    </xdr:to>
    <xdr:sp macro="" textlink="">
      <xdr:nvSpPr>
        <xdr:cNvPr id="30989" name="Text Box 5">
          <a:extLst>
            <a:ext uri="{FF2B5EF4-FFF2-40B4-BE49-F238E27FC236}">
              <a16:creationId xmlns:a16="http://schemas.microsoft.com/office/drawing/2014/main" id="{C9BFAE3F-DA03-29E8-DE42-AFA63797E31A}"/>
            </a:ext>
          </a:extLst>
        </xdr:cNvPr>
        <xdr:cNvSpPr>
          <a:spLocks noChangeArrowheads="1"/>
        </xdr:cNvSpPr>
      </xdr:nvSpPr>
      <xdr:spPr bwMode="auto">
        <a:xfrm>
          <a:off x="5400675" y="875728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371475</xdr:colOff>
      <xdr:row>233</xdr:row>
      <xdr:rowOff>76200</xdr:rowOff>
    </xdr:from>
    <xdr:to>
      <xdr:col>6</xdr:col>
      <xdr:colOff>466725</xdr:colOff>
      <xdr:row>233</xdr:row>
      <xdr:rowOff>266700</xdr:rowOff>
    </xdr:to>
    <xdr:sp macro="" textlink="">
      <xdr:nvSpPr>
        <xdr:cNvPr id="30990" name="Text Box 6">
          <a:extLst>
            <a:ext uri="{FF2B5EF4-FFF2-40B4-BE49-F238E27FC236}">
              <a16:creationId xmlns:a16="http://schemas.microsoft.com/office/drawing/2014/main" id="{4AC152F2-8FCD-85D9-1762-F00D3F0573A1}"/>
            </a:ext>
          </a:extLst>
        </xdr:cNvPr>
        <xdr:cNvSpPr>
          <a:spLocks noChangeArrowheads="1"/>
        </xdr:cNvSpPr>
      </xdr:nvSpPr>
      <xdr:spPr bwMode="auto">
        <a:xfrm>
          <a:off x="5400675" y="875728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160021</xdr:colOff>
      <xdr:row>19</xdr:row>
      <xdr:rowOff>45720</xdr:rowOff>
    </xdr:from>
    <xdr:to>
      <xdr:col>16</xdr:col>
      <xdr:colOff>464821</xdr:colOff>
      <xdr:row>35</xdr:row>
      <xdr:rowOff>98761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2393D-D174-468C-837C-8597E5721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8721" y="3375660"/>
          <a:ext cx="5791200" cy="28572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hoat/AppData/Local/Microsoft/Windows/INetCache/Content.Outlook/2G7IGL1K/NEW%20LoadListH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Loaded"/>
    </sheetNames>
    <sheetDataSet>
      <sheetData sheetId="0">
        <row r="6">
          <cell r="E6" t="str">
            <v>BNFU7200219</v>
          </cell>
          <cell r="F6" t="str">
            <v>290410</v>
          </cell>
          <cell r="G6">
            <v>20</v>
          </cell>
          <cell r="H6" t="str">
            <v>TK</v>
          </cell>
          <cell r="I6" t="str">
            <v>20TK</v>
          </cell>
          <cell r="J6" t="str">
            <v>HPH</v>
          </cell>
          <cell r="K6">
            <v>3000</v>
          </cell>
          <cell r="L6">
            <v>3</v>
          </cell>
          <cell r="M6" t="str">
            <v>E</v>
          </cell>
          <cell r="P6" t="str">
            <v>HAC260519179</v>
          </cell>
          <cell r="Q6" t="str">
            <v>OK</v>
          </cell>
          <cell r="R6" t="str">
            <v>ND/</v>
          </cell>
          <cell r="S6" t="str">
            <v/>
          </cell>
        </row>
        <row r="7">
          <cell r="E7" t="str">
            <v>BNFU7200435</v>
          </cell>
          <cell r="F7" t="str">
            <v>290810</v>
          </cell>
          <cell r="G7">
            <v>20</v>
          </cell>
          <cell r="H7" t="str">
            <v>TK</v>
          </cell>
          <cell r="I7" t="str">
            <v>20TK</v>
          </cell>
          <cell r="J7" t="str">
            <v>HPH</v>
          </cell>
          <cell r="K7">
            <v>3000</v>
          </cell>
          <cell r="L7">
            <v>3</v>
          </cell>
          <cell r="M7" t="str">
            <v>E</v>
          </cell>
          <cell r="P7" t="str">
            <v>HAC260519179</v>
          </cell>
          <cell r="Q7" t="str">
            <v>OK</v>
          </cell>
          <cell r="R7" t="str">
            <v>ND/</v>
          </cell>
          <cell r="S7" t="str">
            <v/>
          </cell>
        </row>
        <row r="8">
          <cell r="E8" t="str">
            <v>EXFU5621757</v>
          </cell>
          <cell r="F8" t="str">
            <v>210810</v>
          </cell>
          <cell r="G8">
            <v>20</v>
          </cell>
          <cell r="H8" t="str">
            <v>TK</v>
          </cell>
          <cell r="I8" t="str">
            <v>20TK</v>
          </cell>
          <cell r="J8" t="str">
            <v>HPH</v>
          </cell>
          <cell r="K8">
            <v>3000</v>
          </cell>
          <cell r="L8">
            <v>3</v>
          </cell>
          <cell r="M8" t="str">
            <v>E</v>
          </cell>
          <cell r="P8" t="str">
            <v>HAC260523020</v>
          </cell>
          <cell r="Q8" t="str">
            <v>OK</v>
          </cell>
          <cell r="R8" t="str">
            <v>ND/</v>
          </cell>
          <cell r="S8" t="str">
            <v/>
          </cell>
        </row>
        <row r="9">
          <cell r="E9" t="str">
            <v>KTCU2309020</v>
          </cell>
          <cell r="F9" t="str">
            <v>290210</v>
          </cell>
          <cell r="G9">
            <v>20</v>
          </cell>
          <cell r="H9" t="str">
            <v>TK</v>
          </cell>
          <cell r="I9" t="str">
            <v>20TK</v>
          </cell>
          <cell r="J9" t="str">
            <v>HPH</v>
          </cell>
          <cell r="K9">
            <v>3000</v>
          </cell>
          <cell r="L9">
            <v>3</v>
          </cell>
          <cell r="M9" t="str">
            <v>E</v>
          </cell>
          <cell r="P9" t="str">
            <v>HAC260519179</v>
          </cell>
          <cell r="Q9" t="str">
            <v>DG</v>
          </cell>
          <cell r="R9" t="str">
            <v>ND/</v>
          </cell>
          <cell r="S9" t="str">
            <v/>
          </cell>
        </row>
        <row r="10">
          <cell r="E10" t="str">
            <v>KTCU2311054</v>
          </cell>
          <cell r="F10" t="str">
            <v>290510</v>
          </cell>
          <cell r="G10">
            <v>20</v>
          </cell>
          <cell r="H10" t="str">
            <v>TK</v>
          </cell>
          <cell r="I10" t="str">
            <v>20TK</v>
          </cell>
          <cell r="J10" t="str">
            <v>HPH</v>
          </cell>
          <cell r="K10">
            <v>3000</v>
          </cell>
          <cell r="L10">
            <v>3</v>
          </cell>
          <cell r="M10" t="str">
            <v>E</v>
          </cell>
          <cell r="P10" t="str">
            <v>HAC260519179</v>
          </cell>
          <cell r="Q10" t="str">
            <v>DG</v>
          </cell>
          <cell r="R10" t="str">
            <v>ND/</v>
          </cell>
          <cell r="S10" t="str">
            <v/>
          </cell>
        </row>
        <row r="11">
          <cell r="E11" t="str">
            <v>KTCU2312045</v>
          </cell>
          <cell r="F11" t="str">
            <v>290610</v>
          </cell>
          <cell r="G11">
            <v>20</v>
          </cell>
          <cell r="H11" t="str">
            <v>TK</v>
          </cell>
          <cell r="I11" t="str">
            <v>20TK</v>
          </cell>
          <cell r="J11" t="str">
            <v>HPH</v>
          </cell>
          <cell r="K11">
            <v>3000</v>
          </cell>
          <cell r="L11">
            <v>3</v>
          </cell>
          <cell r="M11" t="str">
            <v>E</v>
          </cell>
          <cell r="P11" t="str">
            <v>HAC260519179</v>
          </cell>
          <cell r="Q11" t="str">
            <v>OK</v>
          </cell>
          <cell r="R11" t="str">
            <v>ND/</v>
          </cell>
          <cell r="S11" t="str">
            <v/>
          </cell>
        </row>
        <row r="12">
          <cell r="E12" t="str">
            <v>NCCU0130612</v>
          </cell>
          <cell r="F12" t="str">
            <v>310110</v>
          </cell>
          <cell r="G12">
            <v>20</v>
          </cell>
          <cell r="H12" t="str">
            <v>TK</v>
          </cell>
          <cell r="I12" t="str">
            <v>20TK</v>
          </cell>
          <cell r="J12" t="str">
            <v>HPH</v>
          </cell>
          <cell r="K12">
            <v>3000</v>
          </cell>
          <cell r="L12">
            <v>3</v>
          </cell>
          <cell r="M12" t="str">
            <v>E</v>
          </cell>
          <cell r="P12" t="str">
            <v>HAC260523020</v>
          </cell>
          <cell r="Q12" t="str">
            <v>OK</v>
          </cell>
          <cell r="R12" t="str">
            <v>ND/</v>
          </cell>
          <cell r="S12" t="str">
            <v/>
          </cell>
        </row>
        <row r="13">
          <cell r="E13" t="str">
            <v>NCCU0201254</v>
          </cell>
          <cell r="F13" t="str">
            <v>071082</v>
          </cell>
          <cell r="G13">
            <v>20</v>
          </cell>
          <cell r="H13" t="str">
            <v>TK</v>
          </cell>
          <cell r="I13" t="str">
            <v>20TK</v>
          </cell>
          <cell r="J13" t="str">
            <v>HPH</v>
          </cell>
          <cell r="K13">
            <v>3000</v>
          </cell>
          <cell r="L13">
            <v>3</v>
          </cell>
          <cell r="M13" t="str">
            <v>E</v>
          </cell>
          <cell r="P13" t="str">
            <v>HAC260523020</v>
          </cell>
          <cell r="Q13" t="str">
            <v>OK</v>
          </cell>
          <cell r="R13" t="str">
            <v>ND/</v>
          </cell>
          <cell r="S13" t="str">
            <v/>
          </cell>
        </row>
        <row r="14">
          <cell r="E14" t="str">
            <v>NCCU0201450</v>
          </cell>
          <cell r="F14" t="str">
            <v>210310</v>
          </cell>
          <cell r="G14">
            <v>20</v>
          </cell>
          <cell r="H14" t="str">
            <v>TK</v>
          </cell>
          <cell r="I14" t="str">
            <v>20TK</v>
          </cell>
          <cell r="J14" t="str">
            <v>HPH</v>
          </cell>
          <cell r="K14">
            <v>3000</v>
          </cell>
          <cell r="L14">
            <v>3</v>
          </cell>
          <cell r="M14" t="str">
            <v>E</v>
          </cell>
          <cell r="P14" t="str">
            <v>HAC260523020</v>
          </cell>
          <cell r="Q14" t="str">
            <v>OK</v>
          </cell>
          <cell r="R14" t="str">
            <v>ND/</v>
          </cell>
          <cell r="S14" t="str">
            <v/>
          </cell>
        </row>
        <row r="15">
          <cell r="E15" t="str">
            <v>NCCU0207735</v>
          </cell>
          <cell r="F15" t="str">
            <v>310410</v>
          </cell>
          <cell r="G15">
            <v>20</v>
          </cell>
          <cell r="H15" t="str">
            <v>TK</v>
          </cell>
          <cell r="I15" t="str">
            <v>20TK</v>
          </cell>
          <cell r="J15" t="str">
            <v>HPH</v>
          </cell>
          <cell r="K15">
            <v>3000</v>
          </cell>
          <cell r="L15">
            <v>3</v>
          </cell>
          <cell r="M15" t="str">
            <v>E</v>
          </cell>
          <cell r="P15" t="str">
            <v>HAC260523020</v>
          </cell>
          <cell r="Q15" t="str">
            <v>OK</v>
          </cell>
          <cell r="R15" t="str">
            <v>ND/</v>
          </cell>
          <cell r="S15" t="str">
            <v/>
          </cell>
        </row>
        <row r="16">
          <cell r="E16" t="str">
            <v>NCCU0210683</v>
          </cell>
          <cell r="F16" t="str">
            <v>230310</v>
          </cell>
          <cell r="G16">
            <v>20</v>
          </cell>
          <cell r="H16" t="str">
            <v>TK</v>
          </cell>
          <cell r="I16" t="str">
            <v>20TK</v>
          </cell>
          <cell r="J16" t="str">
            <v>HPH</v>
          </cell>
          <cell r="K16">
            <v>3000</v>
          </cell>
          <cell r="L16">
            <v>3</v>
          </cell>
          <cell r="M16" t="str">
            <v>E</v>
          </cell>
          <cell r="P16" t="str">
            <v>HAC260523020</v>
          </cell>
          <cell r="Q16" t="str">
            <v>OK</v>
          </cell>
          <cell r="R16" t="str">
            <v>ND/</v>
          </cell>
          <cell r="S16" t="str">
            <v/>
          </cell>
        </row>
        <row r="17">
          <cell r="E17" t="str">
            <v>NCCU0221287</v>
          </cell>
          <cell r="F17" t="str">
            <v>310210</v>
          </cell>
          <cell r="G17">
            <v>20</v>
          </cell>
          <cell r="H17" t="str">
            <v>TK</v>
          </cell>
          <cell r="I17" t="str">
            <v>20TK</v>
          </cell>
          <cell r="J17" t="str">
            <v>HPH</v>
          </cell>
          <cell r="K17">
            <v>3000</v>
          </cell>
          <cell r="L17">
            <v>3</v>
          </cell>
          <cell r="M17" t="str">
            <v>E</v>
          </cell>
          <cell r="P17" t="str">
            <v>HAC260523020</v>
          </cell>
          <cell r="Q17" t="str">
            <v>OK</v>
          </cell>
          <cell r="R17" t="str">
            <v>ND/</v>
          </cell>
          <cell r="S17" t="str">
            <v/>
          </cell>
        </row>
        <row r="18">
          <cell r="E18" t="str">
            <v>NCCU0222447</v>
          </cell>
          <cell r="F18" t="str">
            <v>230810</v>
          </cell>
          <cell r="G18">
            <v>20</v>
          </cell>
          <cell r="H18" t="str">
            <v>TK</v>
          </cell>
          <cell r="I18" t="str">
            <v>20TK</v>
          </cell>
          <cell r="J18" t="str">
            <v>HPH</v>
          </cell>
          <cell r="K18">
            <v>3000</v>
          </cell>
          <cell r="L18">
            <v>3</v>
          </cell>
          <cell r="M18" t="str">
            <v>E</v>
          </cell>
          <cell r="P18" t="str">
            <v>HAC260523020</v>
          </cell>
          <cell r="Q18" t="str">
            <v>OK</v>
          </cell>
          <cell r="R18" t="str">
            <v>ND/</v>
          </cell>
          <cell r="S18" t="str">
            <v/>
          </cell>
        </row>
        <row r="19">
          <cell r="E19" t="str">
            <v>NCCU0223612</v>
          </cell>
          <cell r="F19" t="str">
            <v>210610</v>
          </cell>
          <cell r="G19">
            <v>20</v>
          </cell>
          <cell r="H19" t="str">
            <v>TK</v>
          </cell>
          <cell r="I19" t="str">
            <v>20TK</v>
          </cell>
          <cell r="J19" t="str">
            <v>HPH</v>
          </cell>
          <cell r="K19">
            <v>3000</v>
          </cell>
          <cell r="L19">
            <v>3</v>
          </cell>
          <cell r="M19" t="str">
            <v>E</v>
          </cell>
          <cell r="P19" t="str">
            <v>HAC260523020</v>
          </cell>
          <cell r="Q19" t="str">
            <v>OK</v>
          </cell>
          <cell r="R19" t="str">
            <v>ND/</v>
          </cell>
          <cell r="S19" t="str">
            <v/>
          </cell>
        </row>
        <row r="20">
          <cell r="E20" t="str">
            <v>NCCU1289511</v>
          </cell>
          <cell r="F20" t="str">
            <v>230510</v>
          </cell>
          <cell r="G20">
            <v>20</v>
          </cell>
          <cell r="H20" t="str">
            <v>TK</v>
          </cell>
          <cell r="I20" t="str">
            <v>20TK</v>
          </cell>
          <cell r="J20" t="str">
            <v>HPH</v>
          </cell>
          <cell r="K20">
            <v>3000</v>
          </cell>
          <cell r="L20">
            <v>3</v>
          </cell>
          <cell r="M20" t="str">
            <v>E</v>
          </cell>
          <cell r="P20" t="str">
            <v>HAC260523020</v>
          </cell>
          <cell r="Q20" t="str">
            <v>OK</v>
          </cell>
          <cell r="R20" t="str">
            <v>ND/</v>
          </cell>
          <cell r="S20" t="str">
            <v/>
          </cell>
        </row>
        <row r="21">
          <cell r="E21" t="str">
            <v>NCCU1700324</v>
          </cell>
          <cell r="F21" t="str">
            <v>310610</v>
          </cell>
          <cell r="G21">
            <v>20</v>
          </cell>
          <cell r="H21" t="str">
            <v>TK</v>
          </cell>
          <cell r="I21" t="str">
            <v>20TK</v>
          </cell>
          <cell r="J21" t="str">
            <v>HPH</v>
          </cell>
          <cell r="K21">
            <v>3000</v>
          </cell>
          <cell r="L21">
            <v>3</v>
          </cell>
          <cell r="M21" t="str">
            <v>E</v>
          </cell>
          <cell r="P21" t="str">
            <v>HAC260523020</v>
          </cell>
          <cell r="Q21" t="str">
            <v>OK</v>
          </cell>
          <cell r="R21" t="str">
            <v>ND/</v>
          </cell>
          <cell r="S21" t="str">
            <v/>
          </cell>
        </row>
        <row r="22">
          <cell r="E22" t="str">
            <v>NCCU1701470</v>
          </cell>
          <cell r="F22" t="str">
            <v>290310</v>
          </cell>
          <cell r="G22">
            <v>20</v>
          </cell>
          <cell r="H22" t="str">
            <v>TK</v>
          </cell>
          <cell r="I22" t="str">
            <v>20TK</v>
          </cell>
          <cell r="J22" t="str">
            <v>HPH</v>
          </cell>
          <cell r="K22">
            <v>3000</v>
          </cell>
          <cell r="L22">
            <v>3</v>
          </cell>
          <cell r="M22" t="str">
            <v>E</v>
          </cell>
          <cell r="P22" t="str">
            <v>HAC260523020</v>
          </cell>
          <cell r="Q22" t="str">
            <v>OK</v>
          </cell>
          <cell r="R22" t="str">
            <v>ND/</v>
          </cell>
          <cell r="S22" t="str">
            <v/>
          </cell>
        </row>
        <row r="23">
          <cell r="E23" t="str">
            <v>NCCU1800597</v>
          </cell>
          <cell r="F23" t="str">
            <v>210510</v>
          </cell>
          <cell r="G23">
            <v>20</v>
          </cell>
          <cell r="H23" t="str">
            <v>TK</v>
          </cell>
          <cell r="I23" t="str">
            <v>20TK</v>
          </cell>
          <cell r="J23" t="str">
            <v>HPH</v>
          </cell>
          <cell r="K23">
            <v>3000</v>
          </cell>
          <cell r="L23">
            <v>3</v>
          </cell>
          <cell r="M23" t="str">
            <v>E</v>
          </cell>
          <cell r="P23" t="str">
            <v>HAC260523020</v>
          </cell>
          <cell r="Q23" t="str">
            <v>OK</v>
          </cell>
          <cell r="R23" t="str">
            <v>ND/</v>
          </cell>
          <cell r="S23" t="str">
            <v/>
          </cell>
        </row>
        <row r="24">
          <cell r="E24" t="str">
            <v>NCCU1810390</v>
          </cell>
          <cell r="F24" t="str">
            <v>230610</v>
          </cell>
          <cell r="G24">
            <v>20</v>
          </cell>
          <cell r="H24" t="str">
            <v>TK</v>
          </cell>
          <cell r="I24" t="str">
            <v>20TK</v>
          </cell>
          <cell r="J24" t="str">
            <v>HPH</v>
          </cell>
          <cell r="K24">
            <v>3000</v>
          </cell>
          <cell r="L24">
            <v>3</v>
          </cell>
          <cell r="M24" t="str">
            <v>E</v>
          </cell>
          <cell r="P24" t="str">
            <v>HAC260523020</v>
          </cell>
          <cell r="Q24" t="str">
            <v>OK</v>
          </cell>
          <cell r="R24" t="str">
            <v>ND/</v>
          </cell>
          <cell r="S24" t="str">
            <v/>
          </cell>
        </row>
        <row r="25">
          <cell r="E25" t="str">
            <v>NCCU1810980</v>
          </cell>
          <cell r="F25" t="str">
            <v>310510</v>
          </cell>
          <cell r="G25">
            <v>20</v>
          </cell>
          <cell r="H25" t="str">
            <v>TK</v>
          </cell>
          <cell r="I25" t="str">
            <v>20TK</v>
          </cell>
          <cell r="J25" t="str">
            <v>HPH</v>
          </cell>
          <cell r="K25">
            <v>3000</v>
          </cell>
          <cell r="L25">
            <v>3</v>
          </cell>
          <cell r="M25" t="str">
            <v>E</v>
          </cell>
          <cell r="P25" t="str">
            <v>HAC260523020</v>
          </cell>
          <cell r="Q25" t="str">
            <v>OK</v>
          </cell>
          <cell r="R25" t="str">
            <v>ND/</v>
          </cell>
          <cell r="S25" t="str">
            <v/>
          </cell>
        </row>
        <row r="26">
          <cell r="E26" t="str">
            <v>NCCU1811267</v>
          </cell>
          <cell r="F26" t="str">
            <v>290110</v>
          </cell>
          <cell r="G26">
            <v>20</v>
          </cell>
          <cell r="H26" t="str">
            <v>TK</v>
          </cell>
          <cell r="I26" t="str">
            <v>20TK</v>
          </cell>
          <cell r="J26" t="str">
            <v>HPH</v>
          </cell>
          <cell r="K26">
            <v>3000</v>
          </cell>
          <cell r="L26">
            <v>3</v>
          </cell>
          <cell r="M26" t="str">
            <v>E</v>
          </cell>
          <cell r="P26" t="str">
            <v>HAC260523020</v>
          </cell>
          <cell r="Q26" t="str">
            <v>OK</v>
          </cell>
          <cell r="R26" t="str">
            <v>ND/</v>
          </cell>
          <cell r="S26" t="str">
            <v/>
          </cell>
        </row>
        <row r="27">
          <cell r="E27" t="str">
            <v>NCCU1900908</v>
          </cell>
          <cell r="F27" t="str">
            <v>230710</v>
          </cell>
          <cell r="G27">
            <v>20</v>
          </cell>
          <cell r="H27" t="str">
            <v>TK</v>
          </cell>
          <cell r="I27" t="str">
            <v>20TK</v>
          </cell>
          <cell r="J27" t="str">
            <v>HPH</v>
          </cell>
          <cell r="K27">
            <v>3000</v>
          </cell>
          <cell r="L27">
            <v>3</v>
          </cell>
          <cell r="M27" t="str">
            <v>E</v>
          </cell>
          <cell r="P27" t="str">
            <v>HAC260523020</v>
          </cell>
          <cell r="Q27" t="str">
            <v>OK</v>
          </cell>
          <cell r="R27" t="str">
            <v>ND/</v>
          </cell>
          <cell r="S27" t="str">
            <v/>
          </cell>
        </row>
        <row r="28">
          <cell r="E28" t="str">
            <v>NCCU1903574</v>
          </cell>
          <cell r="F28" t="str">
            <v>310310</v>
          </cell>
          <cell r="G28">
            <v>20</v>
          </cell>
          <cell r="H28" t="str">
            <v>TK</v>
          </cell>
          <cell r="I28" t="str">
            <v>20TK</v>
          </cell>
          <cell r="J28" t="str">
            <v>HPH</v>
          </cell>
          <cell r="K28">
            <v>3000</v>
          </cell>
          <cell r="L28">
            <v>3</v>
          </cell>
          <cell r="M28" t="str">
            <v>E</v>
          </cell>
          <cell r="P28" t="str">
            <v>HAC260523020</v>
          </cell>
          <cell r="Q28" t="str">
            <v>OK</v>
          </cell>
          <cell r="R28" t="str">
            <v>ND/</v>
          </cell>
          <cell r="S28" t="str">
            <v/>
          </cell>
        </row>
        <row r="29">
          <cell r="E29" t="str">
            <v>NCCU1904502</v>
          </cell>
          <cell r="F29" t="str">
            <v>290710</v>
          </cell>
          <cell r="G29">
            <v>20</v>
          </cell>
          <cell r="H29" t="str">
            <v>TK</v>
          </cell>
          <cell r="I29" t="str">
            <v>20TK</v>
          </cell>
          <cell r="J29" t="str">
            <v>HPH</v>
          </cell>
          <cell r="K29">
            <v>3000</v>
          </cell>
          <cell r="L29">
            <v>3</v>
          </cell>
          <cell r="M29" t="str">
            <v>E</v>
          </cell>
          <cell r="P29" t="str">
            <v>HAC260523020</v>
          </cell>
          <cell r="Q29" t="str">
            <v>OK</v>
          </cell>
          <cell r="R29" t="str">
            <v>ND/</v>
          </cell>
          <cell r="S29" t="str">
            <v/>
          </cell>
        </row>
        <row r="30">
          <cell r="E30" t="str">
            <v>SLZU2404552</v>
          </cell>
          <cell r="F30" t="str">
            <v>070982</v>
          </cell>
          <cell r="G30">
            <v>20</v>
          </cell>
          <cell r="H30" t="str">
            <v>TK</v>
          </cell>
          <cell r="I30" t="str">
            <v>20TK</v>
          </cell>
          <cell r="J30" t="str">
            <v>HPH</v>
          </cell>
          <cell r="K30">
            <v>3000</v>
          </cell>
          <cell r="L30">
            <v>3</v>
          </cell>
          <cell r="M30" t="str">
            <v>E</v>
          </cell>
          <cell r="P30" t="str">
            <v>HAC260523020</v>
          </cell>
          <cell r="Q30" t="str">
            <v>OK</v>
          </cell>
          <cell r="R30" t="str">
            <v>ND/</v>
          </cell>
          <cell r="S30" t="str">
            <v/>
          </cell>
        </row>
        <row r="31">
          <cell r="E31" t="str">
            <v>BEAU2178827</v>
          </cell>
          <cell r="F31" t="str">
            <v>310404</v>
          </cell>
          <cell r="G31">
            <v>20</v>
          </cell>
          <cell r="H31" t="str">
            <v>GP</v>
          </cell>
          <cell r="I31" t="str">
            <v>20GP</v>
          </cell>
          <cell r="J31" t="str">
            <v>HPH</v>
          </cell>
          <cell r="K31">
            <v>29580</v>
          </cell>
          <cell r="L31">
            <v>29.58</v>
          </cell>
          <cell r="M31" t="str">
            <v>F</v>
          </cell>
          <cell r="P31" t="str">
            <v>HAC260520116</v>
          </cell>
          <cell r="Q31" t="str">
            <v>OK</v>
          </cell>
          <cell r="R31" t="str">
            <v>ND/</v>
          </cell>
          <cell r="S31" t="str">
            <v>338099</v>
          </cell>
          <cell r="T31" t="str">
            <v>GAO</v>
          </cell>
        </row>
        <row r="32">
          <cell r="E32" t="str">
            <v>BMOU1213466</v>
          </cell>
          <cell r="F32" t="str">
            <v>230606</v>
          </cell>
          <cell r="G32">
            <v>20</v>
          </cell>
          <cell r="H32" t="str">
            <v>GP</v>
          </cell>
          <cell r="I32" t="str">
            <v>20GP</v>
          </cell>
          <cell r="J32" t="str">
            <v>QZJ</v>
          </cell>
          <cell r="K32">
            <v>27</v>
          </cell>
          <cell r="L32">
            <v>2.7E-2</v>
          </cell>
          <cell r="M32" t="str">
            <v>F</v>
          </cell>
          <cell r="P32" t="str">
            <v>HASGN26060001EX</v>
          </cell>
          <cell r="Q32" t="str">
            <v>OK</v>
          </cell>
          <cell r="S32" t="str">
            <v>1110081</v>
          </cell>
          <cell r="T32" t="str">
            <v>OP26052515</v>
          </cell>
        </row>
        <row r="33">
          <cell r="E33" t="str">
            <v>BMOU1217040</v>
          </cell>
          <cell r="F33" t="str">
            <v>110806</v>
          </cell>
          <cell r="G33">
            <v>20</v>
          </cell>
          <cell r="H33" t="str">
            <v>GP</v>
          </cell>
          <cell r="I33" t="str">
            <v>20GP</v>
          </cell>
          <cell r="J33" t="str">
            <v>HPH</v>
          </cell>
          <cell r="K33">
            <v>23030</v>
          </cell>
          <cell r="L33">
            <v>23.03</v>
          </cell>
          <cell r="M33" t="str">
            <v>F</v>
          </cell>
          <cell r="P33" t="str">
            <v>HAC260521157</v>
          </cell>
          <cell r="Q33" t="str">
            <v>OK</v>
          </cell>
          <cell r="R33" t="str">
            <v>ND/</v>
          </cell>
          <cell r="S33" t="str">
            <v>1112900</v>
          </cell>
          <cell r="T33" t="str">
            <v>PALET THUNG PHI</v>
          </cell>
        </row>
        <row r="34">
          <cell r="E34" t="str">
            <v>BMOU1220803</v>
          </cell>
          <cell r="F34" t="str">
            <v>070710</v>
          </cell>
          <cell r="G34">
            <v>20</v>
          </cell>
          <cell r="H34" t="str">
            <v>GP</v>
          </cell>
          <cell r="I34" t="str">
            <v>20GP</v>
          </cell>
          <cell r="J34" t="str">
            <v>HPH</v>
          </cell>
          <cell r="K34">
            <v>23060</v>
          </cell>
          <cell r="L34">
            <v>23.06</v>
          </cell>
          <cell r="M34" t="str">
            <v>F</v>
          </cell>
          <cell r="P34" t="str">
            <v>HAC260521020</v>
          </cell>
          <cell r="Q34" t="str">
            <v>OK</v>
          </cell>
          <cell r="R34" t="str">
            <v>ND/</v>
          </cell>
          <cell r="S34" t="str">
            <v>1104832</v>
          </cell>
          <cell r="T34" t="str">
            <v>ONG THEP RONG</v>
          </cell>
        </row>
        <row r="35">
          <cell r="E35" t="str">
            <v>CAAU2035561</v>
          </cell>
          <cell r="F35" t="str">
            <v>210710</v>
          </cell>
          <cell r="G35">
            <v>20</v>
          </cell>
          <cell r="H35" t="str">
            <v>GP</v>
          </cell>
          <cell r="I35" t="str">
            <v>20GP</v>
          </cell>
          <cell r="J35" t="str">
            <v>HPH</v>
          </cell>
          <cell r="K35">
            <v>10670</v>
          </cell>
          <cell r="L35">
            <v>10.67</v>
          </cell>
          <cell r="M35" t="str">
            <v>F</v>
          </cell>
          <cell r="P35" t="str">
            <v>HAC260521157</v>
          </cell>
          <cell r="Q35" t="str">
            <v>MM</v>
          </cell>
          <cell r="R35" t="str">
            <v>ND/</v>
          </cell>
          <cell r="S35" t="str">
            <v>23378560</v>
          </cell>
          <cell r="T35" t="str">
            <v>VAI SOI</v>
          </cell>
        </row>
        <row r="36">
          <cell r="E36" t="str">
            <v>CAAU2134498</v>
          </cell>
          <cell r="F36" t="str">
            <v>310708</v>
          </cell>
          <cell r="G36">
            <v>20</v>
          </cell>
          <cell r="H36" t="str">
            <v>GP</v>
          </cell>
          <cell r="I36" t="str">
            <v>20GP</v>
          </cell>
          <cell r="J36" t="str">
            <v>HPH</v>
          </cell>
          <cell r="K36">
            <v>13420</v>
          </cell>
          <cell r="L36">
            <v>13.42</v>
          </cell>
          <cell r="M36" t="str">
            <v>F</v>
          </cell>
          <cell r="P36" t="str">
            <v>HAC260521148</v>
          </cell>
          <cell r="Q36" t="str">
            <v>OK</v>
          </cell>
          <cell r="R36" t="str">
            <v>ND/</v>
          </cell>
          <cell r="S36" t="str">
            <v>638731</v>
          </cell>
          <cell r="T36" t="str">
            <v>PHU GIA TP</v>
          </cell>
        </row>
        <row r="37">
          <cell r="E37" t="str">
            <v>CAAU2134693</v>
          </cell>
          <cell r="F37" t="str">
            <v>070308</v>
          </cell>
          <cell r="G37">
            <v>20</v>
          </cell>
          <cell r="H37" t="str">
            <v>GP</v>
          </cell>
          <cell r="I37" t="str">
            <v>20GP</v>
          </cell>
          <cell r="J37" t="str">
            <v>HPH</v>
          </cell>
          <cell r="K37">
            <v>21480</v>
          </cell>
          <cell r="L37">
            <v>21.48</v>
          </cell>
          <cell r="M37" t="str">
            <v>F</v>
          </cell>
          <cell r="P37" t="str">
            <v>HAC251017100</v>
          </cell>
          <cell r="Q37" t="str">
            <v>OK</v>
          </cell>
          <cell r="R37" t="str">
            <v>ND/</v>
          </cell>
          <cell r="S37" t="str">
            <v>01043</v>
          </cell>
          <cell r="T37" t="str">
            <v>NGK</v>
          </cell>
        </row>
        <row r="38">
          <cell r="E38" t="str">
            <v>CAAU2134707</v>
          </cell>
          <cell r="F38" t="str">
            <v>050510</v>
          </cell>
          <cell r="G38">
            <v>20</v>
          </cell>
          <cell r="H38" t="str">
            <v>GP</v>
          </cell>
          <cell r="I38" t="str">
            <v>20GP</v>
          </cell>
          <cell r="J38" t="str">
            <v>HPH</v>
          </cell>
          <cell r="K38">
            <v>16820</v>
          </cell>
          <cell r="L38">
            <v>16.82</v>
          </cell>
          <cell r="M38" t="str">
            <v>F</v>
          </cell>
          <cell r="P38" t="str">
            <v>HAC260519075</v>
          </cell>
          <cell r="Q38" t="str">
            <v>OK</v>
          </cell>
          <cell r="R38" t="str">
            <v>ND/</v>
          </cell>
          <cell r="S38" t="str">
            <v>1086234</v>
          </cell>
          <cell r="T38" t="str">
            <v>NGUYEN LIEU</v>
          </cell>
        </row>
        <row r="39">
          <cell r="E39" t="str">
            <v>CAAU2137901</v>
          </cell>
          <cell r="F39" t="str">
            <v>290304</v>
          </cell>
          <cell r="G39">
            <v>20</v>
          </cell>
          <cell r="H39" t="str">
            <v>GP</v>
          </cell>
          <cell r="I39" t="str">
            <v>20GP</v>
          </cell>
          <cell r="J39" t="str">
            <v>HPH</v>
          </cell>
          <cell r="K39">
            <v>27090</v>
          </cell>
          <cell r="L39">
            <v>27.09</v>
          </cell>
          <cell r="M39" t="str">
            <v>F</v>
          </cell>
          <cell r="P39" t="str">
            <v>HAC260527048</v>
          </cell>
          <cell r="Q39" t="str">
            <v>OK</v>
          </cell>
          <cell r="R39" t="str">
            <v>ND/</v>
          </cell>
          <cell r="S39" t="str">
            <v>1105863</v>
          </cell>
          <cell r="T39" t="str">
            <v>DUONG</v>
          </cell>
        </row>
        <row r="40">
          <cell r="E40" t="str">
            <v>CAAU2138410</v>
          </cell>
          <cell r="F40" t="str">
            <v>210304</v>
          </cell>
          <cell r="G40">
            <v>20</v>
          </cell>
          <cell r="H40" t="str">
            <v>GP</v>
          </cell>
          <cell r="I40" t="str">
            <v>20GP</v>
          </cell>
          <cell r="J40" t="str">
            <v>QZJ</v>
          </cell>
          <cell r="K40">
            <v>27</v>
          </cell>
          <cell r="L40">
            <v>2.7E-2</v>
          </cell>
          <cell r="M40" t="str">
            <v>F</v>
          </cell>
          <cell r="P40" t="str">
            <v>HASGN26060001EX</v>
          </cell>
          <cell r="Q40" t="str">
            <v>OK</v>
          </cell>
          <cell r="S40" t="str">
            <v>1110082</v>
          </cell>
          <cell r="T40" t="str">
            <v>OP26052515</v>
          </cell>
        </row>
        <row r="41">
          <cell r="E41" t="str">
            <v>CAAU2138765</v>
          </cell>
          <cell r="F41" t="str">
            <v>310706</v>
          </cell>
          <cell r="G41">
            <v>20</v>
          </cell>
          <cell r="H41" t="str">
            <v>GP</v>
          </cell>
          <cell r="I41" t="str">
            <v>20GP</v>
          </cell>
          <cell r="J41" t="str">
            <v>HPH</v>
          </cell>
          <cell r="K41">
            <v>21660</v>
          </cell>
          <cell r="L41">
            <v>21.66</v>
          </cell>
          <cell r="M41" t="str">
            <v>F</v>
          </cell>
          <cell r="P41" t="str">
            <v>HAC260519058</v>
          </cell>
          <cell r="Q41" t="str">
            <v>OK</v>
          </cell>
          <cell r="R41" t="str">
            <v>ND/</v>
          </cell>
          <cell r="S41" t="str">
            <v>1119849</v>
          </cell>
          <cell r="T41" t="str">
            <v>CAM</v>
          </cell>
        </row>
        <row r="42">
          <cell r="E42" t="str">
            <v>CAAU2139442</v>
          </cell>
          <cell r="F42" t="str">
            <v>310508</v>
          </cell>
          <cell r="G42">
            <v>20</v>
          </cell>
          <cell r="H42" t="str">
            <v>GP</v>
          </cell>
          <cell r="I42" t="str">
            <v>20GP</v>
          </cell>
          <cell r="J42" t="str">
            <v>HPH</v>
          </cell>
          <cell r="K42">
            <v>13390</v>
          </cell>
          <cell r="L42">
            <v>13.39</v>
          </cell>
          <cell r="M42" t="str">
            <v>F</v>
          </cell>
          <cell r="P42" t="str">
            <v>HAC260519058</v>
          </cell>
          <cell r="Q42" t="str">
            <v>OK</v>
          </cell>
          <cell r="R42" t="str">
            <v>ND/</v>
          </cell>
          <cell r="S42" t="str">
            <v>23361440</v>
          </cell>
          <cell r="T42" t="str">
            <v>CAM</v>
          </cell>
        </row>
        <row r="43">
          <cell r="E43" t="str">
            <v>CAAU2139843</v>
          </cell>
          <cell r="F43" t="str">
            <v>290606</v>
          </cell>
          <cell r="G43">
            <v>20</v>
          </cell>
          <cell r="H43" t="str">
            <v>GP</v>
          </cell>
          <cell r="I43" t="str">
            <v>20GP</v>
          </cell>
          <cell r="J43" t="str">
            <v>HPH</v>
          </cell>
          <cell r="K43">
            <v>21590</v>
          </cell>
          <cell r="L43">
            <v>21.59</v>
          </cell>
          <cell r="M43" t="str">
            <v>F</v>
          </cell>
          <cell r="P43" t="str">
            <v>HAC260521085</v>
          </cell>
          <cell r="Q43" t="str">
            <v>OK</v>
          </cell>
          <cell r="R43" t="str">
            <v>ND/</v>
          </cell>
          <cell r="S43" t="str">
            <v>631560</v>
          </cell>
          <cell r="T43" t="str">
            <v>THUC PHAM</v>
          </cell>
        </row>
        <row r="44">
          <cell r="E44" t="str">
            <v>CAIU2692471</v>
          </cell>
          <cell r="F44" t="str">
            <v>090608</v>
          </cell>
          <cell r="G44">
            <v>20</v>
          </cell>
          <cell r="H44" t="str">
            <v>GP</v>
          </cell>
          <cell r="I44" t="str">
            <v>20GP</v>
          </cell>
          <cell r="J44" t="str">
            <v>HPH</v>
          </cell>
          <cell r="K44">
            <v>22250</v>
          </cell>
          <cell r="L44">
            <v>22.25</v>
          </cell>
          <cell r="M44" t="str">
            <v>F</v>
          </cell>
          <cell r="P44" t="str">
            <v>HAC260519106</v>
          </cell>
          <cell r="Q44" t="str">
            <v>OK</v>
          </cell>
          <cell r="R44" t="str">
            <v>ND/</v>
          </cell>
          <cell r="S44" t="str">
            <v>001800</v>
          </cell>
          <cell r="T44" t="str">
            <v>THUC AN</v>
          </cell>
        </row>
        <row r="45">
          <cell r="E45" t="str">
            <v>CAIU2759425</v>
          </cell>
          <cell r="F45" t="str">
            <v>030782</v>
          </cell>
          <cell r="G45">
            <v>20</v>
          </cell>
          <cell r="H45" t="str">
            <v>GP</v>
          </cell>
          <cell r="I45" t="str">
            <v>20GP</v>
          </cell>
          <cell r="J45" t="str">
            <v>HPH</v>
          </cell>
          <cell r="K45">
            <v>17530</v>
          </cell>
          <cell r="L45">
            <v>17.53</v>
          </cell>
          <cell r="M45" t="str">
            <v>F</v>
          </cell>
          <cell r="O45">
            <v>3</v>
          </cell>
          <cell r="P45" t="str">
            <v>HAC260519148</v>
          </cell>
          <cell r="Q45" t="str">
            <v>DG</v>
          </cell>
          <cell r="R45" t="str">
            <v>ND/</v>
          </cell>
          <cell r="S45" t="str">
            <v>656105</v>
          </cell>
          <cell r="T45" t="str">
            <v>ETHANOL</v>
          </cell>
        </row>
        <row r="46">
          <cell r="E46" t="str">
            <v>CAIU3348809</v>
          </cell>
          <cell r="F46" t="str">
            <v>070304</v>
          </cell>
          <cell r="G46">
            <v>20</v>
          </cell>
          <cell r="H46" t="str">
            <v>GP</v>
          </cell>
          <cell r="I46" t="str">
            <v>20GP</v>
          </cell>
          <cell r="J46" t="str">
            <v>HPH</v>
          </cell>
          <cell r="K46">
            <v>30380</v>
          </cell>
          <cell r="L46">
            <v>30.38</v>
          </cell>
          <cell r="M46" t="str">
            <v>F</v>
          </cell>
          <cell r="P46" t="str">
            <v>HAC260520116</v>
          </cell>
          <cell r="Q46" t="str">
            <v>MM</v>
          </cell>
          <cell r="R46" t="str">
            <v>ND/</v>
          </cell>
          <cell r="S46" t="str">
            <v>23367160</v>
          </cell>
          <cell r="T46" t="str">
            <v>GAO</v>
          </cell>
        </row>
        <row r="47">
          <cell r="E47" t="str">
            <v>CAIU3628733</v>
          </cell>
          <cell r="F47" t="str">
            <v>290506</v>
          </cell>
          <cell r="G47">
            <v>20</v>
          </cell>
          <cell r="H47" t="str">
            <v>GP</v>
          </cell>
          <cell r="I47" t="str">
            <v>20GP</v>
          </cell>
          <cell r="J47" t="str">
            <v>HPH</v>
          </cell>
          <cell r="K47">
            <v>29950</v>
          </cell>
          <cell r="L47">
            <v>29.95</v>
          </cell>
          <cell r="M47" t="str">
            <v>F</v>
          </cell>
          <cell r="P47" t="str">
            <v>HAC260523036</v>
          </cell>
          <cell r="Q47" t="str">
            <v>OK</v>
          </cell>
          <cell r="R47" t="str">
            <v>ND/</v>
          </cell>
          <cell r="S47" t="str">
            <v>2273138</v>
          </cell>
          <cell r="T47" t="str">
            <v>GAO</v>
          </cell>
        </row>
        <row r="48">
          <cell r="E48" t="str">
            <v>CAIU3668253</v>
          </cell>
          <cell r="F48" t="str">
            <v>290302</v>
          </cell>
          <cell r="G48">
            <v>20</v>
          </cell>
          <cell r="H48" t="str">
            <v>GP</v>
          </cell>
          <cell r="I48" t="str">
            <v>20GP</v>
          </cell>
          <cell r="J48" t="str">
            <v>HPH</v>
          </cell>
          <cell r="K48">
            <v>30520</v>
          </cell>
          <cell r="L48">
            <v>30.52</v>
          </cell>
          <cell r="M48" t="str">
            <v>F</v>
          </cell>
          <cell r="P48" t="str">
            <v>HAC260520116</v>
          </cell>
          <cell r="Q48" t="str">
            <v>OK</v>
          </cell>
          <cell r="R48" t="str">
            <v>ND/</v>
          </cell>
          <cell r="S48" t="str">
            <v>23140870</v>
          </cell>
          <cell r="T48" t="str">
            <v>GAO</v>
          </cell>
        </row>
        <row r="49">
          <cell r="E49" t="str">
            <v>CAIU6488980</v>
          </cell>
          <cell r="F49" t="str">
            <v>010108</v>
          </cell>
          <cell r="G49">
            <v>20</v>
          </cell>
          <cell r="H49" t="str">
            <v>GP</v>
          </cell>
          <cell r="I49" t="str">
            <v>20GP</v>
          </cell>
          <cell r="J49" t="str">
            <v>HPH</v>
          </cell>
          <cell r="K49">
            <v>29220</v>
          </cell>
          <cell r="L49">
            <v>29.22</v>
          </cell>
          <cell r="M49" t="str">
            <v>F</v>
          </cell>
          <cell r="P49" t="str">
            <v>HAC260519077</v>
          </cell>
          <cell r="Q49" t="str">
            <v>OK</v>
          </cell>
          <cell r="R49" t="str">
            <v>ND/</v>
          </cell>
          <cell r="S49" t="str">
            <v>031020</v>
          </cell>
          <cell r="T49" t="str">
            <v>TON CUON</v>
          </cell>
        </row>
        <row r="50">
          <cell r="E50" t="str">
            <v>CAIU6672241</v>
          </cell>
          <cell r="F50" t="str">
            <v>110608</v>
          </cell>
          <cell r="G50">
            <v>20</v>
          </cell>
          <cell r="H50" t="str">
            <v>GP</v>
          </cell>
          <cell r="I50" t="str">
            <v>20GP</v>
          </cell>
          <cell r="J50" t="str">
            <v>HPH</v>
          </cell>
          <cell r="K50">
            <v>22370</v>
          </cell>
          <cell r="L50">
            <v>22.37</v>
          </cell>
          <cell r="M50" t="str">
            <v>F</v>
          </cell>
          <cell r="P50" t="str">
            <v>HAC251017100</v>
          </cell>
          <cell r="Q50" t="str">
            <v>OK</v>
          </cell>
          <cell r="R50" t="str">
            <v>ND/</v>
          </cell>
          <cell r="S50" t="str">
            <v>1114834</v>
          </cell>
          <cell r="T50" t="str">
            <v>NGK</v>
          </cell>
        </row>
        <row r="51">
          <cell r="E51" t="str">
            <v>CAXU2724483</v>
          </cell>
          <cell r="F51" t="str">
            <v>110604</v>
          </cell>
          <cell r="G51">
            <v>20</v>
          </cell>
          <cell r="H51" t="str">
            <v>GP</v>
          </cell>
          <cell r="I51" t="str">
            <v>20GP</v>
          </cell>
          <cell r="J51" t="str">
            <v>HPH</v>
          </cell>
          <cell r="K51">
            <v>30300</v>
          </cell>
          <cell r="L51">
            <v>30.3</v>
          </cell>
          <cell r="M51" t="str">
            <v>F</v>
          </cell>
          <cell r="P51" t="str">
            <v>HAC260520116</v>
          </cell>
          <cell r="Q51" t="str">
            <v>OK</v>
          </cell>
          <cell r="R51" t="str">
            <v>ND/</v>
          </cell>
          <cell r="S51" t="str">
            <v>23367792</v>
          </cell>
          <cell r="T51" t="str">
            <v>TON CUON</v>
          </cell>
        </row>
        <row r="52">
          <cell r="E52" t="str">
            <v>DFSU1146924</v>
          </cell>
          <cell r="F52" t="str">
            <v>030210</v>
          </cell>
          <cell r="G52">
            <v>20</v>
          </cell>
          <cell r="H52" t="str">
            <v>GP</v>
          </cell>
          <cell r="I52" t="str">
            <v>20GP</v>
          </cell>
          <cell r="J52" t="str">
            <v>HPH</v>
          </cell>
          <cell r="K52">
            <v>23370</v>
          </cell>
          <cell r="L52">
            <v>23.37</v>
          </cell>
          <cell r="M52" t="str">
            <v>F</v>
          </cell>
          <cell r="P52" t="str">
            <v>HAC260519126</v>
          </cell>
          <cell r="Q52" t="str">
            <v>OK</v>
          </cell>
          <cell r="R52" t="str">
            <v>ND/</v>
          </cell>
          <cell r="S52" t="str">
            <v>23378626</v>
          </cell>
          <cell r="T52" t="str">
            <v>THUC PHAM</v>
          </cell>
        </row>
        <row r="53">
          <cell r="E53" t="str">
            <v>DFSU1742395</v>
          </cell>
          <cell r="F53" t="str">
            <v>310710</v>
          </cell>
          <cell r="G53">
            <v>20</v>
          </cell>
          <cell r="H53" t="str">
            <v>GP</v>
          </cell>
          <cell r="I53" t="str">
            <v>20GP</v>
          </cell>
          <cell r="J53" t="str">
            <v>HPH</v>
          </cell>
          <cell r="K53">
            <v>12400</v>
          </cell>
          <cell r="L53">
            <v>12.4</v>
          </cell>
          <cell r="M53" t="str">
            <v>F</v>
          </cell>
          <cell r="P53" t="str">
            <v>HAC260527042</v>
          </cell>
          <cell r="Q53" t="str">
            <v>OK</v>
          </cell>
          <cell r="R53" t="str">
            <v>ND/</v>
          </cell>
          <cell r="S53" t="str">
            <v>1106501</v>
          </cell>
          <cell r="T53" t="str">
            <v>NUOC NGOT</v>
          </cell>
        </row>
        <row r="54">
          <cell r="E54" t="str">
            <v>DFSU1826794</v>
          </cell>
          <cell r="F54" t="str">
            <v>290406</v>
          </cell>
          <cell r="G54">
            <v>20</v>
          </cell>
          <cell r="H54" t="str">
            <v>GP</v>
          </cell>
          <cell r="I54" t="str">
            <v>20GP</v>
          </cell>
          <cell r="J54" t="str">
            <v>HPH</v>
          </cell>
          <cell r="K54">
            <v>24180</v>
          </cell>
          <cell r="L54">
            <v>24.18</v>
          </cell>
          <cell r="M54" t="str">
            <v>F</v>
          </cell>
          <cell r="P54" t="str">
            <v>HAC260519148</v>
          </cell>
          <cell r="Q54" t="str">
            <v>OK</v>
          </cell>
          <cell r="R54" t="str">
            <v>ND/</v>
          </cell>
          <cell r="S54" t="str">
            <v>656182</v>
          </cell>
          <cell r="T54" t="str">
            <v>KEO DAN</v>
          </cell>
        </row>
        <row r="55">
          <cell r="E55" t="str">
            <v>DFSU1839180</v>
          </cell>
          <cell r="F55" t="str">
            <v>030106</v>
          </cell>
          <cell r="G55">
            <v>20</v>
          </cell>
          <cell r="H55" t="str">
            <v>GP</v>
          </cell>
          <cell r="I55" t="str">
            <v>20GP</v>
          </cell>
          <cell r="J55" t="str">
            <v>HPH</v>
          </cell>
          <cell r="K55">
            <v>31820</v>
          </cell>
          <cell r="L55">
            <v>31.82</v>
          </cell>
          <cell r="M55" t="str">
            <v>F</v>
          </cell>
          <cell r="P55" t="str">
            <v>HAC260520116</v>
          </cell>
          <cell r="Q55" t="str">
            <v>OK</v>
          </cell>
          <cell r="R55" t="str">
            <v>ND/</v>
          </cell>
          <cell r="S55" t="str">
            <v>23127720</v>
          </cell>
          <cell r="T55" t="str">
            <v>CAO LANH</v>
          </cell>
        </row>
        <row r="56">
          <cell r="E56" t="str">
            <v>DFSU1851734</v>
          </cell>
          <cell r="F56" t="str">
            <v>090504</v>
          </cell>
          <cell r="G56">
            <v>20</v>
          </cell>
          <cell r="H56" t="str">
            <v>GP</v>
          </cell>
          <cell r="I56" t="str">
            <v>20GP</v>
          </cell>
          <cell r="J56" t="str">
            <v>HPH</v>
          </cell>
          <cell r="K56">
            <v>28970</v>
          </cell>
          <cell r="L56">
            <v>28.97</v>
          </cell>
          <cell r="M56" t="str">
            <v>F</v>
          </cell>
          <cell r="P56" t="str">
            <v>HAC260521157</v>
          </cell>
          <cell r="Q56" t="str">
            <v>OK</v>
          </cell>
          <cell r="R56" t="str">
            <v>ND/</v>
          </cell>
          <cell r="S56" t="str">
            <v>23385222</v>
          </cell>
          <cell r="T56" t="str">
            <v>VLXD</v>
          </cell>
        </row>
        <row r="57">
          <cell r="E57" t="str">
            <v>DFSU1909923</v>
          </cell>
          <cell r="F57" t="str">
            <v>110506</v>
          </cell>
          <cell r="G57">
            <v>20</v>
          </cell>
          <cell r="H57" t="str">
            <v>GP</v>
          </cell>
          <cell r="I57" t="str">
            <v>20GP</v>
          </cell>
          <cell r="J57" t="str">
            <v>HPH</v>
          </cell>
          <cell r="K57">
            <v>22410</v>
          </cell>
          <cell r="L57">
            <v>22.41</v>
          </cell>
          <cell r="M57" t="str">
            <v>F</v>
          </cell>
          <cell r="P57" t="str">
            <v>HAC260521157</v>
          </cell>
          <cell r="Q57" t="str">
            <v>OK</v>
          </cell>
          <cell r="R57" t="str">
            <v>ND/</v>
          </cell>
          <cell r="S57" t="str">
            <v>1112513</v>
          </cell>
          <cell r="T57" t="str">
            <v>PALET THUNG PHI</v>
          </cell>
        </row>
        <row r="58">
          <cell r="E58" t="str">
            <v>DFSU1933787</v>
          </cell>
          <cell r="F58" t="str">
            <v>070408</v>
          </cell>
          <cell r="G58">
            <v>20</v>
          </cell>
          <cell r="H58" t="str">
            <v>GP</v>
          </cell>
          <cell r="I58" t="str">
            <v>20GP</v>
          </cell>
          <cell r="J58" t="str">
            <v>HPH</v>
          </cell>
          <cell r="K58">
            <v>27920</v>
          </cell>
          <cell r="L58">
            <v>27.92</v>
          </cell>
          <cell r="M58" t="str">
            <v>F</v>
          </cell>
          <cell r="P58" t="str">
            <v>HAC260522127</v>
          </cell>
          <cell r="Q58" t="str">
            <v>OK</v>
          </cell>
          <cell r="R58" t="str">
            <v>ND/</v>
          </cell>
          <cell r="S58" t="str">
            <v>23379523</v>
          </cell>
          <cell r="T58" t="str">
            <v>GAO</v>
          </cell>
        </row>
        <row r="59">
          <cell r="E59" t="str">
            <v>DFSU1982544</v>
          </cell>
          <cell r="F59" t="str">
            <v>310608</v>
          </cell>
          <cell r="G59">
            <v>20</v>
          </cell>
          <cell r="H59" t="str">
            <v>GP</v>
          </cell>
          <cell r="I59" t="str">
            <v>20GP</v>
          </cell>
          <cell r="J59" t="str">
            <v>HPH</v>
          </cell>
          <cell r="K59">
            <v>23040</v>
          </cell>
          <cell r="L59">
            <v>23.04</v>
          </cell>
          <cell r="M59" t="str">
            <v>F</v>
          </cell>
          <cell r="P59" t="str">
            <v>HAC260523035</v>
          </cell>
          <cell r="Q59" t="str">
            <v>OK</v>
          </cell>
          <cell r="R59" t="str">
            <v>ND/</v>
          </cell>
          <cell r="S59" t="str">
            <v>1117404</v>
          </cell>
          <cell r="T59" t="str">
            <v>PHAN BON</v>
          </cell>
        </row>
        <row r="60">
          <cell r="E60" t="str">
            <v>DFSU3013710</v>
          </cell>
          <cell r="F60" t="str">
            <v>050308</v>
          </cell>
          <cell r="G60">
            <v>20</v>
          </cell>
          <cell r="H60" t="str">
            <v>GP</v>
          </cell>
          <cell r="I60" t="str">
            <v>20GP</v>
          </cell>
          <cell r="J60" t="str">
            <v>HPH</v>
          </cell>
          <cell r="K60">
            <v>23040</v>
          </cell>
          <cell r="L60">
            <v>23.04</v>
          </cell>
          <cell r="M60" t="str">
            <v>F</v>
          </cell>
          <cell r="P60" t="str">
            <v>HAC260521157</v>
          </cell>
          <cell r="Q60" t="str">
            <v>OK</v>
          </cell>
          <cell r="R60" t="str">
            <v>ND/</v>
          </cell>
          <cell r="S60" t="str">
            <v>1116169</v>
          </cell>
          <cell r="T60" t="str">
            <v>PALET THUNG PHI</v>
          </cell>
        </row>
        <row r="61">
          <cell r="E61" t="str">
            <v>DFSU3054581</v>
          </cell>
          <cell r="F61" t="str">
            <v>310806</v>
          </cell>
          <cell r="G61">
            <v>20</v>
          </cell>
          <cell r="H61" t="str">
            <v>GP</v>
          </cell>
          <cell r="I61" t="str">
            <v>20GP</v>
          </cell>
          <cell r="J61" t="str">
            <v>HPH</v>
          </cell>
          <cell r="K61">
            <v>28320</v>
          </cell>
          <cell r="L61">
            <v>28.32</v>
          </cell>
          <cell r="M61" t="str">
            <v>F</v>
          </cell>
          <cell r="P61" t="str">
            <v>HAC260519084</v>
          </cell>
          <cell r="Q61" t="str">
            <v>OK</v>
          </cell>
          <cell r="R61" t="str">
            <v>ND/</v>
          </cell>
          <cell r="S61" t="str">
            <v>329052</v>
          </cell>
          <cell r="T61" t="str">
            <v>GAO</v>
          </cell>
        </row>
        <row r="62">
          <cell r="E62" t="str">
            <v>DFSU3062503</v>
          </cell>
          <cell r="F62" t="str">
            <v>290402</v>
          </cell>
          <cell r="G62">
            <v>20</v>
          </cell>
          <cell r="H62" t="str">
            <v>GP</v>
          </cell>
          <cell r="I62" t="str">
            <v>20GP</v>
          </cell>
          <cell r="J62" t="str">
            <v>HPH</v>
          </cell>
          <cell r="K62">
            <v>30360</v>
          </cell>
          <cell r="L62">
            <v>30.36</v>
          </cell>
          <cell r="M62" t="str">
            <v>F</v>
          </cell>
          <cell r="P62" t="str">
            <v>HAC260520116</v>
          </cell>
          <cell r="Q62" t="str">
            <v>OK</v>
          </cell>
          <cell r="R62" t="str">
            <v>ND/</v>
          </cell>
          <cell r="S62" t="str">
            <v>23367150</v>
          </cell>
          <cell r="T62" t="str">
            <v>GACH</v>
          </cell>
        </row>
        <row r="63">
          <cell r="E63" t="str">
            <v>FCIU4229356</v>
          </cell>
          <cell r="F63" t="str">
            <v>070306</v>
          </cell>
          <cell r="G63">
            <v>20</v>
          </cell>
          <cell r="H63" t="str">
            <v>GP</v>
          </cell>
          <cell r="I63" t="str">
            <v>20GP</v>
          </cell>
          <cell r="J63" t="str">
            <v>HPH</v>
          </cell>
          <cell r="K63">
            <v>30360</v>
          </cell>
          <cell r="L63">
            <v>30.36</v>
          </cell>
          <cell r="M63" t="str">
            <v>F</v>
          </cell>
          <cell r="P63" t="str">
            <v>HAC260522127</v>
          </cell>
          <cell r="Q63" t="str">
            <v>OK</v>
          </cell>
          <cell r="R63" t="str">
            <v>ND/</v>
          </cell>
          <cell r="S63" t="str">
            <v>23378656</v>
          </cell>
          <cell r="T63" t="str">
            <v>GAO</v>
          </cell>
        </row>
        <row r="64">
          <cell r="E64" t="str">
            <v>FCIU5334696</v>
          </cell>
          <cell r="F64" t="str">
            <v>090606</v>
          </cell>
          <cell r="G64">
            <v>20</v>
          </cell>
          <cell r="H64" t="str">
            <v>GP</v>
          </cell>
          <cell r="I64" t="str">
            <v>20GP</v>
          </cell>
          <cell r="J64" t="str">
            <v>HPH</v>
          </cell>
          <cell r="K64">
            <v>22080</v>
          </cell>
          <cell r="L64">
            <v>22.08</v>
          </cell>
          <cell r="M64" t="str">
            <v>F</v>
          </cell>
          <cell r="P64" t="str">
            <v>HAC260521157</v>
          </cell>
          <cell r="Q64" t="str">
            <v>OK</v>
          </cell>
          <cell r="R64" t="str">
            <v>ND/</v>
          </cell>
          <cell r="S64" t="str">
            <v>1112421</v>
          </cell>
          <cell r="T64" t="str">
            <v>PALET THUNG PHI</v>
          </cell>
        </row>
        <row r="65">
          <cell r="E65" t="str">
            <v>FCIU5643714</v>
          </cell>
          <cell r="F65" t="str">
            <v>070506</v>
          </cell>
          <cell r="G65">
            <v>20</v>
          </cell>
          <cell r="H65" t="str">
            <v>GP</v>
          </cell>
          <cell r="I65" t="str">
            <v>20GP</v>
          </cell>
          <cell r="J65" t="str">
            <v>HPH</v>
          </cell>
          <cell r="K65">
            <v>30810</v>
          </cell>
          <cell r="L65">
            <v>30.81</v>
          </cell>
          <cell r="M65" t="str">
            <v>F</v>
          </cell>
          <cell r="P65" t="str">
            <v>HAC260519084</v>
          </cell>
          <cell r="Q65" t="str">
            <v>OK</v>
          </cell>
          <cell r="R65" t="str">
            <v>ND/</v>
          </cell>
          <cell r="S65" t="str">
            <v>1109038</v>
          </cell>
          <cell r="T65" t="str">
            <v>GAO</v>
          </cell>
        </row>
        <row r="66">
          <cell r="E66" t="str">
            <v>FCIU6219090</v>
          </cell>
          <cell r="F66" t="str">
            <v>290306</v>
          </cell>
          <cell r="G66">
            <v>20</v>
          </cell>
          <cell r="H66" t="str">
            <v>GP</v>
          </cell>
          <cell r="I66" t="str">
            <v>20GP</v>
          </cell>
          <cell r="J66" t="str">
            <v>HPH</v>
          </cell>
          <cell r="K66">
            <v>22080</v>
          </cell>
          <cell r="L66">
            <v>22.08</v>
          </cell>
          <cell r="M66" t="str">
            <v>F</v>
          </cell>
          <cell r="P66" t="str">
            <v>HAC260523010</v>
          </cell>
          <cell r="Q66" t="str">
            <v>OK</v>
          </cell>
          <cell r="R66" t="str">
            <v>ND/</v>
          </cell>
          <cell r="S66" t="str">
            <v>631178</v>
          </cell>
          <cell r="T66" t="str">
            <v>SON</v>
          </cell>
        </row>
        <row r="67">
          <cell r="E67" t="str">
            <v>HACU2161462</v>
          </cell>
          <cell r="F67" t="str">
            <v>090508</v>
          </cell>
          <cell r="G67">
            <v>20</v>
          </cell>
          <cell r="H67" t="str">
            <v>GP</v>
          </cell>
          <cell r="I67" t="str">
            <v>20GP</v>
          </cell>
          <cell r="J67" t="str">
            <v>HPH</v>
          </cell>
          <cell r="K67">
            <v>14160</v>
          </cell>
          <cell r="L67">
            <v>14.16</v>
          </cell>
          <cell r="M67" t="str">
            <v>F</v>
          </cell>
          <cell r="P67" t="str">
            <v>HAC260519075</v>
          </cell>
          <cell r="Q67" t="str">
            <v>OK</v>
          </cell>
          <cell r="R67" t="str">
            <v>ND/</v>
          </cell>
          <cell r="S67" t="str">
            <v>200409</v>
          </cell>
          <cell r="T67" t="str">
            <v>NGUYEN LIEU</v>
          </cell>
        </row>
        <row r="68">
          <cell r="E68" t="str">
            <v>HACU2161478</v>
          </cell>
          <cell r="F68" t="str">
            <v>110504</v>
          </cell>
          <cell r="G68">
            <v>20</v>
          </cell>
          <cell r="H68" t="str">
            <v>GP</v>
          </cell>
          <cell r="I68" t="str">
            <v>20GP</v>
          </cell>
          <cell r="J68" t="str">
            <v>HPH</v>
          </cell>
          <cell r="K68">
            <v>29770</v>
          </cell>
          <cell r="L68">
            <v>29.77</v>
          </cell>
          <cell r="M68" t="str">
            <v>F</v>
          </cell>
          <cell r="P68" t="str">
            <v>HAC260520116</v>
          </cell>
          <cell r="Q68" t="str">
            <v>OK</v>
          </cell>
          <cell r="R68" t="str">
            <v>ND/</v>
          </cell>
          <cell r="S68" t="str">
            <v>340188</v>
          </cell>
          <cell r="T68" t="str">
            <v>GACH</v>
          </cell>
        </row>
        <row r="69">
          <cell r="E69" t="str">
            <v>HACU2161971</v>
          </cell>
          <cell r="F69" t="str">
            <v>310204</v>
          </cell>
          <cell r="G69">
            <v>20</v>
          </cell>
          <cell r="H69" t="str">
            <v>GP</v>
          </cell>
          <cell r="I69" t="str">
            <v>20GP</v>
          </cell>
          <cell r="J69" t="str">
            <v>HPH</v>
          </cell>
          <cell r="K69">
            <v>29000</v>
          </cell>
          <cell r="L69">
            <v>29</v>
          </cell>
          <cell r="M69" t="str">
            <v>F</v>
          </cell>
          <cell r="P69" t="str">
            <v>HAC260520116</v>
          </cell>
          <cell r="Q69" t="str">
            <v>OK</v>
          </cell>
          <cell r="R69" t="str">
            <v>ND/</v>
          </cell>
          <cell r="S69" t="str">
            <v>23115307</v>
          </cell>
          <cell r="T69" t="str">
            <v>GACH</v>
          </cell>
        </row>
        <row r="70">
          <cell r="E70" t="str">
            <v>HACU2210675</v>
          </cell>
          <cell r="F70" t="str">
            <v>070310</v>
          </cell>
          <cell r="G70">
            <v>20</v>
          </cell>
          <cell r="H70" t="str">
            <v>GP</v>
          </cell>
          <cell r="I70" t="str">
            <v>20GP</v>
          </cell>
          <cell r="J70" t="str">
            <v>HPH</v>
          </cell>
          <cell r="K70">
            <v>14630</v>
          </cell>
          <cell r="L70">
            <v>14.63</v>
          </cell>
          <cell r="M70" t="str">
            <v>F</v>
          </cell>
          <cell r="P70" t="str">
            <v>HAC260519126</v>
          </cell>
          <cell r="Q70" t="str">
            <v>OK</v>
          </cell>
          <cell r="R70" t="str">
            <v>ND/</v>
          </cell>
          <cell r="S70" t="str">
            <v>1104837</v>
          </cell>
          <cell r="T70" t="str">
            <v>SON</v>
          </cell>
        </row>
        <row r="71">
          <cell r="E71" t="str">
            <v>HACU2211250</v>
          </cell>
          <cell r="F71" t="str">
            <v>310308</v>
          </cell>
          <cell r="G71">
            <v>20</v>
          </cell>
          <cell r="H71" t="str">
            <v>GP</v>
          </cell>
          <cell r="I71" t="str">
            <v>20GP</v>
          </cell>
          <cell r="J71" t="str">
            <v>HPH</v>
          </cell>
          <cell r="K71">
            <v>23300</v>
          </cell>
          <cell r="L71">
            <v>23.3</v>
          </cell>
          <cell r="M71" t="str">
            <v>F</v>
          </cell>
          <cell r="P71" t="str">
            <v>HAC260525068</v>
          </cell>
          <cell r="Q71" t="str">
            <v>MM</v>
          </cell>
          <cell r="R71" t="str">
            <v>ND/</v>
          </cell>
          <cell r="S71" t="str">
            <v>991576</v>
          </cell>
          <cell r="T71" t="str">
            <v>PHU GIA XAY DUNG</v>
          </cell>
        </row>
        <row r="72">
          <cell r="E72" t="str">
            <v>HACU2211970</v>
          </cell>
          <cell r="F72" t="str">
            <v>310808</v>
          </cell>
          <cell r="G72">
            <v>20</v>
          </cell>
          <cell r="H72" t="str">
            <v>GP</v>
          </cell>
          <cell r="I72" t="str">
            <v>20GP</v>
          </cell>
          <cell r="J72" t="str">
            <v>HPH</v>
          </cell>
          <cell r="K72">
            <v>21640</v>
          </cell>
          <cell r="L72">
            <v>21.64</v>
          </cell>
          <cell r="M72" t="str">
            <v>F</v>
          </cell>
          <cell r="P72" t="str">
            <v>HAC251017100</v>
          </cell>
          <cell r="Q72" t="str">
            <v>OK</v>
          </cell>
          <cell r="R72" t="str">
            <v>ND/</v>
          </cell>
          <cell r="S72" t="str">
            <v>01018</v>
          </cell>
          <cell r="T72" t="str">
            <v>NGK</v>
          </cell>
        </row>
        <row r="73">
          <cell r="E73" t="str">
            <v>HACU2212169</v>
          </cell>
          <cell r="F73" t="str">
            <v>210306</v>
          </cell>
          <cell r="G73">
            <v>20</v>
          </cell>
          <cell r="H73" t="str">
            <v>GP</v>
          </cell>
          <cell r="I73" t="str">
            <v>20GP</v>
          </cell>
          <cell r="J73" t="str">
            <v>QZJ</v>
          </cell>
          <cell r="K73">
            <v>27</v>
          </cell>
          <cell r="L73">
            <v>2.7E-2</v>
          </cell>
          <cell r="M73" t="str">
            <v>F</v>
          </cell>
          <cell r="P73" t="str">
            <v>HASGN26060001EX</v>
          </cell>
          <cell r="Q73" t="str">
            <v>OK</v>
          </cell>
          <cell r="S73" t="str">
            <v>1110099</v>
          </cell>
          <cell r="T73" t="str">
            <v>OP26052515</v>
          </cell>
        </row>
        <row r="74">
          <cell r="E74" t="str">
            <v>HACU2212723</v>
          </cell>
          <cell r="F74" t="str">
            <v>230604</v>
          </cell>
          <cell r="G74">
            <v>20</v>
          </cell>
          <cell r="H74" t="str">
            <v>GP</v>
          </cell>
          <cell r="I74" t="str">
            <v>20GP</v>
          </cell>
          <cell r="J74" t="str">
            <v>QZJ</v>
          </cell>
          <cell r="K74">
            <v>27</v>
          </cell>
          <cell r="L74">
            <v>2.7E-2</v>
          </cell>
          <cell r="M74" t="str">
            <v>F</v>
          </cell>
          <cell r="P74" t="str">
            <v>HASGN26060001EX</v>
          </cell>
          <cell r="Q74" t="str">
            <v>OK</v>
          </cell>
          <cell r="S74" t="str">
            <v>1110064</v>
          </cell>
          <cell r="T74" t="str">
            <v>OP26052515</v>
          </cell>
        </row>
        <row r="75">
          <cell r="E75" t="str">
            <v>HACU2212810</v>
          </cell>
          <cell r="F75" t="str">
            <v>050508</v>
          </cell>
          <cell r="G75">
            <v>20</v>
          </cell>
          <cell r="H75" t="str">
            <v>GP</v>
          </cell>
          <cell r="I75" t="str">
            <v>20GP</v>
          </cell>
          <cell r="J75" t="str">
            <v>HPH</v>
          </cell>
          <cell r="K75">
            <v>22050</v>
          </cell>
          <cell r="L75">
            <v>22.05</v>
          </cell>
          <cell r="M75" t="str">
            <v>F</v>
          </cell>
          <cell r="P75" t="str">
            <v>HAC260520116</v>
          </cell>
          <cell r="Q75" t="str">
            <v>OK</v>
          </cell>
          <cell r="R75" t="str">
            <v>ND/</v>
          </cell>
          <cell r="S75" t="str">
            <v>23146730</v>
          </cell>
          <cell r="T75" t="str">
            <v>CAM</v>
          </cell>
        </row>
        <row r="76">
          <cell r="E76" t="str">
            <v>HACU2213545</v>
          </cell>
          <cell r="F76" t="str">
            <v>210606</v>
          </cell>
          <cell r="G76">
            <v>20</v>
          </cell>
          <cell r="H76" t="str">
            <v>GP</v>
          </cell>
          <cell r="I76" t="str">
            <v>20GP</v>
          </cell>
          <cell r="J76" t="str">
            <v>QZJ</v>
          </cell>
          <cell r="K76">
            <v>27</v>
          </cell>
          <cell r="L76">
            <v>2.7E-2</v>
          </cell>
          <cell r="M76" t="str">
            <v>F</v>
          </cell>
          <cell r="P76" t="str">
            <v>HASGN26060001EX</v>
          </cell>
          <cell r="Q76" t="str">
            <v>OK</v>
          </cell>
          <cell r="S76" t="str">
            <v>1110098</v>
          </cell>
          <cell r="T76" t="str">
            <v>OP26052515</v>
          </cell>
        </row>
        <row r="77">
          <cell r="E77" t="str">
            <v>HACU2213761</v>
          </cell>
          <cell r="F77" t="str">
            <v>290308</v>
          </cell>
          <cell r="G77">
            <v>20</v>
          </cell>
          <cell r="H77" t="str">
            <v>GP</v>
          </cell>
          <cell r="I77" t="str">
            <v>20GP</v>
          </cell>
          <cell r="J77" t="str">
            <v>HPH</v>
          </cell>
          <cell r="K77">
            <v>18580</v>
          </cell>
          <cell r="L77">
            <v>18.579999999999998</v>
          </cell>
          <cell r="M77" t="str">
            <v>F</v>
          </cell>
          <cell r="P77" t="str">
            <v>HAC260521058</v>
          </cell>
          <cell r="Q77" t="str">
            <v>OK</v>
          </cell>
          <cell r="R77" t="str">
            <v>ND/</v>
          </cell>
          <cell r="S77" t="str">
            <v>340638</v>
          </cell>
          <cell r="T77" t="str">
            <v>NHUA</v>
          </cell>
        </row>
        <row r="78">
          <cell r="E78" t="str">
            <v>HACU2214428</v>
          </cell>
          <cell r="F78" t="str">
            <v>210804</v>
          </cell>
          <cell r="G78">
            <v>20</v>
          </cell>
          <cell r="H78" t="str">
            <v>GP</v>
          </cell>
          <cell r="I78" t="str">
            <v>20GP</v>
          </cell>
          <cell r="J78" t="str">
            <v>QZJ</v>
          </cell>
          <cell r="K78">
            <v>27</v>
          </cell>
          <cell r="L78">
            <v>2.7E-2</v>
          </cell>
          <cell r="M78" t="str">
            <v>F</v>
          </cell>
          <cell r="P78" t="str">
            <v>HASGN26060001EX</v>
          </cell>
          <cell r="Q78" t="str">
            <v>OK</v>
          </cell>
          <cell r="S78" t="str">
            <v>1110097</v>
          </cell>
          <cell r="T78" t="str">
            <v>OP26052515</v>
          </cell>
        </row>
        <row r="79">
          <cell r="E79" t="str">
            <v>HACU2215466</v>
          </cell>
          <cell r="F79" t="str">
            <v>230804</v>
          </cell>
          <cell r="G79">
            <v>20</v>
          </cell>
          <cell r="H79" t="str">
            <v>GP</v>
          </cell>
          <cell r="I79" t="str">
            <v>20GP</v>
          </cell>
          <cell r="J79" t="str">
            <v>QZJ</v>
          </cell>
          <cell r="K79">
            <v>27</v>
          </cell>
          <cell r="L79">
            <v>2.7E-2</v>
          </cell>
          <cell r="M79" t="str">
            <v>F</v>
          </cell>
          <cell r="P79" t="str">
            <v>HASGN26060001EX</v>
          </cell>
          <cell r="Q79" t="str">
            <v>OK</v>
          </cell>
          <cell r="S79" t="str">
            <v>1110063</v>
          </cell>
          <cell r="T79" t="str">
            <v>OP26052515</v>
          </cell>
        </row>
        <row r="80">
          <cell r="E80" t="str">
            <v>HACU2215527</v>
          </cell>
          <cell r="F80" t="str">
            <v>090510</v>
          </cell>
          <cell r="G80">
            <v>20</v>
          </cell>
          <cell r="H80" t="str">
            <v>GP</v>
          </cell>
          <cell r="I80" t="str">
            <v>20GP</v>
          </cell>
          <cell r="J80" t="str">
            <v>HPH</v>
          </cell>
          <cell r="K80">
            <v>13680</v>
          </cell>
          <cell r="L80">
            <v>13.68</v>
          </cell>
          <cell r="M80" t="str">
            <v>F</v>
          </cell>
          <cell r="P80" t="str">
            <v>HAC260519075</v>
          </cell>
          <cell r="Q80" t="str">
            <v>OK</v>
          </cell>
          <cell r="R80" t="str">
            <v>ND/</v>
          </cell>
          <cell r="S80" t="str">
            <v>200292</v>
          </cell>
          <cell r="T80" t="str">
            <v>NGUYEN LIEU</v>
          </cell>
        </row>
        <row r="81">
          <cell r="E81" t="str">
            <v>HACU2215532</v>
          </cell>
          <cell r="F81" t="str">
            <v>210602</v>
          </cell>
          <cell r="G81">
            <v>20</v>
          </cell>
          <cell r="H81" t="str">
            <v>GP</v>
          </cell>
          <cell r="I81" t="str">
            <v>20GP</v>
          </cell>
          <cell r="J81" t="str">
            <v>QZJ</v>
          </cell>
          <cell r="K81">
            <v>27</v>
          </cell>
          <cell r="L81">
            <v>2.7E-2</v>
          </cell>
          <cell r="M81" t="str">
            <v>F</v>
          </cell>
          <cell r="P81" t="str">
            <v>HASGN26060001EX</v>
          </cell>
          <cell r="Q81" t="str">
            <v>OK</v>
          </cell>
          <cell r="S81" t="str">
            <v>1110068</v>
          </cell>
          <cell r="T81" t="str">
            <v>OP26052515</v>
          </cell>
        </row>
        <row r="82">
          <cell r="E82" t="str">
            <v>HACU2215580</v>
          </cell>
          <cell r="F82" t="str">
            <v>210706</v>
          </cell>
          <cell r="G82">
            <v>20</v>
          </cell>
          <cell r="H82" t="str">
            <v>GP</v>
          </cell>
          <cell r="I82" t="str">
            <v>20GP</v>
          </cell>
          <cell r="J82" t="str">
            <v>HPH</v>
          </cell>
          <cell r="K82">
            <v>22690</v>
          </cell>
          <cell r="L82">
            <v>22.69</v>
          </cell>
          <cell r="M82" t="str">
            <v>F</v>
          </cell>
          <cell r="P82" t="str">
            <v>HAC260519058</v>
          </cell>
          <cell r="Q82" t="str">
            <v>OK</v>
          </cell>
          <cell r="R82" t="str">
            <v>ND/</v>
          </cell>
          <cell r="S82" t="str">
            <v>1119841</v>
          </cell>
          <cell r="T82" t="str">
            <v>NGUYEN LIEU</v>
          </cell>
        </row>
        <row r="83">
          <cell r="E83" t="str">
            <v>HACU2220626</v>
          </cell>
          <cell r="F83" t="str">
            <v>230504</v>
          </cell>
          <cell r="G83">
            <v>20</v>
          </cell>
          <cell r="H83" t="str">
            <v>GP</v>
          </cell>
          <cell r="I83" t="str">
            <v>20GP</v>
          </cell>
          <cell r="J83" t="str">
            <v>QZJ</v>
          </cell>
          <cell r="K83">
            <v>27</v>
          </cell>
          <cell r="L83">
            <v>2.7E-2</v>
          </cell>
          <cell r="M83" t="str">
            <v>F</v>
          </cell>
          <cell r="P83" t="str">
            <v>HASGN26060001EX</v>
          </cell>
          <cell r="Q83" t="str">
            <v>OK</v>
          </cell>
          <cell r="S83" t="str">
            <v>1110084</v>
          </cell>
          <cell r="T83" t="str">
            <v>OP26052515</v>
          </cell>
        </row>
        <row r="84">
          <cell r="E84" t="str">
            <v>HACU2221089</v>
          </cell>
          <cell r="F84" t="str">
            <v>290604</v>
          </cell>
          <cell r="G84">
            <v>20</v>
          </cell>
          <cell r="H84" t="str">
            <v>GP</v>
          </cell>
          <cell r="I84" t="str">
            <v>20GP</v>
          </cell>
          <cell r="J84" t="str">
            <v>HPH</v>
          </cell>
          <cell r="K84">
            <v>29850</v>
          </cell>
          <cell r="L84">
            <v>29.85</v>
          </cell>
          <cell r="M84" t="str">
            <v>F</v>
          </cell>
          <cell r="P84" t="str">
            <v>HAC260526167</v>
          </cell>
          <cell r="Q84" t="str">
            <v>OK</v>
          </cell>
          <cell r="R84" t="str">
            <v>ND/</v>
          </cell>
          <cell r="S84" t="str">
            <v>00141</v>
          </cell>
          <cell r="T84" t="str">
            <v>GAO</v>
          </cell>
        </row>
        <row r="85">
          <cell r="E85" t="str">
            <v>HACU2221725</v>
          </cell>
          <cell r="F85" t="str">
            <v>230304</v>
          </cell>
          <cell r="G85">
            <v>20</v>
          </cell>
          <cell r="H85" t="str">
            <v>GP</v>
          </cell>
          <cell r="I85" t="str">
            <v>20GP</v>
          </cell>
          <cell r="J85" t="str">
            <v>QZJ</v>
          </cell>
          <cell r="K85">
            <v>27</v>
          </cell>
          <cell r="L85">
            <v>2.7E-2</v>
          </cell>
          <cell r="M85" t="str">
            <v>F</v>
          </cell>
          <cell r="P85" t="str">
            <v>HASGN26060001EX</v>
          </cell>
          <cell r="Q85" t="str">
            <v>OK</v>
          </cell>
          <cell r="S85" t="str">
            <v>1110090</v>
          </cell>
          <cell r="T85" t="str">
            <v>OP26052515</v>
          </cell>
        </row>
        <row r="86">
          <cell r="E86" t="str">
            <v>HACU2240176</v>
          </cell>
          <cell r="F86" t="str">
            <v>210808</v>
          </cell>
          <cell r="G86">
            <v>20</v>
          </cell>
          <cell r="H86" t="str">
            <v>GP</v>
          </cell>
          <cell r="I86" t="str">
            <v>20GP</v>
          </cell>
          <cell r="J86" t="str">
            <v>HPH</v>
          </cell>
          <cell r="K86">
            <v>23740</v>
          </cell>
          <cell r="L86">
            <v>23.74</v>
          </cell>
          <cell r="M86" t="str">
            <v>F</v>
          </cell>
          <cell r="P86" t="str">
            <v>HAC260521047</v>
          </cell>
          <cell r="Q86" t="str">
            <v>OK</v>
          </cell>
          <cell r="R86" t="str">
            <v>ND/</v>
          </cell>
          <cell r="S86" t="str">
            <v>657246</v>
          </cell>
          <cell r="T86" t="str">
            <v>THUC PHAM</v>
          </cell>
        </row>
        <row r="87">
          <cell r="E87" t="str">
            <v>HACU2241228</v>
          </cell>
          <cell r="F87" t="str">
            <v>230308</v>
          </cell>
          <cell r="G87">
            <v>20</v>
          </cell>
          <cell r="H87" t="str">
            <v>GP</v>
          </cell>
          <cell r="I87" t="str">
            <v>20GP</v>
          </cell>
          <cell r="J87" t="str">
            <v>QZJ</v>
          </cell>
          <cell r="K87">
            <v>27</v>
          </cell>
          <cell r="L87">
            <v>2.7E-2</v>
          </cell>
          <cell r="M87" t="str">
            <v>F</v>
          </cell>
          <cell r="P87" t="str">
            <v>HASGN26060001EX</v>
          </cell>
          <cell r="Q87" t="str">
            <v>OK</v>
          </cell>
          <cell r="S87" t="str">
            <v>1110088</v>
          </cell>
          <cell r="T87" t="str">
            <v>OP26052515</v>
          </cell>
        </row>
        <row r="88">
          <cell r="E88" t="str">
            <v>HACU2241402</v>
          </cell>
          <cell r="F88" t="str">
            <v>210604</v>
          </cell>
          <cell r="G88">
            <v>20</v>
          </cell>
          <cell r="H88" t="str">
            <v>GP</v>
          </cell>
          <cell r="I88" t="str">
            <v>20GP</v>
          </cell>
          <cell r="J88" t="str">
            <v>QZJ</v>
          </cell>
          <cell r="K88">
            <v>27</v>
          </cell>
          <cell r="L88">
            <v>2.7E-2</v>
          </cell>
          <cell r="M88" t="str">
            <v>F</v>
          </cell>
          <cell r="P88" t="str">
            <v>HASGN26060001EX</v>
          </cell>
          <cell r="Q88" t="str">
            <v>OK</v>
          </cell>
          <cell r="S88" t="str">
            <v>1110087</v>
          </cell>
          <cell r="T88" t="str">
            <v>OP26052515</v>
          </cell>
        </row>
        <row r="89">
          <cell r="E89" t="str">
            <v>HACU2241784</v>
          </cell>
          <cell r="F89" t="str">
            <v>090610</v>
          </cell>
          <cell r="G89">
            <v>20</v>
          </cell>
          <cell r="H89" t="str">
            <v>GP</v>
          </cell>
          <cell r="I89" t="str">
            <v>20GP</v>
          </cell>
          <cell r="J89" t="str">
            <v>HPH</v>
          </cell>
          <cell r="K89">
            <v>10280</v>
          </cell>
          <cell r="L89">
            <v>10.28</v>
          </cell>
          <cell r="M89" t="str">
            <v>F</v>
          </cell>
          <cell r="P89" t="str">
            <v>HAC260522081</v>
          </cell>
          <cell r="Q89" t="str">
            <v>BB</v>
          </cell>
          <cell r="R89" t="str">
            <v>ND/</v>
          </cell>
          <cell r="S89" t="str">
            <v>000123</v>
          </cell>
          <cell r="T89" t="str">
            <v>NGUYEN LIEU</v>
          </cell>
        </row>
        <row r="90">
          <cell r="E90" t="str">
            <v>HACU2241830</v>
          </cell>
          <cell r="F90" t="str">
            <v>210308</v>
          </cell>
          <cell r="G90">
            <v>20</v>
          </cell>
          <cell r="H90" t="str">
            <v>GP</v>
          </cell>
          <cell r="I90" t="str">
            <v>20GP</v>
          </cell>
          <cell r="J90" t="str">
            <v>QZJ</v>
          </cell>
          <cell r="K90">
            <v>27</v>
          </cell>
          <cell r="L90">
            <v>2.7E-2</v>
          </cell>
          <cell r="M90" t="str">
            <v>F</v>
          </cell>
          <cell r="P90" t="str">
            <v>HASGN26060001EX</v>
          </cell>
          <cell r="Q90" t="str">
            <v>OK</v>
          </cell>
          <cell r="S90" t="str">
            <v>1110086</v>
          </cell>
          <cell r="T90" t="str">
            <v>OP26052515</v>
          </cell>
        </row>
        <row r="91">
          <cell r="E91" t="str">
            <v>HACU2242245</v>
          </cell>
          <cell r="F91" t="str">
            <v>230704</v>
          </cell>
          <cell r="G91">
            <v>20</v>
          </cell>
          <cell r="H91" t="str">
            <v>GP</v>
          </cell>
          <cell r="I91" t="str">
            <v>20GP</v>
          </cell>
          <cell r="J91" t="str">
            <v>QZJ</v>
          </cell>
          <cell r="K91">
            <v>27</v>
          </cell>
          <cell r="L91">
            <v>2.7E-2</v>
          </cell>
          <cell r="M91" t="str">
            <v>F</v>
          </cell>
          <cell r="P91" t="str">
            <v>HASGN26060001EX</v>
          </cell>
          <cell r="Q91" t="str">
            <v>OK</v>
          </cell>
          <cell r="S91" t="str">
            <v>1110085</v>
          </cell>
          <cell r="T91" t="str">
            <v>OP26052515</v>
          </cell>
        </row>
        <row r="92">
          <cell r="E92" t="str">
            <v>HACU2242590</v>
          </cell>
          <cell r="F92" t="str">
            <v>010210</v>
          </cell>
          <cell r="G92">
            <v>20</v>
          </cell>
          <cell r="H92" t="str">
            <v>GP</v>
          </cell>
          <cell r="I92" t="str">
            <v>20GP</v>
          </cell>
          <cell r="J92" t="str">
            <v>HPH</v>
          </cell>
          <cell r="K92">
            <v>21110</v>
          </cell>
          <cell r="L92">
            <v>21.11</v>
          </cell>
          <cell r="M92" t="str">
            <v>F</v>
          </cell>
          <cell r="P92" t="str">
            <v>HAC260522059</v>
          </cell>
          <cell r="Q92" t="str">
            <v>OK</v>
          </cell>
          <cell r="R92" t="str">
            <v>ND/</v>
          </cell>
          <cell r="S92" t="str">
            <v>23464</v>
          </cell>
          <cell r="T92" t="str">
            <v>CAO SU</v>
          </cell>
        </row>
        <row r="93">
          <cell r="E93" t="str">
            <v>HACU2242728</v>
          </cell>
          <cell r="F93" t="str">
            <v>110610</v>
          </cell>
          <cell r="G93">
            <v>20</v>
          </cell>
          <cell r="H93" t="str">
            <v>GP</v>
          </cell>
          <cell r="I93" t="str">
            <v>20GP</v>
          </cell>
          <cell r="J93" t="str">
            <v>HPH</v>
          </cell>
          <cell r="K93">
            <v>18000</v>
          </cell>
          <cell r="L93">
            <v>18</v>
          </cell>
          <cell r="M93" t="str">
            <v>F</v>
          </cell>
          <cell r="P93" t="str">
            <v>HAC260519126</v>
          </cell>
          <cell r="Q93" t="str">
            <v>OK</v>
          </cell>
          <cell r="R93" t="str">
            <v>ND/</v>
          </cell>
          <cell r="S93" t="str">
            <v>1105615</v>
          </cell>
          <cell r="T93" t="str">
            <v>SON</v>
          </cell>
        </row>
        <row r="94">
          <cell r="E94" t="str">
            <v>HACU2242950</v>
          </cell>
          <cell r="F94" t="str">
            <v>310106</v>
          </cell>
          <cell r="G94">
            <v>20</v>
          </cell>
          <cell r="H94" t="str">
            <v>GP</v>
          </cell>
          <cell r="I94" t="str">
            <v>20GP</v>
          </cell>
          <cell r="J94" t="str">
            <v>HPH</v>
          </cell>
          <cell r="K94">
            <v>29370</v>
          </cell>
          <cell r="L94">
            <v>29.37</v>
          </cell>
          <cell r="M94" t="str">
            <v>F</v>
          </cell>
          <cell r="P94" t="str">
            <v>HAC260519064</v>
          </cell>
          <cell r="Q94" t="str">
            <v>OK</v>
          </cell>
          <cell r="R94" t="str">
            <v>ND/</v>
          </cell>
          <cell r="S94" t="str">
            <v>VFC332758</v>
          </cell>
          <cell r="T94" t="str">
            <v>GAO</v>
          </cell>
        </row>
        <row r="95">
          <cell r="E95" t="str">
            <v>HACU2243025</v>
          </cell>
          <cell r="F95" t="str">
            <v>090604</v>
          </cell>
          <cell r="G95">
            <v>20</v>
          </cell>
          <cell r="H95" t="str">
            <v>GP</v>
          </cell>
          <cell r="I95" t="str">
            <v>20GP</v>
          </cell>
          <cell r="J95" t="str">
            <v>HPH</v>
          </cell>
          <cell r="K95">
            <v>24130</v>
          </cell>
          <cell r="L95">
            <v>24.13</v>
          </cell>
          <cell r="M95" t="str">
            <v>F</v>
          </cell>
          <cell r="P95" t="str">
            <v>HAC260521047</v>
          </cell>
          <cell r="Q95" t="str">
            <v>OK</v>
          </cell>
          <cell r="R95" t="str">
            <v>ND/</v>
          </cell>
          <cell r="S95" t="str">
            <v>1113406</v>
          </cell>
          <cell r="T95" t="str">
            <v>THUC PHAM</v>
          </cell>
        </row>
        <row r="96">
          <cell r="E96" t="str">
            <v>HACU2243133</v>
          </cell>
          <cell r="F96" t="str">
            <v>210506</v>
          </cell>
          <cell r="G96">
            <v>20</v>
          </cell>
          <cell r="H96" t="str">
            <v>GP</v>
          </cell>
          <cell r="I96" t="str">
            <v>20GP</v>
          </cell>
          <cell r="J96" t="str">
            <v>QZJ</v>
          </cell>
          <cell r="K96">
            <v>27</v>
          </cell>
          <cell r="L96">
            <v>2.7E-2</v>
          </cell>
          <cell r="M96" t="str">
            <v>F</v>
          </cell>
          <cell r="P96" t="str">
            <v>HASGN26060001EX</v>
          </cell>
          <cell r="Q96" t="str">
            <v>OK</v>
          </cell>
          <cell r="S96" t="str">
            <v>1110091</v>
          </cell>
          <cell r="T96" t="str">
            <v>OP26052515</v>
          </cell>
        </row>
        <row r="97">
          <cell r="E97" t="str">
            <v>HACU2243597</v>
          </cell>
          <cell r="F97" t="str">
            <v>030310</v>
          </cell>
          <cell r="G97">
            <v>20</v>
          </cell>
          <cell r="H97" t="str">
            <v>GP</v>
          </cell>
          <cell r="I97" t="str">
            <v>20GP</v>
          </cell>
          <cell r="J97" t="str">
            <v>HPH</v>
          </cell>
          <cell r="K97">
            <v>24490</v>
          </cell>
          <cell r="L97">
            <v>24.49</v>
          </cell>
          <cell r="M97" t="str">
            <v>F</v>
          </cell>
          <cell r="P97" t="str">
            <v>HAC260519148</v>
          </cell>
          <cell r="Q97" t="str">
            <v>OK</v>
          </cell>
          <cell r="R97" t="str">
            <v>ND/</v>
          </cell>
          <cell r="S97" t="str">
            <v>1108202</v>
          </cell>
          <cell r="T97" t="str">
            <v>BOT DAU NANH</v>
          </cell>
        </row>
        <row r="98">
          <cell r="E98" t="str">
            <v>HACU2245820</v>
          </cell>
          <cell r="F98" t="str">
            <v>290508</v>
          </cell>
          <cell r="G98">
            <v>20</v>
          </cell>
          <cell r="H98" t="str">
            <v>GP</v>
          </cell>
          <cell r="I98" t="str">
            <v>20GP</v>
          </cell>
          <cell r="J98" t="str">
            <v>HPH</v>
          </cell>
          <cell r="K98">
            <v>22010</v>
          </cell>
          <cell r="L98">
            <v>22.01</v>
          </cell>
          <cell r="M98" t="str">
            <v>F</v>
          </cell>
          <cell r="P98" t="str">
            <v>HAC260519058</v>
          </cell>
          <cell r="Q98" t="str">
            <v>OK</v>
          </cell>
          <cell r="R98" t="str">
            <v>ND/</v>
          </cell>
          <cell r="S98" t="str">
            <v>1119843</v>
          </cell>
          <cell r="T98" t="str">
            <v>CAM'</v>
          </cell>
        </row>
        <row r="99">
          <cell r="E99" t="str">
            <v>HACU2246554</v>
          </cell>
          <cell r="F99" t="str">
            <v>110706</v>
          </cell>
          <cell r="G99">
            <v>20</v>
          </cell>
          <cell r="H99" t="str">
            <v>GP</v>
          </cell>
          <cell r="I99" t="str">
            <v>20GP</v>
          </cell>
          <cell r="J99" t="str">
            <v>HPH</v>
          </cell>
          <cell r="K99">
            <v>28600</v>
          </cell>
          <cell r="L99">
            <v>28.6</v>
          </cell>
          <cell r="M99" t="str">
            <v>F</v>
          </cell>
          <cell r="P99" t="str">
            <v>HAC260519123</v>
          </cell>
          <cell r="Q99" t="str">
            <v>OK</v>
          </cell>
          <cell r="R99" t="str">
            <v>ND/</v>
          </cell>
          <cell r="S99" t="str">
            <v>703315</v>
          </cell>
          <cell r="T99" t="str">
            <v>THUC PHAM</v>
          </cell>
        </row>
        <row r="100">
          <cell r="E100" t="str">
            <v>HACU2247421</v>
          </cell>
          <cell r="F100" t="str">
            <v>050410</v>
          </cell>
          <cell r="G100">
            <v>20</v>
          </cell>
          <cell r="H100" t="str">
            <v>GP</v>
          </cell>
          <cell r="I100" t="str">
            <v>20GP</v>
          </cell>
          <cell r="J100" t="str">
            <v>HPH</v>
          </cell>
          <cell r="K100">
            <v>16000</v>
          </cell>
          <cell r="L100">
            <v>16</v>
          </cell>
          <cell r="M100" t="str">
            <v>F</v>
          </cell>
          <cell r="P100" t="str">
            <v>HAC260519075</v>
          </cell>
          <cell r="Q100" t="str">
            <v>OK</v>
          </cell>
          <cell r="R100" t="str">
            <v>ND/</v>
          </cell>
          <cell r="S100" t="str">
            <v>23385664</v>
          </cell>
          <cell r="T100" t="str">
            <v>NGUYEN LIEU</v>
          </cell>
        </row>
        <row r="101">
          <cell r="E101" t="str">
            <v>HACU2247442</v>
          </cell>
          <cell r="F101" t="str">
            <v>290208</v>
          </cell>
          <cell r="G101">
            <v>20</v>
          </cell>
          <cell r="H101" t="str">
            <v>GP</v>
          </cell>
          <cell r="I101" t="str">
            <v>20GP</v>
          </cell>
          <cell r="J101" t="str">
            <v>HPH</v>
          </cell>
          <cell r="K101">
            <v>17760</v>
          </cell>
          <cell r="L101">
            <v>17.760000000000002</v>
          </cell>
          <cell r="M101" t="str">
            <v>F</v>
          </cell>
          <cell r="P101" t="str">
            <v>HAC260519104</v>
          </cell>
          <cell r="Q101" t="str">
            <v>OK</v>
          </cell>
          <cell r="R101" t="str">
            <v>ND/</v>
          </cell>
          <cell r="S101" t="str">
            <v>566941</v>
          </cell>
          <cell r="T101" t="str">
            <v>SON</v>
          </cell>
        </row>
        <row r="102">
          <cell r="E102" t="str">
            <v>HACU2247503</v>
          </cell>
          <cell r="F102" t="str">
            <v>210504</v>
          </cell>
          <cell r="G102">
            <v>20</v>
          </cell>
          <cell r="H102" t="str">
            <v>GP</v>
          </cell>
          <cell r="I102" t="str">
            <v>20GP</v>
          </cell>
          <cell r="J102" t="str">
            <v>QZJ</v>
          </cell>
          <cell r="K102">
            <v>27</v>
          </cell>
          <cell r="L102">
            <v>2.7E-2</v>
          </cell>
          <cell r="M102" t="str">
            <v>F</v>
          </cell>
          <cell r="P102" t="str">
            <v>HASGN26060001EX</v>
          </cell>
          <cell r="Q102" t="str">
            <v>OK</v>
          </cell>
          <cell r="S102" t="str">
            <v>1110089</v>
          </cell>
          <cell r="T102" t="str">
            <v>OP26052515</v>
          </cell>
        </row>
        <row r="103">
          <cell r="E103" t="str">
            <v>HACU2248367</v>
          </cell>
          <cell r="F103" t="str">
            <v>230808</v>
          </cell>
          <cell r="G103">
            <v>20</v>
          </cell>
          <cell r="H103" t="str">
            <v>GP</v>
          </cell>
          <cell r="I103" t="str">
            <v>20GP</v>
          </cell>
          <cell r="J103" t="str">
            <v>QZJ</v>
          </cell>
          <cell r="K103">
            <v>27</v>
          </cell>
          <cell r="L103">
            <v>2.7E-2</v>
          </cell>
          <cell r="M103" t="str">
            <v>F</v>
          </cell>
          <cell r="P103" t="str">
            <v>HASGN26060001EX</v>
          </cell>
          <cell r="Q103" t="str">
            <v>OK</v>
          </cell>
          <cell r="S103" t="str">
            <v>1110093</v>
          </cell>
          <cell r="T103" t="str">
            <v>OP26052515</v>
          </cell>
        </row>
        <row r="104">
          <cell r="E104" t="str">
            <v>HACU2250209</v>
          </cell>
          <cell r="F104" t="str">
            <v>050406</v>
          </cell>
          <cell r="G104">
            <v>20</v>
          </cell>
          <cell r="H104" t="str">
            <v>GP</v>
          </cell>
          <cell r="I104" t="str">
            <v>20GP</v>
          </cell>
          <cell r="J104" t="str">
            <v>HPH</v>
          </cell>
          <cell r="K104">
            <v>30170</v>
          </cell>
          <cell r="L104">
            <v>30.17</v>
          </cell>
          <cell r="M104" t="str">
            <v>F</v>
          </cell>
          <cell r="P104" t="str">
            <v>HAC260520116</v>
          </cell>
          <cell r="Q104" t="str">
            <v>OK</v>
          </cell>
          <cell r="R104" t="str">
            <v>ND/</v>
          </cell>
          <cell r="S104" t="str">
            <v>23391785</v>
          </cell>
          <cell r="T104" t="str">
            <v>GAO</v>
          </cell>
        </row>
        <row r="105">
          <cell r="E105" t="str">
            <v>HACU2250554</v>
          </cell>
          <cell r="F105" t="str">
            <v>230806</v>
          </cell>
          <cell r="G105">
            <v>20</v>
          </cell>
          <cell r="H105" t="str">
            <v>GP</v>
          </cell>
          <cell r="I105" t="str">
            <v>20GP</v>
          </cell>
          <cell r="J105" t="str">
            <v>QZJ</v>
          </cell>
          <cell r="K105">
            <v>27</v>
          </cell>
          <cell r="L105">
            <v>2.7E-2</v>
          </cell>
          <cell r="M105" t="str">
            <v>F</v>
          </cell>
          <cell r="P105" t="str">
            <v>HASGN26060001EX</v>
          </cell>
          <cell r="Q105" t="str">
            <v>OK</v>
          </cell>
          <cell r="S105" t="str">
            <v>1110067</v>
          </cell>
          <cell r="T105" t="str">
            <v>OP26052515</v>
          </cell>
        </row>
        <row r="106">
          <cell r="E106" t="str">
            <v>HACU2250600</v>
          </cell>
          <cell r="F106" t="str">
            <v>230506</v>
          </cell>
          <cell r="G106">
            <v>20</v>
          </cell>
          <cell r="H106" t="str">
            <v>GP</v>
          </cell>
          <cell r="I106" t="str">
            <v>20GP</v>
          </cell>
          <cell r="J106" t="str">
            <v>QZJ</v>
          </cell>
          <cell r="K106">
            <v>27</v>
          </cell>
          <cell r="L106">
            <v>2.7E-2</v>
          </cell>
          <cell r="M106" t="str">
            <v>F</v>
          </cell>
          <cell r="P106" t="str">
            <v>HASGN26060001EX</v>
          </cell>
          <cell r="Q106" t="str">
            <v>OK</v>
          </cell>
          <cell r="S106" t="str">
            <v>1110069</v>
          </cell>
          <cell r="T106" t="str">
            <v>OP26052515</v>
          </cell>
        </row>
        <row r="107">
          <cell r="E107" t="str">
            <v>HACU2250615</v>
          </cell>
          <cell r="F107" t="str">
            <v>070508</v>
          </cell>
          <cell r="G107">
            <v>20</v>
          </cell>
          <cell r="H107" t="str">
            <v>GP</v>
          </cell>
          <cell r="I107" t="str">
            <v>20GP</v>
          </cell>
          <cell r="J107" t="str">
            <v>HPH</v>
          </cell>
          <cell r="K107">
            <v>24020</v>
          </cell>
          <cell r="L107">
            <v>24.02</v>
          </cell>
          <cell r="M107" t="str">
            <v>F</v>
          </cell>
          <cell r="P107" t="str">
            <v>HAC260523029</v>
          </cell>
          <cell r="Q107" t="str">
            <v>OK</v>
          </cell>
          <cell r="R107" t="str">
            <v>ND/</v>
          </cell>
          <cell r="S107" t="str">
            <v>1110149</v>
          </cell>
          <cell r="T107" t="str">
            <v>DAU DIEU</v>
          </cell>
        </row>
        <row r="108">
          <cell r="E108" t="str">
            <v>HACU2250831</v>
          </cell>
          <cell r="F108" t="str">
            <v>030208</v>
          </cell>
          <cell r="G108">
            <v>20</v>
          </cell>
          <cell r="H108" t="str">
            <v>GP</v>
          </cell>
          <cell r="I108" t="str">
            <v>20GP</v>
          </cell>
          <cell r="J108" t="str">
            <v>HPH</v>
          </cell>
          <cell r="K108">
            <v>23830</v>
          </cell>
          <cell r="L108">
            <v>23.83</v>
          </cell>
          <cell r="M108" t="str">
            <v>F</v>
          </cell>
          <cell r="P108" t="str">
            <v>HAC260523024</v>
          </cell>
          <cell r="Q108" t="str">
            <v>OK</v>
          </cell>
          <cell r="R108" t="str">
            <v>ND/</v>
          </cell>
          <cell r="S108" t="str">
            <v>11978</v>
          </cell>
          <cell r="T108" t="str">
            <v>BOT MY</v>
          </cell>
        </row>
        <row r="109">
          <cell r="E109" t="str">
            <v>HACU2251798</v>
          </cell>
          <cell r="F109" t="str">
            <v>310108</v>
          </cell>
          <cell r="G109">
            <v>20</v>
          </cell>
          <cell r="H109" t="str">
            <v>GP</v>
          </cell>
          <cell r="I109" t="str">
            <v>20GP</v>
          </cell>
          <cell r="J109" t="str">
            <v>HPH</v>
          </cell>
          <cell r="K109">
            <v>23250</v>
          </cell>
          <cell r="L109">
            <v>23.25</v>
          </cell>
          <cell r="M109" t="str">
            <v>F</v>
          </cell>
          <cell r="P109" t="str">
            <v>HAC260522081</v>
          </cell>
          <cell r="Q109" t="str">
            <v>OK</v>
          </cell>
          <cell r="R109" t="str">
            <v>ND/</v>
          </cell>
          <cell r="S109" t="str">
            <v>000186</v>
          </cell>
          <cell r="T109" t="str">
            <v>NGUYEN LIEU</v>
          </cell>
        </row>
        <row r="110">
          <cell r="E110" t="str">
            <v>HACU2252027</v>
          </cell>
          <cell r="F110" t="str">
            <v>230708</v>
          </cell>
          <cell r="G110">
            <v>20</v>
          </cell>
          <cell r="H110" t="str">
            <v>GP</v>
          </cell>
          <cell r="I110" t="str">
            <v>20GP</v>
          </cell>
          <cell r="J110" t="str">
            <v>QZJ</v>
          </cell>
          <cell r="K110">
            <v>27</v>
          </cell>
          <cell r="L110">
            <v>2.7E-2</v>
          </cell>
          <cell r="M110" t="str">
            <v>F</v>
          </cell>
          <cell r="P110" t="str">
            <v>HASGN26060001EX</v>
          </cell>
          <cell r="Q110" t="str">
            <v>OK</v>
          </cell>
          <cell r="S110" t="str">
            <v>1110094</v>
          </cell>
          <cell r="T110" t="str">
            <v>OP26052515</v>
          </cell>
        </row>
        <row r="111">
          <cell r="E111" t="str">
            <v>HACU2252304</v>
          </cell>
          <cell r="F111" t="str">
            <v>290708</v>
          </cell>
          <cell r="G111">
            <v>20</v>
          </cell>
          <cell r="H111" t="str">
            <v>GP</v>
          </cell>
          <cell r="I111" t="str">
            <v>20GP</v>
          </cell>
          <cell r="J111" t="str">
            <v>HPH</v>
          </cell>
          <cell r="K111">
            <v>22190</v>
          </cell>
          <cell r="L111">
            <v>22.19</v>
          </cell>
          <cell r="M111" t="str">
            <v>F</v>
          </cell>
          <cell r="P111" t="str">
            <v>HAC251017100</v>
          </cell>
          <cell r="Q111" t="str">
            <v>OK</v>
          </cell>
          <cell r="R111" t="str">
            <v>ND/</v>
          </cell>
          <cell r="S111" t="str">
            <v>1114835</v>
          </cell>
          <cell r="T111" t="str">
            <v>NGK</v>
          </cell>
        </row>
        <row r="112">
          <cell r="E112" t="str">
            <v>HACU2252520</v>
          </cell>
          <cell r="F112" t="str">
            <v>030108</v>
          </cell>
          <cell r="G112">
            <v>20</v>
          </cell>
          <cell r="H112" t="str">
            <v>GP</v>
          </cell>
          <cell r="I112" t="str">
            <v>20GP</v>
          </cell>
          <cell r="J112" t="str">
            <v>HPH</v>
          </cell>
          <cell r="K112">
            <v>26740</v>
          </cell>
          <cell r="L112">
            <v>26.74</v>
          </cell>
          <cell r="M112" t="str">
            <v>F</v>
          </cell>
          <cell r="P112" t="str">
            <v>HAC260521020</v>
          </cell>
          <cell r="Q112" t="str">
            <v>OK</v>
          </cell>
          <cell r="R112" t="str">
            <v>ND/</v>
          </cell>
          <cell r="S112" t="str">
            <v>1047893</v>
          </cell>
          <cell r="T112" t="str">
            <v>ONG THEP</v>
          </cell>
        </row>
        <row r="113">
          <cell r="E113" t="str">
            <v>HACU2252808</v>
          </cell>
          <cell r="F113" t="str">
            <v>290104</v>
          </cell>
          <cell r="G113">
            <v>20</v>
          </cell>
          <cell r="H113" t="str">
            <v>GP</v>
          </cell>
          <cell r="I113" t="str">
            <v>20GP</v>
          </cell>
          <cell r="J113" t="str">
            <v>HPH</v>
          </cell>
          <cell r="K113">
            <v>29670</v>
          </cell>
          <cell r="L113">
            <v>29.67</v>
          </cell>
          <cell r="M113" t="str">
            <v>F</v>
          </cell>
          <cell r="P113" t="str">
            <v>HAC260519058</v>
          </cell>
          <cell r="Q113" t="str">
            <v>OK</v>
          </cell>
          <cell r="R113" t="str">
            <v>ND/</v>
          </cell>
          <cell r="S113" t="str">
            <v>22753060</v>
          </cell>
          <cell r="T113" t="str">
            <v>CAM</v>
          </cell>
        </row>
        <row r="114">
          <cell r="E114" t="str">
            <v>HAHU8289968</v>
          </cell>
          <cell r="F114" t="str">
            <v>210608</v>
          </cell>
          <cell r="G114">
            <v>20</v>
          </cell>
          <cell r="H114" t="str">
            <v>GP</v>
          </cell>
          <cell r="I114" t="str">
            <v>20GP</v>
          </cell>
          <cell r="J114" t="str">
            <v>HPH</v>
          </cell>
          <cell r="K114">
            <v>20240</v>
          </cell>
          <cell r="L114">
            <v>20.239999999999998</v>
          </cell>
          <cell r="M114" t="str">
            <v>F</v>
          </cell>
          <cell r="P114" t="str">
            <v>HAC260523010</v>
          </cell>
          <cell r="Q114" t="str">
            <v>MM</v>
          </cell>
          <cell r="R114" t="str">
            <v>ND/</v>
          </cell>
          <cell r="S114" t="str">
            <v>992408</v>
          </cell>
          <cell r="T114" t="str">
            <v>SON</v>
          </cell>
        </row>
        <row r="115">
          <cell r="E115" t="str">
            <v>MTYU1000818</v>
          </cell>
          <cell r="F115" t="str">
            <v>290204</v>
          </cell>
          <cell r="G115">
            <v>20</v>
          </cell>
          <cell r="H115" t="str">
            <v>TK</v>
          </cell>
          <cell r="I115" t="str">
            <v>20TK</v>
          </cell>
          <cell r="J115" t="str">
            <v>HPH</v>
          </cell>
          <cell r="K115">
            <v>29130</v>
          </cell>
          <cell r="L115">
            <v>29.13</v>
          </cell>
          <cell r="M115" t="str">
            <v>F</v>
          </cell>
          <cell r="P115" t="str">
            <v>HAC260519078</v>
          </cell>
          <cell r="Q115" t="str">
            <v>OK</v>
          </cell>
          <cell r="R115" t="str">
            <v>ND/</v>
          </cell>
          <cell r="S115" t="str">
            <v>007484</v>
          </cell>
          <cell r="T115" t="str">
            <v>DAU TV</v>
          </cell>
        </row>
        <row r="116">
          <cell r="E116" t="str">
            <v>MTYU1001223</v>
          </cell>
          <cell r="F116" t="str">
            <v>290504</v>
          </cell>
          <cell r="G116">
            <v>20</v>
          </cell>
          <cell r="H116" t="str">
            <v>TK</v>
          </cell>
          <cell r="I116" t="str">
            <v>20TK</v>
          </cell>
          <cell r="J116" t="str">
            <v>HPH</v>
          </cell>
          <cell r="K116">
            <v>30610</v>
          </cell>
          <cell r="L116">
            <v>30.61</v>
          </cell>
          <cell r="M116" t="str">
            <v>F</v>
          </cell>
          <cell r="P116" t="str">
            <v>HAC260519078</v>
          </cell>
          <cell r="Q116" t="str">
            <v>MM</v>
          </cell>
          <cell r="R116" t="str">
            <v>ND/</v>
          </cell>
          <cell r="S116" t="str">
            <v>005457</v>
          </cell>
          <cell r="T116" t="str">
            <v>DAU THUC VAT</v>
          </cell>
        </row>
        <row r="117">
          <cell r="E117" t="str">
            <v>PCVU2560502</v>
          </cell>
          <cell r="F117" t="str">
            <v>290706</v>
          </cell>
          <cell r="G117">
            <v>20</v>
          </cell>
          <cell r="H117" t="str">
            <v>TK</v>
          </cell>
          <cell r="I117" t="str">
            <v>20TK</v>
          </cell>
          <cell r="J117" t="str">
            <v>HPH</v>
          </cell>
          <cell r="K117">
            <v>20780</v>
          </cell>
          <cell r="L117">
            <v>20.78</v>
          </cell>
          <cell r="M117" t="str">
            <v>F</v>
          </cell>
          <cell r="P117" t="str">
            <v>HAC260519179</v>
          </cell>
          <cell r="Q117" t="str">
            <v>MM</v>
          </cell>
          <cell r="R117" t="str">
            <v>ND/</v>
          </cell>
          <cell r="S117" t="str">
            <v>114968</v>
          </cell>
          <cell r="T117" t="str">
            <v>DAU CA</v>
          </cell>
        </row>
        <row r="118">
          <cell r="E118" t="str">
            <v>PCVU2622991</v>
          </cell>
          <cell r="F118" t="str">
            <v>310506</v>
          </cell>
          <cell r="G118">
            <v>20</v>
          </cell>
          <cell r="H118" t="str">
            <v>TK</v>
          </cell>
          <cell r="I118" t="str">
            <v>20TK</v>
          </cell>
          <cell r="J118" t="str">
            <v>HPH</v>
          </cell>
          <cell r="K118">
            <v>24610</v>
          </cell>
          <cell r="L118">
            <v>24.61</v>
          </cell>
          <cell r="M118" t="str">
            <v>F</v>
          </cell>
          <cell r="P118" t="str">
            <v>HAC260519179</v>
          </cell>
          <cell r="Q118" t="str">
            <v>OK</v>
          </cell>
          <cell r="R118" t="str">
            <v>ND/</v>
          </cell>
          <cell r="S118" t="str">
            <v>60493</v>
          </cell>
          <cell r="T118" t="str">
            <v>MO CA</v>
          </cell>
        </row>
        <row r="119">
          <cell r="E119" t="str">
            <v>PCVU2625521</v>
          </cell>
          <cell r="F119" t="str">
            <v>290808</v>
          </cell>
          <cell r="G119">
            <v>20</v>
          </cell>
          <cell r="H119" t="str">
            <v>TK</v>
          </cell>
          <cell r="I119" t="str">
            <v>20TK</v>
          </cell>
          <cell r="J119" t="str">
            <v>HPH</v>
          </cell>
          <cell r="K119">
            <v>23840</v>
          </cell>
          <cell r="L119">
            <v>23.84</v>
          </cell>
          <cell r="M119" t="str">
            <v>F</v>
          </cell>
          <cell r="P119" t="str">
            <v>HAC260519179</v>
          </cell>
          <cell r="Q119" t="str">
            <v>OK</v>
          </cell>
          <cell r="R119" t="str">
            <v>ND/</v>
          </cell>
          <cell r="S119" t="str">
            <v>60546</v>
          </cell>
          <cell r="T119" t="str">
            <v>MO CA</v>
          </cell>
        </row>
        <row r="120">
          <cell r="E120" t="str">
            <v>PCVU2646843</v>
          </cell>
          <cell r="F120" t="str">
            <v>290408</v>
          </cell>
          <cell r="G120">
            <v>20</v>
          </cell>
          <cell r="H120" t="str">
            <v>TK</v>
          </cell>
          <cell r="I120" t="str">
            <v>20TK</v>
          </cell>
          <cell r="J120" t="str">
            <v>HPH</v>
          </cell>
          <cell r="K120">
            <v>17790</v>
          </cell>
          <cell r="L120">
            <v>17.79</v>
          </cell>
          <cell r="M120" t="str">
            <v>F</v>
          </cell>
          <cell r="P120" t="str">
            <v>HAC260519179</v>
          </cell>
          <cell r="Q120" t="str">
            <v>MM</v>
          </cell>
          <cell r="R120" t="str">
            <v>ND/</v>
          </cell>
          <cell r="S120" t="str">
            <v>60606</v>
          </cell>
          <cell r="T120" t="str">
            <v>MO CA</v>
          </cell>
        </row>
        <row r="121">
          <cell r="E121" t="str">
            <v>PCVU2646864</v>
          </cell>
          <cell r="F121" t="str">
            <v>290108</v>
          </cell>
          <cell r="G121">
            <v>20</v>
          </cell>
          <cell r="H121" t="str">
            <v>TK</v>
          </cell>
          <cell r="I121" t="str">
            <v>20TK</v>
          </cell>
          <cell r="J121" t="str">
            <v>HPH</v>
          </cell>
          <cell r="K121">
            <v>24940</v>
          </cell>
          <cell r="L121">
            <v>24.94</v>
          </cell>
          <cell r="M121" t="str">
            <v>F</v>
          </cell>
          <cell r="P121" t="str">
            <v>HAC260519179</v>
          </cell>
          <cell r="Q121" t="str">
            <v>MM</v>
          </cell>
          <cell r="R121" t="str">
            <v>ND/</v>
          </cell>
          <cell r="S121" t="str">
            <v>60601</v>
          </cell>
          <cell r="T121" t="str">
            <v>MO CA.</v>
          </cell>
        </row>
        <row r="122">
          <cell r="E122" t="str">
            <v>SEGU3880974</v>
          </cell>
          <cell r="F122" t="str">
            <v>210806</v>
          </cell>
          <cell r="G122">
            <v>20</v>
          </cell>
          <cell r="H122" t="str">
            <v>GP</v>
          </cell>
          <cell r="I122" t="str">
            <v>20GP</v>
          </cell>
          <cell r="J122" t="str">
            <v>QZJ</v>
          </cell>
          <cell r="K122">
            <v>27</v>
          </cell>
          <cell r="L122">
            <v>2.7E-2</v>
          </cell>
          <cell r="M122" t="str">
            <v>F</v>
          </cell>
          <cell r="P122" t="str">
            <v>HASGN26060001EX</v>
          </cell>
          <cell r="Q122" t="str">
            <v>OK</v>
          </cell>
          <cell r="S122" t="str">
            <v>1110100</v>
          </cell>
          <cell r="T122" t="str">
            <v>OP26052515</v>
          </cell>
        </row>
        <row r="123">
          <cell r="E123" t="str">
            <v>SEGU3883607</v>
          </cell>
          <cell r="F123" t="str">
            <v>290206</v>
          </cell>
          <cell r="G123">
            <v>20</v>
          </cell>
          <cell r="H123" t="str">
            <v>GP</v>
          </cell>
          <cell r="I123" t="str">
            <v>20GP</v>
          </cell>
          <cell r="J123" t="str">
            <v>HPH</v>
          </cell>
          <cell r="K123">
            <v>23920</v>
          </cell>
          <cell r="L123">
            <v>23.92</v>
          </cell>
          <cell r="M123" t="str">
            <v>F</v>
          </cell>
          <cell r="P123" t="str">
            <v>HAC260519058</v>
          </cell>
          <cell r="Q123" t="str">
            <v>OK</v>
          </cell>
          <cell r="R123" t="str">
            <v>ND/</v>
          </cell>
          <cell r="S123" t="str">
            <v>1119940</v>
          </cell>
          <cell r="T123" t="str">
            <v>NGUYEN LIEU</v>
          </cell>
        </row>
        <row r="124">
          <cell r="E124" t="str">
            <v>SEGU3972010</v>
          </cell>
          <cell r="F124" t="str">
            <v>230602</v>
          </cell>
          <cell r="G124">
            <v>20</v>
          </cell>
          <cell r="H124" t="str">
            <v>GP</v>
          </cell>
          <cell r="I124" t="str">
            <v>20GP</v>
          </cell>
          <cell r="J124" t="str">
            <v>QZJ</v>
          </cell>
          <cell r="K124">
            <v>27</v>
          </cell>
          <cell r="L124">
            <v>2.7E-2</v>
          </cell>
          <cell r="M124" t="str">
            <v>F</v>
          </cell>
          <cell r="P124" t="str">
            <v>HASGN26060001EX</v>
          </cell>
          <cell r="Q124" t="str">
            <v>OK</v>
          </cell>
          <cell r="S124" t="str">
            <v>1110096</v>
          </cell>
          <cell r="T124" t="str">
            <v>OP26052515</v>
          </cell>
        </row>
        <row r="125">
          <cell r="E125" t="str">
            <v>SEGU3972324</v>
          </cell>
          <cell r="F125" t="str">
            <v>290106</v>
          </cell>
          <cell r="G125">
            <v>20</v>
          </cell>
          <cell r="H125" t="str">
            <v>GP</v>
          </cell>
          <cell r="I125" t="str">
            <v>20GP</v>
          </cell>
          <cell r="J125" t="str">
            <v>HPH</v>
          </cell>
          <cell r="K125">
            <v>21920</v>
          </cell>
          <cell r="L125">
            <v>21.92</v>
          </cell>
          <cell r="M125" t="str">
            <v>F</v>
          </cell>
          <cell r="P125" t="str">
            <v>HAC260522059</v>
          </cell>
          <cell r="Q125" t="str">
            <v>OK</v>
          </cell>
          <cell r="R125" t="str">
            <v>ND/</v>
          </cell>
          <cell r="S125" t="str">
            <v>997588</v>
          </cell>
          <cell r="T125" t="str">
            <v>CAO SU</v>
          </cell>
        </row>
        <row r="126">
          <cell r="E126" t="str">
            <v>SEGU3972860</v>
          </cell>
          <cell r="F126" t="str">
            <v>230508</v>
          </cell>
          <cell r="G126">
            <v>20</v>
          </cell>
          <cell r="H126" t="str">
            <v>GP</v>
          </cell>
          <cell r="I126" t="str">
            <v>20GP</v>
          </cell>
          <cell r="J126" t="str">
            <v>QZJ</v>
          </cell>
          <cell r="K126">
            <v>27</v>
          </cell>
          <cell r="L126">
            <v>2.7E-2</v>
          </cell>
          <cell r="M126" t="str">
            <v>F</v>
          </cell>
          <cell r="P126" t="str">
            <v>HASGN26060001EX</v>
          </cell>
          <cell r="Q126" t="str">
            <v>OK</v>
          </cell>
          <cell r="S126" t="str">
            <v>1110092</v>
          </cell>
          <cell r="T126" t="str">
            <v>OP26052515</v>
          </cell>
        </row>
        <row r="127">
          <cell r="E127" t="str">
            <v>SEGU3973491</v>
          </cell>
          <cell r="F127" t="str">
            <v>310104</v>
          </cell>
          <cell r="G127">
            <v>20</v>
          </cell>
          <cell r="H127" t="str">
            <v>GP</v>
          </cell>
          <cell r="I127" t="str">
            <v>20GP</v>
          </cell>
          <cell r="J127" t="str">
            <v>HPH</v>
          </cell>
          <cell r="K127">
            <v>30120</v>
          </cell>
          <cell r="L127">
            <v>30.12</v>
          </cell>
          <cell r="M127" t="str">
            <v>F</v>
          </cell>
          <cell r="P127" t="str">
            <v>HAC260519116</v>
          </cell>
          <cell r="Q127" t="str">
            <v>LV</v>
          </cell>
          <cell r="R127" t="str">
            <v>ND/</v>
          </cell>
          <cell r="S127" t="str">
            <v>703265</v>
          </cell>
          <cell r="T127" t="str">
            <v>GAO</v>
          </cell>
        </row>
        <row r="128">
          <cell r="E128" t="str">
            <v>SEKU1453936</v>
          </cell>
          <cell r="F128" t="str">
            <v>210302</v>
          </cell>
          <cell r="G128">
            <v>20</v>
          </cell>
          <cell r="H128" t="str">
            <v>GP</v>
          </cell>
          <cell r="I128" t="str">
            <v>20GP</v>
          </cell>
          <cell r="J128" t="str">
            <v>QZJ</v>
          </cell>
          <cell r="K128">
            <v>27</v>
          </cell>
          <cell r="L128">
            <v>2.7E-2</v>
          </cell>
          <cell r="M128" t="str">
            <v>F</v>
          </cell>
          <cell r="P128" t="str">
            <v>HASGN26060001EX</v>
          </cell>
          <cell r="Q128" t="str">
            <v>OK</v>
          </cell>
          <cell r="S128" t="str">
            <v>1110062</v>
          </cell>
          <cell r="T128" t="str">
            <v>OP26052515</v>
          </cell>
        </row>
        <row r="129">
          <cell r="E129" t="str">
            <v>SEKU1454845</v>
          </cell>
          <cell r="F129" t="str">
            <v>310408</v>
          </cell>
          <cell r="G129">
            <v>20</v>
          </cell>
          <cell r="H129" t="str">
            <v>GP</v>
          </cell>
          <cell r="I129" t="str">
            <v>20GP</v>
          </cell>
          <cell r="J129" t="str">
            <v>HPH</v>
          </cell>
          <cell r="K129">
            <v>23050</v>
          </cell>
          <cell r="L129">
            <v>23.05</v>
          </cell>
          <cell r="M129" t="str">
            <v>F</v>
          </cell>
          <cell r="P129" t="str">
            <v>HAC260525068</v>
          </cell>
          <cell r="Q129" t="str">
            <v>OK</v>
          </cell>
          <cell r="R129" t="str">
            <v>ND/</v>
          </cell>
          <cell r="S129" t="str">
            <v>991577</v>
          </cell>
          <cell r="T129" t="str">
            <v>PHU GIA XAY DUNG</v>
          </cell>
        </row>
        <row r="130">
          <cell r="E130" t="str">
            <v>SEKU1456370</v>
          </cell>
          <cell r="F130" t="str">
            <v>310306</v>
          </cell>
          <cell r="G130">
            <v>20</v>
          </cell>
          <cell r="H130" t="str">
            <v>GP</v>
          </cell>
          <cell r="I130" t="str">
            <v>20GP</v>
          </cell>
          <cell r="J130" t="str">
            <v>HPH</v>
          </cell>
          <cell r="K130">
            <v>27520</v>
          </cell>
          <cell r="L130">
            <v>27.52</v>
          </cell>
          <cell r="M130" t="str">
            <v>F</v>
          </cell>
          <cell r="P130" t="str">
            <v>HAC260526013</v>
          </cell>
          <cell r="Q130" t="str">
            <v>OK</v>
          </cell>
          <cell r="R130" t="str">
            <v>ND/</v>
          </cell>
          <cell r="S130" t="str">
            <v>1106438</v>
          </cell>
          <cell r="T130" t="str">
            <v>DUONG</v>
          </cell>
        </row>
        <row r="131">
          <cell r="E131" t="str">
            <v>SEKU1457079</v>
          </cell>
          <cell r="F131" t="str">
            <v>310810</v>
          </cell>
          <cell r="G131">
            <v>20</v>
          </cell>
          <cell r="H131" t="str">
            <v>GP</v>
          </cell>
          <cell r="I131" t="str">
            <v>20GP</v>
          </cell>
          <cell r="J131" t="str">
            <v>HPH</v>
          </cell>
          <cell r="K131">
            <v>16630</v>
          </cell>
          <cell r="L131">
            <v>16.63</v>
          </cell>
          <cell r="M131" t="str">
            <v>F</v>
          </cell>
          <cell r="P131" t="str">
            <v>HAC260526006</v>
          </cell>
          <cell r="Q131" t="str">
            <v>OK</v>
          </cell>
          <cell r="R131" t="str">
            <v>ND/</v>
          </cell>
          <cell r="S131" t="str">
            <v>47144</v>
          </cell>
          <cell r="T131" t="str">
            <v>NUOC NGOT</v>
          </cell>
        </row>
        <row r="132">
          <cell r="E132" t="str">
            <v>SEKU1457119</v>
          </cell>
          <cell r="F132" t="str">
            <v>070610</v>
          </cell>
          <cell r="G132">
            <v>20</v>
          </cell>
          <cell r="H132" t="str">
            <v>GP</v>
          </cell>
          <cell r="I132" t="str">
            <v>20GP</v>
          </cell>
          <cell r="J132" t="str">
            <v>HPH</v>
          </cell>
          <cell r="K132">
            <v>16210</v>
          </cell>
          <cell r="L132">
            <v>16.21</v>
          </cell>
          <cell r="M132" t="str">
            <v>F</v>
          </cell>
          <cell r="P132" t="str">
            <v>HAC260521157</v>
          </cell>
          <cell r="Q132" t="str">
            <v>OK</v>
          </cell>
          <cell r="R132" t="str">
            <v>ND/</v>
          </cell>
          <cell r="S132" t="str">
            <v>1043105</v>
          </cell>
          <cell r="T132" t="str">
            <v>PALET THUNG PHI</v>
          </cell>
        </row>
        <row r="133">
          <cell r="E133" t="str">
            <v>SEKU1458368</v>
          </cell>
          <cell r="F133" t="str">
            <v>030110</v>
          </cell>
          <cell r="G133">
            <v>20</v>
          </cell>
          <cell r="H133" t="str">
            <v>GP</v>
          </cell>
          <cell r="I133" t="str">
            <v>20GP</v>
          </cell>
          <cell r="J133" t="str">
            <v>HPH</v>
          </cell>
          <cell r="K133">
            <v>24720</v>
          </cell>
          <cell r="L133">
            <v>24.72</v>
          </cell>
          <cell r="M133" t="str">
            <v>F</v>
          </cell>
          <cell r="P133" t="str">
            <v>HAC260519114</v>
          </cell>
          <cell r="Q133" t="str">
            <v>OK</v>
          </cell>
          <cell r="R133" t="str">
            <v>ND/</v>
          </cell>
          <cell r="S133" t="str">
            <v>01047</v>
          </cell>
          <cell r="T133" t="str">
            <v>VAI</v>
          </cell>
        </row>
        <row r="134">
          <cell r="E134" t="str">
            <v>SEKU1458877</v>
          </cell>
          <cell r="F134" t="str">
            <v>210508</v>
          </cell>
          <cell r="G134">
            <v>20</v>
          </cell>
          <cell r="H134" t="str">
            <v>GP</v>
          </cell>
          <cell r="I134" t="str">
            <v>20GP</v>
          </cell>
          <cell r="J134" t="str">
            <v>HPH</v>
          </cell>
          <cell r="K134">
            <v>17700</v>
          </cell>
          <cell r="L134">
            <v>17.7</v>
          </cell>
          <cell r="M134" t="str">
            <v>F</v>
          </cell>
          <cell r="P134" t="str">
            <v>HAC260521047</v>
          </cell>
          <cell r="Q134" t="str">
            <v>OK</v>
          </cell>
          <cell r="R134" t="str">
            <v>ND/</v>
          </cell>
          <cell r="S134" t="str">
            <v>1143401</v>
          </cell>
          <cell r="T134" t="str">
            <v>THUC PHAM</v>
          </cell>
        </row>
        <row r="135">
          <cell r="E135" t="str">
            <v>SEKU1464519</v>
          </cell>
          <cell r="F135" t="str">
            <v>290806</v>
          </cell>
          <cell r="G135">
            <v>20</v>
          </cell>
          <cell r="H135" t="str">
            <v>GP</v>
          </cell>
          <cell r="I135" t="str">
            <v>20GP</v>
          </cell>
          <cell r="J135" t="str">
            <v>HPH</v>
          </cell>
          <cell r="K135">
            <v>21840</v>
          </cell>
          <cell r="L135">
            <v>21.84</v>
          </cell>
          <cell r="M135" t="str">
            <v>F</v>
          </cell>
          <cell r="P135" t="str">
            <v>HAC260525144</v>
          </cell>
          <cell r="Q135" t="str">
            <v>OK</v>
          </cell>
          <cell r="R135" t="str">
            <v>ND/</v>
          </cell>
          <cell r="S135" t="str">
            <v>2507314</v>
          </cell>
          <cell r="T135" t="str">
            <v>KEO</v>
          </cell>
        </row>
        <row r="136">
          <cell r="E136" t="str">
            <v>SEKU1465048</v>
          </cell>
          <cell r="F136" t="str">
            <v>290202</v>
          </cell>
          <cell r="G136">
            <v>20</v>
          </cell>
          <cell r="H136" t="str">
            <v>GP</v>
          </cell>
          <cell r="I136" t="str">
            <v>20GP</v>
          </cell>
          <cell r="J136" t="str">
            <v>HPH</v>
          </cell>
          <cell r="K136">
            <v>30380</v>
          </cell>
          <cell r="L136">
            <v>30.38</v>
          </cell>
          <cell r="M136" t="str">
            <v>F</v>
          </cell>
          <cell r="P136" t="str">
            <v>HAC260526168</v>
          </cell>
          <cell r="Q136" t="str">
            <v>OK</v>
          </cell>
          <cell r="R136" t="str">
            <v>ND/</v>
          </cell>
          <cell r="S136" t="str">
            <v>TN03102</v>
          </cell>
          <cell r="T136" t="str">
            <v>NPK</v>
          </cell>
        </row>
        <row r="137">
          <cell r="E137" t="str">
            <v>SEKU1470511</v>
          </cell>
          <cell r="F137" t="str">
            <v>050610</v>
          </cell>
          <cell r="G137">
            <v>20</v>
          </cell>
          <cell r="H137" t="str">
            <v>GP</v>
          </cell>
          <cell r="I137" t="str">
            <v>20GP</v>
          </cell>
          <cell r="J137" t="str">
            <v>HPH</v>
          </cell>
          <cell r="K137">
            <v>14800</v>
          </cell>
          <cell r="L137">
            <v>14.8</v>
          </cell>
          <cell r="M137" t="str">
            <v>F</v>
          </cell>
          <cell r="P137" t="str">
            <v>HAC260519075</v>
          </cell>
          <cell r="Q137" t="str">
            <v>OK</v>
          </cell>
          <cell r="R137" t="str">
            <v>ND/</v>
          </cell>
          <cell r="S137" t="str">
            <v>23385684</v>
          </cell>
          <cell r="T137" t="str">
            <v>NGUYENL IEU</v>
          </cell>
        </row>
        <row r="138">
          <cell r="E138" t="str">
            <v>SEKU1473038</v>
          </cell>
          <cell r="F138" t="str">
            <v>230608</v>
          </cell>
          <cell r="G138">
            <v>20</v>
          </cell>
          <cell r="H138" t="str">
            <v>GP</v>
          </cell>
          <cell r="I138" t="str">
            <v>20GP</v>
          </cell>
          <cell r="J138" t="str">
            <v>QZJ</v>
          </cell>
          <cell r="K138">
            <v>27</v>
          </cell>
          <cell r="L138">
            <v>2.7E-2</v>
          </cell>
          <cell r="M138" t="str">
            <v>F</v>
          </cell>
          <cell r="P138" t="str">
            <v>HASGN26060001EX</v>
          </cell>
          <cell r="Q138" t="str">
            <v>OK</v>
          </cell>
          <cell r="S138" t="str">
            <v>1110095</v>
          </cell>
          <cell r="T138" t="str">
            <v>OP26052515</v>
          </cell>
        </row>
        <row r="139">
          <cell r="E139" t="str">
            <v>SEKU1785870</v>
          </cell>
          <cell r="F139" t="str">
            <v>230306</v>
          </cell>
          <cell r="G139">
            <v>20</v>
          </cell>
          <cell r="H139" t="str">
            <v>GP</v>
          </cell>
          <cell r="I139" t="str">
            <v>20GP</v>
          </cell>
          <cell r="J139" t="str">
            <v>QZJ</v>
          </cell>
          <cell r="K139">
            <v>27</v>
          </cell>
          <cell r="L139">
            <v>2.7E-2</v>
          </cell>
          <cell r="M139" t="str">
            <v>F</v>
          </cell>
          <cell r="P139" t="str">
            <v>HASGN26060001EX</v>
          </cell>
          <cell r="Q139" t="str">
            <v>OK</v>
          </cell>
          <cell r="S139" t="str">
            <v>1110061</v>
          </cell>
          <cell r="T139" t="str">
            <v>OP26052515</v>
          </cell>
        </row>
        <row r="140">
          <cell r="E140" t="str">
            <v>SEKU1786449</v>
          </cell>
          <cell r="F140" t="str">
            <v>030408</v>
          </cell>
          <cell r="G140">
            <v>20</v>
          </cell>
          <cell r="H140" t="str">
            <v>GP</v>
          </cell>
          <cell r="I140" t="str">
            <v>20GP</v>
          </cell>
          <cell r="J140" t="str">
            <v>HPH</v>
          </cell>
          <cell r="K140">
            <v>23390</v>
          </cell>
          <cell r="L140">
            <v>23.39</v>
          </cell>
          <cell r="M140" t="str">
            <v>F</v>
          </cell>
          <cell r="P140" t="str">
            <v>HAC260523029</v>
          </cell>
          <cell r="Q140" t="str">
            <v>OK</v>
          </cell>
          <cell r="R140" t="str">
            <v>ND/</v>
          </cell>
          <cell r="S140" t="str">
            <v>1107074</v>
          </cell>
          <cell r="T140" t="str">
            <v>DAU DIEU</v>
          </cell>
        </row>
        <row r="141">
          <cell r="E141" t="str">
            <v>SEKU1786639</v>
          </cell>
          <cell r="F141" t="str">
            <v>030104</v>
          </cell>
          <cell r="G141">
            <v>20</v>
          </cell>
          <cell r="H141" t="str">
            <v>GP</v>
          </cell>
          <cell r="I141" t="str">
            <v>20GP</v>
          </cell>
          <cell r="J141" t="str">
            <v>HPH</v>
          </cell>
          <cell r="K141">
            <v>29860</v>
          </cell>
          <cell r="L141">
            <v>29.86</v>
          </cell>
          <cell r="M141" t="str">
            <v>F</v>
          </cell>
          <cell r="P141" t="str">
            <v>HAC260520116</v>
          </cell>
          <cell r="Q141" t="str">
            <v>OK</v>
          </cell>
          <cell r="R141" t="str">
            <v>ND/</v>
          </cell>
          <cell r="S141" t="str">
            <v>23382455</v>
          </cell>
          <cell r="T141" t="str">
            <v>GAO</v>
          </cell>
        </row>
        <row r="142">
          <cell r="E142" t="str">
            <v>SEKU1790449</v>
          </cell>
          <cell r="F142" t="str">
            <v>110510</v>
          </cell>
          <cell r="G142">
            <v>20</v>
          </cell>
          <cell r="H142" t="str">
            <v>GP</v>
          </cell>
          <cell r="I142" t="str">
            <v>20GP</v>
          </cell>
          <cell r="J142" t="str">
            <v>HPH</v>
          </cell>
          <cell r="K142">
            <v>2560</v>
          </cell>
          <cell r="L142">
            <v>2.56</v>
          </cell>
          <cell r="M142" t="str">
            <v>F</v>
          </cell>
          <cell r="P142" t="str">
            <v>HAC251017100</v>
          </cell>
          <cell r="Q142" t="str">
            <v>OK</v>
          </cell>
          <cell r="R142" t="str">
            <v>ND/</v>
          </cell>
          <cell r="S142" t="str">
            <v>1047897</v>
          </cell>
          <cell r="T142" t="str">
            <v>BÔNG</v>
          </cell>
        </row>
        <row r="143">
          <cell r="E143" t="str">
            <v>SEKU1802642</v>
          </cell>
          <cell r="F143" t="str">
            <v>210704</v>
          </cell>
          <cell r="G143">
            <v>20</v>
          </cell>
          <cell r="H143" t="str">
            <v>GP</v>
          </cell>
          <cell r="I143" t="str">
            <v>20GP</v>
          </cell>
          <cell r="J143" t="str">
            <v>HPH</v>
          </cell>
          <cell r="K143">
            <v>30780</v>
          </cell>
          <cell r="L143">
            <v>30.78</v>
          </cell>
          <cell r="M143" t="str">
            <v>F</v>
          </cell>
          <cell r="P143" t="str">
            <v>HAC260520116</v>
          </cell>
          <cell r="Q143" t="str">
            <v>OK</v>
          </cell>
          <cell r="R143" t="str">
            <v>ND/</v>
          </cell>
          <cell r="S143" t="str">
            <v>71619</v>
          </cell>
          <cell r="T143" t="str">
            <v>PHAN BON</v>
          </cell>
        </row>
        <row r="144">
          <cell r="E144" t="str">
            <v>SEKU1808620</v>
          </cell>
          <cell r="F144" t="str">
            <v>070608</v>
          </cell>
          <cell r="G144">
            <v>20</v>
          </cell>
          <cell r="H144" t="str">
            <v>GP</v>
          </cell>
          <cell r="I144" t="str">
            <v>20GP</v>
          </cell>
          <cell r="J144" t="str">
            <v>HPH</v>
          </cell>
          <cell r="K144">
            <v>22730</v>
          </cell>
          <cell r="L144">
            <v>22.73</v>
          </cell>
          <cell r="M144" t="str">
            <v>F</v>
          </cell>
          <cell r="P144" t="str">
            <v>HAC260521047</v>
          </cell>
          <cell r="Q144" t="str">
            <v>OK</v>
          </cell>
          <cell r="R144" t="str">
            <v>ND/</v>
          </cell>
          <cell r="S144" t="str">
            <v>1116126</v>
          </cell>
          <cell r="T144" t="str">
            <v>THUC PHAM</v>
          </cell>
        </row>
        <row r="145">
          <cell r="E145" t="str">
            <v>SEKU1810020</v>
          </cell>
          <cell r="F145" t="str">
            <v>070810</v>
          </cell>
          <cell r="G145">
            <v>20</v>
          </cell>
          <cell r="H145" t="str">
            <v>GP</v>
          </cell>
          <cell r="I145" t="str">
            <v>20GP</v>
          </cell>
          <cell r="J145" t="str">
            <v>HPH</v>
          </cell>
          <cell r="K145">
            <v>24330</v>
          </cell>
          <cell r="L145">
            <v>24.33</v>
          </cell>
          <cell r="M145" t="str">
            <v>F</v>
          </cell>
          <cell r="P145" t="str">
            <v>HAC260521047</v>
          </cell>
          <cell r="Q145" t="str">
            <v>OK</v>
          </cell>
          <cell r="R145" t="str">
            <v>ND/</v>
          </cell>
          <cell r="S145" t="str">
            <v>1113442</v>
          </cell>
          <cell r="T145" t="str">
            <v>THUC PHAM</v>
          </cell>
        </row>
        <row r="146">
          <cell r="E146" t="str">
            <v>SEKU1942599</v>
          </cell>
          <cell r="F146" t="str">
            <v>230706</v>
          </cell>
          <cell r="G146">
            <v>20</v>
          </cell>
          <cell r="H146" t="str">
            <v>GP</v>
          </cell>
          <cell r="I146" t="str">
            <v>20GP</v>
          </cell>
          <cell r="J146" t="str">
            <v>QZJ</v>
          </cell>
          <cell r="K146">
            <v>27</v>
          </cell>
          <cell r="L146">
            <v>2.7E-2</v>
          </cell>
          <cell r="M146" t="str">
            <v>F</v>
          </cell>
          <cell r="P146" t="str">
            <v>HASGN26060001EX</v>
          </cell>
          <cell r="Q146" t="str">
            <v>OK</v>
          </cell>
          <cell r="S146" t="str">
            <v>1110065</v>
          </cell>
          <cell r="T146" t="str">
            <v>OP26052515</v>
          </cell>
        </row>
        <row r="147">
          <cell r="E147" t="str">
            <v>SEKU1943002</v>
          </cell>
          <cell r="F147" t="str">
            <v>230302</v>
          </cell>
          <cell r="G147">
            <v>20</v>
          </cell>
          <cell r="H147" t="str">
            <v>GP</v>
          </cell>
          <cell r="I147" t="str">
            <v>20GP</v>
          </cell>
          <cell r="J147" t="str">
            <v>QZJ</v>
          </cell>
          <cell r="K147">
            <v>27</v>
          </cell>
          <cell r="L147">
            <v>2.7E-2</v>
          </cell>
          <cell r="M147" t="str">
            <v>F</v>
          </cell>
          <cell r="P147" t="str">
            <v>HASGN26060001EX</v>
          </cell>
          <cell r="Q147" t="str">
            <v>OK</v>
          </cell>
          <cell r="S147" t="str">
            <v>1110066</v>
          </cell>
          <cell r="T147" t="str">
            <v>OP26052515</v>
          </cell>
        </row>
        <row r="148">
          <cell r="E148" t="str">
            <v>SEKU1944312</v>
          </cell>
          <cell r="F148" t="str">
            <v>210502</v>
          </cell>
          <cell r="G148">
            <v>20</v>
          </cell>
          <cell r="H148" t="str">
            <v>GP</v>
          </cell>
          <cell r="I148" t="str">
            <v>20GP</v>
          </cell>
          <cell r="J148" t="str">
            <v>QZJ</v>
          </cell>
          <cell r="K148">
            <v>27</v>
          </cell>
          <cell r="L148">
            <v>2.7E-2</v>
          </cell>
          <cell r="M148" t="str">
            <v>F</v>
          </cell>
          <cell r="P148" t="str">
            <v>HASGN26060001EX</v>
          </cell>
          <cell r="Q148" t="str">
            <v>OK</v>
          </cell>
          <cell r="S148" t="str">
            <v>1110083</v>
          </cell>
          <cell r="T148" t="str">
            <v>OP26052515</v>
          </cell>
        </row>
        <row r="149">
          <cell r="E149" t="str">
            <v>SEKU1944483</v>
          </cell>
          <cell r="F149" t="str">
            <v>230502</v>
          </cell>
          <cell r="G149">
            <v>20</v>
          </cell>
          <cell r="H149" t="str">
            <v>GP</v>
          </cell>
          <cell r="I149" t="str">
            <v>20GP</v>
          </cell>
          <cell r="J149" t="str">
            <v>QZJ</v>
          </cell>
          <cell r="K149">
            <v>27</v>
          </cell>
          <cell r="L149">
            <v>2.7E-2</v>
          </cell>
          <cell r="M149" t="str">
            <v>F</v>
          </cell>
          <cell r="P149" t="str">
            <v>HASGN26060001EX</v>
          </cell>
          <cell r="Q149" t="str">
            <v>OK</v>
          </cell>
          <cell r="S149" t="str">
            <v>1110070</v>
          </cell>
          <cell r="T149" t="str">
            <v>OP26052515</v>
          </cell>
        </row>
        <row r="150">
          <cell r="E150" t="str">
            <v>SEKU1944879</v>
          </cell>
          <cell r="F150" t="str">
            <v>070510</v>
          </cell>
          <cell r="G150">
            <v>20</v>
          </cell>
          <cell r="H150" t="str">
            <v>GP</v>
          </cell>
          <cell r="I150" t="str">
            <v>20GP</v>
          </cell>
          <cell r="J150" t="str">
            <v>HPH</v>
          </cell>
          <cell r="K150">
            <v>13130</v>
          </cell>
          <cell r="L150">
            <v>13.13</v>
          </cell>
          <cell r="M150" t="str">
            <v>F</v>
          </cell>
          <cell r="P150" t="str">
            <v>HAC260521157</v>
          </cell>
          <cell r="Q150" t="str">
            <v>OK</v>
          </cell>
          <cell r="R150" t="str">
            <v>ND/</v>
          </cell>
          <cell r="S150" t="str">
            <v>1043117</v>
          </cell>
          <cell r="T150" t="str">
            <v>DIEN TU</v>
          </cell>
        </row>
        <row r="151">
          <cell r="E151" t="str">
            <v>SEKU1949187</v>
          </cell>
          <cell r="F151" t="str">
            <v>050306</v>
          </cell>
          <cell r="G151">
            <v>20</v>
          </cell>
          <cell r="H151" t="str">
            <v>GP</v>
          </cell>
          <cell r="I151" t="str">
            <v>20GP</v>
          </cell>
          <cell r="J151" t="str">
            <v>HPH</v>
          </cell>
          <cell r="K151">
            <v>29830</v>
          </cell>
          <cell r="L151">
            <v>29.83</v>
          </cell>
          <cell r="M151" t="str">
            <v>F</v>
          </cell>
          <cell r="P151" t="str">
            <v>HAC260519058</v>
          </cell>
          <cell r="Q151" t="str">
            <v>OK</v>
          </cell>
          <cell r="R151" t="str">
            <v>ND/</v>
          </cell>
          <cell r="S151" t="str">
            <v>1076498</v>
          </cell>
          <cell r="T151" t="str">
            <v>CAM</v>
          </cell>
        </row>
        <row r="152">
          <cell r="E152" t="str">
            <v>TCKU1149140</v>
          </cell>
          <cell r="F152" t="str">
            <v>210708</v>
          </cell>
          <cell r="G152">
            <v>20</v>
          </cell>
          <cell r="H152" t="str">
            <v>GP</v>
          </cell>
          <cell r="I152" t="str">
            <v>20GP</v>
          </cell>
          <cell r="J152" t="str">
            <v>HPH</v>
          </cell>
          <cell r="K152">
            <v>22100</v>
          </cell>
          <cell r="L152">
            <v>22.1</v>
          </cell>
          <cell r="M152" t="str">
            <v>F</v>
          </cell>
          <cell r="P152" t="str">
            <v>HAC260519104</v>
          </cell>
          <cell r="Q152" t="str">
            <v>OK</v>
          </cell>
          <cell r="R152" t="str">
            <v>ND/</v>
          </cell>
          <cell r="S152" t="str">
            <v>23069819</v>
          </cell>
          <cell r="T152" t="str">
            <v>SON</v>
          </cell>
        </row>
        <row r="153">
          <cell r="E153" t="str">
            <v>TCKU1830410</v>
          </cell>
          <cell r="F153" t="str">
            <v>030882</v>
          </cell>
          <cell r="G153">
            <v>20</v>
          </cell>
          <cell r="H153" t="str">
            <v>GP</v>
          </cell>
          <cell r="I153" t="str">
            <v>20GP</v>
          </cell>
          <cell r="J153" t="str">
            <v>HPH</v>
          </cell>
          <cell r="K153">
            <v>20220</v>
          </cell>
          <cell r="L153">
            <v>20.22</v>
          </cell>
          <cell r="M153" t="str">
            <v>F</v>
          </cell>
          <cell r="O153">
            <v>8</v>
          </cell>
          <cell r="P153" t="str">
            <v>HAC260519148</v>
          </cell>
          <cell r="Q153" t="str">
            <v>DG</v>
          </cell>
          <cell r="R153" t="str">
            <v>ND/</v>
          </cell>
          <cell r="S153" t="str">
            <v>1110197</v>
          </cell>
          <cell r="T153" t="str">
            <v>BINH AC QUY</v>
          </cell>
        </row>
        <row r="154">
          <cell r="E154" t="str">
            <v>TCKU1834251</v>
          </cell>
          <cell r="F154" t="str">
            <v>110508</v>
          </cell>
          <cell r="G154">
            <v>20</v>
          </cell>
          <cell r="H154" t="str">
            <v>GP</v>
          </cell>
          <cell r="I154" t="str">
            <v>20GP</v>
          </cell>
          <cell r="J154" t="str">
            <v>HPH</v>
          </cell>
          <cell r="K154">
            <v>22880</v>
          </cell>
          <cell r="L154">
            <v>22.88</v>
          </cell>
          <cell r="M154" t="str">
            <v>F</v>
          </cell>
          <cell r="P154" t="str">
            <v>HAC260519106</v>
          </cell>
          <cell r="Q154" t="str">
            <v>OK</v>
          </cell>
          <cell r="R154" t="str">
            <v>ND/</v>
          </cell>
          <cell r="S154" t="str">
            <v>001889</v>
          </cell>
          <cell r="T154" t="str">
            <v>CAM</v>
          </cell>
        </row>
        <row r="155">
          <cell r="E155" t="str">
            <v>TCKU1843799</v>
          </cell>
          <cell r="F155" t="str">
            <v>010208</v>
          </cell>
          <cell r="G155">
            <v>20</v>
          </cell>
          <cell r="H155" t="str">
            <v>GP</v>
          </cell>
          <cell r="I155" t="str">
            <v>20GP</v>
          </cell>
          <cell r="J155" t="str">
            <v>HPH</v>
          </cell>
          <cell r="K155">
            <v>28980</v>
          </cell>
          <cell r="L155">
            <v>28.98</v>
          </cell>
          <cell r="M155" t="str">
            <v>F</v>
          </cell>
          <cell r="P155" t="str">
            <v>HAC260520116</v>
          </cell>
          <cell r="Q155" t="str">
            <v>OK</v>
          </cell>
          <cell r="R155" t="str">
            <v>ND/</v>
          </cell>
          <cell r="S155" t="str">
            <v>23102026</v>
          </cell>
          <cell r="T155" t="str">
            <v>GACH</v>
          </cell>
        </row>
        <row r="156">
          <cell r="E156" t="str">
            <v>TCKU2232979</v>
          </cell>
          <cell r="F156" t="str">
            <v>050310</v>
          </cell>
          <cell r="G156">
            <v>20</v>
          </cell>
          <cell r="H156" t="str">
            <v>GP</v>
          </cell>
          <cell r="I156" t="str">
            <v>20GP</v>
          </cell>
          <cell r="J156" t="str">
            <v>HPH</v>
          </cell>
          <cell r="K156">
            <v>18680</v>
          </cell>
          <cell r="L156">
            <v>18.68</v>
          </cell>
          <cell r="M156" t="str">
            <v>F</v>
          </cell>
          <cell r="P156" t="str">
            <v>HAC260520116</v>
          </cell>
          <cell r="Q156" t="str">
            <v>OK</v>
          </cell>
          <cell r="R156" t="str">
            <v>ND/</v>
          </cell>
          <cell r="S156" t="str">
            <v>001821</v>
          </cell>
          <cell r="T156" t="str">
            <v>THUCP HAM</v>
          </cell>
        </row>
        <row r="157">
          <cell r="E157" t="str">
            <v>TCKU2245960</v>
          </cell>
          <cell r="F157" t="str">
            <v>310406</v>
          </cell>
          <cell r="G157">
            <v>20</v>
          </cell>
          <cell r="H157" t="str">
            <v>GP</v>
          </cell>
          <cell r="I157" t="str">
            <v>20GP</v>
          </cell>
          <cell r="J157" t="str">
            <v>HPH</v>
          </cell>
          <cell r="K157">
            <v>29110</v>
          </cell>
          <cell r="L157">
            <v>29.11</v>
          </cell>
          <cell r="M157" t="str">
            <v>F</v>
          </cell>
          <cell r="P157" t="str">
            <v>HAC251017100</v>
          </cell>
          <cell r="Q157" t="str">
            <v>OK</v>
          </cell>
          <cell r="R157" t="str">
            <v>ND/</v>
          </cell>
          <cell r="S157" t="str">
            <v>656102</v>
          </cell>
          <cell r="T157" t="str">
            <v>TÔN CU?N</v>
          </cell>
        </row>
        <row r="158">
          <cell r="E158" t="str">
            <v>TCKU3619330</v>
          </cell>
          <cell r="F158" t="str">
            <v>030206</v>
          </cell>
          <cell r="G158">
            <v>20</v>
          </cell>
          <cell r="H158" t="str">
            <v>GP</v>
          </cell>
          <cell r="I158" t="str">
            <v>20GP</v>
          </cell>
          <cell r="J158" t="str">
            <v>HPH</v>
          </cell>
          <cell r="K158">
            <v>30110</v>
          </cell>
          <cell r="L158">
            <v>30.11</v>
          </cell>
          <cell r="M158" t="str">
            <v>F</v>
          </cell>
          <cell r="P158" t="str">
            <v>HAC260520116</v>
          </cell>
          <cell r="Q158" t="str">
            <v>OK</v>
          </cell>
          <cell r="R158" t="str">
            <v>ND/</v>
          </cell>
          <cell r="S158" t="str">
            <v>23408278</v>
          </cell>
          <cell r="T158" t="str">
            <v>GACH</v>
          </cell>
        </row>
        <row r="159">
          <cell r="E159" t="str">
            <v>TCKU3619520</v>
          </cell>
          <cell r="F159" t="str">
            <v>070404</v>
          </cell>
          <cell r="G159">
            <v>20</v>
          </cell>
          <cell r="H159" t="str">
            <v>GP</v>
          </cell>
          <cell r="I159" t="str">
            <v>20GP</v>
          </cell>
          <cell r="J159" t="str">
            <v>HPH</v>
          </cell>
          <cell r="K159">
            <v>30440</v>
          </cell>
          <cell r="L159">
            <v>30.44</v>
          </cell>
          <cell r="M159" t="str">
            <v>F</v>
          </cell>
          <cell r="P159" t="str">
            <v>HAC260520116</v>
          </cell>
          <cell r="Q159" t="str">
            <v>OK</v>
          </cell>
          <cell r="R159" t="str">
            <v>ND/</v>
          </cell>
          <cell r="S159" t="str">
            <v>340058</v>
          </cell>
          <cell r="T159" t="str">
            <v>GAO</v>
          </cell>
        </row>
        <row r="160">
          <cell r="E160" t="str">
            <v>TCKU3637040</v>
          </cell>
          <cell r="F160" t="str">
            <v>310304</v>
          </cell>
          <cell r="G160">
            <v>20</v>
          </cell>
          <cell r="H160" t="str">
            <v>GP</v>
          </cell>
          <cell r="I160" t="str">
            <v>20GP</v>
          </cell>
          <cell r="J160" t="str">
            <v>HPH</v>
          </cell>
          <cell r="K160">
            <v>29630</v>
          </cell>
          <cell r="L160">
            <v>29.63</v>
          </cell>
          <cell r="M160" t="str">
            <v>F</v>
          </cell>
          <cell r="P160" t="str">
            <v>HAC260519148</v>
          </cell>
          <cell r="Q160" t="str">
            <v>OK</v>
          </cell>
          <cell r="R160" t="str">
            <v>ND/</v>
          </cell>
          <cell r="S160" t="str">
            <v>656068</v>
          </cell>
          <cell r="T160" t="str">
            <v>GAO</v>
          </cell>
        </row>
        <row r="161">
          <cell r="E161" t="str">
            <v>TCKU3820730</v>
          </cell>
          <cell r="F161" t="str">
            <v>310206</v>
          </cell>
          <cell r="G161">
            <v>20</v>
          </cell>
          <cell r="H161" t="str">
            <v>GP</v>
          </cell>
          <cell r="I161" t="str">
            <v>20GP</v>
          </cell>
          <cell r="J161" t="str">
            <v>HPH</v>
          </cell>
          <cell r="K161">
            <v>23520</v>
          </cell>
          <cell r="L161">
            <v>23.52</v>
          </cell>
          <cell r="M161" t="str">
            <v>F</v>
          </cell>
          <cell r="P161" t="str">
            <v>HAC260521157</v>
          </cell>
          <cell r="Q161" t="str">
            <v>OK</v>
          </cell>
          <cell r="R161" t="str">
            <v>ND/</v>
          </cell>
          <cell r="S161" t="str">
            <v>1110146</v>
          </cell>
          <cell r="T161" t="str">
            <v>PALET THUNG PHI</v>
          </cell>
        </row>
        <row r="162">
          <cell r="E162" t="str">
            <v>TCKU3842148</v>
          </cell>
          <cell r="F162" t="str">
            <v>110606</v>
          </cell>
          <cell r="G162">
            <v>20</v>
          </cell>
          <cell r="H162" t="str">
            <v>GP</v>
          </cell>
          <cell r="I162" t="str">
            <v>20GP</v>
          </cell>
          <cell r="J162" t="str">
            <v>HPH</v>
          </cell>
          <cell r="K162">
            <v>21080</v>
          </cell>
          <cell r="L162">
            <v>21.08</v>
          </cell>
          <cell r="M162" t="str">
            <v>F</v>
          </cell>
          <cell r="P162" t="str">
            <v>HAC260519148</v>
          </cell>
          <cell r="Q162" t="str">
            <v>OK</v>
          </cell>
          <cell r="R162" t="str">
            <v>ND/</v>
          </cell>
          <cell r="S162" t="str">
            <v>1116952</v>
          </cell>
          <cell r="T162" t="str">
            <v>KEO</v>
          </cell>
        </row>
        <row r="163">
          <cell r="E163" t="str">
            <v>TCLU2316824</v>
          </cell>
          <cell r="F163" t="str">
            <v>070406</v>
          </cell>
          <cell r="G163">
            <v>20</v>
          </cell>
          <cell r="H163" t="str">
            <v>GP</v>
          </cell>
          <cell r="I163" t="str">
            <v>20GP</v>
          </cell>
          <cell r="J163" t="str">
            <v>HPH</v>
          </cell>
          <cell r="K163">
            <v>30880</v>
          </cell>
          <cell r="L163">
            <v>30.88</v>
          </cell>
          <cell r="M163" t="str">
            <v>F</v>
          </cell>
          <cell r="P163" t="str">
            <v>HAC260520116</v>
          </cell>
          <cell r="Q163" t="str">
            <v>OK</v>
          </cell>
          <cell r="R163" t="str">
            <v>ND/</v>
          </cell>
          <cell r="S163" t="str">
            <v>00231</v>
          </cell>
          <cell r="T163" t="str">
            <v>PHAN BON</v>
          </cell>
        </row>
        <row r="164">
          <cell r="E164" t="str">
            <v>TCLU2416850</v>
          </cell>
          <cell r="F164" t="str">
            <v>050408</v>
          </cell>
          <cell r="G164">
            <v>20</v>
          </cell>
          <cell r="H164" t="str">
            <v>GP</v>
          </cell>
          <cell r="I164" t="str">
            <v>20GP</v>
          </cell>
          <cell r="J164" t="str">
            <v>HPH</v>
          </cell>
          <cell r="K164">
            <v>22950</v>
          </cell>
          <cell r="L164">
            <v>22.95</v>
          </cell>
          <cell r="M164" t="str">
            <v>F</v>
          </cell>
          <cell r="P164" t="str">
            <v>HAC260523029</v>
          </cell>
          <cell r="Q164" t="str">
            <v>MM</v>
          </cell>
          <cell r="R164" t="str">
            <v>ND/</v>
          </cell>
          <cell r="S164" t="str">
            <v>1110150</v>
          </cell>
          <cell r="T164" t="str">
            <v>PALET THUNG PHI</v>
          </cell>
        </row>
        <row r="165">
          <cell r="E165" t="str">
            <v>TCLU3863662</v>
          </cell>
          <cell r="F165" t="str">
            <v>070410</v>
          </cell>
          <cell r="G165">
            <v>20</v>
          </cell>
          <cell r="H165" t="str">
            <v>GP</v>
          </cell>
          <cell r="I165" t="str">
            <v>20GP</v>
          </cell>
          <cell r="J165" t="str">
            <v>HPH</v>
          </cell>
          <cell r="K165">
            <v>6540</v>
          </cell>
          <cell r="L165">
            <v>6.54</v>
          </cell>
          <cell r="M165" t="str">
            <v>F</v>
          </cell>
          <cell r="P165" t="str">
            <v>HAC260525065</v>
          </cell>
          <cell r="Q165" t="str">
            <v>OK</v>
          </cell>
          <cell r="R165" t="str">
            <v>ND/</v>
          </cell>
          <cell r="S165" t="str">
            <v>1105231</v>
          </cell>
          <cell r="T165" t="str">
            <v>THUOC LA</v>
          </cell>
        </row>
        <row r="166">
          <cell r="E166" t="str">
            <v>TCLU7682560</v>
          </cell>
          <cell r="F166" t="str">
            <v>310208</v>
          </cell>
          <cell r="G166">
            <v>20</v>
          </cell>
          <cell r="H166" t="str">
            <v>GP</v>
          </cell>
          <cell r="I166" t="str">
            <v>20GP</v>
          </cell>
          <cell r="J166" t="str">
            <v>HPH</v>
          </cell>
          <cell r="K166">
            <v>16400</v>
          </cell>
          <cell r="L166">
            <v>16.399999999999999</v>
          </cell>
          <cell r="M166" t="str">
            <v>F</v>
          </cell>
          <cell r="P166" t="str">
            <v>HAC260527042</v>
          </cell>
          <cell r="Q166" t="str">
            <v>OK</v>
          </cell>
          <cell r="R166" t="str">
            <v>ND/</v>
          </cell>
          <cell r="S166" t="str">
            <v>1106505</v>
          </cell>
          <cell r="T166" t="str">
            <v>NUOC NGOT</v>
          </cell>
        </row>
        <row r="167">
          <cell r="E167" t="str">
            <v>TGCU0124464</v>
          </cell>
          <cell r="F167" t="str">
            <v>310606</v>
          </cell>
          <cell r="G167">
            <v>20</v>
          </cell>
          <cell r="H167" t="str">
            <v>GP</v>
          </cell>
          <cell r="I167" t="str">
            <v>20GP</v>
          </cell>
          <cell r="J167" t="str">
            <v>HPH</v>
          </cell>
          <cell r="K167">
            <v>29760</v>
          </cell>
          <cell r="L167">
            <v>29.76</v>
          </cell>
          <cell r="M167" t="str">
            <v>F</v>
          </cell>
          <cell r="P167" t="str">
            <v>HAC260520116</v>
          </cell>
          <cell r="Q167" t="str">
            <v>BB</v>
          </cell>
          <cell r="R167" t="str">
            <v>ND/</v>
          </cell>
          <cell r="S167" t="str">
            <v>23399470</v>
          </cell>
          <cell r="T167" t="str">
            <v>GACH</v>
          </cell>
        </row>
        <row r="168">
          <cell r="E168" t="str">
            <v>TGCU0125049</v>
          </cell>
          <cell r="F168" t="str">
            <v>290608</v>
          </cell>
          <cell r="G168">
            <v>20</v>
          </cell>
          <cell r="H168" t="str">
            <v>GP</v>
          </cell>
          <cell r="I168" t="str">
            <v>20GP</v>
          </cell>
          <cell r="J168" t="str">
            <v>HPH</v>
          </cell>
          <cell r="K168">
            <v>17390</v>
          </cell>
          <cell r="L168">
            <v>17.39</v>
          </cell>
          <cell r="M168" t="str">
            <v>F</v>
          </cell>
          <cell r="P168" t="str">
            <v>HAC260519062</v>
          </cell>
          <cell r="Q168" t="str">
            <v>OK</v>
          </cell>
          <cell r="R168" t="str">
            <v>ND/</v>
          </cell>
          <cell r="S168" t="str">
            <v>1118636</v>
          </cell>
          <cell r="T168" t="str">
            <v>NHUA</v>
          </cell>
        </row>
        <row r="169">
          <cell r="E169" t="str">
            <v>TGCU0130894</v>
          </cell>
          <cell r="F169" t="str">
            <v>090506</v>
          </cell>
          <cell r="G169">
            <v>20</v>
          </cell>
          <cell r="H169" t="str">
            <v>GP</v>
          </cell>
          <cell r="I169" t="str">
            <v>20GP</v>
          </cell>
          <cell r="J169" t="str">
            <v>HPH</v>
          </cell>
          <cell r="K169">
            <v>23160</v>
          </cell>
          <cell r="L169">
            <v>23.16</v>
          </cell>
          <cell r="M169" t="str">
            <v>F</v>
          </cell>
          <cell r="P169" t="str">
            <v>HAC260523029</v>
          </cell>
          <cell r="Q169" t="str">
            <v>OK</v>
          </cell>
          <cell r="R169" t="str">
            <v>ND/</v>
          </cell>
          <cell r="S169" t="str">
            <v>1108750</v>
          </cell>
          <cell r="T169" t="str">
            <v>PALET THUNG PHI</v>
          </cell>
        </row>
        <row r="170">
          <cell r="E170" t="str">
            <v>TGCU2014044</v>
          </cell>
          <cell r="F170" t="str">
            <v>030308</v>
          </cell>
          <cell r="G170">
            <v>20</v>
          </cell>
          <cell r="H170" t="str">
            <v>GP</v>
          </cell>
          <cell r="I170" t="str">
            <v>20GP</v>
          </cell>
          <cell r="J170" t="str">
            <v>HPH</v>
          </cell>
          <cell r="K170">
            <v>25350</v>
          </cell>
          <cell r="L170">
            <v>25.35</v>
          </cell>
          <cell r="M170" t="str">
            <v>F</v>
          </cell>
          <cell r="P170" t="str">
            <v>HAC260520116</v>
          </cell>
          <cell r="Q170" t="str">
            <v>OK</v>
          </cell>
          <cell r="R170" t="str">
            <v>ND/</v>
          </cell>
          <cell r="S170" t="str">
            <v>011483</v>
          </cell>
          <cell r="T170" t="str">
            <v>GAXH</v>
          </cell>
        </row>
        <row r="171">
          <cell r="E171" t="str">
            <v>TRHU1519279</v>
          </cell>
          <cell r="F171" t="str">
            <v>310102</v>
          </cell>
          <cell r="G171">
            <v>20</v>
          </cell>
          <cell r="H171" t="str">
            <v>GP</v>
          </cell>
          <cell r="I171" t="str">
            <v>20GP</v>
          </cell>
          <cell r="J171" t="str">
            <v>HPH</v>
          </cell>
          <cell r="K171">
            <v>30050</v>
          </cell>
          <cell r="L171">
            <v>30.05</v>
          </cell>
          <cell r="M171" t="str">
            <v>F</v>
          </cell>
          <cell r="P171" t="str">
            <v>HAC260519064</v>
          </cell>
          <cell r="Q171" t="str">
            <v>OK</v>
          </cell>
          <cell r="R171" t="str">
            <v>ND/</v>
          </cell>
          <cell r="S171" t="str">
            <v>VFC332682</v>
          </cell>
          <cell r="T171" t="str">
            <v>TON PALET</v>
          </cell>
        </row>
        <row r="172">
          <cell r="E172" t="str">
            <v>TRHU1524594</v>
          </cell>
          <cell r="F172" t="str">
            <v>290102</v>
          </cell>
          <cell r="G172">
            <v>20</v>
          </cell>
          <cell r="H172" t="str">
            <v>GP</v>
          </cell>
          <cell r="I172" t="str">
            <v>20GP</v>
          </cell>
          <cell r="J172" t="str">
            <v>HPH</v>
          </cell>
          <cell r="K172">
            <v>29890</v>
          </cell>
          <cell r="L172">
            <v>29.89</v>
          </cell>
          <cell r="M172" t="str">
            <v>F</v>
          </cell>
          <cell r="P172" t="str">
            <v>HAC260525042</v>
          </cell>
          <cell r="Q172" t="str">
            <v>OK</v>
          </cell>
          <cell r="R172" t="str">
            <v>ND/</v>
          </cell>
          <cell r="S172" t="str">
            <v>404208</v>
          </cell>
          <cell r="T172" t="str">
            <v>CAP VT</v>
          </cell>
        </row>
        <row r="173">
          <cell r="E173" t="str">
            <v>TRHU1955441</v>
          </cell>
          <cell r="F173" t="str">
            <v>010110</v>
          </cell>
          <cell r="G173">
            <v>20</v>
          </cell>
          <cell r="H173" t="str">
            <v>GP</v>
          </cell>
          <cell r="I173" t="str">
            <v>20GP</v>
          </cell>
          <cell r="J173" t="str">
            <v>HPH</v>
          </cell>
          <cell r="K173">
            <v>25950</v>
          </cell>
          <cell r="L173">
            <v>25.95</v>
          </cell>
          <cell r="M173" t="str">
            <v>F</v>
          </cell>
          <cell r="P173" t="str">
            <v>HAC260525135</v>
          </cell>
          <cell r="Q173" t="str">
            <v>OK</v>
          </cell>
          <cell r="R173" t="str">
            <v>ND/</v>
          </cell>
          <cell r="S173" t="str">
            <v>000131</v>
          </cell>
          <cell r="T173" t="str">
            <v>THUC PHAM</v>
          </cell>
        </row>
        <row r="174">
          <cell r="E174" t="str">
            <v>TRHU2497554</v>
          </cell>
          <cell r="F174" t="str">
            <v>070606</v>
          </cell>
          <cell r="G174">
            <v>20</v>
          </cell>
          <cell r="H174" t="str">
            <v>GP</v>
          </cell>
          <cell r="I174" t="str">
            <v>20GP</v>
          </cell>
          <cell r="J174" t="str">
            <v>HPH</v>
          </cell>
          <cell r="K174">
            <v>29620</v>
          </cell>
          <cell r="L174">
            <v>29.62</v>
          </cell>
          <cell r="M174" t="str">
            <v>F</v>
          </cell>
          <cell r="P174" t="str">
            <v>HAC260523036</v>
          </cell>
          <cell r="Q174" t="str">
            <v>OK</v>
          </cell>
          <cell r="R174" t="str">
            <v>ND/</v>
          </cell>
          <cell r="S174" t="str">
            <v>000615</v>
          </cell>
          <cell r="T174" t="str">
            <v>GAO</v>
          </cell>
        </row>
        <row r="175">
          <cell r="E175" t="str">
            <v>TRHU3461561</v>
          </cell>
          <cell r="F175" t="str">
            <v>030410</v>
          </cell>
          <cell r="G175">
            <v>20</v>
          </cell>
          <cell r="H175" t="str">
            <v>GP</v>
          </cell>
          <cell r="I175" t="str">
            <v>20GP</v>
          </cell>
          <cell r="J175" t="str">
            <v>HPH</v>
          </cell>
          <cell r="K175">
            <v>20440</v>
          </cell>
          <cell r="L175">
            <v>20.440000000000001</v>
          </cell>
          <cell r="M175" t="str">
            <v>F</v>
          </cell>
          <cell r="P175" t="str">
            <v>HAC260520116</v>
          </cell>
          <cell r="Q175" t="str">
            <v>XX</v>
          </cell>
          <cell r="R175" t="str">
            <v>ND/</v>
          </cell>
          <cell r="S175" t="str">
            <v>001788</v>
          </cell>
          <cell r="T175" t="str">
            <v>CAM</v>
          </cell>
        </row>
        <row r="176">
          <cell r="E176" t="str">
            <v>YMLU3383308</v>
          </cell>
          <cell r="F176" t="str">
            <v>310202</v>
          </cell>
          <cell r="G176">
            <v>20</v>
          </cell>
          <cell r="H176" t="str">
            <v>GP</v>
          </cell>
          <cell r="I176" t="str">
            <v>20GP</v>
          </cell>
          <cell r="J176" t="str">
            <v>HPH</v>
          </cell>
          <cell r="K176">
            <v>29640</v>
          </cell>
          <cell r="L176">
            <v>29.64</v>
          </cell>
          <cell r="M176" t="str">
            <v>F</v>
          </cell>
          <cell r="P176" t="str">
            <v>HAC260519065</v>
          </cell>
          <cell r="Q176" t="str">
            <v>OK</v>
          </cell>
          <cell r="R176" t="str">
            <v>ND/</v>
          </cell>
          <cell r="S176" t="str">
            <v>VFC332637</v>
          </cell>
          <cell r="T176" t="str">
            <v>TON PALET</v>
          </cell>
        </row>
        <row r="177">
          <cell r="E177" t="str">
            <v>YMLU3417882</v>
          </cell>
          <cell r="F177" t="str">
            <v>050608</v>
          </cell>
          <cell r="G177">
            <v>20</v>
          </cell>
          <cell r="H177" t="str">
            <v>GP</v>
          </cell>
          <cell r="I177" t="str">
            <v>20GP</v>
          </cell>
          <cell r="J177" t="str">
            <v>HPH</v>
          </cell>
          <cell r="K177">
            <v>28970</v>
          </cell>
          <cell r="L177">
            <v>28.97</v>
          </cell>
          <cell r="M177" t="str">
            <v>F</v>
          </cell>
          <cell r="P177" t="str">
            <v>HAC260519065</v>
          </cell>
          <cell r="Q177" t="str">
            <v>OK</v>
          </cell>
          <cell r="R177" t="str">
            <v>ND/</v>
          </cell>
          <cell r="S177" t="str">
            <v>VFC331585</v>
          </cell>
          <cell r="T177" t="str">
            <v>GAO</v>
          </cell>
        </row>
        <row r="178">
          <cell r="E178" t="str">
            <v>YMLU3443789</v>
          </cell>
          <cell r="F178" t="str">
            <v>290404</v>
          </cell>
          <cell r="G178">
            <v>20</v>
          </cell>
          <cell r="H178" t="str">
            <v>GP</v>
          </cell>
          <cell r="I178" t="str">
            <v>20GP</v>
          </cell>
          <cell r="J178" t="str">
            <v>HPH</v>
          </cell>
          <cell r="K178">
            <v>29900</v>
          </cell>
          <cell r="L178">
            <v>29.9</v>
          </cell>
          <cell r="M178" t="str">
            <v>F</v>
          </cell>
          <cell r="P178" t="str">
            <v>HAC260519065</v>
          </cell>
          <cell r="Q178" t="str">
            <v>MM</v>
          </cell>
          <cell r="R178" t="str">
            <v>ND/</v>
          </cell>
          <cell r="S178" t="str">
            <v>22582683</v>
          </cell>
          <cell r="T178" t="str">
            <v>TON PALET</v>
          </cell>
        </row>
        <row r="179">
          <cell r="E179" t="str">
            <v>YMLU3487030</v>
          </cell>
          <cell r="F179" t="str">
            <v>030204</v>
          </cell>
          <cell r="G179">
            <v>20</v>
          </cell>
          <cell r="H179" t="str">
            <v>GP</v>
          </cell>
          <cell r="I179" t="str">
            <v>20GP</v>
          </cell>
          <cell r="J179" t="str">
            <v>HPH</v>
          </cell>
          <cell r="K179">
            <v>30340</v>
          </cell>
          <cell r="L179">
            <v>30.34</v>
          </cell>
          <cell r="M179" t="str">
            <v>F</v>
          </cell>
          <cell r="P179" t="str">
            <v>HAC260519065</v>
          </cell>
          <cell r="Q179" t="str">
            <v>BB</v>
          </cell>
          <cell r="R179" t="str">
            <v>ND/</v>
          </cell>
          <cell r="S179" t="str">
            <v>VFC334438</v>
          </cell>
          <cell r="T179" t="str">
            <v>TON PALLET</v>
          </cell>
        </row>
        <row r="180">
          <cell r="E180" t="str">
            <v>BEAU5238046</v>
          </cell>
          <cell r="F180" t="str">
            <v>300886</v>
          </cell>
          <cell r="G180">
            <v>40</v>
          </cell>
          <cell r="H180" t="str">
            <v>HC</v>
          </cell>
          <cell r="I180" t="str">
            <v>40HC</v>
          </cell>
          <cell r="J180" t="str">
            <v>HPH</v>
          </cell>
          <cell r="K180">
            <v>3800</v>
          </cell>
          <cell r="L180">
            <v>3.8</v>
          </cell>
          <cell r="M180" t="str">
            <v>E</v>
          </cell>
          <cell r="P180" t="str">
            <v>N</v>
          </cell>
          <cell r="Q180" t="str">
            <v>XX</v>
          </cell>
          <cell r="R180" t="str">
            <v>ND/</v>
          </cell>
          <cell r="S180" t="str">
            <v/>
          </cell>
        </row>
        <row r="181">
          <cell r="E181" t="str">
            <v>BEAU5266433</v>
          </cell>
          <cell r="F181" t="str">
            <v>260486</v>
          </cell>
          <cell r="G181">
            <v>40</v>
          </cell>
          <cell r="H181" t="str">
            <v>HC</v>
          </cell>
          <cell r="I181" t="str">
            <v>40HC</v>
          </cell>
          <cell r="J181" t="str">
            <v>HPH</v>
          </cell>
          <cell r="K181">
            <v>3800</v>
          </cell>
          <cell r="L181">
            <v>3.8</v>
          </cell>
          <cell r="M181" t="str">
            <v>E</v>
          </cell>
          <cell r="P181" t="str">
            <v>N</v>
          </cell>
          <cell r="Q181" t="str">
            <v>XX</v>
          </cell>
          <cell r="R181" t="str">
            <v>ND/</v>
          </cell>
          <cell r="S181" t="str">
            <v/>
          </cell>
        </row>
        <row r="182">
          <cell r="E182" t="str">
            <v>BSIU9786937</v>
          </cell>
          <cell r="F182" t="str">
            <v>300586</v>
          </cell>
          <cell r="G182">
            <v>40</v>
          </cell>
          <cell r="H182" t="str">
            <v>HC</v>
          </cell>
          <cell r="I182" t="str">
            <v>40HC</v>
          </cell>
          <cell r="J182" t="str">
            <v>HPH</v>
          </cell>
          <cell r="K182">
            <v>3800</v>
          </cell>
          <cell r="L182">
            <v>3.8</v>
          </cell>
          <cell r="M182" t="str">
            <v>E</v>
          </cell>
          <cell r="P182" t="str">
            <v>N</v>
          </cell>
          <cell r="Q182" t="str">
            <v>XX</v>
          </cell>
          <cell r="R182" t="str">
            <v>ND/</v>
          </cell>
          <cell r="S182" t="str">
            <v/>
          </cell>
        </row>
        <row r="183">
          <cell r="E183" t="str">
            <v>CAAU7698572</v>
          </cell>
          <cell r="F183" t="str">
            <v>300588</v>
          </cell>
          <cell r="G183">
            <v>40</v>
          </cell>
          <cell r="H183" t="str">
            <v>HC</v>
          </cell>
          <cell r="I183" t="str">
            <v>40HC</v>
          </cell>
          <cell r="J183" t="str">
            <v>HPH</v>
          </cell>
          <cell r="K183">
            <v>3800</v>
          </cell>
          <cell r="L183">
            <v>3.8</v>
          </cell>
          <cell r="M183" t="str">
            <v>E</v>
          </cell>
          <cell r="P183" t="str">
            <v>N</v>
          </cell>
          <cell r="Q183" t="str">
            <v>XX</v>
          </cell>
          <cell r="R183" t="str">
            <v>ND/</v>
          </cell>
          <cell r="S183" t="str">
            <v/>
          </cell>
        </row>
        <row r="184">
          <cell r="E184" t="str">
            <v>FDCU0540863</v>
          </cell>
          <cell r="F184" t="str">
            <v>300986</v>
          </cell>
          <cell r="G184">
            <v>40</v>
          </cell>
          <cell r="H184" t="str">
            <v>HC</v>
          </cell>
          <cell r="I184" t="str">
            <v>40HC</v>
          </cell>
          <cell r="J184" t="str">
            <v>HPH</v>
          </cell>
          <cell r="K184">
            <v>3800</v>
          </cell>
          <cell r="L184">
            <v>3.8</v>
          </cell>
          <cell r="M184" t="str">
            <v>E</v>
          </cell>
          <cell r="P184" t="str">
            <v>N</v>
          </cell>
          <cell r="Q184" t="str">
            <v>XX</v>
          </cell>
          <cell r="R184" t="str">
            <v>ND/</v>
          </cell>
          <cell r="S184" t="str">
            <v/>
          </cell>
        </row>
        <row r="185">
          <cell r="E185" t="str">
            <v>FDCU0601629</v>
          </cell>
          <cell r="F185" t="str">
            <v>261086</v>
          </cell>
          <cell r="G185">
            <v>40</v>
          </cell>
          <cell r="H185" t="str">
            <v>HC</v>
          </cell>
          <cell r="I185" t="str">
            <v>40HC</v>
          </cell>
          <cell r="J185" t="str">
            <v>HPH</v>
          </cell>
          <cell r="K185">
            <v>3800</v>
          </cell>
          <cell r="L185">
            <v>3.8</v>
          </cell>
          <cell r="M185" t="str">
            <v>E</v>
          </cell>
          <cell r="P185" t="str">
            <v>N</v>
          </cell>
          <cell r="Q185" t="str">
            <v>XX</v>
          </cell>
          <cell r="R185" t="str">
            <v>ND/</v>
          </cell>
          <cell r="S185" t="str">
            <v/>
          </cell>
        </row>
        <row r="186">
          <cell r="E186" t="str">
            <v>FFAU3703421</v>
          </cell>
          <cell r="F186" t="str">
            <v>260986</v>
          </cell>
          <cell r="G186">
            <v>40</v>
          </cell>
          <cell r="H186" t="str">
            <v>HC</v>
          </cell>
          <cell r="I186" t="str">
            <v>40HC</v>
          </cell>
          <cell r="J186" t="str">
            <v>HPH</v>
          </cell>
          <cell r="K186">
            <v>3800</v>
          </cell>
          <cell r="L186">
            <v>3.8</v>
          </cell>
          <cell r="M186" t="str">
            <v>E</v>
          </cell>
          <cell r="P186" t="str">
            <v>N</v>
          </cell>
          <cell r="Q186" t="str">
            <v>XX</v>
          </cell>
          <cell r="R186" t="str">
            <v>ND/</v>
          </cell>
          <cell r="S186" t="str">
            <v/>
          </cell>
        </row>
        <row r="187">
          <cell r="E187" t="str">
            <v>FFAU6231801</v>
          </cell>
          <cell r="F187" t="str">
            <v>260786</v>
          </cell>
          <cell r="G187">
            <v>40</v>
          </cell>
          <cell r="H187" t="str">
            <v>HC</v>
          </cell>
          <cell r="I187" t="str">
            <v>40HC</v>
          </cell>
          <cell r="J187" t="str">
            <v>HPH</v>
          </cell>
          <cell r="K187">
            <v>3800</v>
          </cell>
          <cell r="L187">
            <v>3.8</v>
          </cell>
          <cell r="M187" t="str">
            <v>E</v>
          </cell>
          <cell r="P187" t="str">
            <v>N</v>
          </cell>
          <cell r="Q187" t="str">
            <v>XX</v>
          </cell>
          <cell r="R187" t="str">
            <v>ND/</v>
          </cell>
          <cell r="S187" t="str">
            <v/>
          </cell>
        </row>
        <row r="188">
          <cell r="E188" t="str">
            <v>FFAU6460053</v>
          </cell>
          <cell r="F188" t="str">
            <v>300786</v>
          </cell>
          <cell r="G188">
            <v>40</v>
          </cell>
          <cell r="H188" t="str">
            <v>HC</v>
          </cell>
          <cell r="I188" t="str">
            <v>40HC</v>
          </cell>
          <cell r="J188" t="str">
            <v>HPH</v>
          </cell>
          <cell r="K188">
            <v>3800</v>
          </cell>
          <cell r="L188">
            <v>3.8</v>
          </cell>
          <cell r="M188" t="str">
            <v>E</v>
          </cell>
          <cell r="P188" t="str">
            <v>N</v>
          </cell>
          <cell r="Q188" t="str">
            <v>XX</v>
          </cell>
          <cell r="R188" t="str">
            <v>ND/</v>
          </cell>
          <cell r="S188" t="str">
            <v/>
          </cell>
        </row>
        <row r="189">
          <cell r="E189" t="str">
            <v>KKFU8060684</v>
          </cell>
          <cell r="F189" t="str">
            <v>260286</v>
          </cell>
          <cell r="G189">
            <v>40</v>
          </cell>
          <cell r="H189" t="str">
            <v>HC</v>
          </cell>
          <cell r="I189" t="str">
            <v>40HC</v>
          </cell>
          <cell r="J189" t="str">
            <v>HPH</v>
          </cell>
          <cell r="K189">
            <v>3800</v>
          </cell>
          <cell r="L189">
            <v>3.8</v>
          </cell>
          <cell r="M189" t="str">
            <v>E</v>
          </cell>
          <cell r="P189" t="str">
            <v>N</v>
          </cell>
          <cell r="Q189" t="str">
            <v>XX</v>
          </cell>
          <cell r="R189" t="str">
            <v>ND/</v>
          </cell>
          <cell r="S189" t="str">
            <v/>
          </cell>
        </row>
        <row r="190">
          <cell r="E190" t="str">
            <v>NYKU4707665</v>
          </cell>
          <cell r="F190" t="str">
            <v>300686</v>
          </cell>
          <cell r="G190">
            <v>40</v>
          </cell>
          <cell r="H190" t="str">
            <v>HC</v>
          </cell>
          <cell r="I190" t="str">
            <v>40HC</v>
          </cell>
          <cell r="J190" t="str">
            <v>HPH</v>
          </cell>
          <cell r="K190">
            <v>3800</v>
          </cell>
          <cell r="L190">
            <v>3.8</v>
          </cell>
          <cell r="M190" t="str">
            <v>E</v>
          </cell>
          <cell r="P190" t="str">
            <v>N</v>
          </cell>
          <cell r="Q190" t="str">
            <v>XX</v>
          </cell>
          <cell r="R190" t="str">
            <v>ND/</v>
          </cell>
          <cell r="S190" t="str">
            <v/>
          </cell>
        </row>
        <row r="191">
          <cell r="E191" t="str">
            <v>ONEU1130582</v>
          </cell>
          <cell r="F191" t="str">
            <v>300188</v>
          </cell>
          <cell r="G191">
            <v>40</v>
          </cell>
          <cell r="H191" t="str">
            <v>HC</v>
          </cell>
          <cell r="I191" t="str">
            <v>40HC</v>
          </cell>
          <cell r="J191" t="str">
            <v>HPH</v>
          </cell>
          <cell r="K191">
            <v>3800</v>
          </cell>
          <cell r="L191">
            <v>3.8</v>
          </cell>
          <cell r="M191" t="str">
            <v>E</v>
          </cell>
          <cell r="P191" t="str">
            <v>N</v>
          </cell>
          <cell r="Q191" t="str">
            <v>XX</v>
          </cell>
          <cell r="R191" t="str">
            <v>ND/</v>
          </cell>
          <cell r="S191" t="str">
            <v/>
          </cell>
        </row>
        <row r="192">
          <cell r="E192" t="str">
            <v>ONEU1971650</v>
          </cell>
          <cell r="F192" t="str">
            <v>301086</v>
          </cell>
          <cell r="G192">
            <v>40</v>
          </cell>
          <cell r="H192" t="str">
            <v>HC</v>
          </cell>
          <cell r="I192" t="str">
            <v>40HC</v>
          </cell>
          <cell r="J192" t="str">
            <v>HPH</v>
          </cell>
          <cell r="K192">
            <v>3800</v>
          </cell>
          <cell r="L192">
            <v>3.8</v>
          </cell>
          <cell r="M192" t="str">
            <v>E</v>
          </cell>
          <cell r="P192" t="str">
            <v>N</v>
          </cell>
          <cell r="Q192" t="str">
            <v>XX</v>
          </cell>
          <cell r="R192" t="str">
            <v>ND/</v>
          </cell>
          <cell r="S192" t="str">
            <v/>
          </cell>
        </row>
        <row r="193">
          <cell r="E193" t="str">
            <v>ONEU5336627</v>
          </cell>
          <cell r="F193" t="str">
            <v>300888</v>
          </cell>
          <cell r="G193">
            <v>40</v>
          </cell>
          <cell r="H193" t="str">
            <v>HC</v>
          </cell>
          <cell r="I193" t="str">
            <v>40HC</v>
          </cell>
          <cell r="J193" t="str">
            <v>HPH</v>
          </cell>
          <cell r="K193">
            <v>3800</v>
          </cell>
          <cell r="L193">
            <v>3.8</v>
          </cell>
          <cell r="M193" t="str">
            <v>E</v>
          </cell>
          <cell r="P193" t="str">
            <v>N</v>
          </cell>
          <cell r="Q193" t="str">
            <v>XX</v>
          </cell>
          <cell r="R193" t="str">
            <v>ND/</v>
          </cell>
          <cell r="S193" t="str">
            <v/>
          </cell>
        </row>
        <row r="194">
          <cell r="E194" t="str">
            <v>ONEU5666341</v>
          </cell>
          <cell r="F194" t="str">
            <v>300288</v>
          </cell>
          <cell r="G194">
            <v>40</v>
          </cell>
          <cell r="H194" t="str">
            <v>HC</v>
          </cell>
          <cell r="I194" t="str">
            <v>40HC</v>
          </cell>
          <cell r="J194" t="str">
            <v>HPH</v>
          </cell>
          <cell r="K194">
            <v>3800</v>
          </cell>
          <cell r="L194">
            <v>3.8</v>
          </cell>
          <cell r="M194" t="str">
            <v>E</v>
          </cell>
          <cell r="P194" t="str">
            <v>N</v>
          </cell>
          <cell r="Q194" t="str">
            <v>XX</v>
          </cell>
          <cell r="R194" t="str">
            <v>ND/</v>
          </cell>
          <cell r="S194" t="str">
            <v/>
          </cell>
        </row>
        <row r="195">
          <cell r="E195" t="str">
            <v>ONEU6841433</v>
          </cell>
          <cell r="F195" t="str">
            <v>260886</v>
          </cell>
          <cell r="G195">
            <v>40</v>
          </cell>
          <cell r="H195" t="str">
            <v>HC</v>
          </cell>
          <cell r="I195" t="str">
            <v>40HC</v>
          </cell>
          <cell r="J195" t="str">
            <v>HPH</v>
          </cell>
          <cell r="K195">
            <v>3800</v>
          </cell>
          <cell r="L195">
            <v>3.8</v>
          </cell>
          <cell r="M195" t="str">
            <v>E</v>
          </cell>
          <cell r="P195" t="str">
            <v>N</v>
          </cell>
          <cell r="Q195" t="str">
            <v>XX</v>
          </cell>
          <cell r="R195" t="str">
            <v>ND/</v>
          </cell>
          <cell r="S195" t="str">
            <v/>
          </cell>
        </row>
        <row r="196">
          <cell r="E196" t="str">
            <v>TCLU1581280</v>
          </cell>
          <cell r="F196" t="str">
            <v>300788</v>
          </cell>
          <cell r="G196">
            <v>40</v>
          </cell>
          <cell r="H196" t="str">
            <v>HC</v>
          </cell>
          <cell r="I196" t="str">
            <v>40HC</v>
          </cell>
          <cell r="J196" t="str">
            <v>HPH</v>
          </cell>
          <cell r="K196">
            <v>3800</v>
          </cell>
          <cell r="L196">
            <v>3.8</v>
          </cell>
          <cell r="M196" t="str">
            <v>E</v>
          </cell>
          <cell r="P196" t="str">
            <v>N</v>
          </cell>
          <cell r="Q196" t="str">
            <v>XX</v>
          </cell>
          <cell r="R196" t="str">
            <v>ND/</v>
          </cell>
          <cell r="S196" t="str">
            <v/>
          </cell>
        </row>
        <row r="197">
          <cell r="E197" t="str">
            <v>TCLU1788451</v>
          </cell>
          <cell r="F197" t="str">
            <v>300988</v>
          </cell>
          <cell r="G197">
            <v>40</v>
          </cell>
          <cell r="H197" t="str">
            <v>HC</v>
          </cell>
          <cell r="I197" t="str">
            <v>40HC</v>
          </cell>
          <cell r="J197" t="str">
            <v>HPH</v>
          </cell>
          <cell r="K197">
            <v>3800</v>
          </cell>
          <cell r="L197">
            <v>3.8</v>
          </cell>
          <cell r="M197" t="str">
            <v>E</v>
          </cell>
          <cell r="P197" t="str">
            <v>N</v>
          </cell>
          <cell r="Q197" t="str">
            <v>XX</v>
          </cell>
          <cell r="R197" t="str">
            <v>ND/</v>
          </cell>
          <cell r="S197" t="str">
            <v/>
          </cell>
        </row>
        <row r="198">
          <cell r="E198" t="str">
            <v>TCLU9341921</v>
          </cell>
          <cell r="F198" t="str">
            <v>300386</v>
          </cell>
          <cell r="G198">
            <v>40</v>
          </cell>
          <cell r="H198" t="str">
            <v>HC</v>
          </cell>
          <cell r="I198" t="str">
            <v>40HC</v>
          </cell>
          <cell r="J198" t="str">
            <v>HPH</v>
          </cell>
          <cell r="K198">
            <v>3800</v>
          </cell>
          <cell r="L198">
            <v>3.8</v>
          </cell>
          <cell r="M198" t="str">
            <v>E</v>
          </cell>
          <cell r="P198" t="str">
            <v>N</v>
          </cell>
          <cell r="Q198" t="str">
            <v>XX</v>
          </cell>
          <cell r="R198" t="str">
            <v>ND/</v>
          </cell>
          <cell r="S198" t="str">
            <v/>
          </cell>
        </row>
        <row r="199">
          <cell r="E199" t="str">
            <v>TCLU9646469</v>
          </cell>
          <cell r="F199" t="str">
            <v>260686</v>
          </cell>
          <cell r="G199">
            <v>40</v>
          </cell>
          <cell r="H199" t="str">
            <v>HC</v>
          </cell>
          <cell r="I199" t="str">
            <v>40HC</v>
          </cell>
          <cell r="J199" t="str">
            <v>HPH</v>
          </cell>
          <cell r="K199">
            <v>3800</v>
          </cell>
          <cell r="L199">
            <v>3.8</v>
          </cell>
          <cell r="M199" t="str">
            <v>E</v>
          </cell>
          <cell r="P199" t="str">
            <v>N</v>
          </cell>
          <cell r="Q199" t="str">
            <v>XX</v>
          </cell>
          <cell r="R199" t="str">
            <v>ND/</v>
          </cell>
          <cell r="S199" t="str">
            <v/>
          </cell>
        </row>
        <row r="200">
          <cell r="E200" t="str">
            <v>TCLU9672431</v>
          </cell>
          <cell r="F200" t="str">
            <v>300486</v>
          </cell>
          <cell r="G200">
            <v>40</v>
          </cell>
          <cell r="H200" t="str">
            <v>HC</v>
          </cell>
          <cell r="I200" t="str">
            <v>40HC</v>
          </cell>
          <cell r="J200" t="str">
            <v>HPH</v>
          </cell>
          <cell r="K200">
            <v>3800</v>
          </cell>
          <cell r="L200">
            <v>3.8</v>
          </cell>
          <cell r="M200" t="str">
            <v>E</v>
          </cell>
          <cell r="P200" t="str">
            <v>N</v>
          </cell>
          <cell r="Q200" t="str">
            <v>XX</v>
          </cell>
          <cell r="R200" t="str">
            <v>ND/</v>
          </cell>
          <cell r="S200" t="str">
            <v/>
          </cell>
        </row>
        <row r="201">
          <cell r="E201" t="str">
            <v>TCLU9719837</v>
          </cell>
          <cell r="F201" t="str">
            <v>300688</v>
          </cell>
          <cell r="G201">
            <v>40</v>
          </cell>
          <cell r="H201" t="str">
            <v>HC</v>
          </cell>
          <cell r="I201" t="str">
            <v>40HC</v>
          </cell>
          <cell r="J201" t="str">
            <v>HPH</v>
          </cell>
          <cell r="K201">
            <v>3800</v>
          </cell>
          <cell r="L201">
            <v>3.8</v>
          </cell>
          <cell r="M201" t="str">
            <v>E</v>
          </cell>
          <cell r="P201" t="str">
            <v>N</v>
          </cell>
          <cell r="Q201" t="str">
            <v>XX</v>
          </cell>
          <cell r="R201" t="str">
            <v>ND/</v>
          </cell>
          <cell r="S201" t="str">
            <v/>
          </cell>
        </row>
        <row r="202">
          <cell r="E202" t="str">
            <v>TCNU3084802</v>
          </cell>
          <cell r="F202" t="str">
            <v>260186</v>
          </cell>
          <cell r="G202">
            <v>40</v>
          </cell>
          <cell r="H202" t="str">
            <v>HC</v>
          </cell>
          <cell r="I202" t="str">
            <v>40HC</v>
          </cell>
          <cell r="J202" t="str">
            <v>HPH</v>
          </cell>
          <cell r="K202">
            <v>3800</v>
          </cell>
          <cell r="L202">
            <v>3.8</v>
          </cell>
          <cell r="M202" t="str">
            <v>E</v>
          </cell>
          <cell r="P202" t="str">
            <v>N</v>
          </cell>
          <cell r="Q202" t="str">
            <v>XX</v>
          </cell>
          <cell r="R202" t="str">
            <v>ND/</v>
          </cell>
          <cell r="S202" t="str">
            <v/>
          </cell>
        </row>
        <row r="203">
          <cell r="E203" t="str">
            <v>TCNU4429914</v>
          </cell>
          <cell r="F203" t="str">
            <v>300286</v>
          </cell>
          <cell r="G203">
            <v>40</v>
          </cell>
          <cell r="H203" t="str">
            <v>HC</v>
          </cell>
          <cell r="I203" t="str">
            <v>40HC</v>
          </cell>
          <cell r="J203" t="str">
            <v>HPH</v>
          </cell>
          <cell r="K203">
            <v>3800</v>
          </cell>
          <cell r="L203">
            <v>3.8</v>
          </cell>
          <cell r="M203" t="str">
            <v>E</v>
          </cell>
          <cell r="P203" t="str">
            <v>N</v>
          </cell>
          <cell r="Q203" t="str">
            <v>XX</v>
          </cell>
          <cell r="R203" t="str">
            <v>ND/</v>
          </cell>
          <cell r="S203" t="str">
            <v/>
          </cell>
        </row>
        <row r="204">
          <cell r="E204" t="str">
            <v>TCNU4905353</v>
          </cell>
          <cell r="F204" t="str">
            <v>301088</v>
          </cell>
          <cell r="G204">
            <v>40</v>
          </cell>
          <cell r="H204" t="str">
            <v>HC</v>
          </cell>
          <cell r="I204" t="str">
            <v>40HC</v>
          </cell>
          <cell r="J204" t="str">
            <v>HPH</v>
          </cell>
          <cell r="K204">
            <v>3800</v>
          </cell>
          <cell r="L204">
            <v>3.8</v>
          </cell>
          <cell r="M204" t="str">
            <v>E</v>
          </cell>
          <cell r="P204" t="str">
            <v>N</v>
          </cell>
          <cell r="Q204" t="str">
            <v>XX</v>
          </cell>
          <cell r="R204" t="str">
            <v>ND/</v>
          </cell>
          <cell r="S204" t="str">
            <v/>
          </cell>
        </row>
        <row r="205">
          <cell r="E205" t="str">
            <v>TCNU5129721</v>
          </cell>
          <cell r="F205" t="str">
            <v>300488</v>
          </cell>
          <cell r="G205">
            <v>40</v>
          </cell>
          <cell r="H205" t="str">
            <v>HC</v>
          </cell>
          <cell r="I205" t="str">
            <v>40HC</v>
          </cell>
          <cell r="J205" t="str">
            <v>HPH</v>
          </cell>
          <cell r="K205">
            <v>3800</v>
          </cell>
          <cell r="L205">
            <v>3.8</v>
          </cell>
          <cell r="M205" t="str">
            <v>E</v>
          </cell>
          <cell r="P205" t="str">
            <v>N</v>
          </cell>
          <cell r="Q205" t="str">
            <v>XX</v>
          </cell>
          <cell r="R205" t="str">
            <v>ND/</v>
          </cell>
          <cell r="S205" t="str">
            <v/>
          </cell>
        </row>
        <row r="206">
          <cell r="E206" t="str">
            <v>TCNU6852015</v>
          </cell>
          <cell r="F206" t="str">
            <v>260386</v>
          </cell>
          <cell r="G206">
            <v>40</v>
          </cell>
          <cell r="H206" t="str">
            <v>HC</v>
          </cell>
          <cell r="I206" t="str">
            <v>40HC</v>
          </cell>
          <cell r="J206" t="str">
            <v>HPH</v>
          </cell>
          <cell r="K206">
            <v>3800</v>
          </cell>
          <cell r="L206">
            <v>3.8</v>
          </cell>
          <cell r="M206" t="str">
            <v>E</v>
          </cell>
          <cell r="P206" t="str">
            <v>N</v>
          </cell>
          <cell r="Q206" t="str">
            <v>XX</v>
          </cell>
          <cell r="R206" t="str">
            <v>ND/</v>
          </cell>
          <cell r="S206" t="str">
            <v/>
          </cell>
        </row>
        <row r="207">
          <cell r="E207" t="str">
            <v>TGBU4498915</v>
          </cell>
          <cell r="F207" t="str">
            <v>260586</v>
          </cell>
          <cell r="G207">
            <v>40</v>
          </cell>
          <cell r="H207" t="str">
            <v>HC</v>
          </cell>
          <cell r="I207" t="str">
            <v>40HC</v>
          </cell>
          <cell r="J207" t="str">
            <v>HPH</v>
          </cell>
          <cell r="K207">
            <v>3800</v>
          </cell>
          <cell r="L207">
            <v>3.8</v>
          </cell>
          <cell r="M207" t="str">
            <v>E</v>
          </cell>
          <cell r="P207" t="str">
            <v>N</v>
          </cell>
          <cell r="Q207" t="str">
            <v>XX</v>
          </cell>
          <cell r="R207" t="str">
            <v>ND/</v>
          </cell>
          <cell r="S207" t="str">
            <v/>
          </cell>
        </row>
        <row r="208">
          <cell r="E208" t="str">
            <v>TRHU7392617</v>
          </cell>
          <cell r="F208" t="str">
            <v>300388</v>
          </cell>
          <cell r="G208">
            <v>40</v>
          </cell>
          <cell r="H208" t="str">
            <v>HC</v>
          </cell>
          <cell r="I208" t="str">
            <v>40HC</v>
          </cell>
          <cell r="J208" t="str">
            <v>HPH</v>
          </cell>
          <cell r="K208">
            <v>3800</v>
          </cell>
          <cell r="L208">
            <v>3.8</v>
          </cell>
          <cell r="M208" t="str">
            <v>E</v>
          </cell>
          <cell r="P208" t="str">
            <v>N</v>
          </cell>
          <cell r="Q208" t="str">
            <v>XX</v>
          </cell>
          <cell r="R208" t="str">
            <v>ND/</v>
          </cell>
          <cell r="S208" t="str">
            <v/>
          </cell>
        </row>
        <row r="209">
          <cell r="E209" t="str">
            <v>TRHU8378634</v>
          </cell>
          <cell r="F209" t="str">
            <v>300186</v>
          </cell>
          <cell r="G209">
            <v>40</v>
          </cell>
          <cell r="H209" t="str">
            <v>HC</v>
          </cell>
          <cell r="I209" t="str">
            <v>40HC</v>
          </cell>
          <cell r="J209" t="str">
            <v>HPH</v>
          </cell>
          <cell r="K209">
            <v>3800</v>
          </cell>
          <cell r="L209">
            <v>3.8</v>
          </cell>
          <cell r="M209" t="str">
            <v>E</v>
          </cell>
          <cell r="P209" t="str">
            <v>N</v>
          </cell>
          <cell r="Q209" t="str">
            <v>XX</v>
          </cell>
          <cell r="R209" t="str">
            <v>ND/</v>
          </cell>
          <cell r="S209" t="str">
            <v/>
          </cell>
        </row>
        <row r="210">
          <cell r="E210" t="str">
            <v>ASIU5754884</v>
          </cell>
          <cell r="F210" t="str">
            <v>180682</v>
          </cell>
          <cell r="G210">
            <v>40</v>
          </cell>
          <cell r="H210" t="str">
            <v>RH</v>
          </cell>
          <cell r="I210" t="str">
            <v>40RH</v>
          </cell>
          <cell r="J210" t="str">
            <v>HPH</v>
          </cell>
          <cell r="K210">
            <v>32370</v>
          </cell>
          <cell r="L210">
            <v>32.369999999999997</v>
          </cell>
          <cell r="M210" t="str">
            <v>F</v>
          </cell>
          <cell r="N210" t="str">
            <v>-18C</v>
          </cell>
          <cell r="P210" t="str">
            <v>HAC260519053</v>
          </cell>
          <cell r="Q210" t="str">
            <v>OK</v>
          </cell>
          <cell r="R210" t="str">
            <v>ND/</v>
          </cell>
          <cell r="S210" t="str">
            <v>0581</v>
          </cell>
          <cell r="T210" t="str">
            <v>CA TRA</v>
          </cell>
        </row>
        <row r="211">
          <cell r="E211" t="str">
            <v>BEAU4811873</v>
          </cell>
          <cell r="F211" t="str">
            <v>260604</v>
          </cell>
          <cell r="G211">
            <v>40</v>
          </cell>
          <cell r="H211" t="str">
            <v>HC</v>
          </cell>
          <cell r="I211" t="str">
            <v>40HC</v>
          </cell>
          <cell r="J211" t="str">
            <v>HPH</v>
          </cell>
          <cell r="K211">
            <v>31050</v>
          </cell>
          <cell r="L211">
            <v>31.05</v>
          </cell>
          <cell r="M211" t="str">
            <v>F</v>
          </cell>
          <cell r="P211" t="str">
            <v>HAC251017100</v>
          </cell>
          <cell r="Q211" t="str">
            <v>OK</v>
          </cell>
          <cell r="R211" t="str">
            <v>ND/</v>
          </cell>
          <cell r="S211" t="str">
            <v>1113184</v>
          </cell>
          <cell r="T211" t="str">
            <v>NGUYÊN LI?U</v>
          </cell>
        </row>
        <row r="212">
          <cell r="E212" t="str">
            <v>BEAU4812442</v>
          </cell>
          <cell r="F212" t="str">
            <v>101082</v>
          </cell>
          <cell r="G212">
            <v>40</v>
          </cell>
          <cell r="H212" t="str">
            <v>HC</v>
          </cell>
          <cell r="I212" t="str">
            <v>40HC</v>
          </cell>
          <cell r="J212" t="str">
            <v>HPH</v>
          </cell>
          <cell r="K212">
            <v>29870</v>
          </cell>
          <cell r="L212">
            <v>29.87</v>
          </cell>
          <cell r="M212" t="str">
            <v>F</v>
          </cell>
          <cell r="P212" t="str">
            <v>HAC260526057</v>
          </cell>
          <cell r="Q212" t="str">
            <v>OK</v>
          </cell>
          <cell r="R212" t="str">
            <v>ND/</v>
          </cell>
          <cell r="S212" t="str">
            <v>1105768</v>
          </cell>
          <cell r="T212" t="str">
            <v>SOI</v>
          </cell>
        </row>
        <row r="213">
          <cell r="E213" t="str">
            <v>BEAU4816725</v>
          </cell>
          <cell r="F213" t="str">
            <v>180208</v>
          </cell>
          <cell r="G213">
            <v>40</v>
          </cell>
          <cell r="H213" t="str">
            <v>HC</v>
          </cell>
          <cell r="I213" t="str">
            <v>40HC</v>
          </cell>
          <cell r="J213" t="str">
            <v>HPH</v>
          </cell>
          <cell r="K213">
            <v>30220</v>
          </cell>
          <cell r="L213">
            <v>30.22</v>
          </cell>
          <cell r="M213" t="str">
            <v>F</v>
          </cell>
          <cell r="P213" t="str">
            <v>HAC260526180</v>
          </cell>
          <cell r="Q213" t="str">
            <v>OK</v>
          </cell>
          <cell r="R213" t="str">
            <v>ND/</v>
          </cell>
          <cell r="S213" t="str">
            <v>1113792</v>
          </cell>
        </row>
        <row r="214">
          <cell r="E214" t="str">
            <v>BEAU5404018</v>
          </cell>
          <cell r="F214" t="str">
            <v>220982</v>
          </cell>
          <cell r="G214">
            <v>40</v>
          </cell>
          <cell r="H214" t="str">
            <v>HC</v>
          </cell>
          <cell r="I214" t="str">
            <v>40HC</v>
          </cell>
          <cell r="J214" t="str">
            <v>HPH</v>
          </cell>
          <cell r="K214">
            <v>30730</v>
          </cell>
          <cell r="L214">
            <v>30.73</v>
          </cell>
          <cell r="M214" t="str">
            <v>F</v>
          </cell>
          <cell r="P214" t="str">
            <v>HAC260525072</v>
          </cell>
          <cell r="Q214" t="str">
            <v>OK</v>
          </cell>
          <cell r="R214" t="str">
            <v>ND/</v>
          </cell>
          <cell r="S214" t="str">
            <v>00671</v>
          </cell>
          <cell r="T214" t="str">
            <v>GIAY</v>
          </cell>
        </row>
        <row r="215">
          <cell r="E215" t="str">
            <v>BEAU5404050</v>
          </cell>
          <cell r="F215" t="str">
            <v>140286</v>
          </cell>
          <cell r="G215">
            <v>40</v>
          </cell>
          <cell r="H215" t="str">
            <v>HC</v>
          </cell>
          <cell r="I215" t="str">
            <v>40HC</v>
          </cell>
          <cell r="J215" t="str">
            <v>HPH</v>
          </cell>
          <cell r="K215">
            <v>8290</v>
          </cell>
          <cell r="L215">
            <v>8.2899999999999991</v>
          </cell>
          <cell r="M215" t="str">
            <v>F</v>
          </cell>
          <cell r="P215" t="str">
            <v>HAC260519183</v>
          </cell>
          <cell r="Q215" t="str">
            <v>OK</v>
          </cell>
          <cell r="R215" t="str">
            <v>ND/</v>
          </cell>
          <cell r="S215" t="str">
            <v>00544</v>
          </cell>
          <cell r="T215" t="str">
            <v>VAI</v>
          </cell>
        </row>
        <row r="216">
          <cell r="E216" t="str">
            <v>BEAU5404321</v>
          </cell>
          <cell r="F216" t="str">
            <v>100202</v>
          </cell>
          <cell r="G216">
            <v>40</v>
          </cell>
          <cell r="H216" t="str">
            <v>HC</v>
          </cell>
          <cell r="I216" t="str">
            <v>40HC</v>
          </cell>
          <cell r="J216" t="str">
            <v>HPH</v>
          </cell>
          <cell r="K216">
            <v>30330</v>
          </cell>
          <cell r="L216">
            <v>30.33</v>
          </cell>
          <cell r="M216" t="str">
            <v>F</v>
          </cell>
          <cell r="P216" t="str">
            <v>HAC251017100</v>
          </cell>
          <cell r="Q216" t="str">
            <v>MM</v>
          </cell>
          <cell r="R216" t="str">
            <v>ND/</v>
          </cell>
          <cell r="S216" t="str">
            <v>00182</v>
          </cell>
          <cell r="T216" t="str">
            <v>VLXD</v>
          </cell>
        </row>
        <row r="217">
          <cell r="E217" t="str">
            <v>BEAU5404342</v>
          </cell>
          <cell r="F217" t="str">
            <v>180504</v>
          </cell>
          <cell r="G217">
            <v>40</v>
          </cell>
          <cell r="H217" t="str">
            <v>HC</v>
          </cell>
          <cell r="I217" t="str">
            <v>40HC</v>
          </cell>
          <cell r="J217" t="str">
            <v>HPH</v>
          </cell>
          <cell r="K217">
            <v>30560</v>
          </cell>
          <cell r="L217">
            <v>30.56</v>
          </cell>
          <cell r="M217" t="str">
            <v>F</v>
          </cell>
          <cell r="P217" t="str">
            <v>HAC260521157</v>
          </cell>
          <cell r="Q217" t="str">
            <v>OK</v>
          </cell>
          <cell r="R217" t="str">
            <v>ND/</v>
          </cell>
          <cell r="S217" t="str">
            <v>1107075</v>
          </cell>
          <cell r="T217" t="str">
            <v>PALET THUNG PHI</v>
          </cell>
        </row>
        <row r="218">
          <cell r="E218" t="str">
            <v>BEAU5404609</v>
          </cell>
          <cell r="F218" t="str">
            <v>300582</v>
          </cell>
          <cell r="G218">
            <v>40</v>
          </cell>
          <cell r="H218" t="str">
            <v>HC</v>
          </cell>
          <cell r="I218" t="str">
            <v>40HC</v>
          </cell>
          <cell r="J218" t="str">
            <v>HPH</v>
          </cell>
          <cell r="K218">
            <v>28050</v>
          </cell>
          <cell r="L218">
            <v>28.05</v>
          </cell>
          <cell r="M218" t="str">
            <v>F</v>
          </cell>
          <cell r="P218" t="str">
            <v>HAC260527044</v>
          </cell>
          <cell r="Q218" t="str">
            <v>RU</v>
          </cell>
          <cell r="R218" t="str">
            <v>ND/</v>
          </cell>
          <cell r="S218" t="str">
            <v>1082075</v>
          </cell>
          <cell r="T218" t="str">
            <v>SUA</v>
          </cell>
        </row>
        <row r="219">
          <cell r="E219" t="str">
            <v>BEAU5405420</v>
          </cell>
          <cell r="F219" t="str">
            <v>220282</v>
          </cell>
          <cell r="G219">
            <v>40</v>
          </cell>
          <cell r="H219" t="str">
            <v>HC</v>
          </cell>
          <cell r="I219" t="str">
            <v>40HC</v>
          </cell>
          <cell r="J219" t="str">
            <v>HPH</v>
          </cell>
          <cell r="K219">
            <v>30760</v>
          </cell>
          <cell r="L219">
            <v>30.76</v>
          </cell>
          <cell r="M219" t="str">
            <v>F</v>
          </cell>
          <cell r="P219" t="str">
            <v>HAC260525072</v>
          </cell>
          <cell r="Q219" t="str">
            <v>OK</v>
          </cell>
          <cell r="R219" t="str">
            <v>ND/</v>
          </cell>
          <cell r="S219" t="str">
            <v>1116438</v>
          </cell>
          <cell r="T219" t="str">
            <v>GIAY</v>
          </cell>
        </row>
        <row r="220">
          <cell r="E220" t="str">
            <v>BEAU5405483</v>
          </cell>
          <cell r="F220" t="str">
            <v>060584</v>
          </cell>
          <cell r="G220">
            <v>40</v>
          </cell>
          <cell r="H220" t="str">
            <v>HC</v>
          </cell>
          <cell r="I220" t="str">
            <v>40HC</v>
          </cell>
          <cell r="J220" t="str">
            <v>HPH</v>
          </cell>
          <cell r="K220">
            <v>12390</v>
          </cell>
          <cell r="L220">
            <v>12.39</v>
          </cell>
          <cell r="M220" t="str">
            <v>F</v>
          </cell>
          <cell r="P220" t="str">
            <v>HAC260526006</v>
          </cell>
          <cell r="Q220" t="str">
            <v>LD</v>
          </cell>
          <cell r="R220" t="str">
            <v>ND/</v>
          </cell>
          <cell r="S220" t="str">
            <v>1115308</v>
          </cell>
          <cell r="T220" t="str">
            <v>MI</v>
          </cell>
        </row>
        <row r="221">
          <cell r="E221" t="str">
            <v>BEAU5405858</v>
          </cell>
          <cell r="F221" t="str">
            <v>140686</v>
          </cell>
          <cell r="G221">
            <v>40</v>
          </cell>
          <cell r="H221" t="str">
            <v>HC</v>
          </cell>
          <cell r="I221" t="str">
            <v>40HC</v>
          </cell>
          <cell r="J221" t="str">
            <v>HPH</v>
          </cell>
          <cell r="K221">
            <v>8860</v>
          </cell>
          <cell r="L221">
            <v>8.86</v>
          </cell>
          <cell r="M221" t="str">
            <v>F</v>
          </cell>
          <cell r="P221" t="str">
            <v>HAC260519183</v>
          </cell>
          <cell r="Q221" t="str">
            <v>OK</v>
          </cell>
          <cell r="R221" t="str">
            <v>ND/</v>
          </cell>
          <cell r="S221" t="str">
            <v>00541</v>
          </cell>
          <cell r="T221" t="str">
            <v>VAI</v>
          </cell>
        </row>
        <row r="222">
          <cell r="E222" t="str">
            <v>BEAU5406160</v>
          </cell>
          <cell r="F222" t="str">
            <v>140706</v>
          </cell>
          <cell r="G222">
            <v>40</v>
          </cell>
          <cell r="H222" t="str">
            <v>HC</v>
          </cell>
          <cell r="I222" t="str">
            <v>40HC</v>
          </cell>
          <cell r="J222" t="str">
            <v>HPH</v>
          </cell>
          <cell r="K222">
            <v>29370</v>
          </cell>
          <cell r="L222">
            <v>29.37</v>
          </cell>
          <cell r="M222" t="str">
            <v>F</v>
          </cell>
          <cell r="P222" t="str">
            <v>HAC251017100</v>
          </cell>
          <cell r="Q222" t="str">
            <v>OK</v>
          </cell>
          <cell r="R222" t="str">
            <v>ND/</v>
          </cell>
          <cell r="S222" t="str">
            <v>656125</v>
          </cell>
          <cell r="T222" t="str">
            <v>VLXD</v>
          </cell>
        </row>
        <row r="223">
          <cell r="E223" t="str">
            <v>BEAU5406200</v>
          </cell>
          <cell r="F223" t="str">
            <v>180686</v>
          </cell>
          <cell r="G223">
            <v>40</v>
          </cell>
          <cell r="H223" t="str">
            <v>HC</v>
          </cell>
          <cell r="I223" t="str">
            <v>40HC</v>
          </cell>
          <cell r="J223" t="str">
            <v>HPH</v>
          </cell>
          <cell r="K223">
            <v>9510</v>
          </cell>
          <cell r="L223">
            <v>9.51</v>
          </cell>
          <cell r="M223" t="str">
            <v>F</v>
          </cell>
          <cell r="P223" t="str">
            <v>HAC260519108</v>
          </cell>
          <cell r="Q223" t="str">
            <v>OK</v>
          </cell>
          <cell r="R223" t="str">
            <v>ND/</v>
          </cell>
          <cell r="S223" t="str">
            <v>12228</v>
          </cell>
          <cell r="T223" t="str">
            <v>VAI</v>
          </cell>
        </row>
        <row r="224">
          <cell r="E224" t="str">
            <v>BEAU5406345</v>
          </cell>
          <cell r="F224" t="str">
            <v>220386</v>
          </cell>
          <cell r="G224">
            <v>40</v>
          </cell>
          <cell r="H224" t="str">
            <v>HC</v>
          </cell>
          <cell r="I224" t="str">
            <v>40HC</v>
          </cell>
          <cell r="J224" t="str">
            <v>HPH</v>
          </cell>
          <cell r="K224">
            <v>5320</v>
          </cell>
          <cell r="L224">
            <v>5.32</v>
          </cell>
          <cell r="M224" t="str">
            <v>F</v>
          </cell>
          <cell r="P224" t="str">
            <v>HAC251017100</v>
          </cell>
          <cell r="Q224" t="str">
            <v>OK</v>
          </cell>
          <cell r="R224" t="str">
            <v>ND/</v>
          </cell>
          <cell r="S224" t="str">
            <v>1113193</v>
          </cell>
          <cell r="T224" t="str">
            <v>V? LON</v>
          </cell>
        </row>
        <row r="225">
          <cell r="E225" t="str">
            <v>BEAU5406601</v>
          </cell>
          <cell r="F225" t="str">
            <v>140508</v>
          </cell>
          <cell r="G225">
            <v>40</v>
          </cell>
          <cell r="H225" t="str">
            <v>HC</v>
          </cell>
          <cell r="I225" t="str">
            <v>40HC</v>
          </cell>
          <cell r="J225" t="str">
            <v>HPH</v>
          </cell>
          <cell r="K225">
            <v>28630</v>
          </cell>
          <cell r="L225">
            <v>28.63</v>
          </cell>
          <cell r="M225" t="str">
            <v>F</v>
          </cell>
          <cell r="P225" t="str">
            <v>HAC260525066</v>
          </cell>
          <cell r="Q225" t="str">
            <v>RU</v>
          </cell>
          <cell r="R225" t="str">
            <v>ND/</v>
          </cell>
          <cell r="S225" t="str">
            <v>1105746</v>
          </cell>
          <cell r="T225" t="str">
            <v>HAT NHUA</v>
          </cell>
        </row>
        <row r="226">
          <cell r="E226" t="str">
            <v>BEAU5406828</v>
          </cell>
          <cell r="F226" t="str">
            <v>100484</v>
          </cell>
          <cell r="G226">
            <v>40</v>
          </cell>
          <cell r="H226" t="str">
            <v>HC</v>
          </cell>
          <cell r="I226" t="str">
            <v>40HC</v>
          </cell>
          <cell r="J226" t="str">
            <v>HPH</v>
          </cell>
          <cell r="K226">
            <v>19460</v>
          </cell>
          <cell r="L226">
            <v>19.46</v>
          </cell>
          <cell r="M226" t="str">
            <v>F</v>
          </cell>
          <cell r="P226" t="str">
            <v>HAC260523045</v>
          </cell>
          <cell r="Q226" t="str">
            <v>OK</v>
          </cell>
          <cell r="R226" t="str">
            <v>ND/</v>
          </cell>
          <cell r="S226" t="str">
            <v>1034303</v>
          </cell>
          <cell r="T226" t="str">
            <v>VAI</v>
          </cell>
        </row>
        <row r="227">
          <cell r="E227" t="str">
            <v>BEAU5406896</v>
          </cell>
          <cell r="F227" t="str">
            <v>020284</v>
          </cell>
          <cell r="G227">
            <v>40</v>
          </cell>
          <cell r="H227" t="str">
            <v>HC</v>
          </cell>
          <cell r="I227" t="str">
            <v>40HC</v>
          </cell>
          <cell r="J227" t="str">
            <v>HPH</v>
          </cell>
          <cell r="K227">
            <v>32320</v>
          </cell>
          <cell r="L227">
            <v>32.32</v>
          </cell>
          <cell r="M227" t="str">
            <v>F</v>
          </cell>
          <cell r="P227" t="str">
            <v>HAC260520116</v>
          </cell>
          <cell r="Q227" t="str">
            <v>OK</v>
          </cell>
          <cell r="R227" t="str">
            <v>ND/</v>
          </cell>
          <cell r="S227" t="str">
            <v>37495</v>
          </cell>
          <cell r="T227" t="str">
            <v>HAT NHUA</v>
          </cell>
        </row>
        <row r="228">
          <cell r="E228" t="str">
            <v>CAAU6409166</v>
          </cell>
          <cell r="F228" t="str">
            <v>180786</v>
          </cell>
          <cell r="G228">
            <v>40</v>
          </cell>
          <cell r="H228" t="str">
            <v>HC</v>
          </cell>
          <cell r="I228" t="str">
            <v>40HC</v>
          </cell>
          <cell r="J228" t="str">
            <v>HPH</v>
          </cell>
          <cell r="K228">
            <v>8870</v>
          </cell>
          <cell r="L228">
            <v>8.8699999999999992</v>
          </cell>
          <cell r="M228" t="str">
            <v>F</v>
          </cell>
          <cell r="P228" t="str">
            <v>HAC260519183</v>
          </cell>
          <cell r="Q228" t="str">
            <v>OK</v>
          </cell>
          <cell r="R228" t="str">
            <v>ND/</v>
          </cell>
          <cell r="S228" t="str">
            <v>00546</v>
          </cell>
          <cell r="T228" t="str">
            <v>VAI</v>
          </cell>
        </row>
        <row r="229">
          <cell r="E229" t="str">
            <v>CAAU6409314</v>
          </cell>
          <cell r="F229" t="str">
            <v>140502</v>
          </cell>
          <cell r="G229">
            <v>40</v>
          </cell>
          <cell r="H229" t="str">
            <v>HC</v>
          </cell>
          <cell r="I229" t="str">
            <v>40HC</v>
          </cell>
          <cell r="J229" t="str">
            <v>HPH</v>
          </cell>
          <cell r="K229">
            <v>31440</v>
          </cell>
          <cell r="L229">
            <v>31.44</v>
          </cell>
          <cell r="M229" t="str">
            <v>F</v>
          </cell>
          <cell r="P229" t="str">
            <v>HAC260519058</v>
          </cell>
          <cell r="Q229" t="str">
            <v>OK</v>
          </cell>
          <cell r="R229" t="str">
            <v>ND/</v>
          </cell>
          <cell r="S229" t="str">
            <v>1119848</v>
          </cell>
          <cell r="T229" t="str">
            <v>THUC PHAM</v>
          </cell>
        </row>
        <row r="230">
          <cell r="E230" t="str">
            <v>CAAU6409654</v>
          </cell>
          <cell r="F230" t="str">
            <v>140386</v>
          </cell>
          <cell r="G230">
            <v>40</v>
          </cell>
          <cell r="H230" t="str">
            <v>HC</v>
          </cell>
          <cell r="I230" t="str">
            <v>40HC</v>
          </cell>
          <cell r="J230" t="str">
            <v>HPH</v>
          </cell>
          <cell r="K230">
            <v>9620</v>
          </cell>
          <cell r="L230">
            <v>9.6199999999999992</v>
          </cell>
          <cell r="M230" t="str">
            <v>F</v>
          </cell>
          <cell r="P230" t="str">
            <v>HAC260519082</v>
          </cell>
          <cell r="Q230" t="str">
            <v>OK</v>
          </cell>
          <cell r="R230" t="str">
            <v>ND/</v>
          </cell>
          <cell r="S230" t="str">
            <v>1074526</v>
          </cell>
          <cell r="T230" t="str">
            <v>DIEN TU</v>
          </cell>
        </row>
        <row r="231">
          <cell r="E231" t="str">
            <v>CAAU6409910</v>
          </cell>
          <cell r="F231" t="str">
            <v>260304</v>
          </cell>
          <cell r="G231">
            <v>40</v>
          </cell>
          <cell r="H231" t="str">
            <v>HC</v>
          </cell>
          <cell r="I231" t="str">
            <v>40HC</v>
          </cell>
          <cell r="J231" t="str">
            <v>HPH</v>
          </cell>
          <cell r="K231">
            <v>30730</v>
          </cell>
          <cell r="L231">
            <v>30.73</v>
          </cell>
          <cell r="M231" t="str">
            <v>F</v>
          </cell>
          <cell r="P231" t="str">
            <v>HAC251017100</v>
          </cell>
          <cell r="Q231" t="str">
            <v>OK</v>
          </cell>
          <cell r="R231" t="str">
            <v>ND/</v>
          </cell>
          <cell r="S231" t="str">
            <v>1107348</v>
          </cell>
          <cell r="T231" t="str">
            <v>SIÊU TH?</v>
          </cell>
        </row>
        <row r="232">
          <cell r="E232" t="str">
            <v>CAAU6410953</v>
          </cell>
          <cell r="F232" t="str">
            <v>060886</v>
          </cell>
          <cell r="G232">
            <v>40</v>
          </cell>
          <cell r="H232" t="str">
            <v>HC</v>
          </cell>
          <cell r="I232" t="str">
            <v>40HC</v>
          </cell>
          <cell r="J232" t="str">
            <v>HPH</v>
          </cell>
          <cell r="K232">
            <v>8820</v>
          </cell>
          <cell r="L232">
            <v>8.82</v>
          </cell>
          <cell r="M232" t="str">
            <v>F</v>
          </cell>
          <cell r="P232" t="str">
            <v>HAC260519086</v>
          </cell>
          <cell r="Q232" t="str">
            <v>RV</v>
          </cell>
          <cell r="R232" t="str">
            <v>ND/</v>
          </cell>
          <cell r="S232" t="str">
            <v>1119307</v>
          </cell>
          <cell r="T232" t="str">
            <v>DIEN TU</v>
          </cell>
        </row>
        <row r="233">
          <cell r="E233" t="str">
            <v>CAAU6411564</v>
          </cell>
          <cell r="F233" t="str">
            <v>140304</v>
          </cell>
          <cell r="G233">
            <v>40</v>
          </cell>
          <cell r="H233" t="str">
            <v>HC</v>
          </cell>
          <cell r="I233" t="str">
            <v>40HC</v>
          </cell>
          <cell r="J233" t="str">
            <v>HPH</v>
          </cell>
          <cell r="K233">
            <v>30100</v>
          </cell>
          <cell r="L233">
            <v>30.1</v>
          </cell>
          <cell r="M233" t="str">
            <v>F</v>
          </cell>
          <cell r="P233" t="str">
            <v>HAC260526180</v>
          </cell>
          <cell r="Q233" t="str">
            <v>OK</v>
          </cell>
          <cell r="R233" t="str">
            <v>ND/</v>
          </cell>
          <cell r="S233" t="str">
            <v>1113793</v>
          </cell>
        </row>
        <row r="234">
          <cell r="E234" t="str">
            <v>CAAU6411651</v>
          </cell>
          <cell r="F234" t="str">
            <v>020384</v>
          </cell>
          <cell r="G234">
            <v>40</v>
          </cell>
          <cell r="H234" t="str">
            <v>HC</v>
          </cell>
          <cell r="I234" t="str">
            <v>40HC</v>
          </cell>
          <cell r="J234" t="str">
            <v>HPH</v>
          </cell>
          <cell r="K234">
            <v>31670</v>
          </cell>
          <cell r="L234">
            <v>31.67</v>
          </cell>
          <cell r="M234" t="str">
            <v>F</v>
          </cell>
          <cell r="P234" t="str">
            <v>HAC260525072</v>
          </cell>
          <cell r="Q234" t="str">
            <v>OK</v>
          </cell>
          <cell r="R234" t="str">
            <v>ND/</v>
          </cell>
          <cell r="S234" t="str">
            <v>1104919</v>
          </cell>
          <cell r="T234" t="str">
            <v>GIAY</v>
          </cell>
        </row>
        <row r="235">
          <cell r="E235" t="str">
            <v>CAAU6411749</v>
          </cell>
          <cell r="F235" t="str">
            <v>180684</v>
          </cell>
          <cell r="G235">
            <v>40</v>
          </cell>
          <cell r="H235" t="str">
            <v>HC</v>
          </cell>
          <cell r="I235" t="str">
            <v>40HC</v>
          </cell>
          <cell r="J235" t="str">
            <v>HPH</v>
          </cell>
          <cell r="K235">
            <v>27160</v>
          </cell>
          <cell r="L235">
            <v>27.16</v>
          </cell>
          <cell r="M235" t="str">
            <v>F</v>
          </cell>
          <cell r="P235" t="str">
            <v>HAC260519126</v>
          </cell>
          <cell r="Q235" t="str">
            <v>OK</v>
          </cell>
          <cell r="R235" t="str">
            <v>ND/</v>
          </cell>
          <cell r="S235" t="str">
            <v>1104838</v>
          </cell>
          <cell r="T235" t="str">
            <v>BANH KEO</v>
          </cell>
        </row>
        <row r="236">
          <cell r="E236" t="str">
            <v>CAAU6413187</v>
          </cell>
          <cell r="F236" t="str">
            <v>140106</v>
          </cell>
          <cell r="G236">
            <v>40</v>
          </cell>
          <cell r="H236" t="str">
            <v>HC</v>
          </cell>
          <cell r="I236" t="str">
            <v>40HC</v>
          </cell>
          <cell r="J236" t="str">
            <v>HPH</v>
          </cell>
          <cell r="K236">
            <v>29780</v>
          </cell>
          <cell r="L236">
            <v>29.78</v>
          </cell>
          <cell r="M236" t="str">
            <v>F</v>
          </cell>
          <cell r="P236" t="str">
            <v>HAC260526180</v>
          </cell>
          <cell r="Q236" t="str">
            <v>OK</v>
          </cell>
          <cell r="R236" t="str">
            <v>ND/</v>
          </cell>
          <cell r="S236" t="str">
            <v>1119564</v>
          </cell>
        </row>
        <row r="237">
          <cell r="E237" t="str">
            <v>CAAU9076238</v>
          </cell>
          <cell r="F237" t="str">
            <v>100308</v>
          </cell>
          <cell r="G237">
            <v>40</v>
          </cell>
          <cell r="H237" t="str">
            <v>HC</v>
          </cell>
          <cell r="I237" t="str">
            <v>40HC</v>
          </cell>
          <cell r="J237" t="str">
            <v>HPH</v>
          </cell>
          <cell r="K237">
            <v>27780</v>
          </cell>
          <cell r="L237">
            <v>27.78</v>
          </cell>
          <cell r="M237" t="str">
            <v>F</v>
          </cell>
          <cell r="P237" t="str">
            <v>HAC260526180</v>
          </cell>
          <cell r="Q237" t="str">
            <v>OK</v>
          </cell>
          <cell r="R237" t="str">
            <v>ND/</v>
          </cell>
          <cell r="S237" t="str">
            <v>1119569</v>
          </cell>
        </row>
        <row r="238">
          <cell r="E238" t="str">
            <v>CAAU9078267</v>
          </cell>
          <cell r="F238" t="str">
            <v>140306</v>
          </cell>
          <cell r="G238">
            <v>40</v>
          </cell>
          <cell r="H238" t="str">
            <v>HC</v>
          </cell>
          <cell r="I238" t="str">
            <v>40HC</v>
          </cell>
          <cell r="J238" t="str">
            <v>HPH</v>
          </cell>
          <cell r="K238">
            <v>30300</v>
          </cell>
          <cell r="L238">
            <v>30.3</v>
          </cell>
          <cell r="M238" t="str">
            <v>F</v>
          </cell>
          <cell r="P238" t="str">
            <v>HAC260526180</v>
          </cell>
          <cell r="Q238" t="str">
            <v>OK</v>
          </cell>
          <cell r="R238" t="str">
            <v>ND/</v>
          </cell>
          <cell r="S238" t="str">
            <v>1113794</v>
          </cell>
        </row>
        <row r="239">
          <cell r="E239" t="str">
            <v>CAAU9079725</v>
          </cell>
          <cell r="F239" t="str">
            <v>140206</v>
          </cell>
          <cell r="G239">
            <v>40</v>
          </cell>
          <cell r="H239" t="str">
            <v>HC</v>
          </cell>
          <cell r="I239" t="str">
            <v>40HC</v>
          </cell>
          <cell r="J239" t="str">
            <v>HPH</v>
          </cell>
          <cell r="K239">
            <v>30820</v>
          </cell>
          <cell r="L239">
            <v>30.82</v>
          </cell>
          <cell r="M239" t="str">
            <v>F</v>
          </cell>
          <cell r="P239" t="str">
            <v>HAC260526180</v>
          </cell>
          <cell r="Q239" t="str">
            <v>OK</v>
          </cell>
          <cell r="R239" t="str">
            <v>ND/</v>
          </cell>
          <cell r="S239" t="str">
            <v>1119568</v>
          </cell>
        </row>
        <row r="240">
          <cell r="E240" t="str">
            <v>CAAU9083094</v>
          </cell>
          <cell r="F240" t="str">
            <v>260682</v>
          </cell>
          <cell r="G240">
            <v>40</v>
          </cell>
          <cell r="H240" t="str">
            <v>HC</v>
          </cell>
          <cell r="I240" t="str">
            <v>40HC</v>
          </cell>
          <cell r="J240" t="str">
            <v>HPH</v>
          </cell>
          <cell r="K240">
            <v>25780</v>
          </cell>
          <cell r="L240">
            <v>25.78</v>
          </cell>
          <cell r="M240" t="str">
            <v>F</v>
          </cell>
          <cell r="P240" t="str">
            <v>HAC260526015</v>
          </cell>
          <cell r="Q240" t="str">
            <v>OK</v>
          </cell>
          <cell r="R240" t="str">
            <v>ND/</v>
          </cell>
          <cell r="S240" t="str">
            <v>1104879</v>
          </cell>
          <cell r="T240" t="str">
            <v>BOT NGOT</v>
          </cell>
        </row>
        <row r="241">
          <cell r="E241" t="str">
            <v>CAAU9086806</v>
          </cell>
          <cell r="F241" t="str">
            <v>180186</v>
          </cell>
          <cell r="G241">
            <v>40</v>
          </cell>
          <cell r="H241" t="str">
            <v>HC</v>
          </cell>
          <cell r="I241" t="str">
            <v>40HC</v>
          </cell>
          <cell r="J241" t="str">
            <v>HPH</v>
          </cell>
          <cell r="K241">
            <v>10220</v>
          </cell>
          <cell r="L241">
            <v>10.220000000000001</v>
          </cell>
          <cell r="M241" t="str">
            <v>F</v>
          </cell>
          <cell r="P241" t="str">
            <v>HAC260525071</v>
          </cell>
          <cell r="Q241" t="str">
            <v>OK</v>
          </cell>
          <cell r="R241" t="str">
            <v>ND/</v>
          </cell>
          <cell r="S241" t="str">
            <v>0033300</v>
          </cell>
          <cell r="T241" t="str">
            <v>DIEN TU</v>
          </cell>
        </row>
        <row r="242">
          <cell r="E242" t="str">
            <v>CAAU9094355</v>
          </cell>
          <cell r="F242" t="str">
            <v>220184</v>
          </cell>
          <cell r="G242">
            <v>40</v>
          </cell>
          <cell r="H242" t="str">
            <v>HC</v>
          </cell>
          <cell r="I242" t="str">
            <v>40HC</v>
          </cell>
          <cell r="J242" t="str">
            <v>HPH</v>
          </cell>
          <cell r="K242">
            <v>13920</v>
          </cell>
          <cell r="L242">
            <v>13.92</v>
          </cell>
          <cell r="M242" t="str">
            <v>F</v>
          </cell>
          <cell r="P242" t="str">
            <v>HAC251017100</v>
          </cell>
          <cell r="Q242" t="str">
            <v>OK</v>
          </cell>
          <cell r="R242" t="str">
            <v>ND/</v>
          </cell>
          <cell r="S242" t="str">
            <v>1112412</v>
          </cell>
          <cell r="T242" t="str">
            <v>K?O</v>
          </cell>
        </row>
        <row r="243">
          <cell r="E243" t="str">
            <v>CAAU9096002</v>
          </cell>
          <cell r="F243" t="str">
            <v>220586</v>
          </cell>
          <cell r="G243">
            <v>40</v>
          </cell>
          <cell r="H243" t="str">
            <v>HC</v>
          </cell>
          <cell r="I243" t="str">
            <v>40HC</v>
          </cell>
          <cell r="J243" t="str">
            <v>HPH</v>
          </cell>
          <cell r="K243">
            <v>5760</v>
          </cell>
          <cell r="L243">
            <v>5.76</v>
          </cell>
          <cell r="M243" t="str">
            <v>F</v>
          </cell>
          <cell r="P243" t="str">
            <v>HAC251017100</v>
          </cell>
          <cell r="Q243" t="str">
            <v>OK</v>
          </cell>
          <cell r="R243" t="str">
            <v>ND/</v>
          </cell>
          <cell r="S243" t="str">
            <v>1033136</v>
          </cell>
          <cell r="T243" t="str">
            <v>V? LON</v>
          </cell>
        </row>
        <row r="244">
          <cell r="E244" t="str">
            <v>CAAU9097101</v>
          </cell>
          <cell r="F244" t="str">
            <v>020486</v>
          </cell>
          <cell r="G244">
            <v>40</v>
          </cell>
          <cell r="H244" t="str">
            <v>HC</v>
          </cell>
          <cell r="I244" t="str">
            <v>40HC</v>
          </cell>
          <cell r="J244" t="str">
            <v>HPH</v>
          </cell>
          <cell r="K244">
            <v>8170</v>
          </cell>
          <cell r="L244">
            <v>8.17</v>
          </cell>
          <cell r="M244" t="str">
            <v>F</v>
          </cell>
          <cell r="P244" t="str">
            <v>HAC260525071</v>
          </cell>
          <cell r="Q244" t="str">
            <v>OK</v>
          </cell>
          <cell r="R244" t="str">
            <v>ND/</v>
          </cell>
          <cell r="S244" t="str">
            <v>003482</v>
          </cell>
          <cell r="T244" t="str">
            <v>DIEN TU</v>
          </cell>
        </row>
        <row r="245">
          <cell r="E245" t="str">
            <v>CAAU9098392</v>
          </cell>
          <cell r="F245" t="str">
            <v>141082</v>
          </cell>
          <cell r="G245">
            <v>40</v>
          </cell>
          <cell r="H245" t="str">
            <v>HC</v>
          </cell>
          <cell r="I245" t="str">
            <v>40HC</v>
          </cell>
          <cell r="J245" t="str">
            <v>HPH</v>
          </cell>
          <cell r="K245">
            <v>29200</v>
          </cell>
          <cell r="L245">
            <v>29.2</v>
          </cell>
          <cell r="M245" t="str">
            <v>F</v>
          </cell>
          <cell r="P245" t="str">
            <v>HAC260526015</v>
          </cell>
          <cell r="Q245" t="str">
            <v>OK</v>
          </cell>
          <cell r="R245" t="str">
            <v>ND/</v>
          </cell>
          <cell r="S245" t="str">
            <v>1106539</v>
          </cell>
          <cell r="T245" t="str">
            <v>BOT NGOT</v>
          </cell>
        </row>
        <row r="246">
          <cell r="E246" t="str">
            <v>CAAU9099505</v>
          </cell>
          <cell r="F246" t="str">
            <v>180806</v>
          </cell>
          <cell r="G246">
            <v>40</v>
          </cell>
          <cell r="H246" t="str">
            <v>HC</v>
          </cell>
          <cell r="I246" t="str">
            <v>40HC</v>
          </cell>
          <cell r="J246" t="str">
            <v>HPH</v>
          </cell>
          <cell r="K246">
            <v>29740</v>
          </cell>
          <cell r="L246">
            <v>29.74</v>
          </cell>
          <cell r="M246" t="str">
            <v>F</v>
          </cell>
          <cell r="P246" t="str">
            <v>HAC260526178</v>
          </cell>
          <cell r="Q246" t="str">
            <v>OK</v>
          </cell>
          <cell r="R246" t="str">
            <v>ND/</v>
          </cell>
          <cell r="S246" t="str">
            <v>1105664</v>
          </cell>
          <cell r="T246" t="str">
            <v>GIAY CUON</v>
          </cell>
        </row>
        <row r="247">
          <cell r="E247" t="str">
            <v>CAIU4578220</v>
          </cell>
          <cell r="F247" t="str">
            <v>260606</v>
          </cell>
          <cell r="G247">
            <v>40</v>
          </cell>
          <cell r="H247" t="str">
            <v>HC</v>
          </cell>
          <cell r="I247" t="str">
            <v>40HC</v>
          </cell>
          <cell r="J247" t="str">
            <v>HPH</v>
          </cell>
          <cell r="K247">
            <v>31320</v>
          </cell>
          <cell r="L247">
            <v>31.32</v>
          </cell>
          <cell r="M247" t="str">
            <v>F</v>
          </cell>
          <cell r="P247" t="str">
            <v>HAC260519062</v>
          </cell>
          <cell r="Q247" t="str">
            <v>OK</v>
          </cell>
          <cell r="R247" t="str">
            <v>ND/</v>
          </cell>
          <cell r="S247" t="str">
            <v>1118632</v>
          </cell>
          <cell r="T247" t="str">
            <v>NHUA</v>
          </cell>
        </row>
        <row r="248">
          <cell r="E248" t="str">
            <v>CAIU4965390</v>
          </cell>
          <cell r="F248" t="str">
            <v>220284</v>
          </cell>
          <cell r="G248">
            <v>40</v>
          </cell>
          <cell r="H248" t="str">
            <v>HC</v>
          </cell>
          <cell r="I248" t="str">
            <v>40HC</v>
          </cell>
          <cell r="J248" t="str">
            <v>HPH</v>
          </cell>
          <cell r="K248">
            <v>16800</v>
          </cell>
          <cell r="L248">
            <v>16.8</v>
          </cell>
          <cell r="M248" t="str">
            <v>F</v>
          </cell>
          <cell r="P248" t="str">
            <v>HAC260519064</v>
          </cell>
          <cell r="Q248" t="str">
            <v>OK</v>
          </cell>
          <cell r="R248" t="str">
            <v>ND/</v>
          </cell>
          <cell r="S248" t="str">
            <v>334481</v>
          </cell>
          <cell r="T248" t="str">
            <v>XO DUA</v>
          </cell>
        </row>
        <row r="249">
          <cell r="E249" t="str">
            <v>CAIU4969354</v>
          </cell>
          <cell r="F249" t="str">
            <v>220202</v>
          </cell>
          <cell r="G249">
            <v>40</v>
          </cell>
          <cell r="H249" t="str">
            <v>HC</v>
          </cell>
          <cell r="I249" t="str">
            <v>40HC</v>
          </cell>
          <cell r="J249" t="str">
            <v>HPH</v>
          </cell>
          <cell r="K249">
            <v>31300</v>
          </cell>
          <cell r="L249">
            <v>31.3</v>
          </cell>
          <cell r="M249" t="str">
            <v>F</v>
          </cell>
          <cell r="P249" t="str">
            <v>HAC251017100</v>
          </cell>
          <cell r="Q249" t="str">
            <v>OK</v>
          </cell>
          <cell r="R249" t="str">
            <v>ND/</v>
          </cell>
          <cell r="S249" t="str">
            <v>002258</v>
          </cell>
          <cell r="T249" t="str">
            <v>VLXD</v>
          </cell>
        </row>
        <row r="250">
          <cell r="E250" t="str">
            <v>CAIU4969729</v>
          </cell>
          <cell r="F250" t="str">
            <v>181084</v>
          </cell>
          <cell r="G250">
            <v>40</v>
          </cell>
          <cell r="H250" t="str">
            <v>HC</v>
          </cell>
          <cell r="I250" t="str">
            <v>40HC</v>
          </cell>
          <cell r="J250" t="str">
            <v>HPH</v>
          </cell>
          <cell r="K250">
            <v>19210</v>
          </cell>
          <cell r="L250">
            <v>19.21</v>
          </cell>
          <cell r="M250" t="str">
            <v>F</v>
          </cell>
          <cell r="P250" t="str">
            <v>HAC260519049</v>
          </cell>
          <cell r="Q250" t="str">
            <v>OK</v>
          </cell>
          <cell r="R250" t="str">
            <v>ND/</v>
          </cell>
          <cell r="S250" t="str">
            <v>1116118</v>
          </cell>
          <cell r="T250" t="str">
            <v>VAI</v>
          </cell>
        </row>
        <row r="251">
          <cell r="E251" t="str">
            <v>CAIU7265451</v>
          </cell>
          <cell r="F251" t="str">
            <v>180484</v>
          </cell>
          <cell r="G251">
            <v>40</v>
          </cell>
          <cell r="H251" t="str">
            <v>HC</v>
          </cell>
          <cell r="I251" t="str">
            <v>40HC</v>
          </cell>
          <cell r="J251" t="str">
            <v>HPH</v>
          </cell>
          <cell r="K251">
            <v>26530</v>
          </cell>
          <cell r="L251">
            <v>26.53</v>
          </cell>
          <cell r="M251" t="str">
            <v>F</v>
          </cell>
          <cell r="P251" t="str">
            <v>HAC260527051</v>
          </cell>
          <cell r="Q251" t="str">
            <v>OK</v>
          </cell>
          <cell r="R251" t="str">
            <v>ND/</v>
          </cell>
          <cell r="S251" t="str">
            <v>1113577</v>
          </cell>
          <cell r="T251" t="str">
            <v>LON EP</v>
          </cell>
        </row>
        <row r="252">
          <cell r="E252" t="str">
            <v>CAIU7933648</v>
          </cell>
          <cell r="F252" t="str">
            <v>220106</v>
          </cell>
          <cell r="G252">
            <v>40</v>
          </cell>
          <cell r="H252" t="str">
            <v>HC</v>
          </cell>
          <cell r="I252" t="str">
            <v>40HC</v>
          </cell>
          <cell r="J252" t="str">
            <v>HPH</v>
          </cell>
          <cell r="K252">
            <v>30290</v>
          </cell>
          <cell r="L252">
            <v>30.29</v>
          </cell>
          <cell r="M252" t="str">
            <v>F</v>
          </cell>
          <cell r="P252" t="str">
            <v>HAC260519084</v>
          </cell>
          <cell r="Q252" t="str">
            <v>OK</v>
          </cell>
          <cell r="R252" t="str">
            <v>ND/</v>
          </cell>
          <cell r="S252" t="str">
            <v>336387</v>
          </cell>
          <cell r="T252" t="str">
            <v>PHI NHUA</v>
          </cell>
        </row>
        <row r="253">
          <cell r="E253" t="str">
            <v>CAIU8991150</v>
          </cell>
          <cell r="F253" t="str">
            <v>060884</v>
          </cell>
          <cell r="G253">
            <v>40</v>
          </cell>
          <cell r="H253" t="str">
            <v>HC</v>
          </cell>
          <cell r="I253" t="str">
            <v>40HC</v>
          </cell>
          <cell r="J253" t="str">
            <v>HPH</v>
          </cell>
          <cell r="K253">
            <v>12020</v>
          </cell>
          <cell r="L253">
            <v>12.02</v>
          </cell>
          <cell r="M253" t="str">
            <v>F</v>
          </cell>
          <cell r="P253" t="str">
            <v>HAC260519126</v>
          </cell>
          <cell r="Q253" t="str">
            <v>OK</v>
          </cell>
          <cell r="R253" t="str">
            <v>ND/</v>
          </cell>
          <cell r="S253" t="str">
            <v>1106594</v>
          </cell>
          <cell r="T253" t="str">
            <v>VAI</v>
          </cell>
        </row>
        <row r="254">
          <cell r="E254" t="str">
            <v>CAIU9262045</v>
          </cell>
          <cell r="F254" t="str">
            <v>100186</v>
          </cell>
          <cell r="G254">
            <v>40</v>
          </cell>
          <cell r="H254" t="str">
            <v>HC</v>
          </cell>
          <cell r="I254" t="str">
            <v>40HC</v>
          </cell>
          <cell r="J254" t="str">
            <v>HPH</v>
          </cell>
          <cell r="K254">
            <v>12670</v>
          </cell>
          <cell r="L254">
            <v>12.67</v>
          </cell>
          <cell r="M254" t="str">
            <v>F</v>
          </cell>
          <cell r="P254" t="str">
            <v>HAC260526006</v>
          </cell>
          <cell r="Q254" t="str">
            <v>OK</v>
          </cell>
          <cell r="R254" t="str">
            <v>ND/</v>
          </cell>
          <cell r="S254" t="str">
            <v>1105704</v>
          </cell>
          <cell r="T254" t="str">
            <v>MI</v>
          </cell>
        </row>
        <row r="255">
          <cell r="E255" t="str">
            <v>CAIU9314302</v>
          </cell>
          <cell r="F255" t="str">
            <v>140808</v>
          </cell>
          <cell r="G255">
            <v>40</v>
          </cell>
          <cell r="H255" t="str">
            <v>HC</v>
          </cell>
          <cell r="I255" t="str">
            <v>40HC</v>
          </cell>
          <cell r="J255" t="str">
            <v>HPH</v>
          </cell>
          <cell r="K255">
            <v>28830</v>
          </cell>
          <cell r="L255">
            <v>28.83</v>
          </cell>
          <cell r="M255" t="str">
            <v>F</v>
          </cell>
          <cell r="P255" t="str">
            <v>HAC260526007</v>
          </cell>
          <cell r="Q255" t="str">
            <v>OK</v>
          </cell>
          <cell r="R255" t="str">
            <v>ND/</v>
          </cell>
          <cell r="S255" t="str">
            <v>17355</v>
          </cell>
          <cell r="T255" t="str">
            <v>HAT NHUA</v>
          </cell>
        </row>
        <row r="256">
          <cell r="E256" t="str">
            <v>CAIU9533342</v>
          </cell>
          <cell r="F256" t="str">
            <v>020382</v>
          </cell>
          <cell r="G256">
            <v>40</v>
          </cell>
          <cell r="H256" t="str">
            <v>HC</v>
          </cell>
          <cell r="I256" t="str">
            <v>40HC</v>
          </cell>
          <cell r="J256" t="str">
            <v>HPH</v>
          </cell>
          <cell r="K256">
            <v>28310</v>
          </cell>
          <cell r="L256">
            <v>28.31</v>
          </cell>
          <cell r="M256" t="str">
            <v>F</v>
          </cell>
          <cell r="O256">
            <v>3</v>
          </cell>
          <cell r="P256" t="str">
            <v>HAC260519148</v>
          </cell>
          <cell r="Q256" t="str">
            <v>DG</v>
          </cell>
          <cell r="R256" t="str">
            <v>ND/</v>
          </cell>
          <cell r="S256" t="str">
            <v>656113</v>
          </cell>
          <cell r="T256" t="str">
            <v>TOPSOL 3040A</v>
          </cell>
        </row>
        <row r="257">
          <cell r="E257" t="str">
            <v>CAIU9622542</v>
          </cell>
          <cell r="F257" t="str">
            <v>020682</v>
          </cell>
          <cell r="G257">
            <v>40</v>
          </cell>
          <cell r="H257" t="str">
            <v>HC</v>
          </cell>
          <cell r="I257" t="str">
            <v>40HC</v>
          </cell>
          <cell r="J257" t="str">
            <v>HPH</v>
          </cell>
          <cell r="K257">
            <v>22460</v>
          </cell>
          <cell r="L257">
            <v>22.46</v>
          </cell>
          <cell r="M257" t="str">
            <v>F</v>
          </cell>
          <cell r="O257">
            <v>8</v>
          </cell>
          <cell r="P257" t="str">
            <v>HAC260519148</v>
          </cell>
          <cell r="Q257" t="str">
            <v>DG</v>
          </cell>
          <cell r="R257" t="str">
            <v>ND/</v>
          </cell>
          <cell r="S257" t="str">
            <v>656194</v>
          </cell>
          <cell r="T257" t="str">
            <v>CHAT TAY RUA</v>
          </cell>
        </row>
        <row r="258">
          <cell r="E258" t="str">
            <v>CAIU9708029</v>
          </cell>
          <cell r="F258" t="str">
            <v>060286</v>
          </cell>
          <cell r="G258">
            <v>40</v>
          </cell>
          <cell r="H258" t="str">
            <v>HC</v>
          </cell>
          <cell r="I258" t="str">
            <v>40HC</v>
          </cell>
          <cell r="J258" t="str">
            <v>HPH</v>
          </cell>
          <cell r="K258">
            <v>6250</v>
          </cell>
          <cell r="L258">
            <v>6.25</v>
          </cell>
          <cell r="M258" t="str">
            <v>F</v>
          </cell>
          <cell r="P258" t="str">
            <v>HAC251017100</v>
          </cell>
          <cell r="Q258" t="str">
            <v>OK</v>
          </cell>
          <cell r="R258" t="str">
            <v>ND/</v>
          </cell>
          <cell r="S258" t="str">
            <v>23408765</v>
          </cell>
          <cell r="T258" t="str">
            <v>V? LON</v>
          </cell>
        </row>
        <row r="259">
          <cell r="E259" t="str">
            <v>CHIU9008523</v>
          </cell>
          <cell r="F259" t="str">
            <v>300182</v>
          </cell>
          <cell r="G259">
            <v>40</v>
          </cell>
          <cell r="H259" t="str">
            <v>RH</v>
          </cell>
          <cell r="I259" t="str">
            <v>40RH</v>
          </cell>
          <cell r="J259" t="str">
            <v>HPH</v>
          </cell>
          <cell r="K259">
            <v>33360</v>
          </cell>
          <cell r="L259">
            <v>33.36</v>
          </cell>
          <cell r="M259" t="str">
            <v>F</v>
          </cell>
          <cell r="N259" t="str">
            <v>-18C</v>
          </cell>
          <cell r="P259" t="str">
            <v>HAC260525111</v>
          </cell>
          <cell r="Q259" t="str">
            <v>OK</v>
          </cell>
          <cell r="R259" t="str">
            <v>ND/</v>
          </cell>
          <cell r="S259" t="str">
            <v>10358</v>
          </cell>
          <cell r="T259" t="str">
            <v>CA</v>
          </cell>
        </row>
        <row r="260">
          <cell r="E260" t="str">
            <v>DFSU7547760</v>
          </cell>
          <cell r="F260" t="str">
            <v>100984</v>
          </cell>
          <cell r="G260">
            <v>40</v>
          </cell>
          <cell r="H260" t="str">
            <v>HC</v>
          </cell>
          <cell r="I260" t="str">
            <v>40HC</v>
          </cell>
          <cell r="J260" t="str">
            <v>HPH</v>
          </cell>
          <cell r="K260">
            <v>19070</v>
          </cell>
          <cell r="L260">
            <v>19.07</v>
          </cell>
          <cell r="M260" t="str">
            <v>F</v>
          </cell>
          <cell r="P260" t="str">
            <v>HAC260522003</v>
          </cell>
          <cell r="Q260" t="str">
            <v>MM</v>
          </cell>
          <cell r="R260" t="str">
            <v>ND/</v>
          </cell>
          <cell r="S260" t="str">
            <v>1116115</v>
          </cell>
          <cell r="T260" t="str">
            <v>VAI MUNG</v>
          </cell>
        </row>
        <row r="261">
          <cell r="E261" t="str">
            <v>DFSU7651939</v>
          </cell>
          <cell r="F261" t="str">
            <v>180184</v>
          </cell>
          <cell r="G261">
            <v>40</v>
          </cell>
          <cell r="H261" t="str">
            <v>HC</v>
          </cell>
          <cell r="I261" t="str">
            <v>40HC</v>
          </cell>
          <cell r="J261" t="str">
            <v>HPH</v>
          </cell>
          <cell r="K261">
            <v>18810</v>
          </cell>
          <cell r="L261">
            <v>18.809999999999999</v>
          </cell>
          <cell r="M261" t="str">
            <v>F</v>
          </cell>
          <cell r="P261" t="str">
            <v>HAC260522003</v>
          </cell>
          <cell r="Q261" t="str">
            <v>OK</v>
          </cell>
          <cell r="R261" t="str">
            <v>ND/</v>
          </cell>
          <cell r="S261" t="str">
            <v>1117817</v>
          </cell>
          <cell r="T261" t="str">
            <v>VAI MUNG</v>
          </cell>
        </row>
        <row r="262">
          <cell r="E262" t="str">
            <v>DFSU7662229</v>
          </cell>
          <cell r="F262" t="str">
            <v>060102</v>
          </cell>
          <cell r="G262">
            <v>40</v>
          </cell>
          <cell r="H262" t="str">
            <v>HC</v>
          </cell>
          <cell r="I262" t="str">
            <v>40HC</v>
          </cell>
          <cell r="J262" t="str">
            <v>HPH</v>
          </cell>
          <cell r="K262">
            <v>31260</v>
          </cell>
          <cell r="L262">
            <v>31.26</v>
          </cell>
          <cell r="M262" t="str">
            <v>F</v>
          </cell>
          <cell r="P262" t="str">
            <v>HAC260519088</v>
          </cell>
          <cell r="Q262" t="str">
            <v>OK</v>
          </cell>
          <cell r="R262" t="str">
            <v>ND/</v>
          </cell>
          <cell r="S262" t="str">
            <v>000938</v>
          </cell>
          <cell r="T262" t="str">
            <v>SI NHOM</v>
          </cell>
        </row>
        <row r="263">
          <cell r="E263" t="str">
            <v>DFSU7675566</v>
          </cell>
          <cell r="F263" t="str">
            <v>180508</v>
          </cell>
          <cell r="G263">
            <v>40</v>
          </cell>
          <cell r="H263" t="str">
            <v>HC</v>
          </cell>
          <cell r="I263" t="str">
            <v>40HC</v>
          </cell>
          <cell r="J263" t="str">
            <v>HPH</v>
          </cell>
          <cell r="K263">
            <v>27070</v>
          </cell>
          <cell r="L263">
            <v>27.07</v>
          </cell>
          <cell r="M263" t="str">
            <v>F</v>
          </cell>
          <cell r="P263" t="str">
            <v>HAC260519106</v>
          </cell>
          <cell r="Q263" t="str">
            <v>OK</v>
          </cell>
          <cell r="R263" t="str">
            <v>ND/</v>
          </cell>
          <cell r="S263" t="str">
            <v>003882</v>
          </cell>
          <cell r="T263" t="str">
            <v>THUC PHAM</v>
          </cell>
        </row>
        <row r="264">
          <cell r="E264" t="str">
            <v>DRYU9040687</v>
          </cell>
          <cell r="F264" t="str">
            <v>100102</v>
          </cell>
          <cell r="G264">
            <v>40</v>
          </cell>
          <cell r="H264" t="str">
            <v>HC</v>
          </cell>
          <cell r="I264" t="str">
            <v>40HC</v>
          </cell>
          <cell r="J264" t="str">
            <v>HPH</v>
          </cell>
          <cell r="K264">
            <v>30410</v>
          </cell>
          <cell r="L264">
            <v>30.41</v>
          </cell>
          <cell r="M264" t="str">
            <v>F</v>
          </cell>
          <cell r="P264" t="str">
            <v>HAC260519110</v>
          </cell>
          <cell r="Q264" t="str">
            <v>OK</v>
          </cell>
          <cell r="R264" t="str">
            <v>ND/</v>
          </cell>
          <cell r="S264" t="str">
            <v>56483</v>
          </cell>
          <cell r="T264" t="str">
            <v>PHU TUNG</v>
          </cell>
        </row>
        <row r="265">
          <cell r="E265" t="str">
            <v>DRYU9045499</v>
          </cell>
          <cell r="F265" t="str">
            <v>060108</v>
          </cell>
          <cell r="G265">
            <v>40</v>
          </cell>
          <cell r="H265" t="str">
            <v>HC</v>
          </cell>
          <cell r="I265" t="str">
            <v>40HC</v>
          </cell>
          <cell r="J265" t="str">
            <v>HPH</v>
          </cell>
          <cell r="K265">
            <v>30720</v>
          </cell>
          <cell r="L265">
            <v>30.72</v>
          </cell>
          <cell r="M265" t="str">
            <v>F</v>
          </cell>
          <cell r="P265" t="str">
            <v>HAC260519110</v>
          </cell>
          <cell r="Q265" t="str">
            <v>OK</v>
          </cell>
          <cell r="R265" t="str">
            <v>ND/</v>
          </cell>
          <cell r="S265" t="str">
            <v>57011</v>
          </cell>
          <cell r="T265" t="str">
            <v>PHU TUNG</v>
          </cell>
        </row>
        <row r="266">
          <cell r="E266" t="str">
            <v>DRYU9780960</v>
          </cell>
          <cell r="F266" t="str">
            <v>060882</v>
          </cell>
          <cell r="G266">
            <v>40</v>
          </cell>
          <cell r="H266" t="str">
            <v>HC</v>
          </cell>
          <cell r="I266" t="str">
            <v>40HC</v>
          </cell>
          <cell r="J266" t="str">
            <v>HPH</v>
          </cell>
          <cell r="K266">
            <v>31650</v>
          </cell>
          <cell r="L266">
            <v>31.65</v>
          </cell>
          <cell r="M266" t="str">
            <v>F</v>
          </cell>
          <cell r="O266">
            <v>3</v>
          </cell>
          <cell r="P266" t="str">
            <v>HAC260519148</v>
          </cell>
          <cell r="Q266" t="str">
            <v>DG</v>
          </cell>
          <cell r="R266" t="str">
            <v>ND/</v>
          </cell>
          <cell r="S266" t="str">
            <v>656126</v>
          </cell>
          <cell r="T266" t="str">
            <v>BUTYL ACETATE</v>
          </cell>
        </row>
        <row r="267">
          <cell r="E267" t="str">
            <v>DRYU9871700</v>
          </cell>
          <cell r="F267" t="str">
            <v>020282</v>
          </cell>
          <cell r="G267">
            <v>40</v>
          </cell>
          <cell r="H267" t="str">
            <v>HC</v>
          </cell>
          <cell r="I267" t="str">
            <v>40HC</v>
          </cell>
          <cell r="J267" t="str">
            <v>HPH</v>
          </cell>
          <cell r="K267">
            <v>31560</v>
          </cell>
          <cell r="L267">
            <v>31.56</v>
          </cell>
          <cell r="M267" t="str">
            <v>F</v>
          </cell>
          <cell r="P267" t="str">
            <v>HAC260525072</v>
          </cell>
          <cell r="Q267" t="str">
            <v>OK</v>
          </cell>
          <cell r="R267" t="str">
            <v>ND/</v>
          </cell>
          <cell r="S267" t="str">
            <v>47110</v>
          </cell>
          <cell r="T267" t="str">
            <v>GIAY</v>
          </cell>
        </row>
        <row r="268">
          <cell r="E268" t="str">
            <v>DRYU9910832</v>
          </cell>
          <cell r="F268" t="str">
            <v>100884</v>
          </cell>
          <cell r="G268">
            <v>40</v>
          </cell>
          <cell r="H268" t="str">
            <v>HC</v>
          </cell>
          <cell r="I268" t="str">
            <v>40HC</v>
          </cell>
          <cell r="J268" t="str">
            <v>HPH</v>
          </cell>
          <cell r="K268">
            <v>25700</v>
          </cell>
          <cell r="L268">
            <v>25.7</v>
          </cell>
          <cell r="M268" t="str">
            <v>F</v>
          </cell>
          <cell r="P268" t="str">
            <v>HAC260527056</v>
          </cell>
          <cell r="Q268" t="str">
            <v>OK</v>
          </cell>
          <cell r="R268" t="str">
            <v>ND/</v>
          </cell>
          <cell r="S268" t="str">
            <v>1105762</v>
          </cell>
          <cell r="T268" t="str">
            <v>XE NANG</v>
          </cell>
        </row>
        <row r="269">
          <cell r="E269" t="str">
            <v>DRYU9913019</v>
          </cell>
          <cell r="F269" t="str">
            <v>301084</v>
          </cell>
          <cell r="G269">
            <v>40</v>
          </cell>
          <cell r="H269" t="str">
            <v>HC</v>
          </cell>
          <cell r="I269" t="str">
            <v>40HC</v>
          </cell>
          <cell r="J269" t="str">
            <v>HPH</v>
          </cell>
          <cell r="K269">
            <v>9260</v>
          </cell>
          <cell r="L269">
            <v>9.26</v>
          </cell>
          <cell r="M269" t="str">
            <v>F</v>
          </cell>
          <cell r="P269" t="str">
            <v>HAC260519126</v>
          </cell>
          <cell r="Q269" t="str">
            <v>OK</v>
          </cell>
          <cell r="R269" t="str">
            <v>ND/</v>
          </cell>
          <cell r="S269" t="str">
            <v>1106598</v>
          </cell>
          <cell r="T269" t="str">
            <v>VAI</v>
          </cell>
        </row>
        <row r="270">
          <cell r="E270" t="str">
            <v>DRYU9957552</v>
          </cell>
          <cell r="F270" t="str">
            <v>300784</v>
          </cell>
          <cell r="G270">
            <v>40</v>
          </cell>
          <cell r="H270" t="str">
            <v>HC</v>
          </cell>
          <cell r="I270" t="str">
            <v>40HC</v>
          </cell>
          <cell r="J270" t="str">
            <v>HPH</v>
          </cell>
          <cell r="K270">
            <v>10330</v>
          </cell>
          <cell r="L270">
            <v>10.33</v>
          </cell>
          <cell r="M270" t="str">
            <v>F</v>
          </cell>
          <cell r="P270" t="str">
            <v>HATE0461N</v>
          </cell>
          <cell r="Q270" t="str">
            <v>OK</v>
          </cell>
          <cell r="R270" t="str">
            <v>ND/</v>
          </cell>
          <cell r="S270" t="str">
            <v>0094982</v>
          </cell>
          <cell r="T270" t="str">
            <v>VAI</v>
          </cell>
        </row>
        <row r="271">
          <cell r="E271" t="str">
            <v>EITU1233000</v>
          </cell>
          <cell r="F271" t="str">
            <v>140708</v>
          </cell>
          <cell r="G271">
            <v>40</v>
          </cell>
          <cell r="H271" t="str">
            <v>HC</v>
          </cell>
          <cell r="I271" t="str">
            <v>40HC</v>
          </cell>
          <cell r="J271" t="str">
            <v>HPH</v>
          </cell>
          <cell r="K271">
            <v>27100</v>
          </cell>
          <cell r="L271">
            <v>27.1</v>
          </cell>
          <cell r="M271" t="str">
            <v>F</v>
          </cell>
          <cell r="P271" t="str">
            <v>HAC260520099</v>
          </cell>
          <cell r="Q271" t="str">
            <v>OK</v>
          </cell>
          <cell r="R271" t="str">
            <v>ND/</v>
          </cell>
          <cell r="S271" t="str">
            <v>VS369947</v>
          </cell>
          <cell r="T271" t="str">
            <v>GENERAL CARGO</v>
          </cell>
        </row>
        <row r="272">
          <cell r="E272" t="str">
            <v>EITU1330090</v>
          </cell>
          <cell r="F272" t="str">
            <v>220584</v>
          </cell>
          <cell r="G272">
            <v>40</v>
          </cell>
          <cell r="H272" t="str">
            <v>HC</v>
          </cell>
          <cell r="I272" t="str">
            <v>40HC</v>
          </cell>
          <cell r="J272" t="str">
            <v>HPH</v>
          </cell>
          <cell r="K272">
            <v>15120</v>
          </cell>
          <cell r="L272">
            <v>15.12</v>
          </cell>
          <cell r="M272" t="str">
            <v>F</v>
          </cell>
          <cell r="P272" t="str">
            <v>HAC260525073</v>
          </cell>
          <cell r="Q272" t="str">
            <v>OK</v>
          </cell>
          <cell r="R272" t="str">
            <v>ND/</v>
          </cell>
          <cell r="S272" t="str">
            <v>1105865</v>
          </cell>
          <cell r="T272" t="str">
            <v>COCONUT FIBRE</v>
          </cell>
        </row>
        <row r="273">
          <cell r="E273" t="str">
            <v>EMCU5294501</v>
          </cell>
          <cell r="F273" t="str">
            <v>180382</v>
          </cell>
          <cell r="G273">
            <v>40</v>
          </cell>
          <cell r="H273" t="str">
            <v>RH</v>
          </cell>
          <cell r="I273" t="str">
            <v>40RH</v>
          </cell>
          <cell r="J273" t="str">
            <v>HPH</v>
          </cell>
          <cell r="K273">
            <v>34060</v>
          </cell>
          <cell r="L273">
            <v>34.06</v>
          </cell>
          <cell r="M273" t="str">
            <v>F</v>
          </cell>
          <cell r="N273" t="str">
            <v>-18C</v>
          </cell>
          <cell r="P273" t="str">
            <v>HAC260519053</v>
          </cell>
          <cell r="Q273" t="str">
            <v>OK</v>
          </cell>
          <cell r="R273" t="str">
            <v>ND/</v>
          </cell>
          <cell r="S273" t="str">
            <v>25001885</v>
          </cell>
          <cell r="T273" t="str">
            <v>CA</v>
          </cell>
        </row>
        <row r="274">
          <cell r="E274" t="str">
            <v>EMCU5306583</v>
          </cell>
          <cell r="F274" t="str">
            <v>140182</v>
          </cell>
          <cell r="G274">
            <v>40</v>
          </cell>
          <cell r="H274" t="str">
            <v>RH</v>
          </cell>
          <cell r="I274" t="str">
            <v>40RH</v>
          </cell>
          <cell r="J274" t="str">
            <v>HPH</v>
          </cell>
          <cell r="K274">
            <v>33680</v>
          </cell>
          <cell r="L274">
            <v>33.68</v>
          </cell>
          <cell r="M274" t="str">
            <v>F</v>
          </cell>
          <cell r="N274" t="str">
            <v>-18C</v>
          </cell>
          <cell r="P274" t="str">
            <v>HAC260519053</v>
          </cell>
          <cell r="Q274" t="str">
            <v>XX</v>
          </cell>
          <cell r="R274" t="str">
            <v>ND/</v>
          </cell>
          <cell r="S274" t="str">
            <v>25001782</v>
          </cell>
          <cell r="T274" t="str">
            <v>CA</v>
          </cell>
        </row>
        <row r="275">
          <cell r="E275" t="str">
            <v>EMCU5344454</v>
          </cell>
          <cell r="F275" t="str">
            <v>100882</v>
          </cell>
          <cell r="G275">
            <v>40</v>
          </cell>
          <cell r="H275" t="str">
            <v>RH</v>
          </cell>
          <cell r="I275" t="str">
            <v>40RH</v>
          </cell>
          <cell r="J275" t="str">
            <v>HPH</v>
          </cell>
          <cell r="K275">
            <v>32710</v>
          </cell>
          <cell r="L275">
            <v>32.71</v>
          </cell>
          <cell r="M275" t="str">
            <v>F</v>
          </cell>
          <cell r="N275" t="str">
            <v>-18C</v>
          </cell>
          <cell r="P275" t="str">
            <v>HAC260519053</v>
          </cell>
          <cell r="Q275" t="str">
            <v>MM</v>
          </cell>
          <cell r="R275" t="str">
            <v>ND/</v>
          </cell>
          <cell r="S275" t="str">
            <v>000755</v>
          </cell>
          <cell r="T275" t="str">
            <v>CA</v>
          </cell>
        </row>
        <row r="276">
          <cell r="E276" t="str">
            <v>EMCU5354811</v>
          </cell>
          <cell r="F276" t="str">
            <v>100782</v>
          </cell>
          <cell r="G276">
            <v>40</v>
          </cell>
          <cell r="H276" t="str">
            <v>RH</v>
          </cell>
          <cell r="I276" t="str">
            <v>40RH</v>
          </cell>
          <cell r="J276" t="str">
            <v>HPH</v>
          </cell>
          <cell r="K276">
            <v>15650</v>
          </cell>
          <cell r="L276">
            <v>15.65</v>
          </cell>
          <cell r="M276" t="str">
            <v>F</v>
          </cell>
          <cell r="N276" t="str">
            <v>-22C</v>
          </cell>
          <cell r="P276" t="str">
            <v>HAC260527149</v>
          </cell>
          <cell r="Q276" t="str">
            <v>OK</v>
          </cell>
          <cell r="R276" t="str">
            <v>ND/</v>
          </cell>
          <cell r="S276" t="str">
            <v>409528</v>
          </cell>
          <cell r="T276" t="str">
            <v>KEM</v>
          </cell>
        </row>
        <row r="277">
          <cell r="E277" t="str">
            <v>EMCU5377910</v>
          </cell>
          <cell r="F277" t="str">
            <v>140782</v>
          </cell>
          <cell r="G277">
            <v>40</v>
          </cell>
          <cell r="H277" t="str">
            <v>RH</v>
          </cell>
          <cell r="I277" t="str">
            <v>40RH</v>
          </cell>
          <cell r="J277" t="str">
            <v>HPH</v>
          </cell>
          <cell r="K277">
            <v>33790</v>
          </cell>
          <cell r="L277">
            <v>33.79</v>
          </cell>
          <cell r="M277" t="str">
            <v>F</v>
          </cell>
          <cell r="N277" t="str">
            <v>-18C</v>
          </cell>
          <cell r="P277" t="str">
            <v>HAC260525111</v>
          </cell>
          <cell r="Q277" t="str">
            <v>OK</v>
          </cell>
          <cell r="R277" t="str">
            <v>ND/</v>
          </cell>
          <cell r="S277" t="str">
            <v>2505049</v>
          </cell>
          <cell r="T277" t="str">
            <v>CA TRA</v>
          </cell>
        </row>
        <row r="278">
          <cell r="E278" t="str">
            <v>EMCU5384293</v>
          </cell>
          <cell r="F278" t="str">
            <v>140382</v>
          </cell>
          <cell r="G278">
            <v>40</v>
          </cell>
          <cell r="H278" t="str">
            <v>RH</v>
          </cell>
          <cell r="I278" t="str">
            <v>40RH</v>
          </cell>
          <cell r="J278" t="str">
            <v>HPH</v>
          </cell>
          <cell r="K278">
            <v>33460</v>
          </cell>
          <cell r="L278">
            <v>33.46</v>
          </cell>
          <cell r="M278" t="str">
            <v>F</v>
          </cell>
          <cell r="N278" t="str">
            <v>-18C</v>
          </cell>
          <cell r="P278" t="str">
            <v>HAC260525111</v>
          </cell>
          <cell r="Q278" t="str">
            <v>OK</v>
          </cell>
          <cell r="R278" t="str">
            <v>ND/</v>
          </cell>
          <cell r="S278" t="str">
            <v>10288</v>
          </cell>
          <cell r="T278" t="str">
            <v>CA</v>
          </cell>
        </row>
        <row r="279">
          <cell r="E279" t="str">
            <v>FBLU0021428</v>
          </cell>
          <cell r="F279" t="str">
            <v>260782</v>
          </cell>
          <cell r="G279">
            <v>40</v>
          </cell>
          <cell r="H279" t="str">
            <v>HC</v>
          </cell>
          <cell r="I279" t="str">
            <v>40HC</v>
          </cell>
          <cell r="J279" t="str">
            <v>HPH</v>
          </cell>
          <cell r="K279">
            <v>27340</v>
          </cell>
          <cell r="L279">
            <v>27.34</v>
          </cell>
          <cell r="M279" t="str">
            <v>F</v>
          </cell>
          <cell r="P279" t="str">
            <v>HAC260521122</v>
          </cell>
          <cell r="Q279" t="str">
            <v>OK</v>
          </cell>
          <cell r="R279" t="str">
            <v>ND/</v>
          </cell>
          <cell r="S279" t="str">
            <v>000984</v>
          </cell>
          <cell r="T279" t="str">
            <v>NUOC NGOT</v>
          </cell>
        </row>
        <row r="280">
          <cell r="E280" t="str">
            <v>FBLU0098796</v>
          </cell>
          <cell r="F280" t="str">
            <v>060686</v>
          </cell>
          <cell r="G280">
            <v>40</v>
          </cell>
          <cell r="H280" t="str">
            <v>HC</v>
          </cell>
          <cell r="I280" t="str">
            <v>40HC</v>
          </cell>
          <cell r="J280" t="str">
            <v>HPH</v>
          </cell>
          <cell r="K280">
            <v>12430</v>
          </cell>
          <cell r="L280">
            <v>12.43</v>
          </cell>
          <cell r="M280" t="str">
            <v>F</v>
          </cell>
          <cell r="P280" t="str">
            <v>HAC260527042</v>
          </cell>
          <cell r="Q280" t="str">
            <v>OK</v>
          </cell>
          <cell r="R280" t="str">
            <v>ND/</v>
          </cell>
          <cell r="S280" t="str">
            <v>1042939</v>
          </cell>
          <cell r="T280" t="str">
            <v>MI</v>
          </cell>
        </row>
        <row r="281">
          <cell r="E281" t="str">
            <v>FBLU0208640</v>
          </cell>
          <cell r="F281" t="str">
            <v>260706</v>
          </cell>
          <cell r="G281">
            <v>40</v>
          </cell>
          <cell r="H281" t="str">
            <v>HC</v>
          </cell>
          <cell r="I281" t="str">
            <v>40HC</v>
          </cell>
          <cell r="J281" t="str">
            <v>HPH</v>
          </cell>
          <cell r="K281">
            <v>30630</v>
          </cell>
          <cell r="L281">
            <v>30.63</v>
          </cell>
          <cell r="M281" t="str">
            <v>F</v>
          </cell>
          <cell r="P281" t="str">
            <v>HAC251017100</v>
          </cell>
          <cell r="Q281" t="str">
            <v>OK</v>
          </cell>
          <cell r="R281" t="str">
            <v>ND/</v>
          </cell>
          <cell r="S281" t="str">
            <v>1111172</v>
          </cell>
          <cell r="T281" t="str">
            <v>VLXD</v>
          </cell>
        </row>
        <row r="282">
          <cell r="E282" t="str">
            <v>FBLU0211460</v>
          </cell>
          <cell r="F282" t="str">
            <v>180704</v>
          </cell>
          <cell r="G282">
            <v>40</v>
          </cell>
          <cell r="H282" t="str">
            <v>HC</v>
          </cell>
          <cell r="I282" t="str">
            <v>40HC</v>
          </cell>
          <cell r="J282" t="str">
            <v>HPH</v>
          </cell>
          <cell r="K282">
            <v>30540</v>
          </cell>
          <cell r="L282">
            <v>30.54</v>
          </cell>
          <cell r="M282" t="str">
            <v>F</v>
          </cell>
          <cell r="P282" t="str">
            <v>HAC260521157</v>
          </cell>
          <cell r="Q282" t="str">
            <v>OK</v>
          </cell>
          <cell r="R282" t="str">
            <v>ND/</v>
          </cell>
          <cell r="S282" t="str">
            <v>656163</v>
          </cell>
          <cell r="T282" t="str">
            <v>SON DONG THUNG</v>
          </cell>
        </row>
        <row r="283">
          <cell r="E283" t="str">
            <v>FBLU0215188</v>
          </cell>
          <cell r="F283" t="str">
            <v>260704</v>
          </cell>
          <cell r="G283">
            <v>40</v>
          </cell>
          <cell r="H283" t="str">
            <v>HC</v>
          </cell>
          <cell r="I283" t="str">
            <v>40HC</v>
          </cell>
          <cell r="J283" t="str">
            <v>HPH</v>
          </cell>
          <cell r="K283">
            <v>31850</v>
          </cell>
          <cell r="L283">
            <v>31.85</v>
          </cell>
          <cell r="M283" t="str">
            <v>F</v>
          </cell>
          <cell r="P283" t="str">
            <v>HAC251126041</v>
          </cell>
          <cell r="Q283" t="str">
            <v>OK</v>
          </cell>
          <cell r="R283" t="str">
            <v>ND/</v>
          </cell>
          <cell r="S283" t="str">
            <v>00011</v>
          </cell>
          <cell r="T283" t="str">
            <v>GI?Y</v>
          </cell>
        </row>
        <row r="284">
          <cell r="E284" t="str">
            <v>FSCU5692549</v>
          </cell>
          <cell r="F284" t="str">
            <v>100582</v>
          </cell>
          <cell r="G284">
            <v>40</v>
          </cell>
          <cell r="H284" t="str">
            <v>RH</v>
          </cell>
          <cell r="I284" t="str">
            <v>40RH</v>
          </cell>
          <cell r="J284" t="str">
            <v>HPH</v>
          </cell>
          <cell r="K284">
            <v>33220</v>
          </cell>
          <cell r="L284">
            <v>33.22</v>
          </cell>
          <cell r="M284" t="str">
            <v>F</v>
          </cell>
          <cell r="N284" t="str">
            <v>-18C</v>
          </cell>
          <cell r="P284" t="str">
            <v>HAC260526173</v>
          </cell>
          <cell r="Q284" t="str">
            <v>OK</v>
          </cell>
          <cell r="R284" t="str">
            <v>ND/</v>
          </cell>
          <cell r="S284" t="str">
            <v>10071</v>
          </cell>
          <cell r="T284" t="str">
            <v>CA</v>
          </cell>
        </row>
        <row r="285">
          <cell r="E285" t="str">
            <v>FSCU8107519</v>
          </cell>
          <cell r="F285" t="str">
            <v>060182</v>
          </cell>
          <cell r="G285">
            <v>40</v>
          </cell>
          <cell r="H285" t="str">
            <v>HC</v>
          </cell>
          <cell r="I285" t="str">
            <v>40HC</v>
          </cell>
          <cell r="J285" t="str">
            <v>HPH</v>
          </cell>
          <cell r="K285">
            <v>31710</v>
          </cell>
          <cell r="L285">
            <v>31.71</v>
          </cell>
          <cell r="M285" t="str">
            <v>F</v>
          </cell>
          <cell r="O285">
            <v>3</v>
          </cell>
          <cell r="P285" t="str">
            <v>HAC260519148</v>
          </cell>
          <cell r="Q285" t="str">
            <v>DG</v>
          </cell>
          <cell r="R285" t="str">
            <v>ND/</v>
          </cell>
          <cell r="S285" t="str">
            <v>656205</v>
          </cell>
          <cell r="T285" t="str">
            <v>BUTYL ACETATE</v>
          </cell>
        </row>
        <row r="286">
          <cell r="E286" t="str">
            <v>FSCU8573939</v>
          </cell>
          <cell r="F286" t="str">
            <v>180284</v>
          </cell>
          <cell r="G286">
            <v>40</v>
          </cell>
          <cell r="H286" t="str">
            <v>HC</v>
          </cell>
          <cell r="I286" t="str">
            <v>40HC</v>
          </cell>
          <cell r="J286" t="str">
            <v>HPH</v>
          </cell>
          <cell r="K286">
            <v>27040</v>
          </cell>
          <cell r="L286">
            <v>27.04</v>
          </cell>
          <cell r="M286" t="str">
            <v>F</v>
          </cell>
          <cell r="P286" t="str">
            <v>HAC260520099</v>
          </cell>
          <cell r="Q286" t="str">
            <v>OK</v>
          </cell>
          <cell r="R286" t="str">
            <v>ND/</v>
          </cell>
          <cell r="S286" t="str">
            <v>VS369943</v>
          </cell>
          <cell r="T286" t="str">
            <v>GENERAL CARGO</v>
          </cell>
        </row>
        <row r="287">
          <cell r="E287" t="str">
            <v>FSCU8607509</v>
          </cell>
          <cell r="F287" t="str">
            <v>180982</v>
          </cell>
          <cell r="G287">
            <v>40</v>
          </cell>
          <cell r="H287" t="str">
            <v>HC</v>
          </cell>
          <cell r="I287" t="str">
            <v>40HC</v>
          </cell>
          <cell r="J287" t="str">
            <v>HPH</v>
          </cell>
          <cell r="K287">
            <v>26840</v>
          </cell>
          <cell r="L287">
            <v>26.84</v>
          </cell>
          <cell r="M287" t="str">
            <v>F</v>
          </cell>
          <cell r="P287" t="str">
            <v>HAC260520099</v>
          </cell>
          <cell r="Q287" t="str">
            <v>OK</v>
          </cell>
          <cell r="R287" t="str">
            <v>ND/</v>
          </cell>
          <cell r="S287" t="str">
            <v>VS369948</v>
          </cell>
          <cell r="T287" t="str">
            <v>GENERAL CARGO</v>
          </cell>
        </row>
        <row r="288">
          <cell r="E288" t="str">
            <v>FSCU8977653</v>
          </cell>
          <cell r="F288" t="str">
            <v>180708</v>
          </cell>
          <cell r="G288">
            <v>40</v>
          </cell>
          <cell r="H288" t="str">
            <v>HC</v>
          </cell>
          <cell r="I288" t="str">
            <v>40HC</v>
          </cell>
          <cell r="J288" t="str">
            <v>HPH</v>
          </cell>
          <cell r="K288">
            <v>27740</v>
          </cell>
          <cell r="L288">
            <v>27.74</v>
          </cell>
          <cell r="M288" t="str">
            <v>F</v>
          </cell>
          <cell r="P288" t="str">
            <v>HAC260520099</v>
          </cell>
          <cell r="Q288" t="str">
            <v>OK</v>
          </cell>
          <cell r="R288" t="str">
            <v>ND/</v>
          </cell>
          <cell r="S288" t="str">
            <v>VS369949</v>
          </cell>
          <cell r="T288" t="str">
            <v>GENERAL CARGO</v>
          </cell>
        </row>
        <row r="289">
          <cell r="E289" t="str">
            <v>GAOU6421517</v>
          </cell>
          <cell r="F289" t="str">
            <v>260182</v>
          </cell>
          <cell r="G289">
            <v>40</v>
          </cell>
          <cell r="H289" t="str">
            <v>HC</v>
          </cell>
          <cell r="I289" t="str">
            <v>40HC</v>
          </cell>
          <cell r="J289" t="str">
            <v>HPH</v>
          </cell>
          <cell r="K289">
            <v>20440</v>
          </cell>
          <cell r="L289">
            <v>20.440000000000001</v>
          </cell>
          <cell r="M289" t="str">
            <v>F</v>
          </cell>
          <cell r="P289" t="str">
            <v>HAC260519078</v>
          </cell>
          <cell r="Q289" t="str">
            <v>OK</v>
          </cell>
          <cell r="R289" t="str">
            <v>ND/</v>
          </cell>
          <cell r="S289" t="str">
            <v>030343</v>
          </cell>
          <cell r="T289" t="str">
            <v>THUC PHAM</v>
          </cell>
        </row>
        <row r="290">
          <cell r="E290" t="str">
            <v>GAOU6421836</v>
          </cell>
          <cell r="F290" t="str">
            <v>260482</v>
          </cell>
          <cell r="G290">
            <v>40</v>
          </cell>
          <cell r="H290" t="str">
            <v>HC</v>
          </cell>
          <cell r="I290" t="str">
            <v>40HC</v>
          </cell>
          <cell r="J290" t="str">
            <v>HPH</v>
          </cell>
          <cell r="K290">
            <v>21770</v>
          </cell>
          <cell r="L290">
            <v>21.77</v>
          </cell>
          <cell r="M290" t="str">
            <v>F</v>
          </cell>
          <cell r="P290" t="str">
            <v>HAC260519078</v>
          </cell>
          <cell r="Q290" t="str">
            <v>FD</v>
          </cell>
          <cell r="R290" t="str">
            <v>ND/</v>
          </cell>
          <cell r="S290" t="str">
            <v>020807</v>
          </cell>
          <cell r="T290" t="str">
            <v>THUC PHAM</v>
          </cell>
        </row>
        <row r="291">
          <cell r="E291" t="str">
            <v>GAOU7628026</v>
          </cell>
          <cell r="F291" t="str">
            <v>100204</v>
          </cell>
          <cell r="G291">
            <v>40</v>
          </cell>
          <cell r="H291" t="str">
            <v>HC</v>
          </cell>
          <cell r="I291" t="str">
            <v>40HC</v>
          </cell>
          <cell r="J291" t="str">
            <v>HPH</v>
          </cell>
          <cell r="K291">
            <v>31240</v>
          </cell>
          <cell r="L291">
            <v>31.24</v>
          </cell>
          <cell r="M291" t="str">
            <v>F</v>
          </cell>
          <cell r="P291" t="str">
            <v>HAC260522146</v>
          </cell>
          <cell r="Q291" t="str">
            <v>OK</v>
          </cell>
          <cell r="R291" t="str">
            <v>ND/</v>
          </cell>
          <cell r="S291" t="str">
            <v>1042934</v>
          </cell>
          <cell r="T291" t="str">
            <v>BAN THANH PHAM</v>
          </cell>
        </row>
        <row r="292">
          <cell r="E292" t="str">
            <v>GAOU7628638</v>
          </cell>
          <cell r="F292" t="str">
            <v>180106</v>
          </cell>
          <cell r="G292">
            <v>40</v>
          </cell>
          <cell r="H292" t="str">
            <v>HC</v>
          </cell>
          <cell r="I292" t="str">
            <v>40HC</v>
          </cell>
          <cell r="J292" t="str">
            <v>HPH</v>
          </cell>
          <cell r="K292">
            <v>31680</v>
          </cell>
          <cell r="L292">
            <v>31.68</v>
          </cell>
          <cell r="M292" t="str">
            <v>F</v>
          </cell>
          <cell r="P292" t="str">
            <v>HAC260526180</v>
          </cell>
          <cell r="Q292" t="str">
            <v>OK</v>
          </cell>
          <cell r="R292" t="str">
            <v>ND/</v>
          </cell>
          <cell r="S292" t="str">
            <v>1113795</v>
          </cell>
        </row>
        <row r="293">
          <cell r="E293" t="str">
            <v>GAOU7629402</v>
          </cell>
          <cell r="F293" t="str">
            <v>180606</v>
          </cell>
          <cell r="G293">
            <v>40</v>
          </cell>
          <cell r="H293" t="str">
            <v>HC</v>
          </cell>
          <cell r="I293" t="str">
            <v>40HC</v>
          </cell>
          <cell r="J293" t="str">
            <v>HPH</v>
          </cell>
          <cell r="K293">
            <v>29960</v>
          </cell>
          <cell r="L293">
            <v>29.96</v>
          </cell>
          <cell r="M293" t="str">
            <v>F</v>
          </cell>
          <cell r="P293" t="str">
            <v>HAC260526017</v>
          </cell>
          <cell r="Q293" t="str">
            <v>OK</v>
          </cell>
          <cell r="R293" t="str">
            <v>ND/</v>
          </cell>
          <cell r="S293" t="str">
            <v>000962</v>
          </cell>
          <cell r="T293" t="str">
            <v>GIAY</v>
          </cell>
        </row>
        <row r="294">
          <cell r="E294" t="str">
            <v>GAOU7629763</v>
          </cell>
          <cell r="F294" t="str">
            <v>300782</v>
          </cell>
          <cell r="G294">
            <v>40</v>
          </cell>
          <cell r="H294" t="str">
            <v>HC</v>
          </cell>
          <cell r="I294" t="str">
            <v>40HC</v>
          </cell>
          <cell r="J294" t="str">
            <v>HPH</v>
          </cell>
          <cell r="K294">
            <v>29810</v>
          </cell>
          <cell r="L294">
            <v>29.81</v>
          </cell>
          <cell r="M294" t="str">
            <v>F</v>
          </cell>
          <cell r="P294" t="str">
            <v>HAC260526017</v>
          </cell>
          <cell r="Q294" t="str">
            <v>OK</v>
          </cell>
          <cell r="R294" t="str">
            <v>ND/</v>
          </cell>
          <cell r="S294" t="str">
            <v>1115899</v>
          </cell>
          <cell r="T294" t="str">
            <v>GIAY</v>
          </cell>
        </row>
        <row r="295">
          <cell r="E295" t="str">
            <v>GAOU7629866</v>
          </cell>
          <cell r="F295" t="str">
            <v>140806</v>
          </cell>
          <cell r="G295">
            <v>40</v>
          </cell>
          <cell r="H295" t="str">
            <v>HC</v>
          </cell>
          <cell r="I295" t="str">
            <v>40HC</v>
          </cell>
          <cell r="J295" t="str">
            <v>HPH</v>
          </cell>
          <cell r="K295">
            <v>32420</v>
          </cell>
          <cell r="L295">
            <v>32.42</v>
          </cell>
          <cell r="M295" t="str">
            <v>F</v>
          </cell>
          <cell r="P295" t="str">
            <v>HAC260527142</v>
          </cell>
          <cell r="Q295" t="str">
            <v>OK</v>
          </cell>
          <cell r="R295" t="str">
            <v>ND/</v>
          </cell>
          <cell r="S295" t="str">
            <v>23131198</v>
          </cell>
          <cell r="T295" t="str">
            <v>NHUA</v>
          </cell>
        </row>
        <row r="296">
          <cell r="E296" t="str">
            <v>GAOU7631776</v>
          </cell>
          <cell r="F296" t="str">
            <v>140302</v>
          </cell>
          <cell r="G296">
            <v>40</v>
          </cell>
          <cell r="H296" t="str">
            <v>HC</v>
          </cell>
          <cell r="I296" t="str">
            <v>40HC</v>
          </cell>
          <cell r="J296" t="str">
            <v>HPH</v>
          </cell>
          <cell r="K296">
            <v>30990</v>
          </cell>
          <cell r="L296">
            <v>30.99</v>
          </cell>
          <cell r="M296" t="str">
            <v>F</v>
          </cell>
          <cell r="P296" t="str">
            <v>HAC260526015</v>
          </cell>
          <cell r="Q296" t="str">
            <v>OK</v>
          </cell>
          <cell r="R296" t="str">
            <v>ND/</v>
          </cell>
          <cell r="S296" t="str">
            <v>01119</v>
          </cell>
          <cell r="T296" t="str">
            <v>BOT NGOT</v>
          </cell>
        </row>
        <row r="297">
          <cell r="E297" t="str">
            <v>GAOU7633315</v>
          </cell>
          <cell r="F297" t="str">
            <v>260308</v>
          </cell>
          <cell r="G297">
            <v>40</v>
          </cell>
          <cell r="H297" t="str">
            <v>HC</v>
          </cell>
          <cell r="I297" t="str">
            <v>40HC</v>
          </cell>
          <cell r="J297" t="str">
            <v>HPH</v>
          </cell>
          <cell r="K297">
            <v>28730</v>
          </cell>
          <cell r="L297">
            <v>28.73</v>
          </cell>
          <cell r="M297" t="str">
            <v>F</v>
          </cell>
          <cell r="P297" t="str">
            <v>HAC260519082</v>
          </cell>
          <cell r="Q297" t="str">
            <v>OK</v>
          </cell>
          <cell r="R297" t="str">
            <v>ND/</v>
          </cell>
          <cell r="S297" t="str">
            <v>23360793</v>
          </cell>
          <cell r="T297" t="str">
            <v>VAI</v>
          </cell>
        </row>
        <row r="298">
          <cell r="E298" t="str">
            <v>GAOU7633573</v>
          </cell>
          <cell r="F298" t="str">
            <v>221082</v>
          </cell>
          <cell r="G298">
            <v>40</v>
          </cell>
          <cell r="H298" t="str">
            <v>HC</v>
          </cell>
          <cell r="I298" t="str">
            <v>40HC</v>
          </cell>
          <cell r="J298" t="str">
            <v>HPH</v>
          </cell>
          <cell r="K298">
            <v>22650</v>
          </cell>
          <cell r="L298">
            <v>22.65</v>
          </cell>
          <cell r="M298" t="str">
            <v>F</v>
          </cell>
          <cell r="P298" t="str">
            <v>HAC260526055</v>
          </cell>
          <cell r="Q298" t="str">
            <v>OK</v>
          </cell>
          <cell r="R298" t="str">
            <v>ND/</v>
          </cell>
          <cell r="S298" t="str">
            <v>1115926</v>
          </cell>
          <cell r="T298" t="str">
            <v>NHOM</v>
          </cell>
        </row>
        <row r="299">
          <cell r="E299" t="str">
            <v>GAOU7658967</v>
          </cell>
          <cell r="F299" t="str">
            <v>220102</v>
          </cell>
          <cell r="G299">
            <v>40</v>
          </cell>
          <cell r="H299" t="str">
            <v>HC</v>
          </cell>
          <cell r="I299" t="str">
            <v>40HC</v>
          </cell>
          <cell r="J299" t="str">
            <v>HPH</v>
          </cell>
          <cell r="K299">
            <v>31360</v>
          </cell>
          <cell r="L299">
            <v>31.36</v>
          </cell>
          <cell r="M299" t="str">
            <v>F</v>
          </cell>
          <cell r="P299" t="str">
            <v>HAC251017100</v>
          </cell>
          <cell r="Q299" t="str">
            <v>OK</v>
          </cell>
          <cell r="R299" t="str">
            <v>ND/</v>
          </cell>
          <cell r="S299" t="str">
            <v>PA001330</v>
          </cell>
          <cell r="T299" t="str">
            <v>VLXD</v>
          </cell>
        </row>
        <row r="300">
          <cell r="E300" t="str">
            <v>GAOU7659140</v>
          </cell>
          <cell r="F300" t="str">
            <v>140308</v>
          </cell>
          <cell r="G300">
            <v>40</v>
          </cell>
          <cell r="H300" t="str">
            <v>HC</v>
          </cell>
          <cell r="I300" t="str">
            <v>40HC</v>
          </cell>
          <cell r="J300" t="str">
            <v>HPH</v>
          </cell>
          <cell r="K300">
            <v>28950</v>
          </cell>
          <cell r="L300">
            <v>28.95</v>
          </cell>
          <cell r="M300" t="str">
            <v>F</v>
          </cell>
          <cell r="P300" t="str">
            <v>HAC260523047</v>
          </cell>
          <cell r="Q300" t="str">
            <v>OK</v>
          </cell>
          <cell r="R300" t="str">
            <v>ND/</v>
          </cell>
          <cell r="S300" t="str">
            <v>000091</v>
          </cell>
          <cell r="T300" t="str">
            <v>NGK</v>
          </cell>
        </row>
        <row r="301">
          <cell r="E301" t="str">
            <v>GAOU7790910</v>
          </cell>
          <cell r="F301" t="str">
            <v>260602</v>
          </cell>
          <cell r="G301">
            <v>40</v>
          </cell>
          <cell r="H301" t="str">
            <v>HC</v>
          </cell>
          <cell r="I301" t="str">
            <v>40HC</v>
          </cell>
          <cell r="J301" t="str">
            <v>HPH</v>
          </cell>
          <cell r="K301">
            <v>32860</v>
          </cell>
          <cell r="L301">
            <v>32.86</v>
          </cell>
          <cell r="M301" t="str">
            <v>F</v>
          </cell>
          <cell r="P301" t="str">
            <v>HAC251017100</v>
          </cell>
          <cell r="Q301" t="str">
            <v>OK</v>
          </cell>
          <cell r="R301" t="str">
            <v>ND/</v>
          </cell>
          <cell r="S301" t="str">
            <v>1119315</v>
          </cell>
          <cell r="T301" t="str">
            <v>ctp NGK PEPSI</v>
          </cell>
        </row>
        <row r="302">
          <cell r="E302" t="str">
            <v>GAOU7790952</v>
          </cell>
          <cell r="F302" t="str">
            <v>220204</v>
          </cell>
          <cell r="G302">
            <v>40</v>
          </cell>
          <cell r="H302" t="str">
            <v>HC</v>
          </cell>
          <cell r="I302" t="str">
            <v>40HC</v>
          </cell>
          <cell r="J302" t="str">
            <v>HPH</v>
          </cell>
          <cell r="K302">
            <v>32370</v>
          </cell>
          <cell r="L302">
            <v>32.369999999999997</v>
          </cell>
          <cell r="M302" t="str">
            <v>F</v>
          </cell>
          <cell r="P302" t="str">
            <v>HAC260522142</v>
          </cell>
          <cell r="Q302" t="str">
            <v>OK</v>
          </cell>
          <cell r="R302" t="str">
            <v>ND/</v>
          </cell>
          <cell r="S302" t="str">
            <v>05260</v>
          </cell>
          <cell r="T302" t="str">
            <v>NHUA</v>
          </cell>
        </row>
        <row r="303">
          <cell r="E303" t="str">
            <v>GAOU7791265</v>
          </cell>
          <cell r="F303" t="str">
            <v>180102</v>
          </cell>
          <cell r="G303">
            <v>40</v>
          </cell>
          <cell r="H303" t="str">
            <v>HC</v>
          </cell>
          <cell r="I303" t="str">
            <v>40HC</v>
          </cell>
          <cell r="J303" t="str">
            <v>HPH</v>
          </cell>
          <cell r="K303">
            <v>32380</v>
          </cell>
          <cell r="L303">
            <v>32.380000000000003</v>
          </cell>
          <cell r="M303" t="str">
            <v>F</v>
          </cell>
          <cell r="P303" t="str">
            <v>HAC260526178</v>
          </cell>
          <cell r="Q303" t="str">
            <v>OK</v>
          </cell>
          <cell r="R303" t="str">
            <v>ND/</v>
          </cell>
          <cell r="S303" t="str">
            <v>1116422</v>
          </cell>
          <cell r="T303" t="str">
            <v>GIAY CUON</v>
          </cell>
        </row>
        <row r="304">
          <cell r="E304" t="str">
            <v>GAOU7791476</v>
          </cell>
          <cell r="F304" t="str">
            <v>180706</v>
          </cell>
          <cell r="G304">
            <v>40</v>
          </cell>
          <cell r="H304" t="str">
            <v>HC</v>
          </cell>
          <cell r="I304" t="str">
            <v>40HC</v>
          </cell>
          <cell r="J304" t="str">
            <v>HPH</v>
          </cell>
          <cell r="K304">
            <v>29590</v>
          </cell>
          <cell r="L304">
            <v>29.59</v>
          </cell>
          <cell r="M304" t="str">
            <v>F</v>
          </cell>
          <cell r="P304" t="str">
            <v>HAC260526017</v>
          </cell>
          <cell r="Q304" t="str">
            <v>OK</v>
          </cell>
          <cell r="R304" t="str">
            <v>ND/</v>
          </cell>
          <cell r="S304" t="str">
            <v>1113552</v>
          </cell>
          <cell r="T304" t="str">
            <v>GIAY</v>
          </cell>
        </row>
        <row r="305">
          <cell r="E305" t="str">
            <v>GAOU7791795</v>
          </cell>
          <cell r="F305" t="str">
            <v>300984</v>
          </cell>
          <cell r="G305">
            <v>40</v>
          </cell>
          <cell r="H305" t="str">
            <v>HC</v>
          </cell>
          <cell r="I305" t="str">
            <v>40HC</v>
          </cell>
          <cell r="J305" t="str">
            <v>HPH</v>
          </cell>
          <cell r="K305">
            <v>8430</v>
          </cell>
          <cell r="L305">
            <v>8.43</v>
          </cell>
          <cell r="M305" t="str">
            <v>F</v>
          </cell>
          <cell r="P305" t="str">
            <v>HAC260525071</v>
          </cell>
          <cell r="Q305" t="str">
            <v>OK</v>
          </cell>
          <cell r="R305" t="str">
            <v>ND/</v>
          </cell>
          <cell r="S305" t="str">
            <v>003273</v>
          </cell>
          <cell r="T305" t="str">
            <v>DIEN TU</v>
          </cell>
        </row>
        <row r="306">
          <cell r="E306" t="str">
            <v>GAOU7792045</v>
          </cell>
          <cell r="F306" t="str">
            <v>060204</v>
          </cell>
          <cell r="G306">
            <v>40</v>
          </cell>
          <cell r="H306" t="str">
            <v>HC</v>
          </cell>
          <cell r="I306" t="str">
            <v>40HC</v>
          </cell>
          <cell r="J306" t="str">
            <v>HPH</v>
          </cell>
          <cell r="K306">
            <v>32490</v>
          </cell>
          <cell r="L306">
            <v>32.49</v>
          </cell>
          <cell r="M306" t="str">
            <v>F</v>
          </cell>
          <cell r="P306" t="str">
            <v>HAC260519094</v>
          </cell>
          <cell r="Q306" t="str">
            <v>OK</v>
          </cell>
          <cell r="R306" t="str">
            <v>ND/</v>
          </cell>
          <cell r="S306" t="str">
            <v>VN220004</v>
          </cell>
          <cell r="T306" t="str">
            <v>DET MAY</v>
          </cell>
        </row>
        <row r="307">
          <cell r="E307" t="str">
            <v>GAOU7792220</v>
          </cell>
          <cell r="F307" t="str">
            <v>140506</v>
          </cell>
          <cell r="G307">
            <v>40</v>
          </cell>
          <cell r="H307" t="str">
            <v>HC</v>
          </cell>
          <cell r="I307" t="str">
            <v>40HC</v>
          </cell>
          <cell r="J307" t="str">
            <v>HPH</v>
          </cell>
          <cell r="K307">
            <v>30040</v>
          </cell>
          <cell r="L307">
            <v>30.04</v>
          </cell>
          <cell r="M307" t="str">
            <v>F</v>
          </cell>
          <cell r="P307" t="str">
            <v>HAC260522142</v>
          </cell>
          <cell r="Q307" t="str">
            <v>OK</v>
          </cell>
          <cell r="R307" t="str">
            <v>ND/</v>
          </cell>
          <cell r="S307" t="str">
            <v>05175</v>
          </cell>
          <cell r="T307" t="str">
            <v>NHUA</v>
          </cell>
        </row>
        <row r="308">
          <cell r="E308" t="str">
            <v>GAOU7897940</v>
          </cell>
          <cell r="F308" t="str">
            <v>260984</v>
          </cell>
          <cell r="G308">
            <v>40</v>
          </cell>
          <cell r="H308" t="str">
            <v>HC</v>
          </cell>
          <cell r="I308" t="str">
            <v>40HC</v>
          </cell>
          <cell r="J308" t="str">
            <v>HPH</v>
          </cell>
          <cell r="K308">
            <v>12730</v>
          </cell>
          <cell r="L308">
            <v>12.73</v>
          </cell>
          <cell r="M308" t="str">
            <v>F</v>
          </cell>
          <cell r="P308" t="str">
            <v>HAC260526019</v>
          </cell>
          <cell r="Q308" t="str">
            <v>OK</v>
          </cell>
          <cell r="R308" t="str">
            <v>ND/</v>
          </cell>
          <cell r="S308" t="str">
            <v>1105623</v>
          </cell>
          <cell r="T308" t="str">
            <v>TAM CACH NHIET</v>
          </cell>
        </row>
        <row r="309">
          <cell r="E309" t="str">
            <v>GAOU7898206</v>
          </cell>
          <cell r="F309" t="str">
            <v>140384</v>
          </cell>
          <cell r="G309">
            <v>40</v>
          </cell>
          <cell r="H309" t="str">
            <v>HC</v>
          </cell>
          <cell r="I309" t="str">
            <v>40HC</v>
          </cell>
          <cell r="J309" t="str">
            <v>HPH</v>
          </cell>
          <cell r="K309">
            <v>17590</v>
          </cell>
          <cell r="L309">
            <v>17.59</v>
          </cell>
          <cell r="M309" t="str">
            <v>F</v>
          </cell>
          <cell r="P309" t="str">
            <v>HAC260519082</v>
          </cell>
          <cell r="Q309" t="str">
            <v>LD</v>
          </cell>
          <cell r="R309" t="str">
            <v>ND/</v>
          </cell>
          <cell r="S309" t="str">
            <v>1073986</v>
          </cell>
          <cell r="T309" t="str">
            <v>VAI</v>
          </cell>
        </row>
        <row r="310">
          <cell r="E310" t="str">
            <v>GAOU7898567</v>
          </cell>
          <cell r="F310" t="str">
            <v>020286</v>
          </cell>
          <cell r="G310">
            <v>40</v>
          </cell>
          <cell r="H310" t="str">
            <v>HC</v>
          </cell>
          <cell r="I310" t="str">
            <v>40HC</v>
          </cell>
          <cell r="J310" t="str">
            <v>HPH</v>
          </cell>
          <cell r="K310">
            <v>9850</v>
          </cell>
          <cell r="L310">
            <v>9.85</v>
          </cell>
          <cell r="M310" t="str">
            <v>F</v>
          </cell>
          <cell r="P310" t="str">
            <v>HAC260519082</v>
          </cell>
          <cell r="Q310" t="str">
            <v>OK</v>
          </cell>
          <cell r="R310" t="str">
            <v>ND/</v>
          </cell>
          <cell r="S310" t="str">
            <v>23182850</v>
          </cell>
          <cell r="T310" t="str">
            <v>DIEN TU</v>
          </cell>
        </row>
        <row r="311">
          <cell r="E311" t="str">
            <v>GAOU7898783</v>
          </cell>
          <cell r="F311" t="str">
            <v>180206</v>
          </cell>
          <cell r="G311">
            <v>40</v>
          </cell>
          <cell r="H311" t="str">
            <v>HC</v>
          </cell>
          <cell r="I311" t="str">
            <v>40HC</v>
          </cell>
          <cell r="J311" t="str">
            <v>HPH</v>
          </cell>
          <cell r="K311">
            <v>30560</v>
          </cell>
          <cell r="L311">
            <v>30.56</v>
          </cell>
          <cell r="M311" t="str">
            <v>F</v>
          </cell>
          <cell r="P311" t="str">
            <v>HAC260526180</v>
          </cell>
          <cell r="Q311" t="str">
            <v>OK</v>
          </cell>
          <cell r="R311" t="str">
            <v>ND/</v>
          </cell>
          <cell r="S311" t="str">
            <v>1113797</v>
          </cell>
        </row>
        <row r="312">
          <cell r="E312" t="str">
            <v>GAOU7898886</v>
          </cell>
          <cell r="F312" t="str">
            <v>140984</v>
          </cell>
          <cell r="G312">
            <v>40</v>
          </cell>
          <cell r="H312" t="str">
            <v>HC</v>
          </cell>
          <cell r="I312" t="str">
            <v>40HC</v>
          </cell>
          <cell r="J312" t="str">
            <v>HPH</v>
          </cell>
          <cell r="K312">
            <v>23370</v>
          </cell>
          <cell r="L312">
            <v>23.37</v>
          </cell>
          <cell r="M312" t="str">
            <v>F</v>
          </cell>
          <cell r="P312" t="str">
            <v>HAC260523047</v>
          </cell>
          <cell r="Q312" t="str">
            <v>OK</v>
          </cell>
          <cell r="R312" t="str">
            <v>ND/</v>
          </cell>
          <cell r="S312" t="str">
            <v>1045890</v>
          </cell>
          <cell r="T312" t="str">
            <v>VO LON</v>
          </cell>
        </row>
        <row r="313">
          <cell r="E313" t="str">
            <v>GAOU7899183</v>
          </cell>
          <cell r="F313" t="str">
            <v>020584</v>
          </cell>
          <cell r="G313">
            <v>40</v>
          </cell>
          <cell r="H313" t="str">
            <v>HC</v>
          </cell>
          <cell r="I313" t="str">
            <v>40HC</v>
          </cell>
          <cell r="J313" t="str">
            <v>HPH</v>
          </cell>
          <cell r="K313">
            <v>31920</v>
          </cell>
          <cell r="L313">
            <v>31.92</v>
          </cell>
          <cell r="M313" t="str">
            <v>F</v>
          </cell>
          <cell r="P313" t="str">
            <v>HAC260526015</v>
          </cell>
          <cell r="Q313" t="str">
            <v>OK</v>
          </cell>
          <cell r="R313" t="str">
            <v>ND/</v>
          </cell>
          <cell r="S313" t="str">
            <v>1116537</v>
          </cell>
          <cell r="T313" t="str">
            <v>BOT NGOT</v>
          </cell>
        </row>
        <row r="314">
          <cell r="E314" t="str">
            <v>GAOU7899590</v>
          </cell>
          <cell r="F314" t="str">
            <v>260208</v>
          </cell>
          <cell r="G314">
            <v>40</v>
          </cell>
          <cell r="H314" t="str">
            <v>HC</v>
          </cell>
          <cell r="I314" t="str">
            <v>40HC</v>
          </cell>
          <cell r="J314" t="str">
            <v>HPH</v>
          </cell>
          <cell r="K314">
            <v>29000</v>
          </cell>
          <cell r="L314">
            <v>29</v>
          </cell>
          <cell r="M314" t="str">
            <v>F</v>
          </cell>
          <cell r="P314" t="str">
            <v>HAC251017100</v>
          </cell>
          <cell r="Q314" t="str">
            <v>OK</v>
          </cell>
          <cell r="R314" t="str">
            <v>ND/</v>
          </cell>
          <cell r="S314" t="str">
            <v>1109398</v>
          </cell>
          <cell r="T314" t="str">
            <v>VLXD</v>
          </cell>
        </row>
        <row r="315">
          <cell r="E315" t="str">
            <v>GAOU7900371</v>
          </cell>
          <cell r="F315" t="str">
            <v>260404</v>
          </cell>
          <cell r="G315">
            <v>40</v>
          </cell>
          <cell r="H315" t="str">
            <v>HC</v>
          </cell>
          <cell r="I315" t="str">
            <v>40HC</v>
          </cell>
          <cell r="J315" t="str">
            <v>HPH</v>
          </cell>
          <cell r="K315">
            <v>31770</v>
          </cell>
          <cell r="L315">
            <v>31.77</v>
          </cell>
          <cell r="M315" t="str">
            <v>F</v>
          </cell>
          <cell r="P315" t="str">
            <v>HAC260520116</v>
          </cell>
          <cell r="Q315" t="str">
            <v>OK</v>
          </cell>
          <cell r="R315" t="str">
            <v>ND/</v>
          </cell>
          <cell r="S315" t="str">
            <v>87934</v>
          </cell>
          <cell r="T315" t="str">
            <v>THUC AN</v>
          </cell>
        </row>
        <row r="316">
          <cell r="E316" t="str">
            <v>GAOU7900474</v>
          </cell>
          <cell r="F316" t="str">
            <v>140584</v>
          </cell>
          <cell r="G316">
            <v>40</v>
          </cell>
          <cell r="H316" t="str">
            <v>HC</v>
          </cell>
          <cell r="I316" t="str">
            <v>40HC</v>
          </cell>
          <cell r="J316" t="str">
            <v>HPH</v>
          </cell>
          <cell r="K316">
            <v>21680</v>
          </cell>
          <cell r="L316">
            <v>21.68</v>
          </cell>
          <cell r="M316" t="str">
            <v>F</v>
          </cell>
          <cell r="P316" t="str">
            <v>HAC260522033</v>
          </cell>
          <cell r="Q316" t="str">
            <v>OK</v>
          </cell>
          <cell r="R316" t="str">
            <v>ND/</v>
          </cell>
          <cell r="S316" t="str">
            <v>24307</v>
          </cell>
          <cell r="T316" t="str">
            <v>BAO BI</v>
          </cell>
        </row>
        <row r="317">
          <cell r="E317" t="str">
            <v>GAOU7900828</v>
          </cell>
          <cell r="F317" t="str">
            <v>260784</v>
          </cell>
          <cell r="G317">
            <v>40</v>
          </cell>
          <cell r="H317" t="str">
            <v>HC</v>
          </cell>
          <cell r="I317" t="str">
            <v>40HC</v>
          </cell>
          <cell r="J317" t="str">
            <v>HPH</v>
          </cell>
          <cell r="K317">
            <v>10670</v>
          </cell>
          <cell r="L317">
            <v>10.67</v>
          </cell>
          <cell r="M317" t="str">
            <v>F</v>
          </cell>
          <cell r="P317" t="str">
            <v>HAC260521157</v>
          </cell>
          <cell r="Q317" t="str">
            <v>OK</v>
          </cell>
          <cell r="R317" t="str">
            <v>ND/</v>
          </cell>
          <cell r="S317" t="str">
            <v>1111741</v>
          </cell>
          <cell r="T317" t="str">
            <v>PALET</v>
          </cell>
        </row>
        <row r="318">
          <cell r="E318" t="str">
            <v>GAOU7900849</v>
          </cell>
          <cell r="F318" t="str">
            <v>260202</v>
          </cell>
          <cell r="G318">
            <v>40</v>
          </cell>
          <cell r="H318" t="str">
            <v>HC</v>
          </cell>
          <cell r="I318" t="str">
            <v>40HC</v>
          </cell>
          <cell r="J318" t="str">
            <v>HPH</v>
          </cell>
          <cell r="K318">
            <v>31950</v>
          </cell>
          <cell r="L318">
            <v>31.95</v>
          </cell>
          <cell r="M318" t="str">
            <v>F</v>
          </cell>
          <cell r="P318" t="str">
            <v>HAC260522142</v>
          </cell>
          <cell r="Q318" t="str">
            <v>OK</v>
          </cell>
          <cell r="R318" t="str">
            <v>ND/</v>
          </cell>
          <cell r="S318" t="str">
            <v>05062</v>
          </cell>
          <cell r="T318" t="str">
            <v>NHUA</v>
          </cell>
        </row>
        <row r="319">
          <cell r="E319" t="str">
            <v>GAOU7901249</v>
          </cell>
          <cell r="F319" t="str">
            <v>180406</v>
          </cell>
          <cell r="G319">
            <v>40</v>
          </cell>
          <cell r="H319" t="str">
            <v>HC</v>
          </cell>
          <cell r="I319" t="str">
            <v>40HC</v>
          </cell>
          <cell r="J319" t="str">
            <v>HPH</v>
          </cell>
          <cell r="K319">
            <v>32360</v>
          </cell>
          <cell r="L319">
            <v>32.36</v>
          </cell>
          <cell r="M319" t="str">
            <v>F</v>
          </cell>
          <cell r="P319" t="str">
            <v>HAC260526015</v>
          </cell>
          <cell r="Q319" t="str">
            <v>OK</v>
          </cell>
          <cell r="R319" t="str">
            <v>ND/</v>
          </cell>
          <cell r="S319" t="str">
            <v>1106540</v>
          </cell>
          <cell r="T319" t="str">
            <v>BOT NGOT</v>
          </cell>
        </row>
        <row r="320">
          <cell r="E320" t="str">
            <v>GAOU7901510</v>
          </cell>
          <cell r="F320" t="str">
            <v>300884</v>
          </cell>
          <cell r="G320">
            <v>40</v>
          </cell>
          <cell r="H320" t="str">
            <v>HC</v>
          </cell>
          <cell r="I320" t="str">
            <v>40HC</v>
          </cell>
          <cell r="J320" t="str">
            <v>HPH</v>
          </cell>
          <cell r="K320">
            <v>12620</v>
          </cell>
          <cell r="L320">
            <v>12.62</v>
          </cell>
          <cell r="M320" t="str">
            <v>F</v>
          </cell>
          <cell r="P320" t="str">
            <v>HAC260519088</v>
          </cell>
          <cell r="Q320" t="str">
            <v>OK</v>
          </cell>
          <cell r="R320" t="str">
            <v>ND/</v>
          </cell>
          <cell r="S320" t="str">
            <v>1118633</v>
          </cell>
          <cell r="T320" t="str">
            <v>NHUA</v>
          </cell>
        </row>
        <row r="321">
          <cell r="E321" t="str">
            <v>GAOU7901716</v>
          </cell>
          <cell r="F321" t="str">
            <v>100808</v>
          </cell>
          <cell r="G321">
            <v>40</v>
          </cell>
          <cell r="H321" t="str">
            <v>HC</v>
          </cell>
          <cell r="I321" t="str">
            <v>40HC</v>
          </cell>
          <cell r="J321" t="str">
            <v>HPH</v>
          </cell>
          <cell r="K321">
            <v>28260</v>
          </cell>
          <cell r="L321">
            <v>28.26</v>
          </cell>
          <cell r="M321" t="str">
            <v>F</v>
          </cell>
          <cell r="P321" t="str">
            <v>HAC260526017</v>
          </cell>
          <cell r="Q321" t="str">
            <v>OK</v>
          </cell>
          <cell r="R321" t="str">
            <v>ND/</v>
          </cell>
          <cell r="S321" t="str">
            <v>18289</v>
          </cell>
          <cell r="T321" t="str">
            <v>GIAY</v>
          </cell>
        </row>
        <row r="322">
          <cell r="E322" t="str">
            <v>GAOU7901803</v>
          </cell>
          <cell r="F322" t="str">
            <v>220406</v>
          </cell>
          <cell r="G322">
            <v>40</v>
          </cell>
          <cell r="H322" t="str">
            <v>HC</v>
          </cell>
          <cell r="I322" t="str">
            <v>40HC</v>
          </cell>
          <cell r="J322" t="str">
            <v>HPH</v>
          </cell>
          <cell r="K322">
            <v>32020</v>
          </cell>
          <cell r="L322">
            <v>32.020000000000003</v>
          </cell>
          <cell r="M322" t="str">
            <v>F</v>
          </cell>
          <cell r="P322" t="str">
            <v>HAC260519082</v>
          </cell>
          <cell r="Q322" t="str">
            <v>OK</v>
          </cell>
          <cell r="R322" t="str">
            <v>ND/</v>
          </cell>
          <cell r="S322" t="str">
            <v>1077328</v>
          </cell>
          <cell r="T322" t="str">
            <v>KEO</v>
          </cell>
        </row>
        <row r="323">
          <cell r="E323" t="str">
            <v>GAOU7901887</v>
          </cell>
          <cell r="F323" t="str">
            <v>100408</v>
          </cell>
          <cell r="G323">
            <v>40</v>
          </cell>
          <cell r="H323" t="str">
            <v>HC</v>
          </cell>
          <cell r="I323" t="str">
            <v>40HC</v>
          </cell>
          <cell r="J323" t="str">
            <v>HPH</v>
          </cell>
          <cell r="K323">
            <v>29190</v>
          </cell>
          <cell r="L323">
            <v>29.19</v>
          </cell>
          <cell r="M323" t="str">
            <v>F</v>
          </cell>
          <cell r="P323" t="str">
            <v>HAC260526017</v>
          </cell>
          <cell r="Q323" t="str">
            <v>OK</v>
          </cell>
          <cell r="R323" t="str">
            <v>ND/</v>
          </cell>
          <cell r="S323" t="str">
            <v>1104935</v>
          </cell>
          <cell r="T323" t="str">
            <v>GIAY</v>
          </cell>
        </row>
        <row r="324">
          <cell r="E324" t="str">
            <v>GAOU7901892</v>
          </cell>
          <cell r="F324" t="str">
            <v>220582</v>
          </cell>
          <cell r="G324">
            <v>40</v>
          </cell>
          <cell r="H324" t="str">
            <v>HC</v>
          </cell>
          <cell r="I324" t="str">
            <v>40HC</v>
          </cell>
          <cell r="J324" t="str">
            <v>HPH</v>
          </cell>
          <cell r="K324">
            <v>28460</v>
          </cell>
          <cell r="L324">
            <v>28.46</v>
          </cell>
          <cell r="M324" t="str">
            <v>F</v>
          </cell>
          <cell r="P324" t="str">
            <v>HAC260526017</v>
          </cell>
          <cell r="Q324" t="str">
            <v>OK</v>
          </cell>
          <cell r="R324" t="str">
            <v>ND/</v>
          </cell>
          <cell r="S324" t="str">
            <v>1039148</v>
          </cell>
          <cell r="T324" t="str">
            <v>GIAY</v>
          </cell>
        </row>
        <row r="325">
          <cell r="E325" t="str">
            <v>GAOU7902121</v>
          </cell>
          <cell r="F325" t="str">
            <v>020586</v>
          </cell>
          <cell r="G325">
            <v>40</v>
          </cell>
          <cell r="H325" t="str">
            <v>HC</v>
          </cell>
          <cell r="I325" t="str">
            <v>40HC</v>
          </cell>
          <cell r="J325" t="str">
            <v>HPH</v>
          </cell>
          <cell r="K325">
            <v>5420</v>
          </cell>
          <cell r="L325">
            <v>5.42</v>
          </cell>
          <cell r="M325" t="str">
            <v>F</v>
          </cell>
          <cell r="P325" t="str">
            <v>HAC251017100</v>
          </cell>
          <cell r="Q325" t="str">
            <v>OK</v>
          </cell>
          <cell r="R325" t="str">
            <v>ND/</v>
          </cell>
          <cell r="S325" t="str">
            <v>026021</v>
          </cell>
          <cell r="T325" t="str">
            <v>V? LON</v>
          </cell>
        </row>
        <row r="326">
          <cell r="E326" t="str">
            <v>GAOU7902230</v>
          </cell>
          <cell r="F326" t="str">
            <v>060104</v>
          </cell>
          <cell r="G326">
            <v>40</v>
          </cell>
          <cell r="H326" t="str">
            <v>HC</v>
          </cell>
          <cell r="I326" t="str">
            <v>40HC</v>
          </cell>
          <cell r="J326" t="str">
            <v>HPH</v>
          </cell>
          <cell r="K326">
            <v>31310</v>
          </cell>
          <cell r="L326">
            <v>31.31</v>
          </cell>
          <cell r="M326" t="str">
            <v>F</v>
          </cell>
          <cell r="P326" t="str">
            <v>HAC260526017</v>
          </cell>
          <cell r="Q326" t="str">
            <v>OK</v>
          </cell>
          <cell r="R326" t="str">
            <v>ND/</v>
          </cell>
          <cell r="S326" t="str">
            <v>1113573</v>
          </cell>
          <cell r="T326" t="str">
            <v>GIAY</v>
          </cell>
        </row>
        <row r="327">
          <cell r="E327" t="str">
            <v>GAOU7902564</v>
          </cell>
          <cell r="F327" t="str">
            <v>020184</v>
          </cell>
          <cell r="G327">
            <v>40</v>
          </cell>
          <cell r="H327" t="str">
            <v>HC</v>
          </cell>
          <cell r="I327" t="str">
            <v>40HC</v>
          </cell>
          <cell r="J327" t="str">
            <v>HPH</v>
          </cell>
          <cell r="K327">
            <v>29920</v>
          </cell>
          <cell r="L327">
            <v>29.92</v>
          </cell>
          <cell r="M327" t="str">
            <v>F</v>
          </cell>
          <cell r="P327" t="str">
            <v>HAC260526017</v>
          </cell>
          <cell r="Q327" t="str">
            <v>OK</v>
          </cell>
          <cell r="R327" t="str">
            <v>ND/</v>
          </cell>
          <cell r="S327" t="str">
            <v>1106464</v>
          </cell>
          <cell r="T327" t="str">
            <v>GIAY</v>
          </cell>
        </row>
        <row r="328">
          <cell r="E328" t="str">
            <v>GAOU7902646</v>
          </cell>
          <cell r="F328" t="str">
            <v>140586</v>
          </cell>
          <cell r="G328">
            <v>40</v>
          </cell>
          <cell r="H328" t="str">
            <v>HC</v>
          </cell>
          <cell r="I328" t="str">
            <v>40HC</v>
          </cell>
          <cell r="J328" t="str">
            <v>HPH</v>
          </cell>
          <cell r="K328">
            <v>5400</v>
          </cell>
          <cell r="L328">
            <v>5.4</v>
          </cell>
          <cell r="M328" t="str">
            <v>F</v>
          </cell>
          <cell r="P328" t="str">
            <v>HAC251017100</v>
          </cell>
          <cell r="Q328" t="str">
            <v>OK</v>
          </cell>
          <cell r="R328" t="str">
            <v>ND/</v>
          </cell>
          <cell r="S328" t="str">
            <v>656202</v>
          </cell>
          <cell r="T328" t="str">
            <v>V? LON</v>
          </cell>
        </row>
        <row r="329">
          <cell r="E329" t="str">
            <v>GAOU7902651</v>
          </cell>
          <cell r="F329" t="str">
            <v>180586</v>
          </cell>
          <cell r="G329">
            <v>40</v>
          </cell>
          <cell r="H329" t="str">
            <v>HC</v>
          </cell>
          <cell r="I329" t="str">
            <v>40HC</v>
          </cell>
          <cell r="J329" t="str">
            <v>HPH</v>
          </cell>
          <cell r="K329">
            <v>5500</v>
          </cell>
          <cell r="L329">
            <v>5.5</v>
          </cell>
          <cell r="M329" t="str">
            <v>F</v>
          </cell>
          <cell r="P329" t="str">
            <v>HAC251017100</v>
          </cell>
          <cell r="Q329" t="str">
            <v>OK</v>
          </cell>
          <cell r="R329" t="str">
            <v>ND/</v>
          </cell>
          <cell r="S329" t="str">
            <v>1112596</v>
          </cell>
          <cell r="T329" t="str">
            <v>V? LON</v>
          </cell>
        </row>
        <row r="330">
          <cell r="E330" t="str">
            <v>GAOU7902796</v>
          </cell>
          <cell r="F330" t="str">
            <v>180402</v>
          </cell>
          <cell r="G330">
            <v>40</v>
          </cell>
          <cell r="H330" t="str">
            <v>HC</v>
          </cell>
          <cell r="I330" t="str">
            <v>40HC</v>
          </cell>
          <cell r="J330" t="str">
            <v>HPH</v>
          </cell>
          <cell r="K330">
            <v>31500</v>
          </cell>
          <cell r="L330">
            <v>31.5</v>
          </cell>
          <cell r="M330" t="str">
            <v>F</v>
          </cell>
          <cell r="P330" t="str">
            <v>HAC251017100</v>
          </cell>
          <cell r="Q330" t="str">
            <v>OK</v>
          </cell>
          <cell r="R330" t="str">
            <v>ND/</v>
          </cell>
          <cell r="S330" t="str">
            <v>260248</v>
          </cell>
          <cell r="T330" t="str">
            <v>VLXD</v>
          </cell>
        </row>
        <row r="331">
          <cell r="E331" t="str">
            <v>GAOU7902857</v>
          </cell>
          <cell r="F331" t="str">
            <v>100402</v>
          </cell>
          <cell r="G331">
            <v>40</v>
          </cell>
          <cell r="H331" t="str">
            <v>HC</v>
          </cell>
          <cell r="I331" t="str">
            <v>40HC</v>
          </cell>
          <cell r="J331" t="str">
            <v>HPH</v>
          </cell>
          <cell r="K331">
            <v>34520</v>
          </cell>
          <cell r="L331">
            <v>34.520000000000003</v>
          </cell>
          <cell r="M331" t="str">
            <v>F</v>
          </cell>
          <cell r="P331" t="str">
            <v>HAC251017100</v>
          </cell>
          <cell r="Q331" t="str">
            <v>OK</v>
          </cell>
          <cell r="R331" t="str">
            <v>ND/</v>
          </cell>
          <cell r="S331" t="str">
            <v>1111029</v>
          </cell>
          <cell r="T331" t="str">
            <v>Ph? gia</v>
          </cell>
        </row>
        <row r="332">
          <cell r="E332" t="str">
            <v>GLDU7443531</v>
          </cell>
          <cell r="F332" t="str">
            <v>140602</v>
          </cell>
          <cell r="G332">
            <v>40</v>
          </cell>
          <cell r="H332" t="str">
            <v>HC</v>
          </cell>
          <cell r="I332" t="str">
            <v>40HC</v>
          </cell>
          <cell r="J332" t="str">
            <v>HPH</v>
          </cell>
          <cell r="K332">
            <v>32450</v>
          </cell>
          <cell r="L332">
            <v>32.450000000000003</v>
          </cell>
          <cell r="M332" t="str">
            <v>F</v>
          </cell>
          <cell r="P332" t="str">
            <v>HAC260519148</v>
          </cell>
          <cell r="Q332" t="str">
            <v>OK</v>
          </cell>
          <cell r="R332" t="str">
            <v>ND/</v>
          </cell>
          <cell r="S332" t="str">
            <v>659101</v>
          </cell>
          <cell r="T332" t="str">
            <v>CAM?</v>
          </cell>
        </row>
        <row r="333">
          <cell r="E333" t="str">
            <v>GLDU9354351</v>
          </cell>
          <cell r="F333" t="str">
            <v>261082</v>
          </cell>
          <cell r="G333">
            <v>40</v>
          </cell>
          <cell r="H333" t="str">
            <v>HC</v>
          </cell>
          <cell r="I333" t="str">
            <v>40HC</v>
          </cell>
          <cell r="J333" t="str">
            <v>HPH</v>
          </cell>
          <cell r="K333">
            <v>21240</v>
          </cell>
          <cell r="L333">
            <v>21.24</v>
          </cell>
          <cell r="M333" t="str">
            <v>F</v>
          </cell>
          <cell r="P333" t="str">
            <v>HAC251017100</v>
          </cell>
          <cell r="Q333" t="str">
            <v>OK</v>
          </cell>
          <cell r="R333" t="str">
            <v>ND/</v>
          </cell>
          <cell r="S333" t="str">
            <v>23102171</v>
          </cell>
          <cell r="T333" t="str">
            <v>V? BÌNH GA</v>
          </cell>
        </row>
        <row r="334">
          <cell r="E334" t="str">
            <v>GMDU8190091</v>
          </cell>
          <cell r="F334" t="str">
            <v>140284</v>
          </cell>
          <cell r="G334">
            <v>40</v>
          </cell>
          <cell r="H334" t="str">
            <v>HC</v>
          </cell>
          <cell r="I334" t="str">
            <v>40HC</v>
          </cell>
          <cell r="J334" t="str">
            <v>HPH</v>
          </cell>
          <cell r="K334">
            <v>28700</v>
          </cell>
          <cell r="L334">
            <v>28.7</v>
          </cell>
          <cell r="M334" t="str">
            <v>F</v>
          </cell>
          <cell r="P334" t="str">
            <v>HAC260519096</v>
          </cell>
          <cell r="Q334" t="str">
            <v>OK</v>
          </cell>
          <cell r="R334" t="str">
            <v>ND/</v>
          </cell>
          <cell r="S334" t="str">
            <v>24352</v>
          </cell>
          <cell r="T334" t="str">
            <v>BAO BI</v>
          </cell>
        </row>
        <row r="335">
          <cell r="E335" t="str">
            <v>GMDU8191755</v>
          </cell>
          <cell r="F335" t="str">
            <v>261084</v>
          </cell>
          <cell r="G335">
            <v>40</v>
          </cell>
          <cell r="H335" t="str">
            <v>HC</v>
          </cell>
          <cell r="I335" t="str">
            <v>40HC</v>
          </cell>
          <cell r="J335" t="str">
            <v>HPH</v>
          </cell>
          <cell r="K335">
            <v>13910</v>
          </cell>
          <cell r="L335">
            <v>13.91</v>
          </cell>
          <cell r="M335" t="str">
            <v>F</v>
          </cell>
          <cell r="P335" t="str">
            <v>HAC260522034</v>
          </cell>
          <cell r="Q335" t="str">
            <v>OK</v>
          </cell>
          <cell r="R335" t="str">
            <v>ND/</v>
          </cell>
          <cell r="S335" t="str">
            <v>24358</v>
          </cell>
          <cell r="T335" t="str">
            <v>BAO BI</v>
          </cell>
        </row>
        <row r="336">
          <cell r="E336" t="str">
            <v>GMDU8191930</v>
          </cell>
          <cell r="F336" t="str">
            <v>180886</v>
          </cell>
          <cell r="G336">
            <v>40</v>
          </cell>
          <cell r="H336" t="str">
            <v>HC</v>
          </cell>
          <cell r="I336" t="str">
            <v>40HC</v>
          </cell>
          <cell r="J336" t="str">
            <v>HPH</v>
          </cell>
          <cell r="K336">
            <v>13540</v>
          </cell>
          <cell r="L336">
            <v>13.54</v>
          </cell>
          <cell r="M336" t="str">
            <v>F</v>
          </cell>
          <cell r="P336" t="str">
            <v>HAC260519096</v>
          </cell>
          <cell r="Q336" t="str">
            <v>MM</v>
          </cell>
          <cell r="R336" t="str">
            <v>ND/</v>
          </cell>
          <cell r="S336" t="str">
            <v>24304</v>
          </cell>
          <cell r="T336" t="str">
            <v>BAO BI</v>
          </cell>
        </row>
        <row r="337">
          <cell r="E337" t="str">
            <v>HACU4160130</v>
          </cell>
          <cell r="F337" t="str">
            <v>180286</v>
          </cell>
          <cell r="G337">
            <v>40</v>
          </cell>
          <cell r="H337" t="str">
            <v>HC</v>
          </cell>
          <cell r="I337" t="str">
            <v>40HC</v>
          </cell>
          <cell r="J337" t="str">
            <v>HPH</v>
          </cell>
          <cell r="K337">
            <v>13480</v>
          </cell>
          <cell r="L337">
            <v>13.48</v>
          </cell>
          <cell r="M337" t="str">
            <v>F</v>
          </cell>
          <cell r="P337" t="str">
            <v>HAC260525070</v>
          </cell>
          <cell r="Q337" t="str">
            <v>OK</v>
          </cell>
          <cell r="R337" t="str">
            <v>ND/</v>
          </cell>
          <cell r="S337" t="str">
            <v>000961</v>
          </cell>
          <cell r="T337" t="str">
            <v>XUC XICH</v>
          </cell>
        </row>
        <row r="338">
          <cell r="E338" t="str">
            <v>HACU4160423</v>
          </cell>
          <cell r="F338" t="str">
            <v>140202</v>
          </cell>
          <cell r="G338">
            <v>40</v>
          </cell>
          <cell r="H338" t="str">
            <v>HC</v>
          </cell>
          <cell r="I338" t="str">
            <v>40HC</v>
          </cell>
          <cell r="J338" t="str">
            <v>HPH</v>
          </cell>
          <cell r="K338">
            <v>30970</v>
          </cell>
          <cell r="L338">
            <v>30.97</v>
          </cell>
          <cell r="M338" t="str">
            <v>F</v>
          </cell>
          <cell r="P338" t="str">
            <v>HAC260526141</v>
          </cell>
          <cell r="Q338" t="str">
            <v>MM</v>
          </cell>
          <cell r="R338" t="str">
            <v>ND/</v>
          </cell>
          <cell r="S338" t="str">
            <v>631565</v>
          </cell>
          <cell r="T338" t="str">
            <v>NGUYEN LIEU</v>
          </cell>
        </row>
        <row r="339">
          <cell r="E339" t="str">
            <v>HACU4160450</v>
          </cell>
          <cell r="F339" t="str">
            <v>060784</v>
          </cell>
          <cell r="G339">
            <v>40</v>
          </cell>
          <cell r="H339" t="str">
            <v>HC</v>
          </cell>
          <cell r="I339" t="str">
            <v>40HC</v>
          </cell>
          <cell r="J339" t="str">
            <v>HPH</v>
          </cell>
          <cell r="K339">
            <v>12230</v>
          </cell>
          <cell r="L339">
            <v>12.23</v>
          </cell>
          <cell r="M339" t="str">
            <v>F</v>
          </cell>
          <cell r="P339" t="str">
            <v>HAC260520116</v>
          </cell>
          <cell r="Q339" t="str">
            <v>OK</v>
          </cell>
          <cell r="R339" t="str">
            <v>ND/</v>
          </cell>
          <cell r="S339" t="str">
            <v>1108129</v>
          </cell>
          <cell r="T339" t="str">
            <v>VAI</v>
          </cell>
        </row>
        <row r="340">
          <cell r="E340" t="str">
            <v>HACU4160531</v>
          </cell>
          <cell r="F340" t="str">
            <v>260508</v>
          </cell>
          <cell r="G340">
            <v>40</v>
          </cell>
          <cell r="H340" t="str">
            <v>HC</v>
          </cell>
          <cell r="I340" t="str">
            <v>40HC</v>
          </cell>
          <cell r="J340" t="str">
            <v>HPH</v>
          </cell>
          <cell r="K340">
            <v>27850</v>
          </cell>
          <cell r="L340">
            <v>27.85</v>
          </cell>
          <cell r="M340" t="str">
            <v>F</v>
          </cell>
          <cell r="P340" t="str">
            <v>HAC260526017</v>
          </cell>
          <cell r="Q340" t="str">
            <v>OK</v>
          </cell>
          <cell r="R340" t="str">
            <v>ND/</v>
          </cell>
          <cell r="S340" t="str">
            <v>1113543</v>
          </cell>
          <cell r="T340" t="str">
            <v>GIAY</v>
          </cell>
        </row>
        <row r="341">
          <cell r="E341" t="str">
            <v>HACU4180970</v>
          </cell>
          <cell r="F341" t="str">
            <v>060282</v>
          </cell>
          <cell r="G341">
            <v>40</v>
          </cell>
          <cell r="H341" t="str">
            <v>HC</v>
          </cell>
          <cell r="I341" t="str">
            <v>40HC</v>
          </cell>
          <cell r="J341" t="str">
            <v>HPH</v>
          </cell>
          <cell r="K341">
            <v>30140</v>
          </cell>
          <cell r="L341">
            <v>30.14</v>
          </cell>
          <cell r="M341" t="str">
            <v>F</v>
          </cell>
          <cell r="O341">
            <v>3</v>
          </cell>
          <cell r="P341" t="str">
            <v>HAC260519148</v>
          </cell>
          <cell r="Q341" t="str">
            <v>DG</v>
          </cell>
          <cell r="R341" t="str">
            <v>ND/</v>
          </cell>
          <cell r="S341" t="str">
            <v>656232</v>
          </cell>
          <cell r="T341" t="str">
            <v>BUTYL
  ACETATE</v>
          </cell>
        </row>
        <row r="342">
          <cell r="E342" t="str">
            <v>HACU4181299</v>
          </cell>
          <cell r="F342" t="str">
            <v>140104</v>
          </cell>
          <cell r="G342">
            <v>40</v>
          </cell>
          <cell r="H342" t="str">
            <v>HC</v>
          </cell>
          <cell r="I342" t="str">
            <v>40HC</v>
          </cell>
          <cell r="J342" t="str">
            <v>HPH</v>
          </cell>
          <cell r="K342">
            <v>30160</v>
          </cell>
          <cell r="L342">
            <v>30.16</v>
          </cell>
          <cell r="M342" t="str">
            <v>F</v>
          </cell>
          <cell r="P342" t="str">
            <v>HAC251017100</v>
          </cell>
          <cell r="Q342" t="str">
            <v>OK</v>
          </cell>
          <cell r="R342" t="str">
            <v>ND/</v>
          </cell>
          <cell r="S342" t="str">
            <v>37273</v>
          </cell>
          <cell r="T342" t="str">
            <v>VLXD</v>
          </cell>
        </row>
        <row r="343">
          <cell r="E343" t="str">
            <v>HACU4181318</v>
          </cell>
          <cell r="F343" t="str">
            <v>220408</v>
          </cell>
          <cell r="G343">
            <v>40</v>
          </cell>
          <cell r="H343" t="str">
            <v>HC</v>
          </cell>
          <cell r="I343" t="str">
            <v>40HC</v>
          </cell>
          <cell r="J343" t="str">
            <v>HPH</v>
          </cell>
          <cell r="K343">
            <v>30700</v>
          </cell>
          <cell r="L343">
            <v>30.7</v>
          </cell>
          <cell r="M343" t="str">
            <v>F</v>
          </cell>
          <cell r="P343" t="str">
            <v>HAC260519058</v>
          </cell>
          <cell r="Q343" t="str">
            <v>MM</v>
          </cell>
          <cell r="R343" t="str">
            <v>ND/</v>
          </cell>
          <cell r="S343" t="str">
            <v>1119846</v>
          </cell>
          <cell r="T343" t="str">
            <v>THUC PHAM</v>
          </cell>
        </row>
        <row r="344">
          <cell r="E344" t="str">
            <v>HACU4181766</v>
          </cell>
          <cell r="F344" t="str">
            <v>140704</v>
          </cell>
          <cell r="G344">
            <v>40</v>
          </cell>
          <cell r="H344" t="str">
            <v>HC</v>
          </cell>
          <cell r="I344" t="str">
            <v>40HC</v>
          </cell>
          <cell r="J344" t="str">
            <v>HPH</v>
          </cell>
          <cell r="K344">
            <v>30380</v>
          </cell>
          <cell r="L344">
            <v>30.38</v>
          </cell>
          <cell r="M344" t="str">
            <v>F</v>
          </cell>
          <cell r="P344" t="str">
            <v>HAC260526120</v>
          </cell>
          <cell r="Q344" t="str">
            <v>OK</v>
          </cell>
          <cell r="R344" t="str">
            <v>ND/</v>
          </cell>
          <cell r="S344" t="str">
            <v>0051860</v>
          </cell>
          <cell r="T344" t="str">
            <v>SUA</v>
          </cell>
        </row>
        <row r="345">
          <cell r="E345" t="str">
            <v>HACU4210020</v>
          </cell>
          <cell r="F345" t="str">
            <v>260504</v>
          </cell>
          <cell r="G345">
            <v>40</v>
          </cell>
          <cell r="H345" t="str">
            <v>HC</v>
          </cell>
          <cell r="I345" t="str">
            <v>40HC</v>
          </cell>
          <cell r="J345" t="str">
            <v>HPH</v>
          </cell>
          <cell r="K345">
            <v>31220</v>
          </cell>
          <cell r="L345">
            <v>31.22</v>
          </cell>
          <cell r="M345" t="str">
            <v>F</v>
          </cell>
          <cell r="P345" t="str">
            <v>HAC260521112</v>
          </cell>
          <cell r="Q345" t="str">
            <v>OK</v>
          </cell>
          <cell r="R345" t="str">
            <v>ND/</v>
          </cell>
          <cell r="S345" t="str">
            <v>1110053</v>
          </cell>
          <cell r="T345" t="str">
            <v>GACH</v>
          </cell>
        </row>
        <row r="346">
          <cell r="E346" t="str">
            <v>HACU4210036</v>
          </cell>
          <cell r="F346" t="str">
            <v>180602</v>
          </cell>
          <cell r="G346">
            <v>40</v>
          </cell>
          <cell r="H346" t="str">
            <v>HC</v>
          </cell>
          <cell r="I346" t="str">
            <v>40HC</v>
          </cell>
          <cell r="J346" t="str">
            <v>HPH</v>
          </cell>
          <cell r="K346">
            <v>31520</v>
          </cell>
          <cell r="L346">
            <v>31.52</v>
          </cell>
          <cell r="M346" t="str">
            <v>F</v>
          </cell>
          <cell r="P346" t="str">
            <v>HAC260521157</v>
          </cell>
          <cell r="Q346" t="str">
            <v>OK</v>
          </cell>
          <cell r="R346" t="str">
            <v>ND/</v>
          </cell>
          <cell r="S346" t="str">
            <v>1107136</v>
          </cell>
          <cell r="T346" t="str">
            <v>THUC PHAM</v>
          </cell>
        </row>
        <row r="347">
          <cell r="E347" t="str">
            <v>HACU4210653</v>
          </cell>
          <cell r="F347" t="str">
            <v>020386</v>
          </cell>
          <cell r="G347">
            <v>40</v>
          </cell>
          <cell r="H347" t="str">
            <v>HC</v>
          </cell>
          <cell r="I347" t="str">
            <v>40HC</v>
          </cell>
          <cell r="J347" t="str">
            <v>HPH</v>
          </cell>
          <cell r="K347">
            <v>11530</v>
          </cell>
          <cell r="L347">
            <v>11.53</v>
          </cell>
          <cell r="M347" t="str">
            <v>F</v>
          </cell>
          <cell r="P347" t="str">
            <v>HAC260525070</v>
          </cell>
          <cell r="Q347" t="str">
            <v>OK</v>
          </cell>
          <cell r="R347" t="str">
            <v>ND/</v>
          </cell>
          <cell r="S347" t="str">
            <v>1105728</v>
          </cell>
          <cell r="T347" t="str">
            <v>SUA</v>
          </cell>
        </row>
        <row r="348">
          <cell r="E348" t="str">
            <v>HACU4210695</v>
          </cell>
          <cell r="F348" t="str">
            <v>180306</v>
          </cell>
          <cell r="G348">
            <v>40</v>
          </cell>
          <cell r="H348" t="str">
            <v>HC</v>
          </cell>
          <cell r="I348" t="str">
            <v>40HC</v>
          </cell>
          <cell r="J348" t="str">
            <v>HPH</v>
          </cell>
          <cell r="K348">
            <v>31140</v>
          </cell>
          <cell r="L348">
            <v>31.14</v>
          </cell>
          <cell r="M348" t="str">
            <v>F</v>
          </cell>
          <cell r="P348" t="str">
            <v>HAC260525072</v>
          </cell>
          <cell r="Q348" t="str">
            <v>OK</v>
          </cell>
          <cell r="R348" t="str">
            <v>ND/</v>
          </cell>
          <cell r="S348" t="str">
            <v>1115822</v>
          </cell>
          <cell r="T348" t="str">
            <v>GIAY</v>
          </cell>
        </row>
        <row r="349">
          <cell r="E349" t="str">
            <v>HACU4210822</v>
          </cell>
          <cell r="F349" t="str">
            <v>260382</v>
          </cell>
          <cell r="G349">
            <v>40</v>
          </cell>
          <cell r="H349" t="str">
            <v>HC</v>
          </cell>
          <cell r="I349" t="str">
            <v>40HC</v>
          </cell>
          <cell r="J349" t="str">
            <v>HPH</v>
          </cell>
          <cell r="K349">
            <v>26800</v>
          </cell>
          <cell r="L349">
            <v>26.8</v>
          </cell>
          <cell r="M349" t="str">
            <v>F</v>
          </cell>
          <cell r="P349" t="str">
            <v>HAC260519058</v>
          </cell>
          <cell r="Q349" t="str">
            <v>OK</v>
          </cell>
          <cell r="R349" t="str">
            <v>ND/</v>
          </cell>
          <cell r="S349" t="str">
            <v>1119816</v>
          </cell>
          <cell r="T349" t="str">
            <v>VAN EP</v>
          </cell>
        </row>
        <row r="350">
          <cell r="E350" t="str">
            <v>HACU4210972</v>
          </cell>
          <cell r="F350" t="str">
            <v>020686</v>
          </cell>
          <cell r="G350">
            <v>40</v>
          </cell>
          <cell r="H350" t="str">
            <v>HC</v>
          </cell>
          <cell r="I350" t="str">
            <v>40HC</v>
          </cell>
          <cell r="J350" t="str">
            <v>HPH</v>
          </cell>
          <cell r="K350">
            <v>5500</v>
          </cell>
          <cell r="L350">
            <v>5.5</v>
          </cell>
          <cell r="M350" t="str">
            <v>F</v>
          </cell>
          <cell r="P350" t="str">
            <v>HAC251017100</v>
          </cell>
          <cell r="Q350" t="str">
            <v>OK</v>
          </cell>
          <cell r="R350" t="str">
            <v>ND/</v>
          </cell>
          <cell r="S350" t="str">
            <v>1107360</v>
          </cell>
          <cell r="T350" t="str">
            <v>V? LON</v>
          </cell>
        </row>
        <row r="351">
          <cell r="E351" t="str">
            <v>HACU4211310</v>
          </cell>
          <cell r="F351" t="str">
            <v>260502</v>
          </cell>
          <cell r="G351">
            <v>40</v>
          </cell>
          <cell r="H351" t="str">
            <v>HC</v>
          </cell>
          <cell r="I351" t="str">
            <v>40HC</v>
          </cell>
          <cell r="J351" t="str">
            <v>HPH</v>
          </cell>
          <cell r="K351">
            <v>31880</v>
          </cell>
          <cell r="L351">
            <v>31.88</v>
          </cell>
          <cell r="M351" t="str">
            <v>F</v>
          </cell>
          <cell r="P351" t="str">
            <v>HAC260526120</v>
          </cell>
          <cell r="Q351" t="str">
            <v>OK</v>
          </cell>
          <cell r="R351" t="str">
            <v>ND/</v>
          </cell>
          <cell r="S351" t="str">
            <v>1115369</v>
          </cell>
          <cell r="T351" t="str">
            <v>SUA</v>
          </cell>
        </row>
        <row r="352">
          <cell r="E352" t="str">
            <v>HACU4211372</v>
          </cell>
          <cell r="F352" t="str">
            <v>260406</v>
          </cell>
          <cell r="G352">
            <v>40</v>
          </cell>
          <cell r="H352" t="str">
            <v>HC</v>
          </cell>
          <cell r="I352" t="str">
            <v>40HC</v>
          </cell>
          <cell r="J352" t="str">
            <v>HPH</v>
          </cell>
          <cell r="K352">
            <v>30770</v>
          </cell>
          <cell r="L352">
            <v>30.77</v>
          </cell>
          <cell r="M352" t="str">
            <v>F</v>
          </cell>
          <cell r="P352" t="str">
            <v>HAC260526010</v>
          </cell>
          <cell r="Q352" t="str">
            <v>OK</v>
          </cell>
          <cell r="R352" t="str">
            <v>ND/</v>
          </cell>
          <cell r="S352" t="str">
            <v>1042937</v>
          </cell>
          <cell r="T352" t="str">
            <v>BOT KEM</v>
          </cell>
        </row>
        <row r="353">
          <cell r="E353" t="str">
            <v>HACU4211705</v>
          </cell>
          <cell r="F353" t="str">
            <v>260684</v>
          </cell>
          <cell r="G353">
            <v>40</v>
          </cell>
          <cell r="H353" t="str">
            <v>HC</v>
          </cell>
          <cell r="I353" t="str">
            <v>40HC</v>
          </cell>
          <cell r="J353" t="str">
            <v>HPH</v>
          </cell>
          <cell r="K353">
            <v>19210</v>
          </cell>
          <cell r="L353">
            <v>19.21</v>
          </cell>
          <cell r="M353" t="str">
            <v>F</v>
          </cell>
          <cell r="P353" t="str">
            <v>HAC260526016</v>
          </cell>
          <cell r="Q353" t="str">
            <v>OK</v>
          </cell>
          <cell r="R353" t="str">
            <v>ND/</v>
          </cell>
          <cell r="S353" t="str">
            <v>1106469</v>
          </cell>
          <cell r="T353" t="str">
            <v>THUC PHAM</v>
          </cell>
        </row>
        <row r="354">
          <cell r="E354" t="str">
            <v>HACU4211768</v>
          </cell>
          <cell r="F354" t="str">
            <v>100184</v>
          </cell>
          <cell r="G354">
            <v>40</v>
          </cell>
          <cell r="H354" t="str">
            <v>HC</v>
          </cell>
          <cell r="I354" t="str">
            <v>40HC</v>
          </cell>
          <cell r="J354" t="str">
            <v>HPH</v>
          </cell>
          <cell r="K354">
            <v>23160</v>
          </cell>
          <cell r="L354">
            <v>23.16</v>
          </cell>
          <cell r="M354" t="str">
            <v>F</v>
          </cell>
          <cell r="P354" t="str">
            <v>HAC260523045</v>
          </cell>
          <cell r="Q354" t="str">
            <v>AV</v>
          </cell>
          <cell r="R354" t="str">
            <v>ND/</v>
          </cell>
          <cell r="S354" t="str">
            <v>1034315</v>
          </cell>
          <cell r="T354" t="str">
            <v>GENERAL CARGO</v>
          </cell>
        </row>
        <row r="355">
          <cell r="E355" t="str">
            <v>HACU4211916</v>
          </cell>
          <cell r="F355" t="str">
            <v>260884</v>
          </cell>
          <cell r="G355">
            <v>40</v>
          </cell>
          <cell r="H355" t="str">
            <v>HC</v>
          </cell>
          <cell r="I355" t="str">
            <v>40HC</v>
          </cell>
          <cell r="J355" t="str">
            <v>HPH</v>
          </cell>
          <cell r="K355">
            <v>14230</v>
          </cell>
          <cell r="L355">
            <v>14.23</v>
          </cell>
          <cell r="M355" t="str">
            <v>F</v>
          </cell>
          <cell r="P355" t="str">
            <v>HAC260522027</v>
          </cell>
          <cell r="Q355" t="str">
            <v>OK</v>
          </cell>
          <cell r="R355" t="str">
            <v>ND/</v>
          </cell>
          <cell r="S355" t="str">
            <v>1077321</v>
          </cell>
          <cell r="T355" t="str">
            <v>DIEN TU</v>
          </cell>
        </row>
        <row r="356">
          <cell r="E356" t="str">
            <v>HACU4212390</v>
          </cell>
          <cell r="F356" t="str">
            <v>100406</v>
          </cell>
          <cell r="G356">
            <v>40</v>
          </cell>
          <cell r="H356" t="str">
            <v>HC</v>
          </cell>
          <cell r="I356" t="str">
            <v>40HC</v>
          </cell>
          <cell r="J356" t="str">
            <v>HPH</v>
          </cell>
          <cell r="K356">
            <v>31760</v>
          </cell>
          <cell r="L356">
            <v>31.76</v>
          </cell>
          <cell r="M356" t="str">
            <v>F</v>
          </cell>
          <cell r="P356" t="str">
            <v>HAC251126041</v>
          </cell>
          <cell r="Q356" t="str">
            <v>OK</v>
          </cell>
          <cell r="R356" t="str">
            <v>ND/</v>
          </cell>
          <cell r="S356" t="str">
            <v>260815</v>
          </cell>
          <cell r="T356" t="str">
            <v>GI?Y</v>
          </cell>
        </row>
        <row r="357">
          <cell r="E357" t="str">
            <v>HACU4212492</v>
          </cell>
          <cell r="F357" t="str">
            <v>180584</v>
          </cell>
          <cell r="G357">
            <v>40</v>
          </cell>
          <cell r="H357" t="str">
            <v>HC</v>
          </cell>
          <cell r="I357" t="str">
            <v>40HC</v>
          </cell>
          <cell r="J357" t="str">
            <v>HPH</v>
          </cell>
          <cell r="K357">
            <v>24610</v>
          </cell>
          <cell r="L357">
            <v>24.61</v>
          </cell>
          <cell r="M357" t="str">
            <v>F</v>
          </cell>
          <cell r="P357" t="str">
            <v>HAC260526010</v>
          </cell>
          <cell r="Q357" t="str">
            <v>OK</v>
          </cell>
          <cell r="R357" t="str">
            <v>ND/</v>
          </cell>
          <cell r="S357" t="str">
            <v>1106599</v>
          </cell>
          <cell r="T357" t="str">
            <v>NHUA</v>
          </cell>
        </row>
        <row r="358">
          <cell r="E358" t="str">
            <v>HACU4212785</v>
          </cell>
          <cell r="F358" t="str">
            <v>260582</v>
          </cell>
          <cell r="G358">
            <v>40</v>
          </cell>
          <cell r="H358" t="str">
            <v>HC</v>
          </cell>
          <cell r="I358" t="str">
            <v>40HC</v>
          </cell>
          <cell r="J358" t="str">
            <v>HPH</v>
          </cell>
          <cell r="K358">
            <v>27390</v>
          </cell>
          <cell r="L358">
            <v>27.39</v>
          </cell>
          <cell r="M358" t="str">
            <v>F</v>
          </cell>
          <cell r="P358" t="str">
            <v>HAC260526009</v>
          </cell>
          <cell r="Q358" t="str">
            <v>OK</v>
          </cell>
          <cell r="R358" t="str">
            <v>ND/</v>
          </cell>
          <cell r="S358" t="str">
            <v>18285</v>
          </cell>
          <cell r="T358" t="str">
            <v>SUA</v>
          </cell>
        </row>
        <row r="359">
          <cell r="E359" t="str">
            <v>HACU4212960</v>
          </cell>
          <cell r="F359" t="str">
            <v>060284</v>
          </cell>
          <cell r="G359">
            <v>40</v>
          </cell>
          <cell r="H359" t="str">
            <v>HC</v>
          </cell>
          <cell r="I359" t="str">
            <v>40HC</v>
          </cell>
          <cell r="J359" t="str">
            <v>HPH</v>
          </cell>
          <cell r="K359">
            <v>17900</v>
          </cell>
          <cell r="L359">
            <v>17.899999999999999</v>
          </cell>
          <cell r="M359" t="str">
            <v>F</v>
          </cell>
          <cell r="P359" t="str">
            <v>HAC260526015</v>
          </cell>
          <cell r="Q359" t="str">
            <v>OK</v>
          </cell>
          <cell r="R359" t="str">
            <v>ND/</v>
          </cell>
          <cell r="S359" t="str">
            <v>000966</v>
          </cell>
          <cell r="T359" t="str">
            <v>BOT NGOT</v>
          </cell>
        </row>
        <row r="360">
          <cell r="E360" t="str">
            <v>HACU4213312</v>
          </cell>
          <cell r="F360" t="str">
            <v>060586</v>
          </cell>
          <cell r="G360">
            <v>40</v>
          </cell>
          <cell r="H360" t="str">
            <v>HC</v>
          </cell>
          <cell r="I360" t="str">
            <v>40HC</v>
          </cell>
          <cell r="J360" t="str">
            <v>HPH</v>
          </cell>
          <cell r="K360">
            <v>7820</v>
          </cell>
          <cell r="L360">
            <v>7.82</v>
          </cell>
          <cell r="M360" t="str">
            <v>F</v>
          </cell>
          <cell r="P360" t="str">
            <v>HAC260525071</v>
          </cell>
          <cell r="Q360" t="str">
            <v>OK</v>
          </cell>
          <cell r="R360" t="str">
            <v>ND/</v>
          </cell>
          <cell r="S360" t="str">
            <v>003280</v>
          </cell>
          <cell r="T360" t="str">
            <v>DIEN TU</v>
          </cell>
        </row>
        <row r="361">
          <cell r="E361" t="str">
            <v>HACU4213631</v>
          </cell>
          <cell r="F361" t="str">
            <v>180408</v>
          </cell>
          <cell r="G361">
            <v>40</v>
          </cell>
          <cell r="H361" t="str">
            <v>HC</v>
          </cell>
          <cell r="I361" t="str">
            <v>40HC</v>
          </cell>
          <cell r="J361" t="str">
            <v>HPH</v>
          </cell>
          <cell r="K361">
            <v>29680</v>
          </cell>
          <cell r="L361">
            <v>29.68</v>
          </cell>
          <cell r="M361" t="str">
            <v>F</v>
          </cell>
          <cell r="P361" t="str">
            <v>HAC260526180</v>
          </cell>
          <cell r="Q361" t="str">
            <v>OK</v>
          </cell>
          <cell r="R361" t="str">
            <v>ND/</v>
          </cell>
          <cell r="S361" t="str">
            <v>1113798</v>
          </cell>
        </row>
        <row r="362">
          <cell r="E362" t="str">
            <v>HACU4214047</v>
          </cell>
          <cell r="F362" t="str">
            <v>140486</v>
          </cell>
          <cell r="G362">
            <v>40</v>
          </cell>
          <cell r="H362" t="str">
            <v>HC</v>
          </cell>
          <cell r="I362" t="str">
            <v>40HC</v>
          </cell>
          <cell r="J362" t="str">
            <v>HPH</v>
          </cell>
          <cell r="K362">
            <v>5260</v>
          </cell>
          <cell r="L362">
            <v>5.26</v>
          </cell>
          <cell r="M362" t="str">
            <v>F</v>
          </cell>
          <cell r="P362" t="str">
            <v>HAC251017100</v>
          </cell>
          <cell r="Q362" t="str">
            <v>OK</v>
          </cell>
          <cell r="R362" t="str">
            <v>ND/</v>
          </cell>
          <cell r="S362" t="str">
            <v>1114233</v>
          </cell>
          <cell r="T362" t="str">
            <v>V? LON</v>
          </cell>
        </row>
        <row r="363">
          <cell r="E363" t="str">
            <v>HACU4214371</v>
          </cell>
          <cell r="F363" t="str">
            <v>180404</v>
          </cell>
          <cell r="G363">
            <v>40</v>
          </cell>
          <cell r="H363" t="str">
            <v>HC</v>
          </cell>
          <cell r="I363" t="str">
            <v>40HC</v>
          </cell>
          <cell r="J363" t="str">
            <v>HPH</v>
          </cell>
          <cell r="K363">
            <v>31520</v>
          </cell>
          <cell r="L363">
            <v>31.52</v>
          </cell>
          <cell r="M363" t="str">
            <v>F</v>
          </cell>
          <cell r="P363" t="str">
            <v>HAC260525072</v>
          </cell>
          <cell r="Q363" t="str">
            <v>OK</v>
          </cell>
          <cell r="R363" t="str">
            <v>ND/</v>
          </cell>
          <cell r="S363" t="str">
            <v>1104895</v>
          </cell>
          <cell r="T363" t="str">
            <v>GIAY</v>
          </cell>
        </row>
        <row r="364">
          <cell r="E364" t="str">
            <v>HACU4214793</v>
          </cell>
          <cell r="F364" t="str">
            <v>100786</v>
          </cell>
          <cell r="G364">
            <v>40</v>
          </cell>
          <cell r="H364" t="str">
            <v>HC</v>
          </cell>
          <cell r="I364" t="str">
            <v>40HC</v>
          </cell>
          <cell r="J364" t="str">
            <v>HPH</v>
          </cell>
          <cell r="K364">
            <v>10720</v>
          </cell>
          <cell r="L364">
            <v>10.72</v>
          </cell>
          <cell r="M364" t="str">
            <v>F</v>
          </cell>
          <cell r="P364" t="str">
            <v>HAC260525064</v>
          </cell>
          <cell r="Q364" t="str">
            <v>OK</v>
          </cell>
          <cell r="R364" t="str">
            <v>ND/</v>
          </cell>
          <cell r="S364" t="str">
            <v>1039012</v>
          </cell>
          <cell r="T364" t="str">
            <v>LOP XE</v>
          </cell>
        </row>
        <row r="365">
          <cell r="E365" t="str">
            <v>HACU4214957</v>
          </cell>
          <cell r="F365" t="str">
            <v>140884</v>
          </cell>
          <cell r="G365">
            <v>40</v>
          </cell>
          <cell r="H365" t="str">
            <v>HC</v>
          </cell>
          <cell r="I365" t="str">
            <v>40HC</v>
          </cell>
          <cell r="J365" t="str">
            <v>HPH</v>
          </cell>
          <cell r="K365">
            <v>27360</v>
          </cell>
          <cell r="L365">
            <v>27.36</v>
          </cell>
          <cell r="M365" t="str">
            <v>F</v>
          </cell>
          <cell r="P365" t="str">
            <v>HAC260526180</v>
          </cell>
          <cell r="Q365" t="str">
            <v>OK</v>
          </cell>
          <cell r="R365" t="str">
            <v>ND/</v>
          </cell>
          <cell r="S365" t="str">
            <v>1119576</v>
          </cell>
        </row>
        <row r="366">
          <cell r="E366" t="str">
            <v>HACU4215193</v>
          </cell>
          <cell r="F366" t="str">
            <v>060206</v>
          </cell>
          <cell r="G366">
            <v>40</v>
          </cell>
          <cell r="H366" t="str">
            <v>HC</v>
          </cell>
          <cell r="I366" t="str">
            <v>40HC</v>
          </cell>
          <cell r="J366" t="str">
            <v>HPH</v>
          </cell>
          <cell r="K366">
            <v>30980</v>
          </cell>
          <cell r="L366">
            <v>30.98</v>
          </cell>
          <cell r="M366" t="str">
            <v>F</v>
          </cell>
          <cell r="P366" t="str">
            <v>HAC260519058</v>
          </cell>
          <cell r="Q366" t="str">
            <v>OK</v>
          </cell>
          <cell r="R366" t="str">
            <v>ND/</v>
          </cell>
          <cell r="S366" t="str">
            <v>1119853</v>
          </cell>
          <cell r="T366" t="str">
            <v>CAM</v>
          </cell>
        </row>
        <row r="367">
          <cell r="E367" t="str">
            <v>HACU4215300</v>
          </cell>
          <cell r="F367" t="str">
            <v>060384</v>
          </cell>
          <cell r="G367">
            <v>40</v>
          </cell>
          <cell r="H367" t="str">
            <v>HC</v>
          </cell>
          <cell r="I367" t="str">
            <v>40HC</v>
          </cell>
          <cell r="J367" t="str">
            <v>HPH</v>
          </cell>
          <cell r="K367">
            <v>17990</v>
          </cell>
          <cell r="L367">
            <v>17.989999999999998</v>
          </cell>
          <cell r="M367" t="str">
            <v>F</v>
          </cell>
          <cell r="P367" t="str">
            <v>HAC260519123</v>
          </cell>
          <cell r="Q367" t="str">
            <v>OK</v>
          </cell>
          <cell r="R367" t="str">
            <v>ND/</v>
          </cell>
          <cell r="S367" t="str">
            <v>027269</v>
          </cell>
          <cell r="T367" t="str">
            <v>LOP XE</v>
          </cell>
        </row>
        <row r="368">
          <cell r="E368" t="str">
            <v>HACU4215341</v>
          </cell>
          <cell r="F368" t="str">
            <v>260384</v>
          </cell>
          <cell r="G368">
            <v>40</v>
          </cell>
          <cell r="H368" t="str">
            <v>HC</v>
          </cell>
          <cell r="I368" t="str">
            <v>40HC</v>
          </cell>
          <cell r="J368" t="str">
            <v>HPH</v>
          </cell>
          <cell r="K368">
            <v>19520</v>
          </cell>
          <cell r="L368">
            <v>19.52</v>
          </cell>
          <cell r="M368" t="str">
            <v>F</v>
          </cell>
          <cell r="P368" t="str">
            <v>HAC260525017</v>
          </cell>
          <cell r="Q368" t="str">
            <v>OK</v>
          </cell>
          <cell r="R368" t="str">
            <v>ND/</v>
          </cell>
          <cell r="S368" t="str">
            <v>1105767</v>
          </cell>
          <cell r="T368" t="str">
            <v>LOP XE</v>
          </cell>
        </row>
        <row r="369">
          <cell r="E369" t="str">
            <v>HACU4215608</v>
          </cell>
          <cell r="F369" t="str">
            <v>260104</v>
          </cell>
          <cell r="G369">
            <v>40</v>
          </cell>
          <cell r="H369" t="str">
            <v>HC</v>
          </cell>
          <cell r="I369" t="str">
            <v>40HC</v>
          </cell>
          <cell r="J369" t="str">
            <v>HPH</v>
          </cell>
          <cell r="K369">
            <v>30880</v>
          </cell>
          <cell r="L369">
            <v>30.88</v>
          </cell>
          <cell r="M369" t="str">
            <v>F</v>
          </cell>
          <cell r="P369" t="str">
            <v>HAC260523047</v>
          </cell>
          <cell r="Q369" t="str">
            <v>RV</v>
          </cell>
          <cell r="R369" t="str">
            <v>ND/</v>
          </cell>
          <cell r="S369" t="str">
            <v>000951</v>
          </cell>
          <cell r="T369" t="str">
            <v>NUOC NGOT</v>
          </cell>
        </row>
        <row r="370">
          <cell r="E370" t="str">
            <v>HACU4216250</v>
          </cell>
          <cell r="F370" t="str">
            <v>141084</v>
          </cell>
          <cell r="G370">
            <v>40</v>
          </cell>
          <cell r="H370" t="str">
            <v>HC</v>
          </cell>
          <cell r="I370" t="str">
            <v>40HC</v>
          </cell>
          <cell r="J370" t="str">
            <v>HPH</v>
          </cell>
          <cell r="K370">
            <v>18620</v>
          </cell>
          <cell r="L370">
            <v>18.62</v>
          </cell>
          <cell r="M370" t="str">
            <v>F</v>
          </cell>
          <cell r="P370" t="str">
            <v>HAC260521173</v>
          </cell>
          <cell r="Q370" t="str">
            <v>MM</v>
          </cell>
          <cell r="R370" t="str">
            <v>ND/</v>
          </cell>
          <cell r="S370" t="str">
            <v>00040</v>
          </cell>
          <cell r="T370" t="str">
            <v>NOI THAT</v>
          </cell>
        </row>
        <row r="371">
          <cell r="E371" t="str">
            <v>HACU4217046</v>
          </cell>
          <cell r="F371" t="str">
            <v>060186</v>
          </cell>
          <cell r="G371">
            <v>40</v>
          </cell>
          <cell r="H371" t="str">
            <v>HC</v>
          </cell>
          <cell r="I371" t="str">
            <v>40HC</v>
          </cell>
          <cell r="J371" t="str">
            <v>HPH</v>
          </cell>
          <cell r="K371">
            <v>5880</v>
          </cell>
          <cell r="L371">
            <v>5.88</v>
          </cell>
          <cell r="M371" t="str">
            <v>F</v>
          </cell>
          <cell r="P371" t="str">
            <v>HAC251017100</v>
          </cell>
          <cell r="Q371" t="str">
            <v>OK</v>
          </cell>
          <cell r="R371" t="str">
            <v>ND/</v>
          </cell>
          <cell r="S371" t="str">
            <v>1119202</v>
          </cell>
          <cell r="T371" t="str">
            <v>BÁNH</v>
          </cell>
        </row>
        <row r="372">
          <cell r="E372" t="str">
            <v>HACU4217154</v>
          </cell>
          <cell r="F372" t="str">
            <v>180302</v>
          </cell>
          <cell r="G372">
            <v>40</v>
          </cell>
          <cell r="H372" t="str">
            <v>HC</v>
          </cell>
          <cell r="I372" t="str">
            <v>40HC</v>
          </cell>
          <cell r="J372" t="str">
            <v>HPH</v>
          </cell>
          <cell r="K372">
            <v>31730</v>
          </cell>
          <cell r="L372">
            <v>31.73</v>
          </cell>
          <cell r="M372" t="str">
            <v>F</v>
          </cell>
          <cell r="P372" t="str">
            <v>HAC251126041</v>
          </cell>
          <cell r="Q372" t="str">
            <v>OK</v>
          </cell>
          <cell r="R372" t="str">
            <v>ND/</v>
          </cell>
          <cell r="S372" t="str">
            <v>001328</v>
          </cell>
          <cell r="T372" t="str">
            <v>GI?Y</v>
          </cell>
        </row>
        <row r="373">
          <cell r="E373" t="str">
            <v>HACU4217386</v>
          </cell>
          <cell r="F373" t="str">
            <v>060202</v>
          </cell>
          <cell r="G373">
            <v>40</v>
          </cell>
          <cell r="H373" t="str">
            <v>HC</v>
          </cell>
          <cell r="I373" t="str">
            <v>40HC</v>
          </cell>
          <cell r="J373" t="str">
            <v>HPH</v>
          </cell>
          <cell r="K373">
            <v>30780</v>
          </cell>
          <cell r="L373">
            <v>30.78</v>
          </cell>
          <cell r="M373" t="str">
            <v>F</v>
          </cell>
          <cell r="P373" t="str">
            <v>HAC251017100</v>
          </cell>
          <cell r="Q373" t="str">
            <v>MM</v>
          </cell>
          <cell r="R373" t="str">
            <v>ND/</v>
          </cell>
          <cell r="S373" t="str">
            <v>1114239</v>
          </cell>
          <cell r="T373" t="str">
            <v>VLXD</v>
          </cell>
        </row>
        <row r="374">
          <cell r="E374" t="str">
            <v>HACU4217468</v>
          </cell>
          <cell r="F374" t="str">
            <v>140204</v>
          </cell>
          <cell r="G374">
            <v>40</v>
          </cell>
          <cell r="H374" t="str">
            <v>HC</v>
          </cell>
          <cell r="I374" t="str">
            <v>40HC</v>
          </cell>
          <cell r="J374" t="str">
            <v>HPH</v>
          </cell>
          <cell r="K374">
            <v>30100</v>
          </cell>
          <cell r="L374">
            <v>30.1</v>
          </cell>
          <cell r="M374" t="str">
            <v>F</v>
          </cell>
          <cell r="P374" t="str">
            <v>HAC260526180</v>
          </cell>
          <cell r="Q374" t="str">
            <v>OK</v>
          </cell>
          <cell r="R374" t="str">
            <v>ND/</v>
          </cell>
          <cell r="S374" t="str">
            <v>1119565</v>
          </cell>
        </row>
        <row r="375">
          <cell r="E375" t="str">
            <v>HACU4217771</v>
          </cell>
          <cell r="F375" t="str">
            <v>220784</v>
          </cell>
          <cell r="G375">
            <v>40</v>
          </cell>
          <cell r="H375" t="str">
            <v>HC</v>
          </cell>
          <cell r="I375" t="str">
            <v>40HC</v>
          </cell>
          <cell r="J375" t="str">
            <v>HPH</v>
          </cell>
          <cell r="K375">
            <v>12750</v>
          </cell>
          <cell r="L375">
            <v>12.75</v>
          </cell>
          <cell r="M375" t="str">
            <v>F</v>
          </cell>
          <cell r="P375" t="str">
            <v>HAC260526011</v>
          </cell>
          <cell r="Q375" t="str">
            <v>OK</v>
          </cell>
          <cell r="R375" t="str">
            <v>ND/</v>
          </cell>
          <cell r="S375" t="str">
            <v>1115917</v>
          </cell>
          <cell r="T375" t="str">
            <v>TA GIAY</v>
          </cell>
        </row>
        <row r="376">
          <cell r="E376" t="str">
            <v>HACU4220060</v>
          </cell>
          <cell r="F376" t="str">
            <v>100686</v>
          </cell>
          <cell r="G376">
            <v>40</v>
          </cell>
          <cell r="H376" t="str">
            <v>HC</v>
          </cell>
          <cell r="I376" t="str">
            <v>40HC</v>
          </cell>
          <cell r="J376" t="str">
            <v>HPH</v>
          </cell>
          <cell r="K376">
            <v>9410</v>
          </cell>
          <cell r="L376">
            <v>9.41</v>
          </cell>
          <cell r="M376" t="str">
            <v>F</v>
          </cell>
          <cell r="P376" t="str">
            <v>HAC260522047</v>
          </cell>
          <cell r="Q376" t="str">
            <v>OK</v>
          </cell>
          <cell r="R376" t="str">
            <v>ND/</v>
          </cell>
          <cell r="S376" t="str">
            <v>1106446</v>
          </cell>
          <cell r="T376" t="str">
            <v>NEM</v>
          </cell>
        </row>
        <row r="377">
          <cell r="E377" t="str">
            <v>HACU4220100</v>
          </cell>
          <cell r="F377" t="str">
            <v>180204</v>
          </cell>
          <cell r="G377">
            <v>40</v>
          </cell>
          <cell r="H377" t="str">
            <v>HC</v>
          </cell>
          <cell r="I377" t="str">
            <v>40HC</v>
          </cell>
          <cell r="J377" t="str">
            <v>HPH</v>
          </cell>
          <cell r="K377">
            <v>31770</v>
          </cell>
          <cell r="L377">
            <v>31.77</v>
          </cell>
          <cell r="M377" t="str">
            <v>F</v>
          </cell>
          <cell r="P377" t="str">
            <v>HAC260525072</v>
          </cell>
          <cell r="Q377" t="str">
            <v>OK</v>
          </cell>
          <cell r="R377" t="str">
            <v>ND/</v>
          </cell>
          <cell r="S377" t="str">
            <v>1104897</v>
          </cell>
          <cell r="T377" t="str">
            <v>GIAY</v>
          </cell>
        </row>
        <row r="378">
          <cell r="E378" t="str">
            <v>HACU4220899</v>
          </cell>
          <cell r="F378" t="str">
            <v>220882</v>
          </cell>
          <cell r="G378">
            <v>40</v>
          </cell>
          <cell r="H378" t="str">
            <v>HC</v>
          </cell>
          <cell r="I378" t="str">
            <v>40HC</v>
          </cell>
          <cell r="J378" t="str">
            <v>HPH</v>
          </cell>
          <cell r="K378">
            <v>15450</v>
          </cell>
          <cell r="L378">
            <v>15.45</v>
          </cell>
          <cell r="M378" t="str">
            <v>F</v>
          </cell>
          <cell r="P378" t="str">
            <v>HAC260527047</v>
          </cell>
          <cell r="Q378" t="str">
            <v>OK</v>
          </cell>
          <cell r="R378" t="str">
            <v>ND/</v>
          </cell>
          <cell r="S378" t="str">
            <v>01084</v>
          </cell>
          <cell r="T378" t="str">
            <v>THIET BI VE SINH</v>
          </cell>
        </row>
        <row r="379">
          <cell r="E379" t="str">
            <v>HACU4220939</v>
          </cell>
          <cell r="F379" t="str">
            <v>220984</v>
          </cell>
          <cell r="G379">
            <v>40</v>
          </cell>
          <cell r="H379" t="str">
            <v>HC</v>
          </cell>
          <cell r="I379" t="str">
            <v>40HC</v>
          </cell>
          <cell r="J379" t="str">
            <v>HPH</v>
          </cell>
          <cell r="K379">
            <v>11510</v>
          </cell>
          <cell r="L379">
            <v>11.51</v>
          </cell>
          <cell r="M379" t="str">
            <v>F</v>
          </cell>
          <cell r="P379" t="str">
            <v>HAC260519126</v>
          </cell>
          <cell r="Q379" t="str">
            <v>OK</v>
          </cell>
          <cell r="R379" t="str">
            <v>ND/</v>
          </cell>
          <cell r="S379" t="str">
            <v>1105987</v>
          </cell>
          <cell r="T379" t="str">
            <v>VAI</v>
          </cell>
        </row>
        <row r="380">
          <cell r="E380" t="str">
            <v>HACU4221494</v>
          </cell>
          <cell r="F380" t="str">
            <v>260302</v>
          </cell>
          <cell r="G380">
            <v>40</v>
          </cell>
          <cell r="H380" t="str">
            <v>HC</v>
          </cell>
          <cell r="I380" t="str">
            <v>40HC</v>
          </cell>
          <cell r="J380" t="str">
            <v>HPH</v>
          </cell>
          <cell r="K380">
            <v>31430</v>
          </cell>
          <cell r="L380">
            <v>31.43</v>
          </cell>
          <cell r="M380" t="str">
            <v>F</v>
          </cell>
          <cell r="P380" t="str">
            <v>HAC260526017</v>
          </cell>
          <cell r="Q380" t="str">
            <v>OK</v>
          </cell>
          <cell r="R380" t="str">
            <v>ND/</v>
          </cell>
          <cell r="S380" t="str">
            <v>1113557</v>
          </cell>
          <cell r="T380" t="str">
            <v>GIAY</v>
          </cell>
        </row>
        <row r="381">
          <cell r="E381" t="str">
            <v>HACU4222119</v>
          </cell>
          <cell r="F381" t="str">
            <v>260806</v>
          </cell>
          <cell r="G381">
            <v>40</v>
          </cell>
          <cell r="H381" t="str">
            <v>HC</v>
          </cell>
          <cell r="I381" t="str">
            <v>40HC</v>
          </cell>
          <cell r="J381" t="str">
            <v>HPH</v>
          </cell>
          <cell r="K381">
            <v>31140</v>
          </cell>
          <cell r="L381">
            <v>31.14</v>
          </cell>
          <cell r="M381" t="str">
            <v>F</v>
          </cell>
          <cell r="P381" t="str">
            <v>HAC260526010</v>
          </cell>
          <cell r="Q381" t="str">
            <v>OK</v>
          </cell>
          <cell r="R381" t="str">
            <v>ND/</v>
          </cell>
          <cell r="S381" t="str">
            <v>1116554</v>
          </cell>
          <cell r="T381" t="str">
            <v>BOT KEM</v>
          </cell>
        </row>
        <row r="382">
          <cell r="E382" t="str">
            <v>HACU4222274</v>
          </cell>
          <cell r="F382" t="str">
            <v>100106</v>
          </cell>
          <cell r="G382">
            <v>40</v>
          </cell>
          <cell r="H382" t="str">
            <v>HC</v>
          </cell>
          <cell r="I382" t="str">
            <v>40HC</v>
          </cell>
          <cell r="J382" t="str">
            <v>HPH</v>
          </cell>
          <cell r="K382">
            <v>31240</v>
          </cell>
          <cell r="L382">
            <v>31.24</v>
          </cell>
          <cell r="M382" t="str">
            <v>F</v>
          </cell>
          <cell r="P382" t="str">
            <v>HAC260526015</v>
          </cell>
          <cell r="Q382" t="str">
            <v>OK</v>
          </cell>
          <cell r="R382" t="str">
            <v>ND/</v>
          </cell>
          <cell r="S382" t="str">
            <v>1104880</v>
          </cell>
          <cell r="T382" t="str">
            <v>BOT NGOT</v>
          </cell>
        </row>
        <row r="383">
          <cell r="E383" t="str">
            <v>HACU4222530</v>
          </cell>
          <cell r="F383" t="str">
            <v>180386</v>
          </cell>
          <cell r="G383">
            <v>40</v>
          </cell>
          <cell r="H383" t="str">
            <v>HC</v>
          </cell>
          <cell r="I383" t="str">
            <v>40HC</v>
          </cell>
          <cell r="J383" t="str">
            <v>HPH</v>
          </cell>
          <cell r="K383">
            <v>7840</v>
          </cell>
          <cell r="L383">
            <v>7.84</v>
          </cell>
          <cell r="M383" t="str">
            <v>F</v>
          </cell>
          <cell r="P383" t="str">
            <v>HAC260525071</v>
          </cell>
          <cell r="Q383" t="str">
            <v>OK</v>
          </cell>
          <cell r="R383" t="str">
            <v>ND/</v>
          </cell>
          <cell r="S383" t="str">
            <v>003272</v>
          </cell>
          <cell r="T383" t="str">
            <v>DIEN TU</v>
          </cell>
        </row>
        <row r="384">
          <cell r="E384" t="str">
            <v>HACU4222649</v>
          </cell>
          <cell r="F384" t="str">
            <v>140404</v>
          </cell>
          <cell r="G384">
            <v>40</v>
          </cell>
          <cell r="H384" t="str">
            <v>HC</v>
          </cell>
          <cell r="I384" t="str">
            <v>40HC</v>
          </cell>
          <cell r="J384" t="str">
            <v>HPH</v>
          </cell>
          <cell r="K384">
            <v>30020</v>
          </cell>
          <cell r="L384">
            <v>30.02</v>
          </cell>
          <cell r="M384" t="str">
            <v>F</v>
          </cell>
          <cell r="P384" t="str">
            <v>HAC260526180</v>
          </cell>
          <cell r="Q384" t="str">
            <v>OK</v>
          </cell>
          <cell r="R384" t="str">
            <v>ND/</v>
          </cell>
          <cell r="S384" t="str">
            <v>1119566</v>
          </cell>
        </row>
        <row r="385">
          <cell r="E385" t="str">
            <v>HACU4222654</v>
          </cell>
          <cell r="F385" t="str">
            <v>100708</v>
          </cell>
          <cell r="G385">
            <v>40</v>
          </cell>
          <cell r="H385" t="str">
            <v>HC</v>
          </cell>
          <cell r="I385" t="str">
            <v>40HC</v>
          </cell>
          <cell r="J385" t="str">
            <v>HPH</v>
          </cell>
          <cell r="K385">
            <v>27300</v>
          </cell>
          <cell r="L385">
            <v>27.3</v>
          </cell>
          <cell r="M385" t="str">
            <v>F</v>
          </cell>
          <cell r="P385" t="str">
            <v>HAC260525067</v>
          </cell>
          <cell r="Q385" t="str">
            <v>OK</v>
          </cell>
          <cell r="R385" t="str">
            <v>ND/</v>
          </cell>
          <cell r="S385" t="str">
            <v>1106535</v>
          </cell>
          <cell r="T385" t="str">
            <v>BAO BI</v>
          </cell>
        </row>
        <row r="386">
          <cell r="E386" t="str">
            <v>HACU4222823</v>
          </cell>
          <cell r="F386" t="str">
            <v>260882</v>
          </cell>
          <cell r="G386">
            <v>40</v>
          </cell>
          <cell r="H386" t="str">
            <v>HC</v>
          </cell>
          <cell r="I386" t="str">
            <v>40HC</v>
          </cell>
          <cell r="J386" t="str">
            <v>HPH</v>
          </cell>
          <cell r="K386">
            <v>24610</v>
          </cell>
          <cell r="L386">
            <v>24.61</v>
          </cell>
          <cell r="M386" t="str">
            <v>F</v>
          </cell>
          <cell r="P386" t="str">
            <v>HAC260519058</v>
          </cell>
          <cell r="Q386" t="str">
            <v>OK</v>
          </cell>
          <cell r="R386" t="str">
            <v>ND/</v>
          </cell>
          <cell r="S386" t="str">
            <v>1119855</v>
          </cell>
          <cell r="T386" t="str">
            <v>CAM</v>
          </cell>
        </row>
        <row r="387">
          <cell r="E387" t="str">
            <v>HACU4222989</v>
          </cell>
          <cell r="F387" t="str">
            <v>140408</v>
          </cell>
          <cell r="G387">
            <v>40</v>
          </cell>
          <cell r="H387" t="str">
            <v>HC</v>
          </cell>
          <cell r="I387" t="str">
            <v>40HC</v>
          </cell>
          <cell r="J387" t="str">
            <v>HPH</v>
          </cell>
          <cell r="K387">
            <v>29940</v>
          </cell>
          <cell r="L387">
            <v>29.94</v>
          </cell>
          <cell r="M387" t="str">
            <v>F</v>
          </cell>
          <cell r="P387" t="str">
            <v>HAC260526180</v>
          </cell>
          <cell r="Q387" t="str">
            <v>OK</v>
          </cell>
          <cell r="R387" t="str">
            <v>ND/</v>
          </cell>
          <cell r="S387" t="str">
            <v>1119563</v>
          </cell>
        </row>
        <row r="388">
          <cell r="E388" t="str">
            <v>HACU4240067</v>
          </cell>
          <cell r="F388" t="str">
            <v>140184</v>
          </cell>
          <cell r="G388">
            <v>40</v>
          </cell>
          <cell r="H388" t="str">
            <v>HC</v>
          </cell>
          <cell r="I388" t="str">
            <v>40HC</v>
          </cell>
          <cell r="J388" t="str">
            <v>HPH</v>
          </cell>
          <cell r="K388">
            <v>32260</v>
          </cell>
          <cell r="L388">
            <v>32.26</v>
          </cell>
          <cell r="M388" t="str">
            <v>F</v>
          </cell>
          <cell r="P388" t="str">
            <v>HAC260527127</v>
          </cell>
          <cell r="Q388" t="str">
            <v>OK</v>
          </cell>
          <cell r="R388" t="str">
            <v>ND/</v>
          </cell>
          <cell r="S388" t="str">
            <v>23379131</v>
          </cell>
          <cell r="T388" t="str">
            <v>CAM</v>
          </cell>
        </row>
        <row r="389">
          <cell r="E389" t="str">
            <v>HACU4240344</v>
          </cell>
          <cell r="F389" t="str">
            <v>180884</v>
          </cell>
          <cell r="G389">
            <v>40</v>
          </cell>
          <cell r="H389" t="str">
            <v>HC</v>
          </cell>
          <cell r="I389" t="str">
            <v>40HC</v>
          </cell>
          <cell r="J389" t="str">
            <v>HPH</v>
          </cell>
          <cell r="K389">
            <v>19420</v>
          </cell>
          <cell r="L389">
            <v>19.420000000000002</v>
          </cell>
          <cell r="M389" t="str">
            <v>F</v>
          </cell>
          <cell r="P389" t="str">
            <v>HAC260527049</v>
          </cell>
          <cell r="Q389" t="str">
            <v>OK</v>
          </cell>
          <cell r="R389" t="str">
            <v>ND/</v>
          </cell>
          <cell r="S389" t="str">
            <v>23139300</v>
          </cell>
          <cell r="T389" t="str">
            <v>LOP XE</v>
          </cell>
        </row>
        <row r="390">
          <cell r="E390" t="str">
            <v>HACU4240426</v>
          </cell>
          <cell r="F390" t="str">
            <v>300584</v>
          </cell>
          <cell r="G390">
            <v>40</v>
          </cell>
          <cell r="H390" t="str">
            <v>HC</v>
          </cell>
          <cell r="I390" t="str">
            <v>40HC</v>
          </cell>
          <cell r="J390" t="str">
            <v>HPH</v>
          </cell>
          <cell r="K390">
            <v>19450</v>
          </cell>
          <cell r="L390">
            <v>19.45</v>
          </cell>
          <cell r="M390" t="str">
            <v>F</v>
          </cell>
          <cell r="P390" t="str">
            <v>HAC260527136</v>
          </cell>
          <cell r="Q390" t="str">
            <v>OK</v>
          </cell>
          <cell r="R390" t="str">
            <v>ND/</v>
          </cell>
          <cell r="S390" t="str">
            <v>260962</v>
          </cell>
          <cell r="T390" t="str">
            <v>THIET BI</v>
          </cell>
        </row>
        <row r="391">
          <cell r="E391" t="str">
            <v>HACU4240935</v>
          </cell>
          <cell r="F391" t="str">
            <v>260408</v>
          </cell>
          <cell r="G391">
            <v>40</v>
          </cell>
          <cell r="H391" t="str">
            <v>HC</v>
          </cell>
          <cell r="I391" t="str">
            <v>40HC</v>
          </cell>
          <cell r="J391" t="str">
            <v>HPH</v>
          </cell>
          <cell r="K391">
            <v>27450</v>
          </cell>
          <cell r="L391">
            <v>27.45</v>
          </cell>
          <cell r="M391" t="str">
            <v>F</v>
          </cell>
          <cell r="P391" t="str">
            <v>HAC260525011</v>
          </cell>
          <cell r="Q391" t="str">
            <v>OK</v>
          </cell>
          <cell r="R391" t="str">
            <v>ND/</v>
          </cell>
          <cell r="S391" t="str">
            <v>1116424</v>
          </cell>
          <cell r="T391" t="str">
            <v>THANH PHAM</v>
          </cell>
        </row>
        <row r="392">
          <cell r="E392" t="str">
            <v>HACU4240977</v>
          </cell>
          <cell r="F392" t="str">
            <v>220486</v>
          </cell>
          <cell r="G392">
            <v>40</v>
          </cell>
          <cell r="H392" t="str">
            <v>HC</v>
          </cell>
          <cell r="I392" t="str">
            <v>40HC</v>
          </cell>
          <cell r="J392" t="str">
            <v>HPH</v>
          </cell>
          <cell r="K392">
            <v>5410</v>
          </cell>
          <cell r="L392">
            <v>5.41</v>
          </cell>
          <cell r="M392" t="str">
            <v>F</v>
          </cell>
          <cell r="P392" t="str">
            <v>HAC251017100</v>
          </cell>
          <cell r="Q392" t="str">
            <v>OK</v>
          </cell>
          <cell r="R392" t="str">
            <v>ND/</v>
          </cell>
          <cell r="S392" t="str">
            <v>1112597</v>
          </cell>
          <cell r="T392" t="str">
            <v>BÁNH</v>
          </cell>
        </row>
        <row r="393">
          <cell r="E393" t="str">
            <v>HACU4241016</v>
          </cell>
          <cell r="F393" t="str">
            <v>020186</v>
          </cell>
          <cell r="G393">
            <v>40</v>
          </cell>
          <cell r="H393" t="str">
            <v>HC</v>
          </cell>
          <cell r="I393" t="str">
            <v>40HC</v>
          </cell>
          <cell r="J393" t="str">
            <v>HPH</v>
          </cell>
          <cell r="K393">
            <v>9160</v>
          </cell>
          <cell r="L393">
            <v>9.16</v>
          </cell>
          <cell r="M393" t="str">
            <v>F</v>
          </cell>
          <cell r="P393" t="str">
            <v>HAC260519082</v>
          </cell>
          <cell r="Q393" t="str">
            <v>OK</v>
          </cell>
          <cell r="R393" t="str">
            <v>ND/</v>
          </cell>
          <cell r="S393" t="str">
            <v>1077339</v>
          </cell>
          <cell r="T393" t="str">
            <v>DIEN TU</v>
          </cell>
        </row>
        <row r="394">
          <cell r="E394" t="str">
            <v>HACU4241145</v>
          </cell>
          <cell r="F394" t="str">
            <v>140982</v>
          </cell>
          <cell r="G394">
            <v>40</v>
          </cell>
          <cell r="H394" t="str">
            <v>HC</v>
          </cell>
          <cell r="I394" t="str">
            <v>40HC</v>
          </cell>
          <cell r="J394" t="str">
            <v>HPH</v>
          </cell>
          <cell r="K394">
            <v>28950</v>
          </cell>
          <cell r="L394">
            <v>28.95</v>
          </cell>
          <cell r="M394" t="str">
            <v>F</v>
          </cell>
          <cell r="P394" t="str">
            <v>HAC260519058</v>
          </cell>
          <cell r="Q394" t="str">
            <v>OK</v>
          </cell>
          <cell r="R394" t="str">
            <v>ND/</v>
          </cell>
          <cell r="S394" t="str">
            <v>1119829</v>
          </cell>
          <cell r="T394" t="str">
            <v>THUC PHAM</v>
          </cell>
        </row>
        <row r="395">
          <cell r="E395" t="str">
            <v>HACU4241356</v>
          </cell>
          <cell r="F395" t="str">
            <v>140786</v>
          </cell>
          <cell r="G395">
            <v>40</v>
          </cell>
          <cell r="H395" t="str">
            <v>HC</v>
          </cell>
          <cell r="I395" t="str">
            <v>40HC</v>
          </cell>
          <cell r="J395" t="str">
            <v>HPH</v>
          </cell>
          <cell r="K395">
            <v>5420</v>
          </cell>
          <cell r="L395">
            <v>5.42</v>
          </cell>
          <cell r="M395" t="str">
            <v>F</v>
          </cell>
          <cell r="P395" t="str">
            <v>HAC251017100</v>
          </cell>
          <cell r="Q395" t="str">
            <v>OK</v>
          </cell>
          <cell r="R395" t="str">
            <v>ND/</v>
          </cell>
          <cell r="S395" t="str">
            <v>656104</v>
          </cell>
          <cell r="T395" t="str">
            <v>V? LON</v>
          </cell>
        </row>
        <row r="396">
          <cell r="E396" t="str">
            <v>HACU4241510</v>
          </cell>
          <cell r="F396" t="str">
            <v>140784</v>
          </cell>
          <cell r="G396">
            <v>40</v>
          </cell>
          <cell r="H396" t="str">
            <v>HC</v>
          </cell>
          <cell r="I396" t="str">
            <v>40HC</v>
          </cell>
          <cell r="J396" t="str">
            <v>HPH</v>
          </cell>
          <cell r="K396">
            <v>26110</v>
          </cell>
          <cell r="L396">
            <v>26.11</v>
          </cell>
          <cell r="M396" t="str">
            <v>F</v>
          </cell>
          <cell r="P396" t="str">
            <v>HAC260526015</v>
          </cell>
          <cell r="Q396" t="str">
            <v>OK</v>
          </cell>
          <cell r="R396" t="str">
            <v>ND/</v>
          </cell>
          <cell r="S396" t="str">
            <v>1115912</v>
          </cell>
          <cell r="T396" t="str">
            <v>BOT NGOT</v>
          </cell>
        </row>
        <row r="397">
          <cell r="E397" t="str">
            <v>HACU4241675</v>
          </cell>
          <cell r="F397" t="str">
            <v>140504</v>
          </cell>
          <cell r="G397">
            <v>40</v>
          </cell>
          <cell r="H397" t="str">
            <v>HC</v>
          </cell>
          <cell r="I397" t="str">
            <v>40HC</v>
          </cell>
          <cell r="J397" t="str">
            <v>HPH</v>
          </cell>
          <cell r="K397">
            <v>30160</v>
          </cell>
          <cell r="L397">
            <v>30.16</v>
          </cell>
          <cell r="M397" t="str">
            <v>F</v>
          </cell>
          <cell r="P397" t="str">
            <v>HAC260526017</v>
          </cell>
          <cell r="Q397" t="str">
            <v>OK</v>
          </cell>
          <cell r="R397" t="str">
            <v>ND/</v>
          </cell>
          <cell r="S397" t="str">
            <v>1113547</v>
          </cell>
          <cell r="T397" t="str">
            <v>GIAY</v>
          </cell>
        </row>
        <row r="398">
          <cell r="E398" t="str">
            <v>HACU4241736</v>
          </cell>
          <cell r="F398" t="str">
            <v>140608</v>
          </cell>
          <cell r="G398">
            <v>40</v>
          </cell>
          <cell r="H398" t="str">
            <v>HC</v>
          </cell>
          <cell r="I398" t="str">
            <v>40HC</v>
          </cell>
          <cell r="J398" t="str">
            <v>HPH</v>
          </cell>
          <cell r="K398">
            <v>32210</v>
          </cell>
          <cell r="L398">
            <v>32.21</v>
          </cell>
          <cell r="M398" t="str">
            <v>F</v>
          </cell>
          <cell r="P398" t="str">
            <v>HAC251017100</v>
          </cell>
          <cell r="Q398" t="str">
            <v>OK</v>
          </cell>
          <cell r="R398" t="str">
            <v>ND/</v>
          </cell>
          <cell r="S398" t="str">
            <v>347197</v>
          </cell>
          <cell r="T398" t="str">
            <v>ctp NGK PEPSI</v>
          </cell>
        </row>
        <row r="399">
          <cell r="E399" t="str">
            <v>HACU4241891</v>
          </cell>
          <cell r="F399" t="str">
            <v>300882</v>
          </cell>
          <cell r="G399">
            <v>40</v>
          </cell>
          <cell r="H399" t="str">
            <v>HC</v>
          </cell>
          <cell r="I399" t="str">
            <v>40HC</v>
          </cell>
          <cell r="J399" t="str">
            <v>HPH</v>
          </cell>
          <cell r="K399">
            <v>30620</v>
          </cell>
          <cell r="L399">
            <v>30.62</v>
          </cell>
          <cell r="M399" t="str">
            <v>F</v>
          </cell>
          <cell r="P399" t="str">
            <v>HAC260525072</v>
          </cell>
          <cell r="Q399" t="str">
            <v>OK</v>
          </cell>
          <cell r="R399" t="str">
            <v>ND/</v>
          </cell>
          <cell r="S399" t="str">
            <v>1105727</v>
          </cell>
          <cell r="T399" t="str">
            <v>GIAY</v>
          </cell>
        </row>
        <row r="400">
          <cell r="E400" t="str">
            <v>HACU4241905</v>
          </cell>
          <cell r="F400" t="str">
            <v>140606</v>
          </cell>
          <cell r="G400">
            <v>40</v>
          </cell>
          <cell r="H400" t="str">
            <v>HC</v>
          </cell>
          <cell r="I400" t="str">
            <v>40HC</v>
          </cell>
          <cell r="J400" t="str">
            <v>HPH</v>
          </cell>
          <cell r="K400">
            <v>31920</v>
          </cell>
          <cell r="L400">
            <v>31.92</v>
          </cell>
          <cell r="M400" t="str">
            <v>F</v>
          </cell>
          <cell r="P400" t="str">
            <v>HAC260526180</v>
          </cell>
          <cell r="Q400" t="str">
            <v>OK</v>
          </cell>
          <cell r="R400" t="str">
            <v>ND/</v>
          </cell>
          <cell r="S400" t="str">
            <v>1113796</v>
          </cell>
        </row>
        <row r="401">
          <cell r="E401" t="str">
            <v>HACU4242183</v>
          </cell>
          <cell r="F401" t="str">
            <v>260804</v>
          </cell>
          <cell r="G401">
            <v>40</v>
          </cell>
          <cell r="H401" t="str">
            <v>HC</v>
          </cell>
          <cell r="I401" t="str">
            <v>40HC</v>
          </cell>
          <cell r="J401" t="str">
            <v>HPH</v>
          </cell>
          <cell r="K401">
            <v>31810</v>
          </cell>
          <cell r="L401">
            <v>31.81</v>
          </cell>
          <cell r="M401" t="str">
            <v>F</v>
          </cell>
          <cell r="P401" t="str">
            <v>HAC260526015</v>
          </cell>
          <cell r="Q401" t="str">
            <v>OK</v>
          </cell>
          <cell r="R401" t="str">
            <v>ND/</v>
          </cell>
          <cell r="S401" t="str">
            <v>1113521</v>
          </cell>
          <cell r="T401" t="str">
            <v>BOT NGOT</v>
          </cell>
        </row>
        <row r="402">
          <cell r="E402" t="str">
            <v>HACU4242603</v>
          </cell>
          <cell r="F402" t="str">
            <v>180304</v>
          </cell>
          <cell r="G402">
            <v>40</v>
          </cell>
          <cell r="H402" t="str">
            <v>HC</v>
          </cell>
          <cell r="I402" t="str">
            <v>40HC</v>
          </cell>
          <cell r="J402" t="str">
            <v>HPH</v>
          </cell>
          <cell r="K402">
            <v>31820</v>
          </cell>
          <cell r="L402">
            <v>31.82</v>
          </cell>
          <cell r="M402" t="str">
            <v>F</v>
          </cell>
          <cell r="P402" t="str">
            <v>HAC260525135</v>
          </cell>
          <cell r="Q402" t="str">
            <v>OK</v>
          </cell>
          <cell r="R402" t="str">
            <v>ND/</v>
          </cell>
          <cell r="S402" t="str">
            <v>0220003</v>
          </cell>
          <cell r="T402" t="str">
            <v>NGUEN LIEU</v>
          </cell>
        </row>
        <row r="403">
          <cell r="E403" t="str">
            <v>HACU4242645</v>
          </cell>
          <cell r="F403" t="str">
            <v>060208</v>
          </cell>
          <cell r="G403">
            <v>40</v>
          </cell>
          <cell r="H403" t="str">
            <v>HC</v>
          </cell>
          <cell r="I403" t="str">
            <v>40HC</v>
          </cell>
          <cell r="J403" t="str">
            <v>HPH</v>
          </cell>
          <cell r="K403">
            <v>31040</v>
          </cell>
          <cell r="L403">
            <v>31.04</v>
          </cell>
          <cell r="M403" t="str">
            <v>F</v>
          </cell>
          <cell r="P403" t="str">
            <v>HAC260526010</v>
          </cell>
          <cell r="Q403" t="str">
            <v>OK</v>
          </cell>
          <cell r="R403" t="str">
            <v>ND/</v>
          </cell>
          <cell r="S403" t="str">
            <v>17360</v>
          </cell>
          <cell r="T403" t="str">
            <v>BOT KEM</v>
          </cell>
        </row>
        <row r="404">
          <cell r="E404" t="str">
            <v>HACU4243066</v>
          </cell>
          <cell r="F404" t="str">
            <v>060486</v>
          </cell>
          <cell r="G404">
            <v>40</v>
          </cell>
          <cell r="H404" t="str">
            <v>HC</v>
          </cell>
          <cell r="I404" t="str">
            <v>40HC</v>
          </cell>
          <cell r="J404" t="str">
            <v>HPH</v>
          </cell>
          <cell r="K404">
            <v>5520</v>
          </cell>
          <cell r="L404">
            <v>5.52</v>
          </cell>
          <cell r="M404" t="str">
            <v>F</v>
          </cell>
          <cell r="P404" t="str">
            <v>HAC251017100</v>
          </cell>
          <cell r="Q404" t="str">
            <v>OK</v>
          </cell>
          <cell r="R404" t="str">
            <v>ND/</v>
          </cell>
          <cell r="S404" t="str">
            <v>1107356</v>
          </cell>
          <cell r="T404" t="str">
            <v>BÁNH</v>
          </cell>
        </row>
        <row r="405">
          <cell r="E405" t="str">
            <v>HACU4243148</v>
          </cell>
          <cell r="F405" t="str">
            <v>100206</v>
          </cell>
          <cell r="G405">
            <v>40</v>
          </cell>
          <cell r="H405" t="str">
            <v>HC</v>
          </cell>
          <cell r="I405" t="str">
            <v>40HC</v>
          </cell>
          <cell r="J405" t="str">
            <v>HPH</v>
          </cell>
          <cell r="K405">
            <v>31860</v>
          </cell>
          <cell r="L405">
            <v>31.86</v>
          </cell>
          <cell r="M405" t="str">
            <v>F</v>
          </cell>
          <cell r="P405" t="str">
            <v>HAC260519100</v>
          </cell>
          <cell r="Q405" t="str">
            <v>OK</v>
          </cell>
          <cell r="R405" t="str">
            <v>ND/</v>
          </cell>
          <cell r="S405" t="str">
            <v>1112491</v>
          </cell>
          <cell r="T405" t="str">
            <v>CAM</v>
          </cell>
        </row>
        <row r="406">
          <cell r="E406" t="str">
            <v>HACU4243683</v>
          </cell>
          <cell r="F406" t="str">
            <v>220482</v>
          </cell>
          <cell r="G406">
            <v>40</v>
          </cell>
          <cell r="H406" t="str">
            <v>HC</v>
          </cell>
          <cell r="I406" t="str">
            <v>40HC</v>
          </cell>
          <cell r="J406" t="str">
            <v>HPH</v>
          </cell>
          <cell r="K406">
            <v>31280</v>
          </cell>
          <cell r="L406">
            <v>31.28</v>
          </cell>
          <cell r="M406" t="str">
            <v>F</v>
          </cell>
          <cell r="P406" t="str">
            <v>HAC260525072</v>
          </cell>
          <cell r="Q406" t="str">
            <v>OK</v>
          </cell>
          <cell r="R406" t="str">
            <v>ND/</v>
          </cell>
          <cell r="S406" t="str">
            <v>001063</v>
          </cell>
          <cell r="T406" t="str">
            <v>GIAY</v>
          </cell>
        </row>
        <row r="407">
          <cell r="E407" t="str">
            <v>HACU4243894</v>
          </cell>
          <cell r="F407" t="str">
            <v>180784</v>
          </cell>
          <cell r="G407">
            <v>40</v>
          </cell>
          <cell r="H407" t="str">
            <v>HC</v>
          </cell>
          <cell r="I407" t="str">
            <v>40HC</v>
          </cell>
          <cell r="J407" t="str">
            <v>HPH</v>
          </cell>
          <cell r="K407">
            <v>28080</v>
          </cell>
          <cell r="L407">
            <v>28.08</v>
          </cell>
          <cell r="M407" t="str">
            <v>F</v>
          </cell>
          <cell r="P407" t="str">
            <v>HAC260526017</v>
          </cell>
          <cell r="Q407" t="str">
            <v>OK</v>
          </cell>
          <cell r="R407" t="str">
            <v>ND/</v>
          </cell>
          <cell r="S407" t="str">
            <v>000986</v>
          </cell>
          <cell r="T407" t="str">
            <v>GIAY</v>
          </cell>
        </row>
        <row r="408">
          <cell r="E408" t="str">
            <v>HACU4244078</v>
          </cell>
          <cell r="F408" t="str">
            <v>100104</v>
          </cell>
          <cell r="G408">
            <v>40</v>
          </cell>
          <cell r="H408" t="str">
            <v>HC</v>
          </cell>
          <cell r="I408" t="str">
            <v>40HC</v>
          </cell>
          <cell r="J408" t="str">
            <v>HPH</v>
          </cell>
          <cell r="K408">
            <v>30820</v>
          </cell>
          <cell r="L408">
            <v>30.82</v>
          </cell>
          <cell r="M408" t="str">
            <v>F</v>
          </cell>
          <cell r="P408" t="str">
            <v>HAC260519058</v>
          </cell>
          <cell r="Q408" t="str">
            <v>OK</v>
          </cell>
          <cell r="R408" t="str">
            <v>ND/</v>
          </cell>
          <cell r="S408" t="str">
            <v>1119850</v>
          </cell>
          <cell r="T408" t="str">
            <v>CAM</v>
          </cell>
        </row>
        <row r="409">
          <cell r="E409" t="str">
            <v>HACU4244329</v>
          </cell>
          <cell r="F409" t="str">
            <v>220484</v>
          </cell>
          <cell r="G409">
            <v>40</v>
          </cell>
          <cell r="H409" t="str">
            <v>HC</v>
          </cell>
          <cell r="I409" t="str">
            <v>40HC</v>
          </cell>
          <cell r="J409" t="str">
            <v>HPH</v>
          </cell>
          <cell r="K409">
            <v>13570</v>
          </cell>
          <cell r="L409">
            <v>13.57</v>
          </cell>
          <cell r="M409" t="str">
            <v>F</v>
          </cell>
          <cell r="P409" t="str">
            <v>HAC260527042</v>
          </cell>
          <cell r="Q409" t="str">
            <v>OK</v>
          </cell>
          <cell r="R409" t="str">
            <v>ND/</v>
          </cell>
          <cell r="S409" t="str">
            <v>1078405</v>
          </cell>
          <cell r="T409" t="str">
            <v>MI</v>
          </cell>
        </row>
        <row r="410">
          <cell r="E410" t="str">
            <v>HACU4244334</v>
          </cell>
          <cell r="F410" t="str">
            <v>260102</v>
          </cell>
          <cell r="G410">
            <v>40</v>
          </cell>
          <cell r="H410" t="str">
            <v>HC</v>
          </cell>
          <cell r="I410" t="str">
            <v>40HC</v>
          </cell>
          <cell r="J410" t="str">
            <v>HPH</v>
          </cell>
          <cell r="K410">
            <v>32240</v>
          </cell>
          <cell r="L410">
            <v>32.24</v>
          </cell>
          <cell r="M410" t="str">
            <v>F</v>
          </cell>
          <cell r="P410" t="str">
            <v>HAC260525072</v>
          </cell>
          <cell r="Q410" t="str">
            <v>OK</v>
          </cell>
          <cell r="R410" t="str">
            <v>ND/</v>
          </cell>
          <cell r="S410" t="str">
            <v>00823</v>
          </cell>
          <cell r="T410" t="str">
            <v>GIAY</v>
          </cell>
        </row>
        <row r="411">
          <cell r="E411" t="str">
            <v>HACU4244458</v>
          </cell>
          <cell r="F411" t="str">
            <v>180984</v>
          </cell>
          <cell r="G411">
            <v>40</v>
          </cell>
          <cell r="H411" t="str">
            <v>HC</v>
          </cell>
          <cell r="I411" t="str">
            <v>40HC</v>
          </cell>
          <cell r="J411" t="str">
            <v>HPH</v>
          </cell>
          <cell r="K411">
            <v>21880</v>
          </cell>
          <cell r="L411">
            <v>21.88</v>
          </cell>
          <cell r="M411" t="str">
            <v>F</v>
          </cell>
          <cell r="P411" t="str">
            <v>HAC260519075</v>
          </cell>
          <cell r="Q411" t="str">
            <v>OK</v>
          </cell>
          <cell r="R411" t="str">
            <v>ND/</v>
          </cell>
          <cell r="S411" t="str">
            <v>338167</v>
          </cell>
          <cell r="T411" t="str">
            <v>MY PHAM</v>
          </cell>
        </row>
        <row r="412">
          <cell r="E412" t="str">
            <v>HACU4244611</v>
          </cell>
          <cell r="F412" t="str">
            <v>100386</v>
          </cell>
          <cell r="G412">
            <v>40</v>
          </cell>
          <cell r="H412" t="str">
            <v>HC</v>
          </cell>
          <cell r="I412" t="str">
            <v>40HC</v>
          </cell>
          <cell r="J412" t="str">
            <v>HPH</v>
          </cell>
          <cell r="K412">
            <v>11790</v>
          </cell>
          <cell r="L412">
            <v>11.79</v>
          </cell>
          <cell r="M412" t="str">
            <v>F</v>
          </cell>
          <cell r="P412" t="str">
            <v>HAC260519108</v>
          </cell>
          <cell r="Q412" t="str">
            <v>OK</v>
          </cell>
          <cell r="R412" t="str">
            <v>ND/</v>
          </cell>
          <cell r="S412" t="str">
            <v>1106593</v>
          </cell>
          <cell r="T412" t="str">
            <v>VAI</v>
          </cell>
        </row>
        <row r="413">
          <cell r="E413" t="str">
            <v>HACU4244714</v>
          </cell>
          <cell r="F413" t="str">
            <v>180502</v>
          </cell>
          <cell r="G413">
            <v>40</v>
          </cell>
          <cell r="H413" t="str">
            <v>HC</v>
          </cell>
          <cell r="I413" t="str">
            <v>40HC</v>
          </cell>
          <cell r="J413" t="str">
            <v>HPH</v>
          </cell>
          <cell r="K413">
            <v>32380</v>
          </cell>
          <cell r="L413">
            <v>32.380000000000003</v>
          </cell>
          <cell r="M413" t="str">
            <v>F</v>
          </cell>
          <cell r="P413" t="str">
            <v>HAC260519123</v>
          </cell>
          <cell r="Q413" t="str">
            <v>OK</v>
          </cell>
          <cell r="R413" t="str">
            <v>ND/</v>
          </cell>
          <cell r="S413" t="str">
            <v>94420</v>
          </cell>
          <cell r="T413" t="str">
            <v>THUC PHAM</v>
          </cell>
        </row>
        <row r="414">
          <cell r="E414" t="str">
            <v>HACU4245120</v>
          </cell>
          <cell r="F414" t="str">
            <v>300684</v>
          </cell>
          <cell r="G414">
            <v>40</v>
          </cell>
          <cell r="H414" t="str">
            <v>HC</v>
          </cell>
          <cell r="I414" t="str">
            <v>40HC</v>
          </cell>
          <cell r="J414" t="str">
            <v>HPH</v>
          </cell>
          <cell r="K414">
            <v>10760</v>
          </cell>
          <cell r="L414">
            <v>10.76</v>
          </cell>
          <cell r="M414" t="str">
            <v>F</v>
          </cell>
          <cell r="P414" t="str">
            <v>HAC260526004</v>
          </cell>
          <cell r="Q414" t="str">
            <v>OK</v>
          </cell>
          <cell r="R414" t="str">
            <v>ND/</v>
          </cell>
          <cell r="S414" t="str">
            <v>1115870</v>
          </cell>
          <cell r="T414" t="str">
            <v>LOP XE</v>
          </cell>
        </row>
        <row r="415">
          <cell r="E415" t="str">
            <v>HACU4245449</v>
          </cell>
          <cell r="F415" t="str">
            <v>140102</v>
          </cell>
          <cell r="G415">
            <v>40</v>
          </cell>
          <cell r="H415" t="str">
            <v>HC</v>
          </cell>
          <cell r="I415" t="str">
            <v>40HC</v>
          </cell>
          <cell r="J415" t="str">
            <v>HPH</v>
          </cell>
          <cell r="K415">
            <v>31260</v>
          </cell>
          <cell r="L415">
            <v>31.26</v>
          </cell>
          <cell r="M415" t="str">
            <v>F</v>
          </cell>
          <cell r="P415" t="str">
            <v>HAC260519058</v>
          </cell>
          <cell r="Q415" t="str">
            <v>OK</v>
          </cell>
          <cell r="R415" t="str">
            <v>ND/</v>
          </cell>
          <cell r="S415" t="str">
            <v>1115404</v>
          </cell>
          <cell r="T415" t="str">
            <v>THUC PHAM</v>
          </cell>
        </row>
        <row r="416">
          <cell r="E416" t="str">
            <v>HACU4245562</v>
          </cell>
          <cell r="F416" t="str">
            <v>260184</v>
          </cell>
          <cell r="G416">
            <v>40</v>
          </cell>
          <cell r="H416" t="str">
            <v>HC</v>
          </cell>
          <cell r="I416" t="str">
            <v>40HC</v>
          </cell>
          <cell r="J416" t="str">
            <v>HPH</v>
          </cell>
          <cell r="K416">
            <v>11780</v>
          </cell>
          <cell r="L416">
            <v>11.78</v>
          </cell>
          <cell r="M416" t="str">
            <v>F</v>
          </cell>
          <cell r="P416" t="str">
            <v>HAC260525071</v>
          </cell>
          <cell r="Q416" t="str">
            <v>TD</v>
          </cell>
          <cell r="R416" t="str">
            <v>ND/</v>
          </cell>
          <cell r="S416" t="str">
            <v>003309</v>
          </cell>
          <cell r="T416" t="str">
            <v>DIEN TU</v>
          </cell>
        </row>
        <row r="417">
          <cell r="E417" t="str">
            <v>HACU4245583</v>
          </cell>
          <cell r="F417" t="str">
            <v>100384</v>
          </cell>
          <cell r="G417">
            <v>40</v>
          </cell>
          <cell r="H417" t="str">
            <v>HC</v>
          </cell>
          <cell r="I417" t="str">
            <v>40HC</v>
          </cell>
          <cell r="J417" t="str">
            <v>HPH</v>
          </cell>
          <cell r="K417">
            <v>20910</v>
          </cell>
          <cell r="L417">
            <v>20.91</v>
          </cell>
          <cell r="M417" t="str">
            <v>F</v>
          </cell>
          <cell r="P417" t="str">
            <v>HAC260525136</v>
          </cell>
          <cell r="Q417" t="str">
            <v>OK</v>
          </cell>
          <cell r="R417" t="str">
            <v>ND/</v>
          </cell>
          <cell r="S417" t="str">
            <v>1028610</v>
          </cell>
          <cell r="T417" t="str">
            <v>CA PHE</v>
          </cell>
        </row>
        <row r="418">
          <cell r="E418" t="str">
            <v>HACU4245691</v>
          </cell>
          <cell r="F418" t="str">
            <v>220208</v>
          </cell>
          <cell r="G418">
            <v>40</v>
          </cell>
          <cell r="H418" t="str">
            <v>HC</v>
          </cell>
          <cell r="I418" t="str">
            <v>40HC</v>
          </cell>
          <cell r="J418" t="str">
            <v>HPH</v>
          </cell>
          <cell r="K418">
            <v>28920</v>
          </cell>
          <cell r="L418">
            <v>28.92</v>
          </cell>
          <cell r="M418" t="str">
            <v>F</v>
          </cell>
          <cell r="P418" t="str">
            <v>HAC260525066</v>
          </cell>
          <cell r="Q418" t="str">
            <v>OK</v>
          </cell>
          <cell r="R418" t="str">
            <v>ND/</v>
          </cell>
          <cell r="S418" t="str">
            <v>1113505</v>
          </cell>
          <cell r="T418" t="str">
            <v>HAT NHUA</v>
          </cell>
        </row>
        <row r="419">
          <cell r="E419" t="str">
            <v>HACU4245963</v>
          </cell>
          <cell r="F419" t="str">
            <v>220108</v>
          </cell>
          <cell r="G419">
            <v>40</v>
          </cell>
          <cell r="H419" t="str">
            <v>HC</v>
          </cell>
          <cell r="I419" t="str">
            <v>40HC</v>
          </cell>
          <cell r="J419" t="str">
            <v>HPH</v>
          </cell>
          <cell r="K419">
            <v>29860</v>
          </cell>
          <cell r="L419">
            <v>29.86</v>
          </cell>
          <cell r="M419" t="str">
            <v>F</v>
          </cell>
          <cell r="P419" t="str">
            <v>HAC260526017</v>
          </cell>
          <cell r="Q419" t="str">
            <v>OK</v>
          </cell>
          <cell r="R419" t="str">
            <v>ND/</v>
          </cell>
          <cell r="S419" t="str">
            <v>1106554</v>
          </cell>
          <cell r="T419" t="str">
            <v>GIAY</v>
          </cell>
        </row>
        <row r="420">
          <cell r="E420" t="str">
            <v>HAHU5020511</v>
          </cell>
          <cell r="F420" t="str">
            <v>100286</v>
          </cell>
          <cell r="G420">
            <v>40</v>
          </cell>
          <cell r="H420" t="str">
            <v>OT</v>
          </cell>
          <cell r="I420" t="str">
            <v>40OT</v>
          </cell>
          <cell r="J420" t="str">
            <v>HPH</v>
          </cell>
          <cell r="K420">
            <v>18320</v>
          </cell>
          <cell r="L420">
            <v>18.32</v>
          </cell>
          <cell r="M420" t="str">
            <v>F</v>
          </cell>
          <cell r="P420" t="str">
            <v>HAC260526155</v>
          </cell>
          <cell r="Q420" t="str">
            <v>OK</v>
          </cell>
          <cell r="R420" t="str">
            <v>ND/</v>
          </cell>
          <cell r="S420" t="str">
            <v>001068</v>
          </cell>
          <cell r="T420" t="str">
            <v>SAT</v>
          </cell>
        </row>
        <row r="421">
          <cell r="E421" t="str">
            <v>HLXU6512860</v>
          </cell>
          <cell r="F421" t="str">
            <v>180608</v>
          </cell>
          <cell r="G421">
            <v>40</v>
          </cell>
          <cell r="H421" t="str">
            <v>HC</v>
          </cell>
          <cell r="I421" t="str">
            <v>40HC</v>
          </cell>
          <cell r="J421" t="str">
            <v>HPH</v>
          </cell>
          <cell r="K421">
            <v>28330</v>
          </cell>
          <cell r="L421">
            <v>28.33</v>
          </cell>
          <cell r="M421" t="str">
            <v>F</v>
          </cell>
          <cell r="P421" t="str">
            <v>HAC260520115</v>
          </cell>
          <cell r="Q421" t="str">
            <v>MM</v>
          </cell>
          <cell r="R421" t="str">
            <v>ND/</v>
          </cell>
          <cell r="S421" t="str">
            <v>23140820</v>
          </cell>
          <cell r="T421" t="str">
            <v>NHUA</v>
          </cell>
        </row>
        <row r="422">
          <cell r="E422" t="str">
            <v>KKFU6966664</v>
          </cell>
          <cell r="F422" t="str">
            <v>180282</v>
          </cell>
          <cell r="G422">
            <v>40</v>
          </cell>
          <cell r="H422" t="str">
            <v>RH</v>
          </cell>
          <cell r="I422" t="str">
            <v>40RH</v>
          </cell>
          <cell r="J422" t="str">
            <v>HPH</v>
          </cell>
          <cell r="K422">
            <v>33030</v>
          </cell>
          <cell r="L422">
            <v>33.03</v>
          </cell>
          <cell r="M422" t="str">
            <v>F</v>
          </cell>
          <cell r="N422" t="str">
            <v>-20C</v>
          </cell>
          <cell r="P422" t="str">
            <v>HAC260521043</v>
          </cell>
          <cell r="Q422" t="str">
            <v>OK</v>
          </cell>
          <cell r="R422" t="str">
            <v>ND/</v>
          </cell>
          <cell r="S422" t="str">
            <v>436443</v>
          </cell>
          <cell r="T422" t="str">
            <v>CA</v>
          </cell>
        </row>
        <row r="423">
          <cell r="E423" t="str">
            <v>KOCU4996122</v>
          </cell>
          <cell r="F423" t="str">
            <v>100404</v>
          </cell>
          <cell r="G423">
            <v>40</v>
          </cell>
          <cell r="H423" t="str">
            <v>HC</v>
          </cell>
          <cell r="I423" t="str">
            <v>40HC</v>
          </cell>
          <cell r="J423" t="str">
            <v>HPH</v>
          </cell>
          <cell r="K423">
            <v>31280</v>
          </cell>
          <cell r="L423">
            <v>31.28</v>
          </cell>
          <cell r="M423" t="str">
            <v>F</v>
          </cell>
          <cell r="P423" t="str">
            <v>HAC260519179</v>
          </cell>
          <cell r="Q423" t="str">
            <v>OK</v>
          </cell>
          <cell r="R423" t="str">
            <v>ND/</v>
          </cell>
          <cell r="S423" t="str">
            <v>947204</v>
          </cell>
          <cell r="T423" t="str">
            <v>THONG THUONG</v>
          </cell>
        </row>
        <row r="424">
          <cell r="E424" t="str">
            <v>KOCU5073304</v>
          </cell>
          <cell r="F424" t="str">
            <v>260108</v>
          </cell>
          <cell r="G424">
            <v>40</v>
          </cell>
          <cell r="H424" t="str">
            <v>HC</v>
          </cell>
          <cell r="I424" t="str">
            <v>40HC</v>
          </cell>
          <cell r="J424" t="str">
            <v>HPH</v>
          </cell>
          <cell r="K424">
            <v>26480</v>
          </cell>
          <cell r="L424">
            <v>26.48</v>
          </cell>
          <cell r="M424" t="str">
            <v>F</v>
          </cell>
          <cell r="P424" t="str">
            <v>HAC260519179</v>
          </cell>
          <cell r="Q424" t="str">
            <v>OK</v>
          </cell>
          <cell r="R424" t="str">
            <v>ND/</v>
          </cell>
          <cell r="S424" t="str">
            <v>947217</v>
          </cell>
          <cell r="T424" t="str">
            <v>THONG THUONG</v>
          </cell>
        </row>
        <row r="425">
          <cell r="E425" t="str">
            <v>MMAU1091247</v>
          </cell>
          <cell r="F425" t="str">
            <v>180482</v>
          </cell>
          <cell r="G425">
            <v>40</v>
          </cell>
          <cell r="H425" t="str">
            <v>RH</v>
          </cell>
          <cell r="I425" t="str">
            <v>40RH</v>
          </cell>
          <cell r="J425" t="str">
            <v>HPH</v>
          </cell>
          <cell r="K425">
            <v>33720</v>
          </cell>
          <cell r="L425">
            <v>33.72</v>
          </cell>
          <cell r="M425" t="str">
            <v>F</v>
          </cell>
          <cell r="N425" t="str">
            <v>-18C</v>
          </cell>
          <cell r="P425" t="str">
            <v>HAC260519053</v>
          </cell>
          <cell r="Q425" t="str">
            <v>MM</v>
          </cell>
          <cell r="R425" t="str">
            <v>ND/</v>
          </cell>
          <cell r="S425" t="str">
            <v>25004808</v>
          </cell>
          <cell r="T425" t="str">
            <v>CA</v>
          </cell>
        </row>
        <row r="426">
          <cell r="E426" t="str">
            <v>MSWU0047468</v>
          </cell>
          <cell r="F426" t="str">
            <v>100282</v>
          </cell>
          <cell r="G426">
            <v>40</v>
          </cell>
          <cell r="H426" t="str">
            <v>RH</v>
          </cell>
          <cell r="I426" t="str">
            <v>40RH</v>
          </cell>
          <cell r="J426" t="str">
            <v>HPH</v>
          </cell>
          <cell r="K426">
            <v>33940</v>
          </cell>
          <cell r="L426">
            <v>33.94</v>
          </cell>
          <cell r="M426" t="str">
            <v>F</v>
          </cell>
          <cell r="N426" t="str">
            <v>-18C</v>
          </cell>
          <cell r="P426" t="str">
            <v>HAC260519053</v>
          </cell>
          <cell r="Q426" t="str">
            <v>TC</v>
          </cell>
          <cell r="R426" t="str">
            <v>ND/</v>
          </cell>
          <cell r="S426" t="str">
            <v>25002857</v>
          </cell>
          <cell r="T426" t="str">
            <v>CA</v>
          </cell>
        </row>
        <row r="427">
          <cell r="E427" t="str">
            <v>NPLU7500346</v>
          </cell>
          <cell r="F427" t="str">
            <v>220684</v>
          </cell>
          <cell r="G427">
            <v>40</v>
          </cell>
          <cell r="H427" t="str">
            <v>HC</v>
          </cell>
          <cell r="I427" t="str">
            <v>40HC</v>
          </cell>
          <cell r="J427" t="str">
            <v>HPH</v>
          </cell>
          <cell r="K427">
            <v>11190</v>
          </cell>
          <cell r="L427">
            <v>11.19</v>
          </cell>
          <cell r="M427" t="str">
            <v>F</v>
          </cell>
          <cell r="P427" t="str">
            <v>HATE0461N</v>
          </cell>
          <cell r="Q427" t="str">
            <v>OK</v>
          </cell>
          <cell r="R427" t="str">
            <v>ND/</v>
          </cell>
          <cell r="S427" t="str">
            <v>0094987</v>
          </cell>
          <cell r="T427" t="str">
            <v>VAI</v>
          </cell>
        </row>
        <row r="428">
          <cell r="E428" t="str">
            <v>NPLU7500480</v>
          </cell>
          <cell r="F428" t="str">
            <v>181086</v>
          </cell>
          <cell r="G428">
            <v>40</v>
          </cell>
          <cell r="H428" t="str">
            <v>HC</v>
          </cell>
          <cell r="I428" t="str">
            <v>40HC</v>
          </cell>
          <cell r="J428" t="str">
            <v>HPH</v>
          </cell>
          <cell r="K428">
            <v>10000</v>
          </cell>
          <cell r="L428">
            <v>10</v>
          </cell>
          <cell r="M428" t="str">
            <v>F</v>
          </cell>
          <cell r="P428" t="str">
            <v>HATE0461N</v>
          </cell>
          <cell r="Q428" t="str">
            <v>OK</v>
          </cell>
          <cell r="R428" t="str">
            <v>ND/</v>
          </cell>
          <cell r="S428" t="str">
            <v>0094990</v>
          </cell>
          <cell r="T428" t="str">
            <v>VAI</v>
          </cell>
        </row>
        <row r="429">
          <cell r="E429" t="str">
            <v>NYKU9001408</v>
          </cell>
          <cell r="F429" t="str">
            <v>180582</v>
          </cell>
          <cell r="G429">
            <v>40</v>
          </cell>
          <cell r="H429" t="str">
            <v>RH</v>
          </cell>
          <cell r="I429" t="str">
            <v>40RH</v>
          </cell>
          <cell r="J429" t="str">
            <v>HPH</v>
          </cell>
          <cell r="K429">
            <v>33090</v>
          </cell>
          <cell r="L429">
            <v>33.090000000000003</v>
          </cell>
          <cell r="M429" t="str">
            <v>F</v>
          </cell>
          <cell r="N429" t="str">
            <v>-20C</v>
          </cell>
          <cell r="P429" t="str">
            <v>HAC260521043</v>
          </cell>
          <cell r="Q429" t="str">
            <v>OK</v>
          </cell>
          <cell r="R429" t="str">
            <v>ND/</v>
          </cell>
          <cell r="S429" t="str">
            <v>436448</v>
          </cell>
          <cell r="T429" t="str">
            <v>CA</v>
          </cell>
        </row>
        <row r="430">
          <cell r="E430" t="str">
            <v>OTPU6055629</v>
          </cell>
          <cell r="F430" t="str">
            <v>100382</v>
          </cell>
          <cell r="G430">
            <v>40</v>
          </cell>
          <cell r="H430" t="str">
            <v>RH</v>
          </cell>
          <cell r="I430" t="str">
            <v>40RH</v>
          </cell>
          <cell r="J430" t="str">
            <v>HPH</v>
          </cell>
          <cell r="K430">
            <v>17860</v>
          </cell>
          <cell r="L430">
            <v>17.86</v>
          </cell>
          <cell r="M430" t="str">
            <v>F</v>
          </cell>
          <cell r="N430" t="str">
            <v>22C</v>
          </cell>
          <cell r="P430" t="str">
            <v>HAC260519078</v>
          </cell>
          <cell r="Q430" t="str">
            <v>MM</v>
          </cell>
          <cell r="R430" t="str">
            <v>ND/</v>
          </cell>
          <cell r="S430" t="str">
            <v>033206</v>
          </cell>
          <cell r="T430" t="str">
            <v>BANH KEO</v>
          </cell>
        </row>
        <row r="431">
          <cell r="E431" t="str">
            <v>OTPU6055700</v>
          </cell>
          <cell r="F431" t="str">
            <v>180882</v>
          </cell>
          <cell r="G431">
            <v>40</v>
          </cell>
          <cell r="H431" t="str">
            <v>RH</v>
          </cell>
          <cell r="I431" t="str">
            <v>40RH</v>
          </cell>
          <cell r="J431" t="str">
            <v>HPH</v>
          </cell>
          <cell r="K431">
            <v>16180</v>
          </cell>
          <cell r="L431">
            <v>16.18</v>
          </cell>
          <cell r="M431" t="str">
            <v>F</v>
          </cell>
          <cell r="N431" t="str">
            <v>25C</v>
          </cell>
          <cell r="P431" t="str">
            <v>HAC260519078</v>
          </cell>
          <cell r="Q431" t="str">
            <v>MM</v>
          </cell>
          <cell r="R431" t="str">
            <v>ND/</v>
          </cell>
          <cell r="S431" t="str">
            <v>031988</v>
          </cell>
          <cell r="T431" t="str">
            <v>DUOC PHAM</v>
          </cell>
        </row>
        <row r="432">
          <cell r="E432" t="str">
            <v>OTPU6055779</v>
          </cell>
          <cell r="F432" t="str">
            <v>140582</v>
          </cell>
          <cell r="G432">
            <v>40</v>
          </cell>
          <cell r="H432" t="str">
            <v>RH</v>
          </cell>
          <cell r="I432" t="str">
            <v>40RH</v>
          </cell>
          <cell r="J432" t="str">
            <v>HPH</v>
          </cell>
          <cell r="K432">
            <v>28350</v>
          </cell>
          <cell r="L432">
            <v>28.35</v>
          </cell>
          <cell r="M432" t="str">
            <v>F</v>
          </cell>
          <cell r="N432" t="str">
            <v>-22C</v>
          </cell>
          <cell r="P432" t="str">
            <v>HAC260519078</v>
          </cell>
          <cell r="Q432" t="str">
            <v>OK</v>
          </cell>
          <cell r="R432" t="str">
            <v>ND/</v>
          </cell>
          <cell r="S432" t="str">
            <v>030333</v>
          </cell>
          <cell r="T432" t="str">
            <v>NUOC COT DUA</v>
          </cell>
        </row>
        <row r="433">
          <cell r="E433" t="str">
            <v>OTPU6290612</v>
          </cell>
          <cell r="F433" t="str">
            <v>100682</v>
          </cell>
          <cell r="G433">
            <v>40</v>
          </cell>
          <cell r="H433" t="str">
            <v>RH</v>
          </cell>
          <cell r="I433" t="str">
            <v>40RH</v>
          </cell>
          <cell r="J433" t="str">
            <v>HPH</v>
          </cell>
          <cell r="K433">
            <v>33640</v>
          </cell>
          <cell r="L433">
            <v>33.64</v>
          </cell>
          <cell r="M433" t="str">
            <v>F</v>
          </cell>
          <cell r="N433" t="str">
            <v>-18C</v>
          </cell>
          <cell r="P433" t="str">
            <v>HAC260519078</v>
          </cell>
          <cell r="Q433" t="str">
            <v>MM</v>
          </cell>
          <cell r="R433" t="str">
            <v>ND/</v>
          </cell>
          <cell r="S433" t="str">
            <v>031989</v>
          </cell>
          <cell r="T433" t="str">
            <v>THUCP HAM</v>
          </cell>
        </row>
        <row r="434">
          <cell r="E434" t="str">
            <v>OTPU6290649</v>
          </cell>
          <cell r="F434" t="str">
            <v>300482</v>
          </cell>
          <cell r="G434">
            <v>40</v>
          </cell>
          <cell r="H434" t="str">
            <v>RH</v>
          </cell>
          <cell r="I434" t="str">
            <v>40RH</v>
          </cell>
          <cell r="J434" t="str">
            <v>HPH</v>
          </cell>
          <cell r="K434">
            <v>32840</v>
          </cell>
          <cell r="L434">
            <v>32.840000000000003</v>
          </cell>
          <cell r="M434" t="str">
            <v>F</v>
          </cell>
          <cell r="N434" t="str">
            <v>-18C</v>
          </cell>
          <cell r="P434" t="str">
            <v>HAC260519078</v>
          </cell>
          <cell r="Q434" t="str">
            <v>OK</v>
          </cell>
          <cell r="R434" t="str">
            <v>ND/</v>
          </cell>
          <cell r="S434" t="str">
            <v>031011</v>
          </cell>
          <cell r="T434" t="str">
            <v>THUC PHAM</v>
          </cell>
        </row>
        <row r="435">
          <cell r="E435" t="str">
            <v>PGTU9141952</v>
          </cell>
          <cell r="F435" t="str">
            <v>100684</v>
          </cell>
          <cell r="G435">
            <v>40</v>
          </cell>
          <cell r="H435" t="str">
            <v>HC</v>
          </cell>
          <cell r="I435" t="str">
            <v>40HC</v>
          </cell>
          <cell r="J435" t="str">
            <v>HPH</v>
          </cell>
          <cell r="K435">
            <v>17210</v>
          </cell>
          <cell r="L435">
            <v>17.21</v>
          </cell>
          <cell r="M435" t="str">
            <v>F</v>
          </cell>
          <cell r="P435" t="str">
            <v>HAC260519110</v>
          </cell>
          <cell r="Q435" t="str">
            <v>RU</v>
          </cell>
          <cell r="R435" t="str">
            <v>ND/</v>
          </cell>
          <cell r="S435" t="str">
            <v>56294</v>
          </cell>
          <cell r="T435" t="str">
            <v>THUOC LA</v>
          </cell>
        </row>
        <row r="436">
          <cell r="E436" t="str">
            <v>SEKU5564223</v>
          </cell>
          <cell r="F436" t="str">
            <v>260484</v>
          </cell>
          <cell r="G436">
            <v>40</v>
          </cell>
          <cell r="H436" t="str">
            <v>HC</v>
          </cell>
          <cell r="I436" t="str">
            <v>40HC</v>
          </cell>
          <cell r="J436" t="str">
            <v>HPH</v>
          </cell>
          <cell r="K436">
            <v>17220</v>
          </cell>
          <cell r="L436">
            <v>17.22</v>
          </cell>
          <cell r="M436" t="str">
            <v>F</v>
          </cell>
          <cell r="P436" t="str">
            <v>HAC260519082</v>
          </cell>
          <cell r="Q436" t="str">
            <v>OK</v>
          </cell>
          <cell r="R436" t="str">
            <v>ND/</v>
          </cell>
          <cell r="S436" t="str">
            <v>1073995</v>
          </cell>
          <cell r="T436" t="str">
            <v>VAI</v>
          </cell>
        </row>
        <row r="437">
          <cell r="E437" t="str">
            <v>SEKU5564481</v>
          </cell>
          <cell r="F437" t="str">
            <v>260402</v>
          </cell>
          <cell r="G437">
            <v>40</v>
          </cell>
          <cell r="H437" t="str">
            <v>HC</v>
          </cell>
          <cell r="I437" t="str">
            <v>40HC</v>
          </cell>
          <cell r="J437" t="str">
            <v>HPH</v>
          </cell>
          <cell r="K437">
            <v>32730</v>
          </cell>
          <cell r="L437">
            <v>32.729999999999997</v>
          </cell>
          <cell r="M437" t="str">
            <v>F</v>
          </cell>
          <cell r="P437" t="str">
            <v>HAC251126041</v>
          </cell>
          <cell r="Q437" t="str">
            <v>OK</v>
          </cell>
          <cell r="R437" t="str">
            <v>ND/</v>
          </cell>
          <cell r="S437" t="str">
            <v>23409306</v>
          </cell>
          <cell r="T437" t="str">
            <v>GI?Y</v>
          </cell>
        </row>
        <row r="438">
          <cell r="E438" t="str">
            <v>SEKU5572893</v>
          </cell>
          <cell r="F438" t="str">
            <v>180104</v>
          </cell>
          <cell r="G438">
            <v>40</v>
          </cell>
          <cell r="H438" t="str">
            <v>HC</v>
          </cell>
          <cell r="I438" t="str">
            <v>40HC</v>
          </cell>
          <cell r="J438" t="str">
            <v>HPH</v>
          </cell>
          <cell r="K438">
            <v>30900</v>
          </cell>
          <cell r="L438">
            <v>30.9</v>
          </cell>
          <cell r="M438" t="str">
            <v>F</v>
          </cell>
          <cell r="P438" t="str">
            <v>HAC260526178</v>
          </cell>
          <cell r="Q438" t="str">
            <v>OK</v>
          </cell>
          <cell r="R438" t="str">
            <v>ND/</v>
          </cell>
          <cell r="S438" t="str">
            <v>1115869</v>
          </cell>
          <cell r="T438" t="str">
            <v>GIAY CUON</v>
          </cell>
        </row>
        <row r="439">
          <cell r="E439" t="str">
            <v>SEKU5573056</v>
          </cell>
          <cell r="F439" t="str">
            <v>220686</v>
          </cell>
          <cell r="G439">
            <v>40</v>
          </cell>
          <cell r="H439" t="str">
            <v>HC</v>
          </cell>
          <cell r="I439" t="str">
            <v>40HC</v>
          </cell>
          <cell r="J439" t="str">
            <v>HPH</v>
          </cell>
          <cell r="K439">
            <v>5370</v>
          </cell>
          <cell r="L439">
            <v>5.37</v>
          </cell>
          <cell r="M439" t="str">
            <v>F</v>
          </cell>
          <cell r="P439" t="str">
            <v>HAC251017100</v>
          </cell>
          <cell r="Q439" t="str">
            <v>OK</v>
          </cell>
          <cell r="R439" t="str">
            <v>ND/</v>
          </cell>
          <cell r="S439" t="str">
            <v>656055</v>
          </cell>
          <cell r="T439" t="str">
            <v>BÁNH</v>
          </cell>
        </row>
        <row r="440">
          <cell r="E440" t="str">
            <v>SEKU5573462</v>
          </cell>
          <cell r="F440" t="str">
            <v>060386</v>
          </cell>
          <cell r="G440">
            <v>40</v>
          </cell>
          <cell r="H440" t="str">
            <v>HC</v>
          </cell>
          <cell r="I440" t="str">
            <v>40HC</v>
          </cell>
          <cell r="J440" t="str">
            <v>HPH</v>
          </cell>
          <cell r="K440">
            <v>7020</v>
          </cell>
          <cell r="L440">
            <v>7.02</v>
          </cell>
          <cell r="M440" t="str">
            <v>F</v>
          </cell>
          <cell r="P440" t="str">
            <v>HAC251017100</v>
          </cell>
          <cell r="Q440" t="str">
            <v>OK</v>
          </cell>
          <cell r="R440" t="str">
            <v>ND/</v>
          </cell>
          <cell r="S440" t="str">
            <v>1107344</v>
          </cell>
          <cell r="T440" t="str">
            <v>K?O</v>
          </cell>
        </row>
        <row r="441">
          <cell r="E441" t="str">
            <v>SEKU5573945</v>
          </cell>
          <cell r="F441" t="str">
            <v>020684</v>
          </cell>
          <cell r="G441">
            <v>40</v>
          </cell>
          <cell r="H441" t="str">
            <v>HC</v>
          </cell>
          <cell r="I441" t="str">
            <v>40HC</v>
          </cell>
          <cell r="J441" t="str">
            <v>HPH</v>
          </cell>
          <cell r="K441">
            <v>32620</v>
          </cell>
          <cell r="L441">
            <v>32.619999999999997</v>
          </cell>
          <cell r="M441" t="str">
            <v>F</v>
          </cell>
          <cell r="P441" t="str">
            <v>HAC260520116</v>
          </cell>
          <cell r="Q441" t="str">
            <v>OK</v>
          </cell>
          <cell r="R441" t="str">
            <v>ND/</v>
          </cell>
          <cell r="S441" t="str">
            <v>340050</v>
          </cell>
          <cell r="T441" t="str">
            <v>NHUA</v>
          </cell>
        </row>
        <row r="442">
          <cell r="E442" t="str">
            <v>SEKU5574330</v>
          </cell>
          <cell r="F442" t="str">
            <v>100986</v>
          </cell>
          <cell r="G442">
            <v>40</v>
          </cell>
          <cell r="H442" t="str">
            <v>HC</v>
          </cell>
          <cell r="I442" t="str">
            <v>40HC</v>
          </cell>
          <cell r="J442" t="str">
            <v>HPH</v>
          </cell>
          <cell r="K442">
            <v>9140</v>
          </cell>
          <cell r="L442">
            <v>9.14</v>
          </cell>
          <cell r="M442" t="str">
            <v>F</v>
          </cell>
          <cell r="P442" t="str">
            <v>HAC260519183</v>
          </cell>
          <cell r="Q442" t="str">
            <v>OK</v>
          </cell>
          <cell r="R442" t="str">
            <v>ND/</v>
          </cell>
          <cell r="S442" t="str">
            <v>00543</v>
          </cell>
          <cell r="T442" t="str">
            <v>VAI</v>
          </cell>
        </row>
        <row r="443">
          <cell r="E443" t="str">
            <v>SEKU5574577</v>
          </cell>
          <cell r="F443" t="str">
            <v>260282</v>
          </cell>
          <cell r="G443">
            <v>40</v>
          </cell>
          <cell r="H443" t="str">
            <v>HC</v>
          </cell>
          <cell r="I443" t="str">
            <v>40HC</v>
          </cell>
          <cell r="J443" t="str">
            <v>HPH</v>
          </cell>
          <cell r="K443">
            <v>24550</v>
          </cell>
          <cell r="L443">
            <v>24.55</v>
          </cell>
          <cell r="M443" t="str">
            <v>F</v>
          </cell>
          <cell r="P443" t="str">
            <v>HAC260523009</v>
          </cell>
          <cell r="Q443" t="str">
            <v>OK</v>
          </cell>
          <cell r="R443" t="str">
            <v>ND/</v>
          </cell>
          <cell r="S443" t="str">
            <v>1105749</v>
          </cell>
          <cell r="T443" t="str">
            <v>SOI</v>
          </cell>
        </row>
        <row r="444">
          <cell r="E444" t="str">
            <v>SEKU5574643</v>
          </cell>
          <cell r="F444" t="str">
            <v>220382</v>
          </cell>
          <cell r="G444">
            <v>40</v>
          </cell>
          <cell r="H444" t="str">
            <v>HC</v>
          </cell>
          <cell r="I444" t="str">
            <v>40HC</v>
          </cell>
          <cell r="J444" t="str">
            <v>HPH</v>
          </cell>
          <cell r="K444">
            <v>23130</v>
          </cell>
          <cell r="L444">
            <v>23.13</v>
          </cell>
          <cell r="M444" t="str">
            <v>F</v>
          </cell>
          <cell r="P444" t="str">
            <v>HAC251017100</v>
          </cell>
          <cell r="Q444" t="str">
            <v>OK</v>
          </cell>
          <cell r="R444" t="str">
            <v>ND/</v>
          </cell>
          <cell r="S444" t="str">
            <v>23408775</v>
          </cell>
          <cell r="T444" t="str">
            <v>TH?C PH?M</v>
          </cell>
        </row>
        <row r="445">
          <cell r="E445" t="str">
            <v>SEKU5574664</v>
          </cell>
          <cell r="F445" t="str">
            <v>101084</v>
          </cell>
          <cell r="G445">
            <v>40</v>
          </cell>
          <cell r="H445" t="str">
            <v>HC</v>
          </cell>
          <cell r="I445" t="str">
            <v>40HC</v>
          </cell>
          <cell r="J445" t="str">
            <v>HPH</v>
          </cell>
          <cell r="K445">
            <v>21100</v>
          </cell>
          <cell r="L445">
            <v>21.1</v>
          </cell>
          <cell r="M445" t="str">
            <v>F</v>
          </cell>
          <cell r="P445" t="str">
            <v>HAC260526057</v>
          </cell>
          <cell r="Q445" t="str">
            <v>OK</v>
          </cell>
          <cell r="R445" t="str">
            <v>ND/</v>
          </cell>
          <cell r="S445" t="str">
            <v>1105670</v>
          </cell>
          <cell r="T445" t="str">
            <v>GAO</v>
          </cell>
        </row>
        <row r="446">
          <cell r="E446" t="str">
            <v>SEKU5575001</v>
          </cell>
          <cell r="F446" t="str">
            <v>220884</v>
          </cell>
          <cell r="G446">
            <v>40</v>
          </cell>
          <cell r="H446" t="str">
            <v>HC</v>
          </cell>
          <cell r="I446" t="str">
            <v>40HC</v>
          </cell>
          <cell r="J446" t="str">
            <v>HPH</v>
          </cell>
          <cell r="K446">
            <v>12200</v>
          </cell>
          <cell r="L446">
            <v>12.2</v>
          </cell>
          <cell r="M446" t="str">
            <v>F</v>
          </cell>
          <cell r="P446" t="str">
            <v>HAC260527042</v>
          </cell>
          <cell r="Q446" t="str">
            <v>OK</v>
          </cell>
          <cell r="R446" t="str">
            <v>ND/</v>
          </cell>
          <cell r="S446" t="str">
            <v>1115307</v>
          </cell>
          <cell r="T446" t="str">
            <v>MI</v>
          </cell>
        </row>
        <row r="447">
          <cell r="E447" t="str">
            <v>SEKU5575017</v>
          </cell>
          <cell r="F447" t="str">
            <v>020484</v>
          </cell>
          <cell r="G447">
            <v>40</v>
          </cell>
          <cell r="H447" t="str">
            <v>HC</v>
          </cell>
          <cell r="I447" t="str">
            <v>40HC</v>
          </cell>
          <cell r="J447" t="str">
            <v>HPH</v>
          </cell>
          <cell r="K447">
            <v>26260</v>
          </cell>
          <cell r="L447">
            <v>26.26</v>
          </cell>
          <cell r="M447" t="str">
            <v>F</v>
          </cell>
          <cell r="P447" t="str">
            <v>HAC260526017</v>
          </cell>
          <cell r="Q447" t="str">
            <v>OK</v>
          </cell>
          <cell r="R447" t="str">
            <v>ND/</v>
          </cell>
          <cell r="S447" t="str">
            <v>1113502</v>
          </cell>
          <cell r="T447" t="str">
            <v>GIAY</v>
          </cell>
        </row>
        <row r="448">
          <cell r="E448" t="str">
            <v>SEKU5575402</v>
          </cell>
          <cell r="F448" t="str">
            <v>220182</v>
          </cell>
          <cell r="G448">
            <v>40</v>
          </cell>
          <cell r="H448" t="str">
            <v>HC</v>
          </cell>
          <cell r="I448" t="str">
            <v>40HC</v>
          </cell>
          <cell r="J448" t="str">
            <v>HPH</v>
          </cell>
          <cell r="K448">
            <v>33260</v>
          </cell>
          <cell r="L448">
            <v>33.26</v>
          </cell>
          <cell r="M448" t="str">
            <v>F</v>
          </cell>
          <cell r="P448" t="str">
            <v>HAC260519086</v>
          </cell>
          <cell r="Q448" t="str">
            <v>OK</v>
          </cell>
          <cell r="R448" t="str">
            <v>ND/</v>
          </cell>
          <cell r="S448" t="str">
            <v>23423</v>
          </cell>
          <cell r="T448" t="str">
            <v>CAM</v>
          </cell>
        </row>
        <row r="449">
          <cell r="E449" t="str">
            <v>SEKU5576121</v>
          </cell>
          <cell r="F449" t="str">
            <v>181082</v>
          </cell>
          <cell r="G449">
            <v>40</v>
          </cell>
          <cell r="H449" t="str">
            <v>HC</v>
          </cell>
          <cell r="I449" t="str">
            <v>40HC</v>
          </cell>
          <cell r="J449" t="str">
            <v>HPH</v>
          </cell>
          <cell r="K449">
            <v>26250</v>
          </cell>
          <cell r="L449">
            <v>26.25</v>
          </cell>
          <cell r="M449" t="str">
            <v>F</v>
          </cell>
          <cell r="P449" t="str">
            <v>HAC260519075</v>
          </cell>
          <cell r="Q449" t="str">
            <v>OK</v>
          </cell>
          <cell r="R449" t="str">
            <v>ND/</v>
          </cell>
          <cell r="S449" t="str">
            <v>23408363</v>
          </cell>
          <cell r="T449" t="str">
            <v>MY PHAM</v>
          </cell>
        </row>
        <row r="450">
          <cell r="E450" t="str">
            <v>SEKU5576158</v>
          </cell>
          <cell r="F450" t="str">
            <v>220384</v>
          </cell>
          <cell r="G450">
            <v>40</v>
          </cell>
          <cell r="H450" t="str">
            <v>HC</v>
          </cell>
          <cell r="I450" t="str">
            <v>40HC</v>
          </cell>
          <cell r="J450" t="str">
            <v>HPH</v>
          </cell>
          <cell r="K450">
            <v>11380</v>
          </cell>
          <cell r="L450">
            <v>11.38</v>
          </cell>
          <cell r="M450" t="str">
            <v>F</v>
          </cell>
          <cell r="P450" t="str">
            <v>HAC260519108</v>
          </cell>
          <cell r="Q450" t="str">
            <v>BB</v>
          </cell>
          <cell r="R450" t="str">
            <v>ND/</v>
          </cell>
          <cell r="S450" t="str">
            <v>12227</v>
          </cell>
          <cell r="T450" t="str">
            <v>VAI</v>
          </cell>
        </row>
        <row r="451">
          <cell r="E451" t="str">
            <v>SEKU5577489</v>
          </cell>
          <cell r="F451" t="str">
            <v>220682</v>
          </cell>
          <cell r="G451">
            <v>40</v>
          </cell>
          <cell r="H451" t="str">
            <v>HC</v>
          </cell>
          <cell r="I451" t="str">
            <v>40HC</v>
          </cell>
          <cell r="J451" t="str">
            <v>HPH</v>
          </cell>
          <cell r="K451">
            <v>24210</v>
          </cell>
          <cell r="L451">
            <v>24.21</v>
          </cell>
          <cell r="M451" t="str">
            <v>F</v>
          </cell>
          <cell r="P451" t="str">
            <v>HAC260527064</v>
          </cell>
          <cell r="Q451" t="str">
            <v>OK</v>
          </cell>
          <cell r="R451" t="str">
            <v>ND/</v>
          </cell>
          <cell r="S451" t="str">
            <v>1105740</v>
          </cell>
          <cell r="T451" t="str">
            <v>SOI</v>
          </cell>
        </row>
        <row r="452">
          <cell r="E452" t="str">
            <v>SEKU5580332</v>
          </cell>
          <cell r="F452" t="str">
            <v>260808</v>
          </cell>
          <cell r="G452">
            <v>40</v>
          </cell>
          <cell r="H452" t="str">
            <v>HC</v>
          </cell>
          <cell r="I452" t="str">
            <v>40HC</v>
          </cell>
          <cell r="J452" t="str">
            <v>HPH</v>
          </cell>
          <cell r="K452">
            <v>30470</v>
          </cell>
          <cell r="L452">
            <v>30.47</v>
          </cell>
          <cell r="M452" t="str">
            <v>F</v>
          </cell>
          <cell r="P452" t="str">
            <v>HAC251017100</v>
          </cell>
          <cell r="Q452" t="str">
            <v>OK</v>
          </cell>
          <cell r="R452" t="str">
            <v>ND/</v>
          </cell>
          <cell r="S452" t="str">
            <v>1109313</v>
          </cell>
          <cell r="T452" t="str">
            <v>VLXD</v>
          </cell>
        </row>
        <row r="453">
          <cell r="E453" t="str">
            <v>SEKU5581540</v>
          </cell>
          <cell r="F453" t="str">
            <v>180986</v>
          </cell>
          <cell r="G453">
            <v>40</v>
          </cell>
          <cell r="H453" t="str">
            <v>HC</v>
          </cell>
          <cell r="I453" t="str">
            <v>40HC</v>
          </cell>
          <cell r="J453" t="str">
            <v>HPH</v>
          </cell>
          <cell r="K453">
            <v>8260</v>
          </cell>
          <cell r="L453">
            <v>8.26</v>
          </cell>
          <cell r="M453" t="str">
            <v>F</v>
          </cell>
          <cell r="P453" t="str">
            <v>HAC260525069</v>
          </cell>
          <cell r="Q453" t="str">
            <v>OK</v>
          </cell>
          <cell r="R453" t="str">
            <v>ND/</v>
          </cell>
          <cell r="S453" t="str">
            <v>1118556</v>
          </cell>
          <cell r="T453" t="str">
            <v>TAM CACH NHIET</v>
          </cell>
        </row>
        <row r="454">
          <cell r="E454" t="str">
            <v>SEKU5583178</v>
          </cell>
          <cell r="F454" t="str">
            <v>180506</v>
          </cell>
          <cell r="G454">
            <v>40</v>
          </cell>
          <cell r="H454" t="str">
            <v>HC</v>
          </cell>
          <cell r="I454" t="str">
            <v>40HC</v>
          </cell>
          <cell r="J454" t="str">
            <v>HPH</v>
          </cell>
          <cell r="K454">
            <v>30570</v>
          </cell>
          <cell r="L454">
            <v>30.57</v>
          </cell>
          <cell r="M454" t="str">
            <v>F</v>
          </cell>
          <cell r="P454" t="str">
            <v>HAC260519086</v>
          </cell>
          <cell r="Q454" t="str">
            <v>OK</v>
          </cell>
          <cell r="R454" t="str">
            <v>ND/</v>
          </cell>
          <cell r="S454" t="str">
            <v>260818</v>
          </cell>
          <cell r="T454" t="str">
            <v>GIAY</v>
          </cell>
        </row>
        <row r="455">
          <cell r="E455" t="str">
            <v>SEKU5583250</v>
          </cell>
          <cell r="F455" t="str">
            <v>060382</v>
          </cell>
          <cell r="G455">
            <v>40</v>
          </cell>
          <cell r="H455" t="str">
            <v>HC</v>
          </cell>
          <cell r="I455" t="str">
            <v>40HC</v>
          </cell>
          <cell r="J455" t="str">
            <v>HPH</v>
          </cell>
          <cell r="K455">
            <v>30770</v>
          </cell>
          <cell r="L455">
            <v>30.77</v>
          </cell>
          <cell r="M455" t="str">
            <v>F</v>
          </cell>
          <cell r="P455" t="str">
            <v>HAC260519062</v>
          </cell>
          <cell r="Q455" t="str">
            <v>OK</v>
          </cell>
          <cell r="R455" t="str">
            <v>ND/</v>
          </cell>
          <cell r="S455" t="str">
            <v>23378073</v>
          </cell>
          <cell r="T455" t="str">
            <v>THUC PHAM</v>
          </cell>
        </row>
        <row r="456">
          <cell r="E456" t="str">
            <v>SEKU6799876</v>
          </cell>
          <cell r="F456" t="str">
            <v>020582</v>
          </cell>
          <cell r="G456">
            <v>40</v>
          </cell>
          <cell r="H456" t="str">
            <v>HC</v>
          </cell>
          <cell r="I456" t="str">
            <v>40HC</v>
          </cell>
          <cell r="J456" t="str">
            <v>HPH</v>
          </cell>
          <cell r="K456">
            <v>31220</v>
          </cell>
          <cell r="L456">
            <v>31.22</v>
          </cell>
          <cell r="M456" t="str">
            <v>F</v>
          </cell>
          <cell r="P456" t="str">
            <v>HAC260525072</v>
          </cell>
          <cell r="Q456" t="str">
            <v>OK</v>
          </cell>
          <cell r="R456" t="str">
            <v>ND/</v>
          </cell>
          <cell r="S456" t="str">
            <v>1104819</v>
          </cell>
          <cell r="T456" t="str">
            <v>GIAY</v>
          </cell>
        </row>
        <row r="457">
          <cell r="E457" t="str">
            <v>SEKU6803364</v>
          </cell>
          <cell r="F457" t="str">
            <v>060786</v>
          </cell>
          <cell r="G457">
            <v>40</v>
          </cell>
          <cell r="H457" t="str">
            <v>HC</v>
          </cell>
          <cell r="I457" t="str">
            <v>40HC</v>
          </cell>
          <cell r="J457" t="str">
            <v>HPH</v>
          </cell>
          <cell r="K457">
            <v>8490</v>
          </cell>
          <cell r="L457">
            <v>8.49</v>
          </cell>
          <cell r="M457" t="str">
            <v>F</v>
          </cell>
          <cell r="P457" t="str">
            <v>HAC260519183</v>
          </cell>
          <cell r="Q457" t="str">
            <v>OK</v>
          </cell>
          <cell r="R457" t="str">
            <v>ND/</v>
          </cell>
          <cell r="S457" t="str">
            <v>00132</v>
          </cell>
          <cell r="T457" t="str">
            <v>VAI</v>
          </cell>
        </row>
        <row r="458">
          <cell r="E458" t="str">
            <v>SEKU6803528</v>
          </cell>
          <cell r="F458" t="str">
            <v>221084</v>
          </cell>
          <cell r="G458">
            <v>40</v>
          </cell>
          <cell r="H458" t="str">
            <v>HC</v>
          </cell>
          <cell r="I458" t="str">
            <v>40HC</v>
          </cell>
          <cell r="J458" t="str">
            <v>HPH</v>
          </cell>
          <cell r="K458">
            <v>13380</v>
          </cell>
          <cell r="L458">
            <v>13.38</v>
          </cell>
          <cell r="M458" t="str">
            <v>F</v>
          </cell>
          <cell r="P458" t="str">
            <v>HAC260525089</v>
          </cell>
          <cell r="Q458" t="str">
            <v>OK</v>
          </cell>
          <cell r="R458" t="str">
            <v>ND/</v>
          </cell>
          <cell r="S458" t="str">
            <v>1042936</v>
          </cell>
          <cell r="T458" t="str">
            <v>MI</v>
          </cell>
        </row>
        <row r="459">
          <cell r="E459" t="str">
            <v>SEKU6803744</v>
          </cell>
          <cell r="F459" t="str">
            <v>100886</v>
          </cell>
          <cell r="G459">
            <v>40</v>
          </cell>
          <cell r="H459" t="str">
            <v>HC</v>
          </cell>
          <cell r="I459" t="str">
            <v>40HC</v>
          </cell>
          <cell r="J459" t="str">
            <v>HPH</v>
          </cell>
          <cell r="K459">
            <v>13360</v>
          </cell>
          <cell r="L459">
            <v>13.36</v>
          </cell>
          <cell r="M459" t="str">
            <v>F</v>
          </cell>
          <cell r="P459" t="str">
            <v>HAC260521157</v>
          </cell>
          <cell r="Q459" t="str">
            <v>OK</v>
          </cell>
          <cell r="R459" t="str">
            <v>ND/</v>
          </cell>
          <cell r="S459" t="str">
            <v>23369999</v>
          </cell>
          <cell r="T459" t="str">
            <v>ONG NHUA</v>
          </cell>
        </row>
        <row r="460">
          <cell r="E460" t="str">
            <v>SEKU6803873</v>
          </cell>
          <cell r="F460" t="str">
            <v>140186</v>
          </cell>
          <cell r="G460">
            <v>40</v>
          </cell>
          <cell r="H460" t="str">
            <v>HC</v>
          </cell>
          <cell r="I460" t="str">
            <v>40HC</v>
          </cell>
          <cell r="J460" t="str">
            <v>HPH</v>
          </cell>
          <cell r="K460">
            <v>8710</v>
          </cell>
          <cell r="L460">
            <v>8.7100000000000009</v>
          </cell>
          <cell r="M460" t="str">
            <v>F</v>
          </cell>
          <cell r="P460" t="str">
            <v>HAC260525071</v>
          </cell>
          <cell r="Q460" t="str">
            <v>OK</v>
          </cell>
          <cell r="R460" t="str">
            <v>ND/</v>
          </cell>
          <cell r="S460" t="str">
            <v>003276</v>
          </cell>
          <cell r="T460" t="str">
            <v>DIEN TU</v>
          </cell>
        </row>
        <row r="461">
          <cell r="E461" t="str">
            <v>SEKU6804308</v>
          </cell>
          <cell r="F461" t="str">
            <v>140108</v>
          </cell>
          <cell r="G461">
            <v>40</v>
          </cell>
          <cell r="H461" t="str">
            <v>HC</v>
          </cell>
          <cell r="I461" t="str">
            <v>40HC</v>
          </cell>
          <cell r="J461" t="str">
            <v>HPH</v>
          </cell>
          <cell r="K461">
            <v>28180</v>
          </cell>
          <cell r="L461">
            <v>28.18</v>
          </cell>
          <cell r="M461" t="str">
            <v>F</v>
          </cell>
          <cell r="P461" t="str">
            <v>HAC260526180</v>
          </cell>
          <cell r="Q461" t="str">
            <v>OK</v>
          </cell>
          <cell r="R461" t="str">
            <v>ND/</v>
          </cell>
          <cell r="S461" t="str">
            <v>1119561</v>
          </cell>
        </row>
        <row r="462">
          <cell r="E462" t="str">
            <v>SEKU6804355</v>
          </cell>
          <cell r="F462" t="str">
            <v>220786</v>
          </cell>
          <cell r="G462">
            <v>40</v>
          </cell>
          <cell r="H462" t="str">
            <v>HC</v>
          </cell>
          <cell r="I462" t="str">
            <v>40HC</v>
          </cell>
          <cell r="J462" t="str">
            <v>HPH</v>
          </cell>
          <cell r="K462">
            <v>10770</v>
          </cell>
          <cell r="L462">
            <v>10.77</v>
          </cell>
          <cell r="M462" t="str">
            <v>F</v>
          </cell>
          <cell r="P462" t="str">
            <v>HAC260526033</v>
          </cell>
          <cell r="Q462" t="str">
            <v>OK</v>
          </cell>
          <cell r="R462" t="str">
            <v>ND/</v>
          </cell>
          <cell r="S462" t="str">
            <v>1107144</v>
          </cell>
          <cell r="T462" t="str">
            <v>DIEN TU</v>
          </cell>
        </row>
        <row r="463">
          <cell r="E463" t="str">
            <v>SEKU6804972</v>
          </cell>
          <cell r="F463" t="str">
            <v>300682</v>
          </cell>
          <cell r="G463">
            <v>40</v>
          </cell>
          <cell r="H463" t="str">
            <v>HC</v>
          </cell>
          <cell r="I463" t="str">
            <v>40HC</v>
          </cell>
          <cell r="J463" t="str">
            <v>HPH</v>
          </cell>
          <cell r="K463">
            <v>30710</v>
          </cell>
          <cell r="L463">
            <v>30.71</v>
          </cell>
          <cell r="M463" t="str">
            <v>F</v>
          </cell>
          <cell r="P463" t="str">
            <v>HAC260526017</v>
          </cell>
          <cell r="Q463" t="str">
            <v>OK</v>
          </cell>
          <cell r="R463" t="str">
            <v>ND/</v>
          </cell>
          <cell r="S463" t="str">
            <v>1106447</v>
          </cell>
          <cell r="T463" t="str">
            <v>GIAY</v>
          </cell>
        </row>
        <row r="464">
          <cell r="E464" t="str">
            <v>SEKU6805074</v>
          </cell>
          <cell r="F464" t="str">
            <v>140402</v>
          </cell>
          <cell r="G464">
            <v>40</v>
          </cell>
          <cell r="H464" t="str">
            <v>HC</v>
          </cell>
          <cell r="I464" t="str">
            <v>40HC</v>
          </cell>
          <cell r="J464" t="str">
            <v>HPH</v>
          </cell>
          <cell r="K464">
            <v>30500</v>
          </cell>
          <cell r="L464">
            <v>30.5</v>
          </cell>
          <cell r="M464" t="str">
            <v>F</v>
          </cell>
          <cell r="P464" t="str">
            <v>HAC260525072</v>
          </cell>
          <cell r="Q464" t="str">
            <v>OK</v>
          </cell>
          <cell r="R464" t="str">
            <v>ND/</v>
          </cell>
          <cell r="S464" t="str">
            <v>1116579</v>
          </cell>
          <cell r="T464" t="str">
            <v>GIAY</v>
          </cell>
        </row>
        <row r="465">
          <cell r="E465" t="str">
            <v>SEKU6805367</v>
          </cell>
          <cell r="F465" t="str">
            <v>100108</v>
          </cell>
          <cell r="G465">
            <v>40</v>
          </cell>
          <cell r="H465" t="str">
            <v>HC</v>
          </cell>
          <cell r="I465" t="str">
            <v>40HC</v>
          </cell>
          <cell r="J465" t="str">
            <v>HPH</v>
          </cell>
          <cell r="K465">
            <v>31960</v>
          </cell>
          <cell r="L465">
            <v>31.96</v>
          </cell>
          <cell r="M465" t="str">
            <v>F</v>
          </cell>
          <cell r="P465" t="str">
            <v>HAC260521148</v>
          </cell>
          <cell r="Q465" t="str">
            <v>RD</v>
          </cell>
          <cell r="R465" t="str">
            <v>ND/</v>
          </cell>
          <cell r="S465" t="str">
            <v>656200</v>
          </cell>
          <cell r="T465" t="str">
            <v>MANG PHIM</v>
          </cell>
        </row>
        <row r="466">
          <cell r="E466" t="str">
            <v>SEKU6805958</v>
          </cell>
          <cell r="F466" t="str">
            <v>260708</v>
          </cell>
          <cell r="G466">
            <v>40</v>
          </cell>
          <cell r="H466" t="str">
            <v>HC</v>
          </cell>
          <cell r="I466" t="str">
            <v>40HC</v>
          </cell>
          <cell r="J466" t="str">
            <v>HPH</v>
          </cell>
          <cell r="K466">
            <v>28060</v>
          </cell>
          <cell r="L466">
            <v>28.06</v>
          </cell>
          <cell r="M466" t="str">
            <v>F</v>
          </cell>
          <cell r="P466" t="str">
            <v>HAC251017100</v>
          </cell>
          <cell r="Q466" t="str">
            <v>OK</v>
          </cell>
          <cell r="R466" t="str">
            <v>ND/</v>
          </cell>
          <cell r="S466" t="str">
            <v>630722</v>
          </cell>
          <cell r="T466" t="str">
            <v>TH?C PH?M</v>
          </cell>
        </row>
        <row r="467">
          <cell r="E467" t="str">
            <v>SEKU6806110</v>
          </cell>
          <cell r="F467" t="str">
            <v>140406</v>
          </cell>
          <cell r="G467">
            <v>40</v>
          </cell>
          <cell r="H467" t="str">
            <v>HC</v>
          </cell>
          <cell r="I467" t="str">
            <v>40HC</v>
          </cell>
          <cell r="J467" t="str">
            <v>HPH</v>
          </cell>
          <cell r="K467">
            <v>31200</v>
          </cell>
          <cell r="L467">
            <v>31.2</v>
          </cell>
          <cell r="M467" t="str">
            <v>F</v>
          </cell>
          <cell r="P467" t="str">
            <v>HAC260526180</v>
          </cell>
          <cell r="Q467" t="str">
            <v>OK</v>
          </cell>
          <cell r="R467" t="str">
            <v>ND/</v>
          </cell>
          <cell r="S467" t="str">
            <v>1113799</v>
          </cell>
        </row>
        <row r="468">
          <cell r="E468" t="str">
            <v>SEKU6806126</v>
          </cell>
          <cell r="F468" t="str">
            <v>140208</v>
          </cell>
          <cell r="G468">
            <v>40</v>
          </cell>
          <cell r="H468" t="str">
            <v>HC</v>
          </cell>
          <cell r="I468" t="str">
            <v>40HC</v>
          </cell>
          <cell r="J468" t="str">
            <v>HPH</v>
          </cell>
          <cell r="K468">
            <v>29560</v>
          </cell>
          <cell r="L468">
            <v>29.56</v>
          </cell>
          <cell r="M468" t="str">
            <v>F</v>
          </cell>
          <cell r="P468" t="str">
            <v>HAC260526180</v>
          </cell>
          <cell r="Q468" t="str">
            <v>OK</v>
          </cell>
          <cell r="R468" t="str">
            <v>ND/</v>
          </cell>
          <cell r="S468" t="str">
            <v>1119562</v>
          </cell>
          <cell r="T468" t="str">
            <v>OP26052708</v>
          </cell>
        </row>
        <row r="469">
          <cell r="E469" t="str">
            <v>SEKU6806300</v>
          </cell>
          <cell r="F469" t="str">
            <v>301082</v>
          </cell>
          <cell r="G469">
            <v>40</v>
          </cell>
          <cell r="H469" t="str">
            <v>HC</v>
          </cell>
          <cell r="I469" t="str">
            <v>40HC</v>
          </cell>
          <cell r="J469" t="str">
            <v>HPH</v>
          </cell>
          <cell r="K469">
            <v>19000</v>
          </cell>
          <cell r="L469">
            <v>19</v>
          </cell>
          <cell r="M469" t="str">
            <v>F</v>
          </cell>
          <cell r="P469" t="str">
            <v>HAC260526016</v>
          </cell>
          <cell r="Q469" t="str">
            <v>OK</v>
          </cell>
          <cell r="R469" t="str">
            <v>ND/</v>
          </cell>
          <cell r="S469" t="str">
            <v>1104711</v>
          </cell>
          <cell r="T469" t="str">
            <v>THUC PHAM</v>
          </cell>
        </row>
        <row r="470">
          <cell r="E470" t="str">
            <v>SEKU6806569</v>
          </cell>
          <cell r="F470" t="str">
            <v>260506</v>
          </cell>
          <cell r="G470">
            <v>40</v>
          </cell>
          <cell r="H470" t="str">
            <v>HC</v>
          </cell>
          <cell r="I470" t="str">
            <v>40HC</v>
          </cell>
          <cell r="J470" t="str">
            <v>HPH</v>
          </cell>
          <cell r="K470">
            <v>30410</v>
          </cell>
          <cell r="L470">
            <v>30.41</v>
          </cell>
          <cell r="M470" t="str">
            <v>F</v>
          </cell>
          <cell r="P470" t="str">
            <v>HAC260521157</v>
          </cell>
          <cell r="Q470" t="str">
            <v>OK</v>
          </cell>
          <cell r="R470" t="str">
            <v>ND/</v>
          </cell>
          <cell r="S470" t="str">
            <v>1116044</v>
          </cell>
          <cell r="T470" t="str">
            <v>HAT NHUA</v>
          </cell>
        </row>
        <row r="471">
          <cell r="E471" t="str">
            <v>SEKU6806738</v>
          </cell>
          <cell r="F471" t="str">
            <v>100486</v>
          </cell>
          <cell r="G471">
            <v>40</v>
          </cell>
          <cell r="H471" t="str">
            <v>HC</v>
          </cell>
          <cell r="I471" t="str">
            <v>40HC</v>
          </cell>
          <cell r="J471" t="str">
            <v>HPH</v>
          </cell>
          <cell r="K471">
            <v>12970</v>
          </cell>
          <cell r="L471">
            <v>12.97</v>
          </cell>
          <cell r="M471" t="str">
            <v>F</v>
          </cell>
          <cell r="P471" t="str">
            <v>HAC260525073</v>
          </cell>
          <cell r="Q471" t="str">
            <v>OK</v>
          </cell>
          <cell r="R471" t="str">
            <v>ND/</v>
          </cell>
          <cell r="S471" t="str">
            <v>01116</v>
          </cell>
          <cell r="T471" t="str">
            <v>XO DUA</v>
          </cell>
        </row>
        <row r="472">
          <cell r="E472" t="str">
            <v>SEKU6806907</v>
          </cell>
          <cell r="F472" t="str">
            <v>140804</v>
          </cell>
          <cell r="G472">
            <v>40</v>
          </cell>
          <cell r="H472" t="str">
            <v>HC</v>
          </cell>
          <cell r="I472" t="str">
            <v>40HC</v>
          </cell>
          <cell r="J472" t="str">
            <v>HPH</v>
          </cell>
          <cell r="K472">
            <v>29800</v>
          </cell>
          <cell r="L472">
            <v>29.8</v>
          </cell>
          <cell r="M472" t="str">
            <v>F</v>
          </cell>
          <cell r="P472" t="str">
            <v>HAC260526180</v>
          </cell>
          <cell r="Q472" t="str">
            <v>OK</v>
          </cell>
          <cell r="R472" t="str">
            <v>ND/</v>
          </cell>
          <cell r="S472" t="str">
            <v>1119567</v>
          </cell>
        </row>
        <row r="473">
          <cell r="E473" t="str">
            <v>SEKU6807101</v>
          </cell>
          <cell r="F473" t="str">
            <v>220104</v>
          </cell>
          <cell r="G473">
            <v>40</v>
          </cell>
          <cell r="H473" t="str">
            <v>HC</v>
          </cell>
          <cell r="I473" t="str">
            <v>40HC</v>
          </cell>
          <cell r="J473" t="str">
            <v>HPH</v>
          </cell>
          <cell r="K473">
            <v>30290</v>
          </cell>
          <cell r="L473">
            <v>30.29</v>
          </cell>
          <cell r="M473" t="str">
            <v>F</v>
          </cell>
          <cell r="P473" t="str">
            <v>HAC260525072</v>
          </cell>
          <cell r="Q473" t="str">
            <v>OK</v>
          </cell>
          <cell r="R473" t="str">
            <v>ND/</v>
          </cell>
          <cell r="S473" t="str">
            <v>1117492</v>
          </cell>
          <cell r="T473" t="str">
            <v>GIAY</v>
          </cell>
        </row>
        <row r="474">
          <cell r="E474" t="str">
            <v>SEKU6807354</v>
          </cell>
          <cell r="F474" t="str">
            <v>260106</v>
          </cell>
          <cell r="G474">
            <v>40</v>
          </cell>
          <cell r="H474" t="str">
            <v>HC</v>
          </cell>
          <cell r="I474" t="str">
            <v>40HC</v>
          </cell>
          <cell r="J474" t="str">
            <v>HPH</v>
          </cell>
          <cell r="K474">
            <v>29910</v>
          </cell>
          <cell r="L474">
            <v>29.91</v>
          </cell>
          <cell r="M474" t="str">
            <v>F</v>
          </cell>
          <cell r="P474" t="str">
            <v>HAC260523005</v>
          </cell>
          <cell r="Q474" t="str">
            <v>MM</v>
          </cell>
          <cell r="R474" t="str">
            <v>ND/</v>
          </cell>
          <cell r="S474" t="str">
            <v>000816</v>
          </cell>
          <cell r="T474" t="str">
            <v>NGK</v>
          </cell>
        </row>
        <row r="475">
          <cell r="E475" t="str">
            <v>SEKU6807483</v>
          </cell>
          <cell r="F475" t="str">
            <v>300982</v>
          </cell>
          <cell r="G475">
            <v>40</v>
          </cell>
          <cell r="H475" t="str">
            <v>HC</v>
          </cell>
          <cell r="I475" t="str">
            <v>40HC</v>
          </cell>
          <cell r="J475" t="str">
            <v>HPH</v>
          </cell>
          <cell r="K475">
            <v>30570</v>
          </cell>
          <cell r="L475">
            <v>30.57</v>
          </cell>
          <cell r="M475" t="str">
            <v>F</v>
          </cell>
          <cell r="P475" t="str">
            <v>HAC260527051</v>
          </cell>
          <cell r="Q475" t="str">
            <v>OK</v>
          </cell>
          <cell r="R475" t="str">
            <v>ND/</v>
          </cell>
          <cell r="S475" t="str">
            <v>1116573</v>
          </cell>
          <cell r="T475" t="str">
            <v>BAT</v>
          </cell>
        </row>
        <row r="476">
          <cell r="E476" t="str">
            <v>SEKU6807781</v>
          </cell>
          <cell r="F476" t="str">
            <v>220206</v>
          </cell>
          <cell r="G476">
            <v>40</v>
          </cell>
          <cell r="H476" t="str">
            <v>HC</v>
          </cell>
          <cell r="I476" t="str">
            <v>40HC</v>
          </cell>
          <cell r="J476" t="str">
            <v>HPH</v>
          </cell>
          <cell r="K476">
            <v>31600</v>
          </cell>
          <cell r="L476">
            <v>31.6</v>
          </cell>
          <cell r="M476" t="str">
            <v>F</v>
          </cell>
          <cell r="P476" t="str">
            <v>HAC260519148</v>
          </cell>
          <cell r="Q476" t="str">
            <v>OK</v>
          </cell>
          <cell r="R476" t="str">
            <v>ND/</v>
          </cell>
          <cell r="S476" t="str">
            <v>28912029</v>
          </cell>
          <cell r="T476" t="str">
            <v>SON</v>
          </cell>
        </row>
        <row r="477">
          <cell r="E477" t="str">
            <v>SEKU6807919</v>
          </cell>
          <cell r="F477" t="str">
            <v>060582</v>
          </cell>
          <cell r="G477">
            <v>40</v>
          </cell>
          <cell r="H477" t="str">
            <v>HC</v>
          </cell>
          <cell r="I477" t="str">
            <v>40HC</v>
          </cell>
          <cell r="J477" t="str">
            <v>HPH</v>
          </cell>
          <cell r="K477">
            <v>31540</v>
          </cell>
          <cell r="L477">
            <v>31.54</v>
          </cell>
          <cell r="M477" t="str">
            <v>F</v>
          </cell>
          <cell r="P477" t="str">
            <v>HAC251017100</v>
          </cell>
          <cell r="Q477" t="str">
            <v>LD</v>
          </cell>
          <cell r="R477" t="str">
            <v>ND/</v>
          </cell>
          <cell r="S477" t="str">
            <v>01188</v>
          </cell>
          <cell r="T477" t="str">
            <v>VLXD</v>
          </cell>
        </row>
        <row r="478">
          <cell r="E478" t="str">
            <v>SELU4498546</v>
          </cell>
          <cell r="F478" t="str">
            <v>180486</v>
          </cell>
          <cell r="G478">
            <v>40</v>
          </cell>
          <cell r="H478" t="str">
            <v>HC</v>
          </cell>
          <cell r="I478" t="str">
            <v>40HC</v>
          </cell>
          <cell r="J478" t="str">
            <v>HPH</v>
          </cell>
          <cell r="K478">
            <v>14210</v>
          </cell>
          <cell r="L478">
            <v>14.21</v>
          </cell>
          <cell r="M478" t="str">
            <v>F</v>
          </cell>
          <cell r="P478" t="str">
            <v>HAC260521112</v>
          </cell>
          <cell r="Q478" t="str">
            <v>OK</v>
          </cell>
          <cell r="R478" t="str">
            <v>ND/</v>
          </cell>
          <cell r="S478" t="str">
            <v>1111123</v>
          </cell>
          <cell r="T478" t="str">
            <v>BEP GA</v>
          </cell>
        </row>
        <row r="479">
          <cell r="E479" t="str">
            <v>SELU4502883</v>
          </cell>
          <cell r="F479" t="str">
            <v>020182</v>
          </cell>
          <cell r="G479">
            <v>40</v>
          </cell>
          <cell r="H479" t="str">
            <v>HC</v>
          </cell>
          <cell r="I479" t="str">
            <v>40HC</v>
          </cell>
          <cell r="J479" t="str">
            <v>HPH</v>
          </cell>
          <cell r="K479">
            <v>30030</v>
          </cell>
          <cell r="L479">
            <v>30.03</v>
          </cell>
          <cell r="M479" t="str">
            <v>F</v>
          </cell>
          <cell r="P479" t="str">
            <v>HAC260521157</v>
          </cell>
          <cell r="Q479" t="str">
            <v>OK</v>
          </cell>
          <cell r="R479" t="str">
            <v>ND/</v>
          </cell>
          <cell r="S479" t="str">
            <v>1107184</v>
          </cell>
          <cell r="T479" t="str">
            <v>NGUYEN LIEU</v>
          </cell>
        </row>
        <row r="480">
          <cell r="E480" t="str">
            <v>SELU4503869</v>
          </cell>
          <cell r="F480" t="str">
            <v>180384</v>
          </cell>
          <cell r="G480">
            <v>40</v>
          </cell>
          <cell r="H480" t="str">
            <v>HC</v>
          </cell>
          <cell r="I480" t="str">
            <v>40HC</v>
          </cell>
          <cell r="J480" t="str">
            <v>HPH</v>
          </cell>
          <cell r="K480">
            <v>24480</v>
          </cell>
          <cell r="L480">
            <v>24.48</v>
          </cell>
          <cell r="M480" t="str">
            <v>F</v>
          </cell>
          <cell r="P480" t="str">
            <v>HAC260521157</v>
          </cell>
          <cell r="Q480" t="str">
            <v>OK</v>
          </cell>
          <cell r="R480" t="str">
            <v>ND/</v>
          </cell>
          <cell r="S480" t="str">
            <v>1111750</v>
          </cell>
          <cell r="T480" t="str">
            <v>VAI SOI</v>
          </cell>
        </row>
        <row r="481">
          <cell r="E481" t="str">
            <v>SELU4504206</v>
          </cell>
          <cell r="F481" t="str">
            <v>060184</v>
          </cell>
          <cell r="G481">
            <v>40</v>
          </cell>
          <cell r="H481" t="str">
            <v>HC</v>
          </cell>
          <cell r="I481" t="str">
            <v>40HC</v>
          </cell>
          <cell r="J481" t="str">
            <v>HPH</v>
          </cell>
          <cell r="K481">
            <v>20330</v>
          </cell>
          <cell r="L481">
            <v>20.329999999999998</v>
          </cell>
          <cell r="M481" t="str">
            <v>F</v>
          </cell>
          <cell r="P481" t="str">
            <v>HAC260522027</v>
          </cell>
          <cell r="Q481" t="str">
            <v>OK</v>
          </cell>
          <cell r="R481" t="str">
            <v>ND/</v>
          </cell>
          <cell r="S481" t="str">
            <v>1073989</v>
          </cell>
          <cell r="T481" t="str">
            <v>DIEN TU</v>
          </cell>
        </row>
        <row r="482">
          <cell r="E482" t="str">
            <v>SELU4505080</v>
          </cell>
          <cell r="F482" t="str">
            <v>100306</v>
          </cell>
          <cell r="G482">
            <v>40</v>
          </cell>
          <cell r="H482" t="str">
            <v>HC</v>
          </cell>
          <cell r="I482" t="str">
            <v>40HC</v>
          </cell>
          <cell r="J482" t="str">
            <v>HPH</v>
          </cell>
          <cell r="K482">
            <v>31190</v>
          </cell>
          <cell r="L482">
            <v>31.19</v>
          </cell>
          <cell r="M482" t="str">
            <v>F</v>
          </cell>
          <cell r="P482" t="str">
            <v>HAC260525072</v>
          </cell>
          <cell r="Q482" t="str">
            <v>OK</v>
          </cell>
          <cell r="R482" t="str">
            <v>ND/</v>
          </cell>
          <cell r="S482" t="str">
            <v>1106578</v>
          </cell>
          <cell r="T482" t="str">
            <v>GIAY</v>
          </cell>
        </row>
        <row r="483">
          <cell r="E483" t="str">
            <v>SELU4505603</v>
          </cell>
          <cell r="F483" t="str">
            <v>141086</v>
          </cell>
          <cell r="G483">
            <v>40</v>
          </cell>
          <cell r="H483" t="str">
            <v>HC</v>
          </cell>
          <cell r="I483" t="str">
            <v>40HC</v>
          </cell>
          <cell r="J483" t="str">
            <v>HPH</v>
          </cell>
          <cell r="K483">
            <v>11590</v>
          </cell>
          <cell r="L483">
            <v>11.59</v>
          </cell>
          <cell r="M483" t="str">
            <v>F</v>
          </cell>
          <cell r="P483" t="str">
            <v>HAC260523043</v>
          </cell>
          <cell r="Q483" t="str">
            <v>OK</v>
          </cell>
          <cell r="R483" t="str">
            <v>ND/</v>
          </cell>
          <cell r="S483" t="str">
            <v>1105790</v>
          </cell>
          <cell r="T483" t="str">
            <v>TA GIAY</v>
          </cell>
        </row>
        <row r="484">
          <cell r="E484" t="str">
            <v>SELU4505692</v>
          </cell>
          <cell r="F484" t="str">
            <v>100982</v>
          </cell>
          <cell r="G484">
            <v>40</v>
          </cell>
          <cell r="H484" t="str">
            <v>HC</v>
          </cell>
          <cell r="I484" t="str">
            <v>40HC</v>
          </cell>
          <cell r="J484" t="str">
            <v>HPH</v>
          </cell>
          <cell r="K484">
            <v>27110</v>
          </cell>
          <cell r="L484">
            <v>27.11</v>
          </cell>
          <cell r="M484" t="str">
            <v>F</v>
          </cell>
          <cell r="P484" t="str">
            <v>HAC260526005</v>
          </cell>
          <cell r="Q484" t="str">
            <v>OK</v>
          </cell>
          <cell r="R484" t="str">
            <v>ND/</v>
          </cell>
          <cell r="S484" t="str">
            <v>1115985</v>
          </cell>
          <cell r="T484" t="str">
            <v>BAO BI</v>
          </cell>
        </row>
        <row r="485">
          <cell r="E485" t="str">
            <v>SELU4506153</v>
          </cell>
          <cell r="F485" t="str">
            <v>100784</v>
          </cell>
          <cell r="G485">
            <v>40</v>
          </cell>
          <cell r="H485" t="str">
            <v>HC</v>
          </cell>
          <cell r="I485" t="str">
            <v>40HC</v>
          </cell>
          <cell r="J485" t="str">
            <v>HPH</v>
          </cell>
          <cell r="K485">
            <v>20130</v>
          </cell>
          <cell r="L485">
            <v>20.13</v>
          </cell>
          <cell r="M485" t="str">
            <v>F</v>
          </cell>
          <cell r="P485" t="str">
            <v>HAC251017100</v>
          </cell>
          <cell r="Q485" t="str">
            <v>OK</v>
          </cell>
          <cell r="R485" t="str">
            <v>ND/</v>
          </cell>
          <cell r="S485" t="str">
            <v>1114882</v>
          </cell>
          <cell r="T485" t="str">
            <v>K?O</v>
          </cell>
        </row>
        <row r="486">
          <cell r="E486" t="str">
            <v>SELU4506256</v>
          </cell>
          <cell r="F486" t="str">
            <v>100586</v>
          </cell>
          <cell r="G486">
            <v>40</v>
          </cell>
          <cell r="H486" t="str">
            <v>HC</v>
          </cell>
          <cell r="I486" t="str">
            <v>40HC</v>
          </cell>
          <cell r="J486" t="str">
            <v>HPH</v>
          </cell>
          <cell r="K486">
            <v>11360</v>
          </cell>
          <cell r="L486">
            <v>11.36</v>
          </cell>
          <cell r="M486" t="str">
            <v>F</v>
          </cell>
          <cell r="P486" t="str">
            <v>HAC260523043</v>
          </cell>
          <cell r="Q486" t="str">
            <v>OK</v>
          </cell>
          <cell r="R486" t="str">
            <v>ND/</v>
          </cell>
          <cell r="S486" t="str">
            <v>1106553</v>
          </cell>
          <cell r="T486" t="str">
            <v>TA GIAY</v>
          </cell>
        </row>
        <row r="487">
          <cell r="E487" t="str">
            <v>SELU4506317</v>
          </cell>
          <cell r="F487" t="str">
            <v>300384</v>
          </cell>
          <cell r="G487">
            <v>40</v>
          </cell>
          <cell r="H487" t="str">
            <v>HC</v>
          </cell>
          <cell r="I487" t="str">
            <v>40HC</v>
          </cell>
          <cell r="J487" t="str">
            <v>HPH</v>
          </cell>
          <cell r="K487">
            <v>11810</v>
          </cell>
          <cell r="L487">
            <v>11.81</v>
          </cell>
          <cell r="M487" t="str">
            <v>F</v>
          </cell>
          <cell r="P487" t="str">
            <v>HAC260519126</v>
          </cell>
          <cell r="Q487" t="str">
            <v>OK</v>
          </cell>
          <cell r="R487" t="str">
            <v>ND/</v>
          </cell>
          <cell r="S487" t="str">
            <v>1104934</v>
          </cell>
          <cell r="T487" t="str">
            <v>BANH KEO</v>
          </cell>
        </row>
        <row r="488">
          <cell r="E488" t="str">
            <v>SELU4506385</v>
          </cell>
          <cell r="F488" t="str">
            <v>260982</v>
          </cell>
          <cell r="G488">
            <v>40</v>
          </cell>
          <cell r="H488" t="str">
            <v>HC</v>
          </cell>
          <cell r="I488" t="str">
            <v>40HC</v>
          </cell>
          <cell r="J488" t="str">
            <v>HPH</v>
          </cell>
          <cell r="K488">
            <v>23310</v>
          </cell>
          <cell r="L488">
            <v>23.31</v>
          </cell>
          <cell r="M488" t="str">
            <v>F</v>
          </cell>
          <cell r="P488" t="str">
            <v>HAC260519123</v>
          </cell>
          <cell r="Q488" t="str">
            <v>OK</v>
          </cell>
          <cell r="R488" t="str">
            <v>ND/</v>
          </cell>
          <cell r="S488" t="str">
            <v>1118490</v>
          </cell>
          <cell r="T488" t="str">
            <v>THUC PHAM</v>
          </cell>
        </row>
        <row r="489">
          <cell r="E489" t="str">
            <v>SELU4506425</v>
          </cell>
          <cell r="F489" t="str">
            <v>020482</v>
          </cell>
          <cell r="G489">
            <v>40</v>
          </cell>
          <cell r="H489" t="str">
            <v>HC</v>
          </cell>
          <cell r="I489" t="str">
            <v>40HC</v>
          </cell>
          <cell r="J489" t="str">
            <v>HPH</v>
          </cell>
          <cell r="K489">
            <v>32010</v>
          </cell>
          <cell r="L489">
            <v>32.01</v>
          </cell>
          <cell r="M489" t="str">
            <v>F</v>
          </cell>
          <cell r="P489" t="str">
            <v>HAC260521157</v>
          </cell>
          <cell r="Q489" t="str">
            <v>OK</v>
          </cell>
          <cell r="R489" t="str">
            <v>ND/</v>
          </cell>
          <cell r="S489" t="str">
            <v>1109244</v>
          </cell>
          <cell r="T489" t="str">
            <v>NGUYEN LIEU</v>
          </cell>
        </row>
        <row r="490">
          <cell r="E490" t="str">
            <v>SELU4506472</v>
          </cell>
          <cell r="F490" t="str">
            <v>060684</v>
          </cell>
          <cell r="G490">
            <v>40</v>
          </cell>
          <cell r="H490" t="str">
            <v>HC</v>
          </cell>
          <cell r="I490" t="str">
            <v>40HC</v>
          </cell>
          <cell r="J490" t="str">
            <v>HPH</v>
          </cell>
          <cell r="K490">
            <v>15340</v>
          </cell>
          <cell r="L490">
            <v>15.34</v>
          </cell>
          <cell r="M490" t="str">
            <v>F</v>
          </cell>
          <cell r="P490" t="str">
            <v>HAC260525073</v>
          </cell>
          <cell r="Q490" t="str">
            <v>OK</v>
          </cell>
          <cell r="R490" t="str">
            <v>ND/</v>
          </cell>
          <cell r="S490" t="str">
            <v>01072</v>
          </cell>
          <cell r="T490" t="str">
            <v>ACCESSORIES</v>
          </cell>
        </row>
        <row r="491">
          <cell r="E491" t="str">
            <v>SELU4509342</v>
          </cell>
          <cell r="F491" t="str">
            <v>101086</v>
          </cell>
          <cell r="G491">
            <v>40</v>
          </cell>
          <cell r="H491" t="str">
            <v>HC</v>
          </cell>
          <cell r="I491" t="str">
            <v>40HC</v>
          </cell>
          <cell r="J491" t="str">
            <v>HPH</v>
          </cell>
          <cell r="K491">
            <v>9130</v>
          </cell>
          <cell r="L491">
            <v>9.1300000000000008</v>
          </cell>
          <cell r="M491" t="str">
            <v>F</v>
          </cell>
          <cell r="P491" t="str">
            <v>HAC251017100</v>
          </cell>
          <cell r="Q491" t="str">
            <v>OK</v>
          </cell>
          <cell r="R491" t="str">
            <v>ND/</v>
          </cell>
          <cell r="S491" t="str">
            <v>23164491</v>
          </cell>
          <cell r="T491" t="str">
            <v>BÁNH</v>
          </cell>
        </row>
        <row r="492">
          <cell r="E492" t="str">
            <v>SELU4552837</v>
          </cell>
          <cell r="F492" t="str">
            <v>180604</v>
          </cell>
          <cell r="G492">
            <v>40</v>
          </cell>
          <cell r="H492" t="str">
            <v>HC</v>
          </cell>
          <cell r="I492" t="str">
            <v>40HC</v>
          </cell>
          <cell r="J492" t="str">
            <v>HPH</v>
          </cell>
          <cell r="K492">
            <v>30640</v>
          </cell>
          <cell r="L492">
            <v>30.64</v>
          </cell>
          <cell r="M492" t="str">
            <v>F</v>
          </cell>
          <cell r="P492" t="str">
            <v>HAC260525072</v>
          </cell>
          <cell r="Q492" t="str">
            <v>OK</v>
          </cell>
          <cell r="R492" t="str">
            <v>ND/</v>
          </cell>
          <cell r="S492" t="str">
            <v>1113507</v>
          </cell>
          <cell r="T492" t="str">
            <v>GIAY</v>
          </cell>
        </row>
        <row r="493">
          <cell r="E493" t="str">
            <v>SELU4556128</v>
          </cell>
          <cell r="F493" t="str">
            <v>220782</v>
          </cell>
          <cell r="G493">
            <v>40</v>
          </cell>
          <cell r="H493" t="str">
            <v>HC</v>
          </cell>
          <cell r="I493" t="str">
            <v>40HC</v>
          </cell>
          <cell r="J493" t="str">
            <v>HPH</v>
          </cell>
          <cell r="K493">
            <v>30850</v>
          </cell>
          <cell r="L493">
            <v>30.85</v>
          </cell>
          <cell r="M493" t="str">
            <v>F</v>
          </cell>
          <cell r="P493" t="str">
            <v>HAC260527044</v>
          </cell>
          <cell r="Q493" t="str">
            <v>OK</v>
          </cell>
          <cell r="R493" t="str">
            <v>ND/</v>
          </cell>
          <cell r="S493" t="str">
            <v>23104730</v>
          </cell>
          <cell r="T493" t="str">
            <v>SUA</v>
          </cell>
        </row>
        <row r="494">
          <cell r="E494" t="str">
            <v>SELU4564530</v>
          </cell>
          <cell r="F494" t="str">
            <v>220286</v>
          </cell>
          <cell r="G494">
            <v>40</v>
          </cell>
          <cell r="H494" t="str">
            <v>HC</v>
          </cell>
          <cell r="I494" t="str">
            <v>40HC</v>
          </cell>
          <cell r="J494" t="str">
            <v>HPH</v>
          </cell>
          <cell r="K494">
            <v>8140</v>
          </cell>
          <cell r="L494">
            <v>8.14</v>
          </cell>
          <cell r="M494" t="str">
            <v>F</v>
          </cell>
          <cell r="P494" t="str">
            <v>HAC260523047</v>
          </cell>
          <cell r="Q494" t="str">
            <v>OK</v>
          </cell>
          <cell r="R494" t="str">
            <v>ND/</v>
          </cell>
          <cell r="S494" t="str">
            <v>000097</v>
          </cell>
          <cell r="T494" t="str">
            <v>NGK</v>
          </cell>
        </row>
        <row r="495">
          <cell r="E495" t="str">
            <v>SELU4569510</v>
          </cell>
          <cell r="F495" t="str">
            <v>260204</v>
          </cell>
          <cell r="G495">
            <v>40</v>
          </cell>
          <cell r="H495" t="str">
            <v>HC</v>
          </cell>
          <cell r="I495" t="str">
            <v>40HC</v>
          </cell>
          <cell r="J495" t="str">
            <v>HPH</v>
          </cell>
          <cell r="K495">
            <v>31260</v>
          </cell>
          <cell r="L495">
            <v>31.26</v>
          </cell>
          <cell r="M495" t="str">
            <v>F</v>
          </cell>
          <cell r="P495" t="str">
            <v>HAC251017100</v>
          </cell>
          <cell r="Q495" t="str">
            <v>OK</v>
          </cell>
          <cell r="R495" t="str">
            <v>ND/</v>
          </cell>
          <cell r="S495" t="str">
            <v>1109336</v>
          </cell>
          <cell r="T495" t="str">
            <v>BIA</v>
          </cell>
        </row>
        <row r="496">
          <cell r="E496" t="str">
            <v>SELU4572540</v>
          </cell>
          <cell r="F496" t="str">
            <v>260306</v>
          </cell>
          <cell r="G496">
            <v>40</v>
          </cell>
          <cell r="H496" t="str">
            <v>HC</v>
          </cell>
          <cell r="I496" t="str">
            <v>40HC</v>
          </cell>
          <cell r="J496" t="str">
            <v>HPH</v>
          </cell>
          <cell r="K496">
            <v>29580</v>
          </cell>
          <cell r="L496">
            <v>29.58</v>
          </cell>
          <cell r="M496" t="str">
            <v>F</v>
          </cell>
          <cell r="P496" t="str">
            <v>HAC260519075</v>
          </cell>
          <cell r="Q496" t="str">
            <v>OK</v>
          </cell>
          <cell r="R496" t="str">
            <v>ND/</v>
          </cell>
          <cell r="S496" t="str">
            <v>1046717</v>
          </cell>
          <cell r="T496" t="str">
            <v>THUC PHAM</v>
          </cell>
        </row>
        <row r="497">
          <cell r="E497" t="str">
            <v>SZLU9831965</v>
          </cell>
          <cell r="F497" t="str">
            <v>140282</v>
          </cell>
          <cell r="G497">
            <v>40</v>
          </cell>
          <cell r="H497" t="str">
            <v>RH</v>
          </cell>
          <cell r="I497" t="str">
            <v>40RH</v>
          </cell>
          <cell r="J497" t="str">
            <v>HPH</v>
          </cell>
          <cell r="K497">
            <v>33500</v>
          </cell>
          <cell r="L497">
            <v>33.5</v>
          </cell>
          <cell r="M497" t="str">
            <v>F</v>
          </cell>
          <cell r="N497" t="str">
            <v>-20C</v>
          </cell>
          <cell r="P497" t="str">
            <v>HAC260526166</v>
          </cell>
          <cell r="Q497" t="str">
            <v>OK</v>
          </cell>
          <cell r="R497" t="str">
            <v>ND/</v>
          </cell>
          <cell r="S497" t="str">
            <v>29616489</v>
          </cell>
          <cell r="T497" t="str">
            <v>CA</v>
          </cell>
        </row>
        <row r="498">
          <cell r="E498" t="str">
            <v>SZLU9843056</v>
          </cell>
          <cell r="F498" t="str">
            <v>140882</v>
          </cell>
          <cell r="G498">
            <v>40</v>
          </cell>
          <cell r="H498" t="str">
            <v>RH</v>
          </cell>
          <cell r="I498" t="str">
            <v>40RH</v>
          </cell>
          <cell r="J498" t="str">
            <v>HPH</v>
          </cell>
          <cell r="K498">
            <v>34010</v>
          </cell>
          <cell r="L498">
            <v>34.01</v>
          </cell>
          <cell r="M498" t="str">
            <v>F</v>
          </cell>
          <cell r="N498" t="str">
            <v>-18C</v>
          </cell>
          <cell r="P498" t="str">
            <v>HAC260519053</v>
          </cell>
          <cell r="Q498" t="str">
            <v>MM</v>
          </cell>
          <cell r="R498" t="str">
            <v>ND/</v>
          </cell>
          <cell r="S498" t="str">
            <v>640610</v>
          </cell>
          <cell r="T498" t="str">
            <v>CA</v>
          </cell>
        </row>
        <row r="499">
          <cell r="E499" t="str">
            <v>SZLU9858159</v>
          </cell>
          <cell r="F499" t="str">
            <v>180782</v>
          </cell>
          <cell r="G499">
            <v>40</v>
          </cell>
          <cell r="H499" t="str">
            <v>RH</v>
          </cell>
          <cell r="I499" t="str">
            <v>40RH</v>
          </cell>
          <cell r="J499" t="str">
            <v>HPH</v>
          </cell>
          <cell r="K499">
            <v>33700</v>
          </cell>
          <cell r="L499">
            <v>33.700000000000003</v>
          </cell>
          <cell r="M499" t="str">
            <v>F</v>
          </cell>
          <cell r="N499" t="str">
            <v>-18C</v>
          </cell>
          <cell r="P499" t="str">
            <v>HAC260519053</v>
          </cell>
          <cell r="Q499" t="str">
            <v>MM</v>
          </cell>
          <cell r="R499" t="str">
            <v>ND/</v>
          </cell>
          <cell r="S499" t="str">
            <v>25003909</v>
          </cell>
          <cell r="T499" t="str">
            <v>CA</v>
          </cell>
        </row>
        <row r="500">
          <cell r="E500" t="str">
            <v>TCKU6106562</v>
          </cell>
          <cell r="F500" t="str">
            <v>180108</v>
          </cell>
          <cell r="G500">
            <v>40</v>
          </cell>
          <cell r="H500" t="str">
            <v>HC</v>
          </cell>
          <cell r="I500" t="str">
            <v>40HC</v>
          </cell>
          <cell r="J500" t="str">
            <v>HPH</v>
          </cell>
          <cell r="K500">
            <v>31260</v>
          </cell>
          <cell r="L500">
            <v>31.26</v>
          </cell>
          <cell r="M500" t="str">
            <v>F</v>
          </cell>
          <cell r="P500" t="str">
            <v>HAC260520116</v>
          </cell>
          <cell r="Q500" t="str">
            <v>OK</v>
          </cell>
          <cell r="R500" t="str">
            <v>ND/</v>
          </cell>
          <cell r="S500" t="str">
            <v>1108132</v>
          </cell>
          <cell r="T500" t="str">
            <v>GIAY</v>
          </cell>
        </row>
        <row r="501">
          <cell r="E501" t="str">
            <v>TCLU1216800</v>
          </cell>
          <cell r="F501" t="str">
            <v>100182</v>
          </cell>
          <cell r="G501">
            <v>40</v>
          </cell>
          <cell r="H501" t="str">
            <v>RH</v>
          </cell>
          <cell r="I501" t="str">
            <v>40RH</v>
          </cell>
          <cell r="J501" t="str">
            <v>HPH</v>
          </cell>
          <cell r="K501">
            <v>32470</v>
          </cell>
          <cell r="L501">
            <v>32.47</v>
          </cell>
          <cell r="M501" t="str">
            <v>F</v>
          </cell>
          <cell r="N501" t="str">
            <v>-22C</v>
          </cell>
          <cell r="P501" t="str">
            <v>HAC260527149</v>
          </cell>
          <cell r="Q501" t="str">
            <v>ok</v>
          </cell>
          <cell r="R501" t="str">
            <v>ND/</v>
          </cell>
          <cell r="S501" t="str">
            <v>409654</v>
          </cell>
          <cell r="T501" t="str">
            <v>CA</v>
          </cell>
        </row>
        <row r="502">
          <cell r="E502" t="str">
            <v>TCLU1748356</v>
          </cell>
          <cell r="F502" t="str">
            <v>060482</v>
          </cell>
          <cell r="G502">
            <v>40</v>
          </cell>
          <cell r="H502" t="str">
            <v>HC</v>
          </cell>
          <cell r="I502" t="str">
            <v>40HC</v>
          </cell>
          <cell r="J502" t="str">
            <v>HPH</v>
          </cell>
          <cell r="K502">
            <v>30270</v>
          </cell>
          <cell r="L502">
            <v>30.27</v>
          </cell>
          <cell r="M502" t="str">
            <v>F</v>
          </cell>
          <cell r="O502">
            <v>3</v>
          </cell>
          <cell r="P502" t="str">
            <v>HAC260519148</v>
          </cell>
          <cell r="Q502" t="str">
            <v>DG</v>
          </cell>
          <cell r="R502" t="str">
            <v>ND/</v>
          </cell>
          <cell r="S502" t="str">
            <v>656191</v>
          </cell>
          <cell r="T502" t="str">
            <v>IPA</v>
          </cell>
        </row>
        <row r="503">
          <cell r="E503" t="str">
            <v>TCLU1753440</v>
          </cell>
          <cell r="F503" t="str">
            <v>140684</v>
          </cell>
          <cell r="G503">
            <v>40</v>
          </cell>
          <cell r="H503" t="str">
            <v>HC</v>
          </cell>
          <cell r="I503" t="str">
            <v>40HC</v>
          </cell>
          <cell r="J503" t="str">
            <v>HPH</v>
          </cell>
          <cell r="K503">
            <v>28750</v>
          </cell>
          <cell r="L503">
            <v>28.75</v>
          </cell>
          <cell r="M503" t="str">
            <v>F</v>
          </cell>
          <cell r="P503" t="str">
            <v>HAC251017100</v>
          </cell>
          <cell r="Q503" t="str">
            <v>OK</v>
          </cell>
          <cell r="R503" t="str">
            <v>ND/</v>
          </cell>
          <cell r="S503" t="str">
            <v>01120</v>
          </cell>
          <cell r="T503" t="str">
            <v>VLXD</v>
          </cell>
        </row>
        <row r="504">
          <cell r="E504" t="str">
            <v>TCLU5166435</v>
          </cell>
          <cell r="F504" t="str">
            <v>180804</v>
          </cell>
          <cell r="G504">
            <v>40</v>
          </cell>
          <cell r="H504" t="str">
            <v>HC</v>
          </cell>
          <cell r="I504" t="str">
            <v>40HC</v>
          </cell>
          <cell r="J504" t="str">
            <v>HPH</v>
          </cell>
          <cell r="K504">
            <v>31820</v>
          </cell>
          <cell r="L504">
            <v>31.82</v>
          </cell>
          <cell r="M504" t="str">
            <v>F</v>
          </cell>
          <cell r="P504" t="str">
            <v>HAC260520116</v>
          </cell>
          <cell r="Q504" t="str">
            <v>OK</v>
          </cell>
          <cell r="R504" t="str">
            <v>ND/</v>
          </cell>
          <cell r="S504" t="str">
            <v>01272</v>
          </cell>
          <cell r="T504" t="str">
            <v>NHUA</v>
          </cell>
        </row>
        <row r="505">
          <cell r="E505" t="str">
            <v>TCLU5188250</v>
          </cell>
          <cell r="F505" t="str">
            <v>060782</v>
          </cell>
          <cell r="G505">
            <v>40</v>
          </cell>
          <cell r="H505" t="str">
            <v>HC</v>
          </cell>
          <cell r="I505" t="str">
            <v>40HC</v>
          </cell>
          <cell r="J505" t="str">
            <v>HPH</v>
          </cell>
          <cell r="K505">
            <v>30740</v>
          </cell>
          <cell r="L505">
            <v>30.74</v>
          </cell>
          <cell r="M505" t="str">
            <v>F</v>
          </cell>
          <cell r="O505">
            <v>3</v>
          </cell>
          <cell r="P505" t="str">
            <v>HAC260519148</v>
          </cell>
          <cell r="Q505" t="str">
            <v>DG</v>
          </cell>
          <cell r="R505" t="str">
            <v>ND/</v>
          </cell>
          <cell r="S505" t="str">
            <v>656057</v>
          </cell>
          <cell r="T505" t="str">
            <v>MEK</v>
          </cell>
        </row>
        <row r="506">
          <cell r="E506" t="str">
            <v>TCLU5572970</v>
          </cell>
          <cell r="F506" t="str">
            <v>060106</v>
          </cell>
          <cell r="G506">
            <v>40</v>
          </cell>
          <cell r="H506" t="str">
            <v>HC</v>
          </cell>
          <cell r="I506" t="str">
            <v>40HC</v>
          </cell>
          <cell r="J506" t="str">
            <v>HPH</v>
          </cell>
          <cell r="K506">
            <v>30900</v>
          </cell>
          <cell r="L506">
            <v>30.9</v>
          </cell>
          <cell r="M506" t="str">
            <v>F</v>
          </cell>
          <cell r="P506" t="str">
            <v>HAC251017100</v>
          </cell>
          <cell r="Q506" t="str">
            <v>MM</v>
          </cell>
          <cell r="R506" t="str">
            <v>ND/</v>
          </cell>
          <cell r="S506" t="str">
            <v>1109304</v>
          </cell>
          <cell r="T506" t="str">
            <v>VLXD</v>
          </cell>
        </row>
        <row r="507">
          <cell r="E507" t="str">
            <v>TCLU6604032</v>
          </cell>
          <cell r="F507" t="str">
            <v>140986</v>
          </cell>
          <cell r="G507">
            <v>40</v>
          </cell>
          <cell r="H507" t="str">
            <v>HC</v>
          </cell>
          <cell r="I507" t="str">
            <v>40HC</v>
          </cell>
          <cell r="J507" t="str">
            <v>HPH</v>
          </cell>
          <cell r="K507">
            <v>5310</v>
          </cell>
          <cell r="L507">
            <v>5.31</v>
          </cell>
          <cell r="M507" t="str">
            <v>F</v>
          </cell>
          <cell r="P507" t="str">
            <v>HAC251017100</v>
          </cell>
          <cell r="Q507" t="str">
            <v>OK</v>
          </cell>
          <cell r="R507" t="str">
            <v>ND/</v>
          </cell>
          <cell r="S507" t="str">
            <v>1113182</v>
          </cell>
          <cell r="T507" t="str">
            <v>V? LON</v>
          </cell>
        </row>
        <row r="508">
          <cell r="E508" t="str">
            <v>TCLU7838312</v>
          </cell>
          <cell r="F508" t="str">
            <v>060484</v>
          </cell>
          <cell r="G508">
            <v>40</v>
          </cell>
          <cell r="H508" t="str">
            <v>HC</v>
          </cell>
          <cell r="I508" t="str">
            <v>40HC</v>
          </cell>
          <cell r="J508" t="str">
            <v>HPH</v>
          </cell>
          <cell r="K508">
            <v>22560</v>
          </cell>
          <cell r="L508">
            <v>22.56</v>
          </cell>
          <cell r="M508" t="str">
            <v>F</v>
          </cell>
          <cell r="P508" t="str">
            <v>HAC260520099</v>
          </cell>
          <cell r="Q508" t="str">
            <v>OK</v>
          </cell>
          <cell r="R508" t="str">
            <v>ND/</v>
          </cell>
          <cell r="S508" t="str">
            <v>VS369944</v>
          </cell>
          <cell r="T508" t="str">
            <v>GENERAL CARGO</v>
          </cell>
        </row>
        <row r="509">
          <cell r="E509" t="str">
            <v>TCLU7909519</v>
          </cell>
          <cell r="F509" t="str">
            <v>140886</v>
          </cell>
          <cell r="G509">
            <v>40</v>
          </cell>
          <cell r="H509" t="str">
            <v>HC</v>
          </cell>
          <cell r="I509" t="str">
            <v>40HC</v>
          </cell>
          <cell r="J509" t="str">
            <v>HPH</v>
          </cell>
          <cell r="K509">
            <v>7420</v>
          </cell>
          <cell r="L509">
            <v>7.42</v>
          </cell>
          <cell r="M509" t="str">
            <v>F</v>
          </cell>
          <cell r="P509" t="str">
            <v>HAC260519148</v>
          </cell>
          <cell r="Q509" t="str">
            <v>OK</v>
          </cell>
          <cell r="R509" t="str">
            <v>ND/</v>
          </cell>
          <cell r="S509" t="str">
            <v>656233</v>
          </cell>
          <cell r="T509" t="str">
            <v>KHUNG
  NHOM</v>
          </cell>
        </row>
        <row r="510">
          <cell r="E510" t="str">
            <v>TCLU8748506</v>
          </cell>
          <cell r="F510" t="str">
            <v>260284</v>
          </cell>
          <cell r="G510">
            <v>40</v>
          </cell>
          <cell r="H510" t="str">
            <v>HC</v>
          </cell>
          <cell r="I510" t="str">
            <v>40HC</v>
          </cell>
          <cell r="J510" t="str">
            <v>HPH</v>
          </cell>
          <cell r="K510">
            <v>13710</v>
          </cell>
          <cell r="L510">
            <v>13.71</v>
          </cell>
          <cell r="M510" t="str">
            <v>F</v>
          </cell>
          <cell r="P510" t="str">
            <v>HAC251017100</v>
          </cell>
          <cell r="Q510" t="str">
            <v>OK</v>
          </cell>
          <cell r="R510" t="str">
            <v>ND/</v>
          </cell>
          <cell r="S510" t="str">
            <v>1111747</v>
          </cell>
          <cell r="T510" t="str">
            <v>BÁNH</v>
          </cell>
        </row>
        <row r="511">
          <cell r="E511" t="str">
            <v>TCNU2041792</v>
          </cell>
          <cell r="F511" t="str">
            <v>100208</v>
          </cell>
          <cell r="G511">
            <v>40</v>
          </cell>
          <cell r="H511" t="str">
            <v>HC</v>
          </cell>
          <cell r="I511" t="str">
            <v>40HC</v>
          </cell>
          <cell r="J511" t="str">
            <v>HPH</v>
          </cell>
          <cell r="K511">
            <v>29430</v>
          </cell>
          <cell r="L511">
            <v>29.43</v>
          </cell>
          <cell r="M511" t="str">
            <v>F</v>
          </cell>
          <cell r="P511" t="str">
            <v>HAC251017100</v>
          </cell>
          <cell r="Q511" t="str">
            <v>OK</v>
          </cell>
          <cell r="R511" t="str">
            <v>ND/</v>
          </cell>
          <cell r="S511" t="str">
            <v>23369230</v>
          </cell>
          <cell r="T511" t="str">
            <v>VLXD</v>
          </cell>
        </row>
        <row r="512">
          <cell r="E512" t="str">
            <v>TCNU4713664</v>
          </cell>
          <cell r="F512" t="str">
            <v>180808</v>
          </cell>
          <cell r="G512">
            <v>40</v>
          </cell>
          <cell r="H512" t="str">
            <v>HC</v>
          </cell>
          <cell r="I512" t="str">
            <v>40HC</v>
          </cell>
          <cell r="J512" t="str">
            <v>HPH</v>
          </cell>
          <cell r="K512">
            <v>28810</v>
          </cell>
          <cell r="L512">
            <v>28.81</v>
          </cell>
          <cell r="M512" t="str">
            <v>F</v>
          </cell>
          <cell r="P512" t="str">
            <v>HAC260526057</v>
          </cell>
          <cell r="Q512" t="str">
            <v>OK</v>
          </cell>
          <cell r="R512" t="str">
            <v>ND/</v>
          </cell>
          <cell r="S512" t="str">
            <v>01088</v>
          </cell>
          <cell r="T512" t="str">
            <v>DAY DONG</v>
          </cell>
        </row>
        <row r="513">
          <cell r="E513" t="str">
            <v>TCNU5127170</v>
          </cell>
          <cell r="F513" t="str">
            <v>180202</v>
          </cell>
          <cell r="G513">
            <v>40</v>
          </cell>
          <cell r="H513" t="str">
            <v>HC</v>
          </cell>
          <cell r="I513" t="str">
            <v>40HC</v>
          </cell>
          <cell r="J513" t="str">
            <v>HPH</v>
          </cell>
          <cell r="K513">
            <v>32310</v>
          </cell>
          <cell r="L513">
            <v>32.31</v>
          </cell>
          <cell r="M513" t="str">
            <v>F</v>
          </cell>
          <cell r="P513" t="str">
            <v>HAC251017100</v>
          </cell>
          <cell r="Q513" t="str">
            <v>OK</v>
          </cell>
          <cell r="R513" t="str">
            <v>ND/</v>
          </cell>
          <cell r="S513" t="str">
            <v>000215</v>
          </cell>
          <cell r="T513" t="str">
            <v>VLXD</v>
          </cell>
        </row>
        <row r="514">
          <cell r="E514" t="str">
            <v>TCNU5216024</v>
          </cell>
          <cell r="F514" t="str">
            <v>100302</v>
          </cell>
          <cell r="G514">
            <v>40</v>
          </cell>
          <cell r="H514" t="str">
            <v>HC</v>
          </cell>
          <cell r="I514" t="str">
            <v>40HC</v>
          </cell>
          <cell r="J514" t="str">
            <v>HPH</v>
          </cell>
          <cell r="K514">
            <v>32500</v>
          </cell>
          <cell r="L514">
            <v>32.5</v>
          </cell>
          <cell r="M514" t="str">
            <v>F</v>
          </cell>
          <cell r="P514" t="str">
            <v>HAC260526123</v>
          </cell>
          <cell r="Q514" t="str">
            <v>OK</v>
          </cell>
          <cell r="R514" t="str">
            <v>ND/</v>
          </cell>
          <cell r="S514" t="str">
            <v>003069</v>
          </cell>
          <cell r="T514" t="str">
            <v>NHUA</v>
          </cell>
        </row>
        <row r="515">
          <cell r="E515" t="str">
            <v>TCNU6046508</v>
          </cell>
          <cell r="F515" t="str">
            <v>260584</v>
          </cell>
          <cell r="G515">
            <v>40</v>
          </cell>
          <cell r="H515" t="str">
            <v>HC</v>
          </cell>
          <cell r="I515" t="str">
            <v>40HC</v>
          </cell>
          <cell r="J515" t="str">
            <v>HPH</v>
          </cell>
          <cell r="K515">
            <v>18470</v>
          </cell>
          <cell r="L515">
            <v>18.47</v>
          </cell>
          <cell r="M515" t="str">
            <v>F</v>
          </cell>
          <cell r="P515" t="str">
            <v>HAC260526018</v>
          </cell>
          <cell r="Q515" t="str">
            <v>OK</v>
          </cell>
          <cell r="R515" t="str">
            <v>ND/</v>
          </cell>
          <cell r="S515" t="str">
            <v>1104914</v>
          </cell>
          <cell r="T515" t="str">
            <v>THIET BI VE SINH</v>
          </cell>
        </row>
        <row r="516">
          <cell r="E516" t="str">
            <v>TCNU6060105</v>
          </cell>
          <cell r="F516" t="str">
            <v>100584</v>
          </cell>
          <cell r="G516">
            <v>40</v>
          </cell>
          <cell r="H516" t="str">
            <v>HC</v>
          </cell>
          <cell r="I516" t="str">
            <v>40HC</v>
          </cell>
          <cell r="J516" t="str">
            <v>HPH</v>
          </cell>
          <cell r="K516">
            <v>18820</v>
          </cell>
          <cell r="L516">
            <v>18.82</v>
          </cell>
          <cell r="M516" t="str">
            <v>F</v>
          </cell>
          <cell r="P516" t="str">
            <v>HAC260522003</v>
          </cell>
          <cell r="Q516" t="str">
            <v>OK</v>
          </cell>
          <cell r="R516" t="str">
            <v>ND/</v>
          </cell>
          <cell r="S516" t="str">
            <v>1117811</v>
          </cell>
          <cell r="T516" t="str">
            <v>VAI MUNG</v>
          </cell>
        </row>
        <row r="517">
          <cell r="E517" t="str">
            <v>TCNU6063552</v>
          </cell>
          <cell r="F517" t="str">
            <v>060682</v>
          </cell>
          <cell r="G517">
            <v>40</v>
          </cell>
          <cell r="H517" t="str">
            <v>HC</v>
          </cell>
          <cell r="I517" t="str">
            <v>40HC</v>
          </cell>
          <cell r="J517" t="str">
            <v>HPH</v>
          </cell>
          <cell r="K517">
            <v>31060</v>
          </cell>
          <cell r="L517">
            <v>31.06</v>
          </cell>
          <cell r="M517" t="str">
            <v>F</v>
          </cell>
          <cell r="O517">
            <v>3</v>
          </cell>
          <cell r="P517" t="str">
            <v>HAC260519148</v>
          </cell>
          <cell r="Q517" t="str">
            <v>DG</v>
          </cell>
          <cell r="R517" t="str">
            <v>ND/</v>
          </cell>
          <cell r="S517" t="str">
            <v>656235</v>
          </cell>
          <cell r="T517" t="str">
            <v>BUTYL ACETATE</v>
          </cell>
        </row>
        <row r="518">
          <cell r="E518" t="str">
            <v>TCNU6067624</v>
          </cell>
          <cell r="F518" t="str">
            <v>220186</v>
          </cell>
          <cell r="G518">
            <v>40</v>
          </cell>
          <cell r="H518" t="str">
            <v>HC</v>
          </cell>
          <cell r="I518" t="str">
            <v>40HC</v>
          </cell>
          <cell r="J518" t="str">
            <v>HPH</v>
          </cell>
          <cell r="K518">
            <v>7600</v>
          </cell>
          <cell r="L518">
            <v>7.6</v>
          </cell>
          <cell r="M518" t="str">
            <v>F</v>
          </cell>
          <cell r="P518" t="str">
            <v>HAC251017100</v>
          </cell>
          <cell r="Q518" t="str">
            <v>MM</v>
          </cell>
          <cell r="R518" t="str">
            <v>ND/</v>
          </cell>
          <cell r="S518" t="str">
            <v>024773</v>
          </cell>
          <cell r="T518" t="str">
            <v>V? LON</v>
          </cell>
        </row>
        <row r="519">
          <cell r="E519" t="str">
            <v>TCNU6072277</v>
          </cell>
          <cell r="F519" t="str">
            <v>220402</v>
          </cell>
          <cell r="G519">
            <v>40</v>
          </cell>
          <cell r="H519" t="str">
            <v>HC</v>
          </cell>
          <cell r="I519" t="str">
            <v>40HC</v>
          </cell>
          <cell r="J519" t="str">
            <v>HPH</v>
          </cell>
          <cell r="K519">
            <v>31720</v>
          </cell>
          <cell r="L519">
            <v>31.72</v>
          </cell>
          <cell r="M519" t="str">
            <v>F</v>
          </cell>
          <cell r="P519" t="str">
            <v>HAC260525015</v>
          </cell>
          <cell r="Q519" t="str">
            <v>MM</v>
          </cell>
          <cell r="R519" t="str">
            <v>ND/</v>
          </cell>
          <cell r="S519" t="str">
            <v>1115921</v>
          </cell>
          <cell r="T519" t="str">
            <v>SIKA CHAT CHONG THAM</v>
          </cell>
        </row>
        <row r="520">
          <cell r="E520" t="str">
            <v>TCNU6244000</v>
          </cell>
          <cell r="F520" t="str">
            <v>220404</v>
          </cell>
          <cell r="G520">
            <v>40</v>
          </cell>
          <cell r="H520" t="str">
            <v>HC</v>
          </cell>
          <cell r="I520" t="str">
            <v>40HC</v>
          </cell>
          <cell r="J520" t="str">
            <v>HPH</v>
          </cell>
          <cell r="K520">
            <v>31520</v>
          </cell>
          <cell r="L520">
            <v>31.52</v>
          </cell>
          <cell r="M520" t="str">
            <v>F</v>
          </cell>
          <cell r="P520" t="str">
            <v>HAC260519086</v>
          </cell>
          <cell r="Q520" t="str">
            <v>OK</v>
          </cell>
          <cell r="R520" t="str">
            <v>ND/</v>
          </cell>
          <cell r="S520" t="str">
            <v>026030</v>
          </cell>
          <cell r="T520" t="str">
            <v>CAM</v>
          </cell>
        </row>
        <row r="521">
          <cell r="E521" t="str">
            <v>TCNU6322761</v>
          </cell>
          <cell r="F521" t="str">
            <v>260608</v>
          </cell>
          <cell r="G521">
            <v>40</v>
          </cell>
          <cell r="H521" t="str">
            <v>HC</v>
          </cell>
          <cell r="I521" t="str">
            <v>40HC</v>
          </cell>
          <cell r="J521" t="str">
            <v>HPH</v>
          </cell>
          <cell r="K521">
            <v>30540</v>
          </cell>
          <cell r="L521">
            <v>30.54</v>
          </cell>
          <cell r="M521" t="str">
            <v>F</v>
          </cell>
          <cell r="P521" t="str">
            <v>HAC251017100</v>
          </cell>
          <cell r="Q521" t="str">
            <v>OK</v>
          </cell>
          <cell r="R521" t="str">
            <v>ND/</v>
          </cell>
          <cell r="S521" t="str">
            <v>000539</v>
          </cell>
          <cell r="T521" t="str">
            <v>VLXD</v>
          </cell>
        </row>
        <row r="522">
          <cell r="E522" t="str">
            <v>TCNU6795363</v>
          </cell>
          <cell r="F522" t="str">
            <v>100304</v>
          </cell>
          <cell r="G522">
            <v>40</v>
          </cell>
          <cell r="H522" t="str">
            <v>HC</v>
          </cell>
          <cell r="I522" t="str">
            <v>40HC</v>
          </cell>
          <cell r="J522" t="str">
            <v>HPH</v>
          </cell>
          <cell r="K522">
            <v>30370</v>
          </cell>
          <cell r="L522">
            <v>30.37</v>
          </cell>
          <cell r="M522" t="str">
            <v>F</v>
          </cell>
          <cell r="P522" t="str">
            <v>HAC251017100</v>
          </cell>
          <cell r="Q522" t="str">
            <v>OK</v>
          </cell>
          <cell r="R522" t="str">
            <v>ND/</v>
          </cell>
          <cell r="S522" t="str">
            <v>659068</v>
          </cell>
          <cell r="T522" t="str">
            <v>VLXD</v>
          </cell>
        </row>
        <row r="523">
          <cell r="E523" t="str">
            <v>TCNU7290400</v>
          </cell>
          <cell r="F523" t="str">
            <v>100284</v>
          </cell>
          <cell r="G523">
            <v>40</v>
          </cell>
          <cell r="H523" t="str">
            <v>HC</v>
          </cell>
          <cell r="I523" t="str">
            <v>40HC</v>
          </cell>
          <cell r="J523" t="str">
            <v>HPH</v>
          </cell>
          <cell r="K523">
            <v>25880</v>
          </cell>
          <cell r="L523">
            <v>25.88</v>
          </cell>
          <cell r="M523" t="str">
            <v>F</v>
          </cell>
          <cell r="P523" t="str">
            <v>HAC260521112</v>
          </cell>
          <cell r="Q523" t="str">
            <v>OK</v>
          </cell>
          <cell r="R523" t="str">
            <v>ND/</v>
          </cell>
          <cell r="S523" t="str">
            <v>47130</v>
          </cell>
          <cell r="T523" t="str">
            <v>NOI THAT</v>
          </cell>
        </row>
        <row r="524">
          <cell r="E524" t="str">
            <v>TCNU7820394</v>
          </cell>
          <cell r="F524" t="str">
            <v>140604</v>
          </cell>
          <cell r="G524">
            <v>40</v>
          </cell>
          <cell r="H524" t="str">
            <v>HC</v>
          </cell>
          <cell r="I524" t="str">
            <v>40HC</v>
          </cell>
          <cell r="J524" t="str">
            <v>HPH</v>
          </cell>
          <cell r="K524">
            <v>30620</v>
          </cell>
          <cell r="L524">
            <v>30.62</v>
          </cell>
          <cell r="M524" t="str">
            <v>F</v>
          </cell>
          <cell r="P524" t="str">
            <v>HAC260526180</v>
          </cell>
          <cell r="Q524" t="str">
            <v>OK</v>
          </cell>
          <cell r="R524" t="str">
            <v>ND/</v>
          </cell>
          <cell r="S524" t="str">
            <v>1113800</v>
          </cell>
        </row>
        <row r="525">
          <cell r="E525" t="str">
            <v>TCNU8180141</v>
          </cell>
          <cell r="F525" t="str">
            <v>180308</v>
          </cell>
          <cell r="G525">
            <v>40</v>
          </cell>
          <cell r="H525" t="str">
            <v>HC</v>
          </cell>
          <cell r="I525" t="str">
            <v>40HC</v>
          </cell>
          <cell r="J525" t="str">
            <v>HPH</v>
          </cell>
          <cell r="K525">
            <v>28080</v>
          </cell>
          <cell r="L525">
            <v>28.08</v>
          </cell>
          <cell r="M525" t="str">
            <v>F</v>
          </cell>
          <cell r="P525" t="str">
            <v>HAC260520099</v>
          </cell>
          <cell r="Q525" t="str">
            <v>OK</v>
          </cell>
          <cell r="R525" t="str">
            <v>ND/</v>
          </cell>
          <cell r="S525" t="str">
            <v>VS369950</v>
          </cell>
          <cell r="T525" t="str">
            <v>GENERAL CARGO</v>
          </cell>
        </row>
        <row r="526">
          <cell r="E526" t="str">
            <v>TCNU8788595</v>
          </cell>
          <cell r="F526" t="str">
            <v>140484</v>
          </cell>
          <cell r="G526">
            <v>40</v>
          </cell>
          <cell r="H526" t="str">
            <v>HC</v>
          </cell>
          <cell r="I526" t="str">
            <v>40HC</v>
          </cell>
          <cell r="J526" t="str">
            <v>HPH</v>
          </cell>
          <cell r="K526">
            <v>31310</v>
          </cell>
          <cell r="L526">
            <v>31.31</v>
          </cell>
          <cell r="M526" t="str">
            <v>F</v>
          </cell>
          <cell r="P526" t="str">
            <v>HAC251017100</v>
          </cell>
          <cell r="Q526" t="str">
            <v>OK</v>
          </cell>
          <cell r="R526" t="str">
            <v>ND/</v>
          </cell>
          <cell r="S526" t="str">
            <v>1109339</v>
          </cell>
          <cell r="T526" t="str">
            <v>VLXD</v>
          </cell>
        </row>
        <row r="527">
          <cell r="E527" t="str">
            <v>TCNU9888979</v>
          </cell>
          <cell r="F527" t="str">
            <v>260206</v>
          </cell>
          <cell r="G527">
            <v>40</v>
          </cell>
          <cell r="H527" t="str">
            <v>HC</v>
          </cell>
          <cell r="I527" t="str">
            <v>40HC</v>
          </cell>
          <cell r="J527" t="str">
            <v>HPH</v>
          </cell>
          <cell r="K527">
            <v>29800</v>
          </cell>
          <cell r="L527">
            <v>29.8</v>
          </cell>
          <cell r="M527" t="str">
            <v>F</v>
          </cell>
          <cell r="P527" t="str">
            <v>HAC260521157</v>
          </cell>
          <cell r="Q527" t="str">
            <v>OK</v>
          </cell>
          <cell r="R527" t="str">
            <v>ND/</v>
          </cell>
          <cell r="S527" t="str">
            <v>1107137</v>
          </cell>
          <cell r="T527" t="str">
            <v>HAT NHUA</v>
          </cell>
        </row>
        <row r="528">
          <cell r="E528" t="str">
            <v>TDRU7167706</v>
          </cell>
          <cell r="F528" t="str">
            <v>180182</v>
          </cell>
          <cell r="G528">
            <v>40</v>
          </cell>
          <cell r="H528" t="str">
            <v>RH</v>
          </cell>
          <cell r="I528" t="str">
            <v>40RH</v>
          </cell>
          <cell r="J528" t="str">
            <v>HPH</v>
          </cell>
          <cell r="K528">
            <v>33660</v>
          </cell>
          <cell r="L528">
            <v>33.659999999999997</v>
          </cell>
          <cell r="M528" t="str">
            <v>F</v>
          </cell>
          <cell r="N528" t="str">
            <v>-18C</v>
          </cell>
          <cell r="P528" t="str">
            <v>HAC260519090</v>
          </cell>
          <cell r="Q528" t="str">
            <v>MM</v>
          </cell>
          <cell r="R528" t="str">
            <v>ND/</v>
          </cell>
          <cell r="S528" t="str">
            <v>00303</v>
          </cell>
          <cell r="T528" t="str">
            <v>CA</v>
          </cell>
        </row>
        <row r="529">
          <cell r="E529" t="str">
            <v>TRIU8660282</v>
          </cell>
          <cell r="F529" t="str">
            <v>100482</v>
          </cell>
          <cell r="G529">
            <v>40</v>
          </cell>
          <cell r="H529" t="str">
            <v>RH</v>
          </cell>
          <cell r="I529" t="str">
            <v>40RH</v>
          </cell>
          <cell r="J529" t="str">
            <v>HPH</v>
          </cell>
          <cell r="K529">
            <v>33250</v>
          </cell>
          <cell r="L529">
            <v>33.25</v>
          </cell>
          <cell r="M529" t="str">
            <v>F</v>
          </cell>
          <cell r="N529" t="str">
            <v>-18C</v>
          </cell>
          <cell r="P529" t="str">
            <v>HAC260526173</v>
          </cell>
          <cell r="Q529" t="str">
            <v>OK</v>
          </cell>
          <cell r="R529" t="str">
            <v>ND/</v>
          </cell>
          <cell r="S529" t="str">
            <v>10078</v>
          </cell>
          <cell r="T529" t="str">
            <v>CA</v>
          </cell>
        </row>
        <row r="530">
          <cell r="E530" t="str">
            <v>TRIU8661186</v>
          </cell>
          <cell r="F530" t="str">
            <v>300282</v>
          </cell>
          <cell r="G530">
            <v>40</v>
          </cell>
          <cell r="H530" t="str">
            <v>RH</v>
          </cell>
          <cell r="I530" t="str">
            <v>40RH</v>
          </cell>
          <cell r="J530" t="str">
            <v>HPH</v>
          </cell>
          <cell r="K530">
            <v>33840</v>
          </cell>
          <cell r="L530">
            <v>33.840000000000003</v>
          </cell>
          <cell r="M530" t="str">
            <v>F</v>
          </cell>
          <cell r="N530" t="str">
            <v>-18C</v>
          </cell>
          <cell r="P530" t="str">
            <v>HAC260526173</v>
          </cell>
          <cell r="Q530" t="str">
            <v>OK</v>
          </cell>
          <cell r="R530" t="str">
            <v>ND/</v>
          </cell>
          <cell r="S530" t="str">
            <v>10287</v>
          </cell>
          <cell r="T530" t="str">
            <v>THUY SAN</v>
          </cell>
        </row>
        <row r="531">
          <cell r="E531" t="str">
            <v>TTNU8342625</v>
          </cell>
          <cell r="F531" t="str">
            <v>140682</v>
          </cell>
          <cell r="G531">
            <v>40</v>
          </cell>
          <cell r="H531" t="str">
            <v>RH</v>
          </cell>
          <cell r="I531" t="str">
            <v>40RH</v>
          </cell>
          <cell r="J531" t="str">
            <v>HPH</v>
          </cell>
          <cell r="K531">
            <v>32320</v>
          </cell>
          <cell r="L531">
            <v>32.32</v>
          </cell>
          <cell r="M531" t="str">
            <v>F</v>
          </cell>
          <cell r="N531" t="str">
            <v>-18C</v>
          </cell>
          <cell r="P531" t="str">
            <v>HAC260519098</v>
          </cell>
          <cell r="Q531" t="str">
            <v>OK</v>
          </cell>
          <cell r="R531" t="str">
            <v>ND/</v>
          </cell>
          <cell r="S531" t="str">
            <v>10776</v>
          </cell>
          <cell r="T531" t="str">
            <v>CA</v>
          </cell>
        </row>
        <row r="532">
          <cell r="E532" t="str">
            <v>TTNU8400341</v>
          </cell>
          <cell r="F532" t="str">
            <v>300382</v>
          </cell>
          <cell r="G532">
            <v>40</v>
          </cell>
          <cell r="H532" t="str">
            <v>RH</v>
          </cell>
          <cell r="I532" t="str">
            <v>40RH</v>
          </cell>
          <cell r="J532" t="str">
            <v>HPH</v>
          </cell>
          <cell r="K532">
            <v>34100</v>
          </cell>
          <cell r="L532">
            <v>34.1</v>
          </cell>
          <cell r="M532" t="str">
            <v>F</v>
          </cell>
          <cell r="N532" t="str">
            <v>-18C</v>
          </cell>
          <cell r="P532" t="str">
            <v>HAC260526173</v>
          </cell>
          <cell r="Q532" t="str">
            <v>OK</v>
          </cell>
          <cell r="R532" t="str">
            <v>ND/</v>
          </cell>
          <cell r="S532" t="str">
            <v>10798</v>
          </cell>
          <cell r="T532" t="str">
            <v>THUY SAN</v>
          </cell>
        </row>
        <row r="533">
          <cell r="E533" t="str">
            <v>TTNU8414540</v>
          </cell>
          <cell r="F533" t="str">
            <v>140482</v>
          </cell>
          <cell r="G533">
            <v>40</v>
          </cell>
          <cell r="H533" t="str">
            <v>RH</v>
          </cell>
          <cell r="I533" t="str">
            <v>40RH</v>
          </cell>
          <cell r="J533" t="str">
            <v>HPH</v>
          </cell>
          <cell r="K533">
            <v>33500</v>
          </cell>
          <cell r="L533">
            <v>33.5</v>
          </cell>
          <cell r="M533" t="str">
            <v>F</v>
          </cell>
          <cell r="N533" t="str">
            <v>-18C</v>
          </cell>
          <cell r="P533" t="str">
            <v>HAC260526173</v>
          </cell>
          <cell r="Q533" t="str">
            <v>MM</v>
          </cell>
          <cell r="R533" t="str">
            <v>ND/</v>
          </cell>
          <cell r="S533" t="str">
            <v>0052</v>
          </cell>
          <cell r="T533" t="str">
            <v>CA</v>
          </cell>
        </row>
        <row r="534">
          <cell r="E534" t="str">
            <v>KKFU6701433</v>
          </cell>
          <cell r="F534" t="str">
            <v>300284</v>
          </cell>
          <cell r="G534">
            <v>45</v>
          </cell>
          <cell r="H534" t="str">
            <v>RH</v>
          </cell>
          <cell r="I534" t="str">
            <v>45RH</v>
          </cell>
          <cell r="J534" t="str">
            <v>HPH</v>
          </cell>
          <cell r="K534">
            <v>34730</v>
          </cell>
          <cell r="L534">
            <v>34.729999999999997</v>
          </cell>
          <cell r="M534" t="str">
            <v>F</v>
          </cell>
          <cell r="N534" t="str">
            <v>-18C</v>
          </cell>
          <cell r="P534" t="str">
            <v>HAC260525111</v>
          </cell>
          <cell r="Q534" t="str">
            <v>OK</v>
          </cell>
          <cell r="R534" t="str">
            <v>ND/</v>
          </cell>
          <cell r="S534" t="str">
            <v>2601463</v>
          </cell>
          <cell r="T534" t="str">
            <v>CA</v>
          </cell>
        </row>
        <row r="535">
          <cell r="E535" t="str">
            <v>NNPU6576814</v>
          </cell>
          <cell r="F535" t="str">
            <v>300484</v>
          </cell>
          <cell r="G535">
            <v>53</v>
          </cell>
          <cell r="H535" t="str">
            <v>RH</v>
          </cell>
          <cell r="I535" t="str">
            <v>53RH</v>
          </cell>
          <cell r="J535" t="str">
            <v>HPH</v>
          </cell>
          <cell r="K535">
            <v>31910</v>
          </cell>
          <cell r="L535">
            <v>31.91</v>
          </cell>
          <cell r="M535" t="str">
            <v>F</v>
          </cell>
          <cell r="N535" t="str">
            <v>-20C</v>
          </cell>
          <cell r="P535" t="str">
            <v>HAC260521043</v>
          </cell>
          <cell r="Q535" t="str">
            <v>ok</v>
          </cell>
          <cell r="R535" t="str">
            <v>ND/</v>
          </cell>
          <cell r="S535" t="str">
            <v>466904</v>
          </cell>
          <cell r="T535" t="str">
            <v>CA</v>
          </cell>
        </row>
        <row r="536">
          <cell r="E536" t="str">
            <v>TDRU7937664</v>
          </cell>
          <cell r="F536" t="str">
            <v>300184</v>
          </cell>
          <cell r="G536">
            <v>53</v>
          </cell>
          <cell r="H536" t="str">
            <v>RH</v>
          </cell>
          <cell r="I536" t="str">
            <v>53RH</v>
          </cell>
          <cell r="J536" t="str">
            <v>HPH</v>
          </cell>
          <cell r="K536">
            <v>34050</v>
          </cell>
          <cell r="L536">
            <v>34.049999999999997</v>
          </cell>
          <cell r="M536" t="str">
            <v>F</v>
          </cell>
          <cell r="N536" t="str">
            <v>-18C</v>
          </cell>
          <cell r="P536" t="str">
            <v>HAC260526173</v>
          </cell>
          <cell r="Q536" t="str">
            <v>OK</v>
          </cell>
          <cell r="R536" t="str">
            <v>ND/</v>
          </cell>
          <cell r="S536" t="str">
            <v>10787</v>
          </cell>
          <cell r="T536" t="str">
            <v>THU YSAN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864"/>
  <sheetViews>
    <sheetView showGridLines="0" showZeros="0" tabSelected="1" topLeftCell="G1" zoomScale="55" zoomScaleNormal="55" zoomScalePageLayoutView="70" workbookViewId="0">
      <selection activeCell="J310" sqref="J310:J311"/>
    </sheetView>
  </sheetViews>
  <sheetFormatPr defaultColWidth="9" defaultRowHeight="22.5"/>
  <cols>
    <col min="1" max="1" width="10" style="2" customWidth="1"/>
    <col min="2" max="2" width="17.125" style="56" customWidth="1"/>
    <col min="3" max="3" width="20.625" style="2" customWidth="1"/>
    <col min="4" max="4" width="11.25" style="2" customWidth="1"/>
    <col min="5" max="5" width="7.625" style="2" customWidth="1"/>
    <col min="6" max="6" width="8.375" style="67" customWidth="1"/>
    <col min="7" max="7" width="30.875" style="103" customWidth="1"/>
    <col min="8" max="8" width="19.625" style="3" customWidth="1"/>
    <col min="9" max="9" width="12.375" style="3" customWidth="1"/>
    <col min="10" max="10" width="9.125" style="64" customWidth="1"/>
    <col min="11" max="11" width="12" style="6" customWidth="1"/>
    <col min="12" max="12" width="22.375" style="6" customWidth="1"/>
    <col min="13" max="13" width="29.375" style="21" customWidth="1"/>
    <col min="14" max="14" width="12.875" style="3" customWidth="1"/>
    <col min="15" max="15" width="54" style="7" customWidth="1"/>
    <col min="16" max="16" width="19.875" style="7" customWidth="1"/>
    <col min="17" max="17" width="30.25" style="64" hidden="1" customWidth="1"/>
    <col min="18" max="18" width="30.25" style="3" customWidth="1"/>
    <col min="19" max="19" width="20.625" style="15" hidden="1" customWidth="1"/>
    <col min="20" max="21" width="27.625" style="15" hidden="1" customWidth="1"/>
    <col min="22" max="22" width="31.125" style="15" hidden="1" customWidth="1"/>
    <col min="23" max="23" width="20.625" style="16" customWidth="1"/>
    <col min="24" max="24" width="6.875" style="8" bestFit="1" customWidth="1"/>
    <col min="25" max="25" width="6.625" style="9" bestFit="1" customWidth="1"/>
    <col min="26" max="26" width="6.625" style="8" bestFit="1" customWidth="1"/>
    <col min="27" max="27" width="6.875" style="8" bestFit="1" customWidth="1"/>
    <col min="28" max="28" width="6.625" style="8" bestFit="1" customWidth="1"/>
    <col min="29" max="30" width="6.875" style="8" bestFit="1" customWidth="1"/>
    <col min="31" max="32" width="6.625" style="8" bestFit="1" customWidth="1"/>
    <col min="33" max="33" width="6.875" style="3" bestFit="1" customWidth="1"/>
    <col min="34" max="34" width="6.625" style="3" bestFit="1" customWidth="1"/>
    <col min="35" max="35" width="6.625" style="3" customWidth="1"/>
    <col min="36" max="36" width="11.125" style="3" customWidth="1"/>
    <col min="37" max="37" width="15.625" style="3" customWidth="1"/>
    <col min="38" max="38" width="4.625" style="3" bestFit="1" customWidth="1"/>
    <col min="39" max="39" width="26.625" style="3" customWidth="1"/>
    <col min="40" max="41" width="7.625" style="3" bestFit="1" customWidth="1"/>
    <col min="42" max="50" width="7.625" style="3" customWidth="1"/>
    <col min="51" max="52" width="7.625" style="3" bestFit="1" customWidth="1"/>
    <col min="53" max="54" width="7.625" style="3" customWidth="1"/>
    <col min="55" max="55" width="7.625" style="3" bestFit="1" customWidth="1"/>
    <col min="56" max="56" width="14.25" style="3" customWidth="1"/>
    <col min="57" max="57" width="19.5" style="3" customWidth="1"/>
    <col min="58" max="16384" width="9" style="3"/>
  </cols>
  <sheetData>
    <row r="1" spans="1:63">
      <c r="A1" s="14"/>
      <c r="K1" s="3"/>
      <c r="L1" s="3"/>
      <c r="M1" s="19"/>
      <c r="O1" s="3"/>
      <c r="P1" s="3"/>
    </row>
    <row r="2" spans="1:63" ht="40.5" customHeight="1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75"/>
    </row>
    <row r="3" spans="1:63" s="4" customFormat="1">
      <c r="A3" s="76" t="s">
        <v>1</v>
      </c>
      <c r="B3" s="77"/>
      <c r="C3" s="63" t="s">
        <v>601</v>
      </c>
      <c r="D3" s="63"/>
      <c r="E3" s="50"/>
      <c r="F3" s="68"/>
      <c r="G3" s="78"/>
      <c r="H3" s="63" t="s">
        <v>2</v>
      </c>
      <c r="I3" s="169" t="s">
        <v>3</v>
      </c>
      <c r="J3" s="169"/>
      <c r="K3" s="63"/>
      <c r="L3" s="63"/>
      <c r="M3" s="159" t="s">
        <v>4</v>
      </c>
      <c r="N3" s="159"/>
      <c r="O3" s="13" t="s">
        <v>617</v>
      </c>
      <c r="P3" s="13"/>
      <c r="Q3" s="65"/>
      <c r="R3" s="12"/>
      <c r="S3" s="17"/>
      <c r="T3" s="17"/>
      <c r="U3" s="17"/>
      <c r="V3" s="17"/>
      <c r="W3" s="16"/>
      <c r="X3" s="8"/>
      <c r="Y3" s="9"/>
      <c r="Z3" s="8"/>
      <c r="AA3" s="8"/>
      <c r="AB3" s="8"/>
      <c r="AC3" s="8"/>
      <c r="AD3" s="8"/>
      <c r="AE3" s="8"/>
      <c r="AF3" s="8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s="4" customFormat="1">
      <c r="A4" s="76" t="s">
        <v>5</v>
      </c>
      <c r="B4" s="77"/>
      <c r="C4" s="104" t="s">
        <v>651</v>
      </c>
      <c r="D4" s="63"/>
      <c r="E4" s="50"/>
      <c r="F4" s="68"/>
      <c r="G4" s="78"/>
      <c r="H4" s="63" t="s">
        <v>6</v>
      </c>
      <c r="I4" s="168">
        <v>46169</v>
      </c>
      <c r="J4" s="168"/>
      <c r="K4" s="63"/>
      <c r="L4" s="63"/>
      <c r="M4" s="159" t="s">
        <v>7</v>
      </c>
      <c r="N4" s="159"/>
      <c r="O4" s="13" t="s">
        <v>51</v>
      </c>
      <c r="P4" s="13"/>
      <c r="Q4" s="65"/>
      <c r="R4" s="12"/>
      <c r="S4" s="17"/>
      <c r="T4" s="17"/>
      <c r="U4" s="17"/>
      <c r="V4" s="17"/>
      <c r="W4" s="16"/>
      <c r="X4" s="8"/>
      <c r="Y4" s="9"/>
      <c r="Z4" s="8"/>
      <c r="AA4" s="8"/>
      <c r="AB4" s="8"/>
      <c r="AC4" s="8"/>
      <c r="AD4" s="8"/>
      <c r="AE4" s="8"/>
      <c r="AF4" s="8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s="4" customFormat="1">
      <c r="A5" s="76" t="s">
        <v>8</v>
      </c>
      <c r="B5" s="77"/>
      <c r="C5" s="50" t="s">
        <v>9</v>
      </c>
      <c r="D5" s="50"/>
      <c r="E5" s="50"/>
      <c r="F5" s="68"/>
      <c r="G5" s="78"/>
      <c r="H5" s="63" t="s">
        <v>10</v>
      </c>
      <c r="I5" s="168">
        <v>46170</v>
      </c>
      <c r="J5" s="168"/>
      <c r="K5" s="63"/>
      <c r="L5" s="63"/>
      <c r="M5" s="79"/>
      <c r="N5" s="13"/>
      <c r="O5" s="79"/>
      <c r="P5" s="79"/>
      <c r="Q5" s="65"/>
      <c r="R5" s="12"/>
      <c r="S5" s="17"/>
      <c r="T5" s="17"/>
      <c r="U5" s="17"/>
      <c r="V5" s="17"/>
      <c r="W5" s="16"/>
      <c r="X5" s="8"/>
      <c r="Y5" s="9"/>
      <c r="Z5" s="8"/>
      <c r="AA5" s="8"/>
      <c r="AB5" s="8"/>
      <c r="AC5" s="8"/>
      <c r="AD5" s="8"/>
      <c r="AE5" s="8"/>
      <c r="AF5" s="8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spans="1:63" s="4" customFormat="1" ht="21" customHeight="1">
      <c r="A6" s="13" t="s">
        <v>11</v>
      </c>
      <c r="B6" s="77"/>
      <c r="C6" s="63"/>
      <c r="D6" s="63"/>
      <c r="E6" s="63"/>
      <c r="F6" s="68"/>
      <c r="G6" s="77"/>
      <c r="H6" s="80"/>
      <c r="I6" s="81"/>
      <c r="J6" s="79"/>
      <c r="K6" s="63"/>
      <c r="L6" s="63"/>
      <c r="M6" s="79"/>
      <c r="N6" s="13"/>
      <c r="O6" s="13"/>
      <c r="P6" s="13"/>
      <c r="Q6" s="65"/>
      <c r="R6" s="12"/>
      <c r="S6" s="17"/>
      <c r="T6" s="17"/>
      <c r="U6" s="17"/>
      <c r="V6" s="17"/>
      <c r="W6" s="16"/>
      <c r="X6" s="8"/>
      <c r="Y6" s="9"/>
      <c r="Z6" s="8"/>
      <c r="AA6" s="8"/>
      <c r="AB6" s="8"/>
      <c r="AC6" s="8"/>
      <c r="AD6" s="8"/>
      <c r="AE6" s="8"/>
      <c r="AF6" s="8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spans="1:63" s="4" customFormat="1" ht="21.75" customHeight="1">
      <c r="A7" s="13" t="s">
        <v>12</v>
      </c>
      <c r="B7" s="77"/>
      <c r="C7" s="63"/>
      <c r="D7" s="63"/>
      <c r="E7" s="63"/>
      <c r="F7" s="68"/>
      <c r="G7" s="77"/>
      <c r="H7" s="63"/>
      <c r="I7" s="13"/>
      <c r="J7" s="79"/>
      <c r="K7" s="63"/>
      <c r="L7" s="63"/>
      <c r="M7" s="79"/>
      <c r="N7" s="13"/>
      <c r="O7" s="13"/>
      <c r="P7" s="13"/>
      <c r="Q7" s="65"/>
      <c r="R7" s="12"/>
      <c r="S7" s="17"/>
      <c r="T7" s="17"/>
      <c r="U7" s="17"/>
      <c r="V7" s="17"/>
      <c r="W7" s="16"/>
      <c r="X7" s="8"/>
      <c r="Y7" s="9"/>
      <c r="Z7" s="8"/>
      <c r="AA7" s="8"/>
      <c r="AB7" s="8"/>
      <c r="AC7" s="8"/>
      <c r="AD7" s="8"/>
      <c r="AE7" s="8"/>
      <c r="AF7" s="8"/>
    </row>
    <row r="8" spans="1:63" s="4" customFormat="1" ht="22.5" customHeight="1">
      <c r="A8" s="13" t="s">
        <v>13</v>
      </c>
      <c r="B8" s="77"/>
      <c r="C8" s="63"/>
      <c r="D8" s="63"/>
      <c r="E8" s="63"/>
      <c r="F8" s="68"/>
      <c r="G8" s="77"/>
      <c r="H8" s="63"/>
      <c r="I8" s="13"/>
      <c r="J8" s="79"/>
      <c r="K8" s="63"/>
      <c r="L8" s="63"/>
      <c r="M8" s="79"/>
      <c r="N8" s="13"/>
      <c r="O8" s="82"/>
      <c r="P8" s="82"/>
      <c r="Q8" s="65"/>
      <c r="R8" s="12"/>
      <c r="S8" s="17"/>
      <c r="T8" s="17"/>
      <c r="U8" s="17"/>
      <c r="V8" s="17"/>
      <c r="W8" s="16"/>
      <c r="X8" s="8"/>
      <c r="Y8" s="9"/>
      <c r="Z8" s="8"/>
      <c r="AA8" s="8"/>
      <c r="AB8" s="8"/>
      <c r="AC8" s="8"/>
      <c r="AD8" s="8"/>
      <c r="AE8" s="8"/>
      <c r="AF8" s="8"/>
    </row>
    <row r="9" spans="1:63" ht="24" customHeight="1" thickBot="1">
      <c r="A9" s="10"/>
      <c r="B9" s="69"/>
      <c r="C9" s="59"/>
      <c r="D9" s="59"/>
      <c r="E9" s="59"/>
      <c r="F9" s="70"/>
      <c r="G9" s="19"/>
      <c r="H9" s="71"/>
      <c r="I9" s="10"/>
      <c r="J9" s="57"/>
      <c r="K9" s="59"/>
      <c r="L9" s="59"/>
      <c r="M9" s="20"/>
      <c r="N9" s="11"/>
      <c r="O9" s="10"/>
      <c r="P9" s="10"/>
    </row>
    <row r="10" spans="1:63" s="5" customFormat="1" ht="29.45" customHeight="1" thickTop="1">
      <c r="A10" s="24" t="s">
        <v>14</v>
      </c>
      <c r="B10" s="24" t="s">
        <v>15</v>
      </c>
      <c r="C10" s="24" t="s">
        <v>16</v>
      </c>
      <c r="D10" s="24" t="s">
        <v>17</v>
      </c>
      <c r="E10" s="24" t="s">
        <v>18</v>
      </c>
      <c r="F10" s="24" t="s">
        <v>19</v>
      </c>
      <c r="G10" s="22" t="s">
        <v>20</v>
      </c>
      <c r="H10" s="22" t="s">
        <v>21</v>
      </c>
      <c r="I10" s="22" t="s">
        <v>22</v>
      </c>
      <c r="J10" s="22" t="s">
        <v>23</v>
      </c>
      <c r="K10" s="22" t="s">
        <v>392</v>
      </c>
      <c r="L10" s="22" t="s">
        <v>24</v>
      </c>
      <c r="M10" s="62" t="s">
        <v>25</v>
      </c>
      <c r="N10" s="22" t="s">
        <v>26</v>
      </c>
      <c r="O10" s="22" t="s">
        <v>27</v>
      </c>
      <c r="P10" s="22" t="s">
        <v>28</v>
      </c>
      <c r="Q10" s="18"/>
      <c r="R10" s="18" t="s">
        <v>29</v>
      </c>
      <c r="S10" s="22" t="s">
        <v>30</v>
      </c>
      <c r="T10" s="139" t="s">
        <v>598</v>
      </c>
      <c r="U10" s="139" t="s">
        <v>600</v>
      </c>
      <c r="V10" s="139" t="s">
        <v>599</v>
      </c>
      <c r="W10" s="25"/>
      <c r="X10" s="26" t="s">
        <v>31</v>
      </c>
      <c r="Y10" s="26" t="s">
        <v>32</v>
      </c>
      <c r="Z10" s="26" t="s">
        <v>33</v>
      </c>
      <c r="AA10" s="26" t="s">
        <v>34</v>
      </c>
      <c r="AB10" s="26" t="s">
        <v>35</v>
      </c>
      <c r="AC10" s="26" t="s">
        <v>36</v>
      </c>
      <c r="AD10" s="26" t="s">
        <v>37</v>
      </c>
      <c r="AE10" s="26" t="s">
        <v>38</v>
      </c>
      <c r="AF10" s="26" t="s">
        <v>39</v>
      </c>
      <c r="AG10" s="27" t="s">
        <v>40</v>
      </c>
      <c r="AH10" s="27" t="s">
        <v>41</v>
      </c>
      <c r="AI10" s="27" t="s">
        <v>42</v>
      </c>
      <c r="AJ10" s="28" t="s">
        <v>43</v>
      </c>
      <c r="AK10" s="160" t="s">
        <v>44</v>
      </c>
      <c r="AL10" s="154" t="s">
        <v>45</v>
      </c>
      <c r="AM10" s="156" t="s">
        <v>46</v>
      </c>
      <c r="AN10" s="147" t="s">
        <v>47</v>
      </c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9"/>
      <c r="AZ10" s="147" t="s">
        <v>48</v>
      </c>
      <c r="BA10" s="148"/>
      <c r="BB10" s="148"/>
      <c r="BC10" s="149"/>
      <c r="BD10" s="147" t="s">
        <v>49</v>
      </c>
      <c r="BE10" s="150"/>
      <c r="BH10" s="3"/>
      <c r="BI10" s="3"/>
    </row>
    <row r="11" spans="1:63" ht="24.75" customHeight="1">
      <c r="A11" s="23">
        <v>1</v>
      </c>
      <c r="B11" s="24" t="s">
        <v>50</v>
      </c>
      <c r="C11" s="24" t="s">
        <v>1489</v>
      </c>
      <c r="D11" s="24" t="s">
        <v>86</v>
      </c>
      <c r="E11" s="74" t="s">
        <v>52</v>
      </c>
      <c r="F11" s="24" t="s">
        <v>52</v>
      </c>
      <c r="G11" s="83" t="s">
        <v>652</v>
      </c>
      <c r="H11" s="83" t="str">
        <f>VLOOKUP(G11,[1]ListLoaded!$E$6:$F$544,2,0)</f>
        <v>260604</v>
      </c>
      <c r="I11" s="72" t="str">
        <f>VLOOKUP(G11,[1]ListLoaded!$E$6:$M$550,9,0)</f>
        <v>F</v>
      </c>
      <c r="J11" s="72" t="str">
        <f>VLOOKUP(G11,[1]ListLoaded!$E$6:$I$537,5,0)</f>
        <v>40HC</v>
      </c>
      <c r="K11" s="140">
        <f>VLOOKUP(G11,[1]ListLoaded!$E$6:$L$537,8,0)</f>
        <v>31.05</v>
      </c>
      <c r="L11" s="83" t="str">
        <f>VLOOKUP(G11,[1]ListLoaded!$E$6:$S$645,15,0)</f>
        <v>1113184</v>
      </c>
      <c r="M11" s="86" t="str">
        <f>VLOOKUP(G11,[1]ListLoaded!$E$6:$T$674,16,0)</f>
        <v>NGUYÊN LI?U</v>
      </c>
      <c r="N11" s="86">
        <f>VLOOKUP(G11,[1]ListLoaded!$E$6:$N$545,10,0)</f>
        <v>0</v>
      </c>
      <c r="O11" s="72"/>
      <c r="P11" s="72">
        <f>VLOOKUP(G11,[1]ListLoaded!$E$6:$O$638,11,0)</f>
        <v>0</v>
      </c>
      <c r="Q11" s="84" t="str">
        <f>I11&amp;J11</f>
        <v>F40HC</v>
      </c>
      <c r="R11" s="84" t="str">
        <f>VLOOKUP(G11,[1]ListLoaded!$E$6:$P$604,12,0)</f>
        <v>HAC251017100</v>
      </c>
      <c r="S11" s="15" t="e">
        <f>I11&amp;J11&amp;#REF!</f>
        <v>#REF!</v>
      </c>
      <c r="T11" s="84" t="s">
        <v>705</v>
      </c>
      <c r="U11" s="84" t="s">
        <v>706</v>
      </c>
      <c r="V11" s="84" t="s">
        <v>603</v>
      </c>
      <c r="W11" s="29" t="s">
        <v>53</v>
      </c>
      <c r="X11" s="30">
        <f>COUNTIF($Q$11:$Q$798,"F20DC")</f>
        <v>142</v>
      </c>
      <c r="Y11" s="30">
        <f>COUNTIF($Q$11:$Q$798,"F20RF")</f>
        <v>0</v>
      </c>
      <c r="Z11" s="30">
        <f>COUNTIF($Q$11:$Q$798,"F20FR")</f>
        <v>0</v>
      </c>
      <c r="AA11" s="30">
        <f>COUNTIF($Q$11:$Q$798,"F20OT")</f>
        <v>0</v>
      </c>
      <c r="AB11" s="30">
        <f>COUNTIF($Q$11:$Q$798,"F20TK")</f>
        <v>7</v>
      </c>
      <c r="AC11" s="30">
        <f>COUNTIF($Q$11:$Q$798,"F40DC")</f>
        <v>0</v>
      </c>
      <c r="AD11" s="30">
        <f>COUNTIF($Q$11:$Q$798,"F40HC")</f>
        <v>295</v>
      </c>
      <c r="AE11" s="30">
        <f>COUNTIF($Q$11:$Q$798,"F40RF")</f>
        <v>28</v>
      </c>
      <c r="AF11" s="30">
        <f>COUNTIF($Q$11:$Q$798,"F40FR")</f>
        <v>0</v>
      </c>
      <c r="AG11" s="30">
        <f>COUNTIF($Q$11:$Q$798,"F40OT")</f>
        <v>1</v>
      </c>
      <c r="AH11" s="30">
        <f>COUNTIF($Q$11:$Q$798,"F45RF")</f>
        <v>1</v>
      </c>
      <c r="AI11" s="30">
        <f>COUNTIF($Q$11:$Q$798,"F53RF")</f>
        <v>2</v>
      </c>
      <c r="AJ11" s="30">
        <f>COUNTIF($Q$11:$Q$798,"F45HC")</f>
        <v>0</v>
      </c>
      <c r="AK11" s="161"/>
      <c r="AL11" s="155"/>
      <c r="AM11" s="157"/>
      <c r="AN11" s="31" t="s">
        <v>31</v>
      </c>
      <c r="AO11" s="31" t="s">
        <v>32</v>
      </c>
      <c r="AP11" s="31" t="s">
        <v>34</v>
      </c>
      <c r="AQ11" s="31" t="s">
        <v>35</v>
      </c>
      <c r="AR11" s="31" t="s">
        <v>39</v>
      </c>
      <c r="AS11" s="31" t="s">
        <v>36</v>
      </c>
      <c r="AT11" s="31" t="s">
        <v>40</v>
      </c>
      <c r="AU11" s="31" t="s">
        <v>37</v>
      </c>
      <c r="AV11" s="31" t="s">
        <v>38</v>
      </c>
      <c r="AW11" s="31" t="s">
        <v>43</v>
      </c>
      <c r="AX11" s="31" t="s">
        <v>41</v>
      </c>
      <c r="AY11" s="31" t="s">
        <v>42</v>
      </c>
      <c r="AZ11" s="31" t="s">
        <v>31</v>
      </c>
      <c r="BA11" s="31" t="s">
        <v>35</v>
      </c>
      <c r="BB11" s="31" t="s">
        <v>38</v>
      </c>
      <c r="BC11" s="31" t="s">
        <v>37</v>
      </c>
      <c r="BD11" s="31" t="s">
        <v>54</v>
      </c>
      <c r="BE11" s="32" t="s">
        <v>55</v>
      </c>
    </row>
    <row r="12" spans="1:63" ht="24.75" customHeight="1">
      <c r="A12" s="23">
        <v>2</v>
      </c>
      <c r="B12" s="24" t="s">
        <v>50</v>
      </c>
      <c r="C12" s="24" t="s">
        <v>1489</v>
      </c>
      <c r="D12" s="24" t="s">
        <v>86</v>
      </c>
      <c r="E12" s="74" t="s">
        <v>52</v>
      </c>
      <c r="F12" s="24" t="s">
        <v>52</v>
      </c>
      <c r="G12" s="83" t="s">
        <v>653</v>
      </c>
      <c r="H12" s="83" t="str">
        <f>VLOOKUP(G12,[1]ListLoaded!$E$6:$F$544,2,0)</f>
        <v>060486</v>
      </c>
      <c r="I12" s="72" t="str">
        <f>VLOOKUP(G12,[1]ListLoaded!$E$6:$M$550,9,0)</f>
        <v>F</v>
      </c>
      <c r="J12" s="72" t="str">
        <f>VLOOKUP(G12,[1]ListLoaded!$E$6:$I$537,5,0)</f>
        <v>40HC</v>
      </c>
      <c r="K12" s="140">
        <f>VLOOKUP(G12,[1]ListLoaded!$E$6:$L$537,8,0)</f>
        <v>5.52</v>
      </c>
      <c r="L12" s="83" t="str">
        <f>VLOOKUP(G12,[1]ListLoaded!$E$6:$S$645,15,0)</f>
        <v>1107356</v>
      </c>
      <c r="M12" s="86" t="str">
        <f>VLOOKUP(G12,[1]ListLoaded!$E$6:$T$674,16,0)</f>
        <v>BÁNH</v>
      </c>
      <c r="N12" s="86">
        <f>VLOOKUP(G12,[1]ListLoaded!$E$6:$N$545,10,0)</f>
        <v>0</v>
      </c>
      <c r="O12" s="72"/>
      <c r="P12" s="72">
        <f>VLOOKUP(G12,[1]ListLoaded!$E$6:$O$638,11,0)</f>
        <v>0</v>
      </c>
      <c r="Q12" s="84" t="str">
        <f t="shared" ref="Q12:Q75" si="0">I12&amp;J12</f>
        <v>F40HC</v>
      </c>
      <c r="R12" s="84" t="str">
        <f>VLOOKUP(G12,[1]ListLoaded!$E$6:$P$604,12,0)</f>
        <v>HAC251017100</v>
      </c>
      <c r="S12" s="15" t="e">
        <f>I12&amp;J12&amp;#REF!</f>
        <v>#REF!</v>
      </c>
      <c r="T12" s="84" t="s">
        <v>705</v>
      </c>
      <c r="U12" s="84" t="s">
        <v>706</v>
      </c>
      <c r="V12" s="84" t="s">
        <v>707</v>
      </c>
      <c r="W12" s="29" t="s">
        <v>56</v>
      </c>
      <c r="X12" s="30">
        <f>COUNTIF($Q$11:$Q$798,"E20DC")</f>
        <v>0</v>
      </c>
      <c r="Y12" s="30">
        <f>COUNTIF($Q$11:$Q$798,"E20RF")</f>
        <v>0</v>
      </c>
      <c r="Z12" s="30">
        <f>COUNTIF($Q$11:$Q$798,"E20FR")</f>
        <v>0</v>
      </c>
      <c r="AA12" s="30">
        <f>COUNTIF($Q$11:$Q$798,"E20OT")</f>
        <v>0</v>
      </c>
      <c r="AB12" s="30">
        <f>COUNTIF($Q$11:$Q$798,"E20TK")</f>
        <v>25</v>
      </c>
      <c r="AC12" s="30">
        <f>COUNTIF($Q$11:$Q$848,"E40DC")</f>
        <v>0</v>
      </c>
      <c r="AD12" s="30">
        <f>COUNTIF($Q$11:$Q$848,"E40HC")</f>
        <v>30</v>
      </c>
      <c r="AE12" s="30">
        <f>COUNTIF($Q$11:$Q$798,"E40RF")</f>
        <v>0</v>
      </c>
      <c r="AF12" s="30">
        <f>COUNTIF($Q$11:$Q$848,"E40FR")</f>
        <v>0</v>
      </c>
      <c r="AG12" s="30">
        <f>COUNTIF($Q$11:$Q$798,"E40OT")</f>
        <v>0</v>
      </c>
      <c r="AH12" s="30">
        <f>COUNTIF($Q$11:$Q$798,"E45RF")</f>
        <v>0</v>
      </c>
      <c r="AI12" s="30">
        <f>COUNTIF($Q$11:$Q$798,"E53RF")</f>
        <v>0</v>
      </c>
      <c r="AJ12" s="30">
        <f>COUNTIF($Q$11:$Q$848,"E45HC")</f>
        <v>0</v>
      </c>
      <c r="AK12" s="151" t="s">
        <v>57</v>
      </c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3"/>
    </row>
    <row r="13" spans="1:63" ht="24.75" customHeight="1" thickBot="1">
      <c r="A13" s="23">
        <v>3</v>
      </c>
      <c r="B13" s="24" t="s">
        <v>50</v>
      </c>
      <c r="C13" s="24" t="s">
        <v>1489</v>
      </c>
      <c r="D13" s="24" t="s">
        <v>86</v>
      </c>
      <c r="E13" s="74" t="s">
        <v>52</v>
      </c>
      <c r="F13" s="24" t="s">
        <v>52</v>
      </c>
      <c r="G13" s="83" t="s">
        <v>654</v>
      </c>
      <c r="H13" s="83" t="str">
        <f>VLOOKUP(G13,[1]ListLoaded!$E$6:$F$544,2,0)</f>
        <v>060186</v>
      </c>
      <c r="I13" s="72" t="str">
        <f>VLOOKUP(G13,[1]ListLoaded!$E$6:$M$550,9,0)</f>
        <v>F</v>
      </c>
      <c r="J13" s="72" t="str">
        <f>VLOOKUP(G13,[1]ListLoaded!$E$6:$I$537,5,0)</f>
        <v>40HC</v>
      </c>
      <c r="K13" s="140">
        <f>VLOOKUP(G13,[1]ListLoaded!$E$6:$L$537,8,0)</f>
        <v>5.88</v>
      </c>
      <c r="L13" s="83" t="str">
        <f>VLOOKUP(G13,[1]ListLoaded!$E$6:$S$645,15,0)</f>
        <v>1119202</v>
      </c>
      <c r="M13" s="86" t="str">
        <f>VLOOKUP(G13,[1]ListLoaded!$E$6:$T$674,16,0)</f>
        <v>BÁNH</v>
      </c>
      <c r="N13" s="86">
        <f>VLOOKUP(G13,[1]ListLoaded!$E$6:$N$545,10,0)</f>
        <v>0</v>
      </c>
      <c r="O13" s="72"/>
      <c r="P13" s="72">
        <f>VLOOKUP(G13,[1]ListLoaded!$E$6:$O$638,11,0)</f>
        <v>0</v>
      </c>
      <c r="Q13" s="84" t="str">
        <f t="shared" si="0"/>
        <v>F40HC</v>
      </c>
      <c r="R13" s="84" t="str">
        <f>VLOOKUP(G13,[1]ListLoaded!$E$6:$P$604,12,0)</f>
        <v>HAC251017100</v>
      </c>
      <c r="S13" s="15" t="e">
        <f>I13&amp;J13&amp;#REF!</f>
        <v>#REF!</v>
      </c>
      <c r="T13" s="84" t="s">
        <v>705</v>
      </c>
      <c r="U13" s="84" t="s">
        <v>706</v>
      </c>
      <c r="V13" s="84" t="s">
        <v>707</v>
      </c>
      <c r="W13" s="36"/>
      <c r="X13" s="37"/>
      <c r="Y13" s="37"/>
      <c r="Z13" s="37"/>
      <c r="AA13" s="37"/>
      <c r="AB13" s="37"/>
      <c r="AC13" s="37"/>
      <c r="AD13" s="30"/>
      <c r="AE13" s="37"/>
      <c r="AF13" s="37"/>
      <c r="AG13" s="38"/>
      <c r="AH13" s="38"/>
      <c r="AI13" s="38"/>
      <c r="AJ13" s="38"/>
      <c r="AK13" s="39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5"/>
    </row>
    <row r="14" spans="1:63" ht="24.75" customHeight="1" thickTop="1">
      <c r="A14" s="23">
        <v>4</v>
      </c>
      <c r="B14" s="24" t="s">
        <v>50</v>
      </c>
      <c r="C14" s="24" t="s">
        <v>1489</v>
      </c>
      <c r="D14" s="24" t="s">
        <v>86</v>
      </c>
      <c r="E14" s="74" t="s">
        <v>52</v>
      </c>
      <c r="F14" s="24" t="s">
        <v>52</v>
      </c>
      <c r="G14" s="83" t="s">
        <v>655</v>
      </c>
      <c r="H14" s="83" t="str">
        <f>VLOOKUP(G14,[1]ListLoaded!$E$6:$F$544,2,0)</f>
        <v>220486</v>
      </c>
      <c r="I14" s="72" t="str">
        <f>VLOOKUP(G14,[1]ListLoaded!$E$6:$M$550,9,0)</f>
        <v>F</v>
      </c>
      <c r="J14" s="72" t="str">
        <f>VLOOKUP(G14,[1]ListLoaded!$E$6:$I$537,5,0)</f>
        <v>40HC</v>
      </c>
      <c r="K14" s="140">
        <f>VLOOKUP(G14,[1]ListLoaded!$E$6:$L$537,8,0)</f>
        <v>5.41</v>
      </c>
      <c r="L14" s="83" t="str">
        <f>VLOOKUP(G14,[1]ListLoaded!$E$6:$S$645,15,0)</f>
        <v>1112597</v>
      </c>
      <c r="M14" s="86" t="str">
        <f>VLOOKUP(G14,[1]ListLoaded!$E$6:$T$674,16,0)</f>
        <v>BÁNH</v>
      </c>
      <c r="N14" s="86">
        <f>VLOOKUP(G14,[1]ListLoaded!$E$6:$N$545,10,0)</f>
        <v>0</v>
      </c>
      <c r="O14" s="72"/>
      <c r="P14" s="72">
        <f>VLOOKUP(G14,[1]ListLoaded!$E$6:$O$638,11,0)</f>
        <v>0</v>
      </c>
      <c r="Q14" s="84" t="str">
        <f t="shared" si="0"/>
        <v>F40HC</v>
      </c>
      <c r="R14" s="84" t="str">
        <f>VLOOKUP(G14,[1]ListLoaded!$E$6:$P$604,12,0)</f>
        <v>HAC251017100</v>
      </c>
      <c r="S14" s="15" t="e">
        <f>I14&amp;J14&amp;#REF!</f>
        <v>#REF!</v>
      </c>
      <c r="T14" s="84" t="s">
        <v>705</v>
      </c>
      <c r="U14" s="84" t="s">
        <v>706</v>
      </c>
      <c r="V14" s="84" t="s">
        <v>707</v>
      </c>
      <c r="W14" s="162" t="s">
        <v>58</v>
      </c>
      <c r="X14" s="40">
        <f t="shared" ref="X14:AJ14" si="1">X11+X12</f>
        <v>142</v>
      </c>
      <c r="Y14" s="40">
        <f t="shared" si="1"/>
        <v>0</v>
      </c>
      <c r="Z14" s="40">
        <f t="shared" si="1"/>
        <v>0</v>
      </c>
      <c r="AA14" s="40">
        <f t="shared" si="1"/>
        <v>0</v>
      </c>
      <c r="AB14" s="40">
        <f t="shared" si="1"/>
        <v>32</v>
      </c>
      <c r="AC14" s="40">
        <f t="shared" si="1"/>
        <v>0</v>
      </c>
      <c r="AD14" s="40">
        <f>SUM(AD11:AD13)</f>
        <v>325</v>
      </c>
      <c r="AE14" s="40">
        <f t="shared" si="1"/>
        <v>28</v>
      </c>
      <c r="AF14" s="40">
        <f t="shared" si="1"/>
        <v>0</v>
      </c>
      <c r="AG14" s="40">
        <f t="shared" si="1"/>
        <v>1</v>
      </c>
      <c r="AH14" s="40">
        <f t="shared" si="1"/>
        <v>1</v>
      </c>
      <c r="AI14" s="40">
        <f t="shared" si="1"/>
        <v>2</v>
      </c>
      <c r="AJ14" s="60">
        <f t="shared" si="1"/>
        <v>0</v>
      </c>
      <c r="AK14" s="144" t="s">
        <v>57</v>
      </c>
      <c r="AL14" s="48"/>
      <c r="AM14" s="42"/>
      <c r="AN14" s="41">
        <f t="shared" ref="AN14:AY23" si="2">COUNTIF($S$11:$S$1505,"F"&amp;AN$11&amp;$AM14)</f>
        <v>0</v>
      </c>
      <c r="AO14" s="41">
        <f t="shared" si="2"/>
        <v>0</v>
      </c>
      <c r="AP14" s="41">
        <f t="shared" si="2"/>
        <v>0</v>
      </c>
      <c r="AQ14" s="41">
        <f t="shared" si="2"/>
        <v>0</v>
      </c>
      <c r="AR14" s="41">
        <f t="shared" si="2"/>
        <v>0</v>
      </c>
      <c r="AS14" s="41">
        <f t="shared" si="2"/>
        <v>0</v>
      </c>
      <c r="AT14" s="41">
        <f t="shared" si="2"/>
        <v>0</v>
      </c>
      <c r="AU14" s="41">
        <f t="shared" si="2"/>
        <v>0</v>
      </c>
      <c r="AV14" s="41">
        <f t="shared" si="2"/>
        <v>0</v>
      </c>
      <c r="AW14" s="41">
        <f t="shared" si="2"/>
        <v>0</v>
      </c>
      <c r="AX14" s="41">
        <f t="shared" si="2"/>
        <v>0</v>
      </c>
      <c r="AY14" s="41">
        <f t="shared" si="2"/>
        <v>0</v>
      </c>
      <c r="AZ14" s="41">
        <f t="shared" ref="AZ14:BC33" si="3">COUNTIF($S$11:$S$1505,"E"&amp;AZ$11&amp;$AM14)</f>
        <v>0</v>
      </c>
      <c r="BA14" s="41">
        <f t="shared" si="3"/>
        <v>0</v>
      </c>
      <c r="BB14" s="41">
        <f t="shared" si="3"/>
        <v>0</v>
      </c>
      <c r="BC14" s="41">
        <f t="shared" si="3"/>
        <v>0</v>
      </c>
      <c r="BD14" s="41">
        <f>SUM(AN14:BC14)</f>
        <v>0</v>
      </c>
      <c r="BE14" s="43">
        <f>AN14+AO14+AP14+AQ14+AZ14+BA14+(AR14+AS14+AT14+AU14+AV14+AW14+AX14+AY14+BB14+BC14)*2</f>
        <v>0</v>
      </c>
    </row>
    <row r="15" spans="1:63" ht="24.75" customHeight="1" thickBot="1">
      <c r="A15" s="23">
        <v>5</v>
      </c>
      <c r="B15" s="24" t="s">
        <v>50</v>
      </c>
      <c r="C15" s="24" t="s">
        <v>1489</v>
      </c>
      <c r="D15" s="24" t="s">
        <v>86</v>
      </c>
      <c r="E15" s="74" t="s">
        <v>52</v>
      </c>
      <c r="F15" s="24" t="s">
        <v>52</v>
      </c>
      <c r="G15" s="83" t="s">
        <v>656</v>
      </c>
      <c r="H15" s="83" t="str">
        <f>VLOOKUP(G15,[1]ListLoaded!$E$6:$F$544,2,0)</f>
        <v>220686</v>
      </c>
      <c r="I15" s="72" t="str">
        <f>VLOOKUP(G15,[1]ListLoaded!$E$6:$M$550,9,0)</f>
        <v>F</v>
      </c>
      <c r="J15" s="72" t="str">
        <f>VLOOKUP(G15,[1]ListLoaded!$E$6:$I$537,5,0)</f>
        <v>40HC</v>
      </c>
      <c r="K15" s="140">
        <f>VLOOKUP(G15,[1]ListLoaded!$E$6:$L$537,8,0)</f>
        <v>5.37</v>
      </c>
      <c r="L15" s="83" t="str">
        <f>VLOOKUP(G15,[1]ListLoaded!$E$6:$S$645,15,0)</f>
        <v>656055</v>
      </c>
      <c r="M15" s="86" t="str">
        <f>VLOOKUP(G15,[1]ListLoaded!$E$6:$T$674,16,0)</f>
        <v>BÁNH</v>
      </c>
      <c r="N15" s="86">
        <f>VLOOKUP(G15,[1]ListLoaded!$E$6:$N$545,10,0)</f>
        <v>0</v>
      </c>
      <c r="O15" s="72"/>
      <c r="P15" s="72">
        <f>VLOOKUP(G15,[1]ListLoaded!$E$6:$O$638,11,0)</f>
        <v>0</v>
      </c>
      <c r="Q15" s="84" t="str">
        <f t="shared" si="0"/>
        <v>F40HC</v>
      </c>
      <c r="R15" s="84" t="str">
        <f>VLOOKUP(G15,[1]ListLoaded!$E$6:$P$604,12,0)</f>
        <v>HAC251017100</v>
      </c>
      <c r="S15" s="15" t="e">
        <f>I15&amp;J15&amp;#REF!</f>
        <v>#REF!</v>
      </c>
      <c r="T15" s="84" t="s">
        <v>705</v>
      </c>
      <c r="U15" s="84" t="s">
        <v>706</v>
      </c>
      <c r="V15" s="84" t="s">
        <v>707</v>
      </c>
      <c r="W15" s="163"/>
      <c r="X15" s="164">
        <f>SUM(X14:AJ14)</f>
        <v>531</v>
      </c>
      <c r="Y15" s="165"/>
      <c r="Z15" s="165"/>
      <c r="AA15" s="44" t="s">
        <v>59</v>
      </c>
      <c r="AB15" s="164">
        <f>X11+Y11+Z11+AA11+AB11+X12+Y12+Z12+AA12+AB12+(AC11+AD11+AE11+AF11+AG11+AH11+AI11+AJ11+AC12+AD12+AE12+AF12+AG12+AH12+AI12+AJ12)*2</f>
        <v>888</v>
      </c>
      <c r="AC15" s="165"/>
      <c r="AD15" s="165"/>
      <c r="AE15" s="45" t="s">
        <v>60</v>
      </c>
      <c r="AF15" s="166">
        <f>SUM(K:K)</f>
        <v>11822.049999999987</v>
      </c>
      <c r="AG15" s="167"/>
      <c r="AH15" s="167"/>
      <c r="AI15" s="46"/>
      <c r="AJ15" s="61" t="s">
        <v>61</v>
      </c>
      <c r="AK15" s="145"/>
      <c r="AL15" s="48"/>
      <c r="AM15" s="42"/>
      <c r="AN15" s="41">
        <f t="shared" si="2"/>
        <v>0</v>
      </c>
      <c r="AO15" s="41">
        <f t="shared" si="2"/>
        <v>0</v>
      </c>
      <c r="AP15" s="41">
        <f t="shared" si="2"/>
        <v>0</v>
      </c>
      <c r="AQ15" s="41">
        <f t="shared" si="2"/>
        <v>0</v>
      </c>
      <c r="AR15" s="41">
        <f t="shared" si="2"/>
        <v>0</v>
      </c>
      <c r="AS15" s="41">
        <f t="shared" si="2"/>
        <v>0</v>
      </c>
      <c r="AT15" s="41">
        <f t="shared" si="2"/>
        <v>0</v>
      </c>
      <c r="AU15" s="41">
        <f t="shared" si="2"/>
        <v>0</v>
      </c>
      <c r="AV15" s="41">
        <f t="shared" si="2"/>
        <v>0</v>
      </c>
      <c r="AW15" s="41">
        <f t="shared" si="2"/>
        <v>0</v>
      </c>
      <c r="AX15" s="41">
        <f t="shared" si="2"/>
        <v>0</v>
      </c>
      <c r="AY15" s="41">
        <f t="shared" si="2"/>
        <v>0</v>
      </c>
      <c r="AZ15" s="41">
        <f t="shared" si="3"/>
        <v>0</v>
      </c>
      <c r="BA15" s="41">
        <f t="shared" si="3"/>
        <v>0</v>
      </c>
      <c r="BB15" s="41">
        <f t="shared" si="3"/>
        <v>0</v>
      </c>
      <c r="BC15" s="41">
        <f t="shared" si="3"/>
        <v>0</v>
      </c>
      <c r="BD15" s="41">
        <f t="shared" ref="BD15:BD69" si="4">SUM(AN15:BC15)</f>
        <v>0</v>
      </c>
      <c r="BE15" s="43">
        <f t="shared" ref="BE15:BE69" si="5">AN15+AO15+AP15+AQ15+AZ15+BA15+(AR15+AS15+AT15+AU15+AV15+AW15+AX15+AY15+BB15+BC15)*2</f>
        <v>0</v>
      </c>
    </row>
    <row r="16" spans="1:63" ht="24.75" customHeight="1">
      <c r="A16" s="23">
        <v>6</v>
      </c>
      <c r="B16" s="24" t="s">
        <v>50</v>
      </c>
      <c r="C16" s="24" t="s">
        <v>1489</v>
      </c>
      <c r="D16" s="24" t="s">
        <v>86</v>
      </c>
      <c r="E16" s="74" t="s">
        <v>52</v>
      </c>
      <c r="F16" s="24" t="s">
        <v>52</v>
      </c>
      <c r="G16" s="83" t="s">
        <v>657</v>
      </c>
      <c r="H16" s="83" t="str">
        <f>VLOOKUP(G16,[1]ListLoaded!$E$6:$F$544,2,0)</f>
        <v>101086</v>
      </c>
      <c r="I16" s="72" t="str">
        <f>VLOOKUP(G16,[1]ListLoaded!$E$6:$M$550,9,0)</f>
        <v>F</v>
      </c>
      <c r="J16" s="72" t="str">
        <f>VLOOKUP(G16,[1]ListLoaded!$E$6:$I$537,5,0)</f>
        <v>40HC</v>
      </c>
      <c r="K16" s="140">
        <f>VLOOKUP(G16,[1]ListLoaded!$E$6:$L$537,8,0)</f>
        <v>9.1300000000000008</v>
      </c>
      <c r="L16" s="83" t="str">
        <f>VLOOKUP(G16,[1]ListLoaded!$E$6:$S$645,15,0)</f>
        <v>23164491</v>
      </c>
      <c r="M16" s="86" t="str">
        <f>VLOOKUP(G16,[1]ListLoaded!$E$6:$T$674,16,0)</f>
        <v>BÁNH</v>
      </c>
      <c r="N16" s="86">
        <f>VLOOKUP(G16,[1]ListLoaded!$E$6:$N$545,10,0)</f>
        <v>0</v>
      </c>
      <c r="O16" s="72"/>
      <c r="P16" s="72">
        <f>VLOOKUP(G16,[1]ListLoaded!$E$6:$O$638,11,0)</f>
        <v>0</v>
      </c>
      <c r="Q16" s="84" t="str">
        <f t="shared" si="0"/>
        <v>F40HC</v>
      </c>
      <c r="R16" s="84" t="str">
        <f>VLOOKUP(G16,[1]ListLoaded!$E$6:$P$604,12,0)</f>
        <v>HAC251017100</v>
      </c>
      <c r="S16" s="15" t="e">
        <f>I16&amp;J16&amp;#REF!</f>
        <v>#REF!</v>
      </c>
      <c r="T16" s="84" t="s">
        <v>705</v>
      </c>
      <c r="U16" s="84" t="s">
        <v>706</v>
      </c>
      <c r="V16" s="84" t="s">
        <v>707</v>
      </c>
      <c r="W16" s="47"/>
      <c r="X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K16" s="145"/>
      <c r="AL16" s="48"/>
      <c r="AM16" s="42"/>
      <c r="AN16" s="41">
        <f t="shared" si="2"/>
        <v>0</v>
      </c>
      <c r="AO16" s="41">
        <f t="shared" si="2"/>
        <v>0</v>
      </c>
      <c r="AP16" s="41">
        <f t="shared" si="2"/>
        <v>0</v>
      </c>
      <c r="AQ16" s="41">
        <f t="shared" si="2"/>
        <v>0</v>
      </c>
      <c r="AR16" s="41">
        <f t="shared" si="2"/>
        <v>0</v>
      </c>
      <c r="AS16" s="41">
        <f t="shared" si="2"/>
        <v>0</v>
      </c>
      <c r="AT16" s="41">
        <f t="shared" si="2"/>
        <v>0</v>
      </c>
      <c r="AU16" s="41">
        <f t="shared" si="2"/>
        <v>0</v>
      </c>
      <c r="AV16" s="41">
        <f t="shared" si="2"/>
        <v>0</v>
      </c>
      <c r="AW16" s="41">
        <f t="shared" si="2"/>
        <v>0</v>
      </c>
      <c r="AX16" s="41">
        <f t="shared" si="2"/>
        <v>0</v>
      </c>
      <c r="AY16" s="41">
        <f t="shared" si="2"/>
        <v>0</v>
      </c>
      <c r="AZ16" s="41">
        <f t="shared" si="3"/>
        <v>0</v>
      </c>
      <c r="BA16" s="41">
        <f t="shared" si="3"/>
        <v>0</v>
      </c>
      <c r="BB16" s="41">
        <f t="shared" si="3"/>
        <v>0</v>
      </c>
      <c r="BC16" s="41">
        <f t="shared" si="3"/>
        <v>0</v>
      </c>
      <c r="BD16" s="41">
        <f t="shared" si="4"/>
        <v>0</v>
      </c>
      <c r="BE16" s="43">
        <f t="shared" si="5"/>
        <v>0</v>
      </c>
    </row>
    <row r="17" spans="1:57" ht="24.75" customHeight="1">
      <c r="A17" s="23">
        <v>7</v>
      </c>
      <c r="B17" s="24" t="s">
        <v>50</v>
      </c>
      <c r="C17" s="24" t="s">
        <v>1489</v>
      </c>
      <c r="D17" s="24" t="s">
        <v>86</v>
      </c>
      <c r="E17" s="74" t="s">
        <v>52</v>
      </c>
      <c r="F17" s="24" t="s">
        <v>52</v>
      </c>
      <c r="G17" s="83" t="s">
        <v>658</v>
      </c>
      <c r="H17" s="83" t="str">
        <f>VLOOKUP(G17,[1]ListLoaded!$E$6:$F$544,2,0)</f>
        <v>260284</v>
      </c>
      <c r="I17" s="72" t="str">
        <f>VLOOKUP(G17,[1]ListLoaded!$E$6:$M$550,9,0)</f>
        <v>F</v>
      </c>
      <c r="J17" s="72" t="str">
        <f>VLOOKUP(G17,[1]ListLoaded!$E$6:$I$537,5,0)</f>
        <v>40HC</v>
      </c>
      <c r="K17" s="140">
        <f>VLOOKUP(G17,[1]ListLoaded!$E$6:$L$537,8,0)</f>
        <v>13.71</v>
      </c>
      <c r="L17" s="83" t="str">
        <f>VLOOKUP(G17,[1]ListLoaded!$E$6:$S$645,15,0)</f>
        <v>1111747</v>
      </c>
      <c r="M17" s="86" t="str">
        <f>VLOOKUP(G17,[1]ListLoaded!$E$6:$T$674,16,0)</f>
        <v>BÁNH</v>
      </c>
      <c r="N17" s="86">
        <f>VLOOKUP(G17,[1]ListLoaded!$E$6:$N$545,10,0)</f>
        <v>0</v>
      </c>
      <c r="O17" s="72"/>
      <c r="P17" s="72">
        <f>VLOOKUP(G17,[1]ListLoaded!$E$6:$O$638,11,0)</f>
        <v>0</v>
      </c>
      <c r="Q17" s="84" t="str">
        <f t="shared" si="0"/>
        <v>F40HC</v>
      </c>
      <c r="R17" s="84" t="str">
        <f>VLOOKUP(G17,[1]ListLoaded!$E$6:$P$604,12,0)</f>
        <v>HAC251017100</v>
      </c>
      <c r="S17" s="15" t="e">
        <f>I17&amp;J17&amp;#REF!</f>
        <v>#REF!</v>
      </c>
      <c r="T17" s="84" t="s">
        <v>705</v>
      </c>
      <c r="U17" s="84" t="s">
        <v>706</v>
      </c>
      <c r="V17" s="84" t="s">
        <v>707</v>
      </c>
      <c r="W17" s="47"/>
      <c r="X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K17" s="145"/>
      <c r="AL17" s="48"/>
      <c r="AM17" s="42"/>
      <c r="AN17" s="41">
        <f t="shared" si="2"/>
        <v>0</v>
      </c>
      <c r="AO17" s="41">
        <f t="shared" si="2"/>
        <v>0</v>
      </c>
      <c r="AP17" s="41">
        <f t="shared" si="2"/>
        <v>0</v>
      </c>
      <c r="AQ17" s="41">
        <f t="shared" si="2"/>
        <v>0</v>
      </c>
      <c r="AR17" s="41">
        <f t="shared" si="2"/>
        <v>0</v>
      </c>
      <c r="AS17" s="41">
        <f t="shared" si="2"/>
        <v>0</v>
      </c>
      <c r="AT17" s="41">
        <f t="shared" si="2"/>
        <v>0</v>
      </c>
      <c r="AU17" s="41">
        <f t="shared" si="2"/>
        <v>0</v>
      </c>
      <c r="AV17" s="41">
        <f t="shared" si="2"/>
        <v>0</v>
      </c>
      <c r="AW17" s="41">
        <f t="shared" si="2"/>
        <v>0</v>
      </c>
      <c r="AX17" s="41">
        <f t="shared" si="2"/>
        <v>0</v>
      </c>
      <c r="AY17" s="41">
        <f t="shared" si="2"/>
        <v>0</v>
      </c>
      <c r="AZ17" s="41">
        <f t="shared" si="3"/>
        <v>0</v>
      </c>
      <c r="BA17" s="41">
        <f t="shared" si="3"/>
        <v>0</v>
      </c>
      <c r="BB17" s="41">
        <f t="shared" si="3"/>
        <v>0</v>
      </c>
      <c r="BC17" s="41">
        <f t="shared" si="3"/>
        <v>0</v>
      </c>
      <c r="BD17" s="41">
        <f t="shared" si="4"/>
        <v>0</v>
      </c>
      <c r="BE17" s="43">
        <f t="shared" si="5"/>
        <v>0</v>
      </c>
    </row>
    <row r="18" spans="1:57" ht="24.75" customHeight="1">
      <c r="A18" s="23">
        <v>8</v>
      </c>
      <c r="B18" s="24" t="s">
        <v>50</v>
      </c>
      <c r="C18" s="24" t="s">
        <v>1489</v>
      </c>
      <c r="D18" s="24" t="s">
        <v>86</v>
      </c>
      <c r="E18" s="74" t="s">
        <v>52</v>
      </c>
      <c r="F18" s="24" t="s">
        <v>52</v>
      </c>
      <c r="G18" s="83" t="s">
        <v>659</v>
      </c>
      <c r="H18" s="83" t="str">
        <f>VLOOKUP(G18,[1]ListLoaded!$E$6:$F$544,2,0)</f>
        <v>100784</v>
      </c>
      <c r="I18" s="72" t="str">
        <f>VLOOKUP(G18,[1]ListLoaded!$E$6:$M$550,9,0)</f>
        <v>F</v>
      </c>
      <c r="J18" s="72" t="str">
        <f>VLOOKUP(G18,[1]ListLoaded!$E$6:$I$537,5,0)</f>
        <v>40HC</v>
      </c>
      <c r="K18" s="140">
        <f>VLOOKUP(G18,[1]ListLoaded!$E$6:$L$537,8,0)</f>
        <v>20.13</v>
      </c>
      <c r="L18" s="83" t="str">
        <f>VLOOKUP(G18,[1]ListLoaded!$E$6:$S$645,15,0)</f>
        <v>1114882</v>
      </c>
      <c r="M18" s="86" t="str">
        <f>VLOOKUP(G18,[1]ListLoaded!$E$6:$T$674,16,0)</f>
        <v>K?O</v>
      </c>
      <c r="N18" s="86">
        <f>VLOOKUP(G18,[1]ListLoaded!$E$6:$N$545,10,0)</f>
        <v>0</v>
      </c>
      <c r="O18" s="72"/>
      <c r="P18" s="72">
        <f>VLOOKUP(G18,[1]ListLoaded!$E$6:$O$638,11,0)</f>
        <v>0</v>
      </c>
      <c r="Q18" s="84" t="str">
        <f t="shared" si="0"/>
        <v>F40HC</v>
      </c>
      <c r="R18" s="84" t="str">
        <f>VLOOKUP(G18,[1]ListLoaded!$E$6:$P$604,12,0)</f>
        <v>HAC251017100</v>
      </c>
      <c r="S18" s="15" t="e">
        <f>I18&amp;J18&amp;#REF!</f>
        <v>#REF!</v>
      </c>
      <c r="T18" s="84" t="s">
        <v>708</v>
      </c>
      <c r="U18" s="84" t="s">
        <v>709</v>
      </c>
      <c r="V18" s="84" t="s">
        <v>710</v>
      </c>
      <c r="W18" s="47"/>
      <c r="X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K18" s="145"/>
      <c r="AL18" s="48"/>
      <c r="AM18" s="42"/>
      <c r="AN18" s="41">
        <f t="shared" si="2"/>
        <v>0</v>
      </c>
      <c r="AO18" s="41">
        <f t="shared" si="2"/>
        <v>0</v>
      </c>
      <c r="AP18" s="41">
        <f t="shared" si="2"/>
        <v>0</v>
      </c>
      <c r="AQ18" s="41">
        <f t="shared" si="2"/>
        <v>0</v>
      </c>
      <c r="AR18" s="41">
        <f t="shared" si="2"/>
        <v>0</v>
      </c>
      <c r="AS18" s="41">
        <f t="shared" si="2"/>
        <v>0</v>
      </c>
      <c r="AT18" s="41">
        <f t="shared" si="2"/>
        <v>0</v>
      </c>
      <c r="AU18" s="41">
        <f t="shared" si="2"/>
        <v>0</v>
      </c>
      <c r="AV18" s="41">
        <f t="shared" si="2"/>
        <v>0</v>
      </c>
      <c r="AW18" s="41">
        <f t="shared" si="2"/>
        <v>0</v>
      </c>
      <c r="AX18" s="41">
        <f t="shared" si="2"/>
        <v>0</v>
      </c>
      <c r="AY18" s="41">
        <f t="shared" si="2"/>
        <v>0</v>
      </c>
      <c r="AZ18" s="41">
        <f t="shared" si="3"/>
        <v>0</v>
      </c>
      <c r="BA18" s="41">
        <f t="shared" si="3"/>
        <v>0</v>
      </c>
      <c r="BB18" s="41">
        <f t="shared" si="3"/>
        <v>0</v>
      </c>
      <c r="BC18" s="41">
        <f t="shared" si="3"/>
        <v>0</v>
      </c>
      <c r="BD18" s="41">
        <f t="shared" si="4"/>
        <v>0</v>
      </c>
      <c r="BE18" s="43">
        <f t="shared" si="5"/>
        <v>0</v>
      </c>
    </row>
    <row r="19" spans="1:57" ht="24.75" customHeight="1">
      <c r="A19" s="23">
        <v>9</v>
      </c>
      <c r="B19" s="24" t="s">
        <v>50</v>
      </c>
      <c r="C19" s="24" t="s">
        <v>1489</v>
      </c>
      <c r="D19" s="24" t="s">
        <v>86</v>
      </c>
      <c r="E19" s="74" t="s">
        <v>52</v>
      </c>
      <c r="F19" s="24" t="s">
        <v>52</v>
      </c>
      <c r="G19" s="83" t="s">
        <v>660</v>
      </c>
      <c r="H19" s="83" t="str">
        <f>VLOOKUP(G19,[1]ListLoaded!$E$6:$F$544,2,0)</f>
        <v>220184</v>
      </c>
      <c r="I19" s="72" t="str">
        <f>VLOOKUP(G19,[1]ListLoaded!$E$6:$M$550,9,0)</f>
        <v>F</v>
      </c>
      <c r="J19" s="72" t="str">
        <f>VLOOKUP(G19,[1]ListLoaded!$E$6:$I$537,5,0)</f>
        <v>40HC</v>
      </c>
      <c r="K19" s="140">
        <f>VLOOKUP(G19,[1]ListLoaded!$E$6:$L$537,8,0)</f>
        <v>13.92</v>
      </c>
      <c r="L19" s="83" t="str">
        <f>VLOOKUP(G19,[1]ListLoaded!$E$6:$S$645,15,0)</f>
        <v>1112412</v>
      </c>
      <c r="M19" s="86" t="str">
        <f>VLOOKUP(G19,[1]ListLoaded!$E$6:$T$674,16,0)</f>
        <v>K?O</v>
      </c>
      <c r="N19" s="86">
        <f>VLOOKUP(G19,[1]ListLoaded!$E$6:$N$545,10,0)</f>
        <v>0</v>
      </c>
      <c r="O19" s="72"/>
      <c r="P19" s="72">
        <f>VLOOKUP(G19,[1]ListLoaded!$E$6:$O$638,11,0)</f>
        <v>0</v>
      </c>
      <c r="Q19" s="84" t="str">
        <f t="shared" si="0"/>
        <v>F40HC</v>
      </c>
      <c r="R19" s="84" t="str">
        <f>VLOOKUP(G19,[1]ListLoaded!$E$6:$P$604,12,0)</f>
        <v>HAC251017100</v>
      </c>
      <c r="S19" s="15" t="e">
        <f>I19&amp;J19&amp;#REF!</f>
        <v>#REF!</v>
      </c>
      <c r="T19" s="84" t="s">
        <v>708</v>
      </c>
      <c r="U19" s="84" t="s">
        <v>709</v>
      </c>
      <c r="V19" s="84" t="s">
        <v>710</v>
      </c>
      <c r="W19" s="47"/>
      <c r="X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K19" s="145"/>
      <c r="AL19" s="48"/>
      <c r="AM19" s="42"/>
      <c r="AN19" s="41">
        <f t="shared" si="2"/>
        <v>0</v>
      </c>
      <c r="AO19" s="41">
        <f t="shared" si="2"/>
        <v>0</v>
      </c>
      <c r="AP19" s="41">
        <f t="shared" si="2"/>
        <v>0</v>
      </c>
      <c r="AQ19" s="41">
        <f t="shared" si="2"/>
        <v>0</v>
      </c>
      <c r="AR19" s="41">
        <f t="shared" si="2"/>
        <v>0</v>
      </c>
      <c r="AS19" s="41">
        <f t="shared" si="2"/>
        <v>0</v>
      </c>
      <c r="AT19" s="41">
        <f t="shared" si="2"/>
        <v>0</v>
      </c>
      <c r="AU19" s="41">
        <f t="shared" si="2"/>
        <v>0</v>
      </c>
      <c r="AV19" s="41">
        <f t="shared" si="2"/>
        <v>0</v>
      </c>
      <c r="AW19" s="41">
        <f t="shared" si="2"/>
        <v>0</v>
      </c>
      <c r="AX19" s="41">
        <f t="shared" si="2"/>
        <v>0</v>
      </c>
      <c r="AY19" s="41">
        <f t="shared" si="2"/>
        <v>0</v>
      </c>
      <c r="AZ19" s="41">
        <f t="shared" si="3"/>
        <v>0</v>
      </c>
      <c r="BA19" s="41">
        <f t="shared" si="3"/>
        <v>0</v>
      </c>
      <c r="BB19" s="41">
        <f t="shared" si="3"/>
        <v>0</v>
      </c>
      <c r="BC19" s="41">
        <f t="shared" si="3"/>
        <v>0</v>
      </c>
      <c r="BD19" s="41">
        <f t="shared" si="4"/>
        <v>0</v>
      </c>
      <c r="BE19" s="43">
        <f t="shared" si="5"/>
        <v>0</v>
      </c>
    </row>
    <row r="20" spans="1:57" ht="24.75" customHeight="1">
      <c r="A20" s="23">
        <v>10</v>
      </c>
      <c r="B20" s="24" t="s">
        <v>50</v>
      </c>
      <c r="C20" s="24" t="s">
        <v>1489</v>
      </c>
      <c r="D20" s="24" t="s">
        <v>83</v>
      </c>
      <c r="E20" s="143" t="s">
        <v>1488</v>
      </c>
      <c r="F20" s="24" t="s">
        <v>52</v>
      </c>
      <c r="G20" s="83" t="s">
        <v>1208</v>
      </c>
      <c r="H20" s="83" t="s">
        <v>1479</v>
      </c>
      <c r="I20" s="72" t="s">
        <v>531</v>
      </c>
      <c r="J20" s="72" t="s">
        <v>37</v>
      </c>
      <c r="K20" s="140">
        <v>3.8</v>
      </c>
      <c r="L20" s="83" t="s">
        <v>69</v>
      </c>
      <c r="M20" s="86" t="s">
        <v>56</v>
      </c>
      <c r="N20" s="86">
        <v>0</v>
      </c>
      <c r="O20" s="72" t="s">
        <v>1232</v>
      </c>
      <c r="P20" s="72">
        <v>0</v>
      </c>
      <c r="Q20" s="84" t="str">
        <f t="shared" si="0"/>
        <v>E40HC</v>
      </c>
      <c r="R20" s="84" t="s">
        <v>1462</v>
      </c>
      <c r="S20" s="15" t="s">
        <v>1463</v>
      </c>
      <c r="T20" s="84"/>
      <c r="U20" s="84"/>
      <c r="V20" s="84"/>
      <c r="W20" s="47"/>
      <c r="X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K20" s="145"/>
      <c r="AL20" s="48"/>
      <c r="AM20" s="42"/>
      <c r="AN20" s="41">
        <f t="shared" si="2"/>
        <v>0</v>
      </c>
      <c r="AO20" s="41">
        <f t="shared" si="2"/>
        <v>0</v>
      </c>
      <c r="AP20" s="41">
        <f t="shared" si="2"/>
        <v>0</v>
      </c>
      <c r="AQ20" s="41">
        <f t="shared" si="2"/>
        <v>0</v>
      </c>
      <c r="AR20" s="41">
        <f t="shared" si="2"/>
        <v>0</v>
      </c>
      <c r="AS20" s="41">
        <f t="shared" si="2"/>
        <v>0</v>
      </c>
      <c r="AT20" s="41">
        <f t="shared" si="2"/>
        <v>0</v>
      </c>
      <c r="AU20" s="41">
        <f t="shared" si="2"/>
        <v>0</v>
      </c>
      <c r="AV20" s="41">
        <f t="shared" si="2"/>
        <v>0</v>
      </c>
      <c r="AW20" s="41">
        <f t="shared" si="2"/>
        <v>0</v>
      </c>
      <c r="AX20" s="41">
        <f t="shared" si="2"/>
        <v>0</v>
      </c>
      <c r="AY20" s="41">
        <f t="shared" si="2"/>
        <v>0</v>
      </c>
      <c r="AZ20" s="41">
        <f t="shared" si="3"/>
        <v>0</v>
      </c>
      <c r="BA20" s="41">
        <f t="shared" si="3"/>
        <v>0</v>
      </c>
      <c r="BB20" s="41">
        <f t="shared" si="3"/>
        <v>0</v>
      </c>
      <c r="BC20" s="41">
        <f t="shared" si="3"/>
        <v>0</v>
      </c>
      <c r="BD20" s="41">
        <f t="shared" si="4"/>
        <v>0</v>
      </c>
      <c r="BE20" s="43">
        <f t="shared" si="5"/>
        <v>0</v>
      </c>
    </row>
    <row r="21" spans="1:57" ht="24.75" customHeight="1">
      <c r="A21" s="23">
        <v>11</v>
      </c>
      <c r="B21" s="24" t="s">
        <v>50</v>
      </c>
      <c r="C21" s="24" t="s">
        <v>1489</v>
      </c>
      <c r="D21" s="24" t="s">
        <v>86</v>
      </c>
      <c r="E21" s="74" t="s">
        <v>52</v>
      </c>
      <c r="F21" s="24" t="s">
        <v>52</v>
      </c>
      <c r="G21" s="83" t="s">
        <v>661</v>
      </c>
      <c r="H21" s="83" t="str">
        <f>VLOOKUP(G21,[1]ListLoaded!$E$6:$F$544,2,0)</f>
        <v>180586</v>
      </c>
      <c r="I21" s="72" t="str">
        <f>VLOOKUP(G21,[1]ListLoaded!$E$6:$M$550,9,0)</f>
        <v>F</v>
      </c>
      <c r="J21" s="72" t="str">
        <f>VLOOKUP(G21,[1]ListLoaded!$E$6:$I$537,5,0)</f>
        <v>40HC</v>
      </c>
      <c r="K21" s="140">
        <f>VLOOKUP(G21,[1]ListLoaded!$E$6:$L$537,8,0)</f>
        <v>5.5</v>
      </c>
      <c r="L21" s="83" t="str">
        <f>VLOOKUP(G21,[1]ListLoaded!$E$6:$S$645,15,0)</f>
        <v>1112596</v>
      </c>
      <c r="M21" s="86" t="str">
        <f>VLOOKUP(G21,[1]ListLoaded!$E$6:$T$674,16,0)</f>
        <v>V? LON</v>
      </c>
      <c r="N21" s="86">
        <f>VLOOKUP(G21,[1]ListLoaded!$E$6:$N$545,10,0)</f>
        <v>0</v>
      </c>
      <c r="O21" s="72"/>
      <c r="P21" s="72">
        <f>VLOOKUP(G21,[1]ListLoaded!$E$6:$O$638,11,0)</f>
        <v>0</v>
      </c>
      <c r="Q21" s="84" t="str">
        <f t="shared" si="0"/>
        <v>F40HC</v>
      </c>
      <c r="R21" s="84" t="str">
        <f>VLOOKUP(G21,[1]ListLoaded!$E$6:$P$604,12,0)</f>
        <v>HAC251017100</v>
      </c>
      <c r="S21" s="15" t="e">
        <f>I21&amp;J21&amp;#REF!</f>
        <v>#REF!</v>
      </c>
      <c r="T21" s="84" t="s">
        <v>711</v>
      </c>
      <c r="U21" s="84" t="s">
        <v>712</v>
      </c>
      <c r="V21" s="84" t="s">
        <v>713</v>
      </c>
      <c r="W21" s="47"/>
      <c r="X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K21" s="145"/>
      <c r="AL21" s="48"/>
      <c r="AM21" s="42"/>
      <c r="AN21" s="41">
        <f t="shared" si="2"/>
        <v>0</v>
      </c>
      <c r="AO21" s="41">
        <f t="shared" si="2"/>
        <v>0</v>
      </c>
      <c r="AP21" s="41">
        <f t="shared" si="2"/>
        <v>0</v>
      </c>
      <c r="AQ21" s="41">
        <f t="shared" si="2"/>
        <v>0</v>
      </c>
      <c r="AR21" s="41">
        <f t="shared" si="2"/>
        <v>0</v>
      </c>
      <c r="AS21" s="41">
        <f t="shared" si="2"/>
        <v>0</v>
      </c>
      <c r="AT21" s="41">
        <f t="shared" si="2"/>
        <v>0</v>
      </c>
      <c r="AU21" s="41">
        <f t="shared" si="2"/>
        <v>0</v>
      </c>
      <c r="AV21" s="41">
        <f t="shared" si="2"/>
        <v>0</v>
      </c>
      <c r="AW21" s="41">
        <f t="shared" si="2"/>
        <v>0</v>
      </c>
      <c r="AX21" s="41">
        <f t="shared" si="2"/>
        <v>0</v>
      </c>
      <c r="AY21" s="41">
        <f t="shared" si="2"/>
        <v>0</v>
      </c>
      <c r="AZ21" s="41">
        <f t="shared" si="3"/>
        <v>0</v>
      </c>
      <c r="BA21" s="41">
        <f t="shared" si="3"/>
        <v>0</v>
      </c>
      <c r="BB21" s="41">
        <f t="shared" si="3"/>
        <v>0</v>
      </c>
      <c r="BC21" s="41">
        <f t="shared" si="3"/>
        <v>0</v>
      </c>
      <c r="BD21" s="41">
        <f t="shared" si="4"/>
        <v>0</v>
      </c>
      <c r="BE21" s="43">
        <f t="shared" si="5"/>
        <v>0</v>
      </c>
    </row>
    <row r="22" spans="1:57" ht="24.75" customHeight="1">
      <c r="A22" s="23">
        <v>12</v>
      </c>
      <c r="B22" s="24" t="s">
        <v>50</v>
      </c>
      <c r="C22" s="24" t="s">
        <v>1489</v>
      </c>
      <c r="D22" s="24" t="s">
        <v>86</v>
      </c>
      <c r="E22" s="74" t="s">
        <v>52</v>
      </c>
      <c r="F22" s="24" t="s">
        <v>52</v>
      </c>
      <c r="G22" s="83" t="s">
        <v>662</v>
      </c>
      <c r="H22" s="83" t="str">
        <f>VLOOKUP(G22,[1]ListLoaded!$E$6:$F$544,2,0)</f>
        <v>220386</v>
      </c>
      <c r="I22" s="72" t="str">
        <f>VLOOKUP(G22,[1]ListLoaded!$E$6:$M$550,9,0)</f>
        <v>F</v>
      </c>
      <c r="J22" s="72" t="str">
        <f>VLOOKUP(G22,[1]ListLoaded!$E$6:$I$537,5,0)</f>
        <v>40HC</v>
      </c>
      <c r="K22" s="140">
        <f>VLOOKUP(G22,[1]ListLoaded!$E$6:$L$537,8,0)</f>
        <v>5.32</v>
      </c>
      <c r="L22" s="83" t="str">
        <f>VLOOKUP(G22,[1]ListLoaded!$E$6:$S$645,15,0)</f>
        <v>1113193</v>
      </c>
      <c r="M22" s="86" t="str">
        <f>VLOOKUP(G22,[1]ListLoaded!$E$6:$T$674,16,0)</f>
        <v>V? LON</v>
      </c>
      <c r="N22" s="86">
        <f>VLOOKUP(G22,[1]ListLoaded!$E$6:$N$545,10,0)</f>
        <v>0</v>
      </c>
      <c r="O22" s="72"/>
      <c r="P22" s="72">
        <f>VLOOKUP(G22,[1]ListLoaded!$E$6:$O$638,11,0)</f>
        <v>0</v>
      </c>
      <c r="Q22" s="84" t="str">
        <f t="shared" si="0"/>
        <v>F40HC</v>
      </c>
      <c r="R22" s="84" t="str">
        <f>VLOOKUP(G22,[1]ListLoaded!$E$6:$P$604,12,0)</f>
        <v>HAC251017100</v>
      </c>
      <c r="S22" s="15" t="e">
        <f>I22&amp;J22&amp;#REF!</f>
        <v>#REF!</v>
      </c>
      <c r="T22" s="84" t="s">
        <v>711</v>
      </c>
      <c r="U22" s="84" t="s">
        <v>712</v>
      </c>
      <c r="V22" s="84" t="s">
        <v>713</v>
      </c>
      <c r="W22" s="47"/>
      <c r="X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K22" s="145"/>
      <c r="AL22" s="48"/>
      <c r="AM22" s="42"/>
      <c r="AN22" s="41">
        <f t="shared" si="2"/>
        <v>0</v>
      </c>
      <c r="AO22" s="41">
        <f t="shared" si="2"/>
        <v>0</v>
      </c>
      <c r="AP22" s="41">
        <f t="shared" si="2"/>
        <v>0</v>
      </c>
      <c r="AQ22" s="41">
        <f t="shared" si="2"/>
        <v>0</v>
      </c>
      <c r="AR22" s="41">
        <f t="shared" si="2"/>
        <v>0</v>
      </c>
      <c r="AS22" s="41">
        <f t="shared" si="2"/>
        <v>0</v>
      </c>
      <c r="AT22" s="41">
        <f t="shared" si="2"/>
        <v>0</v>
      </c>
      <c r="AU22" s="41">
        <f t="shared" si="2"/>
        <v>0</v>
      </c>
      <c r="AV22" s="41">
        <f t="shared" si="2"/>
        <v>0</v>
      </c>
      <c r="AW22" s="41">
        <f t="shared" si="2"/>
        <v>0</v>
      </c>
      <c r="AX22" s="41">
        <f t="shared" si="2"/>
        <v>0</v>
      </c>
      <c r="AY22" s="41">
        <f t="shared" si="2"/>
        <v>0</v>
      </c>
      <c r="AZ22" s="41">
        <f t="shared" si="3"/>
        <v>0</v>
      </c>
      <c r="BA22" s="41">
        <f t="shared" si="3"/>
        <v>0</v>
      </c>
      <c r="BB22" s="41">
        <f t="shared" si="3"/>
        <v>0</v>
      </c>
      <c r="BC22" s="41">
        <f t="shared" si="3"/>
        <v>0</v>
      </c>
      <c r="BD22" s="41">
        <f t="shared" si="4"/>
        <v>0</v>
      </c>
      <c r="BE22" s="43">
        <f t="shared" si="5"/>
        <v>0</v>
      </c>
    </row>
    <row r="23" spans="1:57" ht="24.75" customHeight="1">
      <c r="A23" s="23">
        <v>13</v>
      </c>
      <c r="B23" s="24" t="s">
        <v>50</v>
      </c>
      <c r="C23" s="24" t="s">
        <v>1489</v>
      </c>
      <c r="D23" s="24" t="s">
        <v>86</v>
      </c>
      <c r="E23" s="74" t="s">
        <v>52</v>
      </c>
      <c r="F23" s="24" t="s">
        <v>52</v>
      </c>
      <c r="G23" s="83" t="s">
        <v>663</v>
      </c>
      <c r="H23" s="83" t="str">
        <f>VLOOKUP(G23,[1]ListLoaded!$E$6:$F$544,2,0)</f>
        <v>140486</v>
      </c>
      <c r="I23" s="72" t="str">
        <f>VLOOKUP(G23,[1]ListLoaded!$E$6:$M$550,9,0)</f>
        <v>F</v>
      </c>
      <c r="J23" s="72" t="str">
        <f>VLOOKUP(G23,[1]ListLoaded!$E$6:$I$537,5,0)</f>
        <v>40HC</v>
      </c>
      <c r="K23" s="140">
        <f>VLOOKUP(G23,[1]ListLoaded!$E$6:$L$537,8,0)</f>
        <v>5.26</v>
      </c>
      <c r="L23" s="83" t="str">
        <f>VLOOKUP(G23,[1]ListLoaded!$E$6:$S$645,15,0)</f>
        <v>1114233</v>
      </c>
      <c r="M23" s="86" t="str">
        <f>VLOOKUP(G23,[1]ListLoaded!$E$6:$T$674,16,0)</f>
        <v>V? LON</v>
      </c>
      <c r="N23" s="86">
        <f>VLOOKUP(G23,[1]ListLoaded!$E$6:$N$545,10,0)</f>
        <v>0</v>
      </c>
      <c r="O23" s="72"/>
      <c r="P23" s="72">
        <f>VLOOKUP(G23,[1]ListLoaded!$E$6:$O$638,11,0)</f>
        <v>0</v>
      </c>
      <c r="Q23" s="84" t="str">
        <f t="shared" si="0"/>
        <v>F40HC</v>
      </c>
      <c r="R23" s="84" t="str">
        <f>VLOOKUP(G23,[1]ListLoaded!$E$6:$P$604,12,0)</f>
        <v>HAC251017100</v>
      </c>
      <c r="S23" s="15" t="e">
        <f>I23&amp;J23&amp;#REF!</f>
        <v>#REF!</v>
      </c>
      <c r="T23" s="84" t="s">
        <v>711</v>
      </c>
      <c r="U23" s="84" t="s">
        <v>712</v>
      </c>
      <c r="V23" s="84" t="s">
        <v>713</v>
      </c>
      <c r="W23" s="47"/>
      <c r="X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K23" s="145"/>
      <c r="AL23" s="48"/>
      <c r="AM23" s="42"/>
      <c r="AN23" s="41">
        <f t="shared" si="2"/>
        <v>0</v>
      </c>
      <c r="AO23" s="41">
        <f t="shared" si="2"/>
        <v>0</v>
      </c>
      <c r="AP23" s="41">
        <f t="shared" si="2"/>
        <v>0</v>
      </c>
      <c r="AQ23" s="41">
        <f t="shared" si="2"/>
        <v>0</v>
      </c>
      <c r="AR23" s="41">
        <f t="shared" si="2"/>
        <v>0</v>
      </c>
      <c r="AS23" s="41">
        <f t="shared" si="2"/>
        <v>0</v>
      </c>
      <c r="AT23" s="41">
        <f t="shared" si="2"/>
        <v>0</v>
      </c>
      <c r="AU23" s="41">
        <f t="shared" si="2"/>
        <v>0</v>
      </c>
      <c r="AV23" s="41">
        <f t="shared" si="2"/>
        <v>0</v>
      </c>
      <c r="AW23" s="41">
        <f t="shared" si="2"/>
        <v>0</v>
      </c>
      <c r="AX23" s="41">
        <f t="shared" si="2"/>
        <v>0</v>
      </c>
      <c r="AY23" s="41">
        <f t="shared" si="2"/>
        <v>0</v>
      </c>
      <c r="AZ23" s="41">
        <f t="shared" si="3"/>
        <v>0</v>
      </c>
      <c r="BA23" s="41">
        <f t="shared" si="3"/>
        <v>0</v>
      </c>
      <c r="BB23" s="41">
        <f t="shared" si="3"/>
        <v>0</v>
      </c>
      <c r="BC23" s="41">
        <f t="shared" si="3"/>
        <v>0</v>
      </c>
      <c r="BD23" s="41">
        <f t="shared" si="4"/>
        <v>0</v>
      </c>
      <c r="BE23" s="43">
        <f t="shared" si="5"/>
        <v>0</v>
      </c>
    </row>
    <row r="24" spans="1:57" ht="23.45" customHeight="1">
      <c r="A24" s="23">
        <v>14</v>
      </c>
      <c r="B24" s="24" t="s">
        <v>50</v>
      </c>
      <c r="C24" s="24" t="s">
        <v>1489</v>
      </c>
      <c r="D24" s="24" t="s">
        <v>86</v>
      </c>
      <c r="E24" s="74" t="s">
        <v>52</v>
      </c>
      <c r="F24" s="24" t="s">
        <v>52</v>
      </c>
      <c r="G24" s="83" t="s">
        <v>664</v>
      </c>
      <c r="H24" s="83" t="str">
        <f>VLOOKUP(G24,[1]ListLoaded!$E$6:$F$544,2,0)</f>
        <v>020586</v>
      </c>
      <c r="I24" s="72" t="str">
        <f>VLOOKUP(G24,[1]ListLoaded!$E$6:$M$550,9,0)</f>
        <v>F</v>
      </c>
      <c r="J24" s="72" t="str">
        <f>VLOOKUP(G24,[1]ListLoaded!$E$6:$I$537,5,0)</f>
        <v>40HC</v>
      </c>
      <c r="K24" s="140">
        <f>VLOOKUP(G24,[1]ListLoaded!$E$6:$L$537,8,0)</f>
        <v>5.42</v>
      </c>
      <c r="L24" s="83" t="str">
        <f>VLOOKUP(G24,[1]ListLoaded!$E$6:$S$645,15,0)</f>
        <v>026021</v>
      </c>
      <c r="M24" s="86" t="str">
        <f>VLOOKUP(G24,[1]ListLoaded!$E$6:$T$674,16,0)</f>
        <v>V? LON</v>
      </c>
      <c r="N24" s="86">
        <f>VLOOKUP(G24,[1]ListLoaded!$E$6:$N$545,10,0)</f>
        <v>0</v>
      </c>
      <c r="O24" s="72"/>
      <c r="P24" s="72">
        <f>VLOOKUP(G24,[1]ListLoaded!$E$6:$O$638,11,0)</f>
        <v>0</v>
      </c>
      <c r="Q24" s="84" t="str">
        <f t="shared" si="0"/>
        <v>F40HC</v>
      </c>
      <c r="R24" s="84" t="str">
        <f>VLOOKUP(G24,[1]ListLoaded!$E$6:$P$604,12,0)</f>
        <v>HAC251017100</v>
      </c>
      <c r="S24" s="15" t="e">
        <f>I24&amp;J24&amp;#REF!</f>
        <v>#REF!</v>
      </c>
      <c r="T24" s="84" t="s">
        <v>711</v>
      </c>
      <c r="U24" s="84" t="s">
        <v>712</v>
      </c>
      <c r="V24" s="84" t="s">
        <v>713</v>
      </c>
      <c r="W24" s="47"/>
      <c r="X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K24" s="145"/>
      <c r="AL24" s="48"/>
      <c r="AM24" s="42"/>
      <c r="AN24" s="41">
        <f t="shared" ref="AN24:AY33" si="6">COUNTIF($S$11:$S$1505,"F"&amp;AN$11&amp;$AM24)</f>
        <v>0</v>
      </c>
      <c r="AO24" s="41">
        <f t="shared" si="6"/>
        <v>0</v>
      </c>
      <c r="AP24" s="41">
        <f t="shared" si="6"/>
        <v>0</v>
      </c>
      <c r="AQ24" s="41">
        <f t="shared" si="6"/>
        <v>0</v>
      </c>
      <c r="AR24" s="41">
        <f t="shared" si="6"/>
        <v>0</v>
      </c>
      <c r="AS24" s="41">
        <f t="shared" si="6"/>
        <v>0</v>
      </c>
      <c r="AT24" s="41">
        <f t="shared" si="6"/>
        <v>0</v>
      </c>
      <c r="AU24" s="41">
        <f t="shared" si="6"/>
        <v>0</v>
      </c>
      <c r="AV24" s="41">
        <f t="shared" si="6"/>
        <v>0</v>
      </c>
      <c r="AW24" s="41">
        <f t="shared" si="6"/>
        <v>0</v>
      </c>
      <c r="AX24" s="41">
        <f t="shared" si="6"/>
        <v>0</v>
      </c>
      <c r="AY24" s="41">
        <f t="shared" si="6"/>
        <v>0</v>
      </c>
      <c r="AZ24" s="41">
        <f t="shared" si="3"/>
        <v>0</v>
      </c>
      <c r="BA24" s="41">
        <f t="shared" si="3"/>
        <v>0</v>
      </c>
      <c r="BB24" s="41">
        <f t="shared" si="3"/>
        <v>0</v>
      </c>
      <c r="BC24" s="41">
        <f t="shared" si="3"/>
        <v>0</v>
      </c>
      <c r="BD24" s="41">
        <f t="shared" si="4"/>
        <v>0</v>
      </c>
      <c r="BE24" s="43">
        <f t="shared" si="5"/>
        <v>0</v>
      </c>
    </row>
    <row r="25" spans="1:57" ht="23.45" customHeight="1">
      <c r="A25" s="23">
        <v>15</v>
      </c>
      <c r="B25" s="24" t="s">
        <v>50</v>
      </c>
      <c r="C25" s="24" t="s">
        <v>1489</v>
      </c>
      <c r="D25" s="24" t="s">
        <v>86</v>
      </c>
      <c r="E25" s="74" t="s">
        <v>52</v>
      </c>
      <c r="F25" s="24" t="s">
        <v>52</v>
      </c>
      <c r="G25" s="83" t="s">
        <v>665</v>
      </c>
      <c r="H25" s="83" t="str">
        <f>VLOOKUP(G25,[1]ListLoaded!$E$6:$F$544,2,0)</f>
        <v>020686</v>
      </c>
      <c r="I25" s="72" t="str">
        <f>VLOOKUP(G25,[1]ListLoaded!$E$6:$M$550,9,0)</f>
        <v>F</v>
      </c>
      <c r="J25" s="72" t="str">
        <f>VLOOKUP(G25,[1]ListLoaded!$E$6:$I$537,5,0)</f>
        <v>40HC</v>
      </c>
      <c r="K25" s="140">
        <f>VLOOKUP(G25,[1]ListLoaded!$E$6:$L$537,8,0)</f>
        <v>5.5</v>
      </c>
      <c r="L25" s="83" t="str">
        <f>VLOOKUP(G25,[1]ListLoaded!$E$6:$S$645,15,0)</f>
        <v>1107360</v>
      </c>
      <c r="M25" s="86" t="str">
        <f>VLOOKUP(G25,[1]ListLoaded!$E$6:$T$674,16,0)</f>
        <v>V? LON</v>
      </c>
      <c r="N25" s="86">
        <f>VLOOKUP(G25,[1]ListLoaded!$E$6:$N$545,10,0)</f>
        <v>0</v>
      </c>
      <c r="O25" s="72"/>
      <c r="P25" s="72">
        <f>VLOOKUP(G25,[1]ListLoaded!$E$6:$O$638,11,0)</f>
        <v>0</v>
      </c>
      <c r="Q25" s="84" t="str">
        <f t="shared" si="0"/>
        <v>F40HC</v>
      </c>
      <c r="R25" s="84" t="str">
        <f>VLOOKUP(G25,[1]ListLoaded!$E$6:$P$604,12,0)</f>
        <v>HAC251017100</v>
      </c>
      <c r="S25" s="15" t="e">
        <f>I25&amp;J25&amp;#REF!</f>
        <v>#REF!</v>
      </c>
      <c r="T25" s="84" t="s">
        <v>711</v>
      </c>
      <c r="U25" s="84" t="s">
        <v>712</v>
      </c>
      <c r="V25" s="84" t="s">
        <v>713</v>
      </c>
      <c r="W25" s="47"/>
      <c r="X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K25" s="145"/>
      <c r="AL25" s="48"/>
      <c r="AM25" s="42"/>
      <c r="AN25" s="41">
        <f t="shared" si="6"/>
        <v>0</v>
      </c>
      <c r="AO25" s="41">
        <f t="shared" si="6"/>
        <v>0</v>
      </c>
      <c r="AP25" s="41">
        <f t="shared" si="6"/>
        <v>0</v>
      </c>
      <c r="AQ25" s="41">
        <f t="shared" si="6"/>
        <v>0</v>
      </c>
      <c r="AR25" s="41">
        <f t="shared" si="6"/>
        <v>0</v>
      </c>
      <c r="AS25" s="41">
        <f t="shared" si="6"/>
        <v>0</v>
      </c>
      <c r="AT25" s="41">
        <f t="shared" si="6"/>
        <v>0</v>
      </c>
      <c r="AU25" s="41">
        <f t="shared" si="6"/>
        <v>0</v>
      </c>
      <c r="AV25" s="41">
        <f t="shared" si="6"/>
        <v>0</v>
      </c>
      <c r="AW25" s="41">
        <f t="shared" si="6"/>
        <v>0</v>
      </c>
      <c r="AX25" s="41">
        <f t="shared" si="6"/>
        <v>0</v>
      </c>
      <c r="AY25" s="41">
        <f t="shared" si="6"/>
        <v>0</v>
      </c>
      <c r="AZ25" s="41">
        <f t="shared" si="3"/>
        <v>0</v>
      </c>
      <c r="BA25" s="41">
        <f t="shared" si="3"/>
        <v>0</v>
      </c>
      <c r="BB25" s="41">
        <f t="shared" si="3"/>
        <v>0</v>
      </c>
      <c r="BC25" s="41">
        <f t="shared" si="3"/>
        <v>0</v>
      </c>
      <c r="BD25" s="41">
        <f t="shared" si="4"/>
        <v>0</v>
      </c>
      <c r="BE25" s="43">
        <f t="shared" si="5"/>
        <v>0</v>
      </c>
    </row>
    <row r="26" spans="1:57" ht="25.5" customHeight="1">
      <c r="A26" s="23">
        <v>16</v>
      </c>
      <c r="B26" s="24" t="s">
        <v>50</v>
      </c>
      <c r="C26" s="24" t="s">
        <v>1489</v>
      </c>
      <c r="D26" s="24" t="s">
        <v>86</v>
      </c>
      <c r="E26" s="74" t="s">
        <v>52</v>
      </c>
      <c r="F26" s="24" t="s">
        <v>52</v>
      </c>
      <c r="G26" s="83" t="s">
        <v>666</v>
      </c>
      <c r="H26" s="83" t="str">
        <f>VLOOKUP(G26,[1]ListLoaded!$E$6:$F$544,2,0)</f>
        <v>220186</v>
      </c>
      <c r="I26" s="72" t="str">
        <f>VLOOKUP(G26,[1]ListLoaded!$E$6:$M$550,9,0)</f>
        <v>F</v>
      </c>
      <c r="J26" s="72" t="str">
        <f>VLOOKUP(G26,[1]ListLoaded!$E$6:$I$537,5,0)</f>
        <v>40HC</v>
      </c>
      <c r="K26" s="140">
        <f>VLOOKUP(G26,[1]ListLoaded!$E$6:$L$537,8,0)</f>
        <v>7.6</v>
      </c>
      <c r="L26" s="83" t="str">
        <f>VLOOKUP(G26,[1]ListLoaded!$E$6:$S$645,15,0)</f>
        <v>024773</v>
      </c>
      <c r="M26" s="86" t="str">
        <f>VLOOKUP(G26,[1]ListLoaded!$E$6:$T$674,16,0)</f>
        <v>V? LON</v>
      </c>
      <c r="N26" s="86">
        <f>VLOOKUP(G26,[1]ListLoaded!$E$6:$N$545,10,0)</f>
        <v>0</v>
      </c>
      <c r="O26" s="72"/>
      <c r="P26" s="72">
        <f>VLOOKUP(G26,[1]ListLoaded!$E$6:$O$638,11,0)</f>
        <v>0</v>
      </c>
      <c r="Q26" s="84" t="str">
        <f t="shared" si="0"/>
        <v>F40HC</v>
      </c>
      <c r="R26" s="84" t="str">
        <f>VLOOKUP(G26,[1]ListLoaded!$E$6:$P$604,12,0)</f>
        <v>HAC251017100</v>
      </c>
      <c r="S26" s="15" t="e">
        <f>I26&amp;J26&amp;#REF!</f>
        <v>#REF!</v>
      </c>
      <c r="T26" s="84" t="s">
        <v>711</v>
      </c>
      <c r="U26" s="84" t="s">
        <v>712</v>
      </c>
      <c r="V26" s="84" t="s">
        <v>713</v>
      </c>
      <c r="W26" s="47"/>
      <c r="X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K26" s="145"/>
      <c r="AL26" s="48"/>
      <c r="AM26" s="42"/>
      <c r="AN26" s="41">
        <f t="shared" si="6"/>
        <v>0</v>
      </c>
      <c r="AO26" s="41">
        <f t="shared" si="6"/>
        <v>0</v>
      </c>
      <c r="AP26" s="41">
        <f t="shared" si="6"/>
        <v>0</v>
      </c>
      <c r="AQ26" s="41">
        <f t="shared" si="6"/>
        <v>0</v>
      </c>
      <c r="AR26" s="41">
        <f t="shared" si="6"/>
        <v>0</v>
      </c>
      <c r="AS26" s="41">
        <f t="shared" si="6"/>
        <v>0</v>
      </c>
      <c r="AT26" s="41">
        <f t="shared" si="6"/>
        <v>0</v>
      </c>
      <c r="AU26" s="41">
        <f t="shared" si="6"/>
        <v>0</v>
      </c>
      <c r="AV26" s="41">
        <f t="shared" si="6"/>
        <v>0</v>
      </c>
      <c r="AW26" s="41">
        <f t="shared" si="6"/>
        <v>0</v>
      </c>
      <c r="AX26" s="41">
        <f t="shared" si="6"/>
        <v>0</v>
      </c>
      <c r="AY26" s="41">
        <f t="shared" si="6"/>
        <v>0</v>
      </c>
      <c r="AZ26" s="41">
        <f t="shared" si="3"/>
        <v>0</v>
      </c>
      <c r="BA26" s="41">
        <f t="shared" si="3"/>
        <v>0</v>
      </c>
      <c r="BB26" s="41">
        <f t="shared" si="3"/>
        <v>0</v>
      </c>
      <c r="BC26" s="41">
        <f t="shared" si="3"/>
        <v>0</v>
      </c>
      <c r="BD26" s="41">
        <f t="shared" si="4"/>
        <v>0</v>
      </c>
      <c r="BE26" s="43">
        <f t="shared" si="5"/>
        <v>0</v>
      </c>
    </row>
    <row r="27" spans="1:57" ht="24.75" customHeight="1">
      <c r="A27" s="23">
        <v>17</v>
      </c>
      <c r="B27" s="24" t="s">
        <v>50</v>
      </c>
      <c r="C27" s="24" t="s">
        <v>1489</v>
      </c>
      <c r="D27" s="24" t="s">
        <v>86</v>
      </c>
      <c r="E27" s="74" t="s">
        <v>52</v>
      </c>
      <c r="F27" s="24" t="s">
        <v>52</v>
      </c>
      <c r="G27" s="83" t="s">
        <v>667</v>
      </c>
      <c r="H27" s="83" t="str">
        <f>VLOOKUP(G27,[1]ListLoaded!$E$6:$F$544,2,0)</f>
        <v>140586</v>
      </c>
      <c r="I27" s="72" t="str">
        <f>VLOOKUP(G27,[1]ListLoaded!$E$6:$M$550,9,0)</f>
        <v>F</v>
      </c>
      <c r="J27" s="72" t="str">
        <f>VLOOKUP(G27,[1]ListLoaded!$E$6:$I$537,5,0)</f>
        <v>40HC</v>
      </c>
      <c r="K27" s="140">
        <f>VLOOKUP(G27,[1]ListLoaded!$E$6:$L$537,8,0)</f>
        <v>5.4</v>
      </c>
      <c r="L27" s="83" t="str">
        <f>VLOOKUP(G27,[1]ListLoaded!$E$6:$S$645,15,0)</f>
        <v>656202</v>
      </c>
      <c r="M27" s="86" t="str">
        <f>VLOOKUP(G27,[1]ListLoaded!$E$6:$T$674,16,0)</f>
        <v>V? LON</v>
      </c>
      <c r="N27" s="86">
        <f>VLOOKUP(G27,[1]ListLoaded!$E$6:$N$545,10,0)</f>
        <v>0</v>
      </c>
      <c r="O27" s="72"/>
      <c r="P27" s="72">
        <f>VLOOKUP(G27,[1]ListLoaded!$E$6:$O$638,11,0)</f>
        <v>0</v>
      </c>
      <c r="Q27" s="84" t="str">
        <f t="shared" si="0"/>
        <v>F40HC</v>
      </c>
      <c r="R27" s="84" t="str">
        <f>VLOOKUP(G27,[1]ListLoaded!$E$6:$P$604,12,0)</f>
        <v>HAC251017100</v>
      </c>
      <c r="S27" s="15" t="e">
        <f>I27&amp;J27&amp;#REF!</f>
        <v>#REF!</v>
      </c>
      <c r="T27" s="84" t="s">
        <v>711</v>
      </c>
      <c r="U27" s="84" t="s">
        <v>712</v>
      </c>
      <c r="V27" s="84" t="s">
        <v>713</v>
      </c>
      <c r="W27" s="47"/>
      <c r="X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K27" s="145"/>
      <c r="AL27" s="48"/>
      <c r="AM27" s="42"/>
      <c r="AN27" s="41">
        <f t="shared" si="6"/>
        <v>0</v>
      </c>
      <c r="AO27" s="41">
        <f t="shared" si="6"/>
        <v>0</v>
      </c>
      <c r="AP27" s="41">
        <f t="shared" si="6"/>
        <v>0</v>
      </c>
      <c r="AQ27" s="41">
        <f t="shared" si="6"/>
        <v>0</v>
      </c>
      <c r="AR27" s="41">
        <f t="shared" si="6"/>
        <v>0</v>
      </c>
      <c r="AS27" s="41">
        <f t="shared" si="6"/>
        <v>0</v>
      </c>
      <c r="AT27" s="41">
        <f t="shared" si="6"/>
        <v>0</v>
      </c>
      <c r="AU27" s="41">
        <f t="shared" si="6"/>
        <v>0</v>
      </c>
      <c r="AV27" s="41">
        <f t="shared" si="6"/>
        <v>0</v>
      </c>
      <c r="AW27" s="41">
        <f t="shared" si="6"/>
        <v>0</v>
      </c>
      <c r="AX27" s="41">
        <f t="shared" si="6"/>
        <v>0</v>
      </c>
      <c r="AY27" s="41">
        <f t="shared" si="6"/>
        <v>0</v>
      </c>
      <c r="AZ27" s="41">
        <f t="shared" si="3"/>
        <v>0</v>
      </c>
      <c r="BA27" s="41">
        <f t="shared" si="3"/>
        <v>0</v>
      </c>
      <c r="BB27" s="41">
        <f t="shared" si="3"/>
        <v>0</v>
      </c>
      <c r="BC27" s="41">
        <f t="shared" si="3"/>
        <v>0</v>
      </c>
      <c r="BD27" s="41">
        <f t="shared" si="4"/>
        <v>0</v>
      </c>
      <c r="BE27" s="43">
        <f t="shared" si="5"/>
        <v>0</v>
      </c>
    </row>
    <row r="28" spans="1:57" ht="24.75" customHeight="1">
      <c r="A28" s="23">
        <v>18</v>
      </c>
      <c r="B28" s="24" t="s">
        <v>50</v>
      </c>
      <c r="C28" s="24" t="s">
        <v>1489</v>
      </c>
      <c r="D28" s="24" t="s">
        <v>86</v>
      </c>
      <c r="E28" s="74" t="s">
        <v>52</v>
      </c>
      <c r="F28" s="24" t="s">
        <v>52</v>
      </c>
      <c r="G28" s="83" t="s">
        <v>668</v>
      </c>
      <c r="H28" s="83" t="str">
        <f>VLOOKUP(G28,[1]ListLoaded!$E$6:$F$544,2,0)</f>
        <v>140786</v>
      </c>
      <c r="I28" s="72" t="str">
        <f>VLOOKUP(G28,[1]ListLoaded!$E$6:$M$550,9,0)</f>
        <v>F</v>
      </c>
      <c r="J28" s="72" t="str">
        <f>VLOOKUP(G28,[1]ListLoaded!$E$6:$I$537,5,0)</f>
        <v>40HC</v>
      </c>
      <c r="K28" s="140">
        <f>VLOOKUP(G28,[1]ListLoaded!$E$6:$L$537,8,0)</f>
        <v>5.42</v>
      </c>
      <c r="L28" s="83" t="str">
        <f>VLOOKUP(G28,[1]ListLoaded!$E$6:$S$645,15,0)</f>
        <v>656104</v>
      </c>
      <c r="M28" s="86" t="str">
        <f>VLOOKUP(G28,[1]ListLoaded!$E$6:$T$674,16,0)</f>
        <v>V? LON</v>
      </c>
      <c r="N28" s="86">
        <f>VLOOKUP(G28,[1]ListLoaded!$E$6:$N$545,10,0)</f>
        <v>0</v>
      </c>
      <c r="O28" s="72"/>
      <c r="P28" s="72">
        <f>VLOOKUP(G28,[1]ListLoaded!$E$6:$O$638,11,0)</f>
        <v>0</v>
      </c>
      <c r="Q28" s="84" t="str">
        <f t="shared" si="0"/>
        <v>F40HC</v>
      </c>
      <c r="R28" s="84" t="str">
        <f>VLOOKUP(G28,[1]ListLoaded!$E$6:$P$604,12,0)</f>
        <v>HAC251017100</v>
      </c>
      <c r="S28" s="15" t="e">
        <f>I28&amp;J28&amp;#REF!</f>
        <v>#REF!</v>
      </c>
      <c r="T28" s="84" t="s">
        <v>711</v>
      </c>
      <c r="U28" s="84" t="s">
        <v>712</v>
      </c>
      <c r="V28" s="84" t="s">
        <v>713</v>
      </c>
      <c r="W28" s="47"/>
      <c r="X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K28" s="145"/>
      <c r="AL28" s="48"/>
      <c r="AM28" s="42"/>
      <c r="AN28" s="41">
        <f t="shared" si="6"/>
        <v>0</v>
      </c>
      <c r="AO28" s="41">
        <f t="shared" si="6"/>
        <v>0</v>
      </c>
      <c r="AP28" s="41">
        <f t="shared" si="6"/>
        <v>0</v>
      </c>
      <c r="AQ28" s="41">
        <f t="shared" si="6"/>
        <v>0</v>
      </c>
      <c r="AR28" s="41">
        <f t="shared" si="6"/>
        <v>0</v>
      </c>
      <c r="AS28" s="41">
        <f t="shared" si="6"/>
        <v>0</v>
      </c>
      <c r="AT28" s="41">
        <f t="shared" si="6"/>
        <v>0</v>
      </c>
      <c r="AU28" s="41">
        <f t="shared" si="6"/>
        <v>0</v>
      </c>
      <c r="AV28" s="41">
        <f t="shared" si="6"/>
        <v>0</v>
      </c>
      <c r="AW28" s="41">
        <f t="shared" si="6"/>
        <v>0</v>
      </c>
      <c r="AX28" s="41">
        <f t="shared" si="6"/>
        <v>0</v>
      </c>
      <c r="AY28" s="41">
        <f t="shared" si="6"/>
        <v>0</v>
      </c>
      <c r="AZ28" s="41">
        <f t="shared" si="3"/>
        <v>0</v>
      </c>
      <c r="BA28" s="41">
        <f t="shared" si="3"/>
        <v>0</v>
      </c>
      <c r="BB28" s="41">
        <f t="shared" si="3"/>
        <v>0</v>
      </c>
      <c r="BC28" s="41">
        <f t="shared" si="3"/>
        <v>0</v>
      </c>
      <c r="BD28" s="41">
        <f t="shared" si="4"/>
        <v>0</v>
      </c>
      <c r="BE28" s="43">
        <f t="shared" si="5"/>
        <v>0</v>
      </c>
    </row>
    <row r="29" spans="1:57" ht="24.75" customHeight="1">
      <c r="A29" s="23">
        <v>19</v>
      </c>
      <c r="B29" s="24" t="s">
        <v>50</v>
      </c>
      <c r="C29" s="24" t="s">
        <v>1489</v>
      </c>
      <c r="D29" s="24" t="s">
        <v>86</v>
      </c>
      <c r="E29" s="74" t="s">
        <v>52</v>
      </c>
      <c r="F29" s="24" t="s">
        <v>52</v>
      </c>
      <c r="G29" s="83" t="s">
        <v>669</v>
      </c>
      <c r="H29" s="83" t="str">
        <f>VLOOKUP(G29,[1]ListLoaded!$E$6:$F$544,2,0)</f>
        <v>060286</v>
      </c>
      <c r="I29" s="72" t="str">
        <f>VLOOKUP(G29,[1]ListLoaded!$E$6:$M$550,9,0)</f>
        <v>F</v>
      </c>
      <c r="J29" s="72" t="str">
        <f>VLOOKUP(G29,[1]ListLoaded!$E$6:$I$537,5,0)</f>
        <v>40HC</v>
      </c>
      <c r="K29" s="140">
        <f>VLOOKUP(G29,[1]ListLoaded!$E$6:$L$537,8,0)</f>
        <v>6.25</v>
      </c>
      <c r="L29" s="83" t="str">
        <f>VLOOKUP(G29,[1]ListLoaded!$E$6:$S$645,15,0)</f>
        <v>23408765</v>
      </c>
      <c r="M29" s="86" t="str">
        <f>VLOOKUP(G29,[1]ListLoaded!$E$6:$T$674,16,0)</f>
        <v>V? LON</v>
      </c>
      <c r="N29" s="86">
        <f>VLOOKUP(G29,[1]ListLoaded!$E$6:$N$545,10,0)</f>
        <v>0</v>
      </c>
      <c r="O29" s="72"/>
      <c r="P29" s="72">
        <f>VLOOKUP(G29,[1]ListLoaded!$E$6:$O$638,11,0)</f>
        <v>0</v>
      </c>
      <c r="Q29" s="84" t="str">
        <f t="shared" si="0"/>
        <v>F40HC</v>
      </c>
      <c r="R29" s="84" t="str">
        <f>VLOOKUP(G29,[1]ListLoaded!$E$6:$P$604,12,0)</f>
        <v>HAC251017100</v>
      </c>
      <c r="S29" s="15" t="e">
        <f>I29&amp;J29&amp;#REF!</f>
        <v>#REF!</v>
      </c>
      <c r="T29" s="84" t="s">
        <v>711</v>
      </c>
      <c r="U29" s="84" t="s">
        <v>712</v>
      </c>
      <c r="V29" s="84" t="s">
        <v>713</v>
      </c>
      <c r="W29" s="47"/>
      <c r="X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K29" s="145"/>
      <c r="AL29" s="48"/>
      <c r="AM29" s="42"/>
      <c r="AN29" s="41">
        <f t="shared" si="6"/>
        <v>0</v>
      </c>
      <c r="AO29" s="41">
        <f t="shared" si="6"/>
        <v>0</v>
      </c>
      <c r="AP29" s="41">
        <f t="shared" si="6"/>
        <v>0</v>
      </c>
      <c r="AQ29" s="41">
        <f t="shared" si="6"/>
        <v>0</v>
      </c>
      <c r="AR29" s="41">
        <f t="shared" si="6"/>
        <v>0</v>
      </c>
      <c r="AS29" s="41">
        <f t="shared" si="6"/>
        <v>0</v>
      </c>
      <c r="AT29" s="41">
        <f t="shared" si="6"/>
        <v>0</v>
      </c>
      <c r="AU29" s="41">
        <f t="shared" si="6"/>
        <v>0</v>
      </c>
      <c r="AV29" s="41">
        <f t="shared" si="6"/>
        <v>0</v>
      </c>
      <c r="AW29" s="41">
        <f t="shared" si="6"/>
        <v>0</v>
      </c>
      <c r="AX29" s="41">
        <f t="shared" si="6"/>
        <v>0</v>
      </c>
      <c r="AY29" s="41">
        <f t="shared" si="6"/>
        <v>0</v>
      </c>
      <c r="AZ29" s="41">
        <f t="shared" si="3"/>
        <v>0</v>
      </c>
      <c r="BA29" s="41">
        <f t="shared" si="3"/>
        <v>0</v>
      </c>
      <c r="BB29" s="41">
        <f t="shared" si="3"/>
        <v>0</v>
      </c>
      <c r="BC29" s="41">
        <f t="shared" si="3"/>
        <v>0</v>
      </c>
      <c r="BD29" s="41">
        <f t="shared" si="4"/>
        <v>0</v>
      </c>
      <c r="BE29" s="43">
        <f t="shared" si="5"/>
        <v>0</v>
      </c>
    </row>
    <row r="30" spans="1:57" ht="24.75" customHeight="1">
      <c r="A30" s="23">
        <v>20</v>
      </c>
      <c r="B30" s="24" t="s">
        <v>50</v>
      </c>
      <c r="C30" s="24" t="s">
        <v>1489</v>
      </c>
      <c r="D30" s="24" t="s">
        <v>83</v>
      </c>
      <c r="E30" s="143" t="s">
        <v>1488</v>
      </c>
      <c r="F30" s="24" t="s">
        <v>52</v>
      </c>
      <c r="G30" s="83" t="s">
        <v>1207</v>
      </c>
      <c r="H30" s="83" t="s">
        <v>1480</v>
      </c>
      <c r="I30" s="72" t="s">
        <v>531</v>
      </c>
      <c r="J30" s="72" t="s">
        <v>37</v>
      </c>
      <c r="K30" s="140">
        <v>3.8</v>
      </c>
      <c r="L30" s="83" t="s">
        <v>69</v>
      </c>
      <c r="M30" s="86" t="s">
        <v>56</v>
      </c>
      <c r="N30" s="86">
        <v>0</v>
      </c>
      <c r="O30" s="72" t="s">
        <v>1232</v>
      </c>
      <c r="P30" s="72">
        <v>0</v>
      </c>
      <c r="Q30" s="84" t="str">
        <f t="shared" si="0"/>
        <v>E40HC</v>
      </c>
      <c r="R30" s="84" t="s">
        <v>1462</v>
      </c>
      <c r="S30" s="15" t="s">
        <v>1463</v>
      </c>
      <c r="T30" s="84"/>
      <c r="U30" s="84"/>
      <c r="V30" s="84"/>
      <c r="W30" s="47"/>
      <c r="X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K30" s="145"/>
      <c r="AL30" s="48"/>
      <c r="AM30" s="42"/>
      <c r="AN30" s="41">
        <f t="shared" si="6"/>
        <v>0</v>
      </c>
      <c r="AO30" s="41">
        <f t="shared" si="6"/>
        <v>0</v>
      </c>
      <c r="AP30" s="41">
        <f t="shared" si="6"/>
        <v>0</v>
      </c>
      <c r="AQ30" s="41">
        <f t="shared" si="6"/>
        <v>0</v>
      </c>
      <c r="AR30" s="41">
        <f t="shared" si="6"/>
        <v>0</v>
      </c>
      <c r="AS30" s="41">
        <f t="shared" si="6"/>
        <v>0</v>
      </c>
      <c r="AT30" s="41">
        <f t="shared" si="6"/>
        <v>0</v>
      </c>
      <c r="AU30" s="41">
        <f t="shared" si="6"/>
        <v>0</v>
      </c>
      <c r="AV30" s="41">
        <f t="shared" si="6"/>
        <v>0</v>
      </c>
      <c r="AW30" s="41">
        <f t="shared" si="6"/>
        <v>0</v>
      </c>
      <c r="AX30" s="41">
        <f t="shared" si="6"/>
        <v>0</v>
      </c>
      <c r="AY30" s="41">
        <f t="shared" si="6"/>
        <v>0</v>
      </c>
      <c r="AZ30" s="41">
        <f t="shared" si="3"/>
        <v>0</v>
      </c>
      <c r="BA30" s="41">
        <f t="shared" si="3"/>
        <v>0</v>
      </c>
      <c r="BB30" s="41">
        <f t="shared" si="3"/>
        <v>0</v>
      </c>
      <c r="BC30" s="41">
        <f t="shared" si="3"/>
        <v>0</v>
      </c>
      <c r="BD30" s="41">
        <f t="shared" si="4"/>
        <v>0</v>
      </c>
      <c r="BE30" s="43">
        <f t="shared" si="5"/>
        <v>0</v>
      </c>
    </row>
    <row r="31" spans="1:57" ht="24.75" customHeight="1">
      <c r="A31" s="23">
        <v>21</v>
      </c>
      <c r="B31" s="24" t="s">
        <v>50</v>
      </c>
      <c r="C31" s="24" t="s">
        <v>1489</v>
      </c>
      <c r="D31" s="24" t="s">
        <v>86</v>
      </c>
      <c r="E31" s="74" t="s">
        <v>52</v>
      </c>
      <c r="F31" s="24" t="s">
        <v>52</v>
      </c>
      <c r="G31" s="83" t="s">
        <v>670</v>
      </c>
      <c r="H31" s="83" t="str">
        <f>VLOOKUP(G31,[1]ListLoaded!$E$6:$F$544,2,0)</f>
        <v>220586</v>
      </c>
      <c r="I31" s="72" t="str">
        <f>VLOOKUP(G31,[1]ListLoaded!$E$6:$M$550,9,0)</f>
        <v>F</v>
      </c>
      <c r="J31" s="72" t="str">
        <f>VLOOKUP(G31,[1]ListLoaded!$E$6:$I$537,5,0)</f>
        <v>40HC</v>
      </c>
      <c r="K31" s="140">
        <f>VLOOKUP(G31,[1]ListLoaded!$E$6:$L$537,8,0)</f>
        <v>5.76</v>
      </c>
      <c r="L31" s="83" t="str">
        <f>VLOOKUP(G31,[1]ListLoaded!$E$6:$S$645,15,0)</f>
        <v>1033136</v>
      </c>
      <c r="M31" s="86" t="str">
        <f>VLOOKUP(G31,[1]ListLoaded!$E$6:$T$674,16,0)</f>
        <v>V? LON</v>
      </c>
      <c r="N31" s="86">
        <f>VLOOKUP(G31,[1]ListLoaded!$E$6:$N$545,10,0)</f>
        <v>0</v>
      </c>
      <c r="O31" s="72"/>
      <c r="P31" s="72">
        <f>VLOOKUP(G31,[1]ListLoaded!$E$6:$O$638,11,0)</f>
        <v>0</v>
      </c>
      <c r="Q31" s="84" t="str">
        <f t="shared" si="0"/>
        <v>F40HC</v>
      </c>
      <c r="R31" s="84" t="str">
        <f>VLOOKUP(G31,[1]ListLoaded!$E$6:$P$604,12,0)</f>
        <v>HAC251017100</v>
      </c>
      <c r="S31" s="15" t="e">
        <f>I31&amp;J31&amp;#REF!</f>
        <v>#REF!</v>
      </c>
      <c r="T31" s="84" t="s">
        <v>711</v>
      </c>
      <c r="U31" s="84" t="s">
        <v>712</v>
      </c>
      <c r="V31" s="84" t="s">
        <v>713</v>
      </c>
      <c r="W31" s="47"/>
      <c r="X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K31" s="145"/>
      <c r="AL31" s="48"/>
      <c r="AM31" s="42"/>
      <c r="AN31" s="41">
        <f t="shared" si="6"/>
        <v>0</v>
      </c>
      <c r="AO31" s="41">
        <f t="shared" si="6"/>
        <v>0</v>
      </c>
      <c r="AP31" s="41">
        <f t="shared" si="6"/>
        <v>0</v>
      </c>
      <c r="AQ31" s="41">
        <f t="shared" si="6"/>
        <v>0</v>
      </c>
      <c r="AR31" s="41">
        <f t="shared" si="6"/>
        <v>0</v>
      </c>
      <c r="AS31" s="41">
        <f t="shared" si="6"/>
        <v>0</v>
      </c>
      <c r="AT31" s="41">
        <f t="shared" si="6"/>
        <v>0</v>
      </c>
      <c r="AU31" s="41">
        <f t="shared" si="6"/>
        <v>0</v>
      </c>
      <c r="AV31" s="41">
        <f t="shared" si="6"/>
        <v>0</v>
      </c>
      <c r="AW31" s="41">
        <f t="shared" si="6"/>
        <v>0</v>
      </c>
      <c r="AX31" s="41">
        <f t="shared" si="6"/>
        <v>0</v>
      </c>
      <c r="AY31" s="41">
        <f t="shared" si="6"/>
        <v>0</v>
      </c>
      <c r="AZ31" s="41">
        <f t="shared" si="3"/>
        <v>0</v>
      </c>
      <c r="BA31" s="41">
        <f t="shared" si="3"/>
        <v>0</v>
      </c>
      <c r="BB31" s="41">
        <f t="shared" si="3"/>
        <v>0</v>
      </c>
      <c r="BC31" s="41">
        <f t="shared" si="3"/>
        <v>0</v>
      </c>
      <c r="BD31" s="41">
        <f t="shared" si="4"/>
        <v>0</v>
      </c>
      <c r="BE31" s="43">
        <f t="shared" si="5"/>
        <v>0</v>
      </c>
    </row>
    <row r="32" spans="1:57" ht="24.75" customHeight="1">
      <c r="A32" s="23">
        <v>22</v>
      </c>
      <c r="B32" s="24" t="s">
        <v>50</v>
      </c>
      <c r="C32" s="24" t="s">
        <v>1489</v>
      </c>
      <c r="D32" s="24" t="s">
        <v>86</v>
      </c>
      <c r="E32" s="74" t="s">
        <v>52</v>
      </c>
      <c r="F32" s="24" t="s">
        <v>52</v>
      </c>
      <c r="G32" s="83" t="s">
        <v>671</v>
      </c>
      <c r="H32" s="83" t="str">
        <f>VLOOKUP(G32,[1]ListLoaded!$E$6:$F$544,2,0)</f>
        <v>140608</v>
      </c>
      <c r="I32" s="72" t="str">
        <f>VLOOKUP(G32,[1]ListLoaded!$E$6:$M$550,9,0)</f>
        <v>F</v>
      </c>
      <c r="J32" s="72" t="str">
        <f>VLOOKUP(G32,[1]ListLoaded!$E$6:$I$537,5,0)</f>
        <v>40HC</v>
      </c>
      <c r="K32" s="140">
        <f>VLOOKUP(G32,[1]ListLoaded!$E$6:$L$537,8,0)</f>
        <v>32.21</v>
      </c>
      <c r="L32" s="83" t="str">
        <f>VLOOKUP(G32,[1]ListLoaded!$E$6:$S$645,15,0)</f>
        <v>347197</v>
      </c>
      <c r="M32" s="86" t="str">
        <f>VLOOKUP(G32,[1]ListLoaded!$E$6:$T$674,16,0)</f>
        <v>ctp NGK PEPSI</v>
      </c>
      <c r="N32" s="86">
        <f>VLOOKUP(G32,[1]ListLoaded!$E$6:$N$545,10,0)</f>
        <v>0</v>
      </c>
      <c r="O32" s="72"/>
      <c r="P32" s="72">
        <f>VLOOKUP(G32,[1]ListLoaded!$E$6:$O$638,11,0)</f>
        <v>0</v>
      </c>
      <c r="Q32" s="84" t="str">
        <f t="shared" si="0"/>
        <v>F40HC</v>
      </c>
      <c r="R32" s="84" t="str">
        <f>VLOOKUP(G32,[1]ListLoaded!$E$6:$P$604,12,0)</f>
        <v>HAC251017100</v>
      </c>
      <c r="S32" s="15" t="e">
        <f>I32&amp;J32&amp;#REF!</f>
        <v>#REF!</v>
      </c>
      <c r="T32" s="84" t="s">
        <v>714</v>
      </c>
      <c r="U32" s="84" t="s">
        <v>715</v>
      </c>
      <c r="V32" s="84" t="s">
        <v>716</v>
      </c>
      <c r="W32" s="47"/>
      <c r="X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K32" s="145"/>
      <c r="AL32" s="48"/>
      <c r="AM32" s="42"/>
      <c r="AN32" s="41">
        <f t="shared" si="6"/>
        <v>0</v>
      </c>
      <c r="AO32" s="41">
        <f t="shared" si="6"/>
        <v>0</v>
      </c>
      <c r="AP32" s="41">
        <f t="shared" si="6"/>
        <v>0</v>
      </c>
      <c r="AQ32" s="41">
        <f t="shared" si="6"/>
        <v>0</v>
      </c>
      <c r="AR32" s="41">
        <f t="shared" si="6"/>
        <v>0</v>
      </c>
      <c r="AS32" s="41">
        <f t="shared" si="6"/>
        <v>0</v>
      </c>
      <c r="AT32" s="41">
        <f t="shared" si="6"/>
        <v>0</v>
      </c>
      <c r="AU32" s="41">
        <f t="shared" si="6"/>
        <v>0</v>
      </c>
      <c r="AV32" s="41">
        <f t="shared" si="6"/>
        <v>0</v>
      </c>
      <c r="AW32" s="41">
        <f t="shared" si="6"/>
        <v>0</v>
      </c>
      <c r="AX32" s="41">
        <f t="shared" si="6"/>
        <v>0</v>
      </c>
      <c r="AY32" s="41">
        <f t="shared" si="6"/>
        <v>0</v>
      </c>
      <c r="AZ32" s="41">
        <f t="shared" si="3"/>
        <v>0</v>
      </c>
      <c r="BA32" s="41">
        <f t="shared" si="3"/>
        <v>0</v>
      </c>
      <c r="BB32" s="41">
        <f t="shared" si="3"/>
        <v>0</v>
      </c>
      <c r="BC32" s="41">
        <f t="shared" si="3"/>
        <v>0</v>
      </c>
      <c r="BD32" s="41">
        <f t="shared" si="4"/>
        <v>0</v>
      </c>
      <c r="BE32" s="43">
        <f t="shared" si="5"/>
        <v>0</v>
      </c>
    </row>
    <row r="33" spans="1:57" ht="24.75" customHeight="1">
      <c r="A33" s="23">
        <v>23</v>
      </c>
      <c r="B33" s="24" t="s">
        <v>50</v>
      </c>
      <c r="C33" s="24" t="s">
        <v>1489</v>
      </c>
      <c r="D33" s="24" t="s">
        <v>86</v>
      </c>
      <c r="E33" s="74" t="s">
        <v>52</v>
      </c>
      <c r="F33" s="24" t="s">
        <v>52</v>
      </c>
      <c r="G33" s="83" t="s">
        <v>672</v>
      </c>
      <c r="H33" s="83" t="str">
        <f>VLOOKUP(G33,[1]ListLoaded!$E$6:$F$544,2,0)</f>
        <v>260602</v>
      </c>
      <c r="I33" s="72" t="str">
        <f>VLOOKUP(G33,[1]ListLoaded!$E$6:$M$550,9,0)</f>
        <v>F</v>
      </c>
      <c r="J33" s="72" t="str">
        <f>VLOOKUP(G33,[1]ListLoaded!$E$6:$I$537,5,0)</f>
        <v>40HC</v>
      </c>
      <c r="K33" s="140">
        <f>VLOOKUP(G33,[1]ListLoaded!$E$6:$L$537,8,0)</f>
        <v>32.86</v>
      </c>
      <c r="L33" s="83" t="str">
        <f>VLOOKUP(G33,[1]ListLoaded!$E$6:$S$645,15,0)</f>
        <v>1119315</v>
      </c>
      <c r="M33" s="86" t="str">
        <f>VLOOKUP(G33,[1]ListLoaded!$E$6:$T$674,16,0)</f>
        <v>ctp NGK PEPSI</v>
      </c>
      <c r="N33" s="86">
        <f>VLOOKUP(G33,[1]ListLoaded!$E$6:$N$545,10,0)</f>
        <v>0</v>
      </c>
      <c r="O33" s="72"/>
      <c r="P33" s="72">
        <f>VLOOKUP(G33,[1]ListLoaded!$E$6:$O$638,11,0)</f>
        <v>0</v>
      </c>
      <c r="Q33" s="84" t="str">
        <f t="shared" si="0"/>
        <v>F40HC</v>
      </c>
      <c r="R33" s="84" t="str">
        <f>VLOOKUP(G33,[1]ListLoaded!$E$6:$P$604,12,0)</f>
        <v>HAC251017100</v>
      </c>
      <c r="S33" s="15" t="e">
        <f>I33&amp;J33&amp;#REF!</f>
        <v>#REF!</v>
      </c>
      <c r="T33" s="84" t="s">
        <v>714</v>
      </c>
      <c r="U33" s="84" t="s">
        <v>715</v>
      </c>
      <c r="V33" s="84" t="s">
        <v>716</v>
      </c>
      <c r="W33" s="47"/>
      <c r="X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K33" s="145"/>
      <c r="AL33" s="48"/>
      <c r="AM33" s="42"/>
      <c r="AN33" s="41">
        <f t="shared" si="6"/>
        <v>0</v>
      </c>
      <c r="AO33" s="41">
        <f t="shared" si="6"/>
        <v>0</v>
      </c>
      <c r="AP33" s="41">
        <f t="shared" si="6"/>
        <v>0</v>
      </c>
      <c r="AQ33" s="41">
        <f t="shared" si="6"/>
        <v>0</v>
      </c>
      <c r="AR33" s="41">
        <f t="shared" si="6"/>
        <v>0</v>
      </c>
      <c r="AS33" s="41">
        <f t="shared" si="6"/>
        <v>0</v>
      </c>
      <c r="AT33" s="41">
        <f t="shared" si="6"/>
        <v>0</v>
      </c>
      <c r="AU33" s="41">
        <f t="shared" si="6"/>
        <v>0</v>
      </c>
      <c r="AV33" s="41">
        <f t="shared" si="6"/>
        <v>0</v>
      </c>
      <c r="AW33" s="41">
        <f t="shared" si="6"/>
        <v>0</v>
      </c>
      <c r="AX33" s="41">
        <f t="shared" si="6"/>
        <v>0</v>
      </c>
      <c r="AY33" s="41">
        <f t="shared" si="6"/>
        <v>0</v>
      </c>
      <c r="AZ33" s="41">
        <f t="shared" si="3"/>
        <v>0</v>
      </c>
      <c r="BA33" s="41">
        <f t="shared" si="3"/>
        <v>0</v>
      </c>
      <c r="BB33" s="41">
        <f t="shared" si="3"/>
        <v>0</v>
      </c>
      <c r="BC33" s="41">
        <f t="shared" si="3"/>
        <v>0</v>
      </c>
      <c r="BD33" s="41">
        <f t="shared" si="4"/>
        <v>0</v>
      </c>
      <c r="BE33" s="43">
        <f t="shared" si="5"/>
        <v>0</v>
      </c>
    </row>
    <row r="34" spans="1:57" ht="24.75" customHeight="1">
      <c r="A34" s="23">
        <v>24</v>
      </c>
      <c r="B34" s="24" t="s">
        <v>50</v>
      </c>
      <c r="C34" s="24" t="s">
        <v>1489</v>
      </c>
      <c r="D34" s="24" t="s">
        <v>86</v>
      </c>
      <c r="E34" s="74" t="s">
        <v>52</v>
      </c>
      <c r="F34" s="24" t="s">
        <v>52</v>
      </c>
      <c r="G34" s="83" t="s">
        <v>673</v>
      </c>
      <c r="H34" s="83" t="str">
        <f>VLOOKUP(G34,[1]ListLoaded!$E$6:$F$544,2,0)</f>
        <v>100406</v>
      </c>
      <c r="I34" s="72" t="str">
        <f>VLOOKUP(G34,[1]ListLoaded!$E$6:$M$550,9,0)</f>
        <v>F</v>
      </c>
      <c r="J34" s="72" t="str">
        <f>VLOOKUP(G34,[1]ListLoaded!$E$6:$I$537,5,0)</f>
        <v>40HC</v>
      </c>
      <c r="K34" s="140">
        <f>VLOOKUP(G34,[1]ListLoaded!$E$6:$L$537,8,0)</f>
        <v>31.76</v>
      </c>
      <c r="L34" s="83" t="str">
        <f>VLOOKUP(G34,[1]ListLoaded!$E$6:$S$645,15,0)</f>
        <v>260815</v>
      </c>
      <c r="M34" s="86" t="str">
        <f>VLOOKUP(G34,[1]ListLoaded!$E$6:$T$674,16,0)</f>
        <v>GI?Y</v>
      </c>
      <c r="N34" s="86">
        <f>VLOOKUP(G34,[1]ListLoaded!$E$6:$N$545,10,0)</f>
        <v>0</v>
      </c>
      <c r="O34" s="72"/>
      <c r="P34" s="72">
        <f>VLOOKUP(G34,[1]ListLoaded!$E$6:$O$638,11,0)</f>
        <v>0</v>
      </c>
      <c r="Q34" s="84" t="str">
        <f t="shared" si="0"/>
        <v>F40HC</v>
      </c>
      <c r="R34" s="84" t="str">
        <f>VLOOKUP(G34,[1]ListLoaded!$E$6:$P$604,12,0)</f>
        <v>HAC251126041</v>
      </c>
      <c r="S34" s="15" t="e">
        <f>I34&amp;J34&amp;#REF!</f>
        <v>#REF!</v>
      </c>
      <c r="T34" s="84" t="s">
        <v>717</v>
      </c>
      <c r="U34" s="84" t="s">
        <v>718</v>
      </c>
      <c r="V34" s="84" t="s">
        <v>719</v>
      </c>
      <c r="W34" s="47"/>
      <c r="X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K34" s="145"/>
      <c r="AL34" s="48"/>
      <c r="AM34" s="42"/>
      <c r="AN34" s="41">
        <f t="shared" ref="AN34:AY43" si="7">COUNTIF($S$11:$S$1505,"F"&amp;AN$11&amp;$AM34)</f>
        <v>0</v>
      </c>
      <c r="AO34" s="41">
        <f t="shared" si="7"/>
        <v>0</v>
      </c>
      <c r="AP34" s="41">
        <f t="shared" si="7"/>
        <v>0</v>
      </c>
      <c r="AQ34" s="41">
        <f t="shared" si="7"/>
        <v>0</v>
      </c>
      <c r="AR34" s="41">
        <f t="shared" si="7"/>
        <v>0</v>
      </c>
      <c r="AS34" s="41">
        <f t="shared" si="7"/>
        <v>0</v>
      </c>
      <c r="AT34" s="41">
        <f t="shared" si="7"/>
        <v>0</v>
      </c>
      <c r="AU34" s="41">
        <f t="shared" si="7"/>
        <v>0</v>
      </c>
      <c r="AV34" s="41">
        <f t="shared" si="7"/>
        <v>0</v>
      </c>
      <c r="AW34" s="41">
        <f t="shared" si="7"/>
        <v>0</v>
      </c>
      <c r="AX34" s="41">
        <f t="shared" si="7"/>
        <v>0</v>
      </c>
      <c r="AY34" s="41">
        <f t="shared" si="7"/>
        <v>0</v>
      </c>
      <c r="AZ34" s="41">
        <f t="shared" ref="AZ34:BC53" si="8">COUNTIF($S$11:$S$1505,"E"&amp;AZ$11&amp;$AM34)</f>
        <v>0</v>
      </c>
      <c r="BA34" s="41">
        <f t="shared" si="8"/>
        <v>0</v>
      </c>
      <c r="BB34" s="41">
        <f t="shared" si="8"/>
        <v>0</v>
      </c>
      <c r="BC34" s="41">
        <f t="shared" si="8"/>
        <v>0</v>
      </c>
      <c r="BD34" s="41">
        <f t="shared" si="4"/>
        <v>0</v>
      </c>
      <c r="BE34" s="43">
        <f t="shared" si="5"/>
        <v>0</v>
      </c>
    </row>
    <row r="35" spans="1:57" ht="24.75" customHeight="1">
      <c r="A35" s="23">
        <v>25</v>
      </c>
      <c r="B35" s="24" t="s">
        <v>50</v>
      </c>
      <c r="C35" s="24" t="s">
        <v>1489</v>
      </c>
      <c r="D35" s="24" t="s">
        <v>86</v>
      </c>
      <c r="E35" s="74" t="s">
        <v>52</v>
      </c>
      <c r="F35" s="24" t="s">
        <v>52</v>
      </c>
      <c r="G35" s="83" t="s">
        <v>674</v>
      </c>
      <c r="H35" s="83" t="str">
        <f>VLOOKUP(G35,[1]ListLoaded!$E$6:$F$544,2,0)</f>
        <v>260704</v>
      </c>
      <c r="I35" s="72" t="str">
        <f>VLOOKUP(G35,[1]ListLoaded!$E$6:$M$550,9,0)</f>
        <v>F</v>
      </c>
      <c r="J35" s="72" t="str">
        <f>VLOOKUP(G35,[1]ListLoaded!$E$6:$I$537,5,0)</f>
        <v>40HC</v>
      </c>
      <c r="K35" s="140">
        <f>VLOOKUP(G35,[1]ListLoaded!$E$6:$L$537,8,0)</f>
        <v>31.85</v>
      </c>
      <c r="L35" s="83" t="str">
        <f>VLOOKUP(G35,[1]ListLoaded!$E$6:$S$645,15,0)</f>
        <v>00011</v>
      </c>
      <c r="M35" s="86" t="str">
        <f>VLOOKUP(G35,[1]ListLoaded!$E$6:$T$674,16,0)</f>
        <v>GI?Y</v>
      </c>
      <c r="N35" s="86">
        <f>VLOOKUP(G35,[1]ListLoaded!$E$6:$N$545,10,0)</f>
        <v>0</v>
      </c>
      <c r="O35" s="72"/>
      <c r="P35" s="72">
        <f>VLOOKUP(G35,[1]ListLoaded!$E$6:$O$638,11,0)</f>
        <v>0</v>
      </c>
      <c r="Q35" s="84" t="str">
        <f t="shared" si="0"/>
        <v>F40HC</v>
      </c>
      <c r="R35" s="84" t="str">
        <f>VLOOKUP(G35,[1]ListLoaded!$E$6:$P$604,12,0)</f>
        <v>HAC251126041</v>
      </c>
      <c r="S35" s="15" t="s">
        <v>609</v>
      </c>
      <c r="T35" s="84" t="s">
        <v>717</v>
      </c>
      <c r="U35" s="84" t="s">
        <v>718</v>
      </c>
      <c r="V35" s="84" t="s">
        <v>719</v>
      </c>
      <c r="W35" s="47"/>
      <c r="X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K35" s="145"/>
      <c r="AL35" s="48"/>
      <c r="AM35" s="42"/>
      <c r="AN35" s="41">
        <f t="shared" si="7"/>
        <v>0</v>
      </c>
      <c r="AO35" s="41">
        <f t="shared" si="7"/>
        <v>0</v>
      </c>
      <c r="AP35" s="41">
        <f t="shared" si="7"/>
        <v>0</v>
      </c>
      <c r="AQ35" s="41">
        <f t="shared" si="7"/>
        <v>0</v>
      </c>
      <c r="AR35" s="41">
        <f t="shared" si="7"/>
        <v>0</v>
      </c>
      <c r="AS35" s="41">
        <f t="shared" si="7"/>
        <v>0</v>
      </c>
      <c r="AT35" s="41">
        <f t="shared" si="7"/>
        <v>0</v>
      </c>
      <c r="AU35" s="41">
        <f t="shared" si="7"/>
        <v>0</v>
      </c>
      <c r="AV35" s="41">
        <f t="shared" si="7"/>
        <v>0</v>
      </c>
      <c r="AW35" s="41">
        <f t="shared" si="7"/>
        <v>0</v>
      </c>
      <c r="AX35" s="41">
        <f t="shared" si="7"/>
        <v>0</v>
      </c>
      <c r="AY35" s="41">
        <f t="shared" si="7"/>
        <v>0</v>
      </c>
      <c r="AZ35" s="41">
        <f t="shared" si="8"/>
        <v>0</v>
      </c>
      <c r="BA35" s="41">
        <f t="shared" si="8"/>
        <v>0</v>
      </c>
      <c r="BB35" s="41">
        <f t="shared" si="8"/>
        <v>0</v>
      </c>
      <c r="BC35" s="41">
        <f t="shared" si="8"/>
        <v>0</v>
      </c>
      <c r="BD35" s="41">
        <f t="shared" si="4"/>
        <v>0</v>
      </c>
      <c r="BE35" s="43">
        <f t="shared" si="5"/>
        <v>0</v>
      </c>
    </row>
    <row r="36" spans="1:57" ht="24.75" customHeight="1">
      <c r="A36" s="23">
        <v>26</v>
      </c>
      <c r="B36" s="24" t="s">
        <v>50</v>
      </c>
      <c r="C36" s="24" t="s">
        <v>1489</v>
      </c>
      <c r="D36" s="24" t="s">
        <v>86</v>
      </c>
      <c r="E36" s="74" t="s">
        <v>52</v>
      </c>
      <c r="F36" s="24" t="s">
        <v>52</v>
      </c>
      <c r="G36" s="83" t="s">
        <v>675</v>
      </c>
      <c r="H36" s="83" t="str">
        <f>VLOOKUP(G36,[1]ListLoaded!$E$6:$F$544,2,0)</f>
        <v>180302</v>
      </c>
      <c r="I36" s="72" t="str">
        <f>VLOOKUP(G36,[1]ListLoaded!$E$6:$M$550,9,0)</f>
        <v>F</v>
      </c>
      <c r="J36" s="72" t="str">
        <f>VLOOKUP(G36,[1]ListLoaded!$E$6:$I$537,5,0)</f>
        <v>40HC</v>
      </c>
      <c r="K36" s="140">
        <f>VLOOKUP(G36,[1]ListLoaded!$E$6:$L$537,8,0)</f>
        <v>31.73</v>
      </c>
      <c r="L36" s="83" t="str">
        <f>VLOOKUP(G36,[1]ListLoaded!$E$6:$S$645,15,0)</f>
        <v>001328</v>
      </c>
      <c r="M36" s="86" t="str">
        <f>VLOOKUP(G36,[1]ListLoaded!$E$6:$T$674,16,0)</f>
        <v>GI?Y</v>
      </c>
      <c r="N36" s="86">
        <f>VLOOKUP(G36,[1]ListLoaded!$E$6:$N$545,10,0)</f>
        <v>0</v>
      </c>
      <c r="O36" s="72"/>
      <c r="P36" s="72">
        <f>VLOOKUP(G36,[1]ListLoaded!$E$6:$O$638,11,0)</f>
        <v>0</v>
      </c>
      <c r="Q36" s="84" t="str">
        <f t="shared" si="0"/>
        <v>F40HC</v>
      </c>
      <c r="R36" s="84" t="str">
        <f>VLOOKUP(G36,[1]ListLoaded!$E$6:$P$604,12,0)</f>
        <v>HAC251126041</v>
      </c>
      <c r="S36" s="15" t="s">
        <v>610</v>
      </c>
      <c r="T36" s="84" t="s">
        <v>717</v>
      </c>
      <c r="U36" s="84" t="s">
        <v>718</v>
      </c>
      <c r="V36" s="84" t="s">
        <v>719</v>
      </c>
      <c r="W36" s="47"/>
      <c r="X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K36" s="145"/>
      <c r="AL36" s="48"/>
      <c r="AM36" s="42"/>
      <c r="AN36" s="41">
        <f t="shared" si="7"/>
        <v>0</v>
      </c>
      <c r="AO36" s="41">
        <f t="shared" si="7"/>
        <v>0</v>
      </c>
      <c r="AP36" s="41">
        <f t="shared" si="7"/>
        <v>0</v>
      </c>
      <c r="AQ36" s="41">
        <f t="shared" si="7"/>
        <v>0</v>
      </c>
      <c r="AR36" s="41">
        <f t="shared" si="7"/>
        <v>0</v>
      </c>
      <c r="AS36" s="41">
        <f t="shared" si="7"/>
        <v>0</v>
      </c>
      <c r="AT36" s="41">
        <f t="shared" si="7"/>
        <v>0</v>
      </c>
      <c r="AU36" s="41">
        <f t="shared" si="7"/>
        <v>0</v>
      </c>
      <c r="AV36" s="41">
        <f t="shared" si="7"/>
        <v>0</v>
      </c>
      <c r="AW36" s="41">
        <f t="shared" si="7"/>
        <v>0</v>
      </c>
      <c r="AX36" s="41">
        <f t="shared" si="7"/>
        <v>0</v>
      </c>
      <c r="AY36" s="41">
        <f t="shared" si="7"/>
        <v>0</v>
      </c>
      <c r="AZ36" s="41">
        <f t="shared" si="8"/>
        <v>0</v>
      </c>
      <c r="BA36" s="41">
        <f t="shared" si="8"/>
        <v>0</v>
      </c>
      <c r="BB36" s="41">
        <f t="shared" si="8"/>
        <v>0</v>
      </c>
      <c r="BC36" s="41">
        <f t="shared" si="8"/>
        <v>0</v>
      </c>
      <c r="BD36" s="41">
        <f t="shared" si="4"/>
        <v>0</v>
      </c>
      <c r="BE36" s="43">
        <f t="shared" si="5"/>
        <v>0</v>
      </c>
    </row>
    <row r="37" spans="1:57" ht="24.75" customHeight="1">
      <c r="A37" s="23">
        <v>27</v>
      </c>
      <c r="B37" s="24" t="s">
        <v>50</v>
      </c>
      <c r="C37" s="24" t="s">
        <v>1489</v>
      </c>
      <c r="D37" s="24" t="s">
        <v>86</v>
      </c>
      <c r="E37" s="74" t="s">
        <v>52</v>
      </c>
      <c r="F37" s="24" t="s">
        <v>52</v>
      </c>
      <c r="G37" s="83" t="s">
        <v>676</v>
      </c>
      <c r="H37" s="83" t="str">
        <f>VLOOKUP(G37,[1]ListLoaded!$E$6:$F$544,2,0)</f>
        <v>260402</v>
      </c>
      <c r="I37" s="72" t="str">
        <f>VLOOKUP(G37,[1]ListLoaded!$E$6:$M$550,9,0)</f>
        <v>F</v>
      </c>
      <c r="J37" s="72" t="str">
        <f>VLOOKUP(G37,[1]ListLoaded!$E$6:$I$537,5,0)</f>
        <v>40HC</v>
      </c>
      <c r="K37" s="140">
        <f>VLOOKUP(G37,[1]ListLoaded!$E$6:$L$537,8,0)</f>
        <v>32.729999999999997</v>
      </c>
      <c r="L37" s="83" t="str">
        <f>VLOOKUP(G37,[1]ListLoaded!$E$6:$S$645,15,0)</f>
        <v>23409306</v>
      </c>
      <c r="M37" s="86" t="str">
        <f>VLOOKUP(G37,[1]ListLoaded!$E$6:$T$674,16,0)</f>
        <v>GI?Y</v>
      </c>
      <c r="N37" s="86">
        <f>VLOOKUP(G37,[1]ListLoaded!$E$6:$N$545,10,0)</f>
        <v>0</v>
      </c>
      <c r="O37" s="72"/>
      <c r="P37" s="72">
        <f>VLOOKUP(G37,[1]ListLoaded!$E$6:$O$638,11,0)</f>
        <v>0</v>
      </c>
      <c r="Q37" s="84" t="str">
        <f t="shared" si="0"/>
        <v>F40HC</v>
      </c>
      <c r="R37" s="84" t="str">
        <f>VLOOKUP(G37,[1]ListLoaded!$E$6:$P$604,12,0)</f>
        <v>HAC251126041</v>
      </c>
      <c r="S37" s="15" t="s">
        <v>611</v>
      </c>
      <c r="T37" s="84" t="s">
        <v>717</v>
      </c>
      <c r="U37" s="84" t="s">
        <v>718</v>
      </c>
      <c r="V37" s="84" t="s">
        <v>719</v>
      </c>
      <c r="W37" s="47"/>
      <c r="X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K37" s="145"/>
      <c r="AL37" s="48"/>
      <c r="AM37" s="42"/>
      <c r="AN37" s="41">
        <f t="shared" si="7"/>
        <v>0</v>
      </c>
      <c r="AO37" s="41">
        <f t="shared" si="7"/>
        <v>0</v>
      </c>
      <c r="AP37" s="41">
        <f t="shared" si="7"/>
        <v>0</v>
      </c>
      <c r="AQ37" s="41">
        <f t="shared" si="7"/>
        <v>0</v>
      </c>
      <c r="AR37" s="41">
        <f t="shared" si="7"/>
        <v>0</v>
      </c>
      <c r="AS37" s="41">
        <f t="shared" si="7"/>
        <v>0</v>
      </c>
      <c r="AT37" s="41">
        <f t="shared" si="7"/>
        <v>0</v>
      </c>
      <c r="AU37" s="41">
        <f t="shared" si="7"/>
        <v>0</v>
      </c>
      <c r="AV37" s="41">
        <f t="shared" si="7"/>
        <v>0</v>
      </c>
      <c r="AW37" s="41">
        <f t="shared" si="7"/>
        <v>0</v>
      </c>
      <c r="AX37" s="41">
        <f t="shared" si="7"/>
        <v>0</v>
      </c>
      <c r="AY37" s="41">
        <f t="shared" si="7"/>
        <v>0</v>
      </c>
      <c r="AZ37" s="41">
        <f t="shared" si="8"/>
        <v>0</v>
      </c>
      <c r="BA37" s="41">
        <f t="shared" si="8"/>
        <v>0</v>
      </c>
      <c r="BB37" s="41">
        <f t="shared" si="8"/>
        <v>0</v>
      </c>
      <c r="BC37" s="41">
        <f t="shared" si="8"/>
        <v>0</v>
      </c>
      <c r="BD37" s="41">
        <f t="shared" si="4"/>
        <v>0</v>
      </c>
      <c r="BE37" s="43">
        <f t="shared" si="5"/>
        <v>0</v>
      </c>
    </row>
    <row r="38" spans="1:57" ht="24.75" customHeight="1">
      <c r="A38" s="23">
        <v>28</v>
      </c>
      <c r="B38" s="24" t="s">
        <v>50</v>
      </c>
      <c r="C38" s="24" t="s">
        <v>1489</v>
      </c>
      <c r="D38" s="24" t="s">
        <v>86</v>
      </c>
      <c r="E38" s="74" t="s">
        <v>52</v>
      </c>
      <c r="F38" s="24" t="s">
        <v>52</v>
      </c>
      <c r="G38" s="83" t="s">
        <v>677</v>
      </c>
      <c r="H38" s="83" t="str">
        <f>VLOOKUP(G38,[1]ListLoaded!$E$6:$F$544,2,0)</f>
        <v>310406</v>
      </c>
      <c r="I38" s="72" t="str">
        <f>VLOOKUP(G38,[1]ListLoaded!$E$6:$M$550,9,0)</f>
        <v>F</v>
      </c>
      <c r="J38" s="72" t="s">
        <v>31</v>
      </c>
      <c r="K38" s="140">
        <f>VLOOKUP(G38,[1]ListLoaded!$E$6:$L$537,8,0)</f>
        <v>29.11</v>
      </c>
      <c r="L38" s="83" t="str">
        <f>VLOOKUP(G38,[1]ListLoaded!$E$6:$S$645,15,0)</f>
        <v>656102</v>
      </c>
      <c r="M38" s="86" t="str">
        <f>VLOOKUP(G38,[1]ListLoaded!$E$6:$T$674,16,0)</f>
        <v>TÔN CU?N</v>
      </c>
      <c r="N38" s="86">
        <f>VLOOKUP(G38,[1]ListLoaded!$E$6:$N$545,10,0)</f>
        <v>0</v>
      </c>
      <c r="O38" s="72"/>
      <c r="P38" s="72">
        <f>VLOOKUP(G38,[1]ListLoaded!$E$6:$O$638,11,0)</f>
        <v>0</v>
      </c>
      <c r="Q38" s="84" t="str">
        <f t="shared" si="0"/>
        <v>F20DC</v>
      </c>
      <c r="R38" s="84" t="str">
        <f>VLOOKUP(G38,[1]ListLoaded!$E$6:$P$604,12,0)</f>
        <v>HAC251017100</v>
      </c>
      <c r="S38" s="15" t="s">
        <v>612</v>
      </c>
      <c r="T38" s="84" t="s">
        <v>720</v>
      </c>
      <c r="U38" s="84" t="s">
        <v>712</v>
      </c>
      <c r="V38" s="84" t="s">
        <v>721</v>
      </c>
      <c r="W38" s="47"/>
      <c r="X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K38" s="145"/>
      <c r="AL38" s="48"/>
      <c r="AM38" s="42"/>
      <c r="AN38" s="41">
        <f t="shared" si="7"/>
        <v>0</v>
      </c>
      <c r="AO38" s="41">
        <f t="shared" si="7"/>
        <v>0</v>
      </c>
      <c r="AP38" s="41">
        <f t="shared" si="7"/>
        <v>0</v>
      </c>
      <c r="AQ38" s="41">
        <f t="shared" si="7"/>
        <v>0</v>
      </c>
      <c r="AR38" s="41">
        <f t="shared" si="7"/>
        <v>0</v>
      </c>
      <c r="AS38" s="41">
        <f t="shared" si="7"/>
        <v>0</v>
      </c>
      <c r="AT38" s="41">
        <f t="shared" si="7"/>
        <v>0</v>
      </c>
      <c r="AU38" s="41">
        <f t="shared" si="7"/>
        <v>0</v>
      </c>
      <c r="AV38" s="41">
        <f t="shared" si="7"/>
        <v>0</v>
      </c>
      <c r="AW38" s="41">
        <f t="shared" si="7"/>
        <v>0</v>
      </c>
      <c r="AX38" s="41">
        <f t="shared" si="7"/>
        <v>0</v>
      </c>
      <c r="AY38" s="41">
        <f t="shared" si="7"/>
        <v>0</v>
      </c>
      <c r="AZ38" s="41">
        <f t="shared" si="8"/>
        <v>0</v>
      </c>
      <c r="BA38" s="41">
        <f t="shared" si="8"/>
        <v>0</v>
      </c>
      <c r="BB38" s="41">
        <f t="shared" si="8"/>
        <v>0</v>
      </c>
      <c r="BC38" s="41">
        <f t="shared" si="8"/>
        <v>0</v>
      </c>
      <c r="BD38" s="41">
        <f t="shared" si="4"/>
        <v>0</v>
      </c>
      <c r="BE38" s="43">
        <f t="shared" si="5"/>
        <v>0</v>
      </c>
    </row>
    <row r="39" spans="1:57" ht="24.75" customHeight="1">
      <c r="A39" s="23">
        <v>29</v>
      </c>
      <c r="B39" s="24" t="s">
        <v>50</v>
      </c>
      <c r="C39" s="24" t="s">
        <v>1489</v>
      </c>
      <c r="D39" s="24" t="s">
        <v>86</v>
      </c>
      <c r="E39" s="74" t="s">
        <v>52</v>
      </c>
      <c r="F39" s="24" t="s">
        <v>52</v>
      </c>
      <c r="G39" s="83" t="s">
        <v>678</v>
      </c>
      <c r="H39" s="83" t="str">
        <f>VLOOKUP(G39,[1]ListLoaded!$E$6:$F$544,2,0)</f>
        <v>220382</v>
      </c>
      <c r="I39" s="72" t="str">
        <f>VLOOKUP(G39,[1]ListLoaded!$E$6:$M$550,9,0)</f>
        <v>F</v>
      </c>
      <c r="J39" s="72" t="str">
        <f>VLOOKUP(G39,[1]ListLoaded!$E$6:$I$537,5,0)</f>
        <v>40HC</v>
      </c>
      <c r="K39" s="140">
        <f>VLOOKUP(G39,[1]ListLoaded!$E$6:$L$537,8,0)</f>
        <v>23.13</v>
      </c>
      <c r="L39" s="83" t="str">
        <f>VLOOKUP(G39,[1]ListLoaded!$E$6:$S$645,15,0)</f>
        <v>23408775</v>
      </c>
      <c r="M39" s="86" t="str">
        <f>VLOOKUP(G39,[1]ListLoaded!$E$6:$T$674,16,0)</f>
        <v>TH?C PH?M</v>
      </c>
      <c r="N39" s="86">
        <f>VLOOKUP(G39,[1]ListLoaded!$E$6:$N$545,10,0)</f>
        <v>0</v>
      </c>
      <c r="O39" s="72"/>
      <c r="P39" s="72">
        <f>VLOOKUP(G39,[1]ListLoaded!$E$6:$O$638,11,0)</f>
        <v>0</v>
      </c>
      <c r="Q39" s="84" t="str">
        <f t="shared" si="0"/>
        <v>F40HC</v>
      </c>
      <c r="R39" s="84" t="str">
        <f>VLOOKUP(G39,[1]ListLoaded!$E$6:$P$604,12,0)</f>
        <v>HAC251017100</v>
      </c>
      <c r="S39" s="15" t="s">
        <v>608</v>
      </c>
      <c r="T39" s="84" t="s">
        <v>722</v>
      </c>
      <c r="U39" s="84" t="s">
        <v>723</v>
      </c>
      <c r="V39" s="84" t="s">
        <v>605</v>
      </c>
      <c r="W39" s="47"/>
      <c r="X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K39" s="145"/>
      <c r="AL39" s="48"/>
      <c r="AM39" s="42"/>
      <c r="AN39" s="41">
        <f t="shared" si="7"/>
        <v>0</v>
      </c>
      <c r="AO39" s="41">
        <f t="shared" si="7"/>
        <v>0</v>
      </c>
      <c r="AP39" s="41">
        <f t="shared" si="7"/>
        <v>0</v>
      </c>
      <c r="AQ39" s="41">
        <f t="shared" si="7"/>
        <v>0</v>
      </c>
      <c r="AR39" s="41">
        <f t="shared" si="7"/>
        <v>0</v>
      </c>
      <c r="AS39" s="41">
        <f t="shared" si="7"/>
        <v>0</v>
      </c>
      <c r="AT39" s="41">
        <f t="shared" si="7"/>
        <v>0</v>
      </c>
      <c r="AU39" s="41">
        <f t="shared" si="7"/>
        <v>0</v>
      </c>
      <c r="AV39" s="41">
        <f t="shared" si="7"/>
        <v>0</v>
      </c>
      <c r="AW39" s="41">
        <f t="shared" si="7"/>
        <v>0</v>
      </c>
      <c r="AX39" s="41">
        <f t="shared" si="7"/>
        <v>0</v>
      </c>
      <c r="AY39" s="41">
        <f t="shared" si="7"/>
        <v>0</v>
      </c>
      <c r="AZ39" s="41">
        <f t="shared" si="8"/>
        <v>0</v>
      </c>
      <c r="BA39" s="41">
        <f t="shared" si="8"/>
        <v>0</v>
      </c>
      <c r="BB39" s="41">
        <f t="shared" si="8"/>
        <v>0</v>
      </c>
      <c r="BC39" s="41">
        <f t="shared" si="8"/>
        <v>0</v>
      </c>
      <c r="BD39" s="41">
        <f t="shared" si="4"/>
        <v>0</v>
      </c>
      <c r="BE39" s="43">
        <f t="shared" si="5"/>
        <v>0</v>
      </c>
    </row>
    <row r="40" spans="1:57" ht="24.75" customHeight="1">
      <c r="A40" s="23">
        <v>30</v>
      </c>
      <c r="B40" s="24" t="s">
        <v>50</v>
      </c>
      <c r="C40" s="24" t="s">
        <v>1489</v>
      </c>
      <c r="D40" s="24" t="s">
        <v>86</v>
      </c>
      <c r="E40" s="74" t="s">
        <v>52</v>
      </c>
      <c r="F40" s="24" t="s">
        <v>52</v>
      </c>
      <c r="G40" s="83" t="s">
        <v>679</v>
      </c>
      <c r="H40" s="83" t="str">
        <f>VLOOKUP(G40,[1]ListLoaded!$E$6:$F$544,2,0)</f>
        <v>261082</v>
      </c>
      <c r="I40" s="72" t="str">
        <f>VLOOKUP(G40,[1]ListLoaded!$E$6:$M$550,9,0)</f>
        <v>F</v>
      </c>
      <c r="J40" s="72" t="str">
        <f>VLOOKUP(G40,[1]ListLoaded!$E$6:$I$537,5,0)</f>
        <v>40HC</v>
      </c>
      <c r="K40" s="140">
        <f>VLOOKUP(G40,[1]ListLoaded!$E$6:$L$537,8,0)</f>
        <v>21.24</v>
      </c>
      <c r="L40" s="83" t="str">
        <f>VLOOKUP(G40,[1]ListLoaded!$E$6:$S$645,15,0)</f>
        <v>23102171</v>
      </c>
      <c r="M40" s="86" t="str">
        <f>VLOOKUP(G40,[1]ListLoaded!$E$6:$T$674,16,0)</f>
        <v>V? BÌNH GA</v>
      </c>
      <c r="N40" s="86">
        <f>VLOOKUP(G40,[1]ListLoaded!$E$6:$N$545,10,0)</f>
        <v>0</v>
      </c>
      <c r="O40" s="72"/>
      <c r="P40" s="72">
        <f>VLOOKUP(G40,[1]ListLoaded!$E$6:$O$638,11,0)</f>
        <v>0</v>
      </c>
      <c r="Q40" s="84" t="str">
        <f t="shared" si="0"/>
        <v>F40HC</v>
      </c>
      <c r="R40" s="84" t="str">
        <f>VLOOKUP(G40,[1]ListLoaded!$E$6:$P$604,12,0)</f>
        <v>HAC251017100</v>
      </c>
      <c r="S40" s="15" t="s">
        <v>608</v>
      </c>
      <c r="T40" s="84" t="s">
        <v>720</v>
      </c>
      <c r="U40" s="84" t="s">
        <v>712</v>
      </c>
      <c r="V40" s="84" t="s">
        <v>724</v>
      </c>
      <c r="W40" s="47"/>
      <c r="X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K40" s="145"/>
      <c r="AL40" s="48"/>
      <c r="AM40" s="42"/>
      <c r="AN40" s="41">
        <f t="shared" si="7"/>
        <v>0</v>
      </c>
      <c r="AO40" s="41">
        <f t="shared" si="7"/>
        <v>0</v>
      </c>
      <c r="AP40" s="41">
        <f t="shared" si="7"/>
        <v>0</v>
      </c>
      <c r="AQ40" s="41">
        <f t="shared" si="7"/>
        <v>0</v>
      </c>
      <c r="AR40" s="41">
        <f t="shared" si="7"/>
        <v>0</v>
      </c>
      <c r="AS40" s="41">
        <f t="shared" si="7"/>
        <v>0</v>
      </c>
      <c r="AT40" s="41">
        <f t="shared" si="7"/>
        <v>0</v>
      </c>
      <c r="AU40" s="41">
        <f t="shared" si="7"/>
        <v>0</v>
      </c>
      <c r="AV40" s="41">
        <f t="shared" si="7"/>
        <v>0</v>
      </c>
      <c r="AW40" s="41">
        <f t="shared" si="7"/>
        <v>0</v>
      </c>
      <c r="AX40" s="41">
        <f t="shared" si="7"/>
        <v>0</v>
      </c>
      <c r="AY40" s="41">
        <f t="shared" si="7"/>
        <v>0</v>
      </c>
      <c r="AZ40" s="41">
        <f t="shared" si="8"/>
        <v>0</v>
      </c>
      <c r="BA40" s="41">
        <f t="shared" si="8"/>
        <v>0</v>
      </c>
      <c r="BB40" s="41">
        <f t="shared" si="8"/>
        <v>0</v>
      </c>
      <c r="BC40" s="41">
        <f t="shared" si="8"/>
        <v>0</v>
      </c>
      <c r="BD40" s="41">
        <f t="shared" si="4"/>
        <v>0</v>
      </c>
      <c r="BE40" s="43">
        <f t="shared" si="5"/>
        <v>0</v>
      </c>
    </row>
    <row r="41" spans="1:57" ht="24.75" customHeight="1">
      <c r="A41" s="23">
        <v>31</v>
      </c>
      <c r="B41" s="24" t="s">
        <v>50</v>
      </c>
      <c r="C41" s="24" t="s">
        <v>1489</v>
      </c>
      <c r="D41" s="24" t="s">
        <v>86</v>
      </c>
      <c r="E41" s="74" t="s">
        <v>52</v>
      </c>
      <c r="F41" s="24" t="s">
        <v>52</v>
      </c>
      <c r="G41" s="83" t="s">
        <v>680</v>
      </c>
      <c r="H41" s="83" t="str">
        <f>VLOOKUP(G41,[1]ListLoaded!$E$6:$F$544,2,0)</f>
        <v>100402</v>
      </c>
      <c r="I41" s="72" t="str">
        <f>VLOOKUP(G41,[1]ListLoaded!$E$6:$M$550,9,0)</f>
        <v>F</v>
      </c>
      <c r="J41" s="72" t="str">
        <f>VLOOKUP(G41,[1]ListLoaded!$E$6:$I$537,5,0)</f>
        <v>40HC</v>
      </c>
      <c r="K41" s="140">
        <f>VLOOKUP(G41,[1]ListLoaded!$E$6:$L$537,8,0)</f>
        <v>34.520000000000003</v>
      </c>
      <c r="L41" s="83" t="str">
        <f>VLOOKUP(G41,[1]ListLoaded!$E$6:$S$645,15,0)</f>
        <v>1111029</v>
      </c>
      <c r="M41" s="86" t="str">
        <f>VLOOKUP(G41,[1]ListLoaded!$E$6:$T$674,16,0)</f>
        <v>Ph? gia</v>
      </c>
      <c r="N41" s="86">
        <f>VLOOKUP(G41,[1]ListLoaded!$E$6:$N$545,10,0)</f>
        <v>0</v>
      </c>
      <c r="O41" s="72"/>
      <c r="P41" s="72">
        <f>VLOOKUP(G41,[1]ListLoaded!$E$6:$O$638,11,0)</f>
        <v>0</v>
      </c>
      <c r="Q41" s="84" t="str">
        <f t="shared" si="0"/>
        <v>F40HC</v>
      </c>
      <c r="R41" s="84" t="str">
        <f>VLOOKUP(G41,[1]ListLoaded!$E$6:$P$604,12,0)</f>
        <v>HAC251017100</v>
      </c>
      <c r="S41" s="15" t="e">
        <f>I41&amp;J41&amp;#REF!</f>
        <v>#REF!</v>
      </c>
      <c r="T41" s="84" t="s">
        <v>720</v>
      </c>
      <c r="U41" s="84" t="s">
        <v>712</v>
      </c>
      <c r="V41" s="84" t="s">
        <v>725</v>
      </c>
      <c r="W41" s="47"/>
      <c r="X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K41" s="145"/>
      <c r="AL41" s="48"/>
      <c r="AM41" s="42"/>
      <c r="AN41" s="41">
        <f t="shared" si="7"/>
        <v>0</v>
      </c>
      <c r="AO41" s="41">
        <f t="shared" si="7"/>
        <v>0</v>
      </c>
      <c r="AP41" s="41">
        <f t="shared" si="7"/>
        <v>0</v>
      </c>
      <c r="AQ41" s="41">
        <f t="shared" si="7"/>
        <v>0</v>
      </c>
      <c r="AR41" s="41">
        <f t="shared" si="7"/>
        <v>0</v>
      </c>
      <c r="AS41" s="41">
        <f t="shared" si="7"/>
        <v>0</v>
      </c>
      <c r="AT41" s="41">
        <f t="shared" si="7"/>
        <v>0</v>
      </c>
      <c r="AU41" s="41">
        <f t="shared" si="7"/>
        <v>0</v>
      </c>
      <c r="AV41" s="41">
        <f t="shared" si="7"/>
        <v>0</v>
      </c>
      <c r="AW41" s="41">
        <f t="shared" si="7"/>
        <v>0</v>
      </c>
      <c r="AX41" s="41">
        <f t="shared" si="7"/>
        <v>0</v>
      </c>
      <c r="AY41" s="41">
        <f t="shared" si="7"/>
        <v>0</v>
      </c>
      <c r="AZ41" s="41">
        <f t="shared" si="8"/>
        <v>0</v>
      </c>
      <c r="BA41" s="41">
        <f t="shared" si="8"/>
        <v>0</v>
      </c>
      <c r="BB41" s="41">
        <f t="shared" si="8"/>
        <v>0</v>
      </c>
      <c r="BC41" s="41">
        <f t="shared" si="8"/>
        <v>0</v>
      </c>
      <c r="BD41" s="41">
        <f t="shared" si="4"/>
        <v>0</v>
      </c>
      <c r="BE41" s="43">
        <f t="shared" si="5"/>
        <v>0</v>
      </c>
    </row>
    <row r="42" spans="1:57" ht="24.75" customHeight="1">
      <c r="A42" s="23">
        <v>32</v>
      </c>
      <c r="B42" s="24" t="s">
        <v>50</v>
      </c>
      <c r="C42" s="24" t="s">
        <v>1489</v>
      </c>
      <c r="D42" s="24" t="s">
        <v>86</v>
      </c>
      <c r="E42" s="74" t="s">
        <v>52</v>
      </c>
      <c r="F42" s="24" t="s">
        <v>52</v>
      </c>
      <c r="G42" s="83" t="s">
        <v>681</v>
      </c>
      <c r="H42" s="83" t="str">
        <f>VLOOKUP(G42,[1]ListLoaded!$E$6:$F$544,2,0)</f>
        <v>260708</v>
      </c>
      <c r="I42" s="72" t="str">
        <f>VLOOKUP(G42,[1]ListLoaded!$E$6:$M$550,9,0)</f>
        <v>F</v>
      </c>
      <c r="J42" s="72" t="str">
        <f>VLOOKUP(G42,[1]ListLoaded!$E$6:$I$537,5,0)</f>
        <v>40HC</v>
      </c>
      <c r="K42" s="140">
        <f>VLOOKUP(G42,[1]ListLoaded!$E$6:$L$537,8,0)</f>
        <v>28.06</v>
      </c>
      <c r="L42" s="83" t="str">
        <f>VLOOKUP(G42,[1]ListLoaded!$E$6:$S$645,15,0)</f>
        <v>630722</v>
      </c>
      <c r="M42" s="86" t="str">
        <f>VLOOKUP(G42,[1]ListLoaded!$E$6:$T$674,16,0)</f>
        <v>TH?C PH?M</v>
      </c>
      <c r="N42" s="86">
        <f>VLOOKUP(G42,[1]ListLoaded!$E$6:$N$545,10,0)</f>
        <v>0</v>
      </c>
      <c r="O42" s="72"/>
      <c r="P42" s="72">
        <f>VLOOKUP(G42,[1]ListLoaded!$E$6:$O$638,11,0)</f>
        <v>0</v>
      </c>
      <c r="Q42" s="84" t="str">
        <f t="shared" si="0"/>
        <v>F40HC</v>
      </c>
      <c r="R42" s="84" t="str">
        <f>VLOOKUP(G42,[1]ListLoaded!$E$6:$P$604,12,0)</f>
        <v>HAC251017100</v>
      </c>
      <c r="S42" s="15" t="e">
        <f>I42&amp;J42&amp;#REF!</f>
        <v>#REF!</v>
      </c>
      <c r="T42" s="84" t="s">
        <v>722</v>
      </c>
      <c r="U42" s="84" t="s">
        <v>723</v>
      </c>
      <c r="V42" s="84" t="s">
        <v>605</v>
      </c>
      <c r="W42" s="47"/>
      <c r="X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K42" s="145"/>
      <c r="AL42" s="48"/>
      <c r="AM42" s="42"/>
      <c r="AN42" s="41">
        <f t="shared" si="7"/>
        <v>0</v>
      </c>
      <c r="AO42" s="41">
        <f t="shared" si="7"/>
        <v>0</v>
      </c>
      <c r="AP42" s="41">
        <f t="shared" si="7"/>
        <v>0</v>
      </c>
      <c r="AQ42" s="41">
        <f t="shared" si="7"/>
        <v>0</v>
      </c>
      <c r="AR42" s="41">
        <f t="shared" si="7"/>
        <v>0</v>
      </c>
      <c r="AS42" s="41">
        <f t="shared" si="7"/>
        <v>0</v>
      </c>
      <c r="AT42" s="41">
        <f t="shared" si="7"/>
        <v>0</v>
      </c>
      <c r="AU42" s="41">
        <f t="shared" si="7"/>
        <v>0</v>
      </c>
      <c r="AV42" s="41">
        <f t="shared" si="7"/>
        <v>0</v>
      </c>
      <c r="AW42" s="41">
        <f t="shared" si="7"/>
        <v>0</v>
      </c>
      <c r="AX42" s="41">
        <f t="shared" si="7"/>
        <v>0</v>
      </c>
      <c r="AY42" s="41">
        <f t="shared" si="7"/>
        <v>0</v>
      </c>
      <c r="AZ42" s="41">
        <f t="shared" si="8"/>
        <v>0</v>
      </c>
      <c r="BA42" s="41">
        <f t="shared" si="8"/>
        <v>0</v>
      </c>
      <c r="BB42" s="41">
        <f t="shared" si="8"/>
        <v>0</v>
      </c>
      <c r="BC42" s="41">
        <f t="shared" si="8"/>
        <v>0</v>
      </c>
      <c r="BD42" s="41">
        <f t="shared" si="4"/>
        <v>0</v>
      </c>
      <c r="BE42" s="43">
        <f t="shared" si="5"/>
        <v>0</v>
      </c>
    </row>
    <row r="43" spans="1:57" ht="24.75" customHeight="1">
      <c r="A43" s="23">
        <v>33</v>
      </c>
      <c r="B43" s="24" t="s">
        <v>50</v>
      </c>
      <c r="C43" s="24" t="s">
        <v>1489</v>
      </c>
      <c r="D43" s="24" t="s">
        <v>86</v>
      </c>
      <c r="E43" s="74" t="s">
        <v>52</v>
      </c>
      <c r="F43" s="24" t="s">
        <v>52</v>
      </c>
      <c r="G43" s="83" t="s">
        <v>682</v>
      </c>
      <c r="H43" s="83" t="str">
        <f>VLOOKUP(G43,[1]ListLoaded!$E$6:$F$544,2,0)</f>
        <v>110510</v>
      </c>
      <c r="I43" s="72" t="str">
        <f>VLOOKUP(G43,[1]ListLoaded!$E$6:$M$550,9,0)</f>
        <v>F</v>
      </c>
      <c r="J43" s="72" t="s">
        <v>31</v>
      </c>
      <c r="K43" s="140">
        <f>VLOOKUP(G43,[1]ListLoaded!$E$6:$L$537,8,0)</f>
        <v>2.56</v>
      </c>
      <c r="L43" s="83" t="str">
        <f>VLOOKUP(G43,[1]ListLoaded!$E$6:$S$645,15,0)</f>
        <v>1047897</v>
      </c>
      <c r="M43" s="86" t="str">
        <f>VLOOKUP(G43,[1]ListLoaded!$E$6:$T$674,16,0)</f>
        <v>BÔNG</v>
      </c>
      <c r="N43" s="86">
        <f>VLOOKUP(G43,[1]ListLoaded!$E$6:$N$545,10,0)</f>
        <v>0</v>
      </c>
      <c r="O43" s="72"/>
      <c r="P43" s="72">
        <f>VLOOKUP(G43,[1]ListLoaded!$E$6:$O$638,11,0)</f>
        <v>0</v>
      </c>
      <c r="Q43" s="84" t="str">
        <f t="shared" si="0"/>
        <v>F20DC</v>
      </c>
      <c r="R43" s="84" t="str">
        <f>VLOOKUP(G43,[1]ListLoaded!$E$6:$P$604,12,0)</f>
        <v>HAC251017100</v>
      </c>
      <c r="S43" s="15" t="e">
        <f>I43&amp;J43&amp;#REF!</f>
        <v>#REF!</v>
      </c>
      <c r="T43" s="84" t="s">
        <v>711</v>
      </c>
      <c r="U43" s="84" t="s">
        <v>712</v>
      </c>
      <c r="V43" s="84" t="s">
        <v>726</v>
      </c>
      <c r="W43" s="47"/>
      <c r="X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K43" s="145"/>
      <c r="AL43" s="48"/>
      <c r="AM43" s="42"/>
      <c r="AN43" s="41">
        <f t="shared" si="7"/>
        <v>0</v>
      </c>
      <c r="AO43" s="41">
        <f t="shared" si="7"/>
        <v>0</v>
      </c>
      <c r="AP43" s="41">
        <f t="shared" si="7"/>
        <v>0</v>
      </c>
      <c r="AQ43" s="41">
        <f t="shared" si="7"/>
        <v>0</v>
      </c>
      <c r="AR43" s="41">
        <f t="shared" si="7"/>
        <v>0</v>
      </c>
      <c r="AS43" s="41">
        <f t="shared" si="7"/>
        <v>0</v>
      </c>
      <c r="AT43" s="41">
        <f t="shared" si="7"/>
        <v>0</v>
      </c>
      <c r="AU43" s="41">
        <f t="shared" si="7"/>
        <v>0</v>
      </c>
      <c r="AV43" s="41">
        <f t="shared" si="7"/>
        <v>0</v>
      </c>
      <c r="AW43" s="41">
        <f t="shared" si="7"/>
        <v>0</v>
      </c>
      <c r="AX43" s="41">
        <f t="shared" si="7"/>
        <v>0</v>
      </c>
      <c r="AY43" s="41">
        <f t="shared" si="7"/>
        <v>0</v>
      </c>
      <c r="AZ43" s="41">
        <f t="shared" si="8"/>
        <v>0</v>
      </c>
      <c r="BA43" s="41">
        <f t="shared" si="8"/>
        <v>0</v>
      </c>
      <c r="BB43" s="41">
        <f t="shared" si="8"/>
        <v>0</v>
      </c>
      <c r="BC43" s="41">
        <f t="shared" si="8"/>
        <v>0</v>
      </c>
      <c r="BD43" s="41">
        <f t="shared" si="4"/>
        <v>0</v>
      </c>
      <c r="BE43" s="43">
        <f t="shared" si="5"/>
        <v>0</v>
      </c>
    </row>
    <row r="44" spans="1:57" ht="24.75" customHeight="1">
      <c r="A44" s="23">
        <v>34</v>
      </c>
      <c r="B44" s="24" t="s">
        <v>50</v>
      </c>
      <c r="C44" s="24" t="s">
        <v>1489</v>
      </c>
      <c r="D44" s="24" t="s">
        <v>86</v>
      </c>
      <c r="E44" s="74" t="s">
        <v>52</v>
      </c>
      <c r="F44" s="24" t="s">
        <v>52</v>
      </c>
      <c r="G44" s="83" t="s">
        <v>683</v>
      </c>
      <c r="H44" s="83" t="str">
        <f>VLOOKUP(G44,[1]ListLoaded!$E$6:$F$544,2,0)</f>
        <v>110608</v>
      </c>
      <c r="I44" s="72" t="str">
        <f>VLOOKUP(G44,[1]ListLoaded!$E$6:$M$550,9,0)</f>
        <v>F</v>
      </c>
      <c r="J44" s="72" t="s">
        <v>31</v>
      </c>
      <c r="K44" s="140">
        <f>VLOOKUP(G44,[1]ListLoaded!$E$6:$L$537,8,0)</f>
        <v>22.37</v>
      </c>
      <c r="L44" s="83" t="str">
        <f>VLOOKUP(G44,[1]ListLoaded!$E$6:$S$645,15,0)</f>
        <v>1114834</v>
      </c>
      <c r="M44" s="86" t="str">
        <f>VLOOKUP(G44,[1]ListLoaded!$E$6:$T$674,16,0)</f>
        <v>NGK</v>
      </c>
      <c r="N44" s="86">
        <f>VLOOKUP(G44,[1]ListLoaded!$E$6:$N$545,10,0)</f>
        <v>0</v>
      </c>
      <c r="O44" s="72"/>
      <c r="P44" s="72">
        <f>VLOOKUP(G44,[1]ListLoaded!$E$6:$O$638,11,0)</f>
        <v>0</v>
      </c>
      <c r="Q44" s="84" t="str">
        <f t="shared" si="0"/>
        <v>F20DC</v>
      </c>
      <c r="R44" s="84" t="str">
        <f>VLOOKUP(G44,[1]ListLoaded!$E$6:$P$604,12,0)</f>
        <v>HAC251017100</v>
      </c>
      <c r="S44" s="15" t="e">
        <f>I44&amp;J44&amp;#REF!</f>
        <v>#REF!</v>
      </c>
      <c r="T44" s="84" t="s">
        <v>711</v>
      </c>
      <c r="U44" s="84" t="s">
        <v>712</v>
      </c>
      <c r="V44" s="84" t="s">
        <v>716</v>
      </c>
      <c r="W44" s="47"/>
      <c r="X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K44" s="145"/>
      <c r="AL44" s="48"/>
      <c r="AM44" s="42"/>
      <c r="AN44" s="41">
        <f t="shared" ref="AN44:AY53" si="9">COUNTIF($S$11:$S$1505,"F"&amp;AN$11&amp;$AM44)</f>
        <v>0</v>
      </c>
      <c r="AO44" s="41">
        <f t="shared" si="9"/>
        <v>0</v>
      </c>
      <c r="AP44" s="41">
        <f t="shared" si="9"/>
        <v>0</v>
      </c>
      <c r="AQ44" s="41">
        <f t="shared" si="9"/>
        <v>0</v>
      </c>
      <c r="AR44" s="41">
        <f t="shared" si="9"/>
        <v>0</v>
      </c>
      <c r="AS44" s="41">
        <f t="shared" si="9"/>
        <v>0</v>
      </c>
      <c r="AT44" s="41">
        <f t="shared" si="9"/>
        <v>0</v>
      </c>
      <c r="AU44" s="41">
        <f t="shared" si="9"/>
        <v>0</v>
      </c>
      <c r="AV44" s="41">
        <f t="shared" si="9"/>
        <v>0</v>
      </c>
      <c r="AW44" s="41">
        <f t="shared" si="9"/>
        <v>0</v>
      </c>
      <c r="AX44" s="41">
        <f t="shared" si="9"/>
        <v>0</v>
      </c>
      <c r="AY44" s="41">
        <f t="shared" si="9"/>
        <v>0</v>
      </c>
      <c r="AZ44" s="41">
        <f t="shared" si="8"/>
        <v>0</v>
      </c>
      <c r="BA44" s="41">
        <f t="shared" si="8"/>
        <v>0</v>
      </c>
      <c r="BB44" s="41">
        <f t="shared" si="8"/>
        <v>0</v>
      </c>
      <c r="BC44" s="41">
        <f t="shared" si="8"/>
        <v>0</v>
      </c>
      <c r="BD44" s="41">
        <f t="shared" si="4"/>
        <v>0</v>
      </c>
      <c r="BE44" s="43">
        <f t="shared" si="5"/>
        <v>0</v>
      </c>
    </row>
    <row r="45" spans="1:57" ht="24.75" customHeight="1">
      <c r="A45" s="23">
        <v>35</v>
      </c>
      <c r="B45" s="24" t="s">
        <v>50</v>
      </c>
      <c r="C45" s="24" t="s">
        <v>1489</v>
      </c>
      <c r="D45" s="24" t="s">
        <v>86</v>
      </c>
      <c r="E45" s="74" t="s">
        <v>52</v>
      </c>
      <c r="F45" s="24" t="s">
        <v>52</v>
      </c>
      <c r="G45" s="83" t="s">
        <v>684</v>
      </c>
      <c r="H45" s="83" t="str">
        <f>VLOOKUP(G45,[1]ListLoaded!$E$6:$F$544,2,0)</f>
        <v>310808</v>
      </c>
      <c r="I45" s="72" t="str">
        <f>VLOOKUP(G45,[1]ListLoaded!$E$6:$M$550,9,0)</f>
        <v>F</v>
      </c>
      <c r="J45" s="72" t="s">
        <v>31</v>
      </c>
      <c r="K45" s="140">
        <f>VLOOKUP(G45,[1]ListLoaded!$E$6:$L$537,8,0)</f>
        <v>21.64</v>
      </c>
      <c r="L45" s="83" t="str">
        <f>VLOOKUP(G45,[1]ListLoaded!$E$6:$S$645,15,0)</f>
        <v>01018</v>
      </c>
      <c r="M45" s="86" t="str">
        <f>VLOOKUP(G45,[1]ListLoaded!$E$6:$T$674,16,0)</f>
        <v>NGK</v>
      </c>
      <c r="N45" s="86">
        <f>VLOOKUP(G45,[1]ListLoaded!$E$6:$N$545,10,0)</f>
        <v>0</v>
      </c>
      <c r="O45" s="72"/>
      <c r="P45" s="72">
        <f>VLOOKUP(G45,[1]ListLoaded!$E$6:$O$638,11,0)</f>
        <v>0</v>
      </c>
      <c r="Q45" s="84" t="str">
        <f t="shared" si="0"/>
        <v>F20DC</v>
      </c>
      <c r="R45" s="84" t="str">
        <f>VLOOKUP(G45,[1]ListLoaded!$E$6:$P$604,12,0)</f>
        <v>HAC251017100</v>
      </c>
      <c r="S45" s="15" t="e">
        <f>I45&amp;J45&amp;#REF!</f>
        <v>#REF!</v>
      </c>
      <c r="T45" s="84" t="s">
        <v>711</v>
      </c>
      <c r="U45" s="84" t="s">
        <v>712</v>
      </c>
      <c r="V45" s="84" t="s">
        <v>716</v>
      </c>
      <c r="W45" s="47"/>
      <c r="X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K45" s="145"/>
      <c r="AL45" s="48"/>
      <c r="AM45" s="42"/>
      <c r="AN45" s="41">
        <f t="shared" si="9"/>
        <v>0</v>
      </c>
      <c r="AO45" s="41">
        <f t="shared" si="9"/>
        <v>0</v>
      </c>
      <c r="AP45" s="41">
        <f t="shared" si="9"/>
        <v>0</v>
      </c>
      <c r="AQ45" s="41">
        <f t="shared" si="9"/>
        <v>0</v>
      </c>
      <c r="AR45" s="41">
        <f t="shared" si="9"/>
        <v>0</v>
      </c>
      <c r="AS45" s="41">
        <f t="shared" si="9"/>
        <v>0</v>
      </c>
      <c r="AT45" s="41">
        <f t="shared" si="9"/>
        <v>0</v>
      </c>
      <c r="AU45" s="41">
        <f t="shared" si="9"/>
        <v>0</v>
      </c>
      <c r="AV45" s="41">
        <f t="shared" si="9"/>
        <v>0</v>
      </c>
      <c r="AW45" s="41">
        <f t="shared" si="9"/>
        <v>0</v>
      </c>
      <c r="AX45" s="41">
        <f t="shared" si="9"/>
        <v>0</v>
      </c>
      <c r="AY45" s="41">
        <f t="shared" si="9"/>
        <v>0</v>
      </c>
      <c r="AZ45" s="41">
        <f t="shared" si="8"/>
        <v>0</v>
      </c>
      <c r="BA45" s="41">
        <f t="shared" si="8"/>
        <v>0</v>
      </c>
      <c r="BB45" s="41">
        <f t="shared" si="8"/>
        <v>0</v>
      </c>
      <c r="BC45" s="41">
        <f t="shared" si="8"/>
        <v>0</v>
      </c>
      <c r="BD45" s="41">
        <f t="shared" si="4"/>
        <v>0</v>
      </c>
      <c r="BE45" s="43">
        <f t="shared" si="5"/>
        <v>0</v>
      </c>
    </row>
    <row r="46" spans="1:57" ht="24.75" customHeight="1">
      <c r="A46" s="23">
        <v>36</v>
      </c>
      <c r="B46" s="24" t="s">
        <v>50</v>
      </c>
      <c r="C46" s="24" t="s">
        <v>1489</v>
      </c>
      <c r="D46" s="24" t="s">
        <v>86</v>
      </c>
      <c r="E46" s="74" t="s">
        <v>52</v>
      </c>
      <c r="F46" s="24" t="s">
        <v>52</v>
      </c>
      <c r="G46" s="83" t="s">
        <v>685</v>
      </c>
      <c r="H46" s="83" t="str">
        <f>VLOOKUP(G46,[1]ListLoaded!$E$6:$F$544,2,0)</f>
        <v>070308</v>
      </c>
      <c r="I46" s="72" t="str">
        <f>VLOOKUP(G46,[1]ListLoaded!$E$6:$M$550,9,0)</f>
        <v>F</v>
      </c>
      <c r="J46" s="72" t="s">
        <v>31</v>
      </c>
      <c r="K46" s="140">
        <f>VLOOKUP(G46,[1]ListLoaded!$E$6:$L$537,8,0)</f>
        <v>21.48</v>
      </c>
      <c r="L46" s="83" t="str">
        <f>VLOOKUP(G46,[1]ListLoaded!$E$6:$S$645,15,0)</f>
        <v>01043</v>
      </c>
      <c r="M46" s="86" t="str">
        <f>VLOOKUP(G46,[1]ListLoaded!$E$6:$T$674,16,0)</f>
        <v>NGK</v>
      </c>
      <c r="N46" s="86">
        <f>VLOOKUP(G46,[1]ListLoaded!$E$6:$N$545,10,0)</f>
        <v>0</v>
      </c>
      <c r="O46" s="72"/>
      <c r="P46" s="72">
        <f>VLOOKUP(G46,[1]ListLoaded!$E$6:$O$638,11,0)</f>
        <v>0</v>
      </c>
      <c r="Q46" s="84" t="str">
        <f t="shared" si="0"/>
        <v>F20DC</v>
      </c>
      <c r="R46" s="84" t="str">
        <f>VLOOKUP(G46,[1]ListLoaded!$E$6:$P$604,12,0)</f>
        <v>HAC251017100</v>
      </c>
      <c r="S46" s="15" t="e">
        <f>I46&amp;J46&amp;#REF!</f>
        <v>#REF!</v>
      </c>
      <c r="T46" s="84" t="s">
        <v>711</v>
      </c>
      <c r="U46" s="84" t="s">
        <v>712</v>
      </c>
      <c r="V46" s="84" t="s">
        <v>716</v>
      </c>
      <c r="W46" s="47"/>
      <c r="X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K46" s="145"/>
      <c r="AL46" s="48"/>
      <c r="AM46" s="42"/>
      <c r="AN46" s="41">
        <f t="shared" si="9"/>
        <v>0</v>
      </c>
      <c r="AO46" s="41">
        <f t="shared" si="9"/>
        <v>0</v>
      </c>
      <c r="AP46" s="41">
        <f t="shared" si="9"/>
        <v>0</v>
      </c>
      <c r="AQ46" s="41">
        <f t="shared" si="9"/>
        <v>0</v>
      </c>
      <c r="AR46" s="41">
        <f t="shared" si="9"/>
        <v>0</v>
      </c>
      <c r="AS46" s="41">
        <f t="shared" si="9"/>
        <v>0</v>
      </c>
      <c r="AT46" s="41">
        <f t="shared" si="9"/>
        <v>0</v>
      </c>
      <c r="AU46" s="41">
        <f t="shared" si="9"/>
        <v>0</v>
      </c>
      <c r="AV46" s="41">
        <f t="shared" si="9"/>
        <v>0</v>
      </c>
      <c r="AW46" s="41">
        <f t="shared" si="9"/>
        <v>0</v>
      </c>
      <c r="AX46" s="41">
        <f t="shared" si="9"/>
        <v>0</v>
      </c>
      <c r="AY46" s="41">
        <f t="shared" si="9"/>
        <v>0</v>
      </c>
      <c r="AZ46" s="41">
        <f t="shared" si="8"/>
        <v>0</v>
      </c>
      <c r="BA46" s="41">
        <f t="shared" si="8"/>
        <v>0</v>
      </c>
      <c r="BB46" s="41">
        <f t="shared" si="8"/>
        <v>0</v>
      </c>
      <c r="BC46" s="41">
        <f t="shared" si="8"/>
        <v>0</v>
      </c>
      <c r="BD46" s="41">
        <f t="shared" si="4"/>
        <v>0</v>
      </c>
      <c r="BE46" s="43">
        <f t="shared" si="5"/>
        <v>0</v>
      </c>
    </row>
    <row r="47" spans="1:57" ht="25.5" customHeight="1">
      <c r="A47" s="23">
        <v>37</v>
      </c>
      <c r="B47" s="24" t="s">
        <v>50</v>
      </c>
      <c r="C47" s="24" t="s">
        <v>1489</v>
      </c>
      <c r="D47" s="24" t="s">
        <v>86</v>
      </c>
      <c r="E47" s="74" t="s">
        <v>52</v>
      </c>
      <c r="F47" s="24" t="s">
        <v>52</v>
      </c>
      <c r="G47" s="83" t="s">
        <v>686</v>
      </c>
      <c r="H47" s="83" t="str">
        <f>VLOOKUP(G47,[1]ListLoaded!$E$6:$F$544,2,0)</f>
        <v>180202</v>
      </c>
      <c r="I47" s="72" t="str">
        <f>VLOOKUP(G47,[1]ListLoaded!$E$6:$M$550,9,0)</f>
        <v>F</v>
      </c>
      <c r="J47" s="72" t="str">
        <f>VLOOKUP(G47,[1]ListLoaded!$E$6:$I$537,5,0)</f>
        <v>40HC</v>
      </c>
      <c r="K47" s="140">
        <f>VLOOKUP(G47,[1]ListLoaded!$E$6:$L$537,8,0)</f>
        <v>32.31</v>
      </c>
      <c r="L47" s="83" t="str">
        <f>VLOOKUP(G47,[1]ListLoaded!$E$6:$S$645,15,0)</f>
        <v>000215</v>
      </c>
      <c r="M47" s="86" t="str">
        <f>VLOOKUP(G47,[1]ListLoaded!$E$6:$T$674,16,0)</f>
        <v>VLXD</v>
      </c>
      <c r="N47" s="86">
        <f>VLOOKUP(G47,[1]ListLoaded!$E$6:$N$545,10,0)</f>
        <v>0</v>
      </c>
      <c r="O47" s="72"/>
      <c r="P47" s="72">
        <f>VLOOKUP(G47,[1]ListLoaded!$E$6:$O$638,11,0)</f>
        <v>0</v>
      </c>
      <c r="Q47" s="84" t="str">
        <f t="shared" si="0"/>
        <v>F40HC</v>
      </c>
      <c r="R47" s="84" t="str">
        <f>VLOOKUP(G47,[1]ListLoaded!$E$6:$P$604,12,0)</f>
        <v>HAC251017100</v>
      </c>
      <c r="S47" s="15" t="e">
        <f>I47&amp;J47&amp;#REF!</f>
        <v>#REF!</v>
      </c>
      <c r="T47" s="84" t="s">
        <v>720</v>
      </c>
      <c r="U47" s="84" t="s">
        <v>712</v>
      </c>
      <c r="V47" s="84" t="s">
        <v>602</v>
      </c>
      <c r="W47" s="47"/>
      <c r="X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K47" s="145"/>
      <c r="AL47" s="48"/>
      <c r="AM47" s="42"/>
      <c r="AN47" s="41">
        <f t="shared" si="9"/>
        <v>0</v>
      </c>
      <c r="AO47" s="41">
        <f t="shared" si="9"/>
        <v>0</v>
      </c>
      <c r="AP47" s="41">
        <f t="shared" si="9"/>
        <v>0</v>
      </c>
      <c r="AQ47" s="41">
        <f t="shared" si="9"/>
        <v>0</v>
      </c>
      <c r="AR47" s="41">
        <f t="shared" si="9"/>
        <v>0</v>
      </c>
      <c r="AS47" s="41">
        <f t="shared" si="9"/>
        <v>0</v>
      </c>
      <c r="AT47" s="41">
        <f t="shared" si="9"/>
        <v>0</v>
      </c>
      <c r="AU47" s="41">
        <f t="shared" si="9"/>
        <v>0</v>
      </c>
      <c r="AV47" s="41">
        <f t="shared" si="9"/>
        <v>0</v>
      </c>
      <c r="AW47" s="41">
        <f t="shared" si="9"/>
        <v>0</v>
      </c>
      <c r="AX47" s="41">
        <f t="shared" si="9"/>
        <v>0</v>
      </c>
      <c r="AY47" s="41">
        <f t="shared" si="9"/>
        <v>0</v>
      </c>
      <c r="AZ47" s="41">
        <f t="shared" si="8"/>
        <v>0</v>
      </c>
      <c r="BA47" s="41">
        <f t="shared" si="8"/>
        <v>0</v>
      </c>
      <c r="BB47" s="41">
        <f t="shared" si="8"/>
        <v>0</v>
      </c>
      <c r="BC47" s="41">
        <f t="shared" si="8"/>
        <v>0</v>
      </c>
      <c r="BD47" s="41">
        <f t="shared" si="4"/>
        <v>0</v>
      </c>
      <c r="BE47" s="43">
        <f t="shared" si="5"/>
        <v>0</v>
      </c>
    </row>
    <row r="48" spans="1:57" ht="24.75" customHeight="1">
      <c r="A48" s="23">
        <v>38</v>
      </c>
      <c r="B48" s="24" t="s">
        <v>50</v>
      </c>
      <c r="C48" s="24" t="s">
        <v>1489</v>
      </c>
      <c r="D48" s="24" t="s">
        <v>86</v>
      </c>
      <c r="E48" s="74" t="s">
        <v>52</v>
      </c>
      <c r="F48" s="24" t="s">
        <v>52</v>
      </c>
      <c r="G48" s="83" t="s">
        <v>687</v>
      </c>
      <c r="H48" s="83" t="str">
        <f>VLOOKUP(G48,[1]ListLoaded!$E$6:$F$544,2,0)</f>
        <v>140484</v>
      </c>
      <c r="I48" s="72" t="str">
        <f>VLOOKUP(G48,[1]ListLoaded!$E$6:$M$550,9,0)</f>
        <v>F</v>
      </c>
      <c r="J48" s="72" t="str">
        <f>VLOOKUP(G48,[1]ListLoaded!$E$6:$I$537,5,0)</f>
        <v>40HC</v>
      </c>
      <c r="K48" s="140">
        <f>VLOOKUP(G48,[1]ListLoaded!$E$6:$L$537,8,0)</f>
        <v>31.31</v>
      </c>
      <c r="L48" s="83" t="str">
        <f>VLOOKUP(G48,[1]ListLoaded!$E$6:$S$645,15,0)</f>
        <v>1109339</v>
      </c>
      <c r="M48" s="86" t="str">
        <f>VLOOKUP(G48,[1]ListLoaded!$E$6:$T$674,16,0)</f>
        <v>VLXD</v>
      </c>
      <c r="N48" s="86">
        <f>VLOOKUP(G48,[1]ListLoaded!$E$6:$N$545,10,0)</f>
        <v>0</v>
      </c>
      <c r="O48" s="72"/>
      <c r="P48" s="72">
        <f>VLOOKUP(G48,[1]ListLoaded!$E$6:$O$638,11,0)</f>
        <v>0</v>
      </c>
      <c r="Q48" s="84" t="str">
        <f t="shared" si="0"/>
        <v>F40HC</v>
      </c>
      <c r="R48" s="84" t="str">
        <f>VLOOKUP(G48,[1]ListLoaded!$E$6:$P$604,12,0)</f>
        <v>HAC251017100</v>
      </c>
      <c r="S48" s="15" t="e">
        <f>I48&amp;J48&amp;#REF!</f>
        <v>#REF!</v>
      </c>
      <c r="T48" s="84" t="s">
        <v>720</v>
      </c>
      <c r="U48" s="84" t="s">
        <v>712</v>
      </c>
      <c r="V48" s="84" t="s">
        <v>602</v>
      </c>
      <c r="W48" s="47"/>
      <c r="X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K48" s="145"/>
      <c r="AL48" s="48"/>
      <c r="AM48" s="42"/>
      <c r="AN48" s="41">
        <f t="shared" si="9"/>
        <v>0</v>
      </c>
      <c r="AO48" s="41">
        <f t="shared" si="9"/>
        <v>0</v>
      </c>
      <c r="AP48" s="41">
        <f t="shared" si="9"/>
        <v>0</v>
      </c>
      <c r="AQ48" s="41">
        <f t="shared" si="9"/>
        <v>0</v>
      </c>
      <c r="AR48" s="41">
        <f t="shared" si="9"/>
        <v>0</v>
      </c>
      <c r="AS48" s="41">
        <f t="shared" si="9"/>
        <v>0</v>
      </c>
      <c r="AT48" s="41">
        <f t="shared" si="9"/>
        <v>0</v>
      </c>
      <c r="AU48" s="41">
        <f t="shared" si="9"/>
        <v>0</v>
      </c>
      <c r="AV48" s="41">
        <f t="shared" si="9"/>
        <v>0</v>
      </c>
      <c r="AW48" s="41">
        <f t="shared" si="9"/>
        <v>0</v>
      </c>
      <c r="AX48" s="41">
        <f t="shared" si="9"/>
        <v>0</v>
      </c>
      <c r="AY48" s="41">
        <f t="shared" si="9"/>
        <v>0</v>
      </c>
      <c r="AZ48" s="41">
        <f t="shared" si="8"/>
        <v>0</v>
      </c>
      <c r="BA48" s="41">
        <f t="shared" si="8"/>
        <v>0</v>
      </c>
      <c r="BB48" s="41">
        <f t="shared" si="8"/>
        <v>0</v>
      </c>
      <c r="BC48" s="41">
        <f t="shared" si="8"/>
        <v>0</v>
      </c>
      <c r="BD48" s="41">
        <f t="shared" si="4"/>
        <v>0</v>
      </c>
      <c r="BE48" s="43">
        <f t="shared" si="5"/>
        <v>0</v>
      </c>
    </row>
    <row r="49" spans="1:57" ht="24.75" customHeight="1">
      <c r="A49" s="23">
        <v>39</v>
      </c>
      <c r="B49" s="24" t="s">
        <v>50</v>
      </c>
      <c r="C49" s="24" t="s">
        <v>1489</v>
      </c>
      <c r="D49" s="24" t="s">
        <v>86</v>
      </c>
      <c r="E49" s="74" t="s">
        <v>52</v>
      </c>
      <c r="F49" s="24" t="s">
        <v>52</v>
      </c>
      <c r="G49" s="83" t="s">
        <v>688</v>
      </c>
      <c r="H49" s="83" t="str">
        <f>VLOOKUP(G49,[1]ListLoaded!$E$6:$F$544,2,0)</f>
        <v>220202</v>
      </c>
      <c r="I49" s="72" t="str">
        <f>VLOOKUP(G49,[1]ListLoaded!$E$6:$M$550,9,0)</f>
        <v>F</v>
      </c>
      <c r="J49" s="72" t="str">
        <f>VLOOKUP(G49,[1]ListLoaded!$E$6:$I$537,5,0)</f>
        <v>40HC</v>
      </c>
      <c r="K49" s="140">
        <f>VLOOKUP(G49,[1]ListLoaded!$E$6:$L$537,8,0)</f>
        <v>31.3</v>
      </c>
      <c r="L49" s="83" t="str">
        <f>VLOOKUP(G49,[1]ListLoaded!$E$6:$S$645,15,0)</f>
        <v>002258</v>
      </c>
      <c r="M49" s="86" t="str">
        <f>VLOOKUP(G49,[1]ListLoaded!$E$6:$T$674,16,0)</f>
        <v>VLXD</v>
      </c>
      <c r="N49" s="86">
        <f>VLOOKUP(G49,[1]ListLoaded!$E$6:$N$545,10,0)</f>
        <v>0</v>
      </c>
      <c r="O49" s="72"/>
      <c r="P49" s="72">
        <f>VLOOKUP(G49,[1]ListLoaded!$E$6:$O$638,11,0)</f>
        <v>0</v>
      </c>
      <c r="Q49" s="84" t="str">
        <f t="shared" si="0"/>
        <v>F40HC</v>
      </c>
      <c r="R49" s="84" t="str">
        <f>VLOOKUP(G49,[1]ListLoaded!$E$6:$P$604,12,0)</f>
        <v>HAC251017100</v>
      </c>
      <c r="S49" s="15" t="e">
        <f>I49&amp;J49&amp;#REF!</f>
        <v>#REF!</v>
      </c>
      <c r="T49" s="84" t="s">
        <v>720</v>
      </c>
      <c r="U49" s="84" t="s">
        <v>712</v>
      </c>
      <c r="V49" s="84" t="s">
        <v>602</v>
      </c>
      <c r="W49" s="47"/>
      <c r="X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K49" s="145"/>
      <c r="AL49" s="48"/>
      <c r="AM49" s="42"/>
      <c r="AN49" s="41">
        <f t="shared" si="9"/>
        <v>0</v>
      </c>
      <c r="AO49" s="41">
        <f t="shared" si="9"/>
        <v>0</v>
      </c>
      <c r="AP49" s="41">
        <f t="shared" si="9"/>
        <v>0</v>
      </c>
      <c r="AQ49" s="41">
        <f t="shared" si="9"/>
        <v>0</v>
      </c>
      <c r="AR49" s="41">
        <f t="shared" si="9"/>
        <v>0</v>
      </c>
      <c r="AS49" s="41">
        <f t="shared" si="9"/>
        <v>0</v>
      </c>
      <c r="AT49" s="41">
        <f t="shared" si="9"/>
        <v>0</v>
      </c>
      <c r="AU49" s="41">
        <f t="shared" si="9"/>
        <v>0</v>
      </c>
      <c r="AV49" s="41">
        <f t="shared" si="9"/>
        <v>0</v>
      </c>
      <c r="AW49" s="41">
        <f t="shared" si="9"/>
        <v>0</v>
      </c>
      <c r="AX49" s="41">
        <f t="shared" si="9"/>
        <v>0</v>
      </c>
      <c r="AY49" s="41">
        <f t="shared" si="9"/>
        <v>0</v>
      </c>
      <c r="AZ49" s="41">
        <f t="shared" si="8"/>
        <v>0</v>
      </c>
      <c r="BA49" s="41">
        <f t="shared" si="8"/>
        <v>0</v>
      </c>
      <c r="BB49" s="41">
        <f t="shared" si="8"/>
        <v>0</v>
      </c>
      <c r="BC49" s="41">
        <f t="shared" si="8"/>
        <v>0</v>
      </c>
      <c r="BD49" s="41">
        <f t="shared" si="4"/>
        <v>0</v>
      </c>
      <c r="BE49" s="43">
        <f t="shared" si="5"/>
        <v>0</v>
      </c>
    </row>
    <row r="50" spans="1:57" ht="24.75" customHeight="1">
      <c r="A50" s="23">
        <v>40</v>
      </c>
      <c r="B50" s="24" t="s">
        <v>50</v>
      </c>
      <c r="C50" s="24" t="s">
        <v>1489</v>
      </c>
      <c r="D50" s="24" t="s">
        <v>86</v>
      </c>
      <c r="E50" s="74" t="s">
        <v>52</v>
      </c>
      <c r="F50" s="24" t="s">
        <v>52</v>
      </c>
      <c r="G50" s="83" t="s">
        <v>689</v>
      </c>
      <c r="H50" s="83" t="str">
        <f>VLOOKUP(G50,[1]ListLoaded!$E$6:$F$544,2,0)</f>
        <v>140684</v>
      </c>
      <c r="I50" s="72" t="str">
        <f>VLOOKUP(G50,[1]ListLoaded!$E$6:$M$550,9,0)</f>
        <v>F</v>
      </c>
      <c r="J50" s="72" t="str">
        <f>VLOOKUP(G50,[1]ListLoaded!$E$6:$I$537,5,0)</f>
        <v>40HC</v>
      </c>
      <c r="K50" s="140">
        <f>VLOOKUP(G50,[1]ListLoaded!$E$6:$L$537,8,0)</f>
        <v>28.75</v>
      </c>
      <c r="L50" s="83" t="str">
        <f>VLOOKUP(G50,[1]ListLoaded!$E$6:$S$645,15,0)</f>
        <v>01120</v>
      </c>
      <c r="M50" s="86" t="str">
        <f>VLOOKUP(G50,[1]ListLoaded!$E$6:$T$674,16,0)</f>
        <v>VLXD</v>
      </c>
      <c r="N50" s="86">
        <f>VLOOKUP(G50,[1]ListLoaded!$E$6:$N$545,10,0)</f>
        <v>0</v>
      </c>
      <c r="O50" s="72"/>
      <c r="P50" s="72">
        <f>VLOOKUP(G50,[1]ListLoaded!$E$6:$O$638,11,0)</f>
        <v>0</v>
      </c>
      <c r="Q50" s="84" t="str">
        <f t="shared" si="0"/>
        <v>F40HC</v>
      </c>
      <c r="R50" s="84" t="str">
        <f>VLOOKUP(G50,[1]ListLoaded!$E$6:$P$604,12,0)</f>
        <v>HAC251017100</v>
      </c>
      <c r="S50" s="15" t="e">
        <f>I50&amp;J50&amp;#REF!</f>
        <v>#REF!</v>
      </c>
      <c r="T50" s="84" t="s">
        <v>720</v>
      </c>
      <c r="U50" s="84" t="s">
        <v>712</v>
      </c>
      <c r="V50" s="84" t="s">
        <v>602</v>
      </c>
      <c r="W50" s="47"/>
      <c r="X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K50" s="145"/>
      <c r="AL50" s="48"/>
      <c r="AM50" s="42"/>
      <c r="AN50" s="41">
        <f t="shared" si="9"/>
        <v>0</v>
      </c>
      <c r="AO50" s="41">
        <f t="shared" si="9"/>
        <v>0</v>
      </c>
      <c r="AP50" s="41">
        <f t="shared" si="9"/>
        <v>0</v>
      </c>
      <c r="AQ50" s="41">
        <f t="shared" si="9"/>
        <v>0</v>
      </c>
      <c r="AR50" s="41">
        <f t="shared" si="9"/>
        <v>0</v>
      </c>
      <c r="AS50" s="41">
        <f t="shared" si="9"/>
        <v>0</v>
      </c>
      <c r="AT50" s="41">
        <f t="shared" si="9"/>
        <v>0</v>
      </c>
      <c r="AU50" s="41">
        <f t="shared" si="9"/>
        <v>0</v>
      </c>
      <c r="AV50" s="41">
        <f t="shared" si="9"/>
        <v>0</v>
      </c>
      <c r="AW50" s="41">
        <f t="shared" si="9"/>
        <v>0</v>
      </c>
      <c r="AX50" s="41">
        <f t="shared" si="9"/>
        <v>0</v>
      </c>
      <c r="AY50" s="41">
        <f t="shared" si="9"/>
        <v>0</v>
      </c>
      <c r="AZ50" s="41">
        <f t="shared" si="8"/>
        <v>0</v>
      </c>
      <c r="BA50" s="41">
        <f t="shared" si="8"/>
        <v>0</v>
      </c>
      <c r="BB50" s="41">
        <f t="shared" si="8"/>
        <v>0</v>
      </c>
      <c r="BC50" s="41">
        <f t="shared" si="8"/>
        <v>0</v>
      </c>
      <c r="BD50" s="41">
        <f t="shared" si="4"/>
        <v>0</v>
      </c>
      <c r="BE50" s="43">
        <f t="shared" si="5"/>
        <v>0</v>
      </c>
    </row>
    <row r="51" spans="1:57" ht="24.75" customHeight="1">
      <c r="A51" s="23">
        <v>41</v>
      </c>
      <c r="B51" s="24" t="s">
        <v>50</v>
      </c>
      <c r="C51" s="24" t="s">
        <v>1489</v>
      </c>
      <c r="D51" s="24" t="s">
        <v>86</v>
      </c>
      <c r="E51" s="74" t="s">
        <v>52</v>
      </c>
      <c r="F51" s="24" t="s">
        <v>52</v>
      </c>
      <c r="G51" s="83" t="s">
        <v>690</v>
      </c>
      <c r="H51" s="83" t="str">
        <f>VLOOKUP(G51,[1]ListLoaded!$E$6:$F$544,2,0)</f>
        <v>140104</v>
      </c>
      <c r="I51" s="72" t="str">
        <f>VLOOKUP(G51,[1]ListLoaded!$E$6:$M$550,9,0)</f>
        <v>F</v>
      </c>
      <c r="J51" s="72" t="str">
        <f>VLOOKUP(G51,[1]ListLoaded!$E$6:$I$537,5,0)</f>
        <v>40HC</v>
      </c>
      <c r="K51" s="140">
        <f>VLOOKUP(G51,[1]ListLoaded!$E$6:$L$537,8,0)</f>
        <v>30.16</v>
      </c>
      <c r="L51" s="83" t="str">
        <f>VLOOKUP(G51,[1]ListLoaded!$E$6:$S$645,15,0)</f>
        <v>37273</v>
      </c>
      <c r="M51" s="86" t="str">
        <f>VLOOKUP(G51,[1]ListLoaded!$E$6:$T$674,16,0)</f>
        <v>VLXD</v>
      </c>
      <c r="N51" s="86">
        <f>VLOOKUP(G51,[1]ListLoaded!$E$6:$N$545,10,0)</f>
        <v>0</v>
      </c>
      <c r="O51" s="72"/>
      <c r="P51" s="72">
        <f>VLOOKUP(G51,[1]ListLoaded!$E$6:$O$638,11,0)</f>
        <v>0</v>
      </c>
      <c r="Q51" s="84" t="str">
        <f t="shared" si="0"/>
        <v>F40HC</v>
      </c>
      <c r="R51" s="84" t="str">
        <f>VLOOKUP(G51,[1]ListLoaded!$E$6:$P$604,12,0)</f>
        <v>HAC251017100</v>
      </c>
      <c r="S51" s="15" t="e">
        <f>I51&amp;J51&amp;#REF!</f>
        <v>#REF!</v>
      </c>
      <c r="T51" s="84" t="s">
        <v>720</v>
      </c>
      <c r="U51" s="84" t="s">
        <v>712</v>
      </c>
      <c r="V51" s="84" t="s">
        <v>602</v>
      </c>
      <c r="W51" s="47"/>
      <c r="X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K51" s="145"/>
      <c r="AL51" s="48"/>
      <c r="AM51" s="42"/>
      <c r="AN51" s="41">
        <f t="shared" si="9"/>
        <v>0</v>
      </c>
      <c r="AO51" s="41">
        <f t="shared" si="9"/>
        <v>0</v>
      </c>
      <c r="AP51" s="41">
        <f t="shared" si="9"/>
        <v>0</v>
      </c>
      <c r="AQ51" s="41">
        <f t="shared" si="9"/>
        <v>0</v>
      </c>
      <c r="AR51" s="41">
        <f t="shared" si="9"/>
        <v>0</v>
      </c>
      <c r="AS51" s="41">
        <f t="shared" si="9"/>
        <v>0</v>
      </c>
      <c r="AT51" s="41">
        <f t="shared" si="9"/>
        <v>0</v>
      </c>
      <c r="AU51" s="41">
        <f t="shared" si="9"/>
        <v>0</v>
      </c>
      <c r="AV51" s="41">
        <f t="shared" si="9"/>
        <v>0</v>
      </c>
      <c r="AW51" s="41">
        <f t="shared" si="9"/>
        <v>0</v>
      </c>
      <c r="AX51" s="41">
        <f t="shared" si="9"/>
        <v>0</v>
      </c>
      <c r="AY51" s="41">
        <f t="shared" si="9"/>
        <v>0</v>
      </c>
      <c r="AZ51" s="41">
        <f t="shared" si="8"/>
        <v>0</v>
      </c>
      <c r="BA51" s="41">
        <f t="shared" si="8"/>
        <v>0</v>
      </c>
      <c r="BB51" s="41">
        <f t="shared" si="8"/>
        <v>0</v>
      </c>
      <c r="BC51" s="41">
        <f t="shared" si="8"/>
        <v>0</v>
      </c>
      <c r="BD51" s="41">
        <f t="shared" si="4"/>
        <v>0</v>
      </c>
      <c r="BE51" s="43">
        <f t="shared" si="5"/>
        <v>0</v>
      </c>
    </row>
    <row r="52" spans="1:57" ht="24.75" customHeight="1">
      <c r="A52" s="23">
        <v>42</v>
      </c>
      <c r="B52" s="24" t="s">
        <v>50</v>
      </c>
      <c r="C52" s="24" t="s">
        <v>1489</v>
      </c>
      <c r="D52" s="24" t="s">
        <v>86</v>
      </c>
      <c r="E52" s="74" t="s">
        <v>52</v>
      </c>
      <c r="F52" s="24" t="s">
        <v>52</v>
      </c>
      <c r="G52" s="83" t="s">
        <v>691</v>
      </c>
      <c r="H52" s="83" t="str">
        <f>VLOOKUP(G52,[1]ListLoaded!$E$6:$F$544,2,0)</f>
        <v>100208</v>
      </c>
      <c r="I52" s="72" t="str">
        <f>VLOOKUP(G52,[1]ListLoaded!$E$6:$M$550,9,0)</f>
        <v>F</v>
      </c>
      <c r="J52" s="72" t="str">
        <f>VLOOKUP(G52,[1]ListLoaded!$E$6:$I$537,5,0)</f>
        <v>40HC</v>
      </c>
      <c r="K52" s="140">
        <f>VLOOKUP(G52,[1]ListLoaded!$E$6:$L$537,8,0)</f>
        <v>29.43</v>
      </c>
      <c r="L52" s="83" t="str">
        <f>VLOOKUP(G52,[1]ListLoaded!$E$6:$S$645,15,0)</f>
        <v>23369230</v>
      </c>
      <c r="M52" s="86" t="str">
        <f>VLOOKUP(G52,[1]ListLoaded!$E$6:$T$674,16,0)</f>
        <v>VLXD</v>
      </c>
      <c r="N52" s="86">
        <f>VLOOKUP(G52,[1]ListLoaded!$E$6:$N$545,10,0)</f>
        <v>0</v>
      </c>
      <c r="O52" s="72"/>
      <c r="P52" s="72">
        <f>VLOOKUP(G52,[1]ListLoaded!$E$6:$O$638,11,0)</f>
        <v>0</v>
      </c>
      <c r="Q52" s="84" t="str">
        <f t="shared" si="0"/>
        <v>F40HC</v>
      </c>
      <c r="R52" s="84" t="str">
        <f>VLOOKUP(G52,[1]ListLoaded!$E$6:$P$604,12,0)</f>
        <v>HAC251017100</v>
      </c>
      <c r="S52" s="15" t="e">
        <f>I52&amp;J52&amp;#REF!</f>
        <v>#REF!</v>
      </c>
      <c r="T52" s="84" t="s">
        <v>720</v>
      </c>
      <c r="U52" s="84" t="s">
        <v>712</v>
      </c>
      <c r="V52" s="84" t="s">
        <v>602</v>
      </c>
      <c r="W52" s="47"/>
      <c r="X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K52" s="145"/>
      <c r="AL52" s="48"/>
      <c r="AM52" s="42"/>
      <c r="AN52" s="41">
        <f t="shared" si="9"/>
        <v>0</v>
      </c>
      <c r="AO52" s="41">
        <f t="shared" si="9"/>
        <v>0</v>
      </c>
      <c r="AP52" s="41">
        <f t="shared" si="9"/>
        <v>0</v>
      </c>
      <c r="AQ52" s="41">
        <f t="shared" si="9"/>
        <v>0</v>
      </c>
      <c r="AR52" s="41">
        <f t="shared" si="9"/>
        <v>0</v>
      </c>
      <c r="AS52" s="41">
        <f t="shared" si="9"/>
        <v>0</v>
      </c>
      <c r="AT52" s="41">
        <f t="shared" si="9"/>
        <v>0</v>
      </c>
      <c r="AU52" s="41">
        <f t="shared" si="9"/>
        <v>0</v>
      </c>
      <c r="AV52" s="41">
        <f t="shared" si="9"/>
        <v>0</v>
      </c>
      <c r="AW52" s="41">
        <f t="shared" si="9"/>
        <v>0</v>
      </c>
      <c r="AX52" s="41">
        <f t="shared" si="9"/>
        <v>0</v>
      </c>
      <c r="AY52" s="41">
        <f t="shared" si="9"/>
        <v>0</v>
      </c>
      <c r="AZ52" s="41">
        <f t="shared" si="8"/>
        <v>0</v>
      </c>
      <c r="BA52" s="41">
        <f t="shared" si="8"/>
        <v>0</v>
      </c>
      <c r="BB52" s="41">
        <f t="shared" si="8"/>
        <v>0</v>
      </c>
      <c r="BC52" s="41">
        <f t="shared" si="8"/>
        <v>0</v>
      </c>
      <c r="BD52" s="41">
        <f t="shared" si="4"/>
        <v>0</v>
      </c>
      <c r="BE52" s="43">
        <f t="shared" si="5"/>
        <v>0</v>
      </c>
    </row>
    <row r="53" spans="1:57" ht="24.75" customHeight="1">
      <c r="A53" s="23">
        <v>43</v>
      </c>
      <c r="B53" s="24" t="s">
        <v>50</v>
      </c>
      <c r="C53" s="24" t="s">
        <v>1489</v>
      </c>
      <c r="D53" s="24" t="s">
        <v>86</v>
      </c>
      <c r="E53" s="74" t="s">
        <v>52</v>
      </c>
      <c r="F53" s="24" t="s">
        <v>52</v>
      </c>
      <c r="G53" s="83" t="s">
        <v>692</v>
      </c>
      <c r="H53" s="83" t="str">
        <f>VLOOKUP(G53,[1]ListLoaded!$E$6:$F$544,2,0)</f>
        <v>180402</v>
      </c>
      <c r="I53" s="72" t="str">
        <f>VLOOKUP(G53,[1]ListLoaded!$E$6:$M$550,9,0)</f>
        <v>F</v>
      </c>
      <c r="J53" s="72" t="str">
        <f>VLOOKUP(G53,[1]ListLoaded!$E$6:$I$537,5,0)</f>
        <v>40HC</v>
      </c>
      <c r="K53" s="140">
        <f>VLOOKUP(G53,[1]ListLoaded!$E$6:$L$537,8,0)</f>
        <v>31.5</v>
      </c>
      <c r="L53" s="83" t="str">
        <f>VLOOKUP(G53,[1]ListLoaded!$E$6:$S$645,15,0)</f>
        <v>260248</v>
      </c>
      <c r="M53" s="86" t="str">
        <f>VLOOKUP(G53,[1]ListLoaded!$E$6:$T$674,16,0)</f>
        <v>VLXD</v>
      </c>
      <c r="N53" s="86">
        <f>VLOOKUP(G53,[1]ListLoaded!$E$6:$N$545,10,0)</f>
        <v>0</v>
      </c>
      <c r="O53" s="72"/>
      <c r="P53" s="72">
        <f>VLOOKUP(G53,[1]ListLoaded!$E$6:$O$638,11,0)</f>
        <v>0</v>
      </c>
      <c r="Q53" s="84" t="str">
        <f t="shared" si="0"/>
        <v>F40HC</v>
      </c>
      <c r="R53" s="84" t="str">
        <f>VLOOKUP(G53,[1]ListLoaded!$E$6:$P$604,12,0)</f>
        <v>HAC251017100</v>
      </c>
      <c r="S53" s="15" t="e">
        <f>I53&amp;J53&amp;#REF!</f>
        <v>#REF!</v>
      </c>
      <c r="T53" s="84" t="s">
        <v>720</v>
      </c>
      <c r="U53" s="84" t="s">
        <v>712</v>
      </c>
      <c r="V53" s="84" t="s">
        <v>602</v>
      </c>
      <c r="W53" s="47"/>
      <c r="X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K53" s="145"/>
      <c r="AL53" s="48"/>
      <c r="AM53" s="42"/>
      <c r="AN53" s="41">
        <f t="shared" si="9"/>
        <v>0</v>
      </c>
      <c r="AO53" s="41">
        <f t="shared" si="9"/>
        <v>0</v>
      </c>
      <c r="AP53" s="41">
        <f t="shared" si="9"/>
        <v>0</v>
      </c>
      <c r="AQ53" s="41">
        <f t="shared" si="9"/>
        <v>0</v>
      </c>
      <c r="AR53" s="41">
        <f t="shared" si="9"/>
        <v>0</v>
      </c>
      <c r="AS53" s="41">
        <f t="shared" si="9"/>
        <v>0</v>
      </c>
      <c r="AT53" s="41">
        <f t="shared" si="9"/>
        <v>0</v>
      </c>
      <c r="AU53" s="41">
        <f t="shared" si="9"/>
        <v>0</v>
      </c>
      <c r="AV53" s="41">
        <f t="shared" si="9"/>
        <v>0</v>
      </c>
      <c r="AW53" s="41">
        <f t="shared" si="9"/>
        <v>0</v>
      </c>
      <c r="AX53" s="41">
        <f t="shared" si="9"/>
        <v>0</v>
      </c>
      <c r="AY53" s="41">
        <f t="shared" si="9"/>
        <v>0</v>
      </c>
      <c r="AZ53" s="41">
        <f t="shared" si="8"/>
        <v>0</v>
      </c>
      <c r="BA53" s="41">
        <f t="shared" si="8"/>
        <v>0</v>
      </c>
      <c r="BB53" s="41">
        <f t="shared" si="8"/>
        <v>0</v>
      </c>
      <c r="BC53" s="41">
        <f t="shared" si="8"/>
        <v>0</v>
      </c>
      <c r="BD53" s="41">
        <f t="shared" si="4"/>
        <v>0</v>
      </c>
      <c r="BE53" s="43">
        <f t="shared" si="5"/>
        <v>0</v>
      </c>
    </row>
    <row r="54" spans="1:57" ht="24.75" customHeight="1">
      <c r="A54" s="23">
        <v>44</v>
      </c>
      <c r="B54" s="24" t="s">
        <v>50</v>
      </c>
      <c r="C54" s="24" t="s">
        <v>1489</v>
      </c>
      <c r="D54" s="24" t="s">
        <v>86</v>
      </c>
      <c r="E54" s="74" t="s">
        <v>52</v>
      </c>
      <c r="F54" s="24" t="s">
        <v>52</v>
      </c>
      <c r="G54" s="83" t="s">
        <v>693</v>
      </c>
      <c r="H54" s="83" t="str">
        <f>VLOOKUP(G54,[1]ListLoaded!$E$6:$F$544,2,0)</f>
        <v>260808</v>
      </c>
      <c r="I54" s="72" t="str">
        <f>VLOOKUP(G54,[1]ListLoaded!$E$6:$M$550,9,0)</f>
        <v>F</v>
      </c>
      <c r="J54" s="72" t="str">
        <f>VLOOKUP(G54,[1]ListLoaded!$E$6:$I$537,5,0)</f>
        <v>40HC</v>
      </c>
      <c r="K54" s="140">
        <f>VLOOKUP(G54,[1]ListLoaded!$E$6:$L$537,8,0)</f>
        <v>30.47</v>
      </c>
      <c r="L54" s="83" t="str">
        <f>VLOOKUP(G54,[1]ListLoaded!$E$6:$S$645,15,0)</f>
        <v>1109313</v>
      </c>
      <c r="M54" s="86" t="str">
        <f>VLOOKUP(G54,[1]ListLoaded!$E$6:$T$674,16,0)</f>
        <v>VLXD</v>
      </c>
      <c r="N54" s="86">
        <f>VLOOKUP(G54,[1]ListLoaded!$E$6:$N$545,10,0)</f>
        <v>0</v>
      </c>
      <c r="O54" s="72"/>
      <c r="P54" s="72">
        <f>VLOOKUP(G54,[1]ListLoaded!$E$6:$O$638,11,0)</f>
        <v>0</v>
      </c>
      <c r="Q54" s="84" t="str">
        <f t="shared" si="0"/>
        <v>F40HC</v>
      </c>
      <c r="R54" s="84" t="str">
        <f>VLOOKUP(G54,[1]ListLoaded!$E$6:$P$604,12,0)</f>
        <v>HAC251017100</v>
      </c>
      <c r="S54" s="15" t="e">
        <f>I54&amp;J54&amp;#REF!</f>
        <v>#REF!</v>
      </c>
      <c r="T54" s="84" t="s">
        <v>720</v>
      </c>
      <c r="U54" s="84" t="s">
        <v>712</v>
      </c>
      <c r="V54" s="84" t="s">
        <v>602</v>
      </c>
      <c r="W54" s="47"/>
      <c r="X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K54" s="145"/>
      <c r="AL54" s="48"/>
      <c r="AM54" s="42"/>
      <c r="AN54" s="41">
        <f t="shared" ref="AN54:AY63" si="10">COUNTIF($S$11:$S$1505,"F"&amp;AN$11&amp;$AM54)</f>
        <v>0</v>
      </c>
      <c r="AO54" s="41">
        <f t="shared" si="10"/>
        <v>0</v>
      </c>
      <c r="AP54" s="41">
        <f t="shared" si="10"/>
        <v>0</v>
      </c>
      <c r="AQ54" s="41">
        <f t="shared" si="10"/>
        <v>0</v>
      </c>
      <c r="AR54" s="41">
        <f t="shared" si="10"/>
        <v>0</v>
      </c>
      <c r="AS54" s="41">
        <f t="shared" si="10"/>
        <v>0</v>
      </c>
      <c r="AT54" s="41">
        <f t="shared" si="10"/>
        <v>0</v>
      </c>
      <c r="AU54" s="41">
        <f t="shared" si="10"/>
        <v>0</v>
      </c>
      <c r="AV54" s="41">
        <f t="shared" si="10"/>
        <v>0</v>
      </c>
      <c r="AW54" s="41">
        <f t="shared" si="10"/>
        <v>0</v>
      </c>
      <c r="AX54" s="41">
        <f t="shared" si="10"/>
        <v>0</v>
      </c>
      <c r="AY54" s="41">
        <f t="shared" si="10"/>
        <v>0</v>
      </c>
      <c r="AZ54" s="41">
        <f t="shared" ref="AZ54:BC73" si="11">COUNTIF($S$11:$S$1505,"E"&amp;AZ$11&amp;$AM54)</f>
        <v>0</v>
      </c>
      <c r="BA54" s="41">
        <f t="shared" si="11"/>
        <v>0</v>
      </c>
      <c r="BB54" s="41">
        <f t="shared" si="11"/>
        <v>0</v>
      </c>
      <c r="BC54" s="41">
        <f t="shared" si="11"/>
        <v>0</v>
      </c>
      <c r="BD54" s="41">
        <f t="shared" si="4"/>
        <v>0</v>
      </c>
      <c r="BE54" s="43">
        <f t="shared" si="5"/>
        <v>0</v>
      </c>
    </row>
    <row r="55" spans="1:57" ht="24.75" customHeight="1">
      <c r="A55" s="23">
        <v>45</v>
      </c>
      <c r="B55" s="24" t="s">
        <v>50</v>
      </c>
      <c r="C55" s="24" t="s">
        <v>1489</v>
      </c>
      <c r="D55" s="24" t="s">
        <v>86</v>
      </c>
      <c r="E55" s="74" t="s">
        <v>52</v>
      </c>
      <c r="F55" s="24" t="s">
        <v>52</v>
      </c>
      <c r="G55" s="83" t="s">
        <v>694</v>
      </c>
      <c r="H55" s="83" t="str">
        <f>VLOOKUP(G55,[1]ListLoaded!$E$6:$F$544,2,0)</f>
        <v>260208</v>
      </c>
      <c r="I55" s="72" t="str">
        <f>VLOOKUP(G55,[1]ListLoaded!$E$6:$M$550,9,0)</f>
        <v>F</v>
      </c>
      <c r="J55" s="72" t="str">
        <f>VLOOKUP(G55,[1]ListLoaded!$E$6:$I$537,5,0)</f>
        <v>40HC</v>
      </c>
      <c r="K55" s="140">
        <f>VLOOKUP(G55,[1]ListLoaded!$E$6:$L$537,8,0)</f>
        <v>29</v>
      </c>
      <c r="L55" s="83" t="str">
        <f>VLOOKUP(G55,[1]ListLoaded!$E$6:$S$645,15,0)</f>
        <v>1109398</v>
      </c>
      <c r="M55" s="86" t="str">
        <f>VLOOKUP(G55,[1]ListLoaded!$E$6:$T$674,16,0)</f>
        <v>VLXD</v>
      </c>
      <c r="N55" s="86">
        <f>VLOOKUP(G55,[1]ListLoaded!$E$6:$N$545,10,0)</f>
        <v>0</v>
      </c>
      <c r="O55" s="72"/>
      <c r="P55" s="72">
        <f>VLOOKUP(G55,[1]ListLoaded!$E$6:$O$638,11,0)</f>
        <v>0</v>
      </c>
      <c r="Q55" s="84" t="str">
        <f t="shared" si="0"/>
        <v>F40HC</v>
      </c>
      <c r="R55" s="84" t="str">
        <f>VLOOKUP(G55,[1]ListLoaded!$E$6:$P$604,12,0)</f>
        <v>HAC251017100</v>
      </c>
      <c r="S55" s="15" t="e">
        <f>I55&amp;J55&amp;#REF!</f>
        <v>#REF!</v>
      </c>
      <c r="T55" s="84" t="s">
        <v>720</v>
      </c>
      <c r="U55" s="84" t="s">
        <v>712</v>
      </c>
      <c r="V55" s="84" t="s">
        <v>602</v>
      </c>
      <c r="W55" s="47"/>
      <c r="X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K55" s="145"/>
      <c r="AL55" s="48"/>
      <c r="AM55" s="42"/>
      <c r="AN55" s="41">
        <f t="shared" si="10"/>
        <v>0</v>
      </c>
      <c r="AO55" s="41">
        <f t="shared" si="10"/>
        <v>0</v>
      </c>
      <c r="AP55" s="41">
        <f t="shared" si="10"/>
        <v>0</v>
      </c>
      <c r="AQ55" s="41">
        <f t="shared" si="10"/>
        <v>0</v>
      </c>
      <c r="AR55" s="41">
        <f t="shared" si="10"/>
        <v>0</v>
      </c>
      <c r="AS55" s="41">
        <f t="shared" si="10"/>
        <v>0</v>
      </c>
      <c r="AT55" s="41">
        <f t="shared" si="10"/>
        <v>0</v>
      </c>
      <c r="AU55" s="41">
        <f t="shared" si="10"/>
        <v>0</v>
      </c>
      <c r="AV55" s="41">
        <f t="shared" si="10"/>
        <v>0</v>
      </c>
      <c r="AW55" s="41">
        <f t="shared" si="10"/>
        <v>0</v>
      </c>
      <c r="AX55" s="41">
        <f t="shared" si="10"/>
        <v>0</v>
      </c>
      <c r="AY55" s="41">
        <f t="shared" si="10"/>
        <v>0</v>
      </c>
      <c r="AZ55" s="41">
        <f t="shared" si="11"/>
        <v>0</v>
      </c>
      <c r="BA55" s="41">
        <f t="shared" si="11"/>
        <v>0</v>
      </c>
      <c r="BB55" s="41">
        <f t="shared" si="11"/>
        <v>0</v>
      </c>
      <c r="BC55" s="41">
        <f t="shared" si="11"/>
        <v>0</v>
      </c>
      <c r="BD55" s="41">
        <f t="shared" si="4"/>
        <v>0</v>
      </c>
      <c r="BE55" s="43">
        <f t="shared" si="5"/>
        <v>0</v>
      </c>
    </row>
    <row r="56" spans="1:57" ht="24.75" customHeight="1">
      <c r="A56" s="23">
        <v>46</v>
      </c>
      <c r="B56" s="24" t="s">
        <v>50</v>
      </c>
      <c r="C56" s="24" t="s">
        <v>1489</v>
      </c>
      <c r="D56" s="24" t="s">
        <v>86</v>
      </c>
      <c r="E56" s="74" t="s">
        <v>52</v>
      </c>
      <c r="F56" s="24" t="s">
        <v>52</v>
      </c>
      <c r="G56" s="83" t="s">
        <v>695</v>
      </c>
      <c r="H56" s="83" t="str">
        <f>VLOOKUP(G56,[1]ListLoaded!$E$6:$F$544,2,0)</f>
        <v>260608</v>
      </c>
      <c r="I56" s="72" t="str">
        <f>VLOOKUP(G56,[1]ListLoaded!$E$6:$M$550,9,0)</f>
        <v>F</v>
      </c>
      <c r="J56" s="72" t="str">
        <f>VLOOKUP(G56,[1]ListLoaded!$E$6:$I$537,5,0)</f>
        <v>40HC</v>
      </c>
      <c r="K56" s="140">
        <f>VLOOKUP(G56,[1]ListLoaded!$E$6:$L$537,8,0)</f>
        <v>30.54</v>
      </c>
      <c r="L56" s="83" t="str">
        <f>VLOOKUP(G56,[1]ListLoaded!$E$6:$S$645,15,0)</f>
        <v>000539</v>
      </c>
      <c r="M56" s="86" t="str">
        <f>VLOOKUP(G56,[1]ListLoaded!$E$6:$T$674,16,0)</f>
        <v>VLXD</v>
      </c>
      <c r="N56" s="86">
        <f>VLOOKUP(G56,[1]ListLoaded!$E$6:$N$545,10,0)</f>
        <v>0</v>
      </c>
      <c r="O56" s="72"/>
      <c r="P56" s="72">
        <f>VLOOKUP(G56,[1]ListLoaded!$E$6:$O$638,11,0)</f>
        <v>0</v>
      </c>
      <c r="Q56" s="84" t="str">
        <f t="shared" si="0"/>
        <v>F40HC</v>
      </c>
      <c r="R56" s="84" t="str">
        <f>VLOOKUP(G56,[1]ListLoaded!$E$6:$P$604,12,0)</f>
        <v>HAC251017100</v>
      </c>
      <c r="S56" s="15" t="e">
        <f>I56&amp;J56&amp;#REF!</f>
        <v>#REF!</v>
      </c>
      <c r="T56" s="84" t="s">
        <v>720</v>
      </c>
      <c r="U56" s="84" t="s">
        <v>712</v>
      </c>
      <c r="V56" s="84" t="s">
        <v>602</v>
      </c>
      <c r="W56" s="47"/>
      <c r="X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K56" s="145"/>
      <c r="AL56" s="48"/>
      <c r="AM56" s="42"/>
      <c r="AN56" s="41">
        <f t="shared" si="10"/>
        <v>0</v>
      </c>
      <c r="AO56" s="41">
        <f t="shared" si="10"/>
        <v>0</v>
      </c>
      <c r="AP56" s="41">
        <f t="shared" si="10"/>
        <v>0</v>
      </c>
      <c r="AQ56" s="41">
        <f t="shared" si="10"/>
        <v>0</v>
      </c>
      <c r="AR56" s="41">
        <f t="shared" si="10"/>
        <v>0</v>
      </c>
      <c r="AS56" s="41">
        <f t="shared" si="10"/>
        <v>0</v>
      </c>
      <c r="AT56" s="41">
        <f t="shared" si="10"/>
        <v>0</v>
      </c>
      <c r="AU56" s="41">
        <f t="shared" si="10"/>
        <v>0</v>
      </c>
      <c r="AV56" s="41">
        <f t="shared" si="10"/>
        <v>0</v>
      </c>
      <c r="AW56" s="41">
        <f t="shared" si="10"/>
        <v>0</v>
      </c>
      <c r="AX56" s="41">
        <f t="shared" si="10"/>
        <v>0</v>
      </c>
      <c r="AY56" s="41">
        <f t="shared" si="10"/>
        <v>0</v>
      </c>
      <c r="AZ56" s="41">
        <f t="shared" si="11"/>
        <v>0</v>
      </c>
      <c r="BA56" s="41">
        <f t="shared" si="11"/>
        <v>0</v>
      </c>
      <c r="BB56" s="41">
        <f t="shared" si="11"/>
        <v>0</v>
      </c>
      <c r="BC56" s="41">
        <f t="shared" si="11"/>
        <v>0</v>
      </c>
      <c r="BD56" s="41">
        <f t="shared" si="4"/>
        <v>0</v>
      </c>
      <c r="BE56" s="43">
        <f t="shared" si="5"/>
        <v>0</v>
      </c>
    </row>
    <row r="57" spans="1:57" ht="24.75" customHeight="1">
      <c r="A57" s="23">
        <v>47</v>
      </c>
      <c r="B57" s="24" t="s">
        <v>50</v>
      </c>
      <c r="C57" s="24" t="s">
        <v>1489</v>
      </c>
      <c r="D57" s="24" t="s">
        <v>86</v>
      </c>
      <c r="E57" s="74" t="s">
        <v>52</v>
      </c>
      <c r="F57" s="24" t="s">
        <v>52</v>
      </c>
      <c r="G57" s="83" t="s">
        <v>696</v>
      </c>
      <c r="H57" s="83" t="str">
        <f>VLOOKUP(G57,[1]ListLoaded!$E$6:$F$544,2,0)</f>
        <v>060582</v>
      </c>
      <c r="I57" s="72" t="str">
        <f>VLOOKUP(G57,[1]ListLoaded!$E$6:$M$550,9,0)</f>
        <v>F</v>
      </c>
      <c r="J57" s="72" t="str">
        <f>VLOOKUP(G57,[1]ListLoaded!$E$6:$I$537,5,0)</f>
        <v>40HC</v>
      </c>
      <c r="K57" s="140">
        <f>VLOOKUP(G57,[1]ListLoaded!$E$6:$L$537,8,0)</f>
        <v>31.54</v>
      </c>
      <c r="L57" s="83" t="str">
        <f>VLOOKUP(G57,[1]ListLoaded!$E$6:$S$645,15,0)</f>
        <v>01188</v>
      </c>
      <c r="M57" s="86" t="str">
        <f>VLOOKUP(G57,[1]ListLoaded!$E$6:$T$674,16,0)</f>
        <v>VLXD</v>
      </c>
      <c r="N57" s="86">
        <f>VLOOKUP(G57,[1]ListLoaded!$E$6:$N$545,10,0)</f>
        <v>0</v>
      </c>
      <c r="O57" s="72"/>
      <c r="P57" s="72">
        <f>VLOOKUP(G57,[1]ListLoaded!$E$6:$O$638,11,0)</f>
        <v>0</v>
      </c>
      <c r="Q57" s="84" t="str">
        <f t="shared" si="0"/>
        <v>F40HC</v>
      </c>
      <c r="R57" s="84" t="str">
        <f>VLOOKUP(G57,[1]ListLoaded!$E$6:$P$604,12,0)</f>
        <v>HAC251017100</v>
      </c>
      <c r="S57" s="15" t="e">
        <f>I57&amp;J57&amp;#REF!</f>
        <v>#REF!</v>
      </c>
      <c r="T57" s="84" t="s">
        <v>720</v>
      </c>
      <c r="U57" s="84" t="s">
        <v>712</v>
      </c>
      <c r="V57" s="84" t="s">
        <v>602</v>
      </c>
      <c r="W57" s="47"/>
      <c r="X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K57" s="145"/>
      <c r="AL57" s="48"/>
      <c r="AM57" s="42"/>
      <c r="AN57" s="41">
        <f t="shared" si="10"/>
        <v>0</v>
      </c>
      <c r="AO57" s="41">
        <f t="shared" si="10"/>
        <v>0</v>
      </c>
      <c r="AP57" s="41">
        <f t="shared" si="10"/>
        <v>0</v>
      </c>
      <c r="AQ57" s="41">
        <f t="shared" si="10"/>
        <v>0</v>
      </c>
      <c r="AR57" s="41">
        <f t="shared" si="10"/>
        <v>0</v>
      </c>
      <c r="AS57" s="41">
        <f t="shared" si="10"/>
        <v>0</v>
      </c>
      <c r="AT57" s="41">
        <f t="shared" si="10"/>
        <v>0</v>
      </c>
      <c r="AU57" s="41">
        <f t="shared" si="10"/>
        <v>0</v>
      </c>
      <c r="AV57" s="41">
        <f t="shared" si="10"/>
        <v>0</v>
      </c>
      <c r="AW57" s="41">
        <f t="shared" si="10"/>
        <v>0</v>
      </c>
      <c r="AX57" s="41">
        <f t="shared" si="10"/>
        <v>0</v>
      </c>
      <c r="AY57" s="41">
        <f t="shared" si="10"/>
        <v>0</v>
      </c>
      <c r="AZ57" s="41">
        <f t="shared" si="11"/>
        <v>0</v>
      </c>
      <c r="BA57" s="41">
        <f t="shared" si="11"/>
        <v>0</v>
      </c>
      <c r="BB57" s="41">
        <f t="shared" si="11"/>
        <v>0</v>
      </c>
      <c r="BC57" s="41">
        <f t="shared" si="11"/>
        <v>0</v>
      </c>
      <c r="BD57" s="41">
        <f t="shared" si="4"/>
        <v>0</v>
      </c>
      <c r="BE57" s="43">
        <f t="shared" si="5"/>
        <v>0</v>
      </c>
    </row>
    <row r="58" spans="1:57" ht="24.75" customHeight="1">
      <c r="A58" s="23">
        <v>48</v>
      </c>
      <c r="B58" s="24" t="s">
        <v>50</v>
      </c>
      <c r="C58" s="24" t="s">
        <v>1489</v>
      </c>
      <c r="D58" s="24" t="s">
        <v>86</v>
      </c>
      <c r="E58" s="74" t="s">
        <v>52</v>
      </c>
      <c r="F58" s="24" t="s">
        <v>52</v>
      </c>
      <c r="G58" s="83" t="s">
        <v>697</v>
      </c>
      <c r="H58" s="83" t="str">
        <f>VLOOKUP(G58,[1]ListLoaded!$E$6:$F$544,2,0)</f>
        <v>260706</v>
      </c>
      <c r="I58" s="72" t="str">
        <f>VLOOKUP(G58,[1]ListLoaded!$E$6:$M$550,9,0)</f>
        <v>F</v>
      </c>
      <c r="J58" s="72" t="str">
        <f>VLOOKUP(G58,[1]ListLoaded!$E$6:$I$537,5,0)</f>
        <v>40HC</v>
      </c>
      <c r="K58" s="140">
        <f>VLOOKUP(G58,[1]ListLoaded!$E$6:$L$537,8,0)</f>
        <v>30.63</v>
      </c>
      <c r="L58" s="83" t="str">
        <f>VLOOKUP(G58,[1]ListLoaded!$E$6:$S$645,15,0)</f>
        <v>1111172</v>
      </c>
      <c r="M58" s="86" t="str">
        <f>VLOOKUP(G58,[1]ListLoaded!$E$6:$T$674,16,0)</f>
        <v>VLXD</v>
      </c>
      <c r="N58" s="86">
        <f>VLOOKUP(G58,[1]ListLoaded!$E$6:$N$545,10,0)</f>
        <v>0</v>
      </c>
      <c r="O58" s="72"/>
      <c r="P58" s="72">
        <f>VLOOKUP(G58,[1]ListLoaded!$E$6:$O$638,11,0)</f>
        <v>0</v>
      </c>
      <c r="Q58" s="84" t="str">
        <f t="shared" si="0"/>
        <v>F40HC</v>
      </c>
      <c r="R58" s="84" t="str">
        <f>VLOOKUP(G58,[1]ListLoaded!$E$6:$P$604,12,0)</f>
        <v>HAC251017100</v>
      </c>
      <c r="S58" s="15" t="e">
        <f>I58&amp;J58&amp;#REF!</f>
        <v>#REF!</v>
      </c>
      <c r="T58" s="84" t="s">
        <v>720</v>
      </c>
      <c r="U58" s="84" t="s">
        <v>712</v>
      </c>
      <c r="V58" s="84" t="s">
        <v>602</v>
      </c>
      <c r="W58" s="47"/>
      <c r="X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K58" s="145"/>
      <c r="AL58" s="48"/>
      <c r="AM58" s="42"/>
      <c r="AN58" s="41">
        <f t="shared" si="10"/>
        <v>0</v>
      </c>
      <c r="AO58" s="41">
        <f t="shared" si="10"/>
        <v>0</v>
      </c>
      <c r="AP58" s="41">
        <f t="shared" si="10"/>
        <v>0</v>
      </c>
      <c r="AQ58" s="41">
        <f t="shared" si="10"/>
        <v>0</v>
      </c>
      <c r="AR58" s="41">
        <f t="shared" si="10"/>
        <v>0</v>
      </c>
      <c r="AS58" s="41">
        <f t="shared" si="10"/>
        <v>0</v>
      </c>
      <c r="AT58" s="41">
        <f t="shared" si="10"/>
        <v>0</v>
      </c>
      <c r="AU58" s="41">
        <f t="shared" si="10"/>
        <v>0</v>
      </c>
      <c r="AV58" s="41">
        <f t="shared" si="10"/>
        <v>0</v>
      </c>
      <c r="AW58" s="41">
        <f t="shared" si="10"/>
        <v>0</v>
      </c>
      <c r="AX58" s="41">
        <f t="shared" si="10"/>
        <v>0</v>
      </c>
      <c r="AY58" s="41">
        <f t="shared" si="10"/>
        <v>0</v>
      </c>
      <c r="AZ58" s="41">
        <f t="shared" si="11"/>
        <v>0</v>
      </c>
      <c r="BA58" s="41">
        <f t="shared" si="11"/>
        <v>0</v>
      </c>
      <c r="BB58" s="41">
        <f t="shared" si="11"/>
        <v>0</v>
      </c>
      <c r="BC58" s="41">
        <f t="shared" si="11"/>
        <v>0</v>
      </c>
      <c r="BD58" s="41">
        <f t="shared" si="4"/>
        <v>0</v>
      </c>
      <c r="BE58" s="43">
        <f t="shared" si="5"/>
        <v>0</v>
      </c>
    </row>
    <row r="59" spans="1:57" ht="24.75" customHeight="1">
      <c r="A59" s="23">
        <v>49</v>
      </c>
      <c r="B59" s="24" t="s">
        <v>50</v>
      </c>
      <c r="C59" s="24" t="s">
        <v>1489</v>
      </c>
      <c r="D59" s="24" t="s">
        <v>86</v>
      </c>
      <c r="E59" s="74" t="s">
        <v>52</v>
      </c>
      <c r="F59" s="24" t="s">
        <v>52</v>
      </c>
      <c r="G59" s="83" t="s">
        <v>698</v>
      </c>
      <c r="H59" s="83" t="str">
        <f>VLOOKUP(G59,[1]ListLoaded!$E$6:$F$544,2,0)</f>
        <v>060106</v>
      </c>
      <c r="I59" s="72" t="str">
        <f>VLOOKUP(G59,[1]ListLoaded!$E$6:$M$550,9,0)</f>
        <v>F</v>
      </c>
      <c r="J59" s="72" t="str">
        <f>VLOOKUP(G59,[1]ListLoaded!$E$6:$I$537,5,0)</f>
        <v>40HC</v>
      </c>
      <c r="K59" s="140">
        <f>VLOOKUP(G59,[1]ListLoaded!$E$6:$L$537,8,0)</f>
        <v>30.9</v>
      </c>
      <c r="L59" s="83" t="str">
        <f>VLOOKUP(G59,[1]ListLoaded!$E$6:$S$645,15,0)</f>
        <v>1109304</v>
      </c>
      <c r="M59" s="86" t="str">
        <f>VLOOKUP(G59,[1]ListLoaded!$E$6:$T$674,16,0)</f>
        <v>VLXD</v>
      </c>
      <c r="N59" s="86">
        <f>VLOOKUP(G59,[1]ListLoaded!$E$6:$N$545,10,0)</f>
        <v>0</v>
      </c>
      <c r="O59" s="72"/>
      <c r="P59" s="72">
        <f>VLOOKUP(G59,[1]ListLoaded!$E$6:$O$638,11,0)</f>
        <v>0</v>
      </c>
      <c r="Q59" s="84" t="str">
        <f t="shared" si="0"/>
        <v>F40HC</v>
      </c>
      <c r="R59" s="84" t="str">
        <f>VLOOKUP(G59,[1]ListLoaded!$E$6:$P$604,12,0)</f>
        <v>HAC251017100</v>
      </c>
      <c r="S59" s="15" t="e">
        <f>I59&amp;J59&amp;#REF!</f>
        <v>#REF!</v>
      </c>
      <c r="T59" s="84" t="s">
        <v>720</v>
      </c>
      <c r="U59" s="84" t="s">
        <v>712</v>
      </c>
      <c r="V59" s="84" t="s">
        <v>602</v>
      </c>
      <c r="W59" s="47"/>
      <c r="X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K59" s="145"/>
      <c r="AL59" s="48"/>
      <c r="AM59" s="42"/>
      <c r="AN59" s="41">
        <f t="shared" si="10"/>
        <v>0</v>
      </c>
      <c r="AO59" s="41">
        <f t="shared" si="10"/>
        <v>0</v>
      </c>
      <c r="AP59" s="41">
        <f t="shared" si="10"/>
        <v>0</v>
      </c>
      <c r="AQ59" s="41">
        <f t="shared" si="10"/>
        <v>0</v>
      </c>
      <c r="AR59" s="41">
        <f t="shared" si="10"/>
        <v>0</v>
      </c>
      <c r="AS59" s="41">
        <f t="shared" si="10"/>
        <v>0</v>
      </c>
      <c r="AT59" s="41">
        <f t="shared" si="10"/>
        <v>0</v>
      </c>
      <c r="AU59" s="41">
        <f t="shared" si="10"/>
        <v>0</v>
      </c>
      <c r="AV59" s="41">
        <f t="shared" si="10"/>
        <v>0</v>
      </c>
      <c r="AW59" s="41">
        <f t="shared" si="10"/>
        <v>0</v>
      </c>
      <c r="AX59" s="41">
        <f t="shared" si="10"/>
        <v>0</v>
      </c>
      <c r="AY59" s="41">
        <f t="shared" si="10"/>
        <v>0</v>
      </c>
      <c r="AZ59" s="41">
        <f t="shared" si="11"/>
        <v>0</v>
      </c>
      <c r="BA59" s="41">
        <f t="shared" si="11"/>
        <v>0</v>
      </c>
      <c r="BB59" s="41">
        <f t="shared" si="11"/>
        <v>0</v>
      </c>
      <c r="BC59" s="41">
        <f t="shared" si="11"/>
        <v>0</v>
      </c>
      <c r="BD59" s="41">
        <f t="shared" si="4"/>
        <v>0</v>
      </c>
      <c r="BE59" s="43">
        <f t="shared" si="5"/>
        <v>0</v>
      </c>
    </row>
    <row r="60" spans="1:57" ht="24.75" customHeight="1">
      <c r="A60" s="23">
        <v>50</v>
      </c>
      <c r="B60" s="24" t="s">
        <v>50</v>
      </c>
      <c r="C60" s="24" t="s">
        <v>1489</v>
      </c>
      <c r="D60" s="24" t="s">
        <v>86</v>
      </c>
      <c r="E60" s="74" t="s">
        <v>52</v>
      </c>
      <c r="F60" s="24" t="s">
        <v>52</v>
      </c>
      <c r="G60" s="83" t="s">
        <v>699</v>
      </c>
      <c r="H60" s="83" t="str">
        <f>VLOOKUP(G60,[1]ListLoaded!$E$6:$F$544,2,0)</f>
        <v>220102</v>
      </c>
      <c r="I60" s="72" t="str">
        <f>VLOOKUP(G60,[1]ListLoaded!$E$6:$M$550,9,0)</f>
        <v>F</v>
      </c>
      <c r="J60" s="72" t="str">
        <f>VLOOKUP(G60,[1]ListLoaded!$E$6:$I$537,5,0)</f>
        <v>40HC</v>
      </c>
      <c r="K60" s="140">
        <f>VLOOKUP(G60,[1]ListLoaded!$E$6:$L$537,8,0)</f>
        <v>31.36</v>
      </c>
      <c r="L60" s="83" t="str">
        <f>VLOOKUP(G60,[1]ListLoaded!$E$6:$S$645,15,0)</f>
        <v>PA001330</v>
      </c>
      <c r="M60" s="86" t="str">
        <f>VLOOKUP(G60,[1]ListLoaded!$E$6:$T$674,16,0)</f>
        <v>VLXD</v>
      </c>
      <c r="N60" s="86">
        <f>VLOOKUP(G60,[1]ListLoaded!$E$6:$N$545,10,0)</f>
        <v>0</v>
      </c>
      <c r="O60" s="72"/>
      <c r="P60" s="72">
        <f>VLOOKUP(G60,[1]ListLoaded!$E$6:$O$638,11,0)</f>
        <v>0</v>
      </c>
      <c r="Q60" s="84" t="str">
        <f t="shared" si="0"/>
        <v>F40HC</v>
      </c>
      <c r="R60" s="84" t="str">
        <f>VLOOKUP(G60,[1]ListLoaded!$E$6:$P$604,12,0)</f>
        <v>HAC251017100</v>
      </c>
      <c r="S60" s="15" t="e">
        <f>I60&amp;J60&amp;#REF!</f>
        <v>#REF!</v>
      </c>
      <c r="T60" s="84" t="s">
        <v>720</v>
      </c>
      <c r="U60" s="84" t="s">
        <v>712</v>
      </c>
      <c r="V60" s="84" t="s">
        <v>602</v>
      </c>
      <c r="W60" s="47"/>
      <c r="X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K60" s="145"/>
      <c r="AL60" s="48"/>
      <c r="AM60" s="42"/>
      <c r="AN60" s="41">
        <f t="shared" si="10"/>
        <v>0</v>
      </c>
      <c r="AO60" s="41">
        <f t="shared" si="10"/>
        <v>0</v>
      </c>
      <c r="AP60" s="41">
        <f t="shared" si="10"/>
        <v>0</v>
      </c>
      <c r="AQ60" s="41">
        <f t="shared" si="10"/>
        <v>0</v>
      </c>
      <c r="AR60" s="41">
        <f t="shared" si="10"/>
        <v>0</v>
      </c>
      <c r="AS60" s="41">
        <f t="shared" si="10"/>
        <v>0</v>
      </c>
      <c r="AT60" s="41">
        <f t="shared" si="10"/>
        <v>0</v>
      </c>
      <c r="AU60" s="41">
        <f t="shared" si="10"/>
        <v>0</v>
      </c>
      <c r="AV60" s="41">
        <f t="shared" si="10"/>
        <v>0</v>
      </c>
      <c r="AW60" s="41">
        <f t="shared" si="10"/>
        <v>0</v>
      </c>
      <c r="AX60" s="41">
        <f t="shared" si="10"/>
        <v>0</v>
      </c>
      <c r="AY60" s="41">
        <f t="shared" si="10"/>
        <v>0</v>
      </c>
      <c r="AZ60" s="41">
        <f t="shared" si="11"/>
        <v>0</v>
      </c>
      <c r="BA60" s="41">
        <f t="shared" si="11"/>
        <v>0</v>
      </c>
      <c r="BB60" s="41">
        <f t="shared" si="11"/>
        <v>0</v>
      </c>
      <c r="BC60" s="41">
        <f t="shared" si="11"/>
        <v>0</v>
      </c>
      <c r="BD60" s="41">
        <f t="shared" si="4"/>
        <v>0</v>
      </c>
      <c r="BE60" s="43">
        <f t="shared" si="5"/>
        <v>0</v>
      </c>
    </row>
    <row r="61" spans="1:57" ht="24.75" customHeight="1">
      <c r="A61" s="23">
        <v>51</v>
      </c>
      <c r="B61" s="24" t="s">
        <v>50</v>
      </c>
      <c r="C61" s="24" t="s">
        <v>1489</v>
      </c>
      <c r="D61" s="24" t="s">
        <v>83</v>
      </c>
      <c r="E61" s="143" t="s">
        <v>1488</v>
      </c>
      <c r="F61" s="24" t="s">
        <v>52</v>
      </c>
      <c r="G61" s="83" t="s">
        <v>1206</v>
      </c>
      <c r="H61" s="83" t="s">
        <v>1481</v>
      </c>
      <c r="I61" s="72" t="s">
        <v>531</v>
      </c>
      <c r="J61" s="72" t="s">
        <v>37</v>
      </c>
      <c r="K61" s="140">
        <v>3.8</v>
      </c>
      <c r="L61" s="83" t="s">
        <v>69</v>
      </c>
      <c r="M61" s="86" t="s">
        <v>56</v>
      </c>
      <c r="N61" s="86">
        <v>0</v>
      </c>
      <c r="O61" s="72" t="s">
        <v>1232</v>
      </c>
      <c r="P61" s="72">
        <v>0</v>
      </c>
      <c r="Q61" s="84" t="str">
        <f t="shared" si="0"/>
        <v>E40HC</v>
      </c>
      <c r="R61" s="84" t="s">
        <v>1462</v>
      </c>
      <c r="S61" s="15" t="s">
        <v>1463</v>
      </c>
      <c r="T61" s="84"/>
      <c r="U61" s="84"/>
      <c r="V61" s="84"/>
      <c r="W61" s="47"/>
      <c r="X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K61" s="145"/>
      <c r="AL61" s="48"/>
      <c r="AM61" s="42"/>
      <c r="AN61" s="41">
        <f t="shared" si="10"/>
        <v>0</v>
      </c>
      <c r="AO61" s="41">
        <f t="shared" si="10"/>
        <v>0</v>
      </c>
      <c r="AP61" s="41">
        <f t="shared" si="10"/>
        <v>0</v>
      </c>
      <c r="AQ61" s="41">
        <f t="shared" si="10"/>
        <v>0</v>
      </c>
      <c r="AR61" s="41">
        <f t="shared" si="10"/>
        <v>0</v>
      </c>
      <c r="AS61" s="41">
        <f t="shared" si="10"/>
        <v>0</v>
      </c>
      <c r="AT61" s="41">
        <f t="shared" si="10"/>
        <v>0</v>
      </c>
      <c r="AU61" s="41">
        <f t="shared" si="10"/>
        <v>0</v>
      </c>
      <c r="AV61" s="41">
        <f t="shared" si="10"/>
        <v>0</v>
      </c>
      <c r="AW61" s="41">
        <f t="shared" si="10"/>
        <v>0</v>
      </c>
      <c r="AX61" s="41">
        <f t="shared" si="10"/>
        <v>0</v>
      </c>
      <c r="AY61" s="41">
        <f t="shared" si="10"/>
        <v>0</v>
      </c>
      <c r="AZ61" s="41">
        <f t="shared" si="11"/>
        <v>0</v>
      </c>
      <c r="BA61" s="41">
        <f t="shared" si="11"/>
        <v>0</v>
      </c>
      <c r="BB61" s="41">
        <f t="shared" si="11"/>
        <v>0</v>
      </c>
      <c r="BC61" s="41">
        <f t="shared" si="11"/>
        <v>0</v>
      </c>
      <c r="BD61" s="41">
        <f t="shared" si="4"/>
        <v>0</v>
      </c>
      <c r="BE61" s="43">
        <f t="shared" si="5"/>
        <v>0</v>
      </c>
    </row>
    <row r="62" spans="1:57" ht="24.75" customHeight="1">
      <c r="A62" s="23">
        <v>52</v>
      </c>
      <c r="B62" s="24" t="s">
        <v>50</v>
      </c>
      <c r="C62" s="24" t="s">
        <v>1489</v>
      </c>
      <c r="D62" s="24" t="s">
        <v>86</v>
      </c>
      <c r="E62" s="74" t="s">
        <v>52</v>
      </c>
      <c r="F62" s="24" t="s">
        <v>52</v>
      </c>
      <c r="G62" s="83" t="s">
        <v>700</v>
      </c>
      <c r="H62" s="83" t="str">
        <f>VLOOKUP(G62,[1]ListLoaded!$E$6:$F$544,2,0)</f>
        <v>100304</v>
      </c>
      <c r="I62" s="72" t="str">
        <f>VLOOKUP(G62,[1]ListLoaded!$E$6:$M$550,9,0)</f>
        <v>F</v>
      </c>
      <c r="J62" s="72" t="str">
        <f>VLOOKUP(G62,[1]ListLoaded!$E$6:$I$537,5,0)</f>
        <v>40HC</v>
      </c>
      <c r="K62" s="140">
        <f>VLOOKUP(G62,[1]ListLoaded!$E$6:$L$537,8,0)</f>
        <v>30.37</v>
      </c>
      <c r="L62" s="83" t="str">
        <f>VLOOKUP(G62,[1]ListLoaded!$E$6:$S$645,15,0)</f>
        <v>659068</v>
      </c>
      <c r="M62" s="86" t="str">
        <f>VLOOKUP(G62,[1]ListLoaded!$E$6:$T$674,16,0)</f>
        <v>VLXD</v>
      </c>
      <c r="N62" s="86">
        <f>VLOOKUP(G62,[1]ListLoaded!$E$6:$N$545,10,0)</f>
        <v>0</v>
      </c>
      <c r="O62" s="72"/>
      <c r="P62" s="72">
        <f>VLOOKUP(G62,[1]ListLoaded!$E$6:$O$638,11,0)</f>
        <v>0</v>
      </c>
      <c r="Q62" s="84" t="str">
        <f t="shared" si="0"/>
        <v>F40HC</v>
      </c>
      <c r="R62" s="84" t="str">
        <f>VLOOKUP(G62,[1]ListLoaded!$E$6:$P$604,12,0)</f>
        <v>HAC251017100</v>
      </c>
      <c r="S62" s="15" t="e">
        <f>I62&amp;J62&amp;#REF!</f>
        <v>#REF!</v>
      </c>
      <c r="T62" s="84" t="s">
        <v>720</v>
      </c>
      <c r="U62" s="84" t="s">
        <v>712</v>
      </c>
      <c r="V62" s="84" t="s">
        <v>602</v>
      </c>
      <c r="W62" s="49"/>
      <c r="Y62" s="50"/>
      <c r="AK62" s="145"/>
      <c r="AL62" s="48"/>
      <c r="AM62" s="42"/>
      <c r="AN62" s="41">
        <f t="shared" si="10"/>
        <v>0</v>
      </c>
      <c r="AO62" s="41">
        <f t="shared" si="10"/>
        <v>0</v>
      </c>
      <c r="AP62" s="41">
        <f t="shared" si="10"/>
        <v>0</v>
      </c>
      <c r="AQ62" s="41">
        <f t="shared" si="10"/>
        <v>0</v>
      </c>
      <c r="AR62" s="41">
        <f t="shared" si="10"/>
        <v>0</v>
      </c>
      <c r="AS62" s="41">
        <f t="shared" si="10"/>
        <v>0</v>
      </c>
      <c r="AT62" s="41">
        <f t="shared" si="10"/>
        <v>0</v>
      </c>
      <c r="AU62" s="41">
        <f t="shared" si="10"/>
        <v>0</v>
      </c>
      <c r="AV62" s="41">
        <f t="shared" si="10"/>
        <v>0</v>
      </c>
      <c r="AW62" s="41">
        <f t="shared" si="10"/>
        <v>0</v>
      </c>
      <c r="AX62" s="41">
        <f t="shared" si="10"/>
        <v>0</v>
      </c>
      <c r="AY62" s="41">
        <f t="shared" si="10"/>
        <v>0</v>
      </c>
      <c r="AZ62" s="41">
        <f t="shared" si="11"/>
        <v>0</v>
      </c>
      <c r="BA62" s="41">
        <f t="shared" si="11"/>
        <v>0</v>
      </c>
      <c r="BB62" s="41">
        <f t="shared" si="11"/>
        <v>0</v>
      </c>
      <c r="BC62" s="41">
        <f t="shared" si="11"/>
        <v>0</v>
      </c>
      <c r="BD62" s="41">
        <f t="shared" si="4"/>
        <v>0</v>
      </c>
      <c r="BE62" s="43">
        <f t="shared" si="5"/>
        <v>0</v>
      </c>
    </row>
    <row r="63" spans="1:57" ht="24.75" customHeight="1">
      <c r="A63" s="23">
        <v>53</v>
      </c>
      <c r="B63" s="24" t="s">
        <v>50</v>
      </c>
      <c r="C63" s="24" t="s">
        <v>1489</v>
      </c>
      <c r="D63" s="24" t="s">
        <v>86</v>
      </c>
      <c r="E63" s="74" t="s">
        <v>52</v>
      </c>
      <c r="F63" s="24" t="s">
        <v>52</v>
      </c>
      <c r="G63" s="83" t="s">
        <v>701</v>
      </c>
      <c r="H63" s="83" t="str">
        <f>VLOOKUP(G63,[1]ListLoaded!$E$6:$F$544,2,0)</f>
        <v>100202</v>
      </c>
      <c r="I63" s="72" t="str">
        <f>VLOOKUP(G63,[1]ListLoaded!$E$6:$M$550,9,0)</f>
        <v>F</v>
      </c>
      <c r="J63" s="72" t="str">
        <f>VLOOKUP(G63,[1]ListLoaded!$E$6:$I$537,5,0)</f>
        <v>40HC</v>
      </c>
      <c r="K63" s="140">
        <f>VLOOKUP(G63,[1]ListLoaded!$E$6:$L$537,8,0)</f>
        <v>30.33</v>
      </c>
      <c r="L63" s="83" t="str">
        <f>VLOOKUP(G63,[1]ListLoaded!$E$6:$S$645,15,0)</f>
        <v>00182</v>
      </c>
      <c r="M63" s="86" t="str">
        <f>VLOOKUP(G63,[1]ListLoaded!$E$6:$T$674,16,0)</f>
        <v>VLXD</v>
      </c>
      <c r="N63" s="86">
        <f>VLOOKUP(G63,[1]ListLoaded!$E$6:$N$545,10,0)</f>
        <v>0</v>
      </c>
      <c r="O63" s="72"/>
      <c r="P63" s="72">
        <f>VLOOKUP(G63,[1]ListLoaded!$E$6:$O$638,11,0)</f>
        <v>0</v>
      </c>
      <c r="Q63" s="84" t="str">
        <f t="shared" si="0"/>
        <v>F40HC</v>
      </c>
      <c r="R63" s="84" t="str">
        <f>VLOOKUP(G63,[1]ListLoaded!$E$6:$P$604,12,0)</f>
        <v>HAC251017100</v>
      </c>
      <c r="S63" s="15" t="e">
        <f>I63&amp;J63&amp;#REF!</f>
        <v>#REF!</v>
      </c>
      <c r="T63" s="84" t="s">
        <v>720</v>
      </c>
      <c r="U63" s="84" t="s">
        <v>712</v>
      </c>
      <c r="V63" s="84" t="s">
        <v>602</v>
      </c>
      <c r="W63" s="49"/>
      <c r="Y63" s="50"/>
      <c r="AK63" s="145"/>
      <c r="AL63" s="48"/>
      <c r="AM63" s="42"/>
      <c r="AN63" s="41">
        <f t="shared" si="10"/>
        <v>0</v>
      </c>
      <c r="AO63" s="41">
        <f t="shared" si="10"/>
        <v>0</v>
      </c>
      <c r="AP63" s="41">
        <f t="shared" si="10"/>
        <v>0</v>
      </c>
      <c r="AQ63" s="41">
        <f t="shared" si="10"/>
        <v>0</v>
      </c>
      <c r="AR63" s="41">
        <f t="shared" si="10"/>
        <v>0</v>
      </c>
      <c r="AS63" s="41">
        <f t="shared" si="10"/>
        <v>0</v>
      </c>
      <c r="AT63" s="41">
        <f t="shared" si="10"/>
        <v>0</v>
      </c>
      <c r="AU63" s="41">
        <f t="shared" si="10"/>
        <v>0</v>
      </c>
      <c r="AV63" s="41">
        <f t="shared" si="10"/>
        <v>0</v>
      </c>
      <c r="AW63" s="41">
        <f t="shared" si="10"/>
        <v>0</v>
      </c>
      <c r="AX63" s="41">
        <f t="shared" si="10"/>
        <v>0</v>
      </c>
      <c r="AY63" s="41">
        <f t="shared" si="10"/>
        <v>0</v>
      </c>
      <c r="AZ63" s="41">
        <f t="shared" si="11"/>
        <v>0</v>
      </c>
      <c r="BA63" s="41">
        <f t="shared" si="11"/>
        <v>0</v>
      </c>
      <c r="BB63" s="41">
        <f t="shared" si="11"/>
        <v>0</v>
      </c>
      <c r="BC63" s="41">
        <f t="shared" si="11"/>
        <v>0</v>
      </c>
      <c r="BD63" s="41">
        <f t="shared" si="4"/>
        <v>0</v>
      </c>
      <c r="BE63" s="43">
        <f t="shared" si="5"/>
        <v>0</v>
      </c>
    </row>
    <row r="64" spans="1:57" ht="24.75" customHeight="1">
      <c r="A64" s="23">
        <v>54</v>
      </c>
      <c r="B64" s="24" t="s">
        <v>50</v>
      </c>
      <c r="C64" s="24" t="s">
        <v>1489</v>
      </c>
      <c r="D64" s="24" t="s">
        <v>86</v>
      </c>
      <c r="E64" s="74" t="s">
        <v>52</v>
      </c>
      <c r="F64" s="24" t="s">
        <v>52</v>
      </c>
      <c r="G64" s="83" t="s">
        <v>702</v>
      </c>
      <c r="H64" s="83" t="str">
        <f>VLOOKUP(G64,[1]ListLoaded!$E$6:$F$544,2,0)</f>
        <v>060202</v>
      </c>
      <c r="I64" s="72" t="str">
        <f>VLOOKUP(G64,[1]ListLoaded!$E$6:$M$550,9,0)</f>
        <v>F</v>
      </c>
      <c r="J64" s="72" t="str">
        <f>VLOOKUP(G64,[1]ListLoaded!$E$6:$I$537,5,0)</f>
        <v>40HC</v>
      </c>
      <c r="K64" s="140">
        <f>VLOOKUP(G64,[1]ListLoaded!$E$6:$L$537,8,0)</f>
        <v>30.78</v>
      </c>
      <c r="L64" s="83" t="str">
        <f>VLOOKUP(G64,[1]ListLoaded!$E$6:$S$645,15,0)</f>
        <v>1114239</v>
      </c>
      <c r="M64" s="86" t="str">
        <f>VLOOKUP(G64,[1]ListLoaded!$E$6:$T$674,16,0)</f>
        <v>VLXD</v>
      </c>
      <c r="N64" s="86">
        <f>VLOOKUP(G64,[1]ListLoaded!$E$6:$N$545,10,0)</f>
        <v>0</v>
      </c>
      <c r="O64" s="72"/>
      <c r="P64" s="72">
        <f>VLOOKUP(G64,[1]ListLoaded!$E$6:$O$638,11,0)</f>
        <v>0</v>
      </c>
      <c r="Q64" s="84" t="str">
        <f t="shared" si="0"/>
        <v>F40HC</v>
      </c>
      <c r="R64" s="84" t="str">
        <f>VLOOKUP(G64,[1]ListLoaded!$E$6:$P$604,12,0)</f>
        <v>HAC251017100</v>
      </c>
      <c r="S64" s="15" t="e">
        <f>I64&amp;J64&amp;#REF!</f>
        <v>#REF!</v>
      </c>
      <c r="T64" s="84" t="s">
        <v>720</v>
      </c>
      <c r="U64" s="84" t="s">
        <v>712</v>
      </c>
      <c r="V64" s="84" t="s">
        <v>602</v>
      </c>
      <c r="W64" s="49"/>
      <c r="Y64" s="50"/>
      <c r="AK64" s="145"/>
      <c r="AL64" s="48"/>
      <c r="AM64" s="42"/>
      <c r="AN64" s="41">
        <f t="shared" ref="AN64:AY73" si="12">COUNTIF($S$11:$S$1505,"F"&amp;AN$11&amp;$AM64)</f>
        <v>0</v>
      </c>
      <c r="AO64" s="41">
        <f t="shared" si="12"/>
        <v>0</v>
      </c>
      <c r="AP64" s="41">
        <f t="shared" si="12"/>
        <v>0</v>
      </c>
      <c r="AQ64" s="41">
        <f t="shared" si="12"/>
        <v>0</v>
      </c>
      <c r="AR64" s="41">
        <f t="shared" si="12"/>
        <v>0</v>
      </c>
      <c r="AS64" s="41">
        <f t="shared" si="12"/>
        <v>0</v>
      </c>
      <c r="AT64" s="41">
        <f t="shared" si="12"/>
        <v>0</v>
      </c>
      <c r="AU64" s="41">
        <f t="shared" si="12"/>
        <v>0</v>
      </c>
      <c r="AV64" s="41">
        <f t="shared" si="12"/>
        <v>0</v>
      </c>
      <c r="AW64" s="41">
        <f t="shared" si="12"/>
        <v>0</v>
      </c>
      <c r="AX64" s="41">
        <f t="shared" si="12"/>
        <v>0</v>
      </c>
      <c r="AY64" s="41">
        <f t="shared" si="12"/>
        <v>0</v>
      </c>
      <c r="AZ64" s="41">
        <f t="shared" si="11"/>
        <v>0</v>
      </c>
      <c r="BA64" s="41">
        <f t="shared" si="11"/>
        <v>0</v>
      </c>
      <c r="BB64" s="41">
        <f t="shared" si="11"/>
        <v>0</v>
      </c>
      <c r="BC64" s="41">
        <f t="shared" si="11"/>
        <v>0</v>
      </c>
      <c r="BD64" s="41">
        <f t="shared" si="4"/>
        <v>0</v>
      </c>
      <c r="BE64" s="43">
        <f t="shared" si="5"/>
        <v>0</v>
      </c>
    </row>
    <row r="65" spans="1:57" ht="24.75" customHeight="1">
      <c r="A65" s="23">
        <v>55</v>
      </c>
      <c r="B65" s="24" t="s">
        <v>50</v>
      </c>
      <c r="C65" s="24" t="s">
        <v>1489</v>
      </c>
      <c r="D65" s="24" t="s">
        <v>86</v>
      </c>
      <c r="E65" s="74" t="s">
        <v>52</v>
      </c>
      <c r="F65" s="24" t="s">
        <v>52</v>
      </c>
      <c r="G65" s="83" t="s">
        <v>703</v>
      </c>
      <c r="H65" s="83" t="str">
        <f>VLOOKUP(G65,[1]ListLoaded!$E$6:$F$544,2,0)</f>
        <v>260304</v>
      </c>
      <c r="I65" s="72" t="str">
        <f>VLOOKUP(G65,[1]ListLoaded!$E$6:$M$550,9,0)</f>
        <v>F</v>
      </c>
      <c r="J65" s="72" t="str">
        <f>VLOOKUP(G65,[1]ListLoaded!$E$6:$I$537,5,0)</f>
        <v>40HC</v>
      </c>
      <c r="K65" s="140">
        <f>VLOOKUP(G65,[1]ListLoaded!$E$6:$L$537,8,0)</f>
        <v>30.73</v>
      </c>
      <c r="L65" s="83" t="str">
        <f>VLOOKUP(G65,[1]ListLoaded!$E$6:$S$645,15,0)</f>
        <v>1107348</v>
      </c>
      <c r="M65" s="86" t="str">
        <f>VLOOKUP(G65,[1]ListLoaded!$E$6:$T$674,16,0)</f>
        <v>SIÊU TH?</v>
      </c>
      <c r="N65" s="86">
        <f>VLOOKUP(G65,[1]ListLoaded!$E$6:$N$545,10,0)</f>
        <v>0</v>
      </c>
      <c r="O65" s="72"/>
      <c r="P65" s="72">
        <f>VLOOKUP(G65,[1]ListLoaded!$E$6:$O$638,11,0)</f>
        <v>0</v>
      </c>
      <c r="Q65" s="84" t="str">
        <f t="shared" si="0"/>
        <v>F40HC</v>
      </c>
      <c r="R65" s="84" t="str">
        <f>VLOOKUP(G65,[1]ListLoaded!$E$6:$P$604,12,0)</f>
        <v>HAC251017100</v>
      </c>
      <c r="S65" s="15" t="e">
        <f>I65&amp;J65&amp;#REF!</f>
        <v>#REF!</v>
      </c>
      <c r="T65" s="84" t="s">
        <v>711</v>
      </c>
      <c r="U65" s="84" t="s">
        <v>712</v>
      </c>
      <c r="V65" s="84" t="s">
        <v>727</v>
      </c>
      <c r="W65" s="49"/>
      <c r="Y65" s="50"/>
      <c r="AK65" s="145"/>
      <c r="AL65" s="48"/>
      <c r="AM65" s="42"/>
      <c r="AN65" s="41">
        <f t="shared" si="12"/>
        <v>0</v>
      </c>
      <c r="AO65" s="41">
        <f t="shared" si="12"/>
        <v>0</v>
      </c>
      <c r="AP65" s="41">
        <f t="shared" si="12"/>
        <v>0</v>
      </c>
      <c r="AQ65" s="41">
        <f t="shared" si="12"/>
        <v>0</v>
      </c>
      <c r="AR65" s="41">
        <f t="shared" si="12"/>
        <v>0</v>
      </c>
      <c r="AS65" s="41">
        <f t="shared" si="12"/>
        <v>0</v>
      </c>
      <c r="AT65" s="41">
        <f t="shared" si="12"/>
        <v>0</v>
      </c>
      <c r="AU65" s="41">
        <f t="shared" si="12"/>
        <v>0</v>
      </c>
      <c r="AV65" s="41">
        <f t="shared" si="12"/>
        <v>0</v>
      </c>
      <c r="AW65" s="41">
        <f t="shared" si="12"/>
        <v>0</v>
      </c>
      <c r="AX65" s="41">
        <f t="shared" si="12"/>
        <v>0</v>
      </c>
      <c r="AY65" s="41">
        <f t="shared" si="12"/>
        <v>0</v>
      </c>
      <c r="AZ65" s="41">
        <f t="shared" si="11"/>
        <v>0</v>
      </c>
      <c r="BA65" s="41">
        <f t="shared" si="11"/>
        <v>0</v>
      </c>
      <c r="BB65" s="41">
        <f t="shared" si="11"/>
        <v>0</v>
      </c>
      <c r="BC65" s="41">
        <f t="shared" si="11"/>
        <v>0</v>
      </c>
      <c r="BD65" s="41">
        <f t="shared" si="4"/>
        <v>0</v>
      </c>
      <c r="BE65" s="43">
        <f t="shared" si="5"/>
        <v>0</v>
      </c>
    </row>
    <row r="66" spans="1:57" ht="24.75" customHeight="1">
      <c r="A66" s="23">
        <v>56</v>
      </c>
      <c r="B66" s="24" t="s">
        <v>50</v>
      </c>
      <c r="C66" s="24" t="s">
        <v>1489</v>
      </c>
      <c r="D66" s="24" t="s">
        <v>86</v>
      </c>
      <c r="E66" s="74" t="s">
        <v>52</v>
      </c>
      <c r="F66" s="24" t="s">
        <v>52</v>
      </c>
      <c r="G66" s="83" t="s">
        <v>704</v>
      </c>
      <c r="H66" s="83" t="str">
        <f>VLOOKUP(G66,[1]ListLoaded!$E$6:$F$544,2,0)</f>
        <v>260204</v>
      </c>
      <c r="I66" s="72" t="str">
        <f>VLOOKUP(G66,[1]ListLoaded!$E$6:$M$550,9,0)</f>
        <v>F</v>
      </c>
      <c r="J66" s="72" t="str">
        <f>VLOOKUP(G66,[1]ListLoaded!$E$6:$I$537,5,0)</f>
        <v>40HC</v>
      </c>
      <c r="K66" s="140">
        <f>VLOOKUP(G66,[1]ListLoaded!$E$6:$L$537,8,0)</f>
        <v>31.26</v>
      </c>
      <c r="L66" s="83" t="str">
        <f>VLOOKUP(G66,[1]ListLoaded!$E$6:$S$645,15,0)</f>
        <v>1109336</v>
      </c>
      <c r="M66" s="86" t="str">
        <f>VLOOKUP(G66,[1]ListLoaded!$E$6:$T$674,16,0)</f>
        <v>BIA</v>
      </c>
      <c r="N66" s="86">
        <f>VLOOKUP(G66,[1]ListLoaded!$E$6:$N$545,10,0)</f>
        <v>0</v>
      </c>
      <c r="O66" s="72"/>
      <c r="P66" s="72">
        <f>VLOOKUP(G66,[1]ListLoaded!$E$6:$O$638,11,0)</f>
        <v>0</v>
      </c>
      <c r="Q66" s="84" t="str">
        <f t="shared" si="0"/>
        <v>F40HC</v>
      </c>
      <c r="R66" s="84" t="str">
        <f>VLOOKUP(G66,[1]ListLoaded!$E$6:$P$604,12,0)</f>
        <v>HAC251017100</v>
      </c>
      <c r="S66" s="15" t="e">
        <f>I66&amp;J66&amp;#REF!</f>
        <v>#REF!</v>
      </c>
      <c r="T66" s="84" t="s">
        <v>728</v>
      </c>
      <c r="U66" s="84" t="s">
        <v>729</v>
      </c>
      <c r="V66" s="84" t="s">
        <v>642</v>
      </c>
      <c r="W66" s="49"/>
      <c r="Y66" s="50"/>
      <c r="AK66" s="145"/>
      <c r="AL66" s="48"/>
      <c r="AM66" s="42"/>
      <c r="AN66" s="41">
        <f t="shared" si="12"/>
        <v>0</v>
      </c>
      <c r="AO66" s="41">
        <f t="shared" si="12"/>
        <v>0</v>
      </c>
      <c r="AP66" s="41">
        <f t="shared" si="12"/>
        <v>0</v>
      </c>
      <c r="AQ66" s="41">
        <f t="shared" si="12"/>
        <v>0</v>
      </c>
      <c r="AR66" s="41">
        <f t="shared" si="12"/>
        <v>0</v>
      </c>
      <c r="AS66" s="41">
        <f t="shared" si="12"/>
        <v>0</v>
      </c>
      <c r="AT66" s="41">
        <f t="shared" si="12"/>
        <v>0</v>
      </c>
      <c r="AU66" s="41">
        <f t="shared" si="12"/>
        <v>0</v>
      </c>
      <c r="AV66" s="41">
        <f t="shared" si="12"/>
        <v>0</v>
      </c>
      <c r="AW66" s="41">
        <f t="shared" si="12"/>
        <v>0</v>
      </c>
      <c r="AX66" s="41">
        <f t="shared" si="12"/>
        <v>0</v>
      </c>
      <c r="AY66" s="41">
        <f t="shared" si="12"/>
        <v>0</v>
      </c>
      <c r="AZ66" s="41">
        <f t="shared" si="11"/>
        <v>0</v>
      </c>
      <c r="BA66" s="41">
        <f t="shared" si="11"/>
        <v>0</v>
      </c>
      <c r="BB66" s="41">
        <f t="shared" si="11"/>
        <v>0</v>
      </c>
      <c r="BC66" s="41">
        <f t="shared" si="11"/>
        <v>0</v>
      </c>
      <c r="BD66" s="41">
        <f t="shared" si="4"/>
        <v>0</v>
      </c>
      <c r="BE66" s="43">
        <f t="shared" si="5"/>
        <v>0</v>
      </c>
    </row>
    <row r="67" spans="1:57" ht="24.75" customHeight="1">
      <c r="A67" s="23">
        <v>57</v>
      </c>
      <c r="B67" s="24" t="s">
        <v>50</v>
      </c>
      <c r="C67" s="24" t="s">
        <v>1489</v>
      </c>
      <c r="D67" s="24" t="s">
        <v>88</v>
      </c>
      <c r="E67" s="74" t="s">
        <v>52</v>
      </c>
      <c r="F67" s="24" t="s">
        <v>52</v>
      </c>
      <c r="G67" s="83" t="s">
        <v>730</v>
      </c>
      <c r="H67" s="83" t="str">
        <f>VLOOKUP(G67,[1]ListLoaded!$E$6:$F$544,2,0)</f>
        <v>210608</v>
      </c>
      <c r="I67" s="72" t="str">
        <f>VLOOKUP(G67,[1]ListLoaded!$E$6:$M$550,9,0)</f>
        <v>F</v>
      </c>
      <c r="J67" s="72" t="s">
        <v>31</v>
      </c>
      <c r="K67" s="140">
        <f>VLOOKUP(G67,[1]ListLoaded!$E$6:$L$537,8,0)</f>
        <v>20.239999999999998</v>
      </c>
      <c r="L67" s="83" t="str">
        <f>VLOOKUP(G67,[1]ListLoaded!$E$6:$S$645,15,0)</f>
        <v>992408</v>
      </c>
      <c r="M67" s="86" t="str">
        <f>VLOOKUP(G67,[1]ListLoaded!$E$6:$T$674,16,0)</f>
        <v>SON</v>
      </c>
      <c r="N67" s="86">
        <f>VLOOKUP(G67,[1]ListLoaded!$E$6:$N$545,10,0)</f>
        <v>0</v>
      </c>
      <c r="O67" s="72"/>
      <c r="P67" s="72">
        <f>VLOOKUP(G67,[1]ListLoaded!$E$6:$O$638,11,0)</f>
        <v>0</v>
      </c>
      <c r="Q67" s="84" t="str">
        <f t="shared" si="0"/>
        <v>F20DC</v>
      </c>
      <c r="R67" s="84" t="str">
        <f>VLOOKUP(G67,[1]ListLoaded!$E$6:$P$604,12,0)</f>
        <v>HAC260523010</v>
      </c>
      <c r="S67" s="15" t="e">
        <f>I67&amp;J67&amp;#REF!</f>
        <v>#REF!</v>
      </c>
      <c r="T67" s="84" t="s">
        <v>742</v>
      </c>
      <c r="U67" s="84" t="s">
        <v>743</v>
      </c>
      <c r="V67" s="84" t="s">
        <v>744</v>
      </c>
      <c r="W67" s="49"/>
      <c r="Y67" s="50"/>
      <c r="AK67" s="145"/>
      <c r="AL67" s="48"/>
      <c r="AM67" s="42"/>
      <c r="AN67" s="41">
        <f t="shared" si="12"/>
        <v>0</v>
      </c>
      <c r="AO67" s="41">
        <f t="shared" si="12"/>
        <v>0</v>
      </c>
      <c r="AP67" s="41">
        <f t="shared" si="12"/>
        <v>0</v>
      </c>
      <c r="AQ67" s="41">
        <f t="shared" si="12"/>
        <v>0</v>
      </c>
      <c r="AR67" s="41">
        <f t="shared" si="12"/>
        <v>0</v>
      </c>
      <c r="AS67" s="41">
        <f t="shared" si="12"/>
        <v>0</v>
      </c>
      <c r="AT67" s="41">
        <f t="shared" si="12"/>
        <v>0</v>
      </c>
      <c r="AU67" s="41">
        <f t="shared" si="12"/>
        <v>0</v>
      </c>
      <c r="AV67" s="41">
        <f t="shared" si="12"/>
        <v>0</v>
      </c>
      <c r="AW67" s="41">
        <f t="shared" si="12"/>
        <v>0</v>
      </c>
      <c r="AX67" s="41">
        <f t="shared" si="12"/>
        <v>0</v>
      </c>
      <c r="AY67" s="41">
        <f t="shared" si="12"/>
        <v>0</v>
      </c>
      <c r="AZ67" s="41">
        <f t="shared" si="11"/>
        <v>0</v>
      </c>
      <c r="BA67" s="41">
        <f t="shared" si="11"/>
        <v>0</v>
      </c>
      <c r="BB67" s="41">
        <f t="shared" si="11"/>
        <v>0</v>
      </c>
      <c r="BC67" s="41">
        <f t="shared" si="11"/>
        <v>0</v>
      </c>
      <c r="BD67" s="41">
        <f t="shared" si="4"/>
        <v>0</v>
      </c>
      <c r="BE67" s="43">
        <f t="shared" si="5"/>
        <v>0</v>
      </c>
    </row>
    <row r="68" spans="1:57" ht="24.75" customHeight="1">
      <c r="A68" s="23">
        <v>58</v>
      </c>
      <c r="B68" s="24" t="s">
        <v>50</v>
      </c>
      <c r="C68" s="24" t="s">
        <v>1489</v>
      </c>
      <c r="D68" s="24" t="s">
        <v>88</v>
      </c>
      <c r="E68" s="74" t="s">
        <v>52</v>
      </c>
      <c r="F68" s="24" t="s">
        <v>52</v>
      </c>
      <c r="G68" s="83" t="s">
        <v>731</v>
      </c>
      <c r="H68" s="83" t="str">
        <f>VLOOKUP(G68,[1]ListLoaded!$E$6:$F$544,2,0)</f>
        <v>290306</v>
      </c>
      <c r="I68" s="72" t="str">
        <f>VLOOKUP(G68,[1]ListLoaded!$E$6:$M$550,9,0)</f>
        <v>F</v>
      </c>
      <c r="J68" s="72" t="s">
        <v>31</v>
      </c>
      <c r="K68" s="140">
        <f>VLOOKUP(G68,[1]ListLoaded!$E$6:$L$537,8,0)</f>
        <v>22.08</v>
      </c>
      <c r="L68" s="83" t="str">
        <f>VLOOKUP(G68,[1]ListLoaded!$E$6:$S$645,15,0)</f>
        <v>631178</v>
      </c>
      <c r="M68" s="86" t="str">
        <f>VLOOKUP(G68,[1]ListLoaded!$E$6:$T$674,16,0)</f>
        <v>SON</v>
      </c>
      <c r="N68" s="86">
        <f>VLOOKUP(G68,[1]ListLoaded!$E$6:$N$545,10,0)</f>
        <v>0</v>
      </c>
      <c r="O68" s="72"/>
      <c r="P68" s="72">
        <f>VLOOKUP(G68,[1]ListLoaded!$E$6:$O$638,11,0)</f>
        <v>0</v>
      </c>
      <c r="Q68" s="84" t="str">
        <f t="shared" si="0"/>
        <v>F20DC</v>
      </c>
      <c r="R68" s="84" t="str">
        <f>VLOOKUP(G68,[1]ListLoaded!$E$6:$P$604,12,0)</f>
        <v>HAC260523010</v>
      </c>
      <c r="S68" s="15" t="e">
        <f>I68&amp;J68&amp;#REF!</f>
        <v>#REF!</v>
      </c>
      <c r="T68" s="84" t="s">
        <v>742</v>
      </c>
      <c r="U68" s="84" t="s">
        <v>743</v>
      </c>
      <c r="V68" s="84" t="s">
        <v>744</v>
      </c>
      <c r="W68" s="49"/>
      <c r="Y68" s="50"/>
      <c r="AK68" s="145"/>
      <c r="AL68" s="48"/>
      <c r="AM68" s="42"/>
      <c r="AN68" s="41">
        <f t="shared" si="12"/>
        <v>0</v>
      </c>
      <c r="AO68" s="41">
        <f t="shared" si="12"/>
        <v>0</v>
      </c>
      <c r="AP68" s="41">
        <f t="shared" si="12"/>
        <v>0</v>
      </c>
      <c r="AQ68" s="41">
        <f t="shared" si="12"/>
        <v>0</v>
      </c>
      <c r="AR68" s="41">
        <f t="shared" si="12"/>
        <v>0</v>
      </c>
      <c r="AS68" s="41">
        <f t="shared" si="12"/>
        <v>0</v>
      </c>
      <c r="AT68" s="41">
        <f t="shared" si="12"/>
        <v>0</v>
      </c>
      <c r="AU68" s="41">
        <f t="shared" si="12"/>
        <v>0</v>
      </c>
      <c r="AV68" s="41">
        <f t="shared" si="12"/>
        <v>0</v>
      </c>
      <c r="AW68" s="41">
        <f t="shared" si="12"/>
        <v>0</v>
      </c>
      <c r="AX68" s="41">
        <f t="shared" si="12"/>
        <v>0</v>
      </c>
      <c r="AY68" s="41">
        <f t="shared" si="12"/>
        <v>0</v>
      </c>
      <c r="AZ68" s="41">
        <f t="shared" si="11"/>
        <v>0</v>
      </c>
      <c r="BA68" s="41">
        <f t="shared" si="11"/>
        <v>0</v>
      </c>
      <c r="BB68" s="41">
        <f t="shared" si="11"/>
        <v>0</v>
      </c>
      <c r="BC68" s="41">
        <f t="shared" si="11"/>
        <v>0</v>
      </c>
      <c r="BD68" s="41">
        <f t="shared" si="4"/>
        <v>0</v>
      </c>
      <c r="BE68" s="43">
        <f t="shared" si="5"/>
        <v>0</v>
      </c>
    </row>
    <row r="69" spans="1:57" ht="24.75" customHeight="1">
      <c r="A69" s="23">
        <v>59</v>
      </c>
      <c r="B69" s="24" t="s">
        <v>50</v>
      </c>
      <c r="C69" s="24" t="s">
        <v>1489</v>
      </c>
      <c r="D69" s="24" t="s">
        <v>88</v>
      </c>
      <c r="E69" s="74" t="s">
        <v>52</v>
      </c>
      <c r="F69" s="24" t="s">
        <v>52</v>
      </c>
      <c r="G69" s="83" t="s">
        <v>732</v>
      </c>
      <c r="H69" s="83" t="str">
        <f>VLOOKUP(G69,[1]ListLoaded!$E$6:$F$544,2,0)</f>
        <v>290102</v>
      </c>
      <c r="I69" s="72" t="str">
        <f>VLOOKUP(G69,[1]ListLoaded!$E$6:$M$550,9,0)</f>
        <v>F</v>
      </c>
      <c r="J69" s="72" t="s">
        <v>31</v>
      </c>
      <c r="K69" s="140">
        <f>VLOOKUP(G69,[1]ListLoaded!$E$6:$L$537,8,0)</f>
        <v>29.89</v>
      </c>
      <c r="L69" s="83" t="str">
        <f>VLOOKUP(G69,[1]ListLoaded!$E$6:$S$645,15,0)</f>
        <v>404208</v>
      </c>
      <c r="M69" s="86" t="str">
        <f>VLOOKUP(G69,[1]ListLoaded!$E$6:$T$674,16,0)</f>
        <v>CAP VT</v>
      </c>
      <c r="N69" s="86">
        <f>VLOOKUP(G69,[1]ListLoaded!$E$6:$N$545,10,0)</f>
        <v>0</v>
      </c>
      <c r="O69" s="72"/>
      <c r="P69" s="72">
        <f>VLOOKUP(G69,[1]ListLoaded!$E$6:$O$638,11,0)</f>
        <v>0</v>
      </c>
      <c r="Q69" s="84" t="str">
        <f t="shared" si="0"/>
        <v>F20DC</v>
      </c>
      <c r="R69" s="84" t="str">
        <f>VLOOKUP(G69,[1]ListLoaded!$E$6:$P$604,12,0)</f>
        <v>HAC260525042</v>
      </c>
      <c r="S69" s="15" t="e">
        <f>I69&amp;J69&amp;#REF!</f>
        <v>#REF!</v>
      </c>
      <c r="T69" s="84" t="s">
        <v>745</v>
      </c>
      <c r="U69" s="84" t="s">
        <v>746</v>
      </c>
      <c r="V69" s="84" t="s">
        <v>747</v>
      </c>
      <c r="W69" s="49"/>
      <c r="Y69" s="50"/>
      <c r="AK69" s="145"/>
      <c r="AL69" s="48"/>
      <c r="AM69" s="42"/>
      <c r="AN69" s="41">
        <f t="shared" si="12"/>
        <v>0</v>
      </c>
      <c r="AO69" s="41">
        <f t="shared" si="12"/>
        <v>0</v>
      </c>
      <c r="AP69" s="41">
        <f t="shared" si="12"/>
        <v>0</v>
      </c>
      <c r="AQ69" s="41">
        <f t="shared" si="12"/>
        <v>0</v>
      </c>
      <c r="AR69" s="41">
        <f t="shared" si="12"/>
        <v>0</v>
      </c>
      <c r="AS69" s="41">
        <f t="shared" si="12"/>
        <v>0</v>
      </c>
      <c r="AT69" s="41">
        <f t="shared" si="12"/>
        <v>0</v>
      </c>
      <c r="AU69" s="41">
        <f t="shared" si="12"/>
        <v>0</v>
      </c>
      <c r="AV69" s="41">
        <f t="shared" si="12"/>
        <v>0</v>
      </c>
      <c r="AW69" s="41">
        <f t="shared" si="12"/>
        <v>0</v>
      </c>
      <c r="AX69" s="41">
        <f t="shared" si="12"/>
        <v>0</v>
      </c>
      <c r="AY69" s="41">
        <f t="shared" si="12"/>
        <v>0</v>
      </c>
      <c r="AZ69" s="41">
        <f t="shared" si="11"/>
        <v>0</v>
      </c>
      <c r="BA69" s="41">
        <f t="shared" si="11"/>
        <v>0</v>
      </c>
      <c r="BB69" s="41">
        <f t="shared" si="11"/>
        <v>0</v>
      </c>
      <c r="BC69" s="41">
        <f t="shared" si="11"/>
        <v>0</v>
      </c>
      <c r="BD69" s="41">
        <f t="shared" si="4"/>
        <v>0</v>
      </c>
      <c r="BE69" s="43">
        <f t="shared" si="5"/>
        <v>0</v>
      </c>
    </row>
    <row r="70" spans="1:57" ht="24.75" customHeight="1" thickBot="1">
      <c r="A70" s="23">
        <v>60</v>
      </c>
      <c r="B70" s="24" t="s">
        <v>50</v>
      </c>
      <c r="C70" s="24" t="s">
        <v>1489</v>
      </c>
      <c r="D70" s="24" t="s">
        <v>88</v>
      </c>
      <c r="E70" s="74" t="s">
        <v>52</v>
      </c>
      <c r="F70" s="24" t="s">
        <v>52</v>
      </c>
      <c r="G70" s="83" t="s">
        <v>733</v>
      </c>
      <c r="H70" s="83" t="str">
        <f>VLOOKUP(G70,[1]ListLoaded!$E$6:$F$544,2,0)</f>
        <v>220682</v>
      </c>
      <c r="I70" s="72" t="str">
        <f>VLOOKUP(G70,[1]ListLoaded!$E$6:$M$550,9,0)</f>
        <v>F</v>
      </c>
      <c r="J70" s="72" t="str">
        <f>VLOOKUP(G70,[1]ListLoaded!$E$6:$I$537,5,0)</f>
        <v>40HC</v>
      </c>
      <c r="K70" s="140">
        <f>VLOOKUP(G70,[1]ListLoaded!$E$6:$L$537,8,0)</f>
        <v>24.21</v>
      </c>
      <c r="L70" s="83" t="str">
        <f>VLOOKUP(G70,[1]ListLoaded!$E$6:$S$645,15,0)</f>
        <v>1105740</v>
      </c>
      <c r="M70" s="86" t="str">
        <f>VLOOKUP(G70,[1]ListLoaded!$E$6:$T$674,16,0)</f>
        <v>SOI</v>
      </c>
      <c r="N70" s="86">
        <f>VLOOKUP(G70,[1]ListLoaded!$E$6:$N$545,10,0)</f>
        <v>0</v>
      </c>
      <c r="O70" s="72"/>
      <c r="P70" s="72">
        <f>VLOOKUP(G70,[1]ListLoaded!$E$6:$O$638,11,0)</f>
        <v>0</v>
      </c>
      <c r="Q70" s="84" t="str">
        <f t="shared" si="0"/>
        <v>F40HC</v>
      </c>
      <c r="R70" s="84" t="str">
        <f>VLOOKUP(G70,[1]ListLoaded!$E$6:$P$604,12,0)</f>
        <v>HAC260527064</v>
      </c>
      <c r="S70" s="15" t="e">
        <f>I70&amp;J70&amp;#REF!</f>
        <v>#REF!</v>
      </c>
      <c r="T70" s="84" t="s">
        <v>748</v>
      </c>
      <c r="U70" s="84" t="s">
        <v>749</v>
      </c>
      <c r="V70" s="84" t="s">
        <v>626</v>
      </c>
      <c r="W70" s="49"/>
      <c r="Y70" s="50"/>
      <c r="AK70" s="146"/>
      <c r="AL70" s="48"/>
      <c r="AM70" s="42"/>
      <c r="AN70" s="41">
        <f t="shared" si="12"/>
        <v>0</v>
      </c>
      <c r="AO70" s="41">
        <f t="shared" si="12"/>
        <v>0</v>
      </c>
      <c r="AP70" s="41">
        <f t="shared" si="12"/>
        <v>0</v>
      </c>
      <c r="AQ70" s="41">
        <f t="shared" si="12"/>
        <v>0</v>
      </c>
      <c r="AR70" s="41">
        <f t="shared" si="12"/>
        <v>0</v>
      </c>
      <c r="AS70" s="41">
        <f t="shared" si="12"/>
        <v>0</v>
      </c>
      <c r="AT70" s="41">
        <f t="shared" si="12"/>
        <v>0</v>
      </c>
      <c r="AU70" s="41">
        <f t="shared" si="12"/>
        <v>0</v>
      </c>
      <c r="AV70" s="41">
        <f t="shared" si="12"/>
        <v>0</v>
      </c>
      <c r="AW70" s="41">
        <f t="shared" si="12"/>
        <v>0</v>
      </c>
      <c r="AX70" s="41">
        <f t="shared" si="12"/>
        <v>0</v>
      </c>
      <c r="AY70" s="41">
        <f t="shared" si="12"/>
        <v>0</v>
      </c>
      <c r="AZ70" s="41">
        <f t="shared" si="11"/>
        <v>0</v>
      </c>
      <c r="BA70" s="41">
        <f t="shared" si="11"/>
        <v>0</v>
      </c>
      <c r="BB70" s="41">
        <f t="shared" si="11"/>
        <v>0</v>
      </c>
      <c r="BC70" s="41">
        <f t="shared" si="11"/>
        <v>0</v>
      </c>
      <c r="BD70" s="41">
        <f t="shared" ref="BD70:BD119" si="13">SUM(AN70:BC70)</f>
        <v>0</v>
      </c>
      <c r="BE70" s="43">
        <f t="shared" ref="BE70:BE119" si="14">AN70+AO70+AP70+AQ70+AZ70+BA70+(AR70+AS70+AT70+AU70+AV70+AW70+AX70+AY70+BB70+BC70)*2</f>
        <v>0</v>
      </c>
    </row>
    <row r="71" spans="1:57" ht="24" thickTop="1" thickBot="1">
      <c r="A71" s="23">
        <v>61</v>
      </c>
      <c r="B71" s="24" t="s">
        <v>50</v>
      </c>
      <c r="C71" s="24" t="s">
        <v>1489</v>
      </c>
      <c r="D71" s="24" t="s">
        <v>88</v>
      </c>
      <c r="E71" s="74" t="s">
        <v>52</v>
      </c>
      <c r="F71" s="24" t="s">
        <v>52</v>
      </c>
      <c r="G71" s="83" t="s">
        <v>734</v>
      </c>
      <c r="H71" s="83" t="str">
        <f>VLOOKUP(G71,[1]ListLoaded!$E$6:$F$544,2,0)</f>
        <v>310306</v>
      </c>
      <c r="I71" s="72" t="str">
        <f>VLOOKUP(G71,[1]ListLoaded!$E$6:$M$550,9,0)</f>
        <v>F</v>
      </c>
      <c r="J71" s="72" t="s">
        <v>31</v>
      </c>
      <c r="K71" s="140">
        <f>VLOOKUP(G71,[1]ListLoaded!$E$6:$L$537,8,0)</f>
        <v>27.52</v>
      </c>
      <c r="L71" s="83" t="str">
        <f>VLOOKUP(G71,[1]ListLoaded!$E$6:$S$645,15,0)</f>
        <v>1106438</v>
      </c>
      <c r="M71" s="86" t="str">
        <f>VLOOKUP(G71,[1]ListLoaded!$E$6:$T$674,16,0)</f>
        <v>DUONG</v>
      </c>
      <c r="N71" s="86">
        <f>VLOOKUP(G71,[1]ListLoaded!$E$6:$N$545,10,0)</f>
        <v>0</v>
      </c>
      <c r="O71" s="72"/>
      <c r="P71" s="72">
        <f>VLOOKUP(G71,[1]ListLoaded!$E$6:$O$638,11,0)</f>
        <v>0</v>
      </c>
      <c r="Q71" s="84" t="str">
        <f t="shared" si="0"/>
        <v>F20DC</v>
      </c>
      <c r="R71" s="84" t="str">
        <f>VLOOKUP(G71,[1]ListLoaded!$E$6:$P$604,12,0)</f>
        <v>HAC260526013</v>
      </c>
      <c r="S71" s="15" t="e">
        <f>I71&amp;J71&amp;#REF!</f>
        <v>#REF!</v>
      </c>
      <c r="T71" s="84" t="s">
        <v>750</v>
      </c>
      <c r="U71" s="84" t="s">
        <v>751</v>
      </c>
      <c r="V71" s="84" t="s">
        <v>752</v>
      </c>
      <c r="W71" s="49"/>
      <c r="Y71" s="50"/>
      <c r="AK71" s="66"/>
      <c r="AL71" s="48"/>
      <c r="AM71" s="42"/>
      <c r="AN71" s="41">
        <f t="shared" si="12"/>
        <v>0</v>
      </c>
      <c r="AO71" s="41">
        <f t="shared" si="12"/>
        <v>0</v>
      </c>
      <c r="AP71" s="41">
        <f t="shared" si="12"/>
        <v>0</v>
      </c>
      <c r="AQ71" s="41">
        <f t="shared" si="12"/>
        <v>0</v>
      </c>
      <c r="AR71" s="41">
        <f t="shared" si="12"/>
        <v>0</v>
      </c>
      <c r="AS71" s="41">
        <f t="shared" si="12"/>
        <v>0</v>
      </c>
      <c r="AT71" s="41">
        <f t="shared" si="12"/>
        <v>0</v>
      </c>
      <c r="AU71" s="41">
        <f t="shared" si="12"/>
        <v>0</v>
      </c>
      <c r="AV71" s="41">
        <f t="shared" si="12"/>
        <v>0</v>
      </c>
      <c r="AW71" s="41">
        <f t="shared" si="12"/>
        <v>0</v>
      </c>
      <c r="AX71" s="41">
        <f t="shared" si="12"/>
        <v>0</v>
      </c>
      <c r="AY71" s="41">
        <f t="shared" si="12"/>
        <v>0</v>
      </c>
      <c r="AZ71" s="41">
        <f t="shared" si="11"/>
        <v>0</v>
      </c>
      <c r="BA71" s="41">
        <f t="shared" si="11"/>
        <v>0</v>
      </c>
      <c r="BB71" s="41">
        <f t="shared" si="11"/>
        <v>0</v>
      </c>
      <c r="BC71" s="41">
        <f t="shared" si="11"/>
        <v>0</v>
      </c>
      <c r="BD71" s="41">
        <f t="shared" si="13"/>
        <v>0</v>
      </c>
      <c r="BE71" s="43">
        <f t="shared" si="14"/>
        <v>0</v>
      </c>
    </row>
    <row r="72" spans="1:57" ht="24.75" customHeight="1" thickTop="1">
      <c r="A72" s="23">
        <v>62</v>
      </c>
      <c r="B72" s="24" t="s">
        <v>50</v>
      </c>
      <c r="C72" s="24" t="s">
        <v>1489</v>
      </c>
      <c r="D72" s="24" t="s">
        <v>88</v>
      </c>
      <c r="E72" s="74" t="s">
        <v>52</v>
      </c>
      <c r="F72" s="24" t="s">
        <v>52</v>
      </c>
      <c r="G72" s="83" t="s">
        <v>735</v>
      </c>
      <c r="H72" s="83" t="str">
        <f>VLOOKUP(G72,[1]ListLoaded!$E$6:$F$544,2,0)</f>
        <v>310408</v>
      </c>
      <c r="I72" s="72" t="str">
        <f>VLOOKUP(G72,[1]ListLoaded!$E$6:$M$550,9,0)</f>
        <v>F</v>
      </c>
      <c r="J72" s="72" t="s">
        <v>31</v>
      </c>
      <c r="K72" s="140">
        <f>VLOOKUP(G72,[1]ListLoaded!$E$6:$L$537,8,0)</f>
        <v>23.05</v>
      </c>
      <c r="L72" s="83" t="str">
        <f>VLOOKUP(G72,[1]ListLoaded!$E$6:$S$645,15,0)</f>
        <v>991577</v>
      </c>
      <c r="M72" s="86" t="str">
        <f>VLOOKUP(G72,[1]ListLoaded!$E$6:$T$674,16,0)</f>
        <v>PHU GIA XAY DUNG</v>
      </c>
      <c r="N72" s="86">
        <f>VLOOKUP(G72,[1]ListLoaded!$E$6:$N$545,10,0)</f>
        <v>0</v>
      </c>
      <c r="O72" s="72"/>
      <c r="P72" s="72">
        <f>VLOOKUP(G72,[1]ListLoaded!$E$6:$O$638,11,0)</f>
        <v>0</v>
      </c>
      <c r="Q72" s="84" t="str">
        <f t="shared" si="0"/>
        <v>F20DC</v>
      </c>
      <c r="R72" s="84" t="str">
        <f>VLOOKUP(G72,[1]ListLoaded!$E$6:$P$604,12,0)</f>
        <v>HAC260525068</v>
      </c>
      <c r="S72" s="15" t="e">
        <f>I72&amp;J72&amp;#REF!</f>
        <v>#REF!</v>
      </c>
      <c r="T72" s="84" t="s">
        <v>753</v>
      </c>
      <c r="U72" s="84" t="s">
        <v>754</v>
      </c>
      <c r="V72" s="84" t="s">
        <v>755</v>
      </c>
      <c r="W72" s="49"/>
      <c r="Y72" s="50"/>
      <c r="AK72" s="144" t="s">
        <v>62</v>
      </c>
      <c r="AL72" s="48"/>
      <c r="AM72" s="42"/>
      <c r="AN72" s="41">
        <f t="shared" si="12"/>
        <v>0</v>
      </c>
      <c r="AO72" s="41">
        <f t="shared" si="12"/>
        <v>0</v>
      </c>
      <c r="AP72" s="41">
        <f t="shared" si="12"/>
        <v>0</v>
      </c>
      <c r="AQ72" s="41">
        <f t="shared" si="12"/>
        <v>0</v>
      </c>
      <c r="AR72" s="41">
        <f t="shared" si="12"/>
        <v>0</v>
      </c>
      <c r="AS72" s="41">
        <f t="shared" si="12"/>
        <v>0</v>
      </c>
      <c r="AT72" s="41">
        <f t="shared" si="12"/>
        <v>0</v>
      </c>
      <c r="AU72" s="41">
        <f t="shared" si="12"/>
        <v>0</v>
      </c>
      <c r="AV72" s="41">
        <f t="shared" si="12"/>
        <v>0</v>
      </c>
      <c r="AW72" s="41">
        <f t="shared" si="12"/>
        <v>0</v>
      </c>
      <c r="AX72" s="41">
        <f t="shared" si="12"/>
        <v>0</v>
      </c>
      <c r="AY72" s="41">
        <f t="shared" si="12"/>
        <v>0</v>
      </c>
      <c r="AZ72" s="41">
        <f t="shared" si="11"/>
        <v>0</v>
      </c>
      <c r="BA72" s="41">
        <f t="shared" si="11"/>
        <v>0</v>
      </c>
      <c r="BB72" s="41">
        <f t="shared" si="11"/>
        <v>0</v>
      </c>
      <c r="BC72" s="41">
        <f t="shared" si="11"/>
        <v>0</v>
      </c>
      <c r="BD72" s="41">
        <f t="shared" si="13"/>
        <v>0</v>
      </c>
      <c r="BE72" s="43">
        <f t="shared" si="14"/>
        <v>0</v>
      </c>
    </row>
    <row r="73" spans="1:57" ht="24.75" customHeight="1">
      <c r="A73" s="23">
        <v>63</v>
      </c>
      <c r="B73" s="24" t="s">
        <v>50</v>
      </c>
      <c r="C73" s="24" t="s">
        <v>1489</v>
      </c>
      <c r="D73" s="24" t="s">
        <v>88</v>
      </c>
      <c r="E73" s="74" t="s">
        <v>52</v>
      </c>
      <c r="F73" s="24" t="s">
        <v>52</v>
      </c>
      <c r="G73" s="83" t="s">
        <v>736</v>
      </c>
      <c r="H73" s="83" t="str">
        <f>VLOOKUP(G73,[1]ListLoaded!$E$6:$F$544,2,0)</f>
        <v>310308</v>
      </c>
      <c r="I73" s="72" t="str">
        <f>VLOOKUP(G73,[1]ListLoaded!$E$6:$M$550,9,0)</f>
        <v>F</v>
      </c>
      <c r="J73" s="72" t="s">
        <v>31</v>
      </c>
      <c r="K73" s="140">
        <f>VLOOKUP(G73,[1]ListLoaded!$E$6:$L$537,8,0)</f>
        <v>23.3</v>
      </c>
      <c r="L73" s="83" t="str">
        <f>VLOOKUP(G73,[1]ListLoaded!$E$6:$S$645,15,0)</f>
        <v>991576</v>
      </c>
      <c r="M73" s="86" t="str">
        <f>VLOOKUP(G73,[1]ListLoaded!$E$6:$T$674,16,0)</f>
        <v>PHU GIA XAY DUNG</v>
      </c>
      <c r="N73" s="86">
        <f>VLOOKUP(G73,[1]ListLoaded!$E$6:$N$545,10,0)</f>
        <v>0</v>
      </c>
      <c r="O73" s="72"/>
      <c r="P73" s="72">
        <f>VLOOKUP(G73,[1]ListLoaded!$E$6:$O$638,11,0)</f>
        <v>0</v>
      </c>
      <c r="Q73" s="84" t="str">
        <f t="shared" si="0"/>
        <v>F20DC</v>
      </c>
      <c r="R73" s="84" t="str">
        <f>VLOOKUP(G73,[1]ListLoaded!$E$6:$P$604,12,0)</f>
        <v>HAC260525068</v>
      </c>
      <c r="S73" s="15" t="e">
        <f>I73&amp;J73&amp;#REF!</f>
        <v>#REF!</v>
      </c>
      <c r="T73" s="84" t="s">
        <v>753</v>
      </c>
      <c r="U73" s="84" t="s">
        <v>754</v>
      </c>
      <c r="V73" s="84" t="s">
        <v>755</v>
      </c>
      <c r="W73" s="49"/>
      <c r="Y73" s="50"/>
      <c r="AK73" s="145"/>
      <c r="AL73" s="48"/>
      <c r="AM73" s="42"/>
      <c r="AN73" s="41">
        <f t="shared" si="12"/>
        <v>0</v>
      </c>
      <c r="AO73" s="41">
        <f t="shared" si="12"/>
        <v>0</v>
      </c>
      <c r="AP73" s="41">
        <f t="shared" si="12"/>
        <v>0</v>
      </c>
      <c r="AQ73" s="41">
        <f t="shared" si="12"/>
        <v>0</v>
      </c>
      <c r="AR73" s="41">
        <f t="shared" si="12"/>
        <v>0</v>
      </c>
      <c r="AS73" s="41">
        <f t="shared" si="12"/>
        <v>0</v>
      </c>
      <c r="AT73" s="41">
        <f t="shared" si="12"/>
        <v>0</v>
      </c>
      <c r="AU73" s="41">
        <f t="shared" si="12"/>
        <v>0</v>
      </c>
      <c r="AV73" s="41">
        <f t="shared" si="12"/>
        <v>0</v>
      </c>
      <c r="AW73" s="41">
        <f t="shared" si="12"/>
        <v>0</v>
      </c>
      <c r="AX73" s="41">
        <f t="shared" si="12"/>
        <v>0</v>
      </c>
      <c r="AY73" s="41">
        <f t="shared" si="12"/>
        <v>0</v>
      </c>
      <c r="AZ73" s="41">
        <f t="shared" si="11"/>
        <v>0</v>
      </c>
      <c r="BA73" s="41">
        <f t="shared" si="11"/>
        <v>0</v>
      </c>
      <c r="BB73" s="41">
        <f t="shared" si="11"/>
        <v>0</v>
      </c>
      <c r="BC73" s="41">
        <f t="shared" si="11"/>
        <v>0</v>
      </c>
      <c r="BD73" s="41">
        <f t="shared" si="13"/>
        <v>0</v>
      </c>
      <c r="BE73" s="43">
        <f t="shared" si="14"/>
        <v>0</v>
      </c>
    </row>
    <row r="74" spans="1:57" ht="24.75" customHeight="1">
      <c r="A74" s="23">
        <v>64</v>
      </c>
      <c r="B74" s="24" t="s">
        <v>50</v>
      </c>
      <c r="C74" s="24" t="s">
        <v>1489</v>
      </c>
      <c r="D74" s="24" t="s">
        <v>88</v>
      </c>
      <c r="E74" s="74" t="s">
        <v>52</v>
      </c>
      <c r="F74" s="24" t="s">
        <v>52</v>
      </c>
      <c r="G74" s="83" t="s">
        <v>737</v>
      </c>
      <c r="H74" s="83" t="str">
        <f>VLOOKUP(G74,[1]ListLoaded!$E$6:$F$544,2,0)</f>
        <v>260502</v>
      </c>
      <c r="I74" s="72" t="str">
        <f>VLOOKUP(G74,[1]ListLoaded!$E$6:$M$550,9,0)</f>
        <v>F</v>
      </c>
      <c r="J74" s="72" t="str">
        <f>VLOOKUP(G74,[1]ListLoaded!$E$6:$I$537,5,0)</f>
        <v>40HC</v>
      </c>
      <c r="K74" s="140">
        <f>VLOOKUP(G74,[1]ListLoaded!$E$6:$L$537,8,0)</f>
        <v>31.88</v>
      </c>
      <c r="L74" s="83" t="str">
        <f>VLOOKUP(G74,[1]ListLoaded!$E$6:$S$645,15,0)</f>
        <v>1115369</v>
      </c>
      <c r="M74" s="86" t="str">
        <f>VLOOKUP(G74,[1]ListLoaded!$E$6:$T$674,16,0)</f>
        <v>SUA</v>
      </c>
      <c r="N74" s="86">
        <f>VLOOKUP(G74,[1]ListLoaded!$E$6:$N$545,10,0)</f>
        <v>0</v>
      </c>
      <c r="O74" s="72"/>
      <c r="P74" s="72">
        <f>VLOOKUP(G74,[1]ListLoaded!$E$6:$O$638,11,0)</f>
        <v>0</v>
      </c>
      <c r="Q74" s="84" t="str">
        <f t="shared" si="0"/>
        <v>F40HC</v>
      </c>
      <c r="R74" s="84" t="str">
        <f>VLOOKUP(G74,[1]ListLoaded!$E$6:$P$604,12,0)</f>
        <v>HAC260526120</v>
      </c>
      <c r="S74" s="15" t="e">
        <f>I74&amp;J74&amp;#REF!</f>
        <v>#REF!</v>
      </c>
      <c r="T74" s="84" t="s">
        <v>756</v>
      </c>
      <c r="U74" s="84" t="s">
        <v>757</v>
      </c>
      <c r="V74" s="84" t="s">
        <v>758</v>
      </c>
      <c r="W74" s="49"/>
      <c r="Y74" s="50"/>
      <c r="AK74" s="145"/>
      <c r="AL74" s="48"/>
      <c r="AM74" s="42"/>
      <c r="AN74" s="41">
        <f t="shared" ref="AN74:AY83" si="15">COUNTIF($S$11:$S$1505,"F"&amp;AN$11&amp;$AM74)</f>
        <v>0</v>
      </c>
      <c r="AO74" s="41">
        <f t="shared" si="15"/>
        <v>0</v>
      </c>
      <c r="AP74" s="41">
        <f t="shared" si="15"/>
        <v>0</v>
      </c>
      <c r="AQ74" s="41">
        <f t="shared" si="15"/>
        <v>0</v>
      </c>
      <c r="AR74" s="41">
        <f t="shared" si="15"/>
        <v>0</v>
      </c>
      <c r="AS74" s="41">
        <f t="shared" si="15"/>
        <v>0</v>
      </c>
      <c r="AT74" s="41">
        <f t="shared" si="15"/>
        <v>0</v>
      </c>
      <c r="AU74" s="41">
        <f t="shared" si="15"/>
        <v>0</v>
      </c>
      <c r="AV74" s="41">
        <f t="shared" si="15"/>
        <v>0</v>
      </c>
      <c r="AW74" s="41">
        <f t="shared" si="15"/>
        <v>0</v>
      </c>
      <c r="AX74" s="41">
        <f t="shared" si="15"/>
        <v>0</v>
      </c>
      <c r="AY74" s="41">
        <f t="shared" si="15"/>
        <v>0</v>
      </c>
      <c r="AZ74" s="41">
        <f t="shared" ref="AZ74:BC93" si="16">COUNTIF($S$11:$S$1505,"E"&amp;AZ$11&amp;$AM74)</f>
        <v>0</v>
      </c>
      <c r="BA74" s="41">
        <f t="shared" si="16"/>
        <v>0</v>
      </c>
      <c r="BB74" s="41">
        <f t="shared" si="16"/>
        <v>0</v>
      </c>
      <c r="BC74" s="41">
        <f t="shared" si="16"/>
        <v>0</v>
      </c>
      <c r="BD74" s="41">
        <f t="shared" si="13"/>
        <v>0</v>
      </c>
      <c r="BE74" s="43">
        <f t="shared" si="14"/>
        <v>0</v>
      </c>
    </row>
    <row r="75" spans="1:57" ht="24.75" customHeight="1">
      <c r="A75" s="23">
        <v>65</v>
      </c>
      <c r="B75" s="24" t="s">
        <v>50</v>
      </c>
      <c r="C75" s="24" t="s">
        <v>1489</v>
      </c>
      <c r="D75" s="24" t="s">
        <v>88</v>
      </c>
      <c r="E75" s="74" t="s">
        <v>52</v>
      </c>
      <c r="F75" s="24" t="s">
        <v>52</v>
      </c>
      <c r="G75" s="83" t="s">
        <v>738</v>
      </c>
      <c r="H75" s="83" t="str">
        <f>VLOOKUP(G75,[1]ListLoaded!$E$6:$F$544,2,0)</f>
        <v>140704</v>
      </c>
      <c r="I75" s="72" t="str">
        <f>VLOOKUP(G75,[1]ListLoaded!$E$6:$M$550,9,0)</f>
        <v>F</v>
      </c>
      <c r="J75" s="72" t="str">
        <f>VLOOKUP(G75,[1]ListLoaded!$E$6:$I$537,5,0)</f>
        <v>40HC</v>
      </c>
      <c r="K75" s="140">
        <f>VLOOKUP(G75,[1]ListLoaded!$E$6:$L$537,8,0)</f>
        <v>30.38</v>
      </c>
      <c r="L75" s="83" t="str">
        <f>VLOOKUP(G75,[1]ListLoaded!$E$6:$S$645,15,0)</f>
        <v>0051860</v>
      </c>
      <c r="M75" s="86" t="str">
        <f>VLOOKUP(G75,[1]ListLoaded!$E$6:$T$674,16,0)</f>
        <v>SUA</v>
      </c>
      <c r="N75" s="86">
        <f>VLOOKUP(G75,[1]ListLoaded!$E$6:$N$545,10,0)</f>
        <v>0</v>
      </c>
      <c r="O75" s="72"/>
      <c r="P75" s="72">
        <f>VLOOKUP(G75,[1]ListLoaded!$E$6:$O$638,11,0)</f>
        <v>0</v>
      </c>
      <c r="Q75" s="84" t="str">
        <f t="shared" si="0"/>
        <v>F40HC</v>
      </c>
      <c r="R75" s="84" t="str">
        <f>VLOOKUP(G75,[1]ListLoaded!$E$6:$P$604,12,0)</f>
        <v>HAC260526120</v>
      </c>
      <c r="S75" s="15" t="e">
        <f>I75&amp;J75&amp;#REF!</f>
        <v>#REF!</v>
      </c>
      <c r="T75" s="84" t="s">
        <v>756</v>
      </c>
      <c r="U75" s="84" t="s">
        <v>757</v>
      </c>
      <c r="V75" s="84" t="s">
        <v>758</v>
      </c>
      <c r="W75" s="49"/>
      <c r="Y75" s="50"/>
      <c r="AK75" s="145"/>
      <c r="AL75" s="48"/>
      <c r="AM75" s="42"/>
      <c r="AN75" s="41">
        <f t="shared" si="15"/>
        <v>0</v>
      </c>
      <c r="AO75" s="41">
        <f t="shared" si="15"/>
        <v>0</v>
      </c>
      <c r="AP75" s="41">
        <f t="shared" si="15"/>
        <v>0</v>
      </c>
      <c r="AQ75" s="41">
        <f t="shared" si="15"/>
        <v>0</v>
      </c>
      <c r="AR75" s="41">
        <f t="shared" si="15"/>
        <v>0</v>
      </c>
      <c r="AS75" s="41">
        <f t="shared" si="15"/>
        <v>0</v>
      </c>
      <c r="AT75" s="41">
        <f t="shared" si="15"/>
        <v>0</v>
      </c>
      <c r="AU75" s="41">
        <f t="shared" si="15"/>
        <v>0</v>
      </c>
      <c r="AV75" s="41">
        <f t="shared" si="15"/>
        <v>0</v>
      </c>
      <c r="AW75" s="41">
        <f t="shared" si="15"/>
        <v>0</v>
      </c>
      <c r="AX75" s="41">
        <f t="shared" si="15"/>
        <v>0</v>
      </c>
      <c r="AY75" s="41">
        <f t="shared" si="15"/>
        <v>0</v>
      </c>
      <c r="AZ75" s="41">
        <f t="shared" si="16"/>
        <v>0</v>
      </c>
      <c r="BA75" s="41">
        <f t="shared" si="16"/>
        <v>0</v>
      </c>
      <c r="BB75" s="41">
        <f t="shared" si="16"/>
        <v>0</v>
      </c>
      <c r="BC75" s="41">
        <f t="shared" si="16"/>
        <v>0</v>
      </c>
      <c r="BD75" s="41">
        <f t="shared" si="13"/>
        <v>0</v>
      </c>
      <c r="BE75" s="43">
        <f t="shared" si="14"/>
        <v>0</v>
      </c>
    </row>
    <row r="76" spans="1:57" ht="24.75" customHeight="1">
      <c r="A76" s="23">
        <v>66</v>
      </c>
      <c r="B76" s="24" t="s">
        <v>50</v>
      </c>
      <c r="C76" s="24" t="s">
        <v>1489</v>
      </c>
      <c r="D76" s="24" t="s">
        <v>88</v>
      </c>
      <c r="E76" s="74" t="s">
        <v>52</v>
      </c>
      <c r="F76" s="24" t="s">
        <v>52</v>
      </c>
      <c r="G76" s="83" t="s">
        <v>739</v>
      </c>
      <c r="H76" s="83" t="str">
        <f>VLOOKUP(G76,[1]ListLoaded!$E$6:$F$544,2,0)</f>
        <v>180104</v>
      </c>
      <c r="I76" s="72" t="str">
        <f>VLOOKUP(G76,[1]ListLoaded!$E$6:$M$550,9,0)</f>
        <v>F</v>
      </c>
      <c r="J76" s="72" t="str">
        <f>VLOOKUP(G76,[1]ListLoaded!$E$6:$I$537,5,0)</f>
        <v>40HC</v>
      </c>
      <c r="K76" s="140">
        <f>VLOOKUP(G76,[1]ListLoaded!$E$6:$L$537,8,0)</f>
        <v>30.9</v>
      </c>
      <c r="L76" s="83" t="str">
        <f>VLOOKUP(G76,[1]ListLoaded!$E$6:$S$645,15,0)</f>
        <v>1115869</v>
      </c>
      <c r="M76" s="86" t="str">
        <f>VLOOKUP(G76,[1]ListLoaded!$E$6:$T$674,16,0)</f>
        <v>GIAY CUON</v>
      </c>
      <c r="N76" s="86">
        <f>VLOOKUP(G76,[1]ListLoaded!$E$6:$N$545,10,0)</f>
        <v>0</v>
      </c>
      <c r="O76" s="72"/>
      <c r="P76" s="72">
        <f>VLOOKUP(G76,[1]ListLoaded!$E$6:$O$638,11,0)</f>
        <v>0</v>
      </c>
      <c r="Q76" s="84" t="str">
        <f t="shared" ref="Q76:Q139" si="17">I76&amp;J76</f>
        <v>F40HC</v>
      </c>
      <c r="R76" s="84" t="str">
        <f>VLOOKUP(G76,[1]ListLoaded!$E$6:$P$604,12,0)</f>
        <v>HAC260526178</v>
      </c>
      <c r="S76" s="15" t="e">
        <f>I76&amp;J76&amp;#REF!</f>
        <v>#REF!</v>
      </c>
      <c r="T76" s="84" t="s">
        <v>759</v>
      </c>
      <c r="U76" s="84"/>
      <c r="V76" s="84"/>
      <c r="AK76" s="145"/>
      <c r="AL76" s="48"/>
      <c r="AM76" s="42"/>
      <c r="AN76" s="41">
        <f t="shared" si="15"/>
        <v>0</v>
      </c>
      <c r="AO76" s="41">
        <f t="shared" si="15"/>
        <v>0</v>
      </c>
      <c r="AP76" s="41">
        <f t="shared" si="15"/>
        <v>0</v>
      </c>
      <c r="AQ76" s="41">
        <f t="shared" si="15"/>
        <v>0</v>
      </c>
      <c r="AR76" s="41">
        <f t="shared" si="15"/>
        <v>0</v>
      </c>
      <c r="AS76" s="41">
        <f t="shared" si="15"/>
        <v>0</v>
      </c>
      <c r="AT76" s="41">
        <f t="shared" si="15"/>
        <v>0</v>
      </c>
      <c r="AU76" s="41">
        <f t="shared" si="15"/>
        <v>0</v>
      </c>
      <c r="AV76" s="41">
        <f t="shared" si="15"/>
        <v>0</v>
      </c>
      <c r="AW76" s="41">
        <f t="shared" si="15"/>
        <v>0</v>
      </c>
      <c r="AX76" s="41">
        <f t="shared" si="15"/>
        <v>0</v>
      </c>
      <c r="AY76" s="41">
        <f t="shared" si="15"/>
        <v>0</v>
      </c>
      <c r="AZ76" s="41">
        <f t="shared" si="16"/>
        <v>0</v>
      </c>
      <c r="BA76" s="41">
        <f t="shared" si="16"/>
        <v>0</v>
      </c>
      <c r="BB76" s="41">
        <f t="shared" si="16"/>
        <v>0</v>
      </c>
      <c r="BC76" s="41">
        <f t="shared" si="16"/>
        <v>0</v>
      </c>
      <c r="BD76" s="41">
        <f t="shared" si="13"/>
        <v>0</v>
      </c>
      <c r="BE76" s="43">
        <f t="shared" si="14"/>
        <v>0</v>
      </c>
    </row>
    <row r="77" spans="1:57" ht="24.75" customHeight="1">
      <c r="A77" s="23">
        <v>67</v>
      </c>
      <c r="B77" s="24" t="s">
        <v>50</v>
      </c>
      <c r="C77" s="24" t="s">
        <v>1489</v>
      </c>
      <c r="D77" s="24" t="s">
        <v>88</v>
      </c>
      <c r="E77" s="74" t="s">
        <v>52</v>
      </c>
      <c r="F77" s="24" t="s">
        <v>52</v>
      </c>
      <c r="G77" s="83" t="s">
        <v>740</v>
      </c>
      <c r="H77" s="83" t="str">
        <f>VLOOKUP(G77,[1]ListLoaded!$E$6:$F$544,2,0)</f>
        <v>180102</v>
      </c>
      <c r="I77" s="72" t="str">
        <f>VLOOKUP(G77,[1]ListLoaded!$E$6:$M$550,9,0)</f>
        <v>F</v>
      </c>
      <c r="J77" s="72" t="str">
        <f>VLOOKUP(G77,[1]ListLoaded!$E$6:$I$537,5,0)</f>
        <v>40HC</v>
      </c>
      <c r="K77" s="140">
        <f>VLOOKUP(G77,[1]ListLoaded!$E$6:$L$537,8,0)</f>
        <v>32.380000000000003</v>
      </c>
      <c r="L77" s="83" t="str">
        <f>VLOOKUP(G77,[1]ListLoaded!$E$6:$S$645,15,0)</f>
        <v>1116422</v>
      </c>
      <c r="M77" s="86" t="str">
        <f>VLOOKUP(G77,[1]ListLoaded!$E$6:$T$674,16,0)</f>
        <v>GIAY CUON</v>
      </c>
      <c r="N77" s="86">
        <f>VLOOKUP(G77,[1]ListLoaded!$E$6:$N$545,10,0)</f>
        <v>0</v>
      </c>
      <c r="O77" s="72"/>
      <c r="P77" s="72">
        <f>VLOOKUP(G77,[1]ListLoaded!$E$6:$O$638,11,0)</f>
        <v>0</v>
      </c>
      <c r="Q77" s="84" t="str">
        <f t="shared" si="17"/>
        <v>F40HC</v>
      </c>
      <c r="R77" s="84" t="str">
        <f>VLOOKUP(G77,[1]ListLoaded!$E$6:$P$604,12,0)</f>
        <v>HAC260526178</v>
      </c>
      <c r="S77" s="15" t="e">
        <f>I77&amp;J77&amp;#REF!</f>
        <v>#REF!</v>
      </c>
      <c r="T77" s="84" t="s">
        <v>759</v>
      </c>
      <c r="U77" s="84"/>
      <c r="V77" s="84"/>
      <c r="AK77" s="145"/>
      <c r="AL77" s="48"/>
      <c r="AM77" s="42"/>
      <c r="AN77" s="41">
        <f t="shared" si="15"/>
        <v>0</v>
      </c>
      <c r="AO77" s="41">
        <f t="shared" si="15"/>
        <v>0</v>
      </c>
      <c r="AP77" s="41">
        <f t="shared" si="15"/>
        <v>0</v>
      </c>
      <c r="AQ77" s="41">
        <f t="shared" si="15"/>
        <v>0</v>
      </c>
      <c r="AR77" s="41">
        <f t="shared" si="15"/>
        <v>0</v>
      </c>
      <c r="AS77" s="41">
        <f t="shared" si="15"/>
        <v>0</v>
      </c>
      <c r="AT77" s="41">
        <f t="shared" si="15"/>
        <v>0</v>
      </c>
      <c r="AU77" s="41">
        <f t="shared" si="15"/>
        <v>0</v>
      </c>
      <c r="AV77" s="41">
        <f t="shared" si="15"/>
        <v>0</v>
      </c>
      <c r="AW77" s="41">
        <f t="shared" si="15"/>
        <v>0</v>
      </c>
      <c r="AX77" s="41">
        <f t="shared" si="15"/>
        <v>0</v>
      </c>
      <c r="AY77" s="41">
        <f t="shared" si="15"/>
        <v>0</v>
      </c>
      <c r="AZ77" s="41">
        <f t="shared" si="16"/>
        <v>0</v>
      </c>
      <c r="BA77" s="41">
        <f t="shared" si="16"/>
        <v>0</v>
      </c>
      <c r="BB77" s="41">
        <f t="shared" si="16"/>
        <v>0</v>
      </c>
      <c r="BC77" s="41">
        <f t="shared" si="16"/>
        <v>0</v>
      </c>
      <c r="BD77" s="41">
        <f t="shared" si="13"/>
        <v>0</v>
      </c>
      <c r="BE77" s="43">
        <f t="shared" si="14"/>
        <v>0</v>
      </c>
    </row>
    <row r="78" spans="1:57" ht="24.75" customHeight="1">
      <c r="A78" s="23">
        <v>68</v>
      </c>
      <c r="B78" s="24" t="s">
        <v>50</v>
      </c>
      <c r="C78" s="24" t="s">
        <v>1489</v>
      </c>
      <c r="D78" s="24" t="s">
        <v>88</v>
      </c>
      <c r="E78" s="74" t="s">
        <v>52</v>
      </c>
      <c r="F78" s="24" t="s">
        <v>52</v>
      </c>
      <c r="G78" s="83" t="s">
        <v>741</v>
      </c>
      <c r="H78" s="83" t="str">
        <f>VLOOKUP(G78,[1]ListLoaded!$E$6:$F$544,2,0)</f>
        <v>180806</v>
      </c>
      <c r="I78" s="72" t="str">
        <f>VLOOKUP(G78,[1]ListLoaded!$E$6:$M$550,9,0)</f>
        <v>F</v>
      </c>
      <c r="J78" s="72" t="str">
        <f>VLOOKUP(G78,[1]ListLoaded!$E$6:$I$537,5,0)</f>
        <v>40HC</v>
      </c>
      <c r="K78" s="140">
        <f>VLOOKUP(G78,[1]ListLoaded!$E$6:$L$537,8,0)</f>
        <v>29.74</v>
      </c>
      <c r="L78" s="83" t="str">
        <f>VLOOKUP(G78,[1]ListLoaded!$E$6:$S$645,15,0)</f>
        <v>1105664</v>
      </c>
      <c r="M78" s="86" t="str">
        <f>VLOOKUP(G78,[1]ListLoaded!$E$6:$T$674,16,0)</f>
        <v>GIAY CUON</v>
      </c>
      <c r="N78" s="86">
        <f>VLOOKUP(G78,[1]ListLoaded!$E$6:$N$545,10,0)</f>
        <v>0</v>
      </c>
      <c r="O78" s="72"/>
      <c r="P78" s="72">
        <f>VLOOKUP(G78,[1]ListLoaded!$E$6:$O$638,11,0)</f>
        <v>0</v>
      </c>
      <c r="Q78" s="84" t="str">
        <f t="shared" si="17"/>
        <v>F40HC</v>
      </c>
      <c r="R78" s="84" t="str">
        <f>VLOOKUP(G78,[1]ListLoaded!$E$6:$P$604,12,0)</f>
        <v>HAC260526178</v>
      </c>
      <c r="S78" s="15" t="e">
        <f>I78&amp;J78&amp;#REF!</f>
        <v>#REF!</v>
      </c>
      <c r="T78" s="84" t="s">
        <v>759</v>
      </c>
      <c r="U78" s="84"/>
      <c r="V78" s="84"/>
      <c r="AK78" s="145"/>
      <c r="AL78" s="48"/>
      <c r="AM78" s="42"/>
      <c r="AN78" s="41">
        <f t="shared" si="15"/>
        <v>0</v>
      </c>
      <c r="AO78" s="41">
        <f t="shared" si="15"/>
        <v>0</v>
      </c>
      <c r="AP78" s="41">
        <f t="shared" si="15"/>
        <v>0</v>
      </c>
      <c r="AQ78" s="41">
        <f t="shared" si="15"/>
        <v>0</v>
      </c>
      <c r="AR78" s="41">
        <f t="shared" si="15"/>
        <v>0</v>
      </c>
      <c r="AS78" s="41">
        <f t="shared" si="15"/>
        <v>0</v>
      </c>
      <c r="AT78" s="41">
        <f t="shared" si="15"/>
        <v>0</v>
      </c>
      <c r="AU78" s="41">
        <f t="shared" si="15"/>
        <v>0</v>
      </c>
      <c r="AV78" s="41">
        <f t="shared" si="15"/>
        <v>0</v>
      </c>
      <c r="AW78" s="41">
        <f t="shared" si="15"/>
        <v>0</v>
      </c>
      <c r="AX78" s="41">
        <f t="shared" si="15"/>
        <v>0</v>
      </c>
      <c r="AY78" s="41">
        <f t="shared" si="15"/>
        <v>0</v>
      </c>
      <c r="AZ78" s="41">
        <f t="shared" si="16"/>
        <v>0</v>
      </c>
      <c r="BA78" s="41">
        <f t="shared" si="16"/>
        <v>0</v>
      </c>
      <c r="BB78" s="41">
        <f t="shared" si="16"/>
        <v>0</v>
      </c>
      <c r="BC78" s="41">
        <f t="shared" si="16"/>
        <v>0</v>
      </c>
      <c r="BD78" s="41">
        <f t="shared" si="13"/>
        <v>0</v>
      </c>
      <c r="BE78" s="43">
        <f t="shared" si="14"/>
        <v>0</v>
      </c>
    </row>
    <row r="79" spans="1:57" ht="24.75" customHeight="1">
      <c r="A79" s="23">
        <v>69</v>
      </c>
      <c r="B79" s="24" t="s">
        <v>50</v>
      </c>
      <c r="C79" s="24" t="s">
        <v>1489</v>
      </c>
      <c r="D79" s="24" t="s">
        <v>62</v>
      </c>
      <c r="E79" s="74" t="s">
        <v>52</v>
      </c>
      <c r="F79" s="24" t="s">
        <v>52</v>
      </c>
      <c r="G79" s="83" t="s">
        <v>760</v>
      </c>
      <c r="H79" s="83" t="str">
        <f>VLOOKUP(G79,[1]ListLoaded!$E$6:$F$544,2,0)</f>
        <v>180602</v>
      </c>
      <c r="I79" s="72" t="str">
        <f>VLOOKUP(G79,[1]ListLoaded!$E$6:$M$550,9,0)</f>
        <v>F</v>
      </c>
      <c r="J79" s="72" t="str">
        <f>VLOOKUP(G79,[1]ListLoaded!$E$6:$I$537,5,0)</f>
        <v>40HC</v>
      </c>
      <c r="K79" s="140">
        <f>VLOOKUP(G79,[1]ListLoaded!$E$6:$L$537,8,0)</f>
        <v>31.52</v>
      </c>
      <c r="L79" s="83" t="str">
        <f>VLOOKUP(G79,[1]ListLoaded!$E$6:$S$645,15,0)</f>
        <v>1107136</v>
      </c>
      <c r="M79" s="86" t="str">
        <f>VLOOKUP(G79,[1]ListLoaded!$E$6:$T$674,16,0)</f>
        <v>THUC PHAM</v>
      </c>
      <c r="N79" s="86">
        <f>VLOOKUP(G79,[1]ListLoaded!$E$6:$N$545,10,0)</f>
        <v>0</v>
      </c>
      <c r="O79" s="72"/>
      <c r="P79" s="72">
        <f>VLOOKUP(G79,[1]ListLoaded!$E$6:$O$638,11,0)</f>
        <v>0</v>
      </c>
      <c r="Q79" s="84" t="str">
        <f t="shared" si="17"/>
        <v>F40HC</v>
      </c>
      <c r="R79" s="84" t="str">
        <f>VLOOKUP(G79,[1]ListLoaded!$E$6:$P$604,12,0)</f>
        <v>HAC260521157</v>
      </c>
      <c r="S79" s="15" t="e">
        <f>I79&amp;J79&amp;#REF!</f>
        <v>#REF!</v>
      </c>
      <c r="T79" s="84" t="s">
        <v>828</v>
      </c>
      <c r="U79" s="84"/>
      <c r="V79" s="84"/>
      <c r="AK79" s="145"/>
      <c r="AL79" s="48"/>
      <c r="AM79" s="42"/>
      <c r="AN79" s="41">
        <f t="shared" si="15"/>
        <v>0</v>
      </c>
      <c r="AO79" s="41">
        <f t="shared" si="15"/>
        <v>0</v>
      </c>
      <c r="AP79" s="41">
        <f t="shared" si="15"/>
        <v>0</v>
      </c>
      <c r="AQ79" s="41">
        <f t="shared" si="15"/>
        <v>0</v>
      </c>
      <c r="AR79" s="41">
        <f t="shared" si="15"/>
        <v>0</v>
      </c>
      <c r="AS79" s="41">
        <f t="shared" si="15"/>
        <v>0</v>
      </c>
      <c r="AT79" s="41">
        <f t="shared" si="15"/>
        <v>0</v>
      </c>
      <c r="AU79" s="41">
        <f t="shared" si="15"/>
        <v>0</v>
      </c>
      <c r="AV79" s="41">
        <f t="shared" si="15"/>
        <v>0</v>
      </c>
      <c r="AW79" s="41">
        <f t="shared" si="15"/>
        <v>0</v>
      </c>
      <c r="AX79" s="41">
        <f t="shared" si="15"/>
        <v>0</v>
      </c>
      <c r="AY79" s="41">
        <f t="shared" si="15"/>
        <v>0</v>
      </c>
      <c r="AZ79" s="41">
        <f t="shared" si="16"/>
        <v>0</v>
      </c>
      <c r="BA79" s="41">
        <f t="shared" si="16"/>
        <v>0</v>
      </c>
      <c r="BB79" s="41">
        <f t="shared" si="16"/>
        <v>0</v>
      </c>
      <c r="BC79" s="41">
        <f t="shared" si="16"/>
        <v>0</v>
      </c>
      <c r="BD79" s="41">
        <f t="shared" si="13"/>
        <v>0</v>
      </c>
      <c r="BE79" s="43">
        <f t="shared" si="14"/>
        <v>0</v>
      </c>
    </row>
    <row r="80" spans="1:57" ht="24.75" customHeight="1">
      <c r="A80" s="23">
        <v>70</v>
      </c>
      <c r="B80" s="24" t="s">
        <v>50</v>
      </c>
      <c r="C80" s="24" t="s">
        <v>1489</v>
      </c>
      <c r="D80" s="24" t="s">
        <v>62</v>
      </c>
      <c r="E80" s="74" t="s">
        <v>52</v>
      </c>
      <c r="F80" s="24" t="s">
        <v>52</v>
      </c>
      <c r="G80" s="83" t="s">
        <v>761</v>
      </c>
      <c r="H80" s="83" t="str">
        <f>VLOOKUP(G80,[1]ListLoaded!$E$6:$F$544,2,0)</f>
        <v>210710</v>
      </c>
      <c r="I80" s="72" t="str">
        <f>VLOOKUP(G80,[1]ListLoaded!$E$6:$M$550,9,0)</f>
        <v>F</v>
      </c>
      <c r="J80" s="72" t="s">
        <v>31</v>
      </c>
      <c r="K80" s="140">
        <f>VLOOKUP(G80,[1]ListLoaded!$E$6:$L$537,8,0)</f>
        <v>10.67</v>
      </c>
      <c r="L80" s="83" t="str">
        <f>VLOOKUP(G80,[1]ListLoaded!$E$6:$S$645,15,0)</f>
        <v>23378560</v>
      </c>
      <c r="M80" s="86" t="str">
        <f>VLOOKUP(G80,[1]ListLoaded!$E$6:$T$674,16,0)</f>
        <v>VAI SOI</v>
      </c>
      <c r="N80" s="86">
        <f>VLOOKUP(G80,[1]ListLoaded!$E$6:$N$545,10,0)</f>
        <v>0</v>
      </c>
      <c r="O80" s="72"/>
      <c r="P80" s="72">
        <f>VLOOKUP(G80,[1]ListLoaded!$E$6:$O$638,11,0)</f>
        <v>0</v>
      </c>
      <c r="Q80" s="84" t="str">
        <f t="shared" si="17"/>
        <v>F20DC</v>
      </c>
      <c r="R80" s="84" t="str">
        <f>VLOOKUP(G80,[1]ListLoaded!$E$6:$P$604,12,0)</f>
        <v>HAC260521157</v>
      </c>
      <c r="S80" s="15" t="e">
        <f>I80&amp;J80&amp;#REF!</f>
        <v>#REF!</v>
      </c>
      <c r="T80" s="84" t="s">
        <v>828</v>
      </c>
      <c r="U80" s="84"/>
      <c r="V80" s="84"/>
      <c r="W80" s="16" t="s">
        <v>63</v>
      </c>
      <c r="AK80" s="145"/>
      <c r="AL80" s="48"/>
      <c r="AM80" s="42"/>
      <c r="AN80" s="41">
        <f t="shared" si="15"/>
        <v>0</v>
      </c>
      <c r="AO80" s="41">
        <f t="shared" si="15"/>
        <v>0</v>
      </c>
      <c r="AP80" s="41">
        <f t="shared" si="15"/>
        <v>0</v>
      </c>
      <c r="AQ80" s="41">
        <f t="shared" si="15"/>
        <v>0</v>
      </c>
      <c r="AR80" s="41">
        <f t="shared" si="15"/>
        <v>0</v>
      </c>
      <c r="AS80" s="41">
        <f t="shared" si="15"/>
        <v>0</v>
      </c>
      <c r="AT80" s="41">
        <f t="shared" si="15"/>
        <v>0</v>
      </c>
      <c r="AU80" s="41">
        <f t="shared" si="15"/>
        <v>0</v>
      </c>
      <c r="AV80" s="41">
        <f t="shared" si="15"/>
        <v>0</v>
      </c>
      <c r="AW80" s="41">
        <f t="shared" si="15"/>
        <v>0</v>
      </c>
      <c r="AX80" s="41">
        <f t="shared" si="15"/>
        <v>0</v>
      </c>
      <c r="AY80" s="41">
        <f t="shared" si="15"/>
        <v>0</v>
      </c>
      <c r="AZ80" s="41">
        <f t="shared" si="16"/>
        <v>0</v>
      </c>
      <c r="BA80" s="41">
        <f t="shared" si="16"/>
        <v>0</v>
      </c>
      <c r="BB80" s="41">
        <f t="shared" si="16"/>
        <v>0</v>
      </c>
      <c r="BC80" s="41">
        <f t="shared" si="16"/>
        <v>0</v>
      </c>
      <c r="BD80" s="41">
        <f t="shared" si="13"/>
        <v>0</v>
      </c>
      <c r="BE80" s="43">
        <f t="shared" si="14"/>
        <v>0</v>
      </c>
    </row>
    <row r="81" spans="1:57" ht="24.75" customHeight="1">
      <c r="A81" s="23">
        <v>71</v>
      </c>
      <c r="B81" s="24" t="s">
        <v>50</v>
      </c>
      <c r="C81" s="24" t="s">
        <v>1489</v>
      </c>
      <c r="D81" s="24" t="s">
        <v>62</v>
      </c>
      <c r="E81" s="74" t="s">
        <v>52</v>
      </c>
      <c r="F81" s="24" t="s">
        <v>52</v>
      </c>
      <c r="G81" s="83" t="s">
        <v>762</v>
      </c>
      <c r="H81" s="83" t="str">
        <f>VLOOKUP(G81,[1]ListLoaded!$E$6:$F$544,2,0)</f>
        <v>180384</v>
      </c>
      <c r="I81" s="72" t="str">
        <f>VLOOKUP(G81,[1]ListLoaded!$E$6:$M$550,9,0)</f>
        <v>F</v>
      </c>
      <c r="J81" s="72" t="str">
        <f>VLOOKUP(G81,[1]ListLoaded!$E$6:$I$537,5,0)</f>
        <v>40HC</v>
      </c>
      <c r="K81" s="140">
        <f>VLOOKUP(G81,[1]ListLoaded!$E$6:$L$537,8,0)</f>
        <v>24.48</v>
      </c>
      <c r="L81" s="83" t="str">
        <f>VLOOKUP(G81,[1]ListLoaded!$E$6:$S$645,15,0)</f>
        <v>1111750</v>
      </c>
      <c r="M81" s="86" t="str">
        <f>VLOOKUP(G81,[1]ListLoaded!$E$6:$T$674,16,0)</f>
        <v>VAI SOI</v>
      </c>
      <c r="N81" s="86">
        <f>VLOOKUP(G81,[1]ListLoaded!$E$6:$N$545,10,0)</f>
        <v>0</v>
      </c>
      <c r="O81" s="72"/>
      <c r="P81" s="72">
        <f>VLOOKUP(G81,[1]ListLoaded!$E$6:$O$638,11,0)</f>
        <v>0</v>
      </c>
      <c r="Q81" s="84" t="str">
        <f t="shared" si="17"/>
        <v>F40HC</v>
      </c>
      <c r="R81" s="84" t="str">
        <f>VLOOKUP(G81,[1]ListLoaded!$E$6:$P$604,12,0)</f>
        <v>HAC260521157</v>
      </c>
      <c r="S81" s="15" t="s">
        <v>649</v>
      </c>
      <c r="T81" s="84" t="s">
        <v>828</v>
      </c>
      <c r="U81" s="84"/>
      <c r="V81" s="84"/>
      <c r="AK81" s="145"/>
      <c r="AL81" s="48"/>
      <c r="AM81" s="42"/>
      <c r="AN81" s="41">
        <f t="shared" si="15"/>
        <v>0</v>
      </c>
      <c r="AO81" s="41">
        <f t="shared" si="15"/>
        <v>0</v>
      </c>
      <c r="AP81" s="41">
        <f t="shared" si="15"/>
        <v>0</v>
      </c>
      <c r="AQ81" s="41">
        <f t="shared" si="15"/>
        <v>0</v>
      </c>
      <c r="AR81" s="41">
        <f t="shared" si="15"/>
        <v>0</v>
      </c>
      <c r="AS81" s="41">
        <f t="shared" si="15"/>
        <v>0</v>
      </c>
      <c r="AT81" s="41">
        <f t="shared" si="15"/>
        <v>0</v>
      </c>
      <c r="AU81" s="41">
        <f t="shared" si="15"/>
        <v>0</v>
      </c>
      <c r="AV81" s="41">
        <f t="shared" si="15"/>
        <v>0</v>
      </c>
      <c r="AW81" s="41">
        <f t="shared" si="15"/>
        <v>0</v>
      </c>
      <c r="AX81" s="41">
        <f t="shared" si="15"/>
        <v>0</v>
      </c>
      <c r="AY81" s="41">
        <f t="shared" si="15"/>
        <v>0</v>
      </c>
      <c r="AZ81" s="41">
        <f t="shared" si="16"/>
        <v>0</v>
      </c>
      <c r="BA81" s="41">
        <f t="shared" si="16"/>
        <v>0</v>
      </c>
      <c r="BB81" s="41">
        <f t="shared" si="16"/>
        <v>0</v>
      </c>
      <c r="BC81" s="41">
        <f t="shared" si="16"/>
        <v>0</v>
      </c>
      <c r="BD81" s="41">
        <f t="shared" si="13"/>
        <v>0</v>
      </c>
      <c r="BE81" s="43">
        <f t="shared" si="14"/>
        <v>0</v>
      </c>
    </row>
    <row r="82" spans="1:57" ht="24.75" customHeight="1">
      <c r="A82" s="23">
        <v>72</v>
      </c>
      <c r="B82" s="24" t="s">
        <v>50</v>
      </c>
      <c r="C82" s="24" t="s">
        <v>1489</v>
      </c>
      <c r="D82" s="24" t="s">
        <v>62</v>
      </c>
      <c r="E82" s="74" t="s">
        <v>52</v>
      </c>
      <c r="F82" s="24" t="s">
        <v>52</v>
      </c>
      <c r="G82" s="83" t="s">
        <v>763</v>
      </c>
      <c r="H82" s="83" t="str">
        <f>VLOOKUP(G82,[1]ListLoaded!$E$6:$F$544,2,0)</f>
        <v>070510</v>
      </c>
      <c r="I82" s="72" t="str">
        <f>VLOOKUP(G82,[1]ListLoaded!$E$6:$M$550,9,0)</f>
        <v>F</v>
      </c>
      <c r="J82" s="72" t="s">
        <v>31</v>
      </c>
      <c r="K82" s="140">
        <f>VLOOKUP(G82,[1]ListLoaded!$E$6:$L$537,8,0)</f>
        <v>13.13</v>
      </c>
      <c r="L82" s="83" t="str">
        <f>VLOOKUP(G82,[1]ListLoaded!$E$6:$S$645,15,0)</f>
        <v>1043117</v>
      </c>
      <c r="M82" s="86" t="str">
        <f>VLOOKUP(G82,[1]ListLoaded!$E$6:$T$674,16,0)</f>
        <v>DIEN TU</v>
      </c>
      <c r="N82" s="86">
        <f>VLOOKUP(G82,[1]ListLoaded!$E$6:$N$545,10,0)</f>
        <v>0</v>
      </c>
      <c r="O82" s="72"/>
      <c r="P82" s="72">
        <f>VLOOKUP(G82,[1]ListLoaded!$E$6:$O$638,11,0)</f>
        <v>0</v>
      </c>
      <c r="Q82" s="84" t="str">
        <f t="shared" si="17"/>
        <v>F20DC</v>
      </c>
      <c r="R82" s="84" t="str">
        <f>VLOOKUP(G82,[1]ListLoaded!$E$6:$P$604,12,0)</f>
        <v>HAC260521157</v>
      </c>
      <c r="S82" s="15" t="e">
        <f>I82&amp;J82&amp;#REF!</f>
        <v>#REF!</v>
      </c>
      <c r="T82" s="84" t="s">
        <v>828</v>
      </c>
      <c r="U82" s="84"/>
      <c r="V82" s="84"/>
      <c r="AK82" s="145"/>
      <c r="AL82" s="48"/>
      <c r="AM82" s="42"/>
      <c r="AN82" s="41">
        <f t="shared" si="15"/>
        <v>0</v>
      </c>
      <c r="AO82" s="41">
        <f t="shared" si="15"/>
        <v>0</v>
      </c>
      <c r="AP82" s="41">
        <f t="shared" si="15"/>
        <v>0</v>
      </c>
      <c r="AQ82" s="41">
        <f t="shared" si="15"/>
        <v>0</v>
      </c>
      <c r="AR82" s="41">
        <f t="shared" si="15"/>
        <v>0</v>
      </c>
      <c r="AS82" s="41">
        <f t="shared" si="15"/>
        <v>0</v>
      </c>
      <c r="AT82" s="41">
        <f t="shared" si="15"/>
        <v>0</v>
      </c>
      <c r="AU82" s="41">
        <f t="shared" si="15"/>
        <v>0</v>
      </c>
      <c r="AV82" s="41">
        <f t="shared" si="15"/>
        <v>0</v>
      </c>
      <c r="AW82" s="41">
        <f t="shared" si="15"/>
        <v>0</v>
      </c>
      <c r="AX82" s="41">
        <f t="shared" si="15"/>
        <v>0</v>
      </c>
      <c r="AY82" s="41">
        <f t="shared" si="15"/>
        <v>0</v>
      </c>
      <c r="AZ82" s="41">
        <f t="shared" si="16"/>
        <v>0</v>
      </c>
      <c r="BA82" s="41">
        <f t="shared" si="16"/>
        <v>0</v>
      </c>
      <c r="BB82" s="41">
        <f t="shared" si="16"/>
        <v>0</v>
      </c>
      <c r="BC82" s="41">
        <f t="shared" si="16"/>
        <v>0</v>
      </c>
      <c r="BD82" s="41">
        <f t="shared" si="13"/>
        <v>0</v>
      </c>
      <c r="BE82" s="43">
        <f t="shared" si="14"/>
        <v>0</v>
      </c>
    </row>
    <row r="83" spans="1:57" ht="24.75" customHeight="1">
      <c r="A83" s="23">
        <v>73</v>
      </c>
      <c r="B83" s="24" t="s">
        <v>50</v>
      </c>
      <c r="C83" s="24" t="s">
        <v>1489</v>
      </c>
      <c r="D83" s="24" t="s">
        <v>62</v>
      </c>
      <c r="E83" s="74" t="s">
        <v>52</v>
      </c>
      <c r="F83" s="24" t="s">
        <v>52</v>
      </c>
      <c r="G83" s="83" t="s">
        <v>650</v>
      </c>
      <c r="H83" s="83" t="str">
        <f>VLOOKUP(G83,[1]ListLoaded!$E$6:$F$544,2,0)</f>
        <v>110806</v>
      </c>
      <c r="I83" s="72" t="str">
        <f>VLOOKUP(G83,[1]ListLoaded!$E$6:$M$550,9,0)</f>
        <v>F</v>
      </c>
      <c r="J83" s="72" t="s">
        <v>31</v>
      </c>
      <c r="K83" s="140">
        <f>VLOOKUP(G83,[1]ListLoaded!$E$6:$L$537,8,0)</f>
        <v>23.03</v>
      </c>
      <c r="L83" s="83" t="str">
        <f>VLOOKUP(G83,[1]ListLoaded!$E$6:$S$645,15,0)</f>
        <v>1112900</v>
      </c>
      <c r="M83" s="86" t="str">
        <f>VLOOKUP(G83,[1]ListLoaded!$E$6:$T$674,16,0)</f>
        <v>PALET THUNG PHI</v>
      </c>
      <c r="N83" s="86">
        <f>VLOOKUP(G83,[1]ListLoaded!$E$6:$N$545,10,0)</f>
        <v>0</v>
      </c>
      <c r="O83" s="72"/>
      <c r="P83" s="72">
        <f>VLOOKUP(G83,[1]ListLoaded!$E$6:$O$638,11,0)</f>
        <v>0</v>
      </c>
      <c r="Q83" s="84" t="str">
        <f t="shared" si="17"/>
        <v>F20DC</v>
      </c>
      <c r="R83" s="84" t="str">
        <f>VLOOKUP(G83,[1]ListLoaded!$E$6:$P$604,12,0)</f>
        <v>HAC260521157</v>
      </c>
      <c r="S83" s="15" t="e">
        <f>I83&amp;J83&amp;#REF!</f>
        <v>#REF!</v>
      </c>
      <c r="T83" s="84" t="s">
        <v>828</v>
      </c>
      <c r="U83" s="84"/>
      <c r="V83" s="84"/>
      <c r="AK83" s="145"/>
      <c r="AL83" s="48"/>
      <c r="AM83" s="42"/>
      <c r="AN83" s="41">
        <f t="shared" si="15"/>
        <v>0</v>
      </c>
      <c r="AO83" s="41">
        <f t="shared" si="15"/>
        <v>0</v>
      </c>
      <c r="AP83" s="41">
        <f t="shared" si="15"/>
        <v>0</v>
      </c>
      <c r="AQ83" s="41">
        <f t="shared" si="15"/>
        <v>0</v>
      </c>
      <c r="AR83" s="41">
        <f t="shared" si="15"/>
        <v>0</v>
      </c>
      <c r="AS83" s="41">
        <f t="shared" si="15"/>
        <v>0</v>
      </c>
      <c r="AT83" s="41">
        <f t="shared" si="15"/>
        <v>0</v>
      </c>
      <c r="AU83" s="41">
        <f t="shared" si="15"/>
        <v>0</v>
      </c>
      <c r="AV83" s="41">
        <f t="shared" si="15"/>
        <v>0</v>
      </c>
      <c r="AW83" s="41">
        <f t="shared" si="15"/>
        <v>0</v>
      </c>
      <c r="AX83" s="41">
        <f t="shared" si="15"/>
        <v>0</v>
      </c>
      <c r="AY83" s="41">
        <f t="shared" si="15"/>
        <v>0</v>
      </c>
      <c r="AZ83" s="41">
        <f t="shared" si="16"/>
        <v>0</v>
      </c>
      <c r="BA83" s="41">
        <f t="shared" si="16"/>
        <v>0</v>
      </c>
      <c r="BB83" s="41">
        <f t="shared" si="16"/>
        <v>0</v>
      </c>
      <c r="BC83" s="41">
        <f t="shared" si="16"/>
        <v>0</v>
      </c>
      <c r="BD83" s="41">
        <f t="shared" si="13"/>
        <v>0</v>
      </c>
      <c r="BE83" s="43">
        <f t="shared" si="14"/>
        <v>0</v>
      </c>
    </row>
    <row r="84" spans="1:57" ht="24.75" customHeight="1">
      <c r="A84" s="23">
        <v>74</v>
      </c>
      <c r="B84" s="24" t="s">
        <v>50</v>
      </c>
      <c r="C84" s="24" t="s">
        <v>1489</v>
      </c>
      <c r="D84" s="24" t="s">
        <v>62</v>
      </c>
      <c r="E84" s="74" t="s">
        <v>52</v>
      </c>
      <c r="F84" s="24" t="s">
        <v>52</v>
      </c>
      <c r="G84" s="83" t="s">
        <v>764</v>
      </c>
      <c r="H84" s="83" t="str">
        <f>VLOOKUP(G84,[1]ListLoaded!$E$6:$F$544,2,0)</f>
        <v>090606</v>
      </c>
      <c r="I84" s="72" t="str">
        <f>VLOOKUP(G84,[1]ListLoaded!$E$6:$M$550,9,0)</f>
        <v>F</v>
      </c>
      <c r="J84" s="72" t="s">
        <v>31</v>
      </c>
      <c r="K84" s="140">
        <f>VLOOKUP(G84,[1]ListLoaded!$E$6:$L$537,8,0)</f>
        <v>22.08</v>
      </c>
      <c r="L84" s="83" t="str">
        <f>VLOOKUP(G84,[1]ListLoaded!$E$6:$S$645,15,0)</f>
        <v>1112421</v>
      </c>
      <c r="M84" s="86" t="str">
        <f>VLOOKUP(G84,[1]ListLoaded!$E$6:$T$674,16,0)</f>
        <v>PALET THUNG PHI</v>
      </c>
      <c r="N84" s="86">
        <f>VLOOKUP(G84,[1]ListLoaded!$E$6:$N$545,10,0)</f>
        <v>0</v>
      </c>
      <c r="O84" s="72"/>
      <c r="P84" s="72">
        <f>VLOOKUP(G84,[1]ListLoaded!$E$6:$O$638,11,0)</f>
        <v>0</v>
      </c>
      <c r="Q84" s="84" t="str">
        <f t="shared" si="17"/>
        <v>F20DC</v>
      </c>
      <c r="R84" s="84" t="str">
        <f>VLOOKUP(G84,[1]ListLoaded!$E$6:$P$604,12,0)</f>
        <v>HAC260521157</v>
      </c>
      <c r="S84" s="15" t="e">
        <f>I84&amp;J84&amp;#REF!</f>
        <v>#REF!</v>
      </c>
      <c r="T84" s="84" t="s">
        <v>828</v>
      </c>
      <c r="U84" s="84"/>
      <c r="V84" s="84"/>
      <c r="AK84" s="145"/>
      <c r="AL84" s="48"/>
      <c r="AM84" s="42"/>
      <c r="AN84" s="41">
        <f t="shared" ref="AN84:AY93" si="18">COUNTIF($S$11:$S$1505,"F"&amp;AN$11&amp;$AM84)</f>
        <v>0</v>
      </c>
      <c r="AO84" s="41">
        <f t="shared" si="18"/>
        <v>0</v>
      </c>
      <c r="AP84" s="41">
        <f t="shared" si="18"/>
        <v>0</v>
      </c>
      <c r="AQ84" s="41">
        <f t="shared" si="18"/>
        <v>0</v>
      </c>
      <c r="AR84" s="41">
        <f t="shared" si="18"/>
        <v>0</v>
      </c>
      <c r="AS84" s="41">
        <f t="shared" si="18"/>
        <v>0</v>
      </c>
      <c r="AT84" s="41">
        <f t="shared" si="18"/>
        <v>0</v>
      </c>
      <c r="AU84" s="41">
        <f t="shared" si="18"/>
        <v>0</v>
      </c>
      <c r="AV84" s="41">
        <f t="shared" si="18"/>
        <v>0</v>
      </c>
      <c r="AW84" s="41">
        <f t="shared" si="18"/>
        <v>0</v>
      </c>
      <c r="AX84" s="41">
        <f t="shared" si="18"/>
        <v>0</v>
      </c>
      <c r="AY84" s="41">
        <f t="shared" si="18"/>
        <v>0</v>
      </c>
      <c r="AZ84" s="41">
        <f t="shared" si="16"/>
        <v>0</v>
      </c>
      <c r="BA84" s="41">
        <f t="shared" si="16"/>
        <v>0</v>
      </c>
      <c r="BB84" s="41">
        <f t="shared" si="16"/>
        <v>0</v>
      </c>
      <c r="BC84" s="41">
        <f t="shared" si="16"/>
        <v>0</v>
      </c>
      <c r="BD84" s="41">
        <f t="shared" si="13"/>
        <v>0</v>
      </c>
      <c r="BE84" s="43">
        <f t="shared" si="14"/>
        <v>0</v>
      </c>
    </row>
    <row r="85" spans="1:57" ht="24.75" customHeight="1">
      <c r="A85" s="23">
        <v>75</v>
      </c>
      <c r="B85" s="24" t="s">
        <v>50</v>
      </c>
      <c r="C85" s="24" t="s">
        <v>1489</v>
      </c>
      <c r="D85" s="24" t="s">
        <v>62</v>
      </c>
      <c r="E85" s="74" t="s">
        <v>52</v>
      </c>
      <c r="F85" s="24" t="s">
        <v>52</v>
      </c>
      <c r="G85" s="83" t="s">
        <v>765</v>
      </c>
      <c r="H85" s="83" t="str">
        <f>VLOOKUP(G85,[1]ListLoaded!$E$6:$F$544,2,0)</f>
        <v>110506</v>
      </c>
      <c r="I85" s="72" t="str">
        <f>VLOOKUP(G85,[1]ListLoaded!$E$6:$M$550,9,0)</f>
        <v>F</v>
      </c>
      <c r="J85" s="72" t="s">
        <v>31</v>
      </c>
      <c r="K85" s="140">
        <f>VLOOKUP(G85,[1]ListLoaded!$E$6:$L$537,8,0)</f>
        <v>22.41</v>
      </c>
      <c r="L85" s="83" t="str">
        <f>VLOOKUP(G85,[1]ListLoaded!$E$6:$S$645,15,0)</f>
        <v>1112513</v>
      </c>
      <c r="M85" s="86" t="str">
        <f>VLOOKUP(G85,[1]ListLoaded!$E$6:$T$674,16,0)</f>
        <v>PALET THUNG PHI</v>
      </c>
      <c r="N85" s="86">
        <f>VLOOKUP(G85,[1]ListLoaded!$E$6:$N$545,10,0)</f>
        <v>0</v>
      </c>
      <c r="O85" s="72"/>
      <c r="P85" s="72">
        <f>VLOOKUP(G85,[1]ListLoaded!$E$6:$O$638,11,0)</f>
        <v>0</v>
      </c>
      <c r="Q85" s="84" t="str">
        <f t="shared" si="17"/>
        <v>F20DC</v>
      </c>
      <c r="R85" s="84" t="str">
        <f>VLOOKUP(G85,[1]ListLoaded!$E$6:$P$604,12,0)</f>
        <v>HAC260521157</v>
      </c>
      <c r="S85" s="15" t="e">
        <f>I85&amp;J85&amp;#REF!</f>
        <v>#REF!</v>
      </c>
      <c r="T85" s="84" t="s">
        <v>828</v>
      </c>
      <c r="U85" s="84"/>
      <c r="V85" s="84"/>
      <c r="AK85" s="145"/>
      <c r="AL85" s="48"/>
      <c r="AM85" s="42"/>
      <c r="AN85" s="41">
        <f t="shared" si="18"/>
        <v>0</v>
      </c>
      <c r="AO85" s="41">
        <f t="shared" si="18"/>
        <v>0</v>
      </c>
      <c r="AP85" s="41">
        <f t="shared" si="18"/>
        <v>0</v>
      </c>
      <c r="AQ85" s="41">
        <f t="shared" si="18"/>
        <v>0</v>
      </c>
      <c r="AR85" s="41">
        <f t="shared" si="18"/>
        <v>0</v>
      </c>
      <c r="AS85" s="41">
        <f t="shared" si="18"/>
        <v>0</v>
      </c>
      <c r="AT85" s="41">
        <f t="shared" si="18"/>
        <v>0</v>
      </c>
      <c r="AU85" s="41">
        <f t="shared" si="18"/>
        <v>0</v>
      </c>
      <c r="AV85" s="41">
        <f t="shared" si="18"/>
        <v>0</v>
      </c>
      <c r="AW85" s="41">
        <f t="shared" si="18"/>
        <v>0</v>
      </c>
      <c r="AX85" s="41">
        <f t="shared" si="18"/>
        <v>0</v>
      </c>
      <c r="AY85" s="41">
        <f t="shared" si="18"/>
        <v>0</v>
      </c>
      <c r="AZ85" s="41">
        <f t="shared" si="16"/>
        <v>0</v>
      </c>
      <c r="BA85" s="41">
        <f t="shared" si="16"/>
        <v>0</v>
      </c>
      <c r="BB85" s="41">
        <f t="shared" si="16"/>
        <v>0</v>
      </c>
      <c r="BC85" s="41">
        <f t="shared" si="16"/>
        <v>0</v>
      </c>
      <c r="BD85" s="41">
        <f t="shared" si="13"/>
        <v>0</v>
      </c>
      <c r="BE85" s="43">
        <f t="shared" si="14"/>
        <v>0</v>
      </c>
    </row>
    <row r="86" spans="1:57" ht="24.75" customHeight="1">
      <c r="A86" s="23">
        <v>76</v>
      </c>
      <c r="B86" s="24" t="s">
        <v>50</v>
      </c>
      <c r="C86" s="24" t="s">
        <v>1489</v>
      </c>
      <c r="D86" s="24" t="s">
        <v>62</v>
      </c>
      <c r="E86" s="74" t="s">
        <v>52</v>
      </c>
      <c r="F86" s="24" t="s">
        <v>52</v>
      </c>
      <c r="G86" s="83" t="s">
        <v>766</v>
      </c>
      <c r="H86" s="83" t="str">
        <f>VLOOKUP(G86,[1]ListLoaded!$E$6:$F$544,2,0)</f>
        <v>310206</v>
      </c>
      <c r="I86" s="72" t="str">
        <f>VLOOKUP(G86,[1]ListLoaded!$E$6:$M$550,9,0)</f>
        <v>F</v>
      </c>
      <c r="J86" s="72" t="s">
        <v>31</v>
      </c>
      <c r="K86" s="140">
        <f>VLOOKUP(G86,[1]ListLoaded!$E$6:$L$537,8,0)</f>
        <v>23.52</v>
      </c>
      <c r="L86" s="83" t="str">
        <f>VLOOKUP(G86,[1]ListLoaded!$E$6:$S$645,15,0)</f>
        <v>1110146</v>
      </c>
      <c r="M86" s="86" t="str">
        <f>VLOOKUP(G86,[1]ListLoaded!$E$6:$T$674,16,0)</f>
        <v>PALET THUNG PHI</v>
      </c>
      <c r="N86" s="86">
        <f>VLOOKUP(G86,[1]ListLoaded!$E$6:$N$545,10,0)</f>
        <v>0</v>
      </c>
      <c r="O86" s="72"/>
      <c r="P86" s="72">
        <f>VLOOKUP(G86,[1]ListLoaded!$E$6:$O$638,11,0)</f>
        <v>0</v>
      </c>
      <c r="Q86" s="84" t="str">
        <f t="shared" si="17"/>
        <v>F20DC</v>
      </c>
      <c r="R86" s="84" t="str">
        <f>VLOOKUP(G86,[1]ListLoaded!$E$6:$P$604,12,0)</f>
        <v>HAC260521157</v>
      </c>
      <c r="S86" s="15" t="e">
        <f>I86&amp;J86&amp;#REF!</f>
        <v>#REF!</v>
      </c>
      <c r="T86" s="84" t="s">
        <v>828</v>
      </c>
      <c r="U86" s="84"/>
      <c r="V86" s="84"/>
      <c r="AK86" s="145"/>
      <c r="AL86" s="48"/>
      <c r="AM86" s="42"/>
      <c r="AN86" s="41">
        <f t="shared" si="18"/>
        <v>0</v>
      </c>
      <c r="AO86" s="41">
        <f t="shared" si="18"/>
        <v>0</v>
      </c>
      <c r="AP86" s="41">
        <f t="shared" si="18"/>
        <v>0</v>
      </c>
      <c r="AQ86" s="41">
        <f t="shared" si="18"/>
        <v>0</v>
      </c>
      <c r="AR86" s="41">
        <f t="shared" si="18"/>
        <v>0</v>
      </c>
      <c r="AS86" s="41">
        <f t="shared" si="18"/>
        <v>0</v>
      </c>
      <c r="AT86" s="41">
        <f t="shared" si="18"/>
        <v>0</v>
      </c>
      <c r="AU86" s="41">
        <f t="shared" si="18"/>
        <v>0</v>
      </c>
      <c r="AV86" s="41">
        <f t="shared" si="18"/>
        <v>0</v>
      </c>
      <c r="AW86" s="41">
        <f t="shared" si="18"/>
        <v>0</v>
      </c>
      <c r="AX86" s="41">
        <f t="shared" si="18"/>
        <v>0</v>
      </c>
      <c r="AY86" s="41">
        <f t="shared" si="18"/>
        <v>0</v>
      </c>
      <c r="AZ86" s="41">
        <f t="shared" si="16"/>
        <v>0</v>
      </c>
      <c r="BA86" s="41">
        <f t="shared" si="16"/>
        <v>0</v>
      </c>
      <c r="BB86" s="41">
        <f t="shared" si="16"/>
        <v>0</v>
      </c>
      <c r="BC86" s="41">
        <f t="shared" si="16"/>
        <v>0</v>
      </c>
      <c r="BD86" s="41">
        <f t="shared" si="13"/>
        <v>0</v>
      </c>
      <c r="BE86" s="43">
        <f t="shared" si="14"/>
        <v>0</v>
      </c>
    </row>
    <row r="87" spans="1:57" ht="24.75" customHeight="1">
      <c r="A87" s="23">
        <v>77</v>
      </c>
      <c r="B87" s="24" t="s">
        <v>50</v>
      </c>
      <c r="C87" s="24" t="s">
        <v>1489</v>
      </c>
      <c r="D87" s="24" t="s">
        <v>62</v>
      </c>
      <c r="E87" s="74" t="s">
        <v>52</v>
      </c>
      <c r="F87" s="24" t="s">
        <v>52</v>
      </c>
      <c r="G87" s="83" t="s">
        <v>767</v>
      </c>
      <c r="H87" s="83" t="str">
        <f>VLOOKUP(G87,[1]ListLoaded!$E$6:$F$544,2,0)</f>
        <v>050308</v>
      </c>
      <c r="I87" s="72" t="str">
        <f>VLOOKUP(G87,[1]ListLoaded!$E$6:$M$550,9,0)</f>
        <v>F</v>
      </c>
      <c r="J87" s="72" t="s">
        <v>31</v>
      </c>
      <c r="K87" s="140">
        <f>VLOOKUP(G87,[1]ListLoaded!$E$6:$L$537,8,0)</f>
        <v>23.04</v>
      </c>
      <c r="L87" s="83" t="str">
        <f>VLOOKUP(G87,[1]ListLoaded!$E$6:$S$645,15,0)</f>
        <v>1116169</v>
      </c>
      <c r="M87" s="86" t="str">
        <f>VLOOKUP(G87,[1]ListLoaded!$E$6:$T$674,16,0)</f>
        <v>PALET THUNG PHI</v>
      </c>
      <c r="N87" s="86">
        <f>VLOOKUP(G87,[1]ListLoaded!$E$6:$N$545,10,0)</f>
        <v>0</v>
      </c>
      <c r="O87" s="72"/>
      <c r="P87" s="72">
        <f>VLOOKUP(G87,[1]ListLoaded!$E$6:$O$638,11,0)</f>
        <v>0</v>
      </c>
      <c r="Q87" s="84" t="str">
        <f t="shared" si="17"/>
        <v>F20DC</v>
      </c>
      <c r="R87" s="84" t="str">
        <f>VLOOKUP(G87,[1]ListLoaded!$E$6:$P$604,12,0)</f>
        <v>HAC260521157</v>
      </c>
      <c r="S87" s="15" t="e">
        <f>I87&amp;J87&amp;#REF!</f>
        <v>#REF!</v>
      </c>
      <c r="T87" s="84" t="s">
        <v>828</v>
      </c>
      <c r="U87" s="84"/>
      <c r="V87" s="84"/>
      <c r="AK87" s="145"/>
      <c r="AL87" s="48"/>
      <c r="AM87" s="42"/>
      <c r="AN87" s="41">
        <f t="shared" si="18"/>
        <v>0</v>
      </c>
      <c r="AO87" s="41">
        <f t="shared" si="18"/>
        <v>0</v>
      </c>
      <c r="AP87" s="41">
        <f t="shared" si="18"/>
        <v>0</v>
      </c>
      <c r="AQ87" s="41">
        <f t="shared" si="18"/>
        <v>0</v>
      </c>
      <c r="AR87" s="41">
        <f t="shared" si="18"/>
        <v>0</v>
      </c>
      <c r="AS87" s="41">
        <f t="shared" si="18"/>
        <v>0</v>
      </c>
      <c r="AT87" s="41">
        <f t="shared" si="18"/>
        <v>0</v>
      </c>
      <c r="AU87" s="41">
        <f t="shared" si="18"/>
        <v>0</v>
      </c>
      <c r="AV87" s="41">
        <f t="shared" si="18"/>
        <v>0</v>
      </c>
      <c r="AW87" s="41">
        <f t="shared" si="18"/>
        <v>0</v>
      </c>
      <c r="AX87" s="41">
        <f t="shared" si="18"/>
        <v>0</v>
      </c>
      <c r="AY87" s="41">
        <f t="shared" si="18"/>
        <v>0</v>
      </c>
      <c r="AZ87" s="41">
        <f t="shared" si="16"/>
        <v>0</v>
      </c>
      <c r="BA87" s="41">
        <f t="shared" si="16"/>
        <v>0</v>
      </c>
      <c r="BB87" s="41">
        <f t="shared" si="16"/>
        <v>0</v>
      </c>
      <c r="BC87" s="41">
        <f t="shared" si="16"/>
        <v>0</v>
      </c>
      <c r="BD87" s="41">
        <f t="shared" si="13"/>
        <v>0</v>
      </c>
      <c r="BE87" s="43">
        <f t="shared" si="14"/>
        <v>0</v>
      </c>
    </row>
    <row r="88" spans="1:57" ht="24.75" customHeight="1">
      <c r="A88" s="23">
        <v>78</v>
      </c>
      <c r="B88" s="24" t="s">
        <v>50</v>
      </c>
      <c r="C88" s="24" t="s">
        <v>1489</v>
      </c>
      <c r="D88" s="24" t="s">
        <v>62</v>
      </c>
      <c r="E88" s="74" t="s">
        <v>52</v>
      </c>
      <c r="F88" s="24" t="s">
        <v>52</v>
      </c>
      <c r="G88" s="83" t="s">
        <v>628</v>
      </c>
      <c r="H88" s="83" t="str">
        <f>VLOOKUP(G88,[1]ListLoaded!$E$6:$F$544,2,0)</f>
        <v>260206</v>
      </c>
      <c r="I88" s="72" t="str">
        <f>VLOOKUP(G88,[1]ListLoaded!$E$6:$M$550,9,0)</f>
        <v>F</v>
      </c>
      <c r="J88" s="72" t="str">
        <f>VLOOKUP(G88,[1]ListLoaded!$E$6:$I$537,5,0)</f>
        <v>40HC</v>
      </c>
      <c r="K88" s="140">
        <f>VLOOKUP(G88,[1]ListLoaded!$E$6:$L$537,8,0)</f>
        <v>29.8</v>
      </c>
      <c r="L88" s="83" t="str">
        <f>VLOOKUP(G88,[1]ListLoaded!$E$6:$S$645,15,0)</f>
        <v>1107137</v>
      </c>
      <c r="M88" s="86" t="str">
        <f>VLOOKUP(G88,[1]ListLoaded!$E$6:$T$674,16,0)</f>
        <v>HAT NHUA</v>
      </c>
      <c r="N88" s="86">
        <f>VLOOKUP(G88,[1]ListLoaded!$E$6:$N$545,10,0)</f>
        <v>0</v>
      </c>
      <c r="O88" s="72"/>
      <c r="P88" s="72">
        <f>VLOOKUP(G88,[1]ListLoaded!$E$6:$O$638,11,0)</f>
        <v>0</v>
      </c>
      <c r="Q88" s="84" t="str">
        <f t="shared" si="17"/>
        <v>F40HC</v>
      </c>
      <c r="R88" s="84" t="str">
        <f>VLOOKUP(G88,[1]ListLoaded!$E$6:$P$604,12,0)</f>
        <v>HAC260521157</v>
      </c>
      <c r="S88" s="15" t="e">
        <f>I88&amp;J88&amp;#REF!</f>
        <v>#REF!</v>
      </c>
      <c r="T88" s="84" t="s">
        <v>828</v>
      </c>
      <c r="U88" s="84"/>
      <c r="V88" s="84"/>
      <c r="AK88" s="145"/>
      <c r="AL88" s="48"/>
      <c r="AM88" s="42"/>
      <c r="AN88" s="41">
        <f t="shared" si="18"/>
        <v>0</v>
      </c>
      <c r="AO88" s="41">
        <f t="shared" si="18"/>
        <v>0</v>
      </c>
      <c r="AP88" s="41">
        <f t="shared" si="18"/>
        <v>0</v>
      </c>
      <c r="AQ88" s="41">
        <f t="shared" si="18"/>
        <v>0</v>
      </c>
      <c r="AR88" s="41">
        <f t="shared" si="18"/>
        <v>0</v>
      </c>
      <c r="AS88" s="41">
        <f t="shared" si="18"/>
        <v>0</v>
      </c>
      <c r="AT88" s="41">
        <f t="shared" si="18"/>
        <v>0</v>
      </c>
      <c r="AU88" s="41">
        <f t="shared" si="18"/>
        <v>0</v>
      </c>
      <c r="AV88" s="41">
        <f t="shared" si="18"/>
        <v>0</v>
      </c>
      <c r="AW88" s="41">
        <f t="shared" si="18"/>
        <v>0</v>
      </c>
      <c r="AX88" s="41">
        <f t="shared" si="18"/>
        <v>0</v>
      </c>
      <c r="AY88" s="41">
        <f t="shared" si="18"/>
        <v>0</v>
      </c>
      <c r="AZ88" s="41">
        <f t="shared" si="16"/>
        <v>0</v>
      </c>
      <c r="BA88" s="41">
        <f t="shared" si="16"/>
        <v>0</v>
      </c>
      <c r="BB88" s="41">
        <f t="shared" si="16"/>
        <v>0</v>
      </c>
      <c r="BC88" s="41">
        <f t="shared" si="16"/>
        <v>0</v>
      </c>
      <c r="BD88" s="41">
        <f t="shared" si="13"/>
        <v>0</v>
      </c>
      <c r="BE88" s="43">
        <f t="shared" si="14"/>
        <v>0</v>
      </c>
    </row>
    <row r="89" spans="1:57" ht="24.75" customHeight="1">
      <c r="A89" s="23">
        <v>79</v>
      </c>
      <c r="B89" s="24" t="s">
        <v>50</v>
      </c>
      <c r="C89" s="24" t="s">
        <v>1489</v>
      </c>
      <c r="D89" s="24" t="s">
        <v>62</v>
      </c>
      <c r="E89" s="74" t="s">
        <v>52</v>
      </c>
      <c r="F89" s="24" t="s">
        <v>52</v>
      </c>
      <c r="G89" s="83" t="s">
        <v>768</v>
      </c>
      <c r="H89" s="83" t="str">
        <f>VLOOKUP(G89,[1]ListLoaded!$E$6:$F$544,2,0)</f>
        <v>260506</v>
      </c>
      <c r="I89" s="72" t="str">
        <f>VLOOKUP(G89,[1]ListLoaded!$E$6:$M$550,9,0)</f>
        <v>F</v>
      </c>
      <c r="J89" s="72" t="str">
        <f>VLOOKUP(G89,[1]ListLoaded!$E$6:$I$537,5,0)</f>
        <v>40HC</v>
      </c>
      <c r="K89" s="140">
        <f>VLOOKUP(G89,[1]ListLoaded!$E$6:$L$537,8,0)</f>
        <v>30.41</v>
      </c>
      <c r="L89" s="83" t="str">
        <f>VLOOKUP(G89,[1]ListLoaded!$E$6:$S$645,15,0)</f>
        <v>1116044</v>
      </c>
      <c r="M89" s="86" t="str">
        <f>VLOOKUP(G89,[1]ListLoaded!$E$6:$T$674,16,0)</f>
        <v>HAT NHUA</v>
      </c>
      <c r="N89" s="86">
        <f>VLOOKUP(G89,[1]ListLoaded!$E$6:$N$545,10,0)</f>
        <v>0</v>
      </c>
      <c r="O89" s="72"/>
      <c r="P89" s="72">
        <f>VLOOKUP(G89,[1]ListLoaded!$E$6:$O$638,11,0)</f>
        <v>0</v>
      </c>
      <c r="Q89" s="84" t="str">
        <f t="shared" si="17"/>
        <v>F40HC</v>
      </c>
      <c r="R89" s="84" t="str">
        <f>VLOOKUP(G89,[1]ListLoaded!$E$6:$P$604,12,0)</f>
        <v>HAC260521157</v>
      </c>
      <c r="S89" s="15" t="e">
        <f>I89&amp;J89&amp;#REF!</f>
        <v>#REF!</v>
      </c>
      <c r="T89" s="84" t="s">
        <v>828</v>
      </c>
      <c r="U89" s="84"/>
      <c r="V89" s="84"/>
      <c r="AK89" s="145"/>
      <c r="AL89" s="48"/>
      <c r="AM89" s="42"/>
      <c r="AN89" s="41">
        <f t="shared" si="18"/>
        <v>0</v>
      </c>
      <c r="AO89" s="41">
        <f t="shared" si="18"/>
        <v>0</v>
      </c>
      <c r="AP89" s="41">
        <f t="shared" si="18"/>
        <v>0</v>
      </c>
      <c r="AQ89" s="41">
        <f t="shared" si="18"/>
        <v>0</v>
      </c>
      <c r="AR89" s="41">
        <f t="shared" si="18"/>
        <v>0</v>
      </c>
      <c r="AS89" s="41">
        <f t="shared" si="18"/>
        <v>0</v>
      </c>
      <c r="AT89" s="41">
        <f t="shared" si="18"/>
        <v>0</v>
      </c>
      <c r="AU89" s="41">
        <f t="shared" si="18"/>
        <v>0</v>
      </c>
      <c r="AV89" s="41">
        <f t="shared" si="18"/>
        <v>0</v>
      </c>
      <c r="AW89" s="41">
        <f t="shared" si="18"/>
        <v>0</v>
      </c>
      <c r="AX89" s="41">
        <f t="shared" si="18"/>
        <v>0</v>
      </c>
      <c r="AY89" s="41">
        <f t="shared" si="18"/>
        <v>0</v>
      </c>
      <c r="AZ89" s="41">
        <f t="shared" si="16"/>
        <v>0</v>
      </c>
      <c r="BA89" s="41">
        <f t="shared" si="16"/>
        <v>0</v>
      </c>
      <c r="BB89" s="41">
        <f t="shared" si="16"/>
        <v>0</v>
      </c>
      <c r="BC89" s="41">
        <f t="shared" si="16"/>
        <v>0</v>
      </c>
      <c r="BD89" s="41">
        <f t="shared" si="13"/>
        <v>0</v>
      </c>
      <c r="BE89" s="43">
        <f t="shared" si="14"/>
        <v>0</v>
      </c>
    </row>
    <row r="90" spans="1:57" ht="24.75" customHeight="1">
      <c r="A90" s="23">
        <v>80</v>
      </c>
      <c r="B90" s="24" t="s">
        <v>50</v>
      </c>
      <c r="C90" s="24" t="s">
        <v>1489</v>
      </c>
      <c r="D90" s="24" t="s">
        <v>62</v>
      </c>
      <c r="E90" s="74" t="s">
        <v>52</v>
      </c>
      <c r="F90" s="24" t="s">
        <v>52</v>
      </c>
      <c r="G90" s="83" t="s">
        <v>769</v>
      </c>
      <c r="H90" s="83" t="str">
        <f>VLOOKUP(G90,[1]ListLoaded!$E$6:$F$544,2,0)</f>
        <v>100886</v>
      </c>
      <c r="I90" s="72" t="str">
        <f>VLOOKUP(G90,[1]ListLoaded!$E$6:$M$550,9,0)</f>
        <v>F</v>
      </c>
      <c r="J90" s="72" t="str">
        <f>VLOOKUP(G90,[1]ListLoaded!$E$6:$I$537,5,0)</f>
        <v>40HC</v>
      </c>
      <c r="K90" s="140">
        <f>VLOOKUP(G90,[1]ListLoaded!$E$6:$L$537,8,0)</f>
        <v>13.36</v>
      </c>
      <c r="L90" s="83" t="str">
        <f>VLOOKUP(G90,[1]ListLoaded!$E$6:$S$645,15,0)</f>
        <v>23369999</v>
      </c>
      <c r="M90" s="86" t="str">
        <f>VLOOKUP(G90,[1]ListLoaded!$E$6:$T$674,16,0)</f>
        <v>ONG NHUA</v>
      </c>
      <c r="N90" s="86">
        <f>VLOOKUP(G90,[1]ListLoaded!$E$6:$N$545,10,0)</f>
        <v>0</v>
      </c>
      <c r="O90" s="72"/>
      <c r="P90" s="72">
        <f>VLOOKUP(G90,[1]ListLoaded!$E$6:$O$638,11,0)</f>
        <v>0</v>
      </c>
      <c r="Q90" s="84" t="str">
        <f t="shared" si="17"/>
        <v>F40HC</v>
      </c>
      <c r="R90" s="84" t="str">
        <f>VLOOKUP(G90,[1]ListLoaded!$E$6:$P$604,12,0)</f>
        <v>HAC260521157</v>
      </c>
      <c r="S90" s="15" t="e">
        <f>I90&amp;J90&amp;#REF!</f>
        <v>#REF!</v>
      </c>
      <c r="T90" s="84" t="s">
        <v>828</v>
      </c>
      <c r="U90" s="84"/>
      <c r="V90" s="84"/>
      <c r="AK90" s="145"/>
      <c r="AL90" s="48"/>
      <c r="AM90" s="42"/>
      <c r="AN90" s="41">
        <f t="shared" si="18"/>
        <v>0</v>
      </c>
      <c r="AO90" s="41">
        <f t="shared" si="18"/>
        <v>0</v>
      </c>
      <c r="AP90" s="41">
        <f t="shared" si="18"/>
        <v>0</v>
      </c>
      <c r="AQ90" s="41">
        <f t="shared" si="18"/>
        <v>0</v>
      </c>
      <c r="AR90" s="41">
        <f t="shared" si="18"/>
        <v>0</v>
      </c>
      <c r="AS90" s="41">
        <f t="shared" si="18"/>
        <v>0</v>
      </c>
      <c r="AT90" s="41">
        <f t="shared" si="18"/>
        <v>0</v>
      </c>
      <c r="AU90" s="41">
        <f t="shared" si="18"/>
        <v>0</v>
      </c>
      <c r="AV90" s="41">
        <f t="shared" si="18"/>
        <v>0</v>
      </c>
      <c r="AW90" s="41">
        <f t="shared" si="18"/>
        <v>0</v>
      </c>
      <c r="AX90" s="41">
        <f t="shared" si="18"/>
        <v>0</v>
      </c>
      <c r="AY90" s="41">
        <f t="shared" si="18"/>
        <v>0</v>
      </c>
      <c r="AZ90" s="41">
        <f t="shared" si="16"/>
        <v>0</v>
      </c>
      <c r="BA90" s="41">
        <f t="shared" si="16"/>
        <v>0</v>
      </c>
      <c r="BB90" s="41">
        <f t="shared" si="16"/>
        <v>0</v>
      </c>
      <c r="BC90" s="41">
        <f t="shared" si="16"/>
        <v>0</v>
      </c>
      <c r="BD90" s="41">
        <f t="shared" si="13"/>
        <v>0</v>
      </c>
      <c r="BE90" s="43">
        <f t="shared" si="14"/>
        <v>0</v>
      </c>
    </row>
    <row r="91" spans="1:57" ht="24.75" customHeight="1">
      <c r="A91" s="23">
        <v>81</v>
      </c>
      <c r="B91" s="24" t="s">
        <v>50</v>
      </c>
      <c r="C91" s="24" t="s">
        <v>1489</v>
      </c>
      <c r="D91" s="24" t="s">
        <v>62</v>
      </c>
      <c r="E91" s="74" t="s">
        <v>52</v>
      </c>
      <c r="F91" s="24" t="s">
        <v>52</v>
      </c>
      <c r="G91" s="83" t="s">
        <v>770</v>
      </c>
      <c r="H91" s="83" t="str">
        <f>VLOOKUP(G91,[1]ListLoaded!$E$6:$F$544,2,0)</f>
        <v>180704</v>
      </c>
      <c r="I91" s="72" t="str">
        <f>VLOOKUP(G91,[1]ListLoaded!$E$6:$M$550,9,0)</f>
        <v>F</v>
      </c>
      <c r="J91" s="72" t="str">
        <f>VLOOKUP(G91,[1]ListLoaded!$E$6:$I$537,5,0)</f>
        <v>40HC</v>
      </c>
      <c r="K91" s="140">
        <f>VLOOKUP(G91,[1]ListLoaded!$E$6:$L$537,8,0)</f>
        <v>30.54</v>
      </c>
      <c r="L91" s="83" t="str">
        <f>VLOOKUP(G91,[1]ListLoaded!$E$6:$S$645,15,0)</f>
        <v>656163</v>
      </c>
      <c r="M91" s="86" t="str">
        <f>VLOOKUP(G91,[1]ListLoaded!$E$6:$T$674,16,0)</f>
        <v>SON DONG THUNG</v>
      </c>
      <c r="N91" s="86">
        <f>VLOOKUP(G91,[1]ListLoaded!$E$6:$N$545,10,0)</f>
        <v>0</v>
      </c>
      <c r="O91" s="72"/>
      <c r="P91" s="72">
        <f>VLOOKUP(G91,[1]ListLoaded!$E$6:$O$638,11,0)</f>
        <v>0</v>
      </c>
      <c r="Q91" s="84" t="str">
        <f t="shared" si="17"/>
        <v>F40HC</v>
      </c>
      <c r="R91" s="84" t="str">
        <f>VLOOKUP(G91,[1]ListLoaded!$E$6:$P$604,12,0)</f>
        <v>HAC260521157</v>
      </c>
      <c r="S91" s="15" t="e">
        <f>I91&amp;J91&amp;#REF!</f>
        <v>#REF!</v>
      </c>
      <c r="T91" s="84" t="s">
        <v>828</v>
      </c>
      <c r="U91" s="84"/>
      <c r="V91" s="84"/>
      <c r="AK91" s="145"/>
      <c r="AL91" s="48"/>
      <c r="AM91" s="42"/>
      <c r="AN91" s="41">
        <f t="shared" si="18"/>
        <v>0</v>
      </c>
      <c r="AO91" s="41">
        <f t="shared" si="18"/>
        <v>0</v>
      </c>
      <c r="AP91" s="41">
        <f t="shared" si="18"/>
        <v>0</v>
      </c>
      <c r="AQ91" s="41">
        <f t="shared" si="18"/>
        <v>0</v>
      </c>
      <c r="AR91" s="41">
        <f t="shared" si="18"/>
        <v>0</v>
      </c>
      <c r="AS91" s="41">
        <f t="shared" si="18"/>
        <v>0</v>
      </c>
      <c r="AT91" s="41">
        <f t="shared" si="18"/>
        <v>0</v>
      </c>
      <c r="AU91" s="41">
        <f t="shared" si="18"/>
        <v>0</v>
      </c>
      <c r="AV91" s="41">
        <f t="shared" si="18"/>
        <v>0</v>
      </c>
      <c r="AW91" s="41">
        <f t="shared" si="18"/>
        <v>0</v>
      </c>
      <c r="AX91" s="41">
        <f t="shared" si="18"/>
        <v>0</v>
      </c>
      <c r="AY91" s="41">
        <f t="shared" si="18"/>
        <v>0</v>
      </c>
      <c r="AZ91" s="41">
        <f t="shared" si="16"/>
        <v>0</v>
      </c>
      <c r="BA91" s="41">
        <f t="shared" si="16"/>
        <v>0</v>
      </c>
      <c r="BB91" s="41">
        <f t="shared" si="16"/>
        <v>0</v>
      </c>
      <c r="BC91" s="41">
        <f t="shared" si="16"/>
        <v>0</v>
      </c>
      <c r="BD91" s="41">
        <f t="shared" si="13"/>
        <v>0</v>
      </c>
      <c r="BE91" s="43">
        <f t="shared" si="14"/>
        <v>0</v>
      </c>
    </row>
    <row r="92" spans="1:57" ht="24.75" customHeight="1">
      <c r="A92" s="23">
        <v>82</v>
      </c>
      <c r="B92" s="24" t="s">
        <v>50</v>
      </c>
      <c r="C92" s="24" t="s">
        <v>1489</v>
      </c>
      <c r="D92" s="24" t="s">
        <v>62</v>
      </c>
      <c r="E92" s="74" t="s">
        <v>52</v>
      </c>
      <c r="F92" s="24" t="s">
        <v>52</v>
      </c>
      <c r="G92" s="83" t="s">
        <v>771</v>
      </c>
      <c r="H92" s="83" t="str">
        <f>VLOOKUP(G92,[1]ListLoaded!$E$6:$F$544,2,0)</f>
        <v>180504</v>
      </c>
      <c r="I92" s="72" t="str">
        <f>VLOOKUP(G92,[1]ListLoaded!$E$6:$M$550,9,0)</f>
        <v>F</v>
      </c>
      <c r="J92" s="72" t="str">
        <f>VLOOKUP(G92,[1]ListLoaded!$E$6:$I$537,5,0)</f>
        <v>40HC</v>
      </c>
      <c r="K92" s="140">
        <f>VLOOKUP(G92,[1]ListLoaded!$E$6:$L$537,8,0)</f>
        <v>30.56</v>
      </c>
      <c r="L92" s="83" t="str">
        <f>VLOOKUP(G92,[1]ListLoaded!$E$6:$S$645,15,0)</f>
        <v>1107075</v>
      </c>
      <c r="M92" s="86" t="str">
        <f>VLOOKUP(G92,[1]ListLoaded!$E$6:$T$674,16,0)</f>
        <v>PALET THUNG PHI</v>
      </c>
      <c r="N92" s="86">
        <f>VLOOKUP(G92,[1]ListLoaded!$E$6:$N$545,10,0)</f>
        <v>0</v>
      </c>
      <c r="O92" s="72"/>
      <c r="P92" s="72">
        <f>VLOOKUP(G92,[1]ListLoaded!$E$6:$O$638,11,0)</f>
        <v>0</v>
      </c>
      <c r="Q92" s="84" t="str">
        <f t="shared" si="17"/>
        <v>F40HC</v>
      </c>
      <c r="R92" s="84" t="str">
        <f>VLOOKUP(G92,[1]ListLoaded!$E$6:$P$604,12,0)</f>
        <v>HAC260521157</v>
      </c>
      <c r="S92" s="15" t="e">
        <f>I92&amp;J92&amp;#REF!</f>
        <v>#REF!</v>
      </c>
      <c r="T92" s="84" t="s">
        <v>828</v>
      </c>
      <c r="U92" s="84"/>
      <c r="V92" s="84"/>
      <c r="AK92" s="145"/>
      <c r="AL92" s="48"/>
      <c r="AM92" s="42"/>
      <c r="AN92" s="41">
        <f t="shared" si="18"/>
        <v>0</v>
      </c>
      <c r="AO92" s="41">
        <f t="shared" si="18"/>
        <v>0</v>
      </c>
      <c r="AP92" s="41">
        <f t="shared" si="18"/>
        <v>0</v>
      </c>
      <c r="AQ92" s="41">
        <f t="shared" si="18"/>
        <v>0</v>
      </c>
      <c r="AR92" s="41">
        <f t="shared" si="18"/>
        <v>0</v>
      </c>
      <c r="AS92" s="41">
        <f t="shared" si="18"/>
        <v>0</v>
      </c>
      <c r="AT92" s="41">
        <f t="shared" si="18"/>
        <v>0</v>
      </c>
      <c r="AU92" s="41">
        <f t="shared" si="18"/>
        <v>0</v>
      </c>
      <c r="AV92" s="41">
        <f t="shared" si="18"/>
        <v>0</v>
      </c>
      <c r="AW92" s="41">
        <f t="shared" si="18"/>
        <v>0</v>
      </c>
      <c r="AX92" s="41">
        <f t="shared" si="18"/>
        <v>0</v>
      </c>
      <c r="AY92" s="41">
        <f t="shared" si="18"/>
        <v>0</v>
      </c>
      <c r="AZ92" s="41">
        <f t="shared" si="16"/>
        <v>0</v>
      </c>
      <c r="BA92" s="41">
        <f t="shared" si="16"/>
        <v>0</v>
      </c>
      <c r="BB92" s="41">
        <f t="shared" si="16"/>
        <v>0</v>
      </c>
      <c r="BC92" s="41">
        <f t="shared" si="16"/>
        <v>0</v>
      </c>
      <c r="BD92" s="41">
        <f t="shared" si="13"/>
        <v>0</v>
      </c>
      <c r="BE92" s="43">
        <f t="shared" si="14"/>
        <v>0</v>
      </c>
    </row>
    <row r="93" spans="1:57" ht="24.75" customHeight="1">
      <c r="A93" s="23">
        <v>83</v>
      </c>
      <c r="B93" s="24" t="s">
        <v>50</v>
      </c>
      <c r="C93" s="24" t="s">
        <v>1489</v>
      </c>
      <c r="D93" s="24" t="s">
        <v>62</v>
      </c>
      <c r="E93" s="74" t="s">
        <v>52</v>
      </c>
      <c r="F93" s="24" t="s">
        <v>52</v>
      </c>
      <c r="G93" s="83" t="s">
        <v>772</v>
      </c>
      <c r="H93" s="83" t="str">
        <f>VLOOKUP(G93,[1]ListLoaded!$E$6:$F$544,2,0)</f>
        <v>070610</v>
      </c>
      <c r="I93" s="72" t="str">
        <f>VLOOKUP(G93,[1]ListLoaded!$E$6:$M$550,9,0)</f>
        <v>F</v>
      </c>
      <c r="J93" s="72" t="s">
        <v>31</v>
      </c>
      <c r="K93" s="140">
        <f>VLOOKUP(G93,[1]ListLoaded!$E$6:$L$537,8,0)</f>
        <v>16.21</v>
      </c>
      <c r="L93" s="83" t="str">
        <f>VLOOKUP(G93,[1]ListLoaded!$E$6:$S$645,15,0)</f>
        <v>1043105</v>
      </c>
      <c r="M93" s="86" t="str">
        <f>VLOOKUP(G93,[1]ListLoaded!$E$6:$T$674,16,0)</f>
        <v>PALET THUNG PHI</v>
      </c>
      <c r="N93" s="86">
        <f>VLOOKUP(G93,[1]ListLoaded!$E$6:$N$545,10,0)</f>
        <v>0</v>
      </c>
      <c r="O93" s="72"/>
      <c r="P93" s="72">
        <f>VLOOKUP(G93,[1]ListLoaded!$E$6:$O$638,11,0)</f>
        <v>0</v>
      </c>
      <c r="Q93" s="84" t="str">
        <f t="shared" si="17"/>
        <v>F20DC</v>
      </c>
      <c r="R93" s="84" t="str">
        <f>VLOOKUP(G93,[1]ListLoaded!$E$6:$P$604,12,0)</f>
        <v>HAC260521157</v>
      </c>
      <c r="S93" s="15" t="e">
        <f>I93&amp;J93&amp;#REF!</f>
        <v>#REF!</v>
      </c>
      <c r="T93" s="84" t="s">
        <v>828</v>
      </c>
      <c r="U93" s="84"/>
      <c r="V93" s="84"/>
      <c r="AK93" s="145"/>
      <c r="AL93" s="48"/>
      <c r="AM93" s="42"/>
      <c r="AN93" s="41">
        <f t="shared" si="18"/>
        <v>0</v>
      </c>
      <c r="AO93" s="41">
        <f t="shared" si="18"/>
        <v>0</v>
      </c>
      <c r="AP93" s="41">
        <f t="shared" si="18"/>
        <v>0</v>
      </c>
      <c r="AQ93" s="41">
        <f t="shared" si="18"/>
        <v>0</v>
      </c>
      <c r="AR93" s="41">
        <f t="shared" si="18"/>
        <v>0</v>
      </c>
      <c r="AS93" s="41">
        <f t="shared" si="18"/>
        <v>0</v>
      </c>
      <c r="AT93" s="41">
        <f t="shared" si="18"/>
        <v>0</v>
      </c>
      <c r="AU93" s="41">
        <f t="shared" si="18"/>
        <v>0</v>
      </c>
      <c r="AV93" s="41">
        <f t="shared" si="18"/>
        <v>0</v>
      </c>
      <c r="AW93" s="41">
        <f t="shared" si="18"/>
        <v>0</v>
      </c>
      <c r="AX93" s="41">
        <f t="shared" si="18"/>
        <v>0</v>
      </c>
      <c r="AY93" s="41">
        <f t="shared" si="18"/>
        <v>0</v>
      </c>
      <c r="AZ93" s="41">
        <f t="shared" si="16"/>
        <v>0</v>
      </c>
      <c r="BA93" s="41">
        <f t="shared" si="16"/>
        <v>0</v>
      </c>
      <c r="BB93" s="41">
        <f t="shared" si="16"/>
        <v>0</v>
      </c>
      <c r="BC93" s="41">
        <f t="shared" si="16"/>
        <v>0</v>
      </c>
      <c r="BD93" s="41">
        <f t="shared" si="13"/>
        <v>0</v>
      </c>
      <c r="BE93" s="43">
        <f t="shared" si="14"/>
        <v>0</v>
      </c>
    </row>
    <row r="94" spans="1:57" ht="24.75" customHeight="1">
      <c r="A94" s="23">
        <v>84</v>
      </c>
      <c r="B94" s="24" t="s">
        <v>50</v>
      </c>
      <c r="C94" s="24" t="s">
        <v>1489</v>
      </c>
      <c r="D94" s="24" t="s">
        <v>62</v>
      </c>
      <c r="E94" s="74" t="s">
        <v>52</v>
      </c>
      <c r="F94" s="24" t="s">
        <v>52</v>
      </c>
      <c r="G94" s="83" t="s">
        <v>773</v>
      </c>
      <c r="H94" s="83" t="str">
        <f>VLOOKUP(G94,[1]ListLoaded!$E$6:$F$544,2,0)</f>
        <v>220786</v>
      </c>
      <c r="I94" s="72" t="str">
        <f>VLOOKUP(G94,[1]ListLoaded!$E$6:$M$550,9,0)</f>
        <v>F</v>
      </c>
      <c r="J94" s="72" t="str">
        <f>VLOOKUP(G94,[1]ListLoaded!$E$6:$I$537,5,0)</f>
        <v>40HC</v>
      </c>
      <c r="K94" s="140">
        <f>VLOOKUP(G94,[1]ListLoaded!$E$6:$L$537,8,0)</f>
        <v>10.77</v>
      </c>
      <c r="L94" s="83" t="str">
        <f>VLOOKUP(G94,[1]ListLoaded!$E$6:$S$645,15,0)</f>
        <v>1107144</v>
      </c>
      <c r="M94" s="86" t="str">
        <f>VLOOKUP(G94,[1]ListLoaded!$E$6:$T$674,16,0)</f>
        <v>DIEN TU</v>
      </c>
      <c r="N94" s="86">
        <f>VLOOKUP(G94,[1]ListLoaded!$E$6:$N$545,10,0)</f>
        <v>0</v>
      </c>
      <c r="O94" s="72"/>
      <c r="P94" s="72">
        <f>VLOOKUP(G94,[1]ListLoaded!$E$6:$O$638,11,0)</f>
        <v>0</v>
      </c>
      <c r="Q94" s="84" t="str">
        <f t="shared" si="17"/>
        <v>F40HC</v>
      </c>
      <c r="R94" s="84" t="str">
        <f>VLOOKUP(G94,[1]ListLoaded!$E$6:$P$604,12,0)</f>
        <v>HAC260526033</v>
      </c>
      <c r="S94" s="15" t="e">
        <f>I94&amp;J94&amp;#REF!</f>
        <v>#REF!</v>
      </c>
      <c r="T94" s="84" t="s">
        <v>829</v>
      </c>
      <c r="U94" s="84"/>
      <c r="V94" s="84"/>
      <c r="AK94" s="145"/>
      <c r="AL94" s="48"/>
      <c r="AM94" s="42"/>
      <c r="AN94" s="41">
        <f t="shared" ref="AN94:AY103" si="19">COUNTIF($S$11:$S$1505,"F"&amp;AN$11&amp;$AM94)</f>
        <v>0</v>
      </c>
      <c r="AO94" s="41">
        <f t="shared" si="19"/>
        <v>0</v>
      </c>
      <c r="AP94" s="41">
        <f t="shared" si="19"/>
        <v>0</v>
      </c>
      <c r="AQ94" s="41">
        <f t="shared" si="19"/>
        <v>0</v>
      </c>
      <c r="AR94" s="41">
        <f t="shared" si="19"/>
        <v>0</v>
      </c>
      <c r="AS94" s="41">
        <f t="shared" si="19"/>
        <v>0</v>
      </c>
      <c r="AT94" s="41">
        <f t="shared" si="19"/>
        <v>0</v>
      </c>
      <c r="AU94" s="41">
        <f t="shared" si="19"/>
        <v>0</v>
      </c>
      <c r="AV94" s="41">
        <f t="shared" si="19"/>
        <v>0</v>
      </c>
      <c r="AW94" s="41">
        <f t="shared" si="19"/>
        <v>0</v>
      </c>
      <c r="AX94" s="41">
        <f t="shared" si="19"/>
        <v>0</v>
      </c>
      <c r="AY94" s="41">
        <f t="shared" si="19"/>
        <v>0</v>
      </c>
      <c r="AZ94" s="41">
        <f t="shared" ref="AZ94:BC113" si="20">COUNTIF($S$11:$S$1505,"E"&amp;AZ$11&amp;$AM94)</f>
        <v>0</v>
      </c>
      <c r="BA94" s="41">
        <f t="shared" si="20"/>
        <v>0</v>
      </c>
      <c r="BB94" s="41">
        <f t="shared" si="20"/>
        <v>0</v>
      </c>
      <c r="BC94" s="41">
        <f t="shared" si="20"/>
        <v>0</v>
      </c>
      <c r="BD94" s="41">
        <f t="shared" si="13"/>
        <v>0</v>
      </c>
      <c r="BE94" s="43">
        <f t="shared" si="14"/>
        <v>0</v>
      </c>
    </row>
    <row r="95" spans="1:57" ht="24.75" customHeight="1">
      <c r="A95" s="23">
        <v>85</v>
      </c>
      <c r="B95" s="24" t="s">
        <v>50</v>
      </c>
      <c r="C95" s="24" t="s">
        <v>1489</v>
      </c>
      <c r="D95" s="24" t="s">
        <v>62</v>
      </c>
      <c r="E95" s="74" t="s">
        <v>52</v>
      </c>
      <c r="F95" s="24" t="s">
        <v>52</v>
      </c>
      <c r="G95" s="83" t="s">
        <v>774</v>
      </c>
      <c r="H95" s="83" t="str">
        <f>VLOOKUP(G95,[1]ListLoaded!$E$6:$F$544,2,0)</f>
        <v>260784</v>
      </c>
      <c r="I95" s="72" t="str">
        <f>VLOOKUP(G95,[1]ListLoaded!$E$6:$M$550,9,0)</f>
        <v>F</v>
      </c>
      <c r="J95" s="72" t="str">
        <f>VLOOKUP(G95,[1]ListLoaded!$E$6:$I$537,5,0)</f>
        <v>40HC</v>
      </c>
      <c r="K95" s="140">
        <f>VLOOKUP(G95,[1]ListLoaded!$E$6:$L$537,8,0)</f>
        <v>10.67</v>
      </c>
      <c r="L95" s="83" t="str">
        <f>VLOOKUP(G95,[1]ListLoaded!$E$6:$S$645,15,0)</f>
        <v>1111741</v>
      </c>
      <c r="M95" s="86" t="str">
        <f>VLOOKUP(G95,[1]ListLoaded!$E$6:$T$674,16,0)</f>
        <v>PALET</v>
      </c>
      <c r="N95" s="86">
        <f>VLOOKUP(G95,[1]ListLoaded!$E$6:$N$545,10,0)</f>
        <v>0</v>
      </c>
      <c r="O95" s="72"/>
      <c r="P95" s="72">
        <f>VLOOKUP(G95,[1]ListLoaded!$E$6:$O$638,11,0)</f>
        <v>0</v>
      </c>
      <c r="Q95" s="84" t="str">
        <f t="shared" si="17"/>
        <v>F40HC</v>
      </c>
      <c r="R95" s="84" t="str">
        <f>VLOOKUP(G95,[1]ListLoaded!$E$6:$P$604,12,0)</f>
        <v>HAC260521157</v>
      </c>
      <c r="S95" s="15" t="e">
        <f>I95&amp;J95&amp;#REF!</f>
        <v>#REF!</v>
      </c>
      <c r="T95" s="84" t="s">
        <v>828</v>
      </c>
      <c r="U95" s="84"/>
      <c r="V95" s="84"/>
      <c r="AK95" s="145"/>
      <c r="AL95" s="48"/>
      <c r="AM95" s="42"/>
      <c r="AN95" s="41">
        <f t="shared" si="19"/>
        <v>0</v>
      </c>
      <c r="AO95" s="41">
        <f t="shared" si="19"/>
        <v>0</v>
      </c>
      <c r="AP95" s="41">
        <f t="shared" si="19"/>
        <v>0</v>
      </c>
      <c r="AQ95" s="41">
        <f t="shared" si="19"/>
        <v>0</v>
      </c>
      <c r="AR95" s="41">
        <f t="shared" si="19"/>
        <v>0</v>
      </c>
      <c r="AS95" s="41">
        <f t="shared" si="19"/>
        <v>0</v>
      </c>
      <c r="AT95" s="41">
        <f t="shared" si="19"/>
        <v>0</v>
      </c>
      <c r="AU95" s="41">
        <f t="shared" si="19"/>
        <v>0</v>
      </c>
      <c r="AV95" s="41">
        <f t="shared" si="19"/>
        <v>0</v>
      </c>
      <c r="AW95" s="41">
        <f t="shared" si="19"/>
        <v>0</v>
      </c>
      <c r="AX95" s="41">
        <f t="shared" si="19"/>
        <v>0</v>
      </c>
      <c r="AY95" s="41">
        <f t="shared" si="19"/>
        <v>0</v>
      </c>
      <c r="AZ95" s="41">
        <f t="shared" si="20"/>
        <v>0</v>
      </c>
      <c r="BA95" s="41">
        <f t="shared" si="20"/>
        <v>0</v>
      </c>
      <c r="BB95" s="41">
        <f t="shared" si="20"/>
        <v>0</v>
      </c>
      <c r="BC95" s="41">
        <f t="shared" si="20"/>
        <v>0</v>
      </c>
      <c r="BD95" s="41">
        <f t="shared" si="13"/>
        <v>0</v>
      </c>
      <c r="BE95" s="43">
        <f t="shared" si="14"/>
        <v>0</v>
      </c>
    </row>
    <row r="96" spans="1:57" ht="24.75" customHeight="1">
      <c r="A96" s="23">
        <v>86</v>
      </c>
      <c r="B96" s="24" t="s">
        <v>50</v>
      </c>
      <c r="C96" s="24" t="s">
        <v>1489</v>
      </c>
      <c r="D96" s="24" t="s">
        <v>62</v>
      </c>
      <c r="E96" s="74" t="s">
        <v>52</v>
      </c>
      <c r="F96" s="24" t="s">
        <v>52</v>
      </c>
      <c r="G96" s="83" t="s">
        <v>775</v>
      </c>
      <c r="H96" s="83" t="str">
        <f>VLOOKUP(G96,[1]ListLoaded!$E$6:$F$544,2,0)</f>
        <v>140208</v>
      </c>
      <c r="I96" s="72" t="str">
        <f>VLOOKUP(G96,[1]ListLoaded!$E$6:$M$550,9,0)</f>
        <v>F</v>
      </c>
      <c r="J96" s="72" t="str">
        <f>VLOOKUP(G96,[1]ListLoaded!$E$6:$I$537,5,0)</f>
        <v>40HC</v>
      </c>
      <c r="K96" s="140">
        <f>VLOOKUP(G96,[1]ListLoaded!$E$6:$L$537,8,0)</f>
        <v>29.56</v>
      </c>
      <c r="L96" s="83" t="str">
        <f>VLOOKUP(G96,[1]ListLoaded!$E$6:$S$645,15,0)</f>
        <v>1119562</v>
      </c>
      <c r="M96" s="86" t="str">
        <f>VLOOKUP(G96,[1]ListLoaded!$E$6:$T$674,16,0)</f>
        <v>OP26052708</v>
      </c>
      <c r="N96" s="86">
        <f>VLOOKUP(G96,[1]ListLoaded!$E$6:$N$545,10,0)</f>
        <v>0</v>
      </c>
      <c r="O96" s="72"/>
      <c r="P96" s="72">
        <f>VLOOKUP(G96,[1]ListLoaded!$E$6:$O$638,11,0)</f>
        <v>0</v>
      </c>
      <c r="Q96" s="84" t="str">
        <f t="shared" si="17"/>
        <v>F40HC</v>
      </c>
      <c r="R96" s="84" t="str">
        <f>VLOOKUP(G96,[1]ListLoaded!$E$6:$P$604,12,0)</f>
        <v>HAC260526180</v>
      </c>
      <c r="S96" s="15" t="e">
        <f>I96&amp;J96&amp;#REF!</f>
        <v>#REF!</v>
      </c>
      <c r="T96" s="84" t="s">
        <v>830</v>
      </c>
      <c r="U96" s="84"/>
      <c r="V96" s="84"/>
      <c r="AK96" s="145"/>
      <c r="AL96" s="48"/>
      <c r="AM96" s="42"/>
      <c r="AN96" s="41">
        <f t="shared" si="19"/>
        <v>0</v>
      </c>
      <c r="AO96" s="41">
        <f t="shared" si="19"/>
        <v>0</v>
      </c>
      <c r="AP96" s="41">
        <f t="shared" si="19"/>
        <v>0</v>
      </c>
      <c r="AQ96" s="41">
        <f t="shared" si="19"/>
        <v>0</v>
      </c>
      <c r="AR96" s="41">
        <f t="shared" si="19"/>
        <v>0</v>
      </c>
      <c r="AS96" s="41">
        <f t="shared" si="19"/>
        <v>0</v>
      </c>
      <c r="AT96" s="41">
        <f t="shared" si="19"/>
        <v>0</v>
      </c>
      <c r="AU96" s="41">
        <f t="shared" si="19"/>
        <v>0</v>
      </c>
      <c r="AV96" s="41">
        <f t="shared" si="19"/>
        <v>0</v>
      </c>
      <c r="AW96" s="41">
        <f t="shared" si="19"/>
        <v>0</v>
      </c>
      <c r="AX96" s="41">
        <f t="shared" si="19"/>
        <v>0</v>
      </c>
      <c r="AY96" s="41">
        <f t="shared" si="19"/>
        <v>0</v>
      </c>
      <c r="AZ96" s="41">
        <f t="shared" si="20"/>
        <v>0</v>
      </c>
      <c r="BA96" s="41">
        <f t="shared" si="20"/>
        <v>0</v>
      </c>
      <c r="BB96" s="41">
        <f t="shared" si="20"/>
        <v>0</v>
      </c>
      <c r="BC96" s="41">
        <f t="shared" si="20"/>
        <v>0</v>
      </c>
      <c r="BD96" s="41">
        <f t="shared" si="13"/>
        <v>0</v>
      </c>
      <c r="BE96" s="43">
        <f t="shared" si="14"/>
        <v>0</v>
      </c>
    </row>
    <row r="97" spans="1:57" ht="24.75" customHeight="1">
      <c r="A97" s="23">
        <v>87</v>
      </c>
      <c r="B97" s="24" t="s">
        <v>50</v>
      </c>
      <c r="C97" s="24" t="s">
        <v>1489</v>
      </c>
      <c r="D97" s="24" t="s">
        <v>62</v>
      </c>
      <c r="E97" s="74" t="s">
        <v>52</v>
      </c>
      <c r="F97" s="24" t="s">
        <v>52</v>
      </c>
      <c r="G97" s="83" t="s">
        <v>776</v>
      </c>
      <c r="H97" s="83" t="str">
        <f>VLOOKUP(G97,[1]ListLoaded!$E$6:$F$544,2,0)</f>
        <v>140108</v>
      </c>
      <c r="I97" s="72" t="str">
        <f>VLOOKUP(G97,[1]ListLoaded!$E$6:$M$550,9,0)</f>
        <v>F</v>
      </c>
      <c r="J97" s="72" t="str">
        <f>VLOOKUP(G97,[1]ListLoaded!$E$6:$I$537,5,0)</f>
        <v>40HC</v>
      </c>
      <c r="K97" s="140">
        <f>VLOOKUP(G97,[1]ListLoaded!$E$6:$L$537,8,0)</f>
        <v>28.18</v>
      </c>
      <c r="L97" s="83" t="str">
        <f>VLOOKUP(G97,[1]ListLoaded!$E$6:$S$645,15,0)</f>
        <v>1119561</v>
      </c>
      <c r="M97" s="86">
        <f>VLOOKUP(G97,[1]ListLoaded!$E$6:$T$674,16,0)</f>
        <v>0</v>
      </c>
      <c r="N97" s="86">
        <f>VLOOKUP(G97,[1]ListLoaded!$E$6:$N$545,10,0)</f>
        <v>0</v>
      </c>
      <c r="O97" s="72"/>
      <c r="P97" s="72">
        <f>VLOOKUP(G97,[1]ListLoaded!$E$6:$O$638,11,0)</f>
        <v>0</v>
      </c>
      <c r="Q97" s="84" t="str">
        <f t="shared" si="17"/>
        <v>F40HC</v>
      </c>
      <c r="R97" s="84" t="str">
        <f>VLOOKUP(G97,[1]ListLoaded!$E$6:$P$604,12,0)</f>
        <v>HAC260526180</v>
      </c>
      <c r="S97" s="15" t="e">
        <f>I97&amp;J97&amp;#REF!</f>
        <v>#REF!</v>
      </c>
      <c r="T97" s="84" t="s">
        <v>830</v>
      </c>
      <c r="U97" s="84"/>
      <c r="V97" s="84"/>
      <c r="AK97" s="145"/>
      <c r="AL97" s="48"/>
      <c r="AM97" s="42"/>
      <c r="AN97" s="41">
        <f t="shared" si="19"/>
        <v>0</v>
      </c>
      <c r="AO97" s="41">
        <f t="shared" si="19"/>
        <v>0</v>
      </c>
      <c r="AP97" s="41">
        <f t="shared" si="19"/>
        <v>0</v>
      </c>
      <c r="AQ97" s="41">
        <f t="shared" si="19"/>
        <v>0</v>
      </c>
      <c r="AR97" s="41">
        <f t="shared" si="19"/>
        <v>0</v>
      </c>
      <c r="AS97" s="41">
        <f t="shared" si="19"/>
        <v>0</v>
      </c>
      <c r="AT97" s="41">
        <f t="shared" si="19"/>
        <v>0</v>
      </c>
      <c r="AU97" s="41">
        <f t="shared" si="19"/>
        <v>0</v>
      </c>
      <c r="AV97" s="41">
        <f t="shared" si="19"/>
        <v>0</v>
      </c>
      <c r="AW97" s="41">
        <f t="shared" si="19"/>
        <v>0</v>
      </c>
      <c r="AX97" s="41">
        <f t="shared" si="19"/>
        <v>0</v>
      </c>
      <c r="AY97" s="41">
        <f t="shared" si="19"/>
        <v>0</v>
      </c>
      <c r="AZ97" s="41">
        <f t="shared" si="20"/>
        <v>0</v>
      </c>
      <c r="BA97" s="41">
        <f t="shared" si="20"/>
        <v>0</v>
      </c>
      <c r="BB97" s="41">
        <f t="shared" si="20"/>
        <v>0</v>
      </c>
      <c r="BC97" s="41">
        <f t="shared" si="20"/>
        <v>0</v>
      </c>
      <c r="BD97" s="41">
        <f t="shared" si="13"/>
        <v>0</v>
      </c>
      <c r="BE97" s="43">
        <f t="shared" si="14"/>
        <v>0</v>
      </c>
    </row>
    <row r="98" spans="1:57" ht="24.75" customHeight="1">
      <c r="A98" s="23">
        <v>88</v>
      </c>
      <c r="B98" s="24" t="s">
        <v>50</v>
      </c>
      <c r="C98" s="24" t="s">
        <v>1489</v>
      </c>
      <c r="D98" s="24" t="s">
        <v>62</v>
      </c>
      <c r="E98" s="74" t="s">
        <v>52</v>
      </c>
      <c r="F98" s="24" t="s">
        <v>52</v>
      </c>
      <c r="G98" s="83" t="s">
        <v>777</v>
      </c>
      <c r="H98" s="83" t="str">
        <f>VLOOKUP(G98,[1]ListLoaded!$E$6:$F$544,2,0)</f>
        <v>140884</v>
      </c>
      <c r="I98" s="72" t="str">
        <f>VLOOKUP(G98,[1]ListLoaded!$E$6:$M$550,9,0)</f>
        <v>F</v>
      </c>
      <c r="J98" s="72" t="str">
        <f>VLOOKUP(G98,[1]ListLoaded!$E$6:$I$537,5,0)</f>
        <v>40HC</v>
      </c>
      <c r="K98" s="140">
        <f>VLOOKUP(G98,[1]ListLoaded!$E$6:$L$537,8,0)</f>
        <v>27.36</v>
      </c>
      <c r="L98" s="83" t="str">
        <f>VLOOKUP(G98,[1]ListLoaded!$E$6:$S$645,15,0)</f>
        <v>1119576</v>
      </c>
      <c r="M98" s="86">
        <f>VLOOKUP(G98,[1]ListLoaded!$E$6:$T$674,16,0)</f>
        <v>0</v>
      </c>
      <c r="N98" s="86">
        <f>VLOOKUP(G98,[1]ListLoaded!$E$6:$N$545,10,0)</f>
        <v>0</v>
      </c>
      <c r="O98" s="72"/>
      <c r="P98" s="72">
        <f>VLOOKUP(G98,[1]ListLoaded!$E$6:$O$638,11,0)</f>
        <v>0</v>
      </c>
      <c r="Q98" s="84" t="str">
        <f t="shared" si="17"/>
        <v>F40HC</v>
      </c>
      <c r="R98" s="84" t="str">
        <f>VLOOKUP(G98,[1]ListLoaded!$E$6:$P$604,12,0)</f>
        <v>HAC260526180</v>
      </c>
      <c r="S98" s="15" t="e">
        <f>I98&amp;J98&amp;#REF!</f>
        <v>#REF!</v>
      </c>
      <c r="T98" s="84" t="s">
        <v>830</v>
      </c>
      <c r="U98" s="84"/>
      <c r="V98" s="84"/>
      <c r="AK98" s="145"/>
      <c r="AL98" s="48"/>
      <c r="AM98" s="42"/>
      <c r="AN98" s="41">
        <f t="shared" si="19"/>
        <v>0</v>
      </c>
      <c r="AO98" s="41">
        <f t="shared" si="19"/>
        <v>0</v>
      </c>
      <c r="AP98" s="41">
        <f t="shared" si="19"/>
        <v>0</v>
      </c>
      <c r="AQ98" s="41">
        <f t="shared" si="19"/>
        <v>0</v>
      </c>
      <c r="AR98" s="41">
        <f t="shared" si="19"/>
        <v>0</v>
      </c>
      <c r="AS98" s="41">
        <f t="shared" si="19"/>
        <v>0</v>
      </c>
      <c r="AT98" s="41">
        <f t="shared" si="19"/>
        <v>0</v>
      </c>
      <c r="AU98" s="41">
        <f t="shared" si="19"/>
        <v>0</v>
      </c>
      <c r="AV98" s="41">
        <f t="shared" si="19"/>
        <v>0</v>
      </c>
      <c r="AW98" s="41">
        <f t="shared" si="19"/>
        <v>0</v>
      </c>
      <c r="AX98" s="41">
        <f t="shared" si="19"/>
        <v>0</v>
      </c>
      <c r="AY98" s="41">
        <f t="shared" si="19"/>
        <v>0</v>
      </c>
      <c r="AZ98" s="41">
        <f t="shared" si="20"/>
        <v>0</v>
      </c>
      <c r="BA98" s="41">
        <f t="shared" si="20"/>
        <v>0</v>
      </c>
      <c r="BB98" s="41">
        <f t="shared" si="20"/>
        <v>0</v>
      </c>
      <c r="BC98" s="41">
        <f t="shared" si="20"/>
        <v>0</v>
      </c>
      <c r="BD98" s="41">
        <f t="shared" si="13"/>
        <v>0</v>
      </c>
      <c r="BE98" s="43">
        <f t="shared" si="14"/>
        <v>0</v>
      </c>
    </row>
    <row r="99" spans="1:57" ht="24.75" customHeight="1">
      <c r="A99" s="23">
        <v>89</v>
      </c>
      <c r="B99" s="24" t="s">
        <v>50</v>
      </c>
      <c r="C99" s="24" t="s">
        <v>1489</v>
      </c>
      <c r="D99" s="24" t="s">
        <v>62</v>
      </c>
      <c r="E99" s="74" t="s">
        <v>52</v>
      </c>
      <c r="F99" s="24" t="s">
        <v>52</v>
      </c>
      <c r="G99" s="83" t="s">
        <v>778</v>
      </c>
      <c r="H99" s="83" t="str">
        <f>VLOOKUP(G99,[1]ListLoaded!$E$6:$F$544,2,0)</f>
        <v>140408</v>
      </c>
      <c r="I99" s="72" t="str">
        <f>VLOOKUP(G99,[1]ListLoaded!$E$6:$M$550,9,0)</f>
        <v>F</v>
      </c>
      <c r="J99" s="72" t="str">
        <f>VLOOKUP(G99,[1]ListLoaded!$E$6:$I$537,5,0)</f>
        <v>40HC</v>
      </c>
      <c r="K99" s="140">
        <f>VLOOKUP(G99,[1]ListLoaded!$E$6:$L$537,8,0)</f>
        <v>29.94</v>
      </c>
      <c r="L99" s="83" t="str">
        <f>VLOOKUP(G99,[1]ListLoaded!$E$6:$S$645,15,0)</f>
        <v>1119563</v>
      </c>
      <c r="M99" s="86">
        <f>VLOOKUP(G99,[1]ListLoaded!$E$6:$T$674,16,0)</f>
        <v>0</v>
      </c>
      <c r="N99" s="86">
        <f>VLOOKUP(G99,[1]ListLoaded!$E$6:$N$545,10,0)</f>
        <v>0</v>
      </c>
      <c r="O99" s="72"/>
      <c r="P99" s="72">
        <f>VLOOKUP(G99,[1]ListLoaded!$E$6:$O$638,11,0)</f>
        <v>0</v>
      </c>
      <c r="Q99" s="84" t="str">
        <f t="shared" si="17"/>
        <v>F40HC</v>
      </c>
      <c r="R99" s="84" t="str">
        <f>VLOOKUP(G99,[1]ListLoaded!$E$6:$P$604,12,0)</f>
        <v>HAC260526180</v>
      </c>
      <c r="S99" s="15" t="e">
        <f>I99&amp;J99&amp;#REF!</f>
        <v>#REF!</v>
      </c>
      <c r="T99" s="84" t="s">
        <v>830</v>
      </c>
      <c r="U99" s="84"/>
      <c r="V99" s="84"/>
      <c r="AK99" s="145"/>
      <c r="AL99" s="48"/>
      <c r="AM99" s="42"/>
      <c r="AN99" s="41">
        <f t="shared" si="19"/>
        <v>0</v>
      </c>
      <c r="AO99" s="41">
        <f t="shared" si="19"/>
        <v>0</v>
      </c>
      <c r="AP99" s="41">
        <f t="shared" si="19"/>
        <v>0</v>
      </c>
      <c r="AQ99" s="41">
        <f t="shared" si="19"/>
        <v>0</v>
      </c>
      <c r="AR99" s="41">
        <f t="shared" si="19"/>
        <v>0</v>
      </c>
      <c r="AS99" s="41">
        <f t="shared" si="19"/>
        <v>0</v>
      </c>
      <c r="AT99" s="41">
        <f t="shared" si="19"/>
        <v>0</v>
      </c>
      <c r="AU99" s="41">
        <f t="shared" si="19"/>
        <v>0</v>
      </c>
      <c r="AV99" s="41">
        <f t="shared" si="19"/>
        <v>0</v>
      </c>
      <c r="AW99" s="41">
        <f t="shared" si="19"/>
        <v>0</v>
      </c>
      <c r="AX99" s="41">
        <f t="shared" si="19"/>
        <v>0</v>
      </c>
      <c r="AY99" s="41">
        <f t="shared" si="19"/>
        <v>0</v>
      </c>
      <c r="AZ99" s="41">
        <f t="shared" si="20"/>
        <v>0</v>
      </c>
      <c r="BA99" s="41">
        <f t="shared" si="20"/>
        <v>0</v>
      </c>
      <c r="BB99" s="41">
        <f t="shared" si="20"/>
        <v>0</v>
      </c>
      <c r="BC99" s="41">
        <f t="shared" si="20"/>
        <v>0</v>
      </c>
      <c r="BD99" s="41">
        <f t="shared" si="13"/>
        <v>0</v>
      </c>
      <c r="BE99" s="43">
        <f t="shared" si="14"/>
        <v>0</v>
      </c>
    </row>
    <row r="100" spans="1:57" ht="24.75" customHeight="1">
      <c r="A100" s="23">
        <v>90</v>
      </c>
      <c r="B100" s="24" t="s">
        <v>50</v>
      </c>
      <c r="C100" s="24" t="s">
        <v>1489</v>
      </c>
      <c r="D100" s="24" t="s">
        <v>62</v>
      </c>
      <c r="E100" s="74" t="s">
        <v>52</v>
      </c>
      <c r="F100" s="24" t="s">
        <v>52</v>
      </c>
      <c r="G100" s="83" t="s">
        <v>779</v>
      </c>
      <c r="H100" s="83" t="str">
        <f>VLOOKUP(G100,[1]ListLoaded!$E$6:$F$544,2,0)</f>
        <v>140106</v>
      </c>
      <c r="I100" s="72" t="str">
        <f>VLOOKUP(G100,[1]ListLoaded!$E$6:$M$550,9,0)</f>
        <v>F</v>
      </c>
      <c r="J100" s="72" t="str">
        <f>VLOOKUP(G100,[1]ListLoaded!$E$6:$I$537,5,0)</f>
        <v>40HC</v>
      </c>
      <c r="K100" s="140">
        <f>VLOOKUP(G100,[1]ListLoaded!$E$6:$L$537,8,0)</f>
        <v>29.78</v>
      </c>
      <c r="L100" s="83" t="str">
        <f>VLOOKUP(G100,[1]ListLoaded!$E$6:$S$645,15,0)</f>
        <v>1119564</v>
      </c>
      <c r="M100" s="86">
        <f>VLOOKUP(G100,[1]ListLoaded!$E$6:$T$674,16,0)</f>
        <v>0</v>
      </c>
      <c r="N100" s="86">
        <f>VLOOKUP(G100,[1]ListLoaded!$E$6:$N$545,10,0)</f>
        <v>0</v>
      </c>
      <c r="O100" s="72"/>
      <c r="P100" s="72">
        <f>VLOOKUP(G100,[1]ListLoaded!$E$6:$O$638,11,0)</f>
        <v>0</v>
      </c>
      <c r="Q100" s="84" t="str">
        <f t="shared" si="17"/>
        <v>F40HC</v>
      </c>
      <c r="R100" s="84" t="str">
        <f>VLOOKUP(G100,[1]ListLoaded!$E$6:$P$604,12,0)</f>
        <v>HAC260526180</v>
      </c>
      <c r="S100" s="15" t="e">
        <f>I100&amp;J100&amp;#REF!</f>
        <v>#REF!</v>
      </c>
      <c r="T100" s="84" t="s">
        <v>830</v>
      </c>
      <c r="U100" s="84"/>
      <c r="V100" s="84"/>
      <c r="AK100" s="145"/>
      <c r="AL100" s="48"/>
      <c r="AM100" s="42"/>
      <c r="AN100" s="41">
        <f t="shared" si="19"/>
        <v>0</v>
      </c>
      <c r="AO100" s="41">
        <f t="shared" si="19"/>
        <v>0</v>
      </c>
      <c r="AP100" s="41">
        <f t="shared" si="19"/>
        <v>0</v>
      </c>
      <c r="AQ100" s="41">
        <f t="shared" si="19"/>
        <v>0</v>
      </c>
      <c r="AR100" s="41">
        <f t="shared" si="19"/>
        <v>0</v>
      </c>
      <c r="AS100" s="41">
        <f t="shared" si="19"/>
        <v>0</v>
      </c>
      <c r="AT100" s="41">
        <f t="shared" si="19"/>
        <v>0</v>
      </c>
      <c r="AU100" s="41">
        <f t="shared" si="19"/>
        <v>0</v>
      </c>
      <c r="AV100" s="41">
        <f t="shared" si="19"/>
        <v>0</v>
      </c>
      <c r="AW100" s="41">
        <f t="shared" si="19"/>
        <v>0</v>
      </c>
      <c r="AX100" s="41">
        <f t="shared" si="19"/>
        <v>0</v>
      </c>
      <c r="AY100" s="41">
        <f t="shared" si="19"/>
        <v>0</v>
      </c>
      <c r="AZ100" s="41">
        <f t="shared" si="20"/>
        <v>0</v>
      </c>
      <c r="BA100" s="41">
        <f t="shared" si="20"/>
        <v>0</v>
      </c>
      <c r="BB100" s="41">
        <f t="shared" si="20"/>
        <v>0</v>
      </c>
      <c r="BC100" s="41">
        <f t="shared" si="20"/>
        <v>0</v>
      </c>
      <c r="BD100" s="41">
        <f t="shared" si="13"/>
        <v>0</v>
      </c>
      <c r="BE100" s="43">
        <f t="shared" si="14"/>
        <v>0</v>
      </c>
    </row>
    <row r="101" spans="1:57" ht="24.75" customHeight="1">
      <c r="A101" s="23">
        <v>91</v>
      </c>
      <c r="B101" s="24" t="s">
        <v>50</v>
      </c>
      <c r="C101" s="24" t="s">
        <v>1489</v>
      </c>
      <c r="D101" s="24" t="s">
        <v>62</v>
      </c>
      <c r="E101" s="74" t="s">
        <v>52</v>
      </c>
      <c r="F101" s="24" t="s">
        <v>52</v>
      </c>
      <c r="G101" s="83" t="s">
        <v>780</v>
      </c>
      <c r="H101" s="83" t="str">
        <f>VLOOKUP(G101,[1]ListLoaded!$E$6:$F$544,2,0)</f>
        <v>140204</v>
      </c>
      <c r="I101" s="72" t="str">
        <f>VLOOKUP(G101,[1]ListLoaded!$E$6:$M$550,9,0)</f>
        <v>F</v>
      </c>
      <c r="J101" s="72" t="str">
        <f>VLOOKUP(G101,[1]ListLoaded!$E$6:$I$537,5,0)</f>
        <v>40HC</v>
      </c>
      <c r="K101" s="140">
        <f>VLOOKUP(G101,[1]ListLoaded!$E$6:$L$537,8,0)</f>
        <v>30.1</v>
      </c>
      <c r="L101" s="83" t="str">
        <f>VLOOKUP(G101,[1]ListLoaded!$E$6:$S$645,15,0)</f>
        <v>1119565</v>
      </c>
      <c r="M101" s="86">
        <f>VLOOKUP(G101,[1]ListLoaded!$E$6:$T$674,16,0)</f>
        <v>0</v>
      </c>
      <c r="N101" s="86">
        <f>VLOOKUP(G101,[1]ListLoaded!$E$6:$N$545,10,0)</f>
        <v>0</v>
      </c>
      <c r="O101" s="72"/>
      <c r="P101" s="72">
        <f>VLOOKUP(G101,[1]ListLoaded!$E$6:$O$638,11,0)</f>
        <v>0</v>
      </c>
      <c r="Q101" s="84" t="str">
        <f t="shared" si="17"/>
        <v>F40HC</v>
      </c>
      <c r="R101" s="84" t="str">
        <f>VLOOKUP(G101,[1]ListLoaded!$E$6:$P$604,12,0)</f>
        <v>HAC260526180</v>
      </c>
      <c r="S101" s="15" t="e">
        <f>I101&amp;J101&amp;#REF!</f>
        <v>#REF!</v>
      </c>
      <c r="T101" s="84" t="s">
        <v>830</v>
      </c>
      <c r="U101" s="84"/>
      <c r="V101" s="84"/>
      <c r="AK101" s="145"/>
      <c r="AL101" s="48"/>
      <c r="AM101" s="42"/>
      <c r="AN101" s="41">
        <f t="shared" si="19"/>
        <v>0</v>
      </c>
      <c r="AO101" s="41">
        <f t="shared" si="19"/>
        <v>0</v>
      </c>
      <c r="AP101" s="41">
        <f t="shared" si="19"/>
        <v>0</v>
      </c>
      <c r="AQ101" s="41">
        <f t="shared" si="19"/>
        <v>0</v>
      </c>
      <c r="AR101" s="41">
        <f t="shared" si="19"/>
        <v>0</v>
      </c>
      <c r="AS101" s="41">
        <f t="shared" si="19"/>
        <v>0</v>
      </c>
      <c r="AT101" s="41">
        <f t="shared" si="19"/>
        <v>0</v>
      </c>
      <c r="AU101" s="41">
        <f t="shared" si="19"/>
        <v>0</v>
      </c>
      <c r="AV101" s="41">
        <f t="shared" si="19"/>
        <v>0</v>
      </c>
      <c r="AW101" s="41">
        <f t="shared" si="19"/>
        <v>0</v>
      </c>
      <c r="AX101" s="41">
        <f t="shared" si="19"/>
        <v>0</v>
      </c>
      <c r="AY101" s="41">
        <f t="shared" si="19"/>
        <v>0</v>
      </c>
      <c r="AZ101" s="41">
        <f t="shared" si="20"/>
        <v>0</v>
      </c>
      <c r="BA101" s="41">
        <f t="shared" si="20"/>
        <v>0</v>
      </c>
      <c r="BB101" s="41">
        <f t="shared" si="20"/>
        <v>0</v>
      </c>
      <c r="BC101" s="41">
        <f t="shared" si="20"/>
        <v>0</v>
      </c>
      <c r="BD101" s="41">
        <f t="shared" si="13"/>
        <v>0</v>
      </c>
      <c r="BE101" s="43">
        <f t="shared" si="14"/>
        <v>0</v>
      </c>
    </row>
    <row r="102" spans="1:57" ht="24.75" customHeight="1">
      <c r="A102" s="23">
        <v>92</v>
      </c>
      <c r="B102" s="24" t="s">
        <v>50</v>
      </c>
      <c r="C102" s="24" t="s">
        <v>1489</v>
      </c>
      <c r="D102" s="24" t="s">
        <v>62</v>
      </c>
      <c r="E102" s="74" t="s">
        <v>52</v>
      </c>
      <c r="F102" s="24" t="s">
        <v>52</v>
      </c>
      <c r="G102" s="83" t="s">
        <v>781</v>
      </c>
      <c r="H102" s="83" t="str">
        <f>VLOOKUP(G102,[1]ListLoaded!$E$6:$F$544,2,0)</f>
        <v>140404</v>
      </c>
      <c r="I102" s="72" t="str">
        <f>VLOOKUP(G102,[1]ListLoaded!$E$6:$M$550,9,0)</f>
        <v>F</v>
      </c>
      <c r="J102" s="72" t="str">
        <f>VLOOKUP(G102,[1]ListLoaded!$E$6:$I$537,5,0)</f>
        <v>40HC</v>
      </c>
      <c r="K102" s="140">
        <f>VLOOKUP(G102,[1]ListLoaded!$E$6:$L$537,8,0)</f>
        <v>30.02</v>
      </c>
      <c r="L102" s="83" t="str">
        <f>VLOOKUP(G102,[1]ListLoaded!$E$6:$S$645,15,0)</f>
        <v>1119566</v>
      </c>
      <c r="M102" s="86">
        <f>VLOOKUP(G102,[1]ListLoaded!$E$6:$T$674,16,0)</f>
        <v>0</v>
      </c>
      <c r="N102" s="86">
        <f>VLOOKUP(G102,[1]ListLoaded!$E$6:$N$545,10,0)</f>
        <v>0</v>
      </c>
      <c r="O102" s="72"/>
      <c r="P102" s="72">
        <f>VLOOKUP(G102,[1]ListLoaded!$E$6:$O$638,11,0)</f>
        <v>0</v>
      </c>
      <c r="Q102" s="84" t="str">
        <f t="shared" si="17"/>
        <v>F40HC</v>
      </c>
      <c r="R102" s="84" t="str">
        <f>VLOOKUP(G102,[1]ListLoaded!$E$6:$P$604,12,0)</f>
        <v>HAC260526180</v>
      </c>
      <c r="S102" s="15" t="e">
        <f>I102&amp;J102&amp;#REF!</f>
        <v>#REF!</v>
      </c>
      <c r="T102" s="84" t="s">
        <v>830</v>
      </c>
      <c r="U102" s="84"/>
      <c r="V102" s="84"/>
      <c r="AK102" s="145"/>
      <c r="AL102" s="48"/>
      <c r="AM102" s="42"/>
      <c r="AN102" s="41">
        <f t="shared" si="19"/>
        <v>0</v>
      </c>
      <c r="AO102" s="41">
        <f t="shared" si="19"/>
        <v>0</v>
      </c>
      <c r="AP102" s="41">
        <f t="shared" si="19"/>
        <v>0</v>
      </c>
      <c r="AQ102" s="41">
        <f t="shared" si="19"/>
        <v>0</v>
      </c>
      <c r="AR102" s="41">
        <f t="shared" si="19"/>
        <v>0</v>
      </c>
      <c r="AS102" s="41">
        <f t="shared" si="19"/>
        <v>0</v>
      </c>
      <c r="AT102" s="41">
        <f t="shared" si="19"/>
        <v>0</v>
      </c>
      <c r="AU102" s="41">
        <f t="shared" si="19"/>
        <v>0</v>
      </c>
      <c r="AV102" s="41">
        <f t="shared" si="19"/>
        <v>0</v>
      </c>
      <c r="AW102" s="41">
        <f t="shared" si="19"/>
        <v>0</v>
      </c>
      <c r="AX102" s="41">
        <f t="shared" si="19"/>
        <v>0</v>
      </c>
      <c r="AY102" s="41">
        <f t="shared" si="19"/>
        <v>0</v>
      </c>
      <c r="AZ102" s="41">
        <f t="shared" si="20"/>
        <v>0</v>
      </c>
      <c r="BA102" s="41">
        <f t="shared" si="20"/>
        <v>0</v>
      </c>
      <c r="BB102" s="41">
        <f t="shared" si="20"/>
        <v>0</v>
      </c>
      <c r="BC102" s="41">
        <f t="shared" si="20"/>
        <v>0</v>
      </c>
      <c r="BD102" s="41">
        <f t="shared" si="13"/>
        <v>0</v>
      </c>
      <c r="BE102" s="43">
        <f t="shared" si="14"/>
        <v>0</v>
      </c>
    </row>
    <row r="103" spans="1:57">
      <c r="A103" s="23">
        <v>93</v>
      </c>
      <c r="B103" s="24" t="s">
        <v>50</v>
      </c>
      <c r="C103" s="24" t="s">
        <v>1489</v>
      </c>
      <c r="D103" s="24" t="s">
        <v>62</v>
      </c>
      <c r="E103" s="74" t="s">
        <v>52</v>
      </c>
      <c r="F103" s="24" t="s">
        <v>52</v>
      </c>
      <c r="G103" s="83" t="s">
        <v>782</v>
      </c>
      <c r="H103" s="83" t="str">
        <f>VLOOKUP(G103,[1]ListLoaded!$E$6:$F$544,2,0)</f>
        <v>140804</v>
      </c>
      <c r="I103" s="72" t="str">
        <f>VLOOKUP(G103,[1]ListLoaded!$E$6:$M$550,9,0)</f>
        <v>F</v>
      </c>
      <c r="J103" s="72" t="str">
        <f>VLOOKUP(G103,[1]ListLoaded!$E$6:$I$537,5,0)</f>
        <v>40HC</v>
      </c>
      <c r="K103" s="140">
        <f>VLOOKUP(G103,[1]ListLoaded!$E$6:$L$537,8,0)</f>
        <v>29.8</v>
      </c>
      <c r="L103" s="83" t="str">
        <f>VLOOKUP(G103,[1]ListLoaded!$E$6:$S$645,15,0)</f>
        <v>1119567</v>
      </c>
      <c r="M103" s="86">
        <f>VLOOKUP(G103,[1]ListLoaded!$E$6:$T$674,16,0)</f>
        <v>0</v>
      </c>
      <c r="N103" s="86">
        <f>VLOOKUP(G103,[1]ListLoaded!$E$6:$N$545,10,0)</f>
        <v>0</v>
      </c>
      <c r="O103" s="72"/>
      <c r="P103" s="72">
        <f>VLOOKUP(G103,[1]ListLoaded!$E$6:$O$638,11,0)</f>
        <v>0</v>
      </c>
      <c r="Q103" s="84" t="str">
        <f t="shared" si="17"/>
        <v>F40HC</v>
      </c>
      <c r="R103" s="84" t="str">
        <f>VLOOKUP(G103,[1]ListLoaded!$E$6:$P$604,12,0)</f>
        <v>HAC260526180</v>
      </c>
      <c r="S103" s="15" t="e">
        <f>I103&amp;J103&amp;#REF!</f>
        <v>#REF!</v>
      </c>
      <c r="T103" s="84" t="s">
        <v>830</v>
      </c>
      <c r="U103" s="84"/>
      <c r="V103" s="84"/>
      <c r="AK103" s="145"/>
      <c r="AL103" s="48"/>
      <c r="AM103" s="42"/>
      <c r="AN103" s="41">
        <f t="shared" si="19"/>
        <v>0</v>
      </c>
      <c r="AO103" s="41">
        <f t="shared" si="19"/>
        <v>0</v>
      </c>
      <c r="AP103" s="41">
        <f t="shared" si="19"/>
        <v>0</v>
      </c>
      <c r="AQ103" s="41">
        <f t="shared" si="19"/>
        <v>0</v>
      </c>
      <c r="AR103" s="41">
        <f t="shared" si="19"/>
        <v>0</v>
      </c>
      <c r="AS103" s="41">
        <f t="shared" si="19"/>
        <v>0</v>
      </c>
      <c r="AT103" s="41">
        <f t="shared" si="19"/>
        <v>0</v>
      </c>
      <c r="AU103" s="41">
        <f t="shared" si="19"/>
        <v>0</v>
      </c>
      <c r="AV103" s="41">
        <f t="shared" si="19"/>
        <v>0</v>
      </c>
      <c r="AW103" s="41">
        <f t="shared" si="19"/>
        <v>0</v>
      </c>
      <c r="AX103" s="41">
        <f t="shared" si="19"/>
        <v>0</v>
      </c>
      <c r="AY103" s="41">
        <f t="shared" si="19"/>
        <v>0</v>
      </c>
      <c r="AZ103" s="41">
        <f t="shared" si="20"/>
        <v>0</v>
      </c>
      <c r="BA103" s="41">
        <f t="shared" si="20"/>
        <v>0</v>
      </c>
      <c r="BB103" s="41">
        <f t="shared" si="20"/>
        <v>0</v>
      </c>
      <c r="BC103" s="41">
        <f t="shared" si="20"/>
        <v>0</v>
      </c>
      <c r="BD103" s="41">
        <f t="shared" si="13"/>
        <v>0</v>
      </c>
      <c r="BE103" s="43">
        <f t="shared" si="14"/>
        <v>0</v>
      </c>
    </row>
    <row r="104" spans="1:57" ht="24.75" customHeight="1">
      <c r="A104" s="23">
        <v>94</v>
      </c>
      <c r="B104" s="24" t="s">
        <v>50</v>
      </c>
      <c r="C104" s="24" t="s">
        <v>1489</v>
      </c>
      <c r="D104" s="24" t="s">
        <v>62</v>
      </c>
      <c r="E104" s="74" t="s">
        <v>52</v>
      </c>
      <c r="F104" s="24" t="s">
        <v>52</v>
      </c>
      <c r="G104" s="83" t="s">
        <v>783</v>
      </c>
      <c r="H104" s="83" t="str">
        <f>VLOOKUP(G104,[1]ListLoaded!$E$6:$F$544,2,0)</f>
        <v>140206</v>
      </c>
      <c r="I104" s="72" t="str">
        <f>VLOOKUP(G104,[1]ListLoaded!$E$6:$M$550,9,0)</f>
        <v>F</v>
      </c>
      <c r="J104" s="72" t="str">
        <f>VLOOKUP(G104,[1]ListLoaded!$E$6:$I$537,5,0)</f>
        <v>40HC</v>
      </c>
      <c r="K104" s="140">
        <f>VLOOKUP(G104,[1]ListLoaded!$E$6:$L$537,8,0)</f>
        <v>30.82</v>
      </c>
      <c r="L104" s="83" t="str">
        <f>VLOOKUP(G104,[1]ListLoaded!$E$6:$S$645,15,0)</f>
        <v>1119568</v>
      </c>
      <c r="M104" s="86">
        <f>VLOOKUP(G104,[1]ListLoaded!$E$6:$T$674,16,0)</f>
        <v>0</v>
      </c>
      <c r="N104" s="86">
        <f>VLOOKUP(G104,[1]ListLoaded!$E$6:$N$545,10,0)</f>
        <v>0</v>
      </c>
      <c r="O104" s="72"/>
      <c r="P104" s="72">
        <f>VLOOKUP(G104,[1]ListLoaded!$E$6:$O$638,11,0)</f>
        <v>0</v>
      </c>
      <c r="Q104" s="84" t="str">
        <f t="shared" si="17"/>
        <v>F40HC</v>
      </c>
      <c r="R104" s="84" t="str">
        <f>VLOOKUP(G104,[1]ListLoaded!$E$6:$P$604,12,0)</f>
        <v>HAC260526180</v>
      </c>
      <c r="S104" s="15" t="e">
        <f>I104&amp;J104&amp;#REF!</f>
        <v>#REF!</v>
      </c>
      <c r="T104" s="84" t="s">
        <v>830</v>
      </c>
      <c r="U104" s="84"/>
      <c r="V104" s="84"/>
      <c r="AK104" s="145"/>
      <c r="AL104" s="48"/>
      <c r="AM104" s="42"/>
      <c r="AN104" s="41">
        <f t="shared" ref="AN104:AY113" si="21">COUNTIF($S$11:$S$1505,"F"&amp;AN$11&amp;$AM104)</f>
        <v>0</v>
      </c>
      <c r="AO104" s="41">
        <f t="shared" si="21"/>
        <v>0</v>
      </c>
      <c r="AP104" s="41">
        <f t="shared" si="21"/>
        <v>0</v>
      </c>
      <c r="AQ104" s="41">
        <f t="shared" si="21"/>
        <v>0</v>
      </c>
      <c r="AR104" s="41">
        <f t="shared" si="21"/>
        <v>0</v>
      </c>
      <c r="AS104" s="41">
        <f t="shared" si="21"/>
        <v>0</v>
      </c>
      <c r="AT104" s="41">
        <f t="shared" si="21"/>
        <v>0</v>
      </c>
      <c r="AU104" s="41">
        <f t="shared" si="21"/>
        <v>0</v>
      </c>
      <c r="AV104" s="41">
        <f t="shared" si="21"/>
        <v>0</v>
      </c>
      <c r="AW104" s="41">
        <f t="shared" si="21"/>
        <v>0</v>
      </c>
      <c r="AX104" s="41">
        <f t="shared" si="21"/>
        <v>0</v>
      </c>
      <c r="AY104" s="41">
        <f t="shared" si="21"/>
        <v>0</v>
      </c>
      <c r="AZ104" s="41">
        <f t="shared" si="20"/>
        <v>0</v>
      </c>
      <c r="BA104" s="41">
        <f t="shared" si="20"/>
        <v>0</v>
      </c>
      <c r="BB104" s="41">
        <f t="shared" si="20"/>
        <v>0</v>
      </c>
      <c r="BC104" s="41">
        <f t="shared" si="20"/>
        <v>0</v>
      </c>
      <c r="BD104" s="41">
        <f t="shared" si="13"/>
        <v>0</v>
      </c>
      <c r="BE104" s="43">
        <f t="shared" si="14"/>
        <v>0</v>
      </c>
    </row>
    <row r="105" spans="1:57" ht="24.75" customHeight="1">
      <c r="A105" s="23">
        <v>95</v>
      </c>
      <c r="B105" s="24" t="s">
        <v>50</v>
      </c>
      <c r="C105" s="24" t="s">
        <v>1489</v>
      </c>
      <c r="D105" s="24" t="s">
        <v>62</v>
      </c>
      <c r="E105" s="74" t="s">
        <v>52</v>
      </c>
      <c r="F105" s="24" t="s">
        <v>52</v>
      </c>
      <c r="G105" s="83" t="s">
        <v>784</v>
      </c>
      <c r="H105" s="83" t="str">
        <f>VLOOKUP(G105,[1]ListLoaded!$E$6:$F$544,2,0)</f>
        <v>100308</v>
      </c>
      <c r="I105" s="72" t="str">
        <f>VLOOKUP(G105,[1]ListLoaded!$E$6:$M$550,9,0)</f>
        <v>F</v>
      </c>
      <c r="J105" s="72" t="str">
        <f>VLOOKUP(G105,[1]ListLoaded!$E$6:$I$537,5,0)</f>
        <v>40HC</v>
      </c>
      <c r="K105" s="140">
        <f>VLOOKUP(G105,[1]ListLoaded!$E$6:$L$537,8,0)</f>
        <v>27.78</v>
      </c>
      <c r="L105" s="83" t="str">
        <f>VLOOKUP(G105,[1]ListLoaded!$E$6:$S$645,15,0)</f>
        <v>1119569</v>
      </c>
      <c r="M105" s="86">
        <f>VLOOKUP(G105,[1]ListLoaded!$E$6:$T$674,16,0)</f>
        <v>0</v>
      </c>
      <c r="N105" s="86">
        <f>VLOOKUP(G105,[1]ListLoaded!$E$6:$N$545,10,0)</f>
        <v>0</v>
      </c>
      <c r="O105" s="72"/>
      <c r="P105" s="72">
        <f>VLOOKUP(G105,[1]ListLoaded!$E$6:$O$638,11,0)</f>
        <v>0</v>
      </c>
      <c r="Q105" s="84" t="str">
        <f t="shared" si="17"/>
        <v>F40HC</v>
      </c>
      <c r="R105" s="84" t="str">
        <f>VLOOKUP(G105,[1]ListLoaded!$E$6:$P$604,12,0)</f>
        <v>HAC260526180</v>
      </c>
      <c r="S105" s="15" t="e">
        <f>I105&amp;J105&amp;#REF!</f>
        <v>#REF!</v>
      </c>
      <c r="T105" s="84" t="s">
        <v>830</v>
      </c>
      <c r="U105" s="84"/>
      <c r="V105" s="84"/>
      <c r="AK105" s="145"/>
      <c r="AL105" s="48"/>
      <c r="AM105" s="42"/>
      <c r="AN105" s="41">
        <f t="shared" si="21"/>
        <v>0</v>
      </c>
      <c r="AO105" s="41">
        <f t="shared" si="21"/>
        <v>0</v>
      </c>
      <c r="AP105" s="41">
        <f t="shared" si="21"/>
        <v>0</v>
      </c>
      <c r="AQ105" s="41">
        <f t="shared" si="21"/>
        <v>0</v>
      </c>
      <c r="AR105" s="41">
        <f t="shared" si="21"/>
        <v>0</v>
      </c>
      <c r="AS105" s="41">
        <f t="shared" si="21"/>
        <v>0</v>
      </c>
      <c r="AT105" s="41">
        <f t="shared" si="21"/>
        <v>0</v>
      </c>
      <c r="AU105" s="41">
        <f t="shared" si="21"/>
        <v>0</v>
      </c>
      <c r="AV105" s="41">
        <f t="shared" si="21"/>
        <v>0</v>
      </c>
      <c r="AW105" s="41">
        <f t="shared" si="21"/>
        <v>0</v>
      </c>
      <c r="AX105" s="41">
        <f t="shared" si="21"/>
        <v>0</v>
      </c>
      <c r="AY105" s="41">
        <f t="shared" si="21"/>
        <v>0</v>
      </c>
      <c r="AZ105" s="41">
        <f t="shared" si="20"/>
        <v>0</v>
      </c>
      <c r="BA105" s="41">
        <f t="shared" si="20"/>
        <v>0</v>
      </c>
      <c r="BB105" s="41">
        <f t="shared" si="20"/>
        <v>0</v>
      </c>
      <c r="BC105" s="41">
        <f t="shared" si="20"/>
        <v>0</v>
      </c>
      <c r="BD105" s="41">
        <f t="shared" si="13"/>
        <v>0</v>
      </c>
      <c r="BE105" s="43">
        <f t="shared" si="14"/>
        <v>0</v>
      </c>
    </row>
    <row r="106" spans="1:57" ht="24.75" customHeight="1">
      <c r="A106" s="23">
        <v>96</v>
      </c>
      <c r="B106" s="24" t="s">
        <v>50</v>
      </c>
      <c r="C106" s="24" t="s">
        <v>1489</v>
      </c>
      <c r="D106" s="24" t="s">
        <v>62</v>
      </c>
      <c r="E106" s="74" t="s">
        <v>52</v>
      </c>
      <c r="F106" s="24" t="s">
        <v>52</v>
      </c>
      <c r="G106" s="83" t="s">
        <v>785</v>
      </c>
      <c r="H106" s="83" t="str">
        <f>VLOOKUP(G106,[1]ListLoaded!$E$6:$F$544,2,0)</f>
        <v>180208</v>
      </c>
      <c r="I106" s="72" t="str">
        <f>VLOOKUP(G106,[1]ListLoaded!$E$6:$M$550,9,0)</f>
        <v>F</v>
      </c>
      <c r="J106" s="72" t="str">
        <f>VLOOKUP(G106,[1]ListLoaded!$E$6:$I$537,5,0)</f>
        <v>40HC</v>
      </c>
      <c r="K106" s="140">
        <f>VLOOKUP(G106,[1]ListLoaded!$E$6:$L$537,8,0)</f>
        <v>30.22</v>
      </c>
      <c r="L106" s="83" t="str">
        <f>VLOOKUP(G106,[1]ListLoaded!$E$6:$S$645,15,0)</f>
        <v>1113792</v>
      </c>
      <c r="M106" s="86">
        <f>VLOOKUP(G106,[1]ListLoaded!$E$6:$T$674,16,0)</f>
        <v>0</v>
      </c>
      <c r="N106" s="86">
        <f>VLOOKUP(G106,[1]ListLoaded!$E$6:$N$545,10,0)</f>
        <v>0</v>
      </c>
      <c r="O106" s="72"/>
      <c r="P106" s="72">
        <f>VLOOKUP(G106,[1]ListLoaded!$E$6:$O$638,11,0)</f>
        <v>0</v>
      </c>
      <c r="Q106" s="84" t="str">
        <f t="shared" si="17"/>
        <v>F40HC</v>
      </c>
      <c r="R106" s="84" t="str">
        <f>VLOOKUP(G106,[1]ListLoaded!$E$6:$P$604,12,0)</f>
        <v>HAC260526180</v>
      </c>
      <c r="S106" s="15" t="e">
        <f>I106&amp;J106&amp;#REF!</f>
        <v>#REF!</v>
      </c>
      <c r="T106" s="84" t="s">
        <v>830</v>
      </c>
      <c r="U106" s="84"/>
      <c r="V106" s="84"/>
      <c r="AK106" s="145"/>
      <c r="AL106" s="48"/>
      <c r="AM106" s="42"/>
      <c r="AN106" s="41">
        <f t="shared" si="21"/>
        <v>0</v>
      </c>
      <c r="AO106" s="41">
        <f t="shared" si="21"/>
        <v>0</v>
      </c>
      <c r="AP106" s="41">
        <f t="shared" si="21"/>
        <v>0</v>
      </c>
      <c r="AQ106" s="41">
        <f t="shared" si="21"/>
        <v>0</v>
      </c>
      <c r="AR106" s="41">
        <f t="shared" si="21"/>
        <v>0</v>
      </c>
      <c r="AS106" s="41">
        <f t="shared" si="21"/>
        <v>0</v>
      </c>
      <c r="AT106" s="41">
        <f t="shared" si="21"/>
        <v>0</v>
      </c>
      <c r="AU106" s="41">
        <f t="shared" si="21"/>
        <v>0</v>
      </c>
      <c r="AV106" s="41">
        <f t="shared" si="21"/>
        <v>0</v>
      </c>
      <c r="AW106" s="41">
        <f t="shared" si="21"/>
        <v>0</v>
      </c>
      <c r="AX106" s="41">
        <f t="shared" si="21"/>
        <v>0</v>
      </c>
      <c r="AY106" s="41">
        <f t="shared" si="21"/>
        <v>0</v>
      </c>
      <c r="AZ106" s="41">
        <f t="shared" si="20"/>
        <v>0</v>
      </c>
      <c r="BA106" s="41">
        <f t="shared" si="20"/>
        <v>0</v>
      </c>
      <c r="BB106" s="41">
        <f t="shared" si="20"/>
        <v>0</v>
      </c>
      <c r="BC106" s="41">
        <f t="shared" si="20"/>
        <v>0</v>
      </c>
      <c r="BD106" s="41">
        <f t="shared" si="13"/>
        <v>0</v>
      </c>
      <c r="BE106" s="43">
        <f t="shared" si="14"/>
        <v>0</v>
      </c>
    </row>
    <row r="107" spans="1:57" ht="24.75" customHeight="1">
      <c r="A107" s="23">
        <v>97</v>
      </c>
      <c r="B107" s="24" t="s">
        <v>50</v>
      </c>
      <c r="C107" s="24" t="s">
        <v>1489</v>
      </c>
      <c r="D107" s="24" t="s">
        <v>62</v>
      </c>
      <c r="E107" s="74" t="s">
        <v>52</v>
      </c>
      <c r="F107" s="24" t="s">
        <v>52</v>
      </c>
      <c r="G107" s="83" t="s">
        <v>786</v>
      </c>
      <c r="H107" s="83" t="str">
        <f>VLOOKUP(G107,[1]ListLoaded!$E$6:$F$544,2,0)</f>
        <v>140304</v>
      </c>
      <c r="I107" s="72" t="str">
        <f>VLOOKUP(G107,[1]ListLoaded!$E$6:$M$550,9,0)</f>
        <v>F</v>
      </c>
      <c r="J107" s="72" t="str">
        <f>VLOOKUP(G107,[1]ListLoaded!$E$6:$I$537,5,0)</f>
        <v>40HC</v>
      </c>
      <c r="K107" s="140">
        <f>VLOOKUP(G107,[1]ListLoaded!$E$6:$L$537,8,0)</f>
        <v>30.1</v>
      </c>
      <c r="L107" s="83" t="str">
        <f>VLOOKUP(G107,[1]ListLoaded!$E$6:$S$645,15,0)</f>
        <v>1113793</v>
      </c>
      <c r="M107" s="86">
        <f>VLOOKUP(G107,[1]ListLoaded!$E$6:$T$674,16,0)</f>
        <v>0</v>
      </c>
      <c r="N107" s="86">
        <f>VLOOKUP(G107,[1]ListLoaded!$E$6:$N$545,10,0)</f>
        <v>0</v>
      </c>
      <c r="O107" s="72"/>
      <c r="P107" s="72">
        <f>VLOOKUP(G107,[1]ListLoaded!$E$6:$O$638,11,0)</f>
        <v>0</v>
      </c>
      <c r="Q107" s="84" t="str">
        <f t="shared" si="17"/>
        <v>F40HC</v>
      </c>
      <c r="R107" s="84" t="str">
        <f>VLOOKUP(G107,[1]ListLoaded!$E$6:$P$604,12,0)</f>
        <v>HAC260526180</v>
      </c>
      <c r="S107" s="15" t="e">
        <f>I107&amp;J107&amp;#REF!</f>
        <v>#REF!</v>
      </c>
      <c r="T107" s="84" t="s">
        <v>830</v>
      </c>
      <c r="U107" s="84"/>
      <c r="V107" s="84"/>
      <c r="AK107" s="145"/>
      <c r="AL107" s="48"/>
      <c r="AM107" s="42"/>
      <c r="AN107" s="41">
        <f t="shared" si="21"/>
        <v>0</v>
      </c>
      <c r="AO107" s="41">
        <f t="shared" si="21"/>
        <v>0</v>
      </c>
      <c r="AP107" s="41">
        <f t="shared" si="21"/>
        <v>0</v>
      </c>
      <c r="AQ107" s="41">
        <f t="shared" si="21"/>
        <v>0</v>
      </c>
      <c r="AR107" s="41">
        <f t="shared" si="21"/>
        <v>0</v>
      </c>
      <c r="AS107" s="41">
        <f t="shared" si="21"/>
        <v>0</v>
      </c>
      <c r="AT107" s="41">
        <f t="shared" si="21"/>
        <v>0</v>
      </c>
      <c r="AU107" s="41">
        <f t="shared" si="21"/>
        <v>0</v>
      </c>
      <c r="AV107" s="41">
        <f t="shared" si="21"/>
        <v>0</v>
      </c>
      <c r="AW107" s="41">
        <f t="shared" si="21"/>
        <v>0</v>
      </c>
      <c r="AX107" s="41">
        <f t="shared" si="21"/>
        <v>0</v>
      </c>
      <c r="AY107" s="41">
        <f t="shared" si="21"/>
        <v>0</v>
      </c>
      <c r="AZ107" s="41">
        <f t="shared" si="20"/>
        <v>0</v>
      </c>
      <c r="BA107" s="41">
        <f t="shared" si="20"/>
        <v>0</v>
      </c>
      <c r="BB107" s="41">
        <f t="shared" si="20"/>
        <v>0</v>
      </c>
      <c r="BC107" s="41">
        <f t="shared" si="20"/>
        <v>0</v>
      </c>
      <c r="BD107" s="41">
        <f t="shared" si="13"/>
        <v>0</v>
      </c>
      <c r="BE107" s="43">
        <f t="shared" si="14"/>
        <v>0</v>
      </c>
    </row>
    <row r="108" spans="1:57" ht="24.75" customHeight="1">
      <c r="A108" s="23">
        <v>98</v>
      </c>
      <c r="B108" s="24" t="s">
        <v>50</v>
      </c>
      <c r="C108" s="24" t="s">
        <v>1489</v>
      </c>
      <c r="D108" s="24" t="s">
        <v>62</v>
      </c>
      <c r="E108" s="74" t="s">
        <v>52</v>
      </c>
      <c r="F108" s="24" t="s">
        <v>52</v>
      </c>
      <c r="G108" s="83" t="s">
        <v>787</v>
      </c>
      <c r="H108" s="83" t="str">
        <f>VLOOKUP(G108,[1]ListLoaded!$E$6:$F$544,2,0)</f>
        <v>140306</v>
      </c>
      <c r="I108" s="72" t="str">
        <f>VLOOKUP(G108,[1]ListLoaded!$E$6:$M$550,9,0)</f>
        <v>F</v>
      </c>
      <c r="J108" s="72" t="str">
        <f>VLOOKUP(G108,[1]ListLoaded!$E$6:$I$537,5,0)</f>
        <v>40HC</v>
      </c>
      <c r="K108" s="140">
        <f>VLOOKUP(G108,[1]ListLoaded!$E$6:$L$537,8,0)</f>
        <v>30.3</v>
      </c>
      <c r="L108" s="83" t="str">
        <f>VLOOKUP(G108,[1]ListLoaded!$E$6:$S$645,15,0)</f>
        <v>1113794</v>
      </c>
      <c r="M108" s="86">
        <f>VLOOKUP(G108,[1]ListLoaded!$E$6:$T$674,16,0)</f>
        <v>0</v>
      </c>
      <c r="N108" s="86">
        <f>VLOOKUP(G108,[1]ListLoaded!$E$6:$N$545,10,0)</f>
        <v>0</v>
      </c>
      <c r="O108" s="72"/>
      <c r="P108" s="72">
        <f>VLOOKUP(G108,[1]ListLoaded!$E$6:$O$638,11,0)</f>
        <v>0</v>
      </c>
      <c r="Q108" s="84" t="str">
        <f t="shared" si="17"/>
        <v>F40HC</v>
      </c>
      <c r="R108" s="84" t="str">
        <f>VLOOKUP(G108,[1]ListLoaded!$E$6:$P$604,12,0)</f>
        <v>HAC260526180</v>
      </c>
      <c r="S108" s="15" t="e">
        <f>I108&amp;J108&amp;#REF!</f>
        <v>#REF!</v>
      </c>
      <c r="T108" s="84" t="s">
        <v>830</v>
      </c>
      <c r="U108" s="84"/>
      <c r="V108" s="84"/>
      <c r="AK108" s="145"/>
      <c r="AL108" s="48"/>
      <c r="AM108" s="42"/>
      <c r="AN108" s="41">
        <f t="shared" si="21"/>
        <v>0</v>
      </c>
      <c r="AO108" s="41">
        <f t="shared" si="21"/>
        <v>0</v>
      </c>
      <c r="AP108" s="41">
        <f t="shared" si="21"/>
        <v>0</v>
      </c>
      <c r="AQ108" s="41">
        <f t="shared" si="21"/>
        <v>0</v>
      </c>
      <c r="AR108" s="41">
        <f t="shared" si="21"/>
        <v>0</v>
      </c>
      <c r="AS108" s="41">
        <f t="shared" si="21"/>
        <v>0</v>
      </c>
      <c r="AT108" s="41">
        <f t="shared" si="21"/>
        <v>0</v>
      </c>
      <c r="AU108" s="41">
        <f t="shared" si="21"/>
        <v>0</v>
      </c>
      <c r="AV108" s="41">
        <f t="shared" si="21"/>
        <v>0</v>
      </c>
      <c r="AW108" s="41">
        <f t="shared" si="21"/>
        <v>0</v>
      </c>
      <c r="AX108" s="41">
        <f t="shared" si="21"/>
        <v>0</v>
      </c>
      <c r="AY108" s="41">
        <f t="shared" si="21"/>
        <v>0</v>
      </c>
      <c r="AZ108" s="41">
        <f t="shared" si="20"/>
        <v>0</v>
      </c>
      <c r="BA108" s="41">
        <f t="shared" si="20"/>
        <v>0</v>
      </c>
      <c r="BB108" s="41">
        <f t="shared" si="20"/>
        <v>0</v>
      </c>
      <c r="BC108" s="41">
        <f t="shared" si="20"/>
        <v>0</v>
      </c>
      <c r="BD108" s="41">
        <f t="shared" si="13"/>
        <v>0</v>
      </c>
      <c r="BE108" s="43">
        <f t="shared" si="14"/>
        <v>0</v>
      </c>
    </row>
    <row r="109" spans="1:57" ht="24.75" customHeight="1">
      <c r="A109" s="23">
        <v>99</v>
      </c>
      <c r="B109" s="24" t="s">
        <v>50</v>
      </c>
      <c r="C109" s="24" t="s">
        <v>1489</v>
      </c>
      <c r="D109" s="24" t="s">
        <v>62</v>
      </c>
      <c r="E109" s="74" t="s">
        <v>52</v>
      </c>
      <c r="F109" s="24" t="s">
        <v>52</v>
      </c>
      <c r="G109" s="83" t="s">
        <v>788</v>
      </c>
      <c r="H109" s="83" t="str">
        <f>VLOOKUP(G109,[1]ListLoaded!$E$6:$F$544,2,0)</f>
        <v>180106</v>
      </c>
      <c r="I109" s="72" t="str">
        <f>VLOOKUP(G109,[1]ListLoaded!$E$6:$M$550,9,0)</f>
        <v>F</v>
      </c>
      <c r="J109" s="72" t="str">
        <f>VLOOKUP(G109,[1]ListLoaded!$E$6:$I$537,5,0)</f>
        <v>40HC</v>
      </c>
      <c r="K109" s="140">
        <f>VLOOKUP(G109,[1]ListLoaded!$E$6:$L$537,8,0)</f>
        <v>31.68</v>
      </c>
      <c r="L109" s="83" t="str">
        <f>VLOOKUP(G109,[1]ListLoaded!$E$6:$S$645,15,0)</f>
        <v>1113795</v>
      </c>
      <c r="M109" s="86">
        <f>VLOOKUP(G109,[1]ListLoaded!$E$6:$T$674,16,0)</f>
        <v>0</v>
      </c>
      <c r="N109" s="86">
        <f>VLOOKUP(G109,[1]ListLoaded!$E$6:$N$545,10,0)</f>
        <v>0</v>
      </c>
      <c r="O109" s="72"/>
      <c r="P109" s="72">
        <f>VLOOKUP(G109,[1]ListLoaded!$E$6:$O$638,11,0)</f>
        <v>0</v>
      </c>
      <c r="Q109" s="84" t="str">
        <f t="shared" si="17"/>
        <v>F40HC</v>
      </c>
      <c r="R109" s="84" t="str">
        <f>VLOOKUP(G109,[1]ListLoaded!$E$6:$P$604,12,0)</f>
        <v>HAC260526180</v>
      </c>
      <c r="S109" s="15" t="e">
        <f>I109&amp;J109&amp;#REF!</f>
        <v>#REF!</v>
      </c>
      <c r="T109" s="84" t="s">
        <v>830</v>
      </c>
      <c r="U109" s="84"/>
      <c r="V109" s="84"/>
      <c r="AK109" s="145"/>
      <c r="AL109" s="48"/>
      <c r="AM109" s="42"/>
      <c r="AN109" s="41">
        <f t="shared" si="21"/>
        <v>0</v>
      </c>
      <c r="AO109" s="41">
        <f t="shared" si="21"/>
        <v>0</v>
      </c>
      <c r="AP109" s="41">
        <f t="shared" si="21"/>
        <v>0</v>
      </c>
      <c r="AQ109" s="41">
        <f t="shared" si="21"/>
        <v>0</v>
      </c>
      <c r="AR109" s="41">
        <f t="shared" si="21"/>
        <v>0</v>
      </c>
      <c r="AS109" s="41">
        <f t="shared" si="21"/>
        <v>0</v>
      </c>
      <c r="AT109" s="41">
        <f t="shared" si="21"/>
        <v>0</v>
      </c>
      <c r="AU109" s="41">
        <f t="shared" si="21"/>
        <v>0</v>
      </c>
      <c r="AV109" s="41">
        <f t="shared" si="21"/>
        <v>0</v>
      </c>
      <c r="AW109" s="41">
        <f t="shared" si="21"/>
        <v>0</v>
      </c>
      <c r="AX109" s="41">
        <f t="shared" si="21"/>
        <v>0</v>
      </c>
      <c r="AY109" s="41">
        <f t="shared" si="21"/>
        <v>0</v>
      </c>
      <c r="AZ109" s="41">
        <f t="shared" si="20"/>
        <v>0</v>
      </c>
      <c r="BA109" s="41">
        <f t="shared" si="20"/>
        <v>0</v>
      </c>
      <c r="BB109" s="41">
        <f t="shared" si="20"/>
        <v>0</v>
      </c>
      <c r="BC109" s="41">
        <f t="shared" si="20"/>
        <v>0</v>
      </c>
      <c r="BD109" s="41">
        <f t="shared" si="13"/>
        <v>0</v>
      </c>
      <c r="BE109" s="43">
        <f t="shared" si="14"/>
        <v>0</v>
      </c>
    </row>
    <row r="110" spans="1:57" ht="24.75" customHeight="1">
      <c r="A110" s="23">
        <v>100</v>
      </c>
      <c r="B110" s="24" t="s">
        <v>50</v>
      </c>
      <c r="C110" s="24" t="s">
        <v>1489</v>
      </c>
      <c r="D110" s="24" t="s">
        <v>62</v>
      </c>
      <c r="E110" s="74" t="s">
        <v>52</v>
      </c>
      <c r="F110" s="24" t="s">
        <v>52</v>
      </c>
      <c r="G110" s="83" t="s">
        <v>789</v>
      </c>
      <c r="H110" s="83" t="str">
        <f>VLOOKUP(G110,[1]ListLoaded!$E$6:$F$544,2,0)</f>
        <v>140606</v>
      </c>
      <c r="I110" s="72" t="str">
        <f>VLOOKUP(G110,[1]ListLoaded!$E$6:$M$550,9,0)</f>
        <v>F</v>
      </c>
      <c r="J110" s="72" t="str">
        <f>VLOOKUP(G110,[1]ListLoaded!$E$6:$I$537,5,0)</f>
        <v>40HC</v>
      </c>
      <c r="K110" s="140">
        <f>VLOOKUP(G110,[1]ListLoaded!$E$6:$L$537,8,0)</f>
        <v>31.92</v>
      </c>
      <c r="L110" s="83" t="str">
        <f>VLOOKUP(G110,[1]ListLoaded!$E$6:$S$645,15,0)</f>
        <v>1113796</v>
      </c>
      <c r="M110" s="86">
        <f>VLOOKUP(G110,[1]ListLoaded!$E$6:$T$674,16,0)</f>
        <v>0</v>
      </c>
      <c r="N110" s="86">
        <f>VLOOKUP(G110,[1]ListLoaded!$E$6:$N$545,10,0)</f>
        <v>0</v>
      </c>
      <c r="O110" s="72"/>
      <c r="P110" s="72">
        <f>VLOOKUP(G110,[1]ListLoaded!$E$6:$O$638,11,0)</f>
        <v>0</v>
      </c>
      <c r="Q110" s="84" t="str">
        <f t="shared" si="17"/>
        <v>F40HC</v>
      </c>
      <c r="R110" s="84" t="str">
        <f>VLOOKUP(G110,[1]ListLoaded!$E$6:$P$604,12,0)</f>
        <v>HAC260526180</v>
      </c>
      <c r="S110" s="15" t="e">
        <f>I110&amp;J110&amp;#REF!</f>
        <v>#REF!</v>
      </c>
      <c r="T110" s="84" t="s">
        <v>830</v>
      </c>
      <c r="U110" s="84"/>
      <c r="V110" s="84"/>
      <c r="AK110" s="145"/>
      <c r="AL110" s="48"/>
      <c r="AM110" s="42"/>
      <c r="AN110" s="41">
        <f t="shared" si="21"/>
        <v>0</v>
      </c>
      <c r="AO110" s="41">
        <f t="shared" si="21"/>
        <v>0</v>
      </c>
      <c r="AP110" s="41">
        <f t="shared" si="21"/>
        <v>0</v>
      </c>
      <c r="AQ110" s="41">
        <f t="shared" si="21"/>
        <v>0</v>
      </c>
      <c r="AR110" s="41">
        <f t="shared" si="21"/>
        <v>0</v>
      </c>
      <c r="AS110" s="41">
        <f t="shared" si="21"/>
        <v>0</v>
      </c>
      <c r="AT110" s="41">
        <f t="shared" si="21"/>
        <v>0</v>
      </c>
      <c r="AU110" s="41">
        <f t="shared" si="21"/>
        <v>0</v>
      </c>
      <c r="AV110" s="41">
        <f t="shared" si="21"/>
        <v>0</v>
      </c>
      <c r="AW110" s="41">
        <f t="shared" si="21"/>
        <v>0</v>
      </c>
      <c r="AX110" s="41">
        <f t="shared" si="21"/>
        <v>0</v>
      </c>
      <c r="AY110" s="41">
        <f t="shared" si="21"/>
        <v>0</v>
      </c>
      <c r="AZ110" s="41">
        <f t="shared" si="20"/>
        <v>0</v>
      </c>
      <c r="BA110" s="41">
        <f t="shared" si="20"/>
        <v>0</v>
      </c>
      <c r="BB110" s="41">
        <f t="shared" si="20"/>
        <v>0</v>
      </c>
      <c r="BC110" s="41">
        <f t="shared" si="20"/>
        <v>0</v>
      </c>
      <c r="BD110" s="41">
        <f t="shared" si="13"/>
        <v>0</v>
      </c>
      <c r="BE110" s="43">
        <f t="shared" si="14"/>
        <v>0</v>
      </c>
    </row>
    <row r="111" spans="1:57" ht="24.75" customHeight="1">
      <c r="A111" s="23">
        <v>101</v>
      </c>
      <c r="B111" s="24" t="s">
        <v>50</v>
      </c>
      <c r="C111" s="24" t="s">
        <v>1489</v>
      </c>
      <c r="D111" s="24" t="s">
        <v>62</v>
      </c>
      <c r="E111" s="74" t="s">
        <v>52</v>
      </c>
      <c r="F111" s="24" t="s">
        <v>52</v>
      </c>
      <c r="G111" s="83" t="s">
        <v>790</v>
      </c>
      <c r="H111" s="83" t="str">
        <f>VLOOKUP(G111,[1]ListLoaded!$E$6:$F$544,2,0)</f>
        <v>180206</v>
      </c>
      <c r="I111" s="72" t="str">
        <f>VLOOKUP(G111,[1]ListLoaded!$E$6:$M$550,9,0)</f>
        <v>F</v>
      </c>
      <c r="J111" s="72" t="str">
        <f>VLOOKUP(G111,[1]ListLoaded!$E$6:$I$537,5,0)</f>
        <v>40HC</v>
      </c>
      <c r="K111" s="140">
        <f>VLOOKUP(G111,[1]ListLoaded!$E$6:$L$537,8,0)</f>
        <v>30.56</v>
      </c>
      <c r="L111" s="83" t="str">
        <f>VLOOKUP(G111,[1]ListLoaded!$E$6:$S$645,15,0)</f>
        <v>1113797</v>
      </c>
      <c r="M111" s="86">
        <f>VLOOKUP(G111,[1]ListLoaded!$E$6:$T$674,16,0)</f>
        <v>0</v>
      </c>
      <c r="N111" s="86">
        <f>VLOOKUP(G111,[1]ListLoaded!$E$6:$N$545,10,0)</f>
        <v>0</v>
      </c>
      <c r="O111" s="72"/>
      <c r="P111" s="72">
        <f>VLOOKUP(G111,[1]ListLoaded!$E$6:$O$638,11,0)</f>
        <v>0</v>
      </c>
      <c r="Q111" s="84" t="str">
        <f t="shared" si="17"/>
        <v>F40HC</v>
      </c>
      <c r="R111" s="84" t="str">
        <f>VLOOKUP(G111,[1]ListLoaded!$E$6:$P$604,12,0)</f>
        <v>HAC260526180</v>
      </c>
      <c r="S111" s="15" t="e">
        <f>I111&amp;J111&amp;#REF!</f>
        <v>#REF!</v>
      </c>
      <c r="T111" s="84" t="s">
        <v>830</v>
      </c>
      <c r="U111" s="84"/>
      <c r="V111" s="84"/>
      <c r="AK111" s="145"/>
      <c r="AL111" s="48"/>
      <c r="AM111" s="42"/>
      <c r="AN111" s="41">
        <f t="shared" si="21"/>
        <v>0</v>
      </c>
      <c r="AO111" s="41">
        <f t="shared" si="21"/>
        <v>0</v>
      </c>
      <c r="AP111" s="41">
        <f t="shared" si="21"/>
        <v>0</v>
      </c>
      <c r="AQ111" s="41">
        <f t="shared" si="21"/>
        <v>0</v>
      </c>
      <c r="AR111" s="41">
        <f t="shared" si="21"/>
        <v>0</v>
      </c>
      <c r="AS111" s="41">
        <f t="shared" si="21"/>
        <v>0</v>
      </c>
      <c r="AT111" s="41">
        <f t="shared" si="21"/>
        <v>0</v>
      </c>
      <c r="AU111" s="41">
        <f t="shared" si="21"/>
        <v>0</v>
      </c>
      <c r="AV111" s="41">
        <f t="shared" si="21"/>
        <v>0</v>
      </c>
      <c r="AW111" s="41">
        <f t="shared" si="21"/>
        <v>0</v>
      </c>
      <c r="AX111" s="41">
        <f t="shared" si="21"/>
        <v>0</v>
      </c>
      <c r="AY111" s="41">
        <f t="shared" si="21"/>
        <v>0</v>
      </c>
      <c r="AZ111" s="41">
        <f t="shared" si="20"/>
        <v>0</v>
      </c>
      <c r="BA111" s="41">
        <f t="shared" si="20"/>
        <v>0</v>
      </c>
      <c r="BB111" s="41">
        <f t="shared" si="20"/>
        <v>0</v>
      </c>
      <c r="BC111" s="41">
        <f t="shared" si="20"/>
        <v>0</v>
      </c>
      <c r="BD111" s="41">
        <f t="shared" si="13"/>
        <v>0</v>
      </c>
      <c r="BE111" s="43">
        <f t="shared" si="14"/>
        <v>0</v>
      </c>
    </row>
    <row r="112" spans="1:57" ht="24.75" customHeight="1">
      <c r="A112" s="23">
        <v>102</v>
      </c>
      <c r="B112" s="24" t="s">
        <v>50</v>
      </c>
      <c r="C112" s="24" t="s">
        <v>1489</v>
      </c>
      <c r="D112" s="24" t="s">
        <v>62</v>
      </c>
      <c r="E112" s="74" t="s">
        <v>52</v>
      </c>
      <c r="F112" s="24" t="s">
        <v>52</v>
      </c>
      <c r="G112" s="83" t="s">
        <v>621</v>
      </c>
      <c r="H112" s="83" t="str">
        <f>VLOOKUP(G112,[1]ListLoaded!$E$6:$F$544,2,0)</f>
        <v>180408</v>
      </c>
      <c r="I112" s="72" t="str">
        <f>VLOOKUP(G112,[1]ListLoaded!$E$6:$M$550,9,0)</f>
        <v>F</v>
      </c>
      <c r="J112" s="72" t="str">
        <f>VLOOKUP(G112,[1]ListLoaded!$E$6:$I$537,5,0)</f>
        <v>40HC</v>
      </c>
      <c r="K112" s="140">
        <f>VLOOKUP(G112,[1]ListLoaded!$E$6:$L$537,8,0)</f>
        <v>29.68</v>
      </c>
      <c r="L112" s="83" t="str">
        <f>VLOOKUP(G112,[1]ListLoaded!$E$6:$S$645,15,0)</f>
        <v>1113798</v>
      </c>
      <c r="M112" s="86">
        <f>VLOOKUP(G112,[1]ListLoaded!$E$6:$T$674,16,0)</f>
        <v>0</v>
      </c>
      <c r="N112" s="86">
        <f>VLOOKUP(G112,[1]ListLoaded!$E$6:$N$545,10,0)</f>
        <v>0</v>
      </c>
      <c r="O112" s="72"/>
      <c r="P112" s="72">
        <f>VLOOKUP(G112,[1]ListLoaded!$E$6:$O$638,11,0)</f>
        <v>0</v>
      </c>
      <c r="Q112" s="84" t="str">
        <f t="shared" si="17"/>
        <v>F40HC</v>
      </c>
      <c r="R112" s="84" t="str">
        <f>VLOOKUP(G112,[1]ListLoaded!$E$6:$P$604,12,0)</f>
        <v>HAC260526180</v>
      </c>
      <c r="S112" s="15" t="e">
        <f>I112&amp;J112&amp;#REF!</f>
        <v>#REF!</v>
      </c>
      <c r="T112" s="84" t="s">
        <v>830</v>
      </c>
      <c r="U112" s="84"/>
      <c r="V112" s="84"/>
      <c r="AK112" s="145"/>
      <c r="AL112" s="48"/>
      <c r="AM112" s="42"/>
      <c r="AN112" s="41">
        <f t="shared" si="21"/>
        <v>0</v>
      </c>
      <c r="AO112" s="41">
        <f t="shared" si="21"/>
        <v>0</v>
      </c>
      <c r="AP112" s="41">
        <f t="shared" si="21"/>
        <v>0</v>
      </c>
      <c r="AQ112" s="41">
        <f t="shared" si="21"/>
        <v>0</v>
      </c>
      <c r="AR112" s="41">
        <f t="shared" si="21"/>
        <v>0</v>
      </c>
      <c r="AS112" s="41">
        <f t="shared" si="21"/>
        <v>0</v>
      </c>
      <c r="AT112" s="41">
        <f t="shared" si="21"/>
        <v>0</v>
      </c>
      <c r="AU112" s="41">
        <f t="shared" si="21"/>
        <v>0</v>
      </c>
      <c r="AV112" s="41">
        <f t="shared" si="21"/>
        <v>0</v>
      </c>
      <c r="AW112" s="41">
        <f t="shared" si="21"/>
        <v>0</v>
      </c>
      <c r="AX112" s="41">
        <f t="shared" si="21"/>
        <v>0</v>
      </c>
      <c r="AY112" s="41">
        <f t="shared" si="21"/>
        <v>0</v>
      </c>
      <c r="AZ112" s="41">
        <f t="shared" si="20"/>
        <v>0</v>
      </c>
      <c r="BA112" s="41">
        <f t="shared" si="20"/>
        <v>0</v>
      </c>
      <c r="BB112" s="41">
        <f t="shared" si="20"/>
        <v>0</v>
      </c>
      <c r="BC112" s="41">
        <f t="shared" si="20"/>
        <v>0</v>
      </c>
      <c r="BD112" s="41">
        <f t="shared" si="13"/>
        <v>0</v>
      </c>
      <c r="BE112" s="43">
        <f t="shared" si="14"/>
        <v>0</v>
      </c>
    </row>
    <row r="113" spans="1:57" ht="24.75" customHeight="1">
      <c r="A113" s="23">
        <v>103</v>
      </c>
      <c r="B113" s="24" t="s">
        <v>50</v>
      </c>
      <c r="C113" s="24" t="s">
        <v>1489</v>
      </c>
      <c r="D113" s="24" t="s">
        <v>62</v>
      </c>
      <c r="E113" s="74" t="s">
        <v>52</v>
      </c>
      <c r="F113" s="24" t="s">
        <v>52</v>
      </c>
      <c r="G113" s="83" t="s">
        <v>791</v>
      </c>
      <c r="H113" s="83" t="str">
        <f>VLOOKUP(G113,[1]ListLoaded!$E$6:$F$544,2,0)</f>
        <v>140406</v>
      </c>
      <c r="I113" s="72" t="str">
        <f>VLOOKUP(G113,[1]ListLoaded!$E$6:$M$550,9,0)</f>
        <v>F</v>
      </c>
      <c r="J113" s="72" t="str">
        <f>VLOOKUP(G113,[1]ListLoaded!$E$6:$I$537,5,0)</f>
        <v>40HC</v>
      </c>
      <c r="K113" s="140">
        <f>VLOOKUP(G113,[1]ListLoaded!$E$6:$L$537,8,0)</f>
        <v>31.2</v>
      </c>
      <c r="L113" s="83" t="str">
        <f>VLOOKUP(G113,[1]ListLoaded!$E$6:$S$645,15,0)</f>
        <v>1113799</v>
      </c>
      <c r="M113" s="86">
        <f>VLOOKUP(G113,[1]ListLoaded!$E$6:$T$674,16,0)</f>
        <v>0</v>
      </c>
      <c r="N113" s="86">
        <f>VLOOKUP(G113,[1]ListLoaded!$E$6:$N$545,10,0)</f>
        <v>0</v>
      </c>
      <c r="O113" s="72"/>
      <c r="P113" s="72">
        <f>VLOOKUP(G113,[1]ListLoaded!$E$6:$O$638,11,0)</f>
        <v>0</v>
      </c>
      <c r="Q113" s="84" t="str">
        <f t="shared" si="17"/>
        <v>F40HC</v>
      </c>
      <c r="R113" s="84" t="str">
        <f>VLOOKUP(G113,[1]ListLoaded!$E$6:$P$604,12,0)</f>
        <v>HAC260526180</v>
      </c>
      <c r="S113" s="15" t="e">
        <f>I113&amp;J113&amp;#REF!</f>
        <v>#REF!</v>
      </c>
      <c r="T113" s="84" t="s">
        <v>830</v>
      </c>
      <c r="U113" s="84"/>
      <c r="V113" s="84"/>
      <c r="AK113" s="145"/>
      <c r="AL113" s="48"/>
      <c r="AM113" s="42"/>
      <c r="AN113" s="41">
        <f t="shared" si="21"/>
        <v>0</v>
      </c>
      <c r="AO113" s="41">
        <f t="shared" si="21"/>
        <v>0</v>
      </c>
      <c r="AP113" s="41">
        <f t="shared" si="21"/>
        <v>0</v>
      </c>
      <c r="AQ113" s="41">
        <f t="shared" si="21"/>
        <v>0</v>
      </c>
      <c r="AR113" s="41">
        <f t="shared" si="21"/>
        <v>0</v>
      </c>
      <c r="AS113" s="41">
        <f t="shared" si="21"/>
        <v>0</v>
      </c>
      <c r="AT113" s="41">
        <f t="shared" si="21"/>
        <v>0</v>
      </c>
      <c r="AU113" s="41">
        <f t="shared" si="21"/>
        <v>0</v>
      </c>
      <c r="AV113" s="41">
        <f t="shared" si="21"/>
        <v>0</v>
      </c>
      <c r="AW113" s="41">
        <f t="shared" si="21"/>
        <v>0</v>
      </c>
      <c r="AX113" s="41">
        <f t="shared" si="21"/>
        <v>0</v>
      </c>
      <c r="AY113" s="41">
        <f t="shared" si="21"/>
        <v>0</v>
      </c>
      <c r="AZ113" s="41">
        <f t="shared" si="20"/>
        <v>0</v>
      </c>
      <c r="BA113" s="41">
        <f t="shared" si="20"/>
        <v>0</v>
      </c>
      <c r="BB113" s="41">
        <f t="shared" si="20"/>
        <v>0</v>
      </c>
      <c r="BC113" s="41">
        <f t="shared" si="20"/>
        <v>0</v>
      </c>
      <c r="BD113" s="41">
        <f t="shared" si="13"/>
        <v>0</v>
      </c>
      <c r="BE113" s="43">
        <f t="shared" si="14"/>
        <v>0</v>
      </c>
    </row>
    <row r="114" spans="1:57" ht="24.75" customHeight="1">
      <c r="A114" s="23">
        <v>104</v>
      </c>
      <c r="B114" s="24" t="s">
        <v>50</v>
      </c>
      <c r="C114" s="24" t="s">
        <v>1489</v>
      </c>
      <c r="D114" s="24" t="s">
        <v>62</v>
      </c>
      <c r="E114" s="74" t="s">
        <v>52</v>
      </c>
      <c r="F114" s="24" t="s">
        <v>52</v>
      </c>
      <c r="G114" s="83" t="s">
        <v>792</v>
      </c>
      <c r="H114" s="83" t="str">
        <f>VLOOKUP(G114,[1]ListLoaded!$E$6:$F$544,2,0)</f>
        <v>140604</v>
      </c>
      <c r="I114" s="72" t="str">
        <f>VLOOKUP(G114,[1]ListLoaded!$E$6:$M$550,9,0)</f>
        <v>F</v>
      </c>
      <c r="J114" s="72" t="str">
        <f>VLOOKUP(G114,[1]ListLoaded!$E$6:$I$537,5,0)</f>
        <v>40HC</v>
      </c>
      <c r="K114" s="140">
        <f>VLOOKUP(G114,[1]ListLoaded!$E$6:$L$537,8,0)</f>
        <v>30.62</v>
      </c>
      <c r="L114" s="83" t="str">
        <f>VLOOKUP(G114,[1]ListLoaded!$E$6:$S$645,15,0)</f>
        <v>1113800</v>
      </c>
      <c r="M114" s="86">
        <f>VLOOKUP(G114,[1]ListLoaded!$E$6:$T$674,16,0)</f>
        <v>0</v>
      </c>
      <c r="N114" s="86">
        <f>VLOOKUP(G114,[1]ListLoaded!$E$6:$N$545,10,0)</f>
        <v>0</v>
      </c>
      <c r="O114" s="72"/>
      <c r="P114" s="72">
        <f>VLOOKUP(G114,[1]ListLoaded!$E$6:$O$638,11,0)</f>
        <v>0</v>
      </c>
      <c r="Q114" s="84" t="str">
        <f t="shared" si="17"/>
        <v>F40HC</v>
      </c>
      <c r="R114" s="84" t="str">
        <f>VLOOKUP(G114,[1]ListLoaded!$E$6:$P$604,12,0)</f>
        <v>HAC260526180</v>
      </c>
      <c r="S114" s="15" t="e">
        <f>I114&amp;J114&amp;#REF!</f>
        <v>#REF!</v>
      </c>
      <c r="T114" s="84" t="s">
        <v>830</v>
      </c>
      <c r="U114" s="84"/>
      <c r="V114" s="84"/>
      <c r="AK114" s="145"/>
      <c r="AL114" s="48"/>
      <c r="AM114" s="42"/>
      <c r="AN114" s="41">
        <f t="shared" ref="AN114:AY123" si="22">COUNTIF($S$11:$S$1505,"F"&amp;AN$11&amp;$AM114)</f>
        <v>0</v>
      </c>
      <c r="AO114" s="41">
        <f t="shared" si="22"/>
        <v>0</v>
      </c>
      <c r="AP114" s="41">
        <f t="shared" si="22"/>
        <v>0</v>
      </c>
      <c r="AQ114" s="41">
        <f t="shared" si="22"/>
        <v>0</v>
      </c>
      <c r="AR114" s="41">
        <f t="shared" si="22"/>
        <v>0</v>
      </c>
      <c r="AS114" s="41">
        <f t="shared" si="22"/>
        <v>0</v>
      </c>
      <c r="AT114" s="41">
        <f t="shared" si="22"/>
        <v>0</v>
      </c>
      <c r="AU114" s="41">
        <f t="shared" si="22"/>
        <v>0</v>
      </c>
      <c r="AV114" s="41">
        <f t="shared" si="22"/>
        <v>0</v>
      </c>
      <c r="AW114" s="41">
        <f t="shared" si="22"/>
        <v>0</v>
      </c>
      <c r="AX114" s="41">
        <f t="shared" si="22"/>
        <v>0</v>
      </c>
      <c r="AY114" s="41">
        <f t="shared" si="22"/>
        <v>0</v>
      </c>
      <c r="AZ114" s="41">
        <f t="shared" ref="AZ114:BC133" si="23">COUNTIF($S$11:$S$1505,"E"&amp;AZ$11&amp;$AM114)</f>
        <v>0</v>
      </c>
      <c r="BA114" s="41">
        <f t="shared" si="23"/>
        <v>0</v>
      </c>
      <c r="BB114" s="41">
        <f t="shared" si="23"/>
        <v>0</v>
      </c>
      <c r="BC114" s="41">
        <f t="shared" si="23"/>
        <v>0</v>
      </c>
      <c r="BD114" s="41">
        <f t="shared" si="13"/>
        <v>0</v>
      </c>
      <c r="BE114" s="43">
        <f t="shared" si="14"/>
        <v>0</v>
      </c>
    </row>
    <row r="115" spans="1:57" ht="24.75" customHeight="1">
      <c r="A115" s="23">
        <v>105</v>
      </c>
      <c r="B115" s="24" t="s">
        <v>50</v>
      </c>
      <c r="C115" s="24" t="s">
        <v>1489</v>
      </c>
      <c r="D115" s="24" t="s">
        <v>62</v>
      </c>
      <c r="E115" s="74" t="s">
        <v>52</v>
      </c>
      <c r="F115" s="24" t="s">
        <v>52</v>
      </c>
      <c r="G115" s="83" t="s">
        <v>793</v>
      </c>
      <c r="H115" s="83" t="str">
        <f>VLOOKUP(G115,[1]ListLoaded!$E$6:$F$544,2,0)</f>
        <v>180786</v>
      </c>
      <c r="I115" s="72" t="str">
        <f>VLOOKUP(G115,[1]ListLoaded!$E$6:$M$550,9,0)</f>
        <v>F</v>
      </c>
      <c r="J115" s="72" t="str">
        <f>VLOOKUP(G115,[1]ListLoaded!$E$6:$I$537,5,0)</f>
        <v>40HC</v>
      </c>
      <c r="K115" s="140">
        <f>VLOOKUP(G115,[1]ListLoaded!$E$6:$L$537,8,0)</f>
        <v>8.8699999999999992</v>
      </c>
      <c r="L115" s="83" t="str">
        <f>VLOOKUP(G115,[1]ListLoaded!$E$6:$S$645,15,0)</f>
        <v>00546</v>
      </c>
      <c r="M115" s="86" t="str">
        <f>VLOOKUP(G115,[1]ListLoaded!$E$6:$T$674,16,0)</f>
        <v>VAI</v>
      </c>
      <c r="N115" s="86">
        <f>VLOOKUP(G115,[1]ListLoaded!$E$6:$N$545,10,0)</f>
        <v>0</v>
      </c>
      <c r="O115" s="72"/>
      <c r="P115" s="72">
        <f>VLOOKUP(G115,[1]ListLoaded!$E$6:$O$638,11,0)</f>
        <v>0</v>
      </c>
      <c r="Q115" s="84" t="str">
        <f t="shared" si="17"/>
        <v>F40HC</v>
      </c>
      <c r="R115" s="84" t="str">
        <f>VLOOKUP(G115,[1]ListLoaded!$E$6:$P$604,12,0)</f>
        <v>HAC260519183</v>
      </c>
      <c r="S115" s="15" t="e">
        <f>I115&amp;J115&amp;#REF!</f>
        <v>#REF!</v>
      </c>
      <c r="T115" s="84" t="s">
        <v>828</v>
      </c>
      <c r="U115" s="84"/>
      <c r="V115" s="84"/>
      <c r="AK115" s="145"/>
      <c r="AL115" s="48"/>
      <c r="AM115" s="42"/>
      <c r="AN115" s="41">
        <f t="shared" si="22"/>
        <v>0</v>
      </c>
      <c r="AO115" s="41">
        <f t="shared" si="22"/>
        <v>0</v>
      </c>
      <c r="AP115" s="41">
        <f t="shared" si="22"/>
        <v>0</v>
      </c>
      <c r="AQ115" s="41">
        <f t="shared" si="22"/>
        <v>0</v>
      </c>
      <c r="AR115" s="41">
        <f t="shared" si="22"/>
        <v>0</v>
      </c>
      <c r="AS115" s="41">
        <f t="shared" si="22"/>
        <v>0</v>
      </c>
      <c r="AT115" s="41">
        <f t="shared" si="22"/>
        <v>0</v>
      </c>
      <c r="AU115" s="41">
        <f t="shared" si="22"/>
        <v>0</v>
      </c>
      <c r="AV115" s="41">
        <f t="shared" si="22"/>
        <v>0</v>
      </c>
      <c r="AW115" s="41">
        <f t="shared" si="22"/>
        <v>0</v>
      </c>
      <c r="AX115" s="41">
        <f t="shared" si="22"/>
        <v>0</v>
      </c>
      <c r="AY115" s="41">
        <f t="shared" si="22"/>
        <v>0</v>
      </c>
      <c r="AZ115" s="41">
        <f t="shared" si="23"/>
        <v>0</v>
      </c>
      <c r="BA115" s="41">
        <f t="shared" si="23"/>
        <v>0</v>
      </c>
      <c r="BB115" s="41">
        <f t="shared" si="23"/>
        <v>0</v>
      </c>
      <c r="BC115" s="41">
        <f t="shared" si="23"/>
        <v>0</v>
      </c>
      <c r="BD115" s="41">
        <f t="shared" si="13"/>
        <v>0</v>
      </c>
      <c r="BE115" s="43">
        <f t="shared" si="14"/>
        <v>0</v>
      </c>
    </row>
    <row r="116" spans="1:57" ht="24.75" customHeight="1" thickBot="1">
      <c r="A116" s="23">
        <v>106</v>
      </c>
      <c r="B116" s="24" t="s">
        <v>50</v>
      </c>
      <c r="C116" s="24" t="s">
        <v>1489</v>
      </c>
      <c r="D116" s="24" t="s">
        <v>62</v>
      </c>
      <c r="E116" s="74" t="s">
        <v>52</v>
      </c>
      <c r="F116" s="24" t="s">
        <v>52</v>
      </c>
      <c r="G116" s="83" t="s">
        <v>794</v>
      </c>
      <c r="H116" s="83" t="str">
        <f>VLOOKUP(G116,[1]ListLoaded!$E$6:$F$544,2,0)</f>
        <v>100986</v>
      </c>
      <c r="I116" s="72" t="str">
        <f>VLOOKUP(G116,[1]ListLoaded!$E$6:$M$550,9,0)</f>
        <v>F</v>
      </c>
      <c r="J116" s="72" t="str">
        <f>VLOOKUP(G116,[1]ListLoaded!$E$6:$I$537,5,0)</f>
        <v>40HC</v>
      </c>
      <c r="K116" s="140">
        <f>VLOOKUP(G116,[1]ListLoaded!$E$6:$L$537,8,0)</f>
        <v>9.14</v>
      </c>
      <c r="L116" s="83" t="str">
        <f>VLOOKUP(G116,[1]ListLoaded!$E$6:$S$645,15,0)</f>
        <v>00543</v>
      </c>
      <c r="M116" s="86" t="str">
        <f>VLOOKUP(G116,[1]ListLoaded!$E$6:$T$674,16,0)</f>
        <v>VAI</v>
      </c>
      <c r="N116" s="86">
        <f>VLOOKUP(G116,[1]ListLoaded!$E$6:$N$545,10,0)</f>
        <v>0</v>
      </c>
      <c r="O116" s="72"/>
      <c r="P116" s="72">
        <f>VLOOKUP(G116,[1]ListLoaded!$E$6:$O$638,11,0)</f>
        <v>0</v>
      </c>
      <c r="Q116" s="84" t="str">
        <f t="shared" si="17"/>
        <v>F40HC</v>
      </c>
      <c r="R116" s="84" t="str">
        <f>VLOOKUP(G116,[1]ListLoaded!$E$6:$P$604,12,0)</f>
        <v>HAC260519183</v>
      </c>
      <c r="S116" s="15" t="e">
        <f>I116&amp;J116&amp;#REF!</f>
        <v>#REF!</v>
      </c>
      <c r="T116" s="84" t="s">
        <v>828</v>
      </c>
      <c r="U116" s="84"/>
      <c r="V116" s="84"/>
      <c r="AK116" s="146"/>
      <c r="AL116" s="48"/>
      <c r="AM116" s="42"/>
      <c r="AN116" s="41">
        <f t="shared" si="22"/>
        <v>0</v>
      </c>
      <c r="AO116" s="41">
        <f t="shared" si="22"/>
        <v>0</v>
      </c>
      <c r="AP116" s="41">
        <f t="shared" si="22"/>
        <v>0</v>
      </c>
      <c r="AQ116" s="41">
        <f t="shared" si="22"/>
        <v>0</v>
      </c>
      <c r="AR116" s="41">
        <f t="shared" si="22"/>
        <v>0</v>
      </c>
      <c r="AS116" s="41">
        <f t="shared" si="22"/>
        <v>0</v>
      </c>
      <c r="AT116" s="41">
        <f t="shared" si="22"/>
        <v>0</v>
      </c>
      <c r="AU116" s="41">
        <f t="shared" si="22"/>
        <v>0</v>
      </c>
      <c r="AV116" s="41">
        <f t="shared" si="22"/>
        <v>0</v>
      </c>
      <c r="AW116" s="41">
        <f t="shared" si="22"/>
        <v>0</v>
      </c>
      <c r="AX116" s="41">
        <f t="shared" si="22"/>
        <v>0</v>
      </c>
      <c r="AY116" s="41">
        <f t="shared" si="22"/>
        <v>0</v>
      </c>
      <c r="AZ116" s="41">
        <f t="shared" si="23"/>
        <v>0</v>
      </c>
      <c r="BA116" s="41">
        <f t="shared" si="23"/>
        <v>0</v>
      </c>
      <c r="BB116" s="41">
        <f t="shared" si="23"/>
        <v>0</v>
      </c>
      <c r="BC116" s="41">
        <f t="shared" si="23"/>
        <v>0</v>
      </c>
      <c r="BD116" s="41">
        <f t="shared" si="13"/>
        <v>0</v>
      </c>
      <c r="BE116" s="43">
        <f t="shared" si="14"/>
        <v>0</v>
      </c>
    </row>
    <row r="117" spans="1:57" ht="24.75" customHeight="1" thickTop="1" thickBot="1">
      <c r="A117" s="23">
        <v>107</v>
      </c>
      <c r="B117" s="24" t="s">
        <v>50</v>
      </c>
      <c r="C117" s="24" t="s">
        <v>1489</v>
      </c>
      <c r="D117" s="24" t="s">
        <v>62</v>
      </c>
      <c r="E117" s="74" t="s">
        <v>52</v>
      </c>
      <c r="F117" s="24" t="s">
        <v>52</v>
      </c>
      <c r="G117" s="83" t="s">
        <v>795</v>
      </c>
      <c r="H117" s="83" t="str">
        <f>VLOOKUP(G117,[1]ListLoaded!$E$6:$F$544,2,0)</f>
        <v>140286</v>
      </c>
      <c r="I117" s="72" t="str">
        <f>VLOOKUP(G117,[1]ListLoaded!$E$6:$M$550,9,0)</f>
        <v>F</v>
      </c>
      <c r="J117" s="72" t="str">
        <f>VLOOKUP(G117,[1]ListLoaded!$E$6:$I$537,5,0)</f>
        <v>40HC</v>
      </c>
      <c r="K117" s="140">
        <f>VLOOKUP(G117,[1]ListLoaded!$E$6:$L$537,8,0)</f>
        <v>8.2899999999999991</v>
      </c>
      <c r="L117" s="83" t="str">
        <f>VLOOKUP(G117,[1]ListLoaded!$E$6:$S$645,15,0)</f>
        <v>00544</v>
      </c>
      <c r="M117" s="86" t="str">
        <f>VLOOKUP(G117,[1]ListLoaded!$E$6:$T$674,16,0)</f>
        <v>VAI</v>
      </c>
      <c r="N117" s="86">
        <f>VLOOKUP(G117,[1]ListLoaded!$E$6:$N$545,10,0)</f>
        <v>0</v>
      </c>
      <c r="O117" s="72"/>
      <c r="P117" s="72">
        <f>VLOOKUP(G117,[1]ListLoaded!$E$6:$O$638,11,0)</f>
        <v>0</v>
      </c>
      <c r="Q117" s="84" t="str">
        <f t="shared" si="17"/>
        <v>F40HC</v>
      </c>
      <c r="R117" s="84" t="str">
        <f>VLOOKUP(G117,[1]ListLoaded!$E$6:$P$604,12,0)</f>
        <v>HAC260519183</v>
      </c>
      <c r="S117" s="15" t="e">
        <f>I117&amp;J117&amp;#REF!</f>
        <v>#REF!</v>
      </c>
      <c r="T117" s="84" t="s">
        <v>828</v>
      </c>
      <c r="U117" s="84"/>
      <c r="V117" s="84"/>
      <c r="AK117" s="66"/>
      <c r="AL117" s="48"/>
      <c r="AM117" s="42"/>
      <c r="AN117" s="41">
        <f t="shared" si="22"/>
        <v>0</v>
      </c>
      <c r="AO117" s="41">
        <f t="shared" si="22"/>
        <v>0</v>
      </c>
      <c r="AP117" s="41">
        <f t="shared" si="22"/>
        <v>0</v>
      </c>
      <c r="AQ117" s="41">
        <f t="shared" si="22"/>
        <v>0</v>
      </c>
      <c r="AR117" s="41">
        <f t="shared" si="22"/>
        <v>0</v>
      </c>
      <c r="AS117" s="41">
        <f t="shared" si="22"/>
        <v>0</v>
      </c>
      <c r="AT117" s="41">
        <f t="shared" si="22"/>
        <v>0</v>
      </c>
      <c r="AU117" s="41">
        <f t="shared" si="22"/>
        <v>0</v>
      </c>
      <c r="AV117" s="41">
        <f t="shared" si="22"/>
        <v>0</v>
      </c>
      <c r="AW117" s="41">
        <f t="shared" si="22"/>
        <v>0</v>
      </c>
      <c r="AX117" s="41">
        <f t="shared" si="22"/>
        <v>0</v>
      </c>
      <c r="AY117" s="41">
        <f t="shared" si="22"/>
        <v>0</v>
      </c>
      <c r="AZ117" s="41">
        <f t="shared" si="23"/>
        <v>0</v>
      </c>
      <c r="BA117" s="41">
        <f t="shared" si="23"/>
        <v>0</v>
      </c>
      <c r="BB117" s="41">
        <f t="shared" si="23"/>
        <v>0</v>
      </c>
      <c r="BC117" s="41">
        <f t="shared" si="23"/>
        <v>0</v>
      </c>
      <c r="BD117" s="41">
        <f t="shared" si="13"/>
        <v>0</v>
      </c>
      <c r="BE117" s="43">
        <f t="shared" si="14"/>
        <v>0</v>
      </c>
    </row>
    <row r="118" spans="1:57" ht="24.75" customHeight="1" thickTop="1">
      <c r="A118" s="23">
        <v>108</v>
      </c>
      <c r="B118" s="24" t="s">
        <v>50</v>
      </c>
      <c r="C118" s="24" t="s">
        <v>1489</v>
      </c>
      <c r="D118" s="24" t="s">
        <v>62</v>
      </c>
      <c r="E118" s="74" t="s">
        <v>52</v>
      </c>
      <c r="F118" s="24" t="s">
        <v>52</v>
      </c>
      <c r="G118" s="83" t="s">
        <v>796</v>
      </c>
      <c r="H118" s="83" t="str">
        <f>VLOOKUP(G118,[1]ListLoaded!$E$6:$F$544,2,0)</f>
        <v>140686</v>
      </c>
      <c r="I118" s="72" t="str">
        <f>VLOOKUP(G118,[1]ListLoaded!$E$6:$M$550,9,0)</f>
        <v>F</v>
      </c>
      <c r="J118" s="72" t="str">
        <f>VLOOKUP(G118,[1]ListLoaded!$E$6:$I$537,5,0)</f>
        <v>40HC</v>
      </c>
      <c r="K118" s="140">
        <f>VLOOKUP(G118,[1]ListLoaded!$E$6:$L$537,8,0)</f>
        <v>8.86</v>
      </c>
      <c r="L118" s="83" t="str">
        <f>VLOOKUP(G118,[1]ListLoaded!$E$6:$S$645,15,0)</f>
        <v>00541</v>
      </c>
      <c r="M118" s="86" t="str">
        <f>VLOOKUP(G118,[1]ListLoaded!$E$6:$T$674,16,0)</f>
        <v>VAI</v>
      </c>
      <c r="N118" s="86">
        <f>VLOOKUP(G118,[1]ListLoaded!$E$6:$N$545,10,0)</f>
        <v>0</v>
      </c>
      <c r="O118" s="72"/>
      <c r="P118" s="72">
        <f>VLOOKUP(G118,[1]ListLoaded!$E$6:$O$638,11,0)</f>
        <v>0</v>
      </c>
      <c r="Q118" s="84" t="str">
        <f t="shared" si="17"/>
        <v>F40HC</v>
      </c>
      <c r="R118" s="84" t="str">
        <f>VLOOKUP(G118,[1]ListLoaded!$E$6:$P$604,12,0)</f>
        <v>HAC260519183</v>
      </c>
      <c r="S118" s="15" t="e">
        <f>I118&amp;J118&amp;#REF!</f>
        <v>#REF!</v>
      </c>
      <c r="T118" s="84" t="s">
        <v>828</v>
      </c>
      <c r="U118" s="84"/>
      <c r="V118" s="84"/>
      <c r="AK118" s="144" t="s">
        <v>64</v>
      </c>
      <c r="AL118" s="48"/>
      <c r="AM118" s="42"/>
      <c r="AN118" s="41">
        <f t="shared" si="22"/>
        <v>0</v>
      </c>
      <c r="AO118" s="41">
        <f t="shared" si="22"/>
        <v>0</v>
      </c>
      <c r="AP118" s="41">
        <f t="shared" si="22"/>
        <v>0</v>
      </c>
      <c r="AQ118" s="41">
        <f t="shared" si="22"/>
        <v>0</v>
      </c>
      <c r="AR118" s="41">
        <f t="shared" si="22"/>
        <v>0</v>
      </c>
      <c r="AS118" s="41">
        <f t="shared" si="22"/>
        <v>0</v>
      </c>
      <c r="AT118" s="41">
        <f t="shared" si="22"/>
        <v>0</v>
      </c>
      <c r="AU118" s="41">
        <f t="shared" si="22"/>
        <v>0</v>
      </c>
      <c r="AV118" s="41">
        <f t="shared" si="22"/>
        <v>0</v>
      </c>
      <c r="AW118" s="41">
        <f t="shared" si="22"/>
        <v>0</v>
      </c>
      <c r="AX118" s="41">
        <f t="shared" si="22"/>
        <v>0</v>
      </c>
      <c r="AY118" s="41">
        <f t="shared" si="22"/>
        <v>0</v>
      </c>
      <c r="AZ118" s="41">
        <f t="shared" si="23"/>
        <v>0</v>
      </c>
      <c r="BA118" s="41">
        <f t="shared" si="23"/>
        <v>0</v>
      </c>
      <c r="BB118" s="41">
        <f t="shared" si="23"/>
        <v>0</v>
      </c>
      <c r="BC118" s="41">
        <f t="shared" si="23"/>
        <v>0</v>
      </c>
      <c r="BD118" s="41">
        <f t="shared" si="13"/>
        <v>0</v>
      </c>
      <c r="BE118" s="43">
        <f t="shared" si="14"/>
        <v>0</v>
      </c>
    </row>
    <row r="119" spans="1:57" ht="24.75" customHeight="1">
      <c r="A119" s="23">
        <v>109</v>
      </c>
      <c r="B119" s="24" t="s">
        <v>50</v>
      </c>
      <c r="C119" s="24" t="s">
        <v>1489</v>
      </c>
      <c r="D119" s="24" t="s">
        <v>62</v>
      </c>
      <c r="E119" s="74" t="s">
        <v>52</v>
      </c>
      <c r="F119" s="24" t="s">
        <v>52</v>
      </c>
      <c r="G119" s="83" t="s">
        <v>797</v>
      </c>
      <c r="H119" s="83" t="str">
        <f>VLOOKUP(G119,[1]ListLoaded!$E$6:$F$544,2,0)</f>
        <v>060786</v>
      </c>
      <c r="I119" s="72" t="str">
        <f>VLOOKUP(G119,[1]ListLoaded!$E$6:$M$550,9,0)</f>
        <v>F</v>
      </c>
      <c r="J119" s="72" t="str">
        <f>VLOOKUP(G119,[1]ListLoaded!$E$6:$I$537,5,0)</f>
        <v>40HC</v>
      </c>
      <c r="K119" s="140">
        <f>VLOOKUP(G119,[1]ListLoaded!$E$6:$L$537,8,0)</f>
        <v>8.49</v>
      </c>
      <c r="L119" s="83" t="str">
        <f>VLOOKUP(G119,[1]ListLoaded!$E$6:$S$645,15,0)</f>
        <v>00132</v>
      </c>
      <c r="M119" s="86" t="str">
        <f>VLOOKUP(G119,[1]ListLoaded!$E$6:$T$674,16,0)</f>
        <v>VAI</v>
      </c>
      <c r="N119" s="86">
        <f>VLOOKUP(G119,[1]ListLoaded!$E$6:$N$545,10,0)</f>
        <v>0</v>
      </c>
      <c r="O119" s="72"/>
      <c r="P119" s="72">
        <f>VLOOKUP(G119,[1]ListLoaded!$E$6:$O$638,11,0)</f>
        <v>0</v>
      </c>
      <c r="Q119" s="84" t="str">
        <f t="shared" si="17"/>
        <v>F40HC</v>
      </c>
      <c r="R119" s="84" t="str">
        <f>VLOOKUP(G119,[1]ListLoaded!$E$6:$P$604,12,0)</f>
        <v>HAC260519183</v>
      </c>
      <c r="S119" s="15" t="e">
        <f>I119&amp;J119&amp;#REF!</f>
        <v>#REF!</v>
      </c>
      <c r="T119" s="84" t="s">
        <v>828</v>
      </c>
      <c r="U119" s="84"/>
      <c r="V119" s="84"/>
      <c r="AK119" s="145"/>
      <c r="AL119" s="48"/>
      <c r="AM119" s="42"/>
      <c r="AN119" s="41">
        <f t="shared" si="22"/>
        <v>0</v>
      </c>
      <c r="AO119" s="41">
        <f t="shared" si="22"/>
        <v>0</v>
      </c>
      <c r="AP119" s="41">
        <f t="shared" si="22"/>
        <v>0</v>
      </c>
      <c r="AQ119" s="41">
        <f t="shared" si="22"/>
        <v>0</v>
      </c>
      <c r="AR119" s="41">
        <f t="shared" si="22"/>
        <v>0</v>
      </c>
      <c r="AS119" s="41">
        <f t="shared" si="22"/>
        <v>0</v>
      </c>
      <c r="AT119" s="41">
        <f t="shared" si="22"/>
        <v>0</v>
      </c>
      <c r="AU119" s="41">
        <f t="shared" si="22"/>
        <v>0</v>
      </c>
      <c r="AV119" s="41">
        <f t="shared" si="22"/>
        <v>0</v>
      </c>
      <c r="AW119" s="41">
        <f t="shared" si="22"/>
        <v>0</v>
      </c>
      <c r="AX119" s="41">
        <f t="shared" si="22"/>
        <v>0</v>
      </c>
      <c r="AY119" s="41">
        <f t="shared" si="22"/>
        <v>0</v>
      </c>
      <c r="AZ119" s="41">
        <f t="shared" si="23"/>
        <v>0</v>
      </c>
      <c r="BA119" s="41">
        <f t="shared" si="23"/>
        <v>0</v>
      </c>
      <c r="BB119" s="41">
        <f t="shared" si="23"/>
        <v>0</v>
      </c>
      <c r="BC119" s="41">
        <f t="shared" si="23"/>
        <v>0</v>
      </c>
      <c r="BD119" s="41">
        <f t="shared" si="13"/>
        <v>0</v>
      </c>
      <c r="BE119" s="43">
        <f t="shared" si="14"/>
        <v>0</v>
      </c>
    </row>
    <row r="120" spans="1:57" ht="24.75" customHeight="1">
      <c r="A120" s="23">
        <v>110</v>
      </c>
      <c r="B120" s="24" t="s">
        <v>50</v>
      </c>
      <c r="C120" s="24" t="s">
        <v>1489</v>
      </c>
      <c r="D120" s="24" t="s">
        <v>62</v>
      </c>
      <c r="E120" s="74" t="s">
        <v>52</v>
      </c>
      <c r="F120" s="24" t="s">
        <v>52</v>
      </c>
      <c r="G120" s="83" t="s">
        <v>798</v>
      </c>
      <c r="H120" s="83" t="str">
        <f>VLOOKUP(G120,[1]ListLoaded!$E$6:$F$544,2,0)</f>
        <v>310108</v>
      </c>
      <c r="I120" s="72" t="str">
        <f>VLOOKUP(G120,[1]ListLoaded!$E$6:$M$550,9,0)</f>
        <v>F</v>
      </c>
      <c r="J120" s="72" t="s">
        <v>31</v>
      </c>
      <c r="K120" s="140">
        <f>VLOOKUP(G120,[1]ListLoaded!$E$6:$L$537,8,0)</f>
        <v>23.25</v>
      </c>
      <c r="L120" s="83" t="str">
        <f>VLOOKUP(G120,[1]ListLoaded!$E$6:$S$645,15,0)</f>
        <v>000186</v>
      </c>
      <c r="M120" s="86" t="str">
        <f>VLOOKUP(G120,[1]ListLoaded!$E$6:$T$674,16,0)</f>
        <v>NGUYEN LIEU</v>
      </c>
      <c r="N120" s="86">
        <f>VLOOKUP(G120,[1]ListLoaded!$E$6:$N$545,10,0)</f>
        <v>0</v>
      </c>
      <c r="O120" s="72"/>
      <c r="P120" s="72">
        <f>VLOOKUP(G120,[1]ListLoaded!$E$6:$O$638,11,0)</f>
        <v>0</v>
      </c>
      <c r="Q120" s="84" t="str">
        <f t="shared" si="17"/>
        <v>F20DC</v>
      </c>
      <c r="R120" s="84" t="str">
        <f>VLOOKUP(G120,[1]ListLoaded!$E$6:$P$604,12,0)</f>
        <v>HAC260522081</v>
      </c>
      <c r="S120" s="15" t="e">
        <f>I120&amp;J120&amp;#REF!</f>
        <v>#REF!</v>
      </c>
      <c r="T120" s="84" t="s">
        <v>831</v>
      </c>
      <c r="U120" s="84"/>
      <c r="V120" s="84"/>
      <c r="AK120" s="145"/>
      <c r="AL120" s="48"/>
      <c r="AM120" s="42"/>
      <c r="AN120" s="41">
        <f t="shared" si="22"/>
        <v>0</v>
      </c>
      <c r="AO120" s="41">
        <f t="shared" si="22"/>
        <v>0</v>
      </c>
      <c r="AP120" s="41">
        <f t="shared" si="22"/>
        <v>0</v>
      </c>
      <c r="AQ120" s="41">
        <f t="shared" si="22"/>
        <v>0</v>
      </c>
      <c r="AR120" s="41">
        <f t="shared" si="22"/>
        <v>0</v>
      </c>
      <c r="AS120" s="41">
        <f t="shared" si="22"/>
        <v>0</v>
      </c>
      <c r="AT120" s="41">
        <f t="shared" si="22"/>
        <v>0</v>
      </c>
      <c r="AU120" s="41">
        <f t="shared" si="22"/>
        <v>0</v>
      </c>
      <c r="AV120" s="41">
        <f t="shared" si="22"/>
        <v>0</v>
      </c>
      <c r="AW120" s="41">
        <f t="shared" si="22"/>
        <v>0</v>
      </c>
      <c r="AX120" s="41">
        <f t="shared" si="22"/>
        <v>0</v>
      </c>
      <c r="AY120" s="41">
        <f t="shared" si="22"/>
        <v>0</v>
      </c>
      <c r="AZ120" s="41">
        <f t="shared" si="23"/>
        <v>0</v>
      </c>
      <c r="BA120" s="41">
        <f t="shared" si="23"/>
        <v>0</v>
      </c>
      <c r="BB120" s="41">
        <f t="shared" si="23"/>
        <v>0</v>
      </c>
      <c r="BC120" s="41">
        <f t="shared" si="23"/>
        <v>0</v>
      </c>
      <c r="BD120" s="41">
        <f t="shared" ref="BD120:BD137" si="24">SUM(AN120:BC120)</f>
        <v>0</v>
      </c>
      <c r="BE120" s="43">
        <f t="shared" ref="BE120:BE137" si="25">AN120+AO120+AP120+AQ120+AZ120+BA120+(AR120+AS120+AT120+AU120+AV120+AW120+AX120+AY120+BB120+BC120)*2</f>
        <v>0</v>
      </c>
    </row>
    <row r="121" spans="1:57" ht="24.75" customHeight="1">
      <c r="A121" s="23">
        <v>111</v>
      </c>
      <c r="B121" s="24" t="s">
        <v>50</v>
      </c>
      <c r="C121" s="24" t="s">
        <v>1489</v>
      </c>
      <c r="D121" s="24" t="s">
        <v>62</v>
      </c>
      <c r="E121" s="74" t="s">
        <v>52</v>
      </c>
      <c r="F121" s="24" t="s">
        <v>52</v>
      </c>
      <c r="G121" s="83" t="s">
        <v>799</v>
      </c>
      <c r="H121" s="83" t="str">
        <f>VLOOKUP(G121,[1]ListLoaded!$E$6:$F$544,2,0)</f>
        <v>090610</v>
      </c>
      <c r="I121" s="72" t="str">
        <f>VLOOKUP(G121,[1]ListLoaded!$E$6:$M$550,9,0)</f>
        <v>F</v>
      </c>
      <c r="J121" s="72" t="s">
        <v>31</v>
      </c>
      <c r="K121" s="140">
        <f>VLOOKUP(G121,[1]ListLoaded!$E$6:$L$537,8,0)</f>
        <v>10.28</v>
      </c>
      <c r="L121" s="83" t="str">
        <f>VLOOKUP(G121,[1]ListLoaded!$E$6:$S$645,15,0)</f>
        <v>000123</v>
      </c>
      <c r="M121" s="86" t="str">
        <f>VLOOKUP(G121,[1]ListLoaded!$E$6:$T$674,16,0)</f>
        <v>NGUYEN LIEU</v>
      </c>
      <c r="N121" s="86">
        <f>VLOOKUP(G121,[1]ListLoaded!$E$6:$N$545,10,0)</f>
        <v>0</v>
      </c>
      <c r="O121" s="72"/>
      <c r="P121" s="72">
        <f>VLOOKUP(G121,[1]ListLoaded!$E$6:$O$638,11,0)</f>
        <v>0</v>
      </c>
      <c r="Q121" s="84" t="str">
        <f t="shared" si="17"/>
        <v>F20DC</v>
      </c>
      <c r="R121" s="84" t="str">
        <f>VLOOKUP(G121,[1]ListLoaded!$E$6:$P$604,12,0)</f>
        <v>HAC260522081</v>
      </c>
      <c r="S121" s="15" t="e">
        <f>I121&amp;J121&amp;#REF!</f>
        <v>#REF!</v>
      </c>
      <c r="T121" s="84" t="s">
        <v>831</v>
      </c>
      <c r="U121" s="84"/>
      <c r="V121" s="84"/>
      <c r="AK121" s="145"/>
      <c r="AL121" s="48"/>
      <c r="AM121" s="42"/>
      <c r="AN121" s="41">
        <f t="shared" si="22"/>
        <v>0</v>
      </c>
      <c r="AO121" s="41">
        <f t="shared" si="22"/>
        <v>0</v>
      </c>
      <c r="AP121" s="41">
        <f t="shared" si="22"/>
        <v>0</v>
      </c>
      <c r="AQ121" s="41">
        <f t="shared" si="22"/>
        <v>0</v>
      </c>
      <c r="AR121" s="41">
        <f t="shared" si="22"/>
        <v>0</v>
      </c>
      <c r="AS121" s="41">
        <f t="shared" si="22"/>
        <v>0</v>
      </c>
      <c r="AT121" s="41">
        <f t="shared" si="22"/>
        <v>0</v>
      </c>
      <c r="AU121" s="41">
        <f t="shared" si="22"/>
        <v>0</v>
      </c>
      <c r="AV121" s="41">
        <f t="shared" si="22"/>
        <v>0</v>
      </c>
      <c r="AW121" s="41">
        <f t="shared" si="22"/>
        <v>0</v>
      </c>
      <c r="AX121" s="41">
        <f t="shared" si="22"/>
        <v>0</v>
      </c>
      <c r="AY121" s="41">
        <f t="shared" si="22"/>
        <v>0</v>
      </c>
      <c r="AZ121" s="41">
        <f t="shared" si="23"/>
        <v>0</v>
      </c>
      <c r="BA121" s="41">
        <f t="shared" si="23"/>
        <v>0</v>
      </c>
      <c r="BB121" s="41">
        <f t="shared" si="23"/>
        <v>0</v>
      </c>
      <c r="BC121" s="41">
        <f t="shared" si="23"/>
        <v>0</v>
      </c>
      <c r="BD121" s="41">
        <f t="shared" si="24"/>
        <v>0</v>
      </c>
      <c r="BE121" s="43">
        <f t="shared" si="25"/>
        <v>0</v>
      </c>
    </row>
    <row r="122" spans="1:57" ht="24.75" customHeight="1">
      <c r="A122" s="23">
        <v>112</v>
      </c>
      <c r="B122" s="24" t="s">
        <v>50</v>
      </c>
      <c r="C122" s="24" t="s">
        <v>1489</v>
      </c>
      <c r="D122" s="24" t="s">
        <v>62</v>
      </c>
      <c r="E122" s="74" t="s">
        <v>52</v>
      </c>
      <c r="F122" s="24" t="s">
        <v>52</v>
      </c>
      <c r="G122" s="83" t="s">
        <v>800</v>
      </c>
      <c r="H122" s="83" t="str">
        <f>VLOOKUP(G122,[1]ListLoaded!$E$6:$F$544,2,0)</f>
        <v>020482</v>
      </c>
      <c r="I122" s="72" t="str">
        <f>VLOOKUP(G122,[1]ListLoaded!$E$6:$M$550,9,0)</f>
        <v>F</v>
      </c>
      <c r="J122" s="72" t="str">
        <f>VLOOKUP(G122,[1]ListLoaded!$E$6:$I$537,5,0)</f>
        <v>40HC</v>
      </c>
      <c r="K122" s="140">
        <f>VLOOKUP(G122,[1]ListLoaded!$E$6:$L$537,8,0)</f>
        <v>32.01</v>
      </c>
      <c r="L122" s="83" t="str">
        <f>VLOOKUP(G122,[1]ListLoaded!$E$6:$S$645,15,0)</f>
        <v>1109244</v>
      </c>
      <c r="M122" s="86" t="str">
        <f>VLOOKUP(G122,[1]ListLoaded!$E$6:$T$674,16,0)</f>
        <v>NGUYEN LIEU</v>
      </c>
      <c r="N122" s="86">
        <f>VLOOKUP(G122,[1]ListLoaded!$E$6:$N$545,10,0)</f>
        <v>0</v>
      </c>
      <c r="O122" s="72"/>
      <c r="P122" s="72">
        <f>VLOOKUP(G122,[1]ListLoaded!$E$6:$O$638,11,0)</f>
        <v>0</v>
      </c>
      <c r="Q122" s="84" t="str">
        <f t="shared" si="17"/>
        <v>F40HC</v>
      </c>
      <c r="R122" s="84" t="str">
        <f>VLOOKUP(G122,[1]ListLoaded!$E$6:$P$604,12,0)</f>
        <v>HAC260521157</v>
      </c>
      <c r="S122" s="15" t="e">
        <f>I122&amp;J122&amp;#REF!</f>
        <v>#REF!</v>
      </c>
      <c r="T122" s="84" t="s">
        <v>828</v>
      </c>
      <c r="U122" s="84"/>
      <c r="V122" s="84"/>
      <c r="AK122" s="145"/>
      <c r="AL122" s="48"/>
      <c r="AM122" s="42"/>
      <c r="AN122" s="41">
        <f t="shared" si="22"/>
        <v>0</v>
      </c>
      <c r="AO122" s="41">
        <f t="shared" si="22"/>
        <v>0</v>
      </c>
      <c r="AP122" s="41">
        <f t="shared" si="22"/>
        <v>0</v>
      </c>
      <c r="AQ122" s="41">
        <f t="shared" si="22"/>
        <v>0</v>
      </c>
      <c r="AR122" s="41">
        <f t="shared" si="22"/>
        <v>0</v>
      </c>
      <c r="AS122" s="41">
        <f t="shared" si="22"/>
        <v>0</v>
      </c>
      <c r="AT122" s="41">
        <f t="shared" si="22"/>
        <v>0</v>
      </c>
      <c r="AU122" s="41">
        <f t="shared" si="22"/>
        <v>0</v>
      </c>
      <c r="AV122" s="41">
        <f t="shared" si="22"/>
        <v>0</v>
      </c>
      <c r="AW122" s="41">
        <f t="shared" si="22"/>
        <v>0</v>
      </c>
      <c r="AX122" s="41">
        <f t="shared" si="22"/>
        <v>0</v>
      </c>
      <c r="AY122" s="41">
        <f t="shared" si="22"/>
        <v>0</v>
      </c>
      <c r="AZ122" s="41">
        <f t="shared" si="23"/>
        <v>0</v>
      </c>
      <c r="BA122" s="41">
        <f t="shared" si="23"/>
        <v>0</v>
      </c>
      <c r="BB122" s="41">
        <f t="shared" si="23"/>
        <v>0</v>
      </c>
      <c r="BC122" s="41">
        <f t="shared" si="23"/>
        <v>0</v>
      </c>
      <c r="BD122" s="41">
        <f t="shared" si="24"/>
        <v>0</v>
      </c>
      <c r="BE122" s="43">
        <f t="shared" si="25"/>
        <v>0</v>
      </c>
    </row>
    <row r="123" spans="1:57" ht="24.75" customHeight="1">
      <c r="A123" s="23">
        <v>113</v>
      </c>
      <c r="B123" s="24" t="s">
        <v>50</v>
      </c>
      <c r="C123" s="24" t="s">
        <v>1489</v>
      </c>
      <c r="D123" s="24" t="s">
        <v>62</v>
      </c>
      <c r="E123" s="74" t="s">
        <v>52</v>
      </c>
      <c r="F123" s="24" t="s">
        <v>52</v>
      </c>
      <c r="G123" s="83" t="s">
        <v>801</v>
      </c>
      <c r="H123" s="83" t="str">
        <f>VLOOKUP(G123,[1]ListLoaded!$E$6:$F$544,2,0)</f>
        <v>020182</v>
      </c>
      <c r="I123" s="72" t="str">
        <f>VLOOKUP(G123,[1]ListLoaded!$E$6:$M$550,9,0)</f>
        <v>F</v>
      </c>
      <c r="J123" s="72" t="str">
        <f>VLOOKUP(G123,[1]ListLoaded!$E$6:$I$537,5,0)</f>
        <v>40HC</v>
      </c>
      <c r="K123" s="140">
        <f>VLOOKUP(G123,[1]ListLoaded!$E$6:$L$537,8,0)</f>
        <v>30.03</v>
      </c>
      <c r="L123" s="83" t="str">
        <f>VLOOKUP(G123,[1]ListLoaded!$E$6:$S$645,15,0)</f>
        <v>1107184</v>
      </c>
      <c r="M123" s="86" t="str">
        <f>VLOOKUP(G123,[1]ListLoaded!$E$6:$T$674,16,0)</f>
        <v>NGUYEN LIEU</v>
      </c>
      <c r="N123" s="86">
        <f>VLOOKUP(G123,[1]ListLoaded!$E$6:$N$545,10,0)</f>
        <v>0</v>
      </c>
      <c r="O123" s="72"/>
      <c r="P123" s="72">
        <f>VLOOKUP(G123,[1]ListLoaded!$E$6:$O$638,11,0)</f>
        <v>0</v>
      </c>
      <c r="Q123" s="84" t="str">
        <f t="shared" si="17"/>
        <v>F40HC</v>
      </c>
      <c r="R123" s="84" t="str">
        <f>VLOOKUP(G123,[1]ListLoaded!$E$6:$P$604,12,0)</f>
        <v>HAC260521157</v>
      </c>
      <c r="S123" s="15" t="s">
        <v>640</v>
      </c>
      <c r="T123" s="84" t="s">
        <v>828</v>
      </c>
      <c r="U123" s="84"/>
      <c r="V123" s="84"/>
      <c r="AK123" s="145"/>
      <c r="AL123" s="48"/>
      <c r="AM123" s="42"/>
      <c r="AN123" s="41">
        <f t="shared" si="22"/>
        <v>0</v>
      </c>
      <c r="AO123" s="41">
        <f t="shared" si="22"/>
        <v>0</v>
      </c>
      <c r="AP123" s="41">
        <f t="shared" si="22"/>
        <v>0</v>
      </c>
      <c r="AQ123" s="41">
        <f t="shared" si="22"/>
        <v>0</v>
      </c>
      <c r="AR123" s="41">
        <f t="shared" si="22"/>
        <v>0</v>
      </c>
      <c r="AS123" s="41">
        <f t="shared" si="22"/>
        <v>0</v>
      </c>
      <c r="AT123" s="41">
        <f t="shared" si="22"/>
        <v>0</v>
      </c>
      <c r="AU123" s="41">
        <f t="shared" si="22"/>
        <v>0</v>
      </c>
      <c r="AV123" s="41">
        <f t="shared" si="22"/>
        <v>0</v>
      </c>
      <c r="AW123" s="41">
        <f t="shared" si="22"/>
        <v>0</v>
      </c>
      <c r="AX123" s="41">
        <f t="shared" si="22"/>
        <v>0</v>
      </c>
      <c r="AY123" s="41">
        <f t="shared" si="22"/>
        <v>0</v>
      </c>
      <c r="AZ123" s="41">
        <f t="shared" si="23"/>
        <v>0</v>
      </c>
      <c r="BA123" s="41">
        <f t="shared" si="23"/>
        <v>0</v>
      </c>
      <c r="BB123" s="41">
        <f t="shared" si="23"/>
        <v>0</v>
      </c>
      <c r="BC123" s="41">
        <f t="shared" si="23"/>
        <v>0</v>
      </c>
      <c r="BD123" s="41">
        <f t="shared" si="24"/>
        <v>0</v>
      </c>
      <c r="BE123" s="43">
        <f t="shared" si="25"/>
        <v>0</v>
      </c>
    </row>
    <row r="124" spans="1:57" ht="24.75" customHeight="1">
      <c r="A124" s="23">
        <v>114</v>
      </c>
      <c r="B124" s="24" t="s">
        <v>50</v>
      </c>
      <c r="C124" s="24" t="s">
        <v>1489</v>
      </c>
      <c r="D124" s="24" t="s">
        <v>62</v>
      </c>
      <c r="E124" s="74" t="s">
        <v>52</v>
      </c>
      <c r="F124" s="24" t="s">
        <v>52</v>
      </c>
      <c r="G124" s="83" t="s">
        <v>802</v>
      </c>
      <c r="H124" s="83" t="str">
        <f>VLOOKUP(G124,[1]ListLoaded!$E$6:$F$544,2,0)</f>
        <v>050408</v>
      </c>
      <c r="I124" s="72" t="str">
        <f>VLOOKUP(G124,[1]ListLoaded!$E$6:$M$550,9,0)</f>
        <v>F</v>
      </c>
      <c r="J124" s="72" t="s">
        <v>31</v>
      </c>
      <c r="K124" s="140">
        <f>VLOOKUP(G124,[1]ListLoaded!$E$6:$L$537,8,0)</f>
        <v>22.95</v>
      </c>
      <c r="L124" s="83" t="str">
        <f>VLOOKUP(G124,[1]ListLoaded!$E$6:$S$645,15,0)</f>
        <v>1110150</v>
      </c>
      <c r="M124" s="86" t="str">
        <f>VLOOKUP(G124,[1]ListLoaded!$E$6:$T$674,16,0)</f>
        <v>PALET THUNG PHI</v>
      </c>
      <c r="N124" s="86">
        <f>VLOOKUP(G124,[1]ListLoaded!$E$6:$N$545,10,0)</f>
        <v>0</v>
      </c>
      <c r="O124" s="72"/>
      <c r="P124" s="72">
        <f>VLOOKUP(G124,[1]ListLoaded!$E$6:$O$638,11,0)</f>
        <v>0</v>
      </c>
      <c r="Q124" s="84" t="str">
        <f t="shared" si="17"/>
        <v>F20DC</v>
      </c>
      <c r="R124" s="84" t="str">
        <f>VLOOKUP(G124,[1]ListLoaded!$E$6:$P$604,12,0)</f>
        <v>HAC260523029</v>
      </c>
      <c r="S124" s="15" t="s">
        <v>641</v>
      </c>
      <c r="T124" s="84" t="s">
        <v>828</v>
      </c>
      <c r="U124" s="84"/>
      <c r="V124" s="84"/>
      <c r="AK124" s="145"/>
      <c r="AL124" s="48"/>
      <c r="AM124" s="42"/>
      <c r="AN124" s="41">
        <f t="shared" ref="AN124:AY137" si="26">COUNTIF($S$11:$S$1505,"F"&amp;AN$11&amp;$AM124)</f>
        <v>0</v>
      </c>
      <c r="AO124" s="41">
        <f t="shared" si="26"/>
        <v>0</v>
      </c>
      <c r="AP124" s="41">
        <f t="shared" si="26"/>
        <v>0</v>
      </c>
      <c r="AQ124" s="41">
        <f t="shared" si="26"/>
        <v>0</v>
      </c>
      <c r="AR124" s="41">
        <f t="shared" si="26"/>
        <v>0</v>
      </c>
      <c r="AS124" s="41">
        <f t="shared" si="26"/>
        <v>0</v>
      </c>
      <c r="AT124" s="41">
        <f t="shared" si="26"/>
        <v>0</v>
      </c>
      <c r="AU124" s="41">
        <f t="shared" si="26"/>
        <v>0</v>
      </c>
      <c r="AV124" s="41">
        <f t="shared" si="26"/>
        <v>0</v>
      </c>
      <c r="AW124" s="41">
        <f t="shared" si="26"/>
        <v>0</v>
      </c>
      <c r="AX124" s="41">
        <f t="shared" si="26"/>
        <v>0</v>
      </c>
      <c r="AY124" s="41">
        <f t="shared" si="26"/>
        <v>0</v>
      </c>
      <c r="AZ124" s="41">
        <f t="shared" si="23"/>
        <v>0</v>
      </c>
      <c r="BA124" s="41">
        <f t="shared" si="23"/>
        <v>0</v>
      </c>
      <c r="BB124" s="41">
        <f t="shared" si="23"/>
        <v>0</v>
      </c>
      <c r="BC124" s="41">
        <f t="shared" si="23"/>
        <v>0</v>
      </c>
      <c r="BD124" s="41">
        <f t="shared" si="24"/>
        <v>0</v>
      </c>
      <c r="BE124" s="43">
        <f t="shared" si="25"/>
        <v>0</v>
      </c>
    </row>
    <row r="125" spans="1:57" ht="24.75" customHeight="1">
      <c r="A125" s="23">
        <v>115</v>
      </c>
      <c r="B125" s="24" t="s">
        <v>50</v>
      </c>
      <c r="C125" s="24" t="s">
        <v>1489</v>
      </c>
      <c r="D125" s="24" t="s">
        <v>62</v>
      </c>
      <c r="E125" s="74" t="s">
        <v>52</v>
      </c>
      <c r="F125" s="24" t="s">
        <v>52</v>
      </c>
      <c r="G125" s="83" t="s">
        <v>803</v>
      </c>
      <c r="H125" s="83" t="str">
        <f>VLOOKUP(G125,[1]ListLoaded!$E$6:$F$544,2,0)</f>
        <v>090506</v>
      </c>
      <c r="I125" s="72" t="str">
        <f>VLOOKUP(G125,[1]ListLoaded!$E$6:$M$550,9,0)</f>
        <v>F</v>
      </c>
      <c r="J125" s="72" t="s">
        <v>31</v>
      </c>
      <c r="K125" s="140">
        <f>VLOOKUP(G125,[1]ListLoaded!$E$6:$L$537,8,0)</f>
        <v>23.16</v>
      </c>
      <c r="L125" s="83" t="str">
        <f>VLOOKUP(G125,[1]ListLoaded!$E$6:$S$645,15,0)</f>
        <v>1108750</v>
      </c>
      <c r="M125" s="86" t="str">
        <f>VLOOKUP(G125,[1]ListLoaded!$E$6:$T$674,16,0)</f>
        <v>PALET THUNG PHI</v>
      </c>
      <c r="N125" s="86">
        <f>VLOOKUP(G125,[1]ListLoaded!$E$6:$N$545,10,0)</f>
        <v>0</v>
      </c>
      <c r="O125" s="72"/>
      <c r="P125" s="72">
        <f>VLOOKUP(G125,[1]ListLoaded!$E$6:$O$638,11,0)</f>
        <v>0</v>
      </c>
      <c r="Q125" s="84" t="str">
        <f t="shared" si="17"/>
        <v>F20DC</v>
      </c>
      <c r="R125" s="84" t="str">
        <f>VLOOKUP(G125,[1]ListLoaded!$E$6:$P$604,12,0)</f>
        <v>HAC260523029</v>
      </c>
      <c r="S125" s="15" t="e">
        <f>I125&amp;J125&amp;#REF!</f>
        <v>#REF!</v>
      </c>
      <c r="T125" s="84" t="s">
        <v>828</v>
      </c>
      <c r="U125" s="84"/>
      <c r="V125" s="84"/>
      <c r="AK125" s="145"/>
      <c r="AL125" s="48"/>
      <c r="AM125" s="42"/>
      <c r="AN125" s="41">
        <f t="shared" si="26"/>
        <v>0</v>
      </c>
      <c r="AO125" s="41">
        <f t="shared" si="26"/>
        <v>0</v>
      </c>
      <c r="AP125" s="41">
        <f t="shared" si="26"/>
        <v>0</v>
      </c>
      <c r="AQ125" s="41">
        <f t="shared" si="26"/>
        <v>0</v>
      </c>
      <c r="AR125" s="41">
        <f t="shared" si="26"/>
        <v>0</v>
      </c>
      <c r="AS125" s="41">
        <f t="shared" si="26"/>
        <v>0</v>
      </c>
      <c r="AT125" s="41">
        <f t="shared" si="26"/>
        <v>0</v>
      </c>
      <c r="AU125" s="41">
        <f t="shared" si="26"/>
        <v>0</v>
      </c>
      <c r="AV125" s="41">
        <f t="shared" si="26"/>
        <v>0</v>
      </c>
      <c r="AW125" s="41">
        <f t="shared" si="26"/>
        <v>0</v>
      </c>
      <c r="AX125" s="41">
        <f t="shared" si="26"/>
        <v>0</v>
      </c>
      <c r="AY125" s="41">
        <f t="shared" si="26"/>
        <v>0</v>
      </c>
      <c r="AZ125" s="41">
        <f t="shared" si="23"/>
        <v>0</v>
      </c>
      <c r="BA125" s="41">
        <f t="shared" si="23"/>
        <v>0</v>
      </c>
      <c r="BB125" s="41">
        <f t="shared" si="23"/>
        <v>0</v>
      </c>
      <c r="BC125" s="41">
        <f t="shared" si="23"/>
        <v>0</v>
      </c>
      <c r="BD125" s="41">
        <f t="shared" si="24"/>
        <v>0</v>
      </c>
      <c r="BE125" s="43">
        <f t="shared" si="25"/>
        <v>0</v>
      </c>
    </row>
    <row r="126" spans="1:57" ht="24.75" customHeight="1">
      <c r="A126" s="23">
        <v>116</v>
      </c>
      <c r="B126" s="24" t="s">
        <v>50</v>
      </c>
      <c r="C126" s="24" t="s">
        <v>1489</v>
      </c>
      <c r="D126" s="24" t="s">
        <v>62</v>
      </c>
      <c r="E126" s="74" t="s">
        <v>52</v>
      </c>
      <c r="F126" s="24" t="s">
        <v>52</v>
      </c>
      <c r="G126" s="83" t="s">
        <v>804</v>
      </c>
      <c r="H126" s="83" t="str">
        <f>VLOOKUP(G126,[1]ListLoaded!$E$6:$F$544,2,0)</f>
        <v>090504</v>
      </c>
      <c r="I126" s="72" t="str">
        <f>VLOOKUP(G126,[1]ListLoaded!$E$6:$M$550,9,0)</f>
        <v>F</v>
      </c>
      <c r="J126" s="72" t="s">
        <v>31</v>
      </c>
      <c r="K126" s="140">
        <f>VLOOKUP(G126,[1]ListLoaded!$E$6:$L$537,8,0)</f>
        <v>28.97</v>
      </c>
      <c r="L126" s="83" t="str">
        <f>VLOOKUP(G126,[1]ListLoaded!$E$6:$S$645,15,0)</f>
        <v>23385222</v>
      </c>
      <c r="M126" s="86" t="str">
        <f>VLOOKUP(G126,[1]ListLoaded!$E$6:$T$674,16,0)</f>
        <v>VLXD</v>
      </c>
      <c r="N126" s="86">
        <f>VLOOKUP(G126,[1]ListLoaded!$E$6:$N$545,10,0)</f>
        <v>0</v>
      </c>
      <c r="O126" s="72"/>
      <c r="P126" s="72">
        <f>VLOOKUP(G126,[1]ListLoaded!$E$6:$O$638,11,0)</f>
        <v>0</v>
      </c>
      <c r="Q126" s="84" t="str">
        <f t="shared" si="17"/>
        <v>F20DC</v>
      </c>
      <c r="R126" s="84" t="str">
        <f>VLOOKUP(G126,[1]ListLoaded!$E$6:$P$604,12,0)</f>
        <v>HAC260521157</v>
      </c>
      <c r="S126" s="15" t="e">
        <f>I126&amp;J126&amp;#REF!</f>
        <v>#REF!</v>
      </c>
      <c r="T126" s="84" t="s">
        <v>828</v>
      </c>
      <c r="U126" s="84"/>
      <c r="V126" s="84"/>
      <c r="AK126" s="145"/>
      <c r="AL126" s="48"/>
      <c r="AM126" s="42"/>
      <c r="AN126" s="41">
        <f t="shared" si="26"/>
        <v>0</v>
      </c>
      <c r="AO126" s="41">
        <f t="shared" si="26"/>
        <v>0</v>
      </c>
      <c r="AP126" s="41">
        <f t="shared" si="26"/>
        <v>0</v>
      </c>
      <c r="AQ126" s="41">
        <f t="shared" si="26"/>
        <v>0</v>
      </c>
      <c r="AR126" s="41">
        <f t="shared" si="26"/>
        <v>0</v>
      </c>
      <c r="AS126" s="41">
        <f t="shared" si="26"/>
        <v>0</v>
      </c>
      <c r="AT126" s="41">
        <f t="shared" si="26"/>
        <v>0</v>
      </c>
      <c r="AU126" s="41">
        <f t="shared" si="26"/>
        <v>0</v>
      </c>
      <c r="AV126" s="41">
        <f t="shared" si="26"/>
        <v>0</v>
      </c>
      <c r="AW126" s="41">
        <f t="shared" si="26"/>
        <v>0</v>
      </c>
      <c r="AX126" s="41">
        <f t="shared" si="26"/>
        <v>0</v>
      </c>
      <c r="AY126" s="41">
        <f t="shared" si="26"/>
        <v>0</v>
      </c>
      <c r="AZ126" s="41">
        <f t="shared" si="23"/>
        <v>0</v>
      </c>
      <c r="BA126" s="41">
        <f t="shared" si="23"/>
        <v>0</v>
      </c>
      <c r="BB126" s="41">
        <f t="shared" si="23"/>
        <v>0</v>
      </c>
      <c r="BC126" s="41">
        <f t="shared" si="23"/>
        <v>0</v>
      </c>
      <c r="BD126" s="41">
        <f t="shared" si="24"/>
        <v>0</v>
      </c>
      <c r="BE126" s="43">
        <f t="shared" si="25"/>
        <v>0</v>
      </c>
    </row>
    <row r="127" spans="1:57" ht="24.75" customHeight="1">
      <c r="A127" s="23">
        <v>117</v>
      </c>
      <c r="B127" s="24" t="s">
        <v>50</v>
      </c>
      <c r="C127" s="24" t="s">
        <v>1489</v>
      </c>
      <c r="D127" s="24" t="s">
        <v>62</v>
      </c>
      <c r="E127" s="74" t="s">
        <v>52</v>
      </c>
      <c r="F127" s="24" t="s">
        <v>52</v>
      </c>
      <c r="G127" s="83" t="s">
        <v>805</v>
      </c>
      <c r="H127" s="83" t="str">
        <f>VLOOKUP(G127,[1]ListLoaded!$E$6:$F$544,2,0)</f>
        <v>030408</v>
      </c>
      <c r="I127" s="72" t="str">
        <f>VLOOKUP(G127,[1]ListLoaded!$E$6:$M$550,9,0)</f>
        <v>F</v>
      </c>
      <c r="J127" s="72" t="s">
        <v>31</v>
      </c>
      <c r="K127" s="140">
        <f>VLOOKUP(G127,[1]ListLoaded!$E$6:$L$537,8,0)</f>
        <v>23.39</v>
      </c>
      <c r="L127" s="83" t="str">
        <f>VLOOKUP(G127,[1]ListLoaded!$E$6:$S$645,15,0)</f>
        <v>1107074</v>
      </c>
      <c r="M127" s="86" t="str">
        <f>VLOOKUP(G127,[1]ListLoaded!$E$6:$T$674,16,0)</f>
        <v>DAU DIEU</v>
      </c>
      <c r="N127" s="86">
        <f>VLOOKUP(G127,[1]ListLoaded!$E$6:$N$545,10,0)</f>
        <v>0</v>
      </c>
      <c r="O127" s="72"/>
      <c r="P127" s="72">
        <f>VLOOKUP(G127,[1]ListLoaded!$E$6:$O$638,11,0)</f>
        <v>0</v>
      </c>
      <c r="Q127" s="84" t="str">
        <f t="shared" si="17"/>
        <v>F20DC</v>
      </c>
      <c r="R127" s="84" t="str">
        <f>VLOOKUP(G127,[1]ListLoaded!$E$6:$P$604,12,0)</f>
        <v>HAC260523029</v>
      </c>
      <c r="S127" s="15" t="e">
        <f>I127&amp;J127&amp;#REF!</f>
        <v>#REF!</v>
      </c>
      <c r="T127" s="84" t="s">
        <v>828</v>
      </c>
      <c r="U127" s="84"/>
      <c r="V127" s="84"/>
      <c r="AK127" s="145"/>
      <c r="AL127" s="48"/>
      <c r="AM127" s="42"/>
      <c r="AN127" s="41">
        <f t="shared" si="26"/>
        <v>0</v>
      </c>
      <c r="AO127" s="41">
        <f t="shared" si="26"/>
        <v>0</v>
      </c>
      <c r="AP127" s="41">
        <f t="shared" si="26"/>
        <v>0</v>
      </c>
      <c r="AQ127" s="41">
        <f t="shared" si="26"/>
        <v>0</v>
      </c>
      <c r="AR127" s="41">
        <f t="shared" si="26"/>
        <v>0</v>
      </c>
      <c r="AS127" s="41">
        <f t="shared" si="26"/>
        <v>0</v>
      </c>
      <c r="AT127" s="41">
        <f t="shared" si="26"/>
        <v>0</v>
      </c>
      <c r="AU127" s="41">
        <f t="shared" si="26"/>
        <v>0</v>
      </c>
      <c r="AV127" s="41">
        <f t="shared" si="26"/>
        <v>0</v>
      </c>
      <c r="AW127" s="41">
        <f t="shared" si="26"/>
        <v>0</v>
      </c>
      <c r="AX127" s="41">
        <f t="shared" si="26"/>
        <v>0</v>
      </c>
      <c r="AY127" s="41">
        <f t="shared" si="26"/>
        <v>0</v>
      </c>
      <c r="AZ127" s="41">
        <f t="shared" si="23"/>
        <v>0</v>
      </c>
      <c r="BA127" s="41">
        <f t="shared" si="23"/>
        <v>0</v>
      </c>
      <c r="BB127" s="41">
        <f t="shared" si="23"/>
        <v>0</v>
      </c>
      <c r="BC127" s="41">
        <f t="shared" si="23"/>
        <v>0</v>
      </c>
      <c r="BD127" s="41">
        <f t="shared" si="24"/>
        <v>0</v>
      </c>
      <c r="BE127" s="43">
        <f t="shared" si="25"/>
        <v>0</v>
      </c>
    </row>
    <row r="128" spans="1:57" ht="23.45" customHeight="1">
      <c r="A128" s="23">
        <v>118</v>
      </c>
      <c r="B128" s="24" t="s">
        <v>50</v>
      </c>
      <c r="C128" s="24" t="s">
        <v>1489</v>
      </c>
      <c r="D128" s="24" t="s">
        <v>62</v>
      </c>
      <c r="E128" s="74" t="s">
        <v>52</v>
      </c>
      <c r="F128" s="24" t="s">
        <v>52</v>
      </c>
      <c r="G128" s="83" t="s">
        <v>806</v>
      </c>
      <c r="H128" s="83" t="str">
        <f>VLOOKUP(G128,[1]ListLoaded!$E$6:$F$544,2,0)</f>
        <v>070508</v>
      </c>
      <c r="I128" s="72" t="str">
        <f>VLOOKUP(G128,[1]ListLoaded!$E$6:$M$550,9,0)</f>
        <v>F</v>
      </c>
      <c r="J128" s="72" t="s">
        <v>31</v>
      </c>
      <c r="K128" s="140">
        <f>VLOOKUP(G128,[1]ListLoaded!$E$6:$L$537,8,0)</f>
        <v>24.02</v>
      </c>
      <c r="L128" s="83" t="str">
        <f>VLOOKUP(G128,[1]ListLoaded!$E$6:$S$645,15,0)</f>
        <v>1110149</v>
      </c>
      <c r="M128" s="86" t="str">
        <f>VLOOKUP(G128,[1]ListLoaded!$E$6:$T$674,16,0)</f>
        <v>DAU DIEU</v>
      </c>
      <c r="N128" s="86">
        <f>VLOOKUP(G128,[1]ListLoaded!$E$6:$N$545,10,0)</f>
        <v>0</v>
      </c>
      <c r="O128" s="72"/>
      <c r="P128" s="72">
        <f>VLOOKUP(G128,[1]ListLoaded!$E$6:$O$638,11,0)</f>
        <v>0</v>
      </c>
      <c r="Q128" s="84" t="str">
        <f t="shared" si="17"/>
        <v>F20DC</v>
      </c>
      <c r="R128" s="84" t="str">
        <f>VLOOKUP(G128,[1]ListLoaded!$E$6:$P$604,12,0)</f>
        <v>HAC260523029</v>
      </c>
      <c r="S128" s="15" t="s">
        <v>648</v>
      </c>
      <c r="T128" s="84" t="s">
        <v>828</v>
      </c>
      <c r="U128" s="84"/>
      <c r="V128" s="84"/>
      <c r="AK128" s="145"/>
      <c r="AL128" s="48"/>
      <c r="AM128" s="42"/>
      <c r="AN128" s="41">
        <f t="shared" si="26"/>
        <v>0</v>
      </c>
      <c r="AO128" s="41">
        <f t="shared" si="26"/>
        <v>0</v>
      </c>
      <c r="AP128" s="41">
        <f t="shared" si="26"/>
        <v>0</v>
      </c>
      <c r="AQ128" s="41">
        <f t="shared" si="26"/>
        <v>0</v>
      </c>
      <c r="AR128" s="41">
        <f t="shared" si="26"/>
        <v>0</v>
      </c>
      <c r="AS128" s="41">
        <f t="shared" si="26"/>
        <v>0</v>
      </c>
      <c r="AT128" s="41">
        <f t="shared" si="26"/>
        <v>0</v>
      </c>
      <c r="AU128" s="41">
        <f t="shared" si="26"/>
        <v>0</v>
      </c>
      <c r="AV128" s="41">
        <f t="shared" si="26"/>
        <v>0</v>
      </c>
      <c r="AW128" s="41">
        <f t="shared" si="26"/>
        <v>0</v>
      </c>
      <c r="AX128" s="41">
        <f t="shared" si="26"/>
        <v>0</v>
      </c>
      <c r="AY128" s="41">
        <f t="shared" si="26"/>
        <v>0</v>
      </c>
      <c r="AZ128" s="41">
        <f t="shared" si="23"/>
        <v>0</v>
      </c>
      <c r="BA128" s="41">
        <f t="shared" si="23"/>
        <v>0</v>
      </c>
      <c r="BB128" s="41">
        <f t="shared" si="23"/>
        <v>0</v>
      </c>
      <c r="BC128" s="41">
        <f t="shared" si="23"/>
        <v>0</v>
      </c>
      <c r="BD128" s="41">
        <f t="shared" si="24"/>
        <v>0</v>
      </c>
      <c r="BE128" s="43">
        <f t="shared" si="25"/>
        <v>0</v>
      </c>
    </row>
    <row r="129" spans="1:57" ht="24.75" customHeight="1">
      <c r="A129" s="23">
        <v>119</v>
      </c>
      <c r="B129" s="24" t="s">
        <v>50</v>
      </c>
      <c r="C129" s="173" t="s">
        <v>173</v>
      </c>
      <c r="D129" s="24" t="s">
        <v>62</v>
      </c>
      <c r="E129" s="74" t="s">
        <v>1488</v>
      </c>
      <c r="F129" s="24" t="s">
        <v>52</v>
      </c>
      <c r="G129" s="83" t="s">
        <v>807</v>
      </c>
      <c r="H129" s="83" t="str">
        <f>VLOOKUP(G129,[1]ListLoaded!$E$6:$F$544,2,0)</f>
        <v>070982</v>
      </c>
      <c r="I129" s="72" t="str">
        <f>VLOOKUP(G129,[1]ListLoaded!$E$6:$M$550,9,0)</f>
        <v>E</v>
      </c>
      <c r="J129" s="72" t="str">
        <f>VLOOKUP(G129,[1]ListLoaded!$E$6:$I$537,5,0)</f>
        <v>20TK</v>
      </c>
      <c r="K129" s="140">
        <f>VLOOKUP(G129,[1]ListLoaded!$E$6:$L$537,8,0)</f>
        <v>3</v>
      </c>
      <c r="L129" s="83" t="str">
        <f>VLOOKUP(G129,[1]ListLoaded!$E$6:$S$645,15,0)</f>
        <v/>
      </c>
      <c r="M129" s="86" t="s">
        <v>56</v>
      </c>
      <c r="N129" s="86">
        <f>VLOOKUP(G129,[1]ListLoaded!$E$6:$N$545,10,0)</f>
        <v>0</v>
      </c>
      <c r="O129" s="72" t="s">
        <v>827</v>
      </c>
      <c r="P129" s="72">
        <f>VLOOKUP(G129,[1]ListLoaded!$E$6:$O$638,11,0)</f>
        <v>0</v>
      </c>
      <c r="Q129" s="84" t="str">
        <f t="shared" si="17"/>
        <v>E20TK</v>
      </c>
      <c r="R129" s="84" t="str">
        <f>VLOOKUP(G129,[1]ListLoaded!$E$6:$P$604,12,0)</f>
        <v>HAC260523020</v>
      </c>
      <c r="S129" s="15" t="s">
        <v>622</v>
      </c>
      <c r="T129" s="84" t="s">
        <v>832</v>
      </c>
      <c r="U129" s="84"/>
      <c r="V129" s="84"/>
      <c r="AK129" s="91"/>
      <c r="AL129" s="41"/>
      <c r="AM129" s="42"/>
      <c r="AN129" s="41">
        <f t="shared" si="26"/>
        <v>0</v>
      </c>
      <c r="AO129" s="41">
        <f t="shared" si="26"/>
        <v>0</v>
      </c>
      <c r="AP129" s="41">
        <f t="shared" si="26"/>
        <v>0</v>
      </c>
      <c r="AQ129" s="41">
        <f t="shared" si="26"/>
        <v>0</v>
      </c>
      <c r="AR129" s="41">
        <f t="shared" si="26"/>
        <v>0</v>
      </c>
      <c r="AS129" s="41">
        <f t="shared" si="26"/>
        <v>0</v>
      </c>
      <c r="AT129" s="41">
        <f t="shared" si="26"/>
        <v>0</v>
      </c>
      <c r="AU129" s="41">
        <f t="shared" si="26"/>
        <v>0</v>
      </c>
      <c r="AV129" s="41">
        <f t="shared" si="26"/>
        <v>0</v>
      </c>
      <c r="AW129" s="41">
        <f t="shared" si="26"/>
        <v>0</v>
      </c>
      <c r="AX129" s="41">
        <f t="shared" si="26"/>
        <v>0</v>
      </c>
      <c r="AY129" s="41">
        <f t="shared" si="26"/>
        <v>0</v>
      </c>
      <c r="AZ129" s="41">
        <f t="shared" si="23"/>
        <v>0</v>
      </c>
      <c r="BA129" s="41">
        <f t="shared" si="23"/>
        <v>0</v>
      </c>
      <c r="BB129" s="41">
        <f t="shared" si="23"/>
        <v>0</v>
      </c>
      <c r="BC129" s="41">
        <f t="shared" si="23"/>
        <v>0</v>
      </c>
      <c r="BD129" s="41">
        <f t="shared" si="24"/>
        <v>0</v>
      </c>
      <c r="BE129" s="43">
        <f t="shared" si="25"/>
        <v>0</v>
      </c>
    </row>
    <row r="130" spans="1:57">
      <c r="A130" s="23">
        <v>120</v>
      </c>
      <c r="B130" s="24" t="s">
        <v>50</v>
      </c>
      <c r="C130" s="173" t="s">
        <v>173</v>
      </c>
      <c r="D130" s="24" t="s">
        <v>62</v>
      </c>
      <c r="E130" s="74" t="s">
        <v>1488</v>
      </c>
      <c r="F130" s="24" t="s">
        <v>52</v>
      </c>
      <c r="G130" s="83" t="s">
        <v>808</v>
      </c>
      <c r="H130" s="83" t="str">
        <f>VLOOKUP(G130,[1]ListLoaded!$E$6:$F$544,2,0)</f>
        <v>230310</v>
      </c>
      <c r="I130" s="72" t="str">
        <f>VLOOKUP(G130,[1]ListLoaded!$E$6:$M$550,9,0)</f>
        <v>E</v>
      </c>
      <c r="J130" s="72" t="str">
        <f>VLOOKUP(G130,[1]ListLoaded!$E$6:$I$537,5,0)</f>
        <v>20TK</v>
      </c>
      <c r="K130" s="140">
        <f>VLOOKUP(G130,[1]ListLoaded!$E$6:$L$537,8,0)</f>
        <v>3</v>
      </c>
      <c r="L130" s="83" t="str">
        <f>VLOOKUP(G130,[1]ListLoaded!$E$6:$S$645,15,0)</f>
        <v/>
      </c>
      <c r="M130" s="86" t="s">
        <v>56</v>
      </c>
      <c r="N130" s="86">
        <f>VLOOKUP(G130,[1]ListLoaded!$E$6:$N$545,10,0)</f>
        <v>0</v>
      </c>
      <c r="O130" s="72" t="s">
        <v>827</v>
      </c>
      <c r="P130" s="72">
        <f>VLOOKUP(G130,[1]ListLoaded!$E$6:$O$638,11,0)</f>
        <v>0</v>
      </c>
      <c r="Q130" s="84" t="str">
        <f t="shared" si="17"/>
        <v>E20TK</v>
      </c>
      <c r="R130" s="84" t="str">
        <f>VLOOKUP(G130,[1]ListLoaded!$E$6:$P$604,12,0)</f>
        <v>HAC260523020</v>
      </c>
      <c r="S130" s="15" t="s">
        <v>622</v>
      </c>
      <c r="T130" s="84" t="s">
        <v>832</v>
      </c>
      <c r="U130" s="84"/>
      <c r="V130" s="84"/>
      <c r="AK130" s="91"/>
      <c r="AL130" s="41"/>
      <c r="AM130" s="42"/>
      <c r="AN130" s="41">
        <f t="shared" si="26"/>
        <v>0</v>
      </c>
      <c r="AO130" s="41">
        <f t="shared" si="26"/>
        <v>0</v>
      </c>
      <c r="AP130" s="41">
        <f t="shared" si="26"/>
        <v>0</v>
      </c>
      <c r="AQ130" s="41">
        <f t="shared" si="26"/>
        <v>0</v>
      </c>
      <c r="AR130" s="41">
        <f t="shared" si="26"/>
        <v>0</v>
      </c>
      <c r="AS130" s="41">
        <f t="shared" si="26"/>
        <v>0</v>
      </c>
      <c r="AT130" s="41">
        <f t="shared" si="26"/>
        <v>0</v>
      </c>
      <c r="AU130" s="41">
        <f t="shared" si="26"/>
        <v>0</v>
      </c>
      <c r="AV130" s="41">
        <f t="shared" si="26"/>
        <v>0</v>
      </c>
      <c r="AW130" s="41">
        <f t="shared" si="26"/>
        <v>0</v>
      </c>
      <c r="AX130" s="41">
        <f t="shared" si="26"/>
        <v>0</v>
      </c>
      <c r="AY130" s="41">
        <f t="shared" si="26"/>
        <v>0</v>
      </c>
      <c r="AZ130" s="41">
        <f t="shared" si="23"/>
        <v>0</v>
      </c>
      <c r="BA130" s="41">
        <f t="shared" si="23"/>
        <v>0</v>
      </c>
      <c r="BB130" s="41">
        <f t="shared" si="23"/>
        <v>0</v>
      </c>
      <c r="BC130" s="41">
        <f t="shared" si="23"/>
        <v>0</v>
      </c>
      <c r="BD130" s="41">
        <f t="shared" si="24"/>
        <v>0</v>
      </c>
      <c r="BE130" s="43">
        <f t="shared" si="25"/>
        <v>0</v>
      </c>
    </row>
    <row r="131" spans="1:57" ht="24.75" customHeight="1">
      <c r="A131" s="23">
        <v>121</v>
      </c>
      <c r="B131" s="24" t="s">
        <v>50</v>
      </c>
      <c r="C131" s="173" t="s">
        <v>173</v>
      </c>
      <c r="D131" s="24" t="s">
        <v>62</v>
      </c>
      <c r="E131" s="74" t="s">
        <v>1488</v>
      </c>
      <c r="F131" s="24" t="s">
        <v>52</v>
      </c>
      <c r="G131" s="83" t="s">
        <v>809</v>
      </c>
      <c r="H131" s="83" t="str">
        <f>VLOOKUP(G131,[1]ListLoaded!$E$6:$F$544,2,0)</f>
        <v>210310</v>
      </c>
      <c r="I131" s="72" t="str">
        <f>VLOOKUP(G131,[1]ListLoaded!$E$6:$M$550,9,0)</f>
        <v>E</v>
      </c>
      <c r="J131" s="72" t="str">
        <f>VLOOKUP(G131,[1]ListLoaded!$E$6:$I$537,5,0)</f>
        <v>20TK</v>
      </c>
      <c r="K131" s="140">
        <f>VLOOKUP(G131,[1]ListLoaded!$E$6:$L$537,8,0)</f>
        <v>3</v>
      </c>
      <c r="L131" s="83" t="str">
        <f>VLOOKUP(G131,[1]ListLoaded!$E$6:$S$645,15,0)</f>
        <v/>
      </c>
      <c r="M131" s="86" t="s">
        <v>56</v>
      </c>
      <c r="N131" s="86">
        <f>VLOOKUP(G131,[1]ListLoaded!$E$6:$N$545,10,0)</f>
        <v>0</v>
      </c>
      <c r="O131" s="72" t="s">
        <v>827</v>
      </c>
      <c r="P131" s="72">
        <f>VLOOKUP(G131,[1]ListLoaded!$E$6:$O$638,11,0)</f>
        <v>0</v>
      </c>
      <c r="Q131" s="84" t="str">
        <f t="shared" si="17"/>
        <v>E20TK</v>
      </c>
      <c r="R131" s="84" t="str">
        <f>VLOOKUP(G131,[1]ListLoaded!$E$6:$P$604,12,0)</f>
        <v>HAC260523020</v>
      </c>
      <c r="S131" s="15" t="e">
        <f>I131&amp;J131&amp;#REF!</f>
        <v>#REF!</v>
      </c>
      <c r="T131" s="84" t="s">
        <v>832</v>
      </c>
      <c r="U131" s="84"/>
      <c r="V131" s="84"/>
      <c r="AK131" s="91"/>
      <c r="AL131" s="41"/>
      <c r="AM131" s="42"/>
      <c r="AN131" s="41">
        <f t="shared" si="26"/>
        <v>0</v>
      </c>
      <c r="AO131" s="41">
        <f t="shared" si="26"/>
        <v>0</v>
      </c>
      <c r="AP131" s="41">
        <f t="shared" si="26"/>
        <v>0</v>
      </c>
      <c r="AQ131" s="41">
        <f t="shared" si="26"/>
        <v>0</v>
      </c>
      <c r="AR131" s="41">
        <f t="shared" si="26"/>
        <v>0</v>
      </c>
      <c r="AS131" s="41">
        <f t="shared" si="26"/>
        <v>0</v>
      </c>
      <c r="AT131" s="41">
        <f t="shared" si="26"/>
        <v>0</v>
      </c>
      <c r="AU131" s="41">
        <f t="shared" si="26"/>
        <v>0</v>
      </c>
      <c r="AV131" s="41">
        <f t="shared" si="26"/>
        <v>0</v>
      </c>
      <c r="AW131" s="41">
        <f t="shared" si="26"/>
        <v>0</v>
      </c>
      <c r="AX131" s="41">
        <f t="shared" si="26"/>
        <v>0</v>
      </c>
      <c r="AY131" s="41">
        <f t="shared" si="26"/>
        <v>0</v>
      </c>
      <c r="AZ131" s="41">
        <f t="shared" si="23"/>
        <v>0</v>
      </c>
      <c r="BA131" s="41">
        <f t="shared" si="23"/>
        <v>0</v>
      </c>
      <c r="BB131" s="41">
        <f t="shared" si="23"/>
        <v>0</v>
      </c>
      <c r="BC131" s="41">
        <f t="shared" si="23"/>
        <v>0</v>
      </c>
      <c r="BD131" s="41">
        <f t="shared" si="24"/>
        <v>0</v>
      </c>
      <c r="BE131" s="43">
        <f t="shared" si="25"/>
        <v>0</v>
      </c>
    </row>
    <row r="132" spans="1:57" ht="24.75" customHeight="1">
      <c r="A132" s="23">
        <v>122</v>
      </c>
      <c r="B132" s="24" t="s">
        <v>50</v>
      </c>
      <c r="C132" s="173" t="s">
        <v>173</v>
      </c>
      <c r="D132" s="24" t="s">
        <v>62</v>
      </c>
      <c r="E132" s="74" t="s">
        <v>1488</v>
      </c>
      <c r="F132" s="24" t="s">
        <v>52</v>
      </c>
      <c r="G132" s="83" t="s">
        <v>810</v>
      </c>
      <c r="H132" s="83" t="str">
        <f>VLOOKUP(G132,[1]ListLoaded!$E$6:$F$544,2,0)</f>
        <v>310610</v>
      </c>
      <c r="I132" s="72" t="str">
        <f>VLOOKUP(G132,[1]ListLoaded!$E$6:$M$550,9,0)</f>
        <v>E</v>
      </c>
      <c r="J132" s="72" t="str">
        <f>VLOOKUP(G132,[1]ListLoaded!$E$6:$I$537,5,0)</f>
        <v>20TK</v>
      </c>
      <c r="K132" s="140">
        <f>VLOOKUP(G132,[1]ListLoaded!$E$6:$L$537,8,0)</f>
        <v>3</v>
      </c>
      <c r="L132" s="83" t="str">
        <f>VLOOKUP(G132,[1]ListLoaded!$E$6:$S$645,15,0)</f>
        <v/>
      </c>
      <c r="M132" s="86" t="s">
        <v>56</v>
      </c>
      <c r="N132" s="86">
        <f>VLOOKUP(G132,[1]ListLoaded!$E$6:$N$545,10,0)</f>
        <v>0</v>
      </c>
      <c r="O132" s="72" t="s">
        <v>827</v>
      </c>
      <c r="P132" s="72">
        <f>VLOOKUP(G132,[1]ListLoaded!$E$6:$O$638,11,0)</f>
        <v>0</v>
      </c>
      <c r="Q132" s="84" t="str">
        <f t="shared" si="17"/>
        <v>E20TK</v>
      </c>
      <c r="R132" s="84" t="str">
        <f>VLOOKUP(G132,[1]ListLoaded!$E$6:$P$604,12,0)</f>
        <v>HAC260523020</v>
      </c>
      <c r="S132" s="15" t="e">
        <f>I132&amp;J132&amp;#REF!</f>
        <v>#REF!</v>
      </c>
      <c r="T132" s="84" t="s">
        <v>832</v>
      </c>
      <c r="U132" s="84"/>
      <c r="V132" s="84"/>
      <c r="AK132" s="91"/>
      <c r="AL132" s="41"/>
      <c r="AM132" s="42"/>
      <c r="AN132" s="41">
        <f t="shared" si="26"/>
        <v>0</v>
      </c>
      <c r="AO132" s="41">
        <f t="shared" si="26"/>
        <v>0</v>
      </c>
      <c r="AP132" s="41">
        <f t="shared" si="26"/>
        <v>0</v>
      </c>
      <c r="AQ132" s="41">
        <f t="shared" si="26"/>
        <v>0</v>
      </c>
      <c r="AR132" s="41">
        <f t="shared" si="26"/>
        <v>0</v>
      </c>
      <c r="AS132" s="41">
        <f t="shared" si="26"/>
        <v>0</v>
      </c>
      <c r="AT132" s="41">
        <f t="shared" si="26"/>
        <v>0</v>
      </c>
      <c r="AU132" s="41">
        <f t="shared" si="26"/>
        <v>0</v>
      </c>
      <c r="AV132" s="41">
        <f t="shared" si="26"/>
        <v>0</v>
      </c>
      <c r="AW132" s="41">
        <f t="shared" si="26"/>
        <v>0</v>
      </c>
      <c r="AX132" s="41">
        <f t="shared" si="26"/>
        <v>0</v>
      </c>
      <c r="AY132" s="41">
        <f t="shared" si="26"/>
        <v>0</v>
      </c>
      <c r="AZ132" s="41">
        <f t="shared" si="23"/>
        <v>0</v>
      </c>
      <c r="BA132" s="41">
        <f t="shared" si="23"/>
        <v>0</v>
      </c>
      <c r="BB132" s="41">
        <f t="shared" si="23"/>
        <v>0</v>
      </c>
      <c r="BC132" s="41">
        <f t="shared" si="23"/>
        <v>0</v>
      </c>
      <c r="BD132" s="41">
        <f t="shared" si="24"/>
        <v>0</v>
      </c>
      <c r="BE132" s="43">
        <f t="shared" si="25"/>
        <v>0</v>
      </c>
    </row>
    <row r="133" spans="1:57" ht="24.75" customHeight="1">
      <c r="A133" s="23">
        <v>123</v>
      </c>
      <c r="B133" s="24" t="s">
        <v>50</v>
      </c>
      <c r="C133" s="173" t="s">
        <v>173</v>
      </c>
      <c r="D133" s="24" t="s">
        <v>62</v>
      </c>
      <c r="E133" s="74" t="s">
        <v>1488</v>
      </c>
      <c r="F133" s="24" t="s">
        <v>52</v>
      </c>
      <c r="G133" s="83" t="s">
        <v>811</v>
      </c>
      <c r="H133" s="83" t="str">
        <f>VLOOKUP(G133,[1]ListLoaded!$E$6:$F$544,2,0)</f>
        <v>230810</v>
      </c>
      <c r="I133" s="72" t="str">
        <f>VLOOKUP(G133,[1]ListLoaded!$E$6:$M$550,9,0)</f>
        <v>E</v>
      </c>
      <c r="J133" s="72" t="str">
        <f>VLOOKUP(G133,[1]ListLoaded!$E$6:$I$537,5,0)</f>
        <v>20TK</v>
      </c>
      <c r="K133" s="140">
        <f>VLOOKUP(G133,[1]ListLoaded!$E$6:$L$537,8,0)</f>
        <v>3</v>
      </c>
      <c r="L133" s="83" t="str">
        <f>VLOOKUP(G133,[1]ListLoaded!$E$6:$S$645,15,0)</f>
        <v/>
      </c>
      <c r="M133" s="86" t="s">
        <v>56</v>
      </c>
      <c r="N133" s="86">
        <f>VLOOKUP(G133,[1]ListLoaded!$E$6:$N$545,10,0)</f>
        <v>0</v>
      </c>
      <c r="O133" s="72" t="s">
        <v>827</v>
      </c>
      <c r="P133" s="72">
        <f>VLOOKUP(G133,[1]ListLoaded!$E$6:$O$638,11,0)</f>
        <v>0</v>
      </c>
      <c r="Q133" s="84" t="str">
        <f t="shared" si="17"/>
        <v>E20TK</v>
      </c>
      <c r="R133" s="84" t="str">
        <f>VLOOKUP(G133,[1]ListLoaded!$E$6:$P$604,12,0)</f>
        <v>HAC260523020</v>
      </c>
      <c r="S133" s="15" t="e">
        <f>I133&amp;J133&amp;#REF!</f>
        <v>#REF!</v>
      </c>
      <c r="T133" s="84" t="s">
        <v>832</v>
      </c>
      <c r="U133" s="84"/>
      <c r="V133" s="84"/>
      <c r="AK133" s="91"/>
      <c r="AL133" s="41"/>
      <c r="AM133" s="42"/>
      <c r="AN133" s="41">
        <f t="shared" si="26"/>
        <v>0</v>
      </c>
      <c r="AO133" s="41">
        <f t="shared" si="26"/>
        <v>0</v>
      </c>
      <c r="AP133" s="41">
        <f t="shared" si="26"/>
        <v>0</v>
      </c>
      <c r="AQ133" s="41">
        <f t="shared" si="26"/>
        <v>0</v>
      </c>
      <c r="AR133" s="41">
        <f t="shared" si="26"/>
        <v>0</v>
      </c>
      <c r="AS133" s="41">
        <f t="shared" si="26"/>
        <v>0</v>
      </c>
      <c r="AT133" s="41">
        <f t="shared" si="26"/>
        <v>0</v>
      </c>
      <c r="AU133" s="41">
        <f t="shared" si="26"/>
        <v>0</v>
      </c>
      <c r="AV133" s="41">
        <f t="shared" si="26"/>
        <v>0</v>
      </c>
      <c r="AW133" s="41">
        <f t="shared" si="26"/>
        <v>0</v>
      </c>
      <c r="AX133" s="41">
        <f t="shared" si="26"/>
        <v>0</v>
      </c>
      <c r="AY133" s="41">
        <f t="shared" si="26"/>
        <v>0</v>
      </c>
      <c r="AZ133" s="41">
        <f t="shared" si="23"/>
        <v>0</v>
      </c>
      <c r="BA133" s="41">
        <f t="shared" si="23"/>
        <v>0</v>
      </c>
      <c r="BB133" s="41">
        <f t="shared" si="23"/>
        <v>0</v>
      </c>
      <c r="BC133" s="41">
        <f t="shared" si="23"/>
        <v>0</v>
      </c>
      <c r="BD133" s="41">
        <f t="shared" si="24"/>
        <v>0</v>
      </c>
      <c r="BE133" s="43">
        <f t="shared" si="25"/>
        <v>0</v>
      </c>
    </row>
    <row r="134" spans="1:57" ht="24.75" customHeight="1">
      <c r="A134" s="23">
        <v>124</v>
      </c>
      <c r="B134" s="24" t="s">
        <v>50</v>
      </c>
      <c r="C134" s="173" t="s">
        <v>173</v>
      </c>
      <c r="D134" s="24" t="s">
        <v>62</v>
      </c>
      <c r="E134" s="74" t="s">
        <v>1488</v>
      </c>
      <c r="F134" s="24" t="s">
        <v>52</v>
      </c>
      <c r="G134" s="83" t="s">
        <v>812</v>
      </c>
      <c r="H134" s="83" t="str">
        <f>VLOOKUP(G134,[1]ListLoaded!$E$6:$F$544,2,0)</f>
        <v>210510</v>
      </c>
      <c r="I134" s="72" t="str">
        <f>VLOOKUP(G134,[1]ListLoaded!$E$6:$M$550,9,0)</f>
        <v>E</v>
      </c>
      <c r="J134" s="72" t="str">
        <f>VLOOKUP(G134,[1]ListLoaded!$E$6:$I$537,5,0)</f>
        <v>20TK</v>
      </c>
      <c r="K134" s="140">
        <f>VLOOKUP(G134,[1]ListLoaded!$E$6:$L$537,8,0)</f>
        <v>3</v>
      </c>
      <c r="L134" s="83" t="str">
        <f>VLOOKUP(G134,[1]ListLoaded!$E$6:$S$645,15,0)</f>
        <v/>
      </c>
      <c r="M134" s="86" t="s">
        <v>56</v>
      </c>
      <c r="N134" s="86">
        <f>VLOOKUP(G134,[1]ListLoaded!$E$6:$N$545,10,0)</f>
        <v>0</v>
      </c>
      <c r="O134" s="72" t="s">
        <v>827</v>
      </c>
      <c r="P134" s="72">
        <f>VLOOKUP(G134,[1]ListLoaded!$E$6:$O$638,11,0)</f>
        <v>0</v>
      </c>
      <c r="Q134" s="84" t="str">
        <f t="shared" si="17"/>
        <v>E20TK</v>
      </c>
      <c r="R134" s="84" t="str">
        <f>VLOOKUP(G134,[1]ListLoaded!$E$6:$P$604,12,0)</f>
        <v>HAC260523020</v>
      </c>
      <c r="S134" s="15" t="e">
        <f>I134&amp;J134&amp;#REF!</f>
        <v>#REF!</v>
      </c>
      <c r="T134" s="84" t="s">
        <v>832</v>
      </c>
      <c r="U134" s="84"/>
      <c r="V134" s="84"/>
      <c r="AK134" s="91"/>
      <c r="AL134" s="41"/>
      <c r="AM134" s="42"/>
      <c r="AN134" s="41">
        <f t="shared" si="26"/>
        <v>0</v>
      </c>
      <c r="AO134" s="41">
        <f t="shared" si="26"/>
        <v>0</v>
      </c>
      <c r="AP134" s="41">
        <f t="shared" si="26"/>
        <v>0</v>
      </c>
      <c r="AQ134" s="41">
        <f t="shared" si="26"/>
        <v>0</v>
      </c>
      <c r="AR134" s="41">
        <f t="shared" si="26"/>
        <v>0</v>
      </c>
      <c r="AS134" s="41">
        <f t="shared" si="26"/>
        <v>0</v>
      </c>
      <c r="AT134" s="41">
        <f t="shared" si="26"/>
        <v>0</v>
      </c>
      <c r="AU134" s="41">
        <f t="shared" si="26"/>
        <v>0</v>
      </c>
      <c r="AV134" s="41">
        <f t="shared" si="26"/>
        <v>0</v>
      </c>
      <c r="AW134" s="41">
        <f t="shared" si="26"/>
        <v>0</v>
      </c>
      <c r="AX134" s="41">
        <f t="shared" si="26"/>
        <v>0</v>
      </c>
      <c r="AY134" s="41">
        <f t="shared" si="26"/>
        <v>0</v>
      </c>
      <c r="AZ134" s="41">
        <f t="shared" ref="AZ134:BC142" si="27">COUNTIF($S$11:$S$1505,"E"&amp;AZ$11&amp;$AM134)</f>
        <v>0</v>
      </c>
      <c r="BA134" s="41">
        <f t="shared" si="27"/>
        <v>0</v>
      </c>
      <c r="BB134" s="41">
        <f t="shared" si="27"/>
        <v>0</v>
      </c>
      <c r="BC134" s="41">
        <f t="shared" si="27"/>
        <v>0</v>
      </c>
      <c r="BD134" s="41">
        <f t="shared" si="24"/>
        <v>0</v>
      </c>
      <c r="BE134" s="43">
        <f t="shared" si="25"/>
        <v>0</v>
      </c>
    </row>
    <row r="135" spans="1:57" ht="24.75" customHeight="1">
      <c r="A135" s="23">
        <v>125</v>
      </c>
      <c r="B135" s="24" t="s">
        <v>50</v>
      </c>
      <c r="C135" s="173" t="s">
        <v>173</v>
      </c>
      <c r="D135" s="24" t="s">
        <v>62</v>
      </c>
      <c r="E135" s="74" t="s">
        <v>1488</v>
      </c>
      <c r="F135" s="24" t="s">
        <v>52</v>
      </c>
      <c r="G135" s="83" t="s">
        <v>813</v>
      </c>
      <c r="H135" s="83" t="str">
        <f>VLOOKUP(G135,[1]ListLoaded!$E$6:$F$544,2,0)</f>
        <v>071082</v>
      </c>
      <c r="I135" s="72" t="str">
        <f>VLOOKUP(G135,[1]ListLoaded!$E$6:$M$550,9,0)</f>
        <v>E</v>
      </c>
      <c r="J135" s="72" t="str">
        <f>VLOOKUP(G135,[1]ListLoaded!$E$6:$I$537,5,0)</f>
        <v>20TK</v>
      </c>
      <c r="K135" s="140">
        <f>VLOOKUP(G135,[1]ListLoaded!$E$6:$L$537,8,0)</f>
        <v>3</v>
      </c>
      <c r="L135" s="83" t="str">
        <f>VLOOKUP(G135,[1]ListLoaded!$E$6:$S$645,15,0)</f>
        <v/>
      </c>
      <c r="M135" s="86" t="s">
        <v>56</v>
      </c>
      <c r="N135" s="86">
        <f>VLOOKUP(G135,[1]ListLoaded!$E$6:$N$545,10,0)</f>
        <v>0</v>
      </c>
      <c r="O135" s="72" t="s">
        <v>827</v>
      </c>
      <c r="P135" s="72">
        <f>VLOOKUP(G135,[1]ListLoaded!$E$6:$O$638,11,0)</f>
        <v>0</v>
      </c>
      <c r="Q135" s="84" t="str">
        <f t="shared" si="17"/>
        <v>E20TK</v>
      </c>
      <c r="R135" s="84" t="str">
        <f>VLOOKUP(G135,[1]ListLoaded!$E$6:$P$604,12,0)</f>
        <v>HAC260523020</v>
      </c>
      <c r="S135" s="15" t="e">
        <f>I135&amp;J135&amp;#REF!</f>
        <v>#REF!</v>
      </c>
      <c r="T135" s="84" t="s">
        <v>832</v>
      </c>
      <c r="U135" s="84"/>
      <c r="V135" s="84"/>
      <c r="AK135" s="91"/>
      <c r="AL135" s="41"/>
      <c r="AM135" s="42"/>
      <c r="AN135" s="41">
        <f t="shared" si="26"/>
        <v>0</v>
      </c>
      <c r="AO135" s="41">
        <f t="shared" si="26"/>
        <v>0</v>
      </c>
      <c r="AP135" s="41">
        <f t="shared" si="26"/>
        <v>0</v>
      </c>
      <c r="AQ135" s="41">
        <f t="shared" si="26"/>
        <v>0</v>
      </c>
      <c r="AR135" s="41">
        <f t="shared" si="26"/>
        <v>0</v>
      </c>
      <c r="AS135" s="41">
        <f t="shared" si="26"/>
        <v>0</v>
      </c>
      <c r="AT135" s="41">
        <f t="shared" si="26"/>
        <v>0</v>
      </c>
      <c r="AU135" s="41">
        <f t="shared" si="26"/>
        <v>0</v>
      </c>
      <c r="AV135" s="41">
        <f t="shared" si="26"/>
        <v>0</v>
      </c>
      <c r="AW135" s="41">
        <f t="shared" si="26"/>
        <v>0</v>
      </c>
      <c r="AX135" s="41">
        <f t="shared" si="26"/>
        <v>0</v>
      </c>
      <c r="AY135" s="41">
        <f t="shared" si="26"/>
        <v>0</v>
      </c>
      <c r="AZ135" s="41">
        <f t="shared" si="27"/>
        <v>0</v>
      </c>
      <c r="BA135" s="41">
        <f t="shared" si="27"/>
        <v>0</v>
      </c>
      <c r="BB135" s="41">
        <f t="shared" si="27"/>
        <v>0</v>
      </c>
      <c r="BC135" s="41">
        <f t="shared" si="27"/>
        <v>0</v>
      </c>
      <c r="BD135" s="41">
        <f t="shared" si="24"/>
        <v>0</v>
      </c>
      <c r="BE135" s="43">
        <f t="shared" si="25"/>
        <v>0</v>
      </c>
    </row>
    <row r="136" spans="1:57" ht="24.75" customHeight="1">
      <c r="A136" s="23">
        <v>126</v>
      </c>
      <c r="B136" s="24" t="s">
        <v>50</v>
      </c>
      <c r="C136" s="173" t="s">
        <v>173</v>
      </c>
      <c r="D136" s="24" t="s">
        <v>62</v>
      </c>
      <c r="E136" s="74" t="s">
        <v>1488</v>
      </c>
      <c r="F136" s="24" t="s">
        <v>52</v>
      </c>
      <c r="G136" s="83" t="s">
        <v>814</v>
      </c>
      <c r="H136" s="83" t="str">
        <f>VLOOKUP(G136,[1]ListLoaded!$E$6:$F$544,2,0)</f>
        <v>310410</v>
      </c>
      <c r="I136" s="72" t="str">
        <f>VLOOKUP(G136,[1]ListLoaded!$E$6:$M$550,9,0)</f>
        <v>E</v>
      </c>
      <c r="J136" s="72" t="str">
        <f>VLOOKUP(G136,[1]ListLoaded!$E$6:$I$537,5,0)</f>
        <v>20TK</v>
      </c>
      <c r="K136" s="140">
        <f>VLOOKUP(G136,[1]ListLoaded!$E$6:$L$537,8,0)</f>
        <v>3</v>
      </c>
      <c r="L136" s="83" t="str">
        <f>VLOOKUP(G136,[1]ListLoaded!$E$6:$S$645,15,0)</f>
        <v/>
      </c>
      <c r="M136" s="86" t="s">
        <v>56</v>
      </c>
      <c r="N136" s="86">
        <f>VLOOKUP(G136,[1]ListLoaded!$E$6:$N$545,10,0)</f>
        <v>0</v>
      </c>
      <c r="O136" s="72" t="s">
        <v>827</v>
      </c>
      <c r="P136" s="72">
        <f>VLOOKUP(G136,[1]ListLoaded!$E$6:$O$638,11,0)</f>
        <v>0</v>
      </c>
      <c r="Q136" s="84" t="str">
        <f t="shared" si="17"/>
        <v>E20TK</v>
      </c>
      <c r="R136" s="84" t="str">
        <f>VLOOKUP(G136,[1]ListLoaded!$E$6:$P$604,12,0)</f>
        <v>HAC260523020</v>
      </c>
      <c r="S136" s="15" t="e">
        <f>I136&amp;J136&amp;#REF!</f>
        <v>#REF!</v>
      </c>
      <c r="T136" s="84" t="s">
        <v>832</v>
      </c>
      <c r="U136" s="84"/>
      <c r="V136" s="84"/>
      <c r="AK136" s="91"/>
      <c r="AL136" s="41"/>
      <c r="AM136" s="42"/>
      <c r="AN136" s="41">
        <f t="shared" si="26"/>
        <v>0</v>
      </c>
      <c r="AO136" s="41">
        <f t="shared" si="26"/>
        <v>0</v>
      </c>
      <c r="AP136" s="41">
        <f t="shared" si="26"/>
        <v>0</v>
      </c>
      <c r="AQ136" s="41">
        <f t="shared" si="26"/>
        <v>0</v>
      </c>
      <c r="AR136" s="41">
        <f t="shared" si="26"/>
        <v>0</v>
      </c>
      <c r="AS136" s="41">
        <f t="shared" si="26"/>
        <v>0</v>
      </c>
      <c r="AT136" s="41">
        <f t="shared" si="26"/>
        <v>0</v>
      </c>
      <c r="AU136" s="41">
        <f t="shared" si="26"/>
        <v>0</v>
      </c>
      <c r="AV136" s="41">
        <f t="shared" si="26"/>
        <v>0</v>
      </c>
      <c r="AW136" s="41">
        <f t="shared" si="26"/>
        <v>0</v>
      </c>
      <c r="AX136" s="41">
        <f t="shared" si="26"/>
        <v>0</v>
      </c>
      <c r="AY136" s="41">
        <f t="shared" si="26"/>
        <v>0</v>
      </c>
      <c r="AZ136" s="41">
        <f t="shared" si="27"/>
        <v>0</v>
      </c>
      <c r="BA136" s="41">
        <f t="shared" si="27"/>
        <v>0</v>
      </c>
      <c r="BB136" s="41">
        <f t="shared" si="27"/>
        <v>0</v>
      </c>
      <c r="BC136" s="41">
        <f t="shared" si="27"/>
        <v>0</v>
      </c>
      <c r="BD136" s="41">
        <f t="shared" si="24"/>
        <v>0</v>
      </c>
      <c r="BE136" s="43">
        <f t="shared" si="25"/>
        <v>0</v>
      </c>
    </row>
    <row r="137" spans="1:57" ht="24.75" customHeight="1">
      <c r="A137" s="23">
        <v>127</v>
      </c>
      <c r="B137" s="24" t="s">
        <v>50</v>
      </c>
      <c r="C137" s="173" t="s">
        <v>173</v>
      </c>
      <c r="D137" s="24" t="s">
        <v>62</v>
      </c>
      <c r="E137" s="74" t="s">
        <v>1488</v>
      </c>
      <c r="F137" s="24" t="s">
        <v>52</v>
      </c>
      <c r="G137" s="83" t="s">
        <v>815</v>
      </c>
      <c r="H137" s="83" t="str">
        <f>VLOOKUP(G137,[1]ListLoaded!$E$6:$F$544,2,0)</f>
        <v>290110</v>
      </c>
      <c r="I137" s="72" t="str">
        <f>VLOOKUP(G137,[1]ListLoaded!$E$6:$M$550,9,0)</f>
        <v>E</v>
      </c>
      <c r="J137" s="72" t="str">
        <f>VLOOKUP(G137,[1]ListLoaded!$E$6:$I$537,5,0)</f>
        <v>20TK</v>
      </c>
      <c r="K137" s="140">
        <f>VLOOKUP(G137,[1]ListLoaded!$E$6:$L$537,8,0)</f>
        <v>3</v>
      </c>
      <c r="L137" s="83" t="str">
        <f>VLOOKUP(G137,[1]ListLoaded!$E$6:$S$645,15,0)</f>
        <v/>
      </c>
      <c r="M137" s="86" t="s">
        <v>56</v>
      </c>
      <c r="N137" s="86">
        <f>VLOOKUP(G137,[1]ListLoaded!$E$6:$N$545,10,0)</f>
        <v>0</v>
      </c>
      <c r="O137" s="72" t="s">
        <v>827</v>
      </c>
      <c r="P137" s="72">
        <f>VLOOKUP(G137,[1]ListLoaded!$E$6:$O$638,11,0)</f>
        <v>0</v>
      </c>
      <c r="Q137" s="84" t="str">
        <f t="shared" si="17"/>
        <v>E20TK</v>
      </c>
      <c r="R137" s="84" t="str">
        <f>VLOOKUP(G137,[1]ListLoaded!$E$6:$P$604,12,0)</f>
        <v>HAC260523020</v>
      </c>
      <c r="S137" s="15" t="e">
        <f>I137&amp;J137&amp;#REF!</f>
        <v>#REF!</v>
      </c>
      <c r="T137" s="84" t="s">
        <v>832</v>
      </c>
      <c r="U137" s="84"/>
      <c r="V137" s="84"/>
      <c r="AK137" s="91"/>
      <c r="AL137" s="41"/>
      <c r="AM137" s="42"/>
      <c r="AN137" s="41">
        <f t="shared" si="26"/>
        <v>0</v>
      </c>
      <c r="AO137" s="41">
        <f t="shared" si="26"/>
        <v>0</v>
      </c>
      <c r="AP137" s="41">
        <f t="shared" si="26"/>
        <v>0</v>
      </c>
      <c r="AQ137" s="41">
        <f t="shared" si="26"/>
        <v>0</v>
      </c>
      <c r="AR137" s="41">
        <f t="shared" si="26"/>
        <v>0</v>
      </c>
      <c r="AS137" s="41">
        <f t="shared" si="26"/>
        <v>0</v>
      </c>
      <c r="AT137" s="41">
        <f t="shared" si="26"/>
        <v>0</v>
      </c>
      <c r="AU137" s="41">
        <f t="shared" si="26"/>
        <v>0</v>
      </c>
      <c r="AV137" s="41">
        <f t="shared" si="26"/>
        <v>0</v>
      </c>
      <c r="AW137" s="41">
        <f t="shared" si="26"/>
        <v>0</v>
      </c>
      <c r="AX137" s="41">
        <f t="shared" si="26"/>
        <v>0</v>
      </c>
      <c r="AY137" s="41">
        <f t="shared" si="26"/>
        <v>0</v>
      </c>
      <c r="AZ137" s="41">
        <f t="shared" si="27"/>
        <v>0</v>
      </c>
      <c r="BA137" s="41">
        <f t="shared" si="27"/>
        <v>0</v>
      </c>
      <c r="BB137" s="41">
        <f t="shared" si="27"/>
        <v>0</v>
      </c>
      <c r="BC137" s="41">
        <f t="shared" si="27"/>
        <v>0</v>
      </c>
      <c r="BD137" s="41">
        <f t="shared" si="24"/>
        <v>0</v>
      </c>
      <c r="BE137" s="43">
        <f t="shared" si="25"/>
        <v>0</v>
      </c>
    </row>
    <row r="138" spans="1:57" ht="24.75" customHeight="1">
      <c r="A138" s="23">
        <v>128</v>
      </c>
      <c r="B138" s="24" t="s">
        <v>50</v>
      </c>
      <c r="C138" s="173" t="s">
        <v>173</v>
      </c>
      <c r="D138" s="24" t="s">
        <v>62</v>
      </c>
      <c r="E138" s="74" t="s">
        <v>1488</v>
      </c>
      <c r="F138" s="24" t="s">
        <v>52</v>
      </c>
      <c r="G138" s="83" t="s">
        <v>816</v>
      </c>
      <c r="H138" s="83" t="str">
        <f>VLOOKUP(G138,[1]ListLoaded!$E$6:$F$544,2,0)</f>
        <v>310210</v>
      </c>
      <c r="I138" s="72" t="str">
        <f>VLOOKUP(G138,[1]ListLoaded!$E$6:$M$550,9,0)</f>
        <v>E</v>
      </c>
      <c r="J138" s="72" t="str">
        <f>VLOOKUP(G138,[1]ListLoaded!$E$6:$I$537,5,0)</f>
        <v>20TK</v>
      </c>
      <c r="K138" s="140">
        <f>VLOOKUP(G138,[1]ListLoaded!$E$6:$L$537,8,0)</f>
        <v>3</v>
      </c>
      <c r="L138" s="83" t="str">
        <f>VLOOKUP(G138,[1]ListLoaded!$E$6:$S$645,15,0)</f>
        <v/>
      </c>
      <c r="M138" s="86" t="s">
        <v>56</v>
      </c>
      <c r="N138" s="86">
        <f>VLOOKUP(G138,[1]ListLoaded!$E$6:$N$545,10,0)</f>
        <v>0</v>
      </c>
      <c r="O138" s="72" t="s">
        <v>827</v>
      </c>
      <c r="P138" s="72">
        <f>VLOOKUP(G138,[1]ListLoaded!$E$6:$O$638,11,0)</f>
        <v>0</v>
      </c>
      <c r="Q138" s="84" t="str">
        <f t="shared" si="17"/>
        <v>E20TK</v>
      </c>
      <c r="R138" s="84" t="str">
        <f>VLOOKUP(G138,[1]ListLoaded!$E$6:$P$604,12,0)</f>
        <v>HAC260523020</v>
      </c>
      <c r="S138" s="15" t="e">
        <f>I138&amp;J138&amp;#REF!</f>
        <v>#REF!</v>
      </c>
      <c r="T138" s="84" t="s">
        <v>832</v>
      </c>
      <c r="U138" s="84"/>
      <c r="V138" s="84"/>
      <c r="AK138" s="51" t="s">
        <v>65</v>
      </c>
      <c r="AL138" s="41"/>
      <c r="AM138" s="42"/>
      <c r="AN138" s="41">
        <f t="shared" ref="AN138:AO142" si="28">COUNTIF($S$11:$S$1505,"F"&amp;AN$11&amp;$AM138)</f>
        <v>0</v>
      </c>
      <c r="AO138" s="41">
        <f t="shared" si="28"/>
        <v>0</v>
      </c>
      <c r="AP138" s="41"/>
      <c r="AQ138" s="41">
        <f t="shared" ref="AQ138:AT142" si="29">COUNTIF($S$11:$S$1505,"F"&amp;AQ$11&amp;$AM138)</f>
        <v>0</v>
      </c>
      <c r="AR138" s="41">
        <f t="shared" si="29"/>
        <v>0</v>
      </c>
      <c r="AS138" s="41">
        <f t="shared" si="29"/>
        <v>0</v>
      </c>
      <c r="AT138" s="41">
        <f t="shared" si="29"/>
        <v>0</v>
      </c>
      <c r="AU138" s="41"/>
      <c r="AV138" s="41">
        <f t="shared" ref="AV138:AY142" si="30">COUNTIF($S$11:$S$1505,"F"&amp;AV$11&amp;$AM138)</f>
        <v>0</v>
      </c>
      <c r="AW138" s="41">
        <f t="shared" si="30"/>
        <v>0</v>
      </c>
      <c r="AX138" s="41">
        <f t="shared" si="30"/>
        <v>0</v>
      </c>
      <c r="AY138" s="41">
        <f t="shared" si="30"/>
        <v>0</v>
      </c>
      <c r="AZ138" s="41">
        <f t="shared" si="27"/>
        <v>0</v>
      </c>
      <c r="BA138" s="41">
        <f t="shared" si="27"/>
        <v>0</v>
      </c>
      <c r="BB138" s="41">
        <f t="shared" si="27"/>
        <v>0</v>
      </c>
      <c r="BC138" s="41">
        <f t="shared" si="27"/>
        <v>0</v>
      </c>
      <c r="BD138" s="41">
        <f t="shared" ref="BD138:BD143" si="31">SUM(AN138:BC138)</f>
        <v>0</v>
      </c>
      <c r="BE138" s="43">
        <f>AN138+AO138+AQ138+AZ138+BA138+BB138+(AR138+AS138+AT138+AU138+AV138+AW138+AX138+AY138+BC138)*2</f>
        <v>0</v>
      </c>
    </row>
    <row r="139" spans="1:57" ht="24.75" customHeight="1">
      <c r="A139" s="23">
        <v>129</v>
      </c>
      <c r="B139" s="24" t="s">
        <v>50</v>
      </c>
      <c r="C139" s="173" t="s">
        <v>173</v>
      </c>
      <c r="D139" s="24" t="s">
        <v>62</v>
      </c>
      <c r="E139" s="74" t="s">
        <v>1488</v>
      </c>
      <c r="F139" s="24" t="s">
        <v>52</v>
      </c>
      <c r="G139" s="83" t="s">
        <v>817</v>
      </c>
      <c r="H139" s="83" t="str">
        <f>VLOOKUP(G139,[1]ListLoaded!$E$6:$F$544,2,0)</f>
        <v>210810</v>
      </c>
      <c r="I139" s="72" t="str">
        <f>VLOOKUP(G139,[1]ListLoaded!$E$6:$M$550,9,0)</f>
        <v>E</v>
      </c>
      <c r="J139" s="72" t="str">
        <f>VLOOKUP(G139,[1]ListLoaded!$E$6:$I$537,5,0)</f>
        <v>20TK</v>
      </c>
      <c r="K139" s="140">
        <f>VLOOKUP(G139,[1]ListLoaded!$E$6:$L$537,8,0)</f>
        <v>3</v>
      </c>
      <c r="L139" s="83" t="str">
        <f>VLOOKUP(G139,[1]ListLoaded!$E$6:$S$645,15,0)</f>
        <v/>
      </c>
      <c r="M139" s="86" t="s">
        <v>56</v>
      </c>
      <c r="N139" s="86">
        <f>VLOOKUP(G139,[1]ListLoaded!$E$6:$N$545,10,0)</f>
        <v>0</v>
      </c>
      <c r="O139" s="72" t="s">
        <v>827</v>
      </c>
      <c r="P139" s="72">
        <f>VLOOKUP(G139,[1]ListLoaded!$E$6:$O$638,11,0)</f>
        <v>0</v>
      </c>
      <c r="Q139" s="84" t="str">
        <f t="shared" si="17"/>
        <v>E20TK</v>
      </c>
      <c r="R139" s="84" t="str">
        <f>VLOOKUP(G139,[1]ListLoaded!$E$6:$P$604,12,0)</f>
        <v>HAC260523020</v>
      </c>
      <c r="S139" s="15" t="e">
        <f>I139&amp;J139&amp;#REF!</f>
        <v>#REF!</v>
      </c>
      <c r="T139" s="84" t="s">
        <v>832</v>
      </c>
      <c r="U139" s="84"/>
      <c r="V139" s="84"/>
      <c r="AK139" s="33"/>
      <c r="AL139" s="41"/>
      <c r="AM139" s="42"/>
      <c r="AN139" s="41">
        <f t="shared" si="28"/>
        <v>0</v>
      </c>
      <c r="AO139" s="41">
        <f t="shared" si="28"/>
        <v>0</v>
      </c>
      <c r="AP139" s="41"/>
      <c r="AQ139" s="41">
        <f t="shared" si="29"/>
        <v>0</v>
      </c>
      <c r="AR139" s="41">
        <f t="shared" si="29"/>
        <v>0</v>
      </c>
      <c r="AS139" s="41">
        <f t="shared" si="29"/>
        <v>0</v>
      </c>
      <c r="AT139" s="41">
        <f t="shared" si="29"/>
        <v>0</v>
      </c>
      <c r="AU139" s="41"/>
      <c r="AV139" s="41">
        <f t="shared" si="30"/>
        <v>0</v>
      </c>
      <c r="AW139" s="41">
        <f t="shared" si="30"/>
        <v>0</v>
      </c>
      <c r="AX139" s="41">
        <f t="shared" si="30"/>
        <v>0</v>
      </c>
      <c r="AY139" s="41">
        <f t="shared" si="30"/>
        <v>0</v>
      </c>
      <c r="AZ139" s="41">
        <f t="shared" si="27"/>
        <v>0</v>
      </c>
      <c r="BA139" s="41">
        <f t="shared" si="27"/>
        <v>0</v>
      </c>
      <c r="BB139" s="41">
        <f t="shared" si="27"/>
        <v>0</v>
      </c>
      <c r="BC139" s="41">
        <f t="shared" si="27"/>
        <v>0</v>
      </c>
      <c r="BD139" s="41">
        <f t="shared" si="31"/>
        <v>0</v>
      </c>
      <c r="BE139" s="43">
        <f>AN139+AO139+AQ139+AZ139+BA139+BB139+(AR139+AS139+AT139+AU139+AV139+AW139+AX139+AY139+BC139)*2</f>
        <v>0</v>
      </c>
    </row>
    <row r="140" spans="1:57" ht="24.75" customHeight="1">
      <c r="A140" s="23">
        <v>130</v>
      </c>
      <c r="B140" s="24" t="s">
        <v>50</v>
      </c>
      <c r="C140" s="173" t="s">
        <v>173</v>
      </c>
      <c r="D140" s="24" t="s">
        <v>62</v>
      </c>
      <c r="E140" s="74" t="s">
        <v>1488</v>
      </c>
      <c r="F140" s="24" t="s">
        <v>52</v>
      </c>
      <c r="G140" s="83" t="s">
        <v>818</v>
      </c>
      <c r="H140" s="83" t="str">
        <f>VLOOKUP(G140,[1]ListLoaded!$E$6:$F$544,2,0)</f>
        <v>310110</v>
      </c>
      <c r="I140" s="72" t="str">
        <f>VLOOKUP(G140,[1]ListLoaded!$E$6:$M$550,9,0)</f>
        <v>E</v>
      </c>
      <c r="J140" s="72" t="str">
        <f>VLOOKUP(G140,[1]ListLoaded!$E$6:$I$537,5,0)</f>
        <v>20TK</v>
      </c>
      <c r="K140" s="140">
        <f>VLOOKUP(G140,[1]ListLoaded!$E$6:$L$537,8,0)</f>
        <v>3</v>
      </c>
      <c r="L140" s="83" t="str">
        <f>VLOOKUP(G140,[1]ListLoaded!$E$6:$S$645,15,0)</f>
        <v/>
      </c>
      <c r="M140" s="86" t="s">
        <v>56</v>
      </c>
      <c r="N140" s="86">
        <f>VLOOKUP(G140,[1]ListLoaded!$E$6:$N$545,10,0)</f>
        <v>0</v>
      </c>
      <c r="O140" s="72" t="s">
        <v>827</v>
      </c>
      <c r="P140" s="72">
        <f>VLOOKUP(G140,[1]ListLoaded!$E$6:$O$638,11,0)</f>
        <v>0</v>
      </c>
      <c r="Q140" s="84" t="str">
        <f t="shared" ref="Q140:Q203" si="32">I140&amp;J140</f>
        <v>E20TK</v>
      </c>
      <c r="R140" s="84" t="str">
        <f>VLOOKUP(G140,[1]ListLoaded!$E$6:$P$604,12,0)</f>
        <v>HAC260523020</v>
      </c>
      <c r="S140" s="15" t="e">
        <f>I140&amp;J140&amp;#REF!</f>
        <v>#REF!</v>
      </c>
      <c r="T140" s="84" t="s">
        <v>832</v>
      </c>
      <c r="U140" s="84"/>
      <c r="V140" s="84"/>
      <c r="AK140" s="54" t="s">
        <v>66</v>
      </c>
      <c r="AL140" s="41"/>
      <c r="AM140" s="42"/>
      <c r="AN140" s="41">
        <f t="shared" si="28"/>
        <v>0</v>
      </c>
      <c r="AO140" s="41">
        <f t="shared" si="28"/>
        <v>0</v>
      </c>
      <c r="AP140" s="41"/>
      <c r="AQ140" s="41">
        <f t="shared" si="29"/>
        <v>0</v>
      </c>
      <c r="AR140" s="41">
        <f t="shared" si="29"/>
        <v>0</v>
      </c>
      <c r="AS140" s="41">
        <f t="shared" si="29"/>
        <v>0</v>
      </c>
      <c r="AT140" s="41">
        <f t="shared" si="29"/>
        <v>0</v>
      </c>
      <c r="AU140" s="41"/>
      <c r="AV140" s="41">
        <f t="shared" si="30"/>
        <v>0</v>
      </c>
      <c r="AW140" s="41">
        <f t="shared" si="30"/>
        <v>0</v>
      </c>
      <c r="AX140" s="41">
        <f t="shared" si="30"/>
        <v>0</v>
      </c>
      <c r="AY140" s="41">
        <f t="shared" si="30"/>
        <v>0</v>
      </c>
      <c r="AZ140" s="41">
        <f t="shared" si="27"/>
        <v>0</v>
      </c>
      <c r="BA140" s="41">
        <f t="shared" si="27"/>
        <v>0</v>
      </c>
      <c r="BB140" s="41">
        <f t="shared" si="27"/>
        <v>0</v>
      </c>
      <c r="BC140" s="41">
        <f t="shared" si="27"/>
        <v>0</v>
      </c>
      <c r="BD140" s="41">
        <f t="shared" si="31"/>
        <v>0</v>
      </c>
      <c r="BE140" s="43">
        <f>AN140+AO140+AQ140+AZ140+BA140+BB140+(AR140+AS140+AT140+AU140+AV140+AW140+AX140+AY140+BC140)*2</f>
        <v>0</v>
      </c>
    </row>
    <row r="141" spans="1:57" ht="24.75" customHeight="1">
      <c r="A141" s="23">
        <v>131</v>
      </c>
      <c r="B141" s="24" t="s">
        <v>50</v>
      </c>
      <c r="C141" s="173" t="s">
        <v>173</v>
      </c>
      <c r="D141" s="24" t="s">
        <v>62</v>
      </c>
      <c r="E141" s="74" t="s">
        <v>1488</v>
      </c>
      <c r="F141" s="24" t="s">
        <v>52</v>
      </c>
      <c r="G141" s="83" t="s">
        <v>819</v>
      </c>
      <c r="H141" s="83" t="str">
        <f>VLOOKUP(G141,[1]ListLoaded!$E$6:$F$544,2,0)</f>
        <v>210610</v>
      </c>
      <c r="I141" s="72" t="str">
        <f>VLOOKUP(G141,[1]ListLoaded!$E$6:$M$550,9,0)</f>
        <v>E</v>
      </c>
      <c r="J141" s="72" t="str">
        <f>VLOOKUP(G141,[1]ListLoaded!$E$6:$I$537,5,0)</f>
        <v>20TK</v>
      </c>
      <c r="K141" s="140">
        <f>VLOOKUP(G141,[1]ListLoaded!$E$6:$L$537,8,0)</f>
        <v>3</v>
      </c>
      <c r="L141" s="83" t="str">
        <f>VLOOKUP(G141,[1]ListLoaded!$E$6:$S$645,15,0)</f>
        <v/>
      </c>
      <c r="M141" s="86" t="s">
        <v>56</v>
      </c>
      <c r="N141" s="86">
        <f>VLOOKUP(G141,[1]ListLoaded!$E$6:$N$545,10,0)</f>
        <v>0</v>
      </c>
      <c r="O141" s="72" t="s">
        <v>827</v>
      </c>
      <c r="P141" s="72">
        <f>VLOOKUP(G141,[1]ListLoaded!$E$6:$O$638,11,0)</f>
        <v>0</v>
      </c>
      <c r="Q141" s="84" t="str">
        <f t="shared" si="32"/>
        <v>E20TK</v>
      </c>
      <c r="R141" s="84" t="str">
        <f>VLOOKUP(G141,[1]ListLoaded!$E$6:$P$604,12,0)</f>
        <v>HAC260523020</v>
      </c>
      <c r="S141" s="15" t="e">
        <f>I141&amp;J141&amp;#REF!</f>
        <v>#REF!</v>
      </c>
      <c r="T141" s="84" t="s">
        <v>832</v>
      </c>
      <c r="U141" s="84"/>
      <c r="V141" s="84"/>
      <c r="AK141" s="54"/>
      <c r="AL141" s="41"/>
      <c r="AM141" s="42"/>
      <c r="AN141" s="41">
        <f t="shared" si="28"/>
        <v>0</v>
      </c>
      <c r="AO141" s="41">
        <f t="shared" si="28"/>
        <v>0</v>
      </c>
      <c r="AP141" s="41"/>
      <c r="AQ141" s="41">
        <f t="shared" si="29"/>
        <v>0</v>
      </c>
      <c r="AR141" s="41">
        <f t="shared" si="29"/>
        <v>0</v>
      </c>
      <c r="AS141" s="41">
        <f t="shared" si="29"/>
        <v>0</v>
      </c>
      <c r="AT141" s="41">
        <f t="shared" si="29"/>
        <v>0</v>
      </c>
      <c r="AU141" s="41"/>
      <c r="AV141" s="41">
        <f t="shared" si="30"/>
        <v>0</v>
      </c>
      <c r="AW141" s="41">
        <f t="shared" si="30"/>
        <v>0</v>
      </c>
      <c r="AX141" s="41">
        <f t="shared" si="30"/>
        <v>0</v>
      </c>
      <c r="AY141" s="41">
        <f t="shared" si="30"/>
        <v>0</v>
      </c>
      <c r="AZ141" s="41">
        <f t="shared" si="27"/>
        <v>0</v>
      </c>
      <c r="BA141" s="41">
        <f t="shared" si="27"/>
        <v>0</v>
      </c>
      <c r="BB141" s="41">
        <f t="shared" si="27"/>
        <v>0</v>
      </c>
      <c r="BC141" s="41">
        <f t="shared" si="27"/>
        <v>0</v>
      </c>
      <c r="BD141" s="41">
        <f t="shared" si="31"/>
        <v>0</v>
      </c>
      <c r="BE141" s="43">
        <f>AN141+AO141+AQ141+AZ141+BA141+BB141+(AR141+AS141+AT141+AU141+AV141+AW141+AX141+AY141+BC141)*2</f>
        <v>0</v>
      </c>
    </row>
    <row r="142" spans="1:57" ht="24.75" customHeight="1">
      <c r="A142" s="23">
        <v>132</v>
      </c>
      <c r="B142" s="24" t="s">
        <v>50</v>
      </c>
      <c r="C142" s="173" t="s">
        <v>173</v>
      </c>
      <c r="D142" s="24" t="s">
        <v>62</v>
      </c>
      <c r="E142" s="74" t="s">
        <v>1488</v>
      </c>
      <c r="F142" s="24" t="s">
        <v>52</v>
      </c>
      <c r="G142" s="83" t="s">
        <v>820</v>
      </c>
      <c r="H142" s="83" t="str">
        <f>VLOOKUP(G142,[1]ListLoaded!$E$6:$F$544,2,0)</f>
        <v>230510</v>
      </c>
      <c r="I142" s="72" t="str">
        <f>VLOOKUP(G142,[1]ListLoaded!$E$6:$M$550,9,0)</f>
        <v>E</v>
      </c>
      <c r="J142" s="72" t="str">
        <f>VLOOKUP(G142,[1]ListLoaded!$E$6:$I$537,5,0)</f>
        <v>20TK</v>
      </c>
      <c r="K142" s="140">
        <f>VLOOKUP(G142,[1]ListLoaded!$E$6:$L$537,8,0)</f>
        <v>3</v>
      </c>
      <c r="L142" s="83" t="str">
        <f>VLOOKUP(G142,[1]ListLoaded!$E$6:$S$645,15,0)</f>
        <v/>
      </c>
      <c r="M142" s="86" t="s">
        <v>56</v>
      </c>
      <c r="N142" s="86">
        <f>VLOOKUP(G142,[1]ListLoaded!$E$6:$N$545,10,0)</f>
        <v>0</v>
      </c>
      <c r="O142" s="72" t="s">
        <v>827</v>
      </c>
      <c r="P142" s="72">
        <f>VLOOKUP(G142,[1]ListLoaded!$E$6:$O$638,11,0)</f>
        <v>0</v>
      </c>
      <c r="Q142" s="84" t="str">
        <f t="shared" si="32"/>
        <v>E20TK</v>
      </c>
      <c r="R142" s="84" t="str">
        <f>VLOOKUP(G142,[1]ListLoaded!$E$6:$P$604,12,0)</f>
        <v>HAC260523020</v>
      </c>
      <c r="S142" s="15" t="e">
        <f>I142&amp;J142&amp;#REF!</f>
        <v>#REF!</v>
      </c>
      <c r="T142" s="84" t="s">
        <v>832</v>
      </c>
      <c r="U142" s="84"/>
      <c r="V142" s="84"/>
      <c r="AK142" s="54"/>
      <c r="AL142" s="41"/>
      <c r="AM142" s="42"/>
      <c r="AN142" s="41">
        <f t="shared" si="28"/>
        <v>0</v>
      </c>
      <c r="AO142" s="41">
        <f t="shared" si="28"/>
        <v>0</v>
      </c>
      <c r="AP142" s="41"/>
      <c r="AQ142" s="41">
        <f t="shared" si="29"/>
        <v>0</v>
      </c>
      <c r="AR142" s="41">
        <f t="shared" si="29"/>
        <v>0</v>
      </c>
      <c r="AS142" s="41">
        <f t="shared" si="29"/>
        <v>0</v>
      </c>
      <c r="AT142" s="41">
        <f t="shared" si="29"/>
        <v>0</v>
      </c>
      <c r="AU142" s="41"/>
      <c r="AV142" s="41">
        <f t="shared" si="30"/>
        <v>0</v>
      </c>
      <c r="AW142" s="41">
        <f t="shared" si="30"/>
        <v>0</v>
      </c>
      <c r="AX142" s="41">
        <f t="shared" si="30"/>
        <v>0</v>
      </c>
      <c r="AY142" s="41">
        <f t="shared" si="30"/>
        <v>0</v>
      </c>
      <c r="AZ142" s="41">
        <f t="shared" si="27"/>
        <v>0</v>
      </c>
      <c r="BA142" s="41">
        <f t="shared" si="27"/>
        <v>0</v>
      </c>
      <c r="BB142" s="41">
        <f t="shared" si="27"/>
        <v>0</v>
      </c>
      <c r="BC142" s="41">
        <f t="shared" si="27"/>
        <v>0</v>
      </c>
      <c r="BD142" s="41">
        <f t="shared" si="31"/>
        <v>0</v>
      </c>
      <c r="BE142" s="43">
        <f>AN142+AO142+AQ142+AZ142+BA142+BB142+(AR142+AS142+AT142+AU142+AV142+AW142+AX142+AY142+BC142)*2</f>
        <v>0</v>
      </c>
    </row>
    <row r="143" spans="1:57" ht="24.75" customHeight="1">
      <c r="A143" s="23">
        <v>133</v>
      </c>
      <c r="B143" s="24" t="s">
        <v>50</v>
      </c>
      <c r="C143" s="173" t="s">
        <v>173</v>
      </c>
      <c r="D143" s="24" t="s">
        <v>62</v>
      </c>
      <c r="E143" s="74" t="s">
        <v>1488</v>
      </c>
      <c r="F143" s="24" t="s">
        <v>52</v>
      </c>
      <c r="G143" s="83" t="s">
        <v>821</v>
      </c>
      <c r="H143" s="83" t="str">
        <f>VLOOKUP(G143,[1]ListLoaded!$E$6:$F$544,2,0)</f>
        <v>230610</v>
      </c>
      <c r="I143" s="72" t="str">
        <f>VLOOKUP(G143,[1]ListLoaded!$E$6:$M$550,9,0)</f>
        <v>E</v>
      </c>
      <c r="J143" s="72" t="str">
        <f>VLOOKUP(G143,[1]ListLoaded!$E$6:$I$537,5,0)</f>
        <v>20TK</v>
      </c>
      <c r="K143" s="140">
        <f>VLOOKUP(G143,[1]ListLoaded!$E$6:$L$537,8,0)</f>
        <v>3</v>
      </c>
      <c r="L143" s="83" t="str">
        <f>VLOOKUP(G143,[1]ListLoaded!$E$6:$S$645,15,0)</f>
        <v/>
      </c>
      <c r="M143" s="86" t="s">
        <v>56</v>
      </c>
      <c r="N143" s="86">
        <f>VLOOKUP(G143,[1]ListLoaded!$E$6:$N$545,10,0)</f>
        <v>0</v>
      </c>
      <c r="O143" s="72" t="s">
        <v>827</v>
      </c>
      <c r="P143" s="72">
        <f>VLOOKUP(G143,[1]ListLoaded!$E$6:$O$638,11,0)</f>
        <v>0</v>
      </c>
      <c r="Q143" s="84" t="str">
        <f t="shared" si="32"/>
        <v>E20TK</v>
      </c>
      <c r="R143" s="84" t="str">
        <f>VLOOKUP(G143,[1]ListLoaded!$E$6:$P$604,12,0)</f>
        <v>HAC260523020</v>
      </c>
      <c r="S143" s="15" t="s">
        <v>649</v>
      </c>
      <c r="T143" s="84" t="s">
        <v>832</v>
      </c>
      <c r="U143" s="84"/>
      <c r="V143" s="84"/>
      <c r="AK143" s="51" t="s">
        <v>67</v>
      </c>
      <c r="AL143" s="52"/>
      <c r="AM143" s="53"/>
      <c r="AN143" s="41">
        <f t="shared" ref="AN143:BC143" si="33">SUM(AN14:AN142)</f>
        <v>0</v>
      </c>
      <c r="AO143" s="41">
        <f t="shared" si="33"/>
        <v>0</v>
      </c>
      <c r="AP143" s="41">
        <f t="shared" si="33"/>
        <v>0</v>
      </c>
      <c r="AQ143" s="41">
        <f t="shared" si="33"/>
        <v>0</v>
      </c>
      <c r="AR143" s="41">
        <f t="shared" si="33"/>
        <v>0</v>
      </c>
      <c r="AS143" s="41">
        <f t="shared" si="33"/>
        <v>0</v>
      </c>
      <c r="AT143" s="41">
        <f t="shared" si="33"/>
        <v>0</v>
      </c>
      <c r="AU143" s="41">
        <f t="shared" si="33"/>
        <v>0</v>
      </c>
      <c r="AV143" s="41">
        <f t="shared" si="33"/>
        <v>0</v>
      </c>
      <c r="AW143" s="41">
        <f t="shared" si="33"/>
        <v>0</v>
      </c>
      <c r="AX143" s="41">
        <f t="shared" si="33"/>
        <v>0</v>
      </c>
      <c r="AY143" s="41">
        <f t="shared" si="33"/>
        <v>0</v>
      </c>
      <c r="AZ143" s="41">
        <f t="shared" si="33"/>
        <v>0</v>
      </c>
      <c r="BA143" s="41">
        <f t="shared" si="33"/>
        <v>0</v>
      </c>
      <c r="BB143" s="41">
        <f t="shared" si="33"/>
        <v>0</v>
      </c>
      <c r="BC143" s="41">
        <f t="shared" si="33"/>
        <v>0</v>
      </c>
      <c r="BD143" s="41">
        <f t="shared" si="31"/>
        <v>0</v>
      </c>
      <c r="BE143" s="43">
        <f>SUM(BE14:BE142)</f>
        <v>0</v>
      </c>
    </row>
    <row r="144" spans="1:57" ht="24.75" customHeight="1" thickBot="1">
      <c r="A144" s="23">
        <v>134</v>
      </c>
      <c r="B144" s="24" t="s">
        <v>50</v>
      </c>
      <c r="C144" s="173" t="s">
        <v>173</v>
      </c>
      <c r="D144" s="24" t="s">
        <v>62</v>
      </c>
      <c r="E144" s="74" t="s">
        <v>1488</v>
      </c>
      <c r="F144" s="24" t="s">
        <v>52</v>
      </c>
      <c r="G144" s="83" t="s">
        <v>822</v>
      </c>
      <c r="H144" s="83" t="str">
        <f>VLOOKUP(G144,[1]ListLoaded!$E$6:$F$544,2,0)</f>
        <v>310510</v>
      </c>
      <c r="I144" s="72" t="str">
        <f>VLOOKUP(G144,[1]ListLoaded!$E$6:$M$550,9,0)</f>
        <v>E</v>
      </c>
      <c r="J144" s="72" t="str">
        <f>VLOOKUP(G144,[1]ListLoaded!$E$6:$I$537,5,0)</f>
        <v>20TK</v>
      </c>
      <c r="K144" s="140">
        <f>VLOOKUP(G144,[1]ListLoaded!$E$6:$L$537,8,0)</f>
        <v>3</v>
      </c>
      <c r="L144" s="83" t="str">
        <f>VLOOKUP(G144,[1]ListLoaded!$E$6:$S$645,15,0)</f>
        <v/>
      </c>
      <c r="M144" s="86" t="s">
        <v>56</v>
      </c>
      <c r="N144" s="86">
        <f>VLOOKUP(G144,[1]ListLoaded!$E$6:$N$545,10,0)</f>
        <v>0</v>
      </c>
      <c r="O144" s="72" t="s">
        <v>827</v>
      </c>
      <c r="P144" s="72">
        <f>VLOOKUP(G144,[1]ListLoaded!$E$6:$O$638,11,0)</f>
        <v>0</v>
      </c>
      <c r="Q144" s="84" t="str">
        <f t="shared" si="32"/>
        <v>E20TK</v>
      </c>
      <c r="R144" s="84" t="str">
        <f>VLOOKUP(G144,[1]ListLoaded!$E$6:$P$604,12,0)</f>
        <v>HAC260523020</v>
      </c>
      <c r="S144" s="15" t="e">
        <f>I144&amp;J144&amp;#REF!</f>
        <v>#REF!</v>
      </c>
      <c r="T144" s="84" t="s">
        <v>832</v>
      </c>
      <c r="U144" s="84"/>
      <c r="V144" s="84"/>
      <c r="AK144" s="58" t="s">
        <v>68</v>
      </c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5"/>
    </row>
    <row r="145" spans="1:57" ht="24.75" customHeight="1" thickTop="1">
      <c r="A145" s="23">
        <v>135</v>
      </c>
      <c r="B145" s="24" t="s">
        <v>50</v>
      </c>
      <c r="C145" s="173" t="s">
        <v>173</v>
      </c>
      <c r="D145" s="24" t="s">
        <v>62</v>
      </c>
      <c r="E145" s="74" t="s">
        <v>1488</v>
      </c>
      <c r="F145" s="24" t="s">
        <v>52</v>
      </c>
      <c r="G145" s="83" t="s">
        <v>823</v>
      </c>
      <c r="H145" s="83" t="str">
        <f>VLOOKUP(G145,[1]ListLoaded!$E$6:$F$544,2,0)</f>
        <v>230710</v>
      </c>
      <c r="I145" s="72" t="str">
        <f>VLOOKUP(G145,[1]ListLoaded!$E$6:$M$550,9,0)</f>
        <v>E</v>
      </c>
      <c r="J145" s="72" t="str">
        <f>VLOOKUP(G145,[1]ListLoaded!$E$6:$I$537,5,0)</f>
        <v>20TK</v>
      </c>
      <c r="K145" s="140">
        <f>VLOOKUP(G145,[1]ListLoaded!$E$6:$L$537,8,0)</f>
        <v>3</v>
      </c>
      <c r="L145" s="83" t="str">
        <f>VLOOKUP(G145,[1]ListLoaded!$E$6:$S$645,15,0)</f>
        <v/>
      </c>
      <c r="M145" s="86" t="s">
        <v>56</v>
      </c>
      <c r="N145" s="86">
        <f>VLOOKUP(G145,[1]ListLoaded!$E$6:$N$545,10,0)</f>
        <v>0</v>
      </c>
      <c r="O145" s="72" t="s">
        <v>827</v>
      </c>
      <c r="P145" s="72">
        <f>VLOOKUP(G145,[1]ListLoaded!$E$6:$O$638,11,0)</f>
        <v>0</v>
      </c>
      <c r="Q145" s="84" t="str">
        <f t="shared" si="32"/>
        <v>E20TK</v>
      </c>
      <c r="R145" s="84" t="str">
        <f>VLOOKUP(G145,[1]ListLoaded!$E$6:$P$604,12,0)</f>
        <v>HAC260523020</v>
      </c>
      <c r="S145" s="15" t="e">
        <f>I145&amp;J145&amp;#REF!</f>
        <v>#REF!</v>
      </c>
      <c r="T145" s="84" t="s">
        <v>832</v>
      </c>
      <c r="U145" s="84"/>
      <c r="V145" s="84"/>
      <c r="AK145" s="1"/>
      <c r="AL145" s="41">
        <v>1</v>
      </c>
      <c r="AM145" s="55"/>
      <c r="AN145" s="41"/>
      <c r="AO145" s="41">
        <f>COUNTIF($S$11:$S$1405,"F"&amp;LEFT($AO$11,2)&amp;AM145)</f>
        <v>0</v>
      </c>
      <c r="AP145" s="41"/>
      <c r="AQ145" s="41"/>
      <c r="AR145" s="41"/>
      <c r="AS145" s="41"/>
      <c r="AT145" s="41"/>
      <c r="AU145" s="41"/>
      <c r="AV145" s="41"/>
      <c r="AW145" s="41"/>
      <c r="AX145" s="41"/>
      <c r="AY145" s="41">
        <f>COUNTIF($S$11:$S$1405,"F"&amp;LEFT($AY$11,2)&amp;AM145)</f>
        <v>0</v>
      </c>
      <c r="AZ145" s="41">
        <f>COUNTIF($S$11:$S$1405,"E"&amp;LEFT($AZ$11,2)&amp;AM145)</f>
        <v>0</v>
      </c>
      <c r="BA145" s="41"/>
      <c r="BB145" s="41"/>
      <c r="BC145" s="41">
        <f>COUNTIF($S$11:$S$1405,"E"&amp;LEFT($BC$11,2)&amp;AM145)</f>
        <v>0</v>
      </c>
      <c r="BD145" s="41">
        <f>SUM(AN145:BC145)</f>
        <v>0</v>
      </c>
      <c r="BE145" s="43">
        <f>BD145+BC145+AY145+AO145</f>
        <v>0</v>
      </c>
    </row>
    <row r="146" spans="1:57" ht="24.75" customHeight="1">
      <c r="A146" s="23">
        <v>136</v>
      </c>
      <c r="B146" s="24" t="s">
        <v>50</v>
      </c>
      <c r="C146" s="173" t="s">
        <v>173</v>
      </c>
      <c r="D146" s="24" t="s">
        <v>62</v>
      </c>
      <c r="E146" s="74" t="s">
        <v>1488</v>
      </c>
      <c r="F146" s="24" t="s">
        <v>52</v>
      </c>
      <c r="G146" s="83" t="s">
        <v>824</v>
      </c>
      <c r="H146" s="83" t="str">
        <f>VLOOKUP(G146,[1]ListLoaded!$E$6:$F$544,2,0)</f>
        <v>310310</v>
      </c>
      <c r="I146" s="72" t="str">
        <f>VLOOKUP(G146,[1]ListLoaded!$E$6:$M$550,9,0)</f>
        <v>E</v>
      </c>
      <c r="J146" s="72" t="str">
        <f>VLOOKUP(G146,[1]ListLoaded!$E$6:$I$537,5,0)</f>
        <v>20TK</v>
      </c>
      <c r="K146" s="140">
        <f>VLOOKUP(G146,[1]ListLoaded!$E$6:$L$537,8,0)</f>
        <v>3</v>
      </c>
      <c r="L146" s="83" t="str">
        <f>VLOOKUP(G146,[1]ListLoaded!$E$6:$S$645,15,0)</f>
        <v/>
      </c>
      <c r="M146" s="86" t="s">
        <v>56</v>
      </c>
      <c r="N146" s="86">
        <f>VLOOKUP(G146,[1]ListLoaded!$E$6:$N$545,10,0)</f>
        <v>0</v>
      </c>
      <c r="O146" s="72" t="s">
        <v>827</v>
      </c>
      <c r="P146" s="72">
        <f>VLOOKUP(G146,[1]ListLoaded!$E$6:$O$638,11,0)</f>
        <v>0</v>
      </c>
      <c r="Q146" s="84" t="str">
        <f t="shared" si="32"/>
        <v>E20TK</v>
      </c>
      <c r="R146" s="84" t="str">
        <f>VLOOKUP(G146,[1]ListLoaded!$E$6:$P$604,12,0)</f>
        <v>HAC260523020</v>
      </c>
      <c r="S146" s="15" t="e">
        <f>I146&amp;J146&amp;#REF!</f>
        <v>#REF!</v>
      </c>
      <c r="T146" s="84" t="s">
        <v>832</v>
      </c>
      <c r="U146" s="84"/>
      <c r="V146" s="84"/>
      <c r="AL146" s="41">
        <v>2</v>
      </c>
      <c r="AM146" s="55"/>
      <c r="AN146" s="41"/>
      <c r="AO146" s="41">
        <f>COUNTIF($S$11:$S$1405,"F"&amp;LEFT($AO$11,2)&amp;AM146)</f>
        <v>0</v>
      </c>
      <c r="AP146" s="41"/>
      <c r="AQ146" s="41"/>
      <c r="AR146" s="41"/>
      <c r="AS146" s="41"/>
      <c r="AT146" s="41"/>
      <c r="AU146" s="41"/>
      <c r="AV146" s="41"/>
      <c r="AW146" s="41"/>
      <c r="AX146" s="41"/>
      <c r="AY146" s="41">
        <f>COUNTIF($S$11:$S$1405,"F"&amp;LEFT($AY$11,2)&amp;AM146)</f>
        <v>0</v>
      </c>
      <c r="AZ146" s="41">
        <f>COUNTIF($S$11:$S$1405,"E"&amp;LEFT($AZ$11,2)&amp;AM146)</f>
        <v>0</v>
      </c>
      <c r="BA146" s="41"/>
      <c r="BB146" s="41"/>
      <c r="BC146" s="41">
        <f>COUNTIF($S$11:$S$1405,"E"&amp;LEFT($BC$11,2)&amp;AM146)</f>
        <v>0</v>
      </c>
      <c r="BD146" s="41"/>
      <c r="BE146" s="43"/>
    </row>
    <row r="147" spans="1:57" ht="24.75" customHeight="1">
      <c r="A147" s="23">
        <v>137</v>
      </c>
      <c r="B147" s="24" t="s">
        <v>50</v>
      </c>
      <c r="C147" s="173" t="s">
        <v>173</v>
      </c>
      <c r="D147" s="24" t="s">
        <v>62</v>
      </c>
      <c r="E147" s="74" t="s">
        <v>1488</v>
      </c>
      <c r="F147" s="24" t="s">
        <v>52</v>
      </c>
      <c r="G147" s="83" t="s">
        <v>825</v>
      </c>
      <c r="H147" s="83" t="str">
        <f>VLOOKUP(G147,[1]ListLoaded!$E$6:$F$544,2,0)</f>
        <v>290310</v>
      </c>
      <c r="I147" s="72" t="str">
        <f>VLOOKUP(G147,[1]ListLoaded!$E$6:$M$550,9,0)</f>
        <v>E</v>
      </c>
      <c r="J147" s="72" t="str">
        <f>VLOOKUP(G147,[1]ListLoaded!$E$6:$I$537,5,0)</f>
        <v>20TK</v>
      </c>
      <c r="K147" s="140">
        <f>VLOOKUP(G147,[1]ListLoaded!$E$6:$L$537,8,0)</f>
        <v>3</v>
      </c>
      <c r="L147" s="83" t="str">
        <f>VLOOKUP(G147,[1]ListLoaded!$E$6:$S$645,15,0)</f>
        <v/>
      </c>
      <c r="M147" s="86" t="s">
        <v>56</v>
      </c>
      <c r="N147" s="86">
        <f>VLOOKUP(G147,[1]ListLoaded!$E$6:$N$545,10,0)</f>
        <v>0</v>
      </c>
      <c r="O147" s="72" t="s">
        <v>827</v>
      </c>
      <c r="P147" s="72">
        <f>VLOOKUP(G147,[1]ListLoaded!$E$6:$O$638,11,0)</f>
        <v>0</v>
      </c>
      <c r="Q147" s="84" t="str">
        <f t="shared" si="32"/>
        <v>E20TK</v>
      </c>
      <c r="R147" s="84" t="str">
        <f>VLOOKUP(G147,[1]ListLoaded!$E$6:$P$604,12,0)</f>
        <v>HAC260523020</v>
      </c>
      <c r="S147" s="15" t="e">
        <f>I147&amp;J147&amp;#REF!</f>
        <v>#REF!</v>
      </c>
      <c r="T147" s="84" t="s">
        <v>832</v>
      </c>
      <c r="U147" s="84"/>
      <c r="V147" s="84"/>
      <c r="AL147" s="52"/>
      <c r="AM147" s="53"/>
      <c r="AN147" s="41">
        <f>SUM(AN145:AN146)</f>
        <v>0</v>
      </c>
      <c r="AO147" s="41">
        <f>SUM(AO145:AO146)</f>
        <v>0</v>
      </c>
      <c r="AP147" s="41"/>
      <c r="AQ147" s="41"/>
      <c r="AR147" s="41"/>
      <c r="AS147" s="41"/>
      <c r="AT147" s="41"/>
      <c r="AU147" s="41"/>
      <c r="AV147" s="41"/>
      <c r="AW147" s="41"/>
      <c r="AX147" s="41"/>
      <c r="AY147" s="41">
        <f>SUM(AY145:AY146)</f>
        <v>0</v>
      </c>
      <c r="AZ147" s="41">
        <f>SUM(AZ145:AZ146)</f>
        <v>0</v>
      </c>
      <c r="BA147" s="41"/>
      <c r="BB147" s="41"/>
      <c r="BC147" s="41">
        <f>SUM(BC145:BC146)</f>
        <v>0</v>
      </c>
      <c r="BD147" s="41">
        <f>SUM(BD145:BD146)</f>
        <v>0</v>
      </c>
      <c r="BE147" s="43">
        <f>SUM(BE145:BE146)</f>
        <v>0</v>
      </c>
    </row>
    <row r="148" spans="1:57" ht="24" customHeight="1">
      <c r="A148" s="23">
        <v>138</v>
      </c>
      <c r="B148" s="24" t="s">
        <v>50</v>
      </c>
      <c r="C148" s="173" t="s">
        <v>173</v>
      </c>
      <c r="D148" s="24" t="s">
        <v>62</v>
      </c>
      <c r="E148" s="74" t="s">
        <v>1488</v>
      </c>
      <c r="F148" s="24" t="s">
        <v>52</v>
      </c>
      <c r="G148" s="83" t="s">
        <v>826</v>
      </c>
      <c r="H148" s="83" t="str">
        <f>VLOOKUP(G148,[1]ListLoaded!$E$6:$F$544,2,0)</f>
        <v>290710</v>
      </c>
      <c r="I148" s="72" t="str">
        <f>VLOOKUP(G148,[1]ListLoaded!$E$6:$M$550,9,0)</f>
        <v>E</v>
      </c>
      <c r="J148" s="72" t="str">
        <f>VLOOKUP(G148,[1]ListLoaded!$E$6:$I$537,5,0)</f>
        <v>20TK</v>
      </c>
      <c r="K148" s="140">
        <f>VLOOKUP(G148,[1]ListLoaded!$E$6:$L$537,8,0)</f>
        <v>3</v>
      </c>
      <c r="L148" s="83" t="str">
        <f>VLOOKUP(G148,[1]ListLoaded!$E$6:$S$645,15,0)</f>
        <v/>
      </c>
      <c r="M148" s="86" t="s">
        <v>56</v>
      </c>
      <c r="N148" s="86">
        <f>VLOOKUP(G148,[1]ListLoaded!$E$6:$N$545,10,0)</f>
        <v>0</v>
      </c>
      <c r="O148" s="72" t="s">
        <v>827</v>
      </c>
      <c r="P148" s="72">
        <f>VLOOKUP(G148,[1]ListLoaded!$E$6:$O$638,11,0)</f>
        <v>0</v>
      </c>
      <c r="Q148" s="84" t="str">
        <f t="shared" si="32"/>
        <v>E20TK</v>
      </c>
      <c r="R148" s="84" t="str">
        <f>VLOOKUP(G148,[1]ListLoaded!$E$6:$P$604,12,0)</f>
        <v>HAC260523020</v>
      </c>
      <c r="S148" s="15" t="e">
        <f>I148&amp;J148&amp;#REF!</f>
        <v>#REF!</v>
      </c>
      <c r="T148" s="84" t="s">
        <v>832</v>
      </c>
      <c r="U148" s="84"/>
      <c r="V148" s="84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ht="24.75" customHeight="1">
      <c r="A149" s="23">
        <v>139</v>
      </c>
      <c r="B149" s="24" t="s">
        <v>50</v>
      </c>
      <c r="C149" s="24" t="s">
        <v>1489</v>
      </c>
      <c r="D149" s="24" t="s">
        <v>57</v>
      </c>
      <c r="E149" s="143" t="s">
        <v>1488</v>
      </c>
      <c r="F149" s="24" t="s">
        <v>52</v>
      </c>
      <c r="G149" s="83" t="s">
        <v>833</v>
      </c>
      <c r="H149" s="83" t="str">
        <f>VLOOKUP(G149,[1]ListLoaded!$E$6:$F$544,2,0)</f>
        <v>180886</v>
      </c>
      <c r="I149" s="72" t="str">
        <f>VLOOKUP(G149,[1]ListLoaded!$E$6:$M$550,9,0)</f>
        <v>F</v>
      </c>
      <c r="J149" s="72" t="str">
        <f>VLOOKUP(G149,[1]ListLoaded!$E$6:$I$537,5,0)</f>
        <v>40HC</v>
      </c>
      <c r="K149" s="140">
        <f>VLOOKUP(G149,[1]ListLoaded!$E$6:$L$537,8,0)</f>
        <v>13.54</v>
      </c>
      <c r="L149" s="83" t="str">
        <f>VLOOKUP(G149,[1]ListLoaded!$E$6:$S$645,15,0)</f>
        <v>24304</v>
      </c>
      <c r="M149" s="86" t="str">
        <f>VLOOKUP(G149,[1]ListLoaded!$E$6:$T$674,16,0)</f>
        <v>BAO BI</v>
      </c>
      <c r="N149" s="86">
        <f>VLOOKUP(G149,[1]ListLoaded!$E$6:$N$545,10,0)</f>
        <v>0</v>
      </c>
      <c r="O149" s="72"/>
      <c r="P149" s="72">
        <f>VLOOKUP(G149,[1]ListLoaded!$E$6:$O$638,11,0)</f>
        <v>0</v>
      </c>
      <c r="Q149" s="84" t="str">
        <f t="shared" si="32"/>
        <v>F40HC</v>
      </c>
      <c r="R149" s="84" t="str">
        <f>VLOOKUP(G149,[1]ListLoaded!$E$6:$P$604,12,0)</f>
        <v>HAC260519096</v>
      </c>
      <c r="S149" s="15" t="e">
        <f>I149&amp;J149&amp;#REF!</f>
        <v>#REF!</v>
      </c>
      <c r="T149" s="84" t="s">
        <v>952</v>
      </c>
      <c r="U149" s="84"/>
      <c r="V149" s="84" t="s">
        <v>985</v>
      </c>
    </row>
    <row r="150" spans="1:57" ht="24.75" customHeight="1">
      <c r="A150" s="23">
        <v>140</v>
      </c>
      <c r="B150" s="24" t="s">
        <v>50</v>
      </c>
      <c r="C150" s="24" t="s">
        <v>1489</v>
      </c>
      <c r="D150" s="24" t="s">
        <v>57</v>
      </c>
      <c r="E150" s="143" t="s">
        <v>1488</v>
      </c>
      <c r="F150" s="24" t="s">
        <v>52</v>
      </c>
      <c r="G150" s="83" t="s">
        <v>834</v>
      </c>
      <c r="H150" s="83" t="str">
        <f>VLOOKUP(G150,[1]ListLoaded!$E$6:$F$544,2,0)</f>
        <v>140284</v>
      </c>
      <c r="I150" s="72" t="str">
        <f>VLOOKUP(G150,[1]ListLoaded!$E$6:$M$550,9,0)</f>
        <v>F</v>
      </c>
      <c r="J150" s="72" t="str">
        <f>VLOOKUP(G150,[1]ListLoaded!$E$6:$I$537,5,0)</f>
        <v>40HC</v>
      </c>
      <c r="K150" s="140">
        <f>VLOOKUP(G150,[1]ListLoaded!$E$6:$L$537,8,0)</f>
        <v>28.7</v>
      </c>
      <c r="L150" s="83" t="str">
        <f>VLOOKUP(G150,[1]ListLoaded!$E$6:$S$645,15,0)</f>
        <v>24352</v>
      </c>
      <c r="M150" s="86" t="str">
        <f>VLOOKUP(G150,[1]ListLoaded!$E$6:$T$674,16,0)</f>
        <v>BAO BI</v>
      </c>
      <c r="N150" s="86">
        <f>VLOOKUP(G150,[1]ListLoaded!$E$6:$N$545,10,0)</f>
        <v>0</v>
      </c>
      <c r="O150" s="72"/>
      <c r="P150" s="72">
        <f>VLOOKUP(G150,[1]ListLoaded!$E$6:$O$638,11,0)</f>
        <v>0</v>
      </c>
      <c r="Q150" s="84" t="str">
        <f t="shared" si="32"/>
        <v>F40HC</v>
      </c>
      <c r="R150" s="84" t="str">
        <f>VLOOKUP(G150,[1]ListLoaded!$E$6:$P$604,12,0)</f>
        <v>HAC260519096</v>
      </c>
      <c r="S150" s="15" t="e">
        <f>I150&amp;J150&amp;#REF!</f>
        <v>#REF!</v>
      </c>
      <c r="T150" s="84" t="s">
        <v>952</v>
      </c>
      <c r="U150" s="84"/>
      <c r="V150" s="84" t="s">
        <v>985</v>
      </c>
    </row>
    <row r="151" spans="1:57" ht="24.75" customHeight="1">
      <c r="A151" s="23">
        <v>141</v>
      </c>
      <c r="B151" s="24" t="s">
        <v>50</v>
      </c>
      <c r="C151" s="24" t="s">
        <v>1489</v>
      </c>
      <c r="D151" s="24" t="s">
        <v>57</v>
      </c>
      <c r="E151" s="74" t="s">
        <v>52</v>
      </c>
      <c r="F151" s="24" t="s">
        <v>52</v>
      </c>
      <c r="G151" s="83" t="s">
        <v>835</v>
      </c>
      <c r="H151" s="83" t="str">
        <f>VLOOKUP(G151,[1]ListLoaded!$E$6:$F$544,2,0)</f>
        <v>060204</v>
      </c>
      <c r="I151" s="72" t="str">
        <f>VLOOKUP(G151,[1]ListLoaded!$E$6:$M$550,9,0)</f>
        <v>F</v>
      </c>
      <c r="J151" s="72" t="str">
        <f>VLOOKUP(G151,[1]ListLoaded!$E$6:$I$537,5,0)</f>
        <v>40HC</v>
      </c>
      <c r="K151" s="140">
        <f>VLOOKUP(G151,[1]ListLoaded!$E$6:$L$537,8,0)</f>
        <v>32.49</v>
      </c>
      <c r="L151" s="83" t="str">
        <f>VLOOKUP(G151,[1]ListLoaded!$E$6:$S$645,15,0)</f>
        <v>VN220004</v>
      </c>
      <c r="M151" s="86" t="str">
        <f>VLOOKUP(G151,[1]ListLoaded!$E$6:$T$674,16,0)</f>
        <v>DET MAY</v>
      </c>
      <c r="N151" s="86">
        <f>VLOOKUP(G151,[1]ListLoaded!$E$6:$N$545,10,0)</f>
        <v>0</v>
      </c>
      <c r="O151" s="72"/>
      <c r="P151" s="72">
        <f>VLOOKUP(G151,[1]ListLoaded!$E$6:$O$638,11,0)</f>
        <v>0</v>
      </c>
      <c r="Q151" s="84" t="str">
        <f t="shared" si="32"/>
        <v>F40HC</v>
      </c>
      <c r="R151" s="84" t="str">
        <f>VLOOKUP(G151,[1]ListLoaded!$E$6:$P$604,12,0)</f>
        <v>HAC260519094</v>
      </c>
      <c r="S151" s="15" t="e">
        <f>I151&amp;J151&amp;#REF!</f>
        <v>#REF!</v>
      </c>
      <c r="T151" s="84" t="s">
        <v>953</v>
      </c>
      <c r="U151" s="84"/>
      <c r="V151" s="84" t="s">
        <v>986</v>
      </c>
    </row>
    <row r="152" spans="1:57" ht="24.75" customHeight="1">
      <c r="A152" s="23">
        <v>142</v>
      </c>
      <c r="B152" s="24" t="s">
        <v>50</v>
      </c>
      <c r="C152" s="24" t="s">
        <v>1489</v>
      </c>
      <c r="D152" s="24" t="s">
        <v>57</v>
      </c>
      <c r="E152" s="74" t="s">
        <v>52</v>
      </c>
      <c r="F152" s="24" t="s">
        <v>52</v>
      </c>
      <c r="G152" s="83" t="s">
        <v>836</v>
      </c>
      <c r="H152" s="83" t="str">
        <f>VLOOKUP(G152,[1]ListLoaded!$E$6:$F$544,2,0)</f>
        <v>140584</v>
      </c>
      <c r="I152" s="72" t="str">
        <f>VLOOKUP(G152,[1]ListLoaded!$E$6:$M$550,9,0)</f>
        <v>F</v>
      </c>
      <c r="J152" s="72" t="str">
        <f>VLOOKUP(G152,[1]ListLoaded!$E$6:$I$537,5,0)</f>
        <v>40HC</v>
      </c>
      <c r="K152" s="140">
        <f>VLOOKUP(G152,[1]ListLoaded!$E$6:$L$537,8,0)</f>
        <v>21.68</v>
      </c>
      <c r="L152" s="83" t="str">
        <f>VLOOKUP(G152,[1]ListLoaded!$E$6:$S$645,15,0)</f>
        <v>24307</v>
      </c>
      <c r="M152" s="86" t="str">
        <f>VLOOKUP(G152,[1]ListLoaded!$E$6:$T$674,16,0)</f>
        <v>BAO BI</v>
      </c>
      <c r="N152" s="86">
        <f>VLOOKUP(G152,[1]ListLoaded!$E$6:$N$545,10,0)</f>
        <v>0</v>
      </c>
      <c r="O152" s="72"/>
      <c r="P152" s="72">
        <f>VLOOKUP(G152,[1]ListLoaded!$E$6:$O$638,11,0)</f>
        <v>0</v>
      </c>
      <c r="Q152" s="84" t="str">
        <f t="shared" si="32"/>
        <v>F40HC</v>
      </c>
      <c r="R152" s="84" t="str">
        <f>VLOOKUP(G152,[1]ListLoaded!$E$6:$P$604,12,0)</f>
        <v>HAC260522033</v>
      </c>
      <c r="S152" s="15" t="e">
        <f>I152&amp;J152&amp;#REF!</f>
        <v>#REF!</v>
      </c>
      <c r="T152" s="84"/>
      <c r="U152" s="84"/>
      <c r="V152" s="84"/>
    </row>
    <row r="153" spans="1:57" ht="24.75" customHeight="1">
      <c r="A153" s="23">
        <v>143</v>
      </c>
      <c r="B153" s="24" t="s">
        <v>50</v>
      </c>
      <c r="C153" s="24" t="s">
        <v>1489</v>
      </c>
      <c r="D153" s="24" t="s">
        <v>57</v>
      </c>
      <c r="E153" s="143" t="s">
        <v>1488</v>
      </c>
      <c r="F153" s="24" t="s">
        <v>52</v>
      </c>
      <c r="G153" s="83" t="s">
        <v>837</v>
      </c>
      <c r="H153" s="83" t="str">
        <f>VLOOKUP(G153,[1]ListLoaded!$E$6:$F$544,2,0)</f>
        <v>261084</v>
      </c>
      <c r="I153" s="72" t="str">
        <f>VLOOKUP(G153,[1]ListLoaded!$E$6:$M$550,9,0)</f>
        <v>F</v>
      </c>
      <c r="J153" s="72" t="str">
        <f>VLOOKUP(G153,[1]ListLoaded!$E$6:$I$537,5,0)</f>
        <v>40HC</v>
      </c>
      <c r="K153" s="140">
        <f>VLOOKUP(G153,[1]ListLoaded!$E$6:$L$537,8,0)</f>
        <v>13.91</v>
      </c>
      <c r="L153" s="83" t="str">
        <f>VLOOKUP(G153,[1]ListLoaded!$E$6:$S$645,15,0)</f>
        <v>24358</v>
      </c>
      <c r="M153" s="86" t="str">
        <f>VLOOKUP(G153,[1]ListLoaded!$E$6:$T$674,16,0)</f>
        <v>BAO BI</v>
      </c>
      <c r="N153" s="86">
        <f>VLOOKUP(G153,[1]ListLoaded!$E$6:$N$545,10,0)</f>
        <v>0</v>
      </c>
      <c r="O153" s="72"/>
      <c r="P153" s="72">
        <f>VLOOKUP(G153,[1]ListLoaded!$E$6:$O$638,11,0)</f>
        <v>0</v>
      </c>
      <c r="Q153" s="84" t="str">
        <f t="shared" si="32"/>
        <v>F40HC</v>
      </c>
      <c r="R153" s="84" t="str">
        <f>VLOOKUP(G153,[1]ListLoaded!$E$6:$P$604,12,0)</f>
        <v>HAC260522034</v>
      </c>
      <c r="S153" s="15" t="e">
        <f>I153&amp;J153&amp;#REF!</f>
        <v>#REF!</v>
      </c>
      <c r="T153" s="84"/>
      <c r="U153" s="84"/>
      <c r="V153" s="84"/>
    </row>
    <row r="154" spans="1:57" ht="24.75" customHeight="1">
      <c r="A154" s="23">
        <v>144</v>
      </c>
      <c r="B154" s="24" t="s">
        <v>50</v>
      </c>
      <c r="C154" s="24" t="s">
        <v>1489</v>
      </c>
      <c r="D154" s="24" t="s">
        <v>57</v>
      </c>
      <c r="E154" s="74" t="s">
        <v>52</v>
      </c>
      <c r="F154" s="24" t="s">
        <v>52</v>
      </c>
      <c r="G154" s="83" t="s">
        <v>838</v>
      </c>
      <c r="H154" s="83" t="str">
        <f>VLOOKUP(G154,[1]ListLoaded!$E$6:$F$544,2,0)</f>
        <v>290608</v>
      </c>
      <c r="I154" s="72" t="str">
        <f>VLOOKUP(G154,[1]ListLoaded!$E$6:$M$550,9,0)</f>
        <v>F</v>
      </c>
      <c r="J154" s="72" t="s">
        <v>31</v>
      </c>
      <c r="K154" s="140">
        <f>VLOOKUP(G154,[1]ListLoaded!$E$6:$L$537,8,0)</f>
        <v>17.39</v>
      </c>
      <c r="L154" s="83" t="str">
        <f>VLOOKUP(G154,[1]ListLoaded!$E$6:$S$645,15,0)</f>
        <v>1118636</v>
      </c>
      <c r="M154" s="86" t="str">
        <f>VLOOKUP(G154,[1]ListLoaded!$E$6:$T$674,16,0)</f>
        <v>NHUA</v>
      </c>
      <c r="N154" s="86">
        <f>VLOOKUP(G154,[1]ListLoaded!$E$6:$N$545,10,0)</f>
        <v>0</v>
      </c>
      <c r="O154" s="72"/>
      <c r="P154" s="72">
        <f>VLOOKUP(G154,[1]ListLoaded!$E$6:$O$638,11,0)</f>
        <v>0</v>
      </c>
      <c r="Q154" s="84" t="str">
        <f t="shared" si="32"/>
        <v>F20DC</v>
      </c>
      <c r="R154" s="84" t="str">
        <f>VLOOKUP(G154,[1]ListLoaded!$E$6:$P$604,12,0)</f>
        <v>HAC260519062</v>
      </c>
      <c r="S154" s="15" t="e">
        <f>I154&amp;J154&amp;#REF!</f>
        <v>#REF!</v>
      </c>
      <c r="T154" s="84" t="s">
        <v>954</v>
      </c>
      <c r="U154" s="84"/>
      <c r="V154" s="84" t="s">
        <v>643</v>
      </c>
      <c r="Y154" s="8"/>
      <c r="AC154" s="3"/>
      <c r="AD154" s="3"/>
      <c r="AE154" s="3"/>
      <c r="AF154" s="3"/>
    </row>
    <row r="155" spans="1:57" ht="24.75" customHeight="1">
      <c r="A155" s="23">
        <v>145</v>
      </c>
      <c r="B155" s="24" t="s">
        <v>50</v>
      </c>
      <c r="C155" s="24" t="s">
        <v>1489</v>
      </c>
      <c r="D155" s="24" t="s">
        <v>57</v>
      </c>
      <c r="E155" s="74" t="s">
        <v>52</v>
      </c>
      <c r="F155" s="24" t="s">
        <v>52</v>
      </c>
      <c r="G155" s="83" t="s">
        <v>839</v>
      </c>
      <c r="H155" s="83" t="str">
        <f>VLOOKUP(G155,[1]ListLoaded!$E$6:$F$544,2,0)</f>
        <v>060382</v>
      </c>
      <c r="I155" s="72" t="str">
        <f>VLOOKUP(G155,[1]ListLoaded!$E$6:$M$550,9,0)</f>
        <v>F</v>
      </c>
      <c r="J155" s="72" t="str">
        <f>VLOOKUP(G155,[1]ListLoaded!$E$6:$I$537,5,0)</f>
        <v>40HC</v>
      </c>
      <c r="K155" s="140">
        <f>VLOOKUP(G155,[1]ListLoaded!$E$6:$L$537,8,0)</f>
        <v>30.77</v>
      </c>
      <c r="L155" s="83" t="str">
        <f>VLOOKUP(G155,[1]ListLoaded!$E$6:$S$645,15,0)</f>
        <v>23378073</v>
      </c>
      <c r="M155" s="86" t="str">
        <f>VLOOKUP(G155,[1]ListLoaded!$E$6:$T$674,16,0)</f>
        <v>THUC PHAM</v>
      </c>
      <c r="N155" s="86">
        <f>VLOOKUP(G155,[1]ListLoaded!$E$6:$N$545,10,0)</f>
        <v>0</v>
      </c>
      <c r="O155" s="72"/>
      <c r="P155" s="72">
        <f>VLOOKUP(G155,[1]ListLoaded!$E$6:$O$638,11,0)</f>
        <v>0</v>
      </c>
      <c r="Q155" s="84" t="str">
        <f t="shared" si="32"/>
        <v>F40HC</v>
      </c>
      <c r="R155" s="84" t="str">
        <f>VLOOKUP(G155,[1]ListLoaded!$E$6:$P$604,12,0)</f>
        <v>HAC260519062</v>
      </c>
      <c r="S155" s="15" t="e">
        <f>I155&amp;J155&amp;#REF!</f>
        <v>#REF!</v>
      </c>
      <c r="T155" s="84" t="s">
        <v>954</v>
      </c>
      <c r="U155" s="84"/>
      <c r="V155" s="84" t="s">
        <v>647</v>
      </c>
    </row>
    <row r="156" spans="1:57" ht="24.75" customHeight="1">
      <c r="A156" s="23">
        <v>146</v>
      </c>
      <c r="B156" s="24" t="s">
        <v>50</v>
      </c>
      <c r="C156" s="24" t="s">
        <v>1489</v>
      </c>
      <c r="D156" s="24" t="s">
        <v>57</v>
      </c>
      <c r="E156" s="74" t="s">
        <v>52</v>
      </c>
      <c r="F156" s="24" t="s">
        <v>52</v>
      </c>
      <c r="G156" s="83" t="s">
        <v>631</v>
      </c>
      <c r="H156" s="83" t="str">
        <f>VLOOKUP(G156,[1]ListLoaded!$E$6:$F$544,2,0)</f>
        <v>260606</v>
      </c>
      <c r="I156" s="72" t="str">
        <f>VLOOKUP(G156,[1]ListLoaded!$E$6:$M$550,9,0)</f>
        <v>F</v>
      </c>
      <c r="J156" s="72" t="str">
        <f>VLOOKUP(G156,[1]ListLoaded!$E$6:$I$537,5,0)</f>
        <v>40HC</v>
      </c>
      <c r="K156" s="140">
        <f>VLOOKUP(G156,[1]ListLoaded!$E$6:$L$537,8,0)</f>
        <v>31.32</v>
      </c>
      <c r="L156" s="83" t="str">
        <f>VLOOKUP(G156,[1]ListLoaded!$E$6:$S$645,15,0)</f>
        <v>1118632</v>
      </c>
      <c r="M156" s="86" t="str">
        <f>VLOOKUP(G156,[1]ListLoaded!$E$6:$T$674,16,0)</f>
        <v>NHUA</v>
      </c>
      <c r="N156" s="86">
        <f>VLOOKUP(G156,[1]ListLoaded!$E$6:$N$545,10,0)</f>
        <v>0</v>
      </c>
      <c r="O156" s="72"/>
      <c r="P156" s="72">
        <f>VLOOKUP(G156,[1]ListLoaded!$E$6:$O$638,11,0)</f>
        <v>0</v>
      </c>
      <c r="Q156" s="84" t="str">
        <f t="shared" si="32"/>
        <v>F40HC</v>
      </c>
      <c r="R156" s="84" t="str">
        <f>VLOOKUP(G156,[1]ListLoaded!$E$6:$P$604,12,0)</f>
        <v>HAC260519062</v>
      </c>
      <c r="S156" s="15" t="e">
        <f>I156&amp;J156&amp;#REF!</f>
        <v>#REF!</v>
      </c>
      <c r="T156" s="84" t="s">
        <v>954</v>
      </c>
      <c r="U156" s="84"/>
      <c r="V156" s="84" t="s">
        <v>643</v>
      </c>
    </row>
    <row r="157" spans="1:57" ht="24.75" customHeight="1">
      <c r="A157" s="23">
        <v>147</v>
      </c>
      <c r="B157" s="24" t="s">
        <v>50</v>
      </c>
      <c r="C157" s="24" t="s">
        <v>1489</v>
      </c>
      <c r="D157" s="24" t="s">
        <v>57</v>
      </c>
      <c r="E157" s="74" t="s">
        <v>52</v>
      </c>
      <c r="F157" s="24" t="s">
        <v>52</v>
      </c>
      <c r="G157" s="83" t="s">
        <v>840</v>
      </c>
      <c r="H157" s="83" t="str">
        <f>VLOOKUP(G157,[1]ListLoaded!$E$6:$F$544,2,0)</f>
        <v>070506</v>
      </c>
      <c r="I157" s="72" t="str">
        <f>VLOOKUP(G157,[1]ListLoaded!$E$6:$M$550,9,0)</f>
        <v>F</v>
      </c>
      <c r="J157" s="72" t="s">
        <v>31</v>
      </c>
      <c r="K157" s="140">
        <f>VLOOKUP(G157,[1]ListLoaded!$E$6:$L$537,8,0)</f>
        <v>30.81</v>
      </c>
      <c r="L157" s="83" t="str">
        <f>VLOOKUP(G157,[1]ListLoaded!$E$6:$S$645,15,0)</f>
        <v>1109038</v>
      </c>
      <c r="M157" s="86" t="str">
        <f>VLOOKUP(G157,[1]ListLoaded!$E$6:$T$674,16,0)</f>
        <v>GAO</v>
      </c>
      <c r="N157" s="86">
        <f>VLOOKUP(G157,[1]ListLoaded!$E$6:$N$545,10,0)</f>
        <v>0</v>
      </c>
      <c r="O157" s="72"/>
      <c r="P157" s="72">
        <f>VLOOKUP(G157,[1]ListLoaded!$E$6:$O$638,11,0)</f>
        <v>0</v>
      </c>
      <c r="Q157" s="84" t="str">
        <f t="shared" si="32"/>
        <v>F20DC</v>
      </c>
      <c r="R157" s="84" t="str">
        <f>VLOOKUP(G157,[1]ListLoaded!$E$6:$P$604,12,0)</f>
        <v>HAC260519084</v>
      </c>
      <c r="S157" s="15" t="e">
        <f>I157&amp;J157&amp;#REF!</f>
        <v>#REF!</v>
      </c>
      <c r="T157" s="84" t="s">
        <v>955</v>
      </c>
      <c r="U157" s="84"/>
      <c r="V157" s="84" t="s">
        <v>637</v>
      </c>
    </row>
    <row r="158" spans="1:57" ht="24.75" customHeight="1">
      <c r="A158" s="23">
        <v>148</v>
      </c>
      <c r="B158" s="24" t="s">
        <v>50</v>
      </c>
      <c r="C158" s="24" t="s">
        <v>1489</v>
      </c>
      <c r="D158" s="24" t="s">
        <v>57</v>
      </c>
      <c r="E158" s="74" t="s">
        <v>52</v>
      </c>
      <c r="F158" s="24" t="s">
        <v>52</v>
      </c>
      <c r="G158" s="83" t="s">
        <v>841</v>
      </c>
      <c r="H158" s="83" t="str">
        <f>VLOOKUP(G158,[1]ListLoaded!$E$6:$F$544,2,0)</f>
        <v>310806</v>
      </c>
      <c r="I158" s="72" t="str">
        <f>VLOOKUP(G158,[1]ListLoaded!$E$6:$M$550,9,0)</f>
        <v>F</v>
      </c>
      <c r="J158" s="72" t="s">
        <v>31</v>
      </c>
      <c r="K158" s="140">
        <f>VLOOKUP(G158,[1]ListLoaded!$E$6:$L$537,8,0)</f>
        <v>28.32</v>
      </c>
      <c r="L158" s="83" t="str">
        <f>VLOOKUP(G158,[1]ListLoaded!$E$6:$S$645,15,0)</f>
        <v>329052</v>
      </c>
      <c r="M158" s="86" t="str">
        <f>VLOOKUP(G158,[1]ListLoaded!$E$6:$T$674,16,0)</f>
        <v>GAO</v>
      </c>
      <c r="N158" s="86">
        <f>VLOOKUP(G158,[1]ListLoaded!$E$6:$N$545,10,0)</f>
        <v>0</v>
      </c>
      <c r="O158" s="72"/>
      <c r="P158" s="72">
        <f>VLOOKUP(G158,[1]ListLoaded!$E$6:$O$638,11,0)</f>
        <v>0</v>
      </c>
      <c r="Q158" s="84" t="str">
        <f t="shared" si="32"/>
        <v>F20DC</v>
      </c>
      <c r="R158" s="84" t="str">
        <f>VLOOKUP(G158,[1]ListLoaded!$E$6:$P$604,12,0)</f>
        <v>HAC260519084</v>
      </c>
      <c r="S158" s="15" t="e">
        <f>I158&amp;J158&amp;#REF!</f>
        <v>#REF!</v>
      </c>
      <c r="T158" s="84" t="s">
        <v>955</v>
      </c>
      <c r="U158" s="84"/>
      <c r="V158" s="84" t="s">
        <v>637</v>
      </c>
    </row>
    <row r="159" spans="1:57" ht="24.75" customHeight="1">
      <c r="A159" s="23">
        <v>149</v>
      </c>
      <c r="B159" s="24" t="s">
        <v>50</v>
      </c>
      <c r="C159" s="24" t="s">
        <v>1489</v>
      </c>
      <c r="D159" s="24" t="s">
        <v>57</v>
      </c>
      <c r="E159" s="74" t="s">
        <v>52</v>
      </c>
      <c r="F159" s="24" t="s">
        <v>52</v>
      </c>
      <c r="G159" s="83" t="s">
        <v>842</v>
      </c>
      <c r="H159" s="83" t="str">
        <f>VLOOKUP(G159,[1]ListLoaded!$E$6:$F$544,2,0)</f>
        <v>220106</v>
      </c>
      <c r="I159" s="72" t="str">
        <f>VLOOKUP(G159,[1]ListLoaded!$E$6:$M$550,9,0)</f>
        <v>F</v>
      </c>
      <c r="J159" s="72" t="str">
        <f>VLOOKUP(G159,[1]ListLoaded!$E$6:$I$537,5,0)</f>
        <v>40HC</v>
      </c>
      <c r="K159" s="140">
        <f>VLOOKUP(G159,[1]ListLoaded!$E$6:$L$537,8,0)</f>
        <v>30.29</v>
      </c>
      <c r="L159" s="83" t="str">
        <f>VLOOKUP(G159,[1]ListLoaded!$E$6:$S$645,15,0)</f>
        <v>336387</v>
      </c>
      <c r="M159" s="86" t="str">
        <f>VLOOKUP(G159,[1]ListLoaded!$E$6:$T$674,16,0)</f>
        <v>PHI NHUA</v>
      </c>
      <c r="N159" s="86">
        <f>VLOOKUP(G159,[1]ListLoaded!$E$6:$N$545,10,0)</f>
        <v>0</v>
      </c>
      <c r="O159" s="72"/>
      <c r="P159" s="72">
        <f>VLOOKUP(G159,[1]ListLoaded!$E$6:$O$638,11,0)</f>
        <v>0</v>
      </c>
      <c r="Q159" s="84" t="str">
        <f t="shared" si="32"/>
        <v>F40HC</v>
      </c>
      <c r="R159" s="84" t="str">
        <f>VLOOKUP(G159,[1]ListLoaded!$E$6:$P$604,12,0)</f>
        <v>HAC260519084</v>
      </c>
      <c r="S159" s="15" t="e">
        <f>I159&amp;J159&amp;#REF!</f>
        <v>#REF!</v>
      </c>
      <c r="T159" s="84" t="s">
        <v>955</v>
      </c>
      <c r="U159" s="84"/>
      <c r="V159" s="84" t="s">
        <v>987</v>
      </c>
    </row>
    <row r="160" spans="1:57" ht="24.75" customHeight="1">
      <c r="A160" s="23">
        <v>150</v>
      </c>
      <c r="B160" s="24" t="s">
        <v>50</v>
      </c>
      <c r="C160" s="24" t="s">
        <v>1489</v>
      </c>
      <c r="D160" s="24" t="s">
        <v>57</v>
      </c>
      <c r="E160" s="74" t="s">
        <v>52</v>
      </c>
      <c r="F160" s="24" t="s">
        <v>52</v>
      </c>
      <c r="G160" s="83" t="s">
        <v>843</v>
      </c>
      <c r="H160" s="83" t="str">
        <f>VLOOKUP(G160,[1]ListLoaded!$E$6:$F$544,2,0)</f>
        <v>290208</v>
      </c>
      <c r="I160" s="72" t="str">
        <f>VLOOKUP(G160,[1]ListLoaded!$E$6:$M$550,9,0)</f>
        <v>F</v>
      </c>
      <c r="J160" s="72" t="s">
        <v>31</v>
      </c>
      <c r="K160" s="140">
        <f>VLOOKUP(G160,[1]ListLoaded!$E$6:$L$537,8,0)</f>
        <v>17.760000000000002</v>
      </c>
      <c r="L160" s="83" t="str">
        <f>VLOOKUP(G160,[1]ListLoaded!$E$6:$S$645,15,0)</f>
        <v>566941</v>
      </c>
      <c r="M160" s="86" t="str">
        <f>VLOOKUP(G160,[1]ListLoaded!$E$6:$T$674,16,0)</f>
        <v>SON</v>
      </c>
      <c r="N160" s="86">
        <f>VLOOKUP(G160,[1]ListLoaded!$E$6:$N$545,10,0)</f>
        <v>0</v>
      </c>
      <c r="O160" s="72"/>
      <c r="P160" s="72">
        <f>VLOOKUP(G160,[1]ListLoaded!$E$6:$O$638,11,0)</f>
        <v>0</v>
      </c>
      <c r="Q160" s="84" t="str">
        <f t="shared" si="32"/>
        <v>F20DC</v>
      </c>
      <c r="R160" s="84" t="str">
        <f>VLOOKUP(G160,[1]ListLoaded!$E$6:$P$604,12,0)</f>
        <v>HAC260519104</v>
      </c>
      <c r="S160" s="15" t="e">
        <f>I160&amp;J160&amp;#REF!</f>
        <v>#REF!</v>
      </c>
      <c r="T160" s="84"/>
      <c r="U160" s="84"/>
      <c r="V160" s="84"/>
    </row>
    <row r="161" spans="1:26" ht="24.75" customHeight="1">
      <c r="A161" s="23">
        <v>151</v>
      </c>
      <c r="B161" s="24" t="s">
        <v>50</v>
      </c>
      <c r="C161" s="24" t="s">
        <v>1489</v>
      </c>
      <c r="D161" s="24" t="s">
        <v>57</v>
      </c>
      <c r="E161" s="74" t="s">
        <v>52</v>
      </c>
      <c r="F161" s="24" t="s">
        <v>52</v>
      </c>
      <c r="G161" s="83" t="s">
        <v>844</v>
      </c>
      <c r="H161" s="83" t="str">
        <f>VLOOKUP(G161,[1]ListLoaded!$E$6:$F$544,2,0)</f>
        <v>210708</v>
      </c>
      <c r="I161" s="72" t="str">
        <f>VLOOKUP(G161,[1]ListLoaded!$E$6:$M$550,9,0)</f>
        <v>F</v>
      </c>
      <c r="J161" s="72" t="s">
        <v>31</v>
      </c>
      <c r="K161" s="140">
        <f>VLOOKUP(G161,[1]ListLoaded!$E$6:$L$537,8,0)</f>
        <v>22.1</v>
      </c>
      <c r="L161" s="83" t="str">
        <f>VLOOKUP(G161,[1]ListLoaded!$E$6:$S$645,15,0)</f>
        <v>23069819</v>
      </c>
      <c r="M161" s="86" t="str">
        <f>VLOOKUP(G161,[1]ListLoaded!$E$6:$T$674,16,0)</f>
        <v>SON</v>
      </c>
      <c r="N161" s="86">
        <f>VLOOKUP(G161,[1]ListLoaded!$E$6:$N$545,10,0)</f>
        <v>0</v>
      </c>
      <c r="O161" s="72"/>
      <c r="P161" s="72">
        <f>VLOOKUP(G161,[1]ListLoaded!$E$6:$O$638,11,0)</f>
        <v>0</v>
      </c>
      <c r="Q161" s="84" t="str">
        <f t="shared" si="32"/>
        <v>F20DC</v>
      </c>
      <c r="R161" s="84" t="str">
        <f>VLOOKUP(G161,[1]ListLoaded!$E$6:$P$604,12,0)</f>
        <v>HAC260519104</v>
      </c>
      <c r="S161" s="15" t="e">
        <f>I161&amp;J161&amp;#REF!</f>
        <v>#REF!</v>
      </c>
      <c r="T161" s="84"/>
      <c r="U161" s="84"/>
      <c r="V161" s="84"/>
    </row>
    <row r="162" spans="1:26" ht="24.75" customHeight="1">
      <c r="A162" s="23">
        <v>152</v>
      </c>
      <c r="B162" s="24" t="s">
        <v>50</v>
      </c>
      <c r="C162" s="24" t="s">
        <v>1489</v>
      </c>
      <c r="D162" s="24" t="s">
        <v>57</v>
      </c>
      <c r="E162" s="74" t="s">
        <v>52</v>
      </c>
      <c r="F162" s="24" t="s">
        <v>52</v>
      </c>
      <c r="G162" s="83" t="s">
        <v>845</v>
      </c>
      <c r="H162" s="83" t="str">
        <f>VLOOKUP(G162,[1]ListLoaded!$E$6:$F$544,2,0)</f>
        <v>100206</v>
      </c>
      <c r="I162" s="72" t="str">
        <f>VLOOKUP(G162,[1]ListLoaded!$E$6:$M$550,9,0)</f>
        <v>F</v>
      </c>
      <c r="J162" s="72" t="str">
        <f>VLOOKUP(G162,[1]ListLoaded!$E$6:$I$537,5,0)</f>
        <v>40HC</v>
      </c>
      <c r="K162" s="140">
        <f>VLOOKUP(G162,[1]ListLoaded!$E$6:$L$537,8,0)</f>
        <v>31.86</v>
      </c>
      <c r="L162" s="83" t="str">
        <f>VLOOKUP(G162,[1]ListLoaded!$E$6:$S$645,15,0)</f>
        <v>1112491</v>
      </c>
      <c r="M162" s="86" t="str">
        <f>VLOOKUP(G162,[1]ListLoaded!$E$6:$T$674,16,0)</f>
        <v>CAM</v>
      </c>
      <c r="N162" s="86">
        <f>VLOOKUP(G162,[1]ListLoaded!$E$6:$N$545,10,0)</f>
        <v>0</v>
      </c>
      <c r="O162" s="72"/>
      <c r="P162" s="72">
        <f>VLOOKUP(G162,[1]ListLoaded!$E$6:$O$638,11,0)</f>
        <v>0</v>
      </c>
      <c r="Q162" s="84" t="str">
        <f t="shared" si="32"/>
        <v>F40HC</v>
      </c>
      <c r="R162" s="84" t="str">
        <f>VLOOKUP(G162,[1]ListLoaded!$E$6:$P$604,12,0)</f>
        <v>HAC260519100</v>
      </c>
      <c r="S162" s="15" t="e">
        <f>I162&amp;J162&amp;#REF!</f>
        <v>#REF!</v>
      </c>
      <c r="T162" s="84" t="s">
        <v>956</v>
      </c>
      <c r="U162" s="84"/>
      <c r="V162" s="84" t="s">
        <v>988</v>
      </c>
    </row>
    <row r="163" spans="1:26" ht="23.45" customHeight="1">
      <c r="A163" s="23">
        <v>153</v>
      </c>
      <c r="B163" s="24" t="s">
        <v>50</v>
      </c>
      <c r="C163" s="24" t="s">
        <v>1489</v>
      </c>
      <c r="D163" s="24" t="s">
        <v>57</v>
      </c>
      <c r="E163" s="74" t="s">
        <v>52</v>
      </c>
      <c r="F163" s="24" t="s">
        <v>52</v>
      </c>
      <c r="G163" s="83" t="s">
        <v>618</v>
      </c>
      <c r="H163" s="83" t="str">
        <f>VLOOKUP(G163,[1]ListLoaded!$E$6:$F$544,2,0)</f>
        <v>310708</v>
      </c>
      <c r="I163" s="72" t="str">
        <f>VLOOKUP(G163,[1]ListLoaded!$E$6:$M$550,9,0)</f>
        <v>F</v>
      </c>
      <c r="J163" s="72" t="s">
        <v>31</v>
      </c>
      <c r="K163" s="140">
        <f>VLOOKUP(G163,[1]ListLoaded!$E$6:$L$537,8,0)</f>
        <v>13.42</v>
      </c>
      <c r="L163" s="83" t="str">
        <f>VLOOKUP(G163,[1]ListLoaded!$E$6:$S$645,15,0)</f>
        <v>638731</v>
      </c>
      <c r="M163" s="86" t="str">
        <f>VLOOKUP(G163,[1]ListLoaded!$E$6:$T$674,16,0)</f>
        <v>PHU GIA TP</v>
      </c>
      <c r="N163" s="86">
        <f>VLOOKUP(G163,[1]ListLoaded!$E$6:$N$545,10,0)</f>
        <v>0</v>
      </c>
      <c r="O163" s="72"/>
      <c r="P163" s="72">
        <f>VLOOKUP(G163,[1]ListLoaded!$E$6:$O$638,11,0)</f>
        <v>0</v>
      </c>
      <c r="Q163" s="84" t="str">
        <f t="shared" si="32"/>
        <v>F20DC</v>
      </c>
      <c r="R163" s="84" t="str">
        <f>VLOOKUP(G163,[1]ListLoaded!$E$6:$P$604,12,0)</f>
        <v>HAC260521148</v>
      </c>
      <c r="S163" s="15" t="e">
        <f>I163&amp;J163&amp;#REF!</f>
        <v>#REF!</v>
      </c>
      <c r="T163" s="84"/>
      <c r="U163" s="84"/>
      <c r="V163" s="84"/>
    </row>
    <row r="164" spans="1:26" ht="24.75" customHeight="1">
      <c r="A164" s="23">
        <v>154</v>
      </c>
      <c r="B164" s="24" t="s">
        <v>50</v>
      </c>
      <c r="C164" s="24" t="s">
        <v>1489</v>
      </c>
      <c r="D164" s="24" t="s">
        <v>57</v>
      </c>
      <c r="E164" s="74" t="s">
        <v>52</v>
      </c>
      <c r="F164" s="24" t="s">
        <v>52</v>
      </c>
      <c r="G164" s="83" t="s">
        <v>846</v>
      </c>
      <c r="H164" s="83" t="str">
        <f>VLOOKUP(G164,[1]ListLoaded!$E$6:$F$544,2,0)</f>
        <v>100108</v>
      </c>
      <c r="I164" s="72" t="str">
        <f>VLOOKUP(G164,[1]ListLoaded!$E$6:$M$550,9,0)</f>
        <v>F</v>
      </c>
      <c r="J164" s="72" t="str">
        <f>VLOOKUP(G164,[1]ListLoaded!$E$6:$I$537,5,0)</f>
        <v>40HC</v>
      </c>
      <c r="K164" s="140">
        <f>VLOOKUP(G164,[1]ListLoaded!$E$6:$L$537,8,0)</f>
        <v>31.96</v>
      </c>
      <c r="L164" s="83" t="str">
        <f>VLOOKUP(G164,[1]ListLoaded!$E$6:$S$645,15,0)</f>
        <v>656200</v>
      </c>
      <c r="M164" s="86" t="str">
        <f>VLOOKUP(G164,[1]ListLoaded!$E$6:$T$674,16,0)</f>
        <v>MANG PHIM</v>
      </c>
      <c r="N164" s="86">
        <f>VLOOKUP(G164,[1]ListLoaded!$E$6:$N$545,10,0)</f>
        <v>0</v>
      </c>
      <c r="O164" s="72"/>
      <c r="P164" s="72">
        <f>VLOOKUP(G164,[1]ListLoaded!$E$6:$O$638,11,0)</f>
        <v>0</v>
      </c>
      <c r="Q164" s="84" t="str">
        <f t="shared" si="32"/>
        <v>F40HC</v>
      </c>
      <c r="R164" s="84" t="str">
        <f>VLOOKUP(G164,[1]ListLoaded!$E$6:$P$604,12,0)</f>
        <v>HAC260521148</v>
      </c>
      <c r="S164" s="15" t="e">
        <f>I164&amp;J164&amp;#REF!</f>
        <v>#REF!</v>
      </c>
      <c r="T164" s="84"/>
      <c r="U164" s="84"/>
      <c r="V164" s="84"/>
    </row>
    <row r="165" spans="1:26" ht="24.75" customHeight="1">
      <c r="A165" s="23">
        <v>155</v>
      </c>
      <c r="B165" s="24" t="s">
        <v>50</v>
      </c>
      <c r="C165" s="24" t="s">
        <v>1489</v>
      </c>
      <c r="D165" s="24" t="s">
        <v>57</v>
      </c>
      <c r="E165" s="74" t="s">
        <v>1488</v>
      </c>
      <c r="F165" s="24" t="s">
        <v>52</v>
      </c>
      <c r="G165" s="83" t="s">
        <v>847</v>
      </c>
      <c r="H165" s="83" t="str">
        <f>VLOOKUP(G165,[1]ListLoaded!$E$6:$F$544,2,0)</f>
        <v>310506</v>
      </c>
      <c r="I165" s="72" t="str">
        <f>VLOOKUP(G165,[1]ListLoaded!$E$6:$M$550,9,0)</f>
        <v>F</v>
      </c>
      <c r="J165" s="72" t="str">
        <f>VLOOKUP(G165,[1]ListLoaded!$E$6:$I$537,5,0)</f>
        <v>20TK</v>
      </c>
      <c r="K165" s="140">
        <f>VLOOKUP(G165,[1]ListLoaded!$E$6:$L$537,8,0)</f>
        <v>24.61</v>
      </c>
      <c r="L165" s="83" t="str">
        <f>VLOOKUP(G165,[1]ListLoaded!$E$6:$S$645,15,0)</f>
        <v>60493</v>
      </c>
      <c r="M165" s="86" t="str">
        <f>VLOOKUP(G165,[1]ListLoaded!$E$6:$T$674,16,0)</f>
        <v>MO CA</v>
      </c>
      <c r="N165" s="86">
        <f>VLOOKUP(G165,[1]ListLoaded!$E$6:$N$545,10,0)</f>
        <v>0</v>
      </c>
      <c r="O165" s="72"/>
      <c r="P165" s="72">
        <f>VLOOKUP(G165,[1]ListLoaded!$E$6:$O$638,11,0)</f>
        <v>0</v>
      </c>
      <c r="Q165" s="84" t="str">
        <f t="shared" si="32"/>
        <v>F20TK</v>
      </c>
      <c r="R165" s="84" t="str">
        <f>VLOOKUP(G165,[1]ListLoaded!$E$6:$P$604,12,0)</f>
        <v>HAC260519179</v>
      </c>
      <c r="S165" s="15" t="e">
        <f>I165&amp;J165&amp;#REF!</f>
        <v>#REF!</v>
      </c>
      <c r="T165" s="84" t="s">
        <v>957</v>
      </c>
      <c r="U165" s="84"/>
      <c r="V165" s="84" t="s">
        <v>639</v>
      </c>
    </row>
    <row r="166" spans="1:26" ht="24.75" customHeight="1">
      <c r="A166" s="23">
        <v>156</v>
      </c>
      <c r="B166" s="24" t="s">
        <v>50</v>
      </c>
      <c r="C166" s="24" t="s">
        <v>1489</v>
      </c>
      <c r="D166" s="24" t="s">
        <v>57</v>
      </c>
      <c r="E166" s="74" t="s">
        <v>1488</v>
      </c>
      <c r="F166" s="24" t="s">
        <v>52</v>
      </c>
      <c r="G166" s="83" t="s">
        <v>848</v>
      </c>
      <c r="H166" s="83" t="str">
        <f>VLOOKUP(G166,[1]ListLoaded!$E$6:$F$544,2,0)</f>
        <v>290808</v>
      </c>
      <c r="I166" s="72" t="str">
        <f>VLOOKUP(G166,[1]ListLoaded!$E$6:$M$550,9,0)</f>
        <v>F</v>
      </c>
      <c r="J166" s="72" t="str">
        <f>VLOOKUP(G166,[1]ListLoaded!$E$6:$I$537,5,0)</f>
        <v>20TK</v>
      </c>
      <c r="K166" s="140">
        <f>VLOOKUP(G166,[1]ListLoaded!$E$6:$L$537,8,0)</f>
        <v>23.84</v>
      </c>
      <c r="L166" s="83" t="str">
        <f>VLOOKUP(G166,[1]ListLoaded!$E$6:$S$645,15,0)</f>
        <v>60546</v>
      </c>
      <c r="M166" s="86" t="str">
        <f>VLOOKUP(G166,[1]ListLoaded!$E$6:$T$674,16,0)</f>
        <v>MO CA</v>
      </c>
      <c r="N166" s="86">
        <f>VLOOKUP(G166,[1]ListLoaded!$E$6:$N$545,10,0)</f>
        <v>0</v>
      </c>
      <c r="O166" s="72"/>
      <c r="P166" s="72">
        <f>VLOOKUP(G166,[1]ListLoaded!$E$6:$O$638,11,0)</f>
        <v>0</v>
      </c>
      <c r="Q166" s="84" t="str">
        <f t="shared" si="32"/>
        <v>F20TK</v>
      </c>
      <c r="R166" s="84" t="str">
        <f>VLOOKUP(G166,[1]ListLoaded!$E$6:$P$604,12,0)</f>
        <v>HAC260519179</v>
      </c>
      <c r="S166" s="15" t="e">
        <f>I166&amp;J166&amp;#REF!</f>
        <v>#REF!</v>
      </c>
      <c r="T166" s="84" t="s">
        <v>957</v>
      </c>
      <c r="U166" s="84"/>
      <c r="V166" s="84" t="s">
        <v>639</v>
      </c>
    </row>
    <row r="167" spans="1:26" ht="24.75" customHeight="1">
      <c r="A167" s="23">
        <v>157</v>
      </c>
      <c r="B167" s="24" t="s">
        <v>50</v>
      </c>
      <c r="C167" s="24" t="s">
        <v>1489</v>
      </c>
      <c r="D167" s="24" t="s">
        <v>57</v>
      </c>
      <c r="E167" s="74" t="s">
        <v>1488</v>
      </c>
      <c r="F167" s="24" t="s">
        <v>52</v>
      </c>
      <c r="G167" s="83" t="s">
        <v>849</v>
      </c>
      <c r="H167" s="83" t="str">
        <f>VLOOKUP(G167,[1]ListLoaded!$E$6:$F$544,2,0)</f>
        <v>290408</v>
      </c>
      <c r="I167" s="72" t="str">
        <f>VLOOKUP(G167,[1]ListLoaded!$E$6:$M$550,9,0)</f>
        <v>F</v>
      </c>
      <c r="J167" s="72" t="str">
        <f>VLOOKUP(G167,[1]ListLoaded!$E$6:$I$537,5,0)</f>
        <v>20TK</v>
      </c>
      <c r="K167" s="140">
        <f>VLOOKUP(G167,[1]ListLoaded!$E$6:$L$537,8,0)</f>
        <v>17.79</v>
      </c>
      <c r="L167" s="83" t="str">
        <f>VLOOKUP(G167,[1]ListLoaded!$E$6:$S$645,15,0)</f>
        <v>60606</v>
      </c>
      <c r="M167" s="86" t="str">
        <f>VLOOKUP(G167,[1]ListLoaded!$E$6:$T$674,16,0)</f>
        <v>MO CA</v>
      </c>
      <c r="N167" s="86">
        <f>VLOOKUP(G167,[1]ListLoaded!$E$6:$N$545,10,0)</f>
        <v>0</v>
      </c>
      <c r="O167" s="72"/>
      <c r="P167" s="72">
        <f>VLOOKUP(G167,[1]ListLoaded!$E$6:$O$638,11,0)</f>
        <v>0</v>
      </c>
      <c r="Q167" s="84" t="str">
        <f t="shared" si="32"/>
        <v>F20TK</v>
      </c>
      <c r="R167" s="84" t="str">
        <f>VLOOKUP(G167,[1]ListLoaded!$E$6:$P$604,12,0)</f>
        <v>HAC260519179</v>
      </c>
      <c r="S167" s="15" t="e">
        <f>I167&amp;J167&amp;#REF!</f>
        <v>#REF!</v>
      </c>
      <c r="T167" s="84" t="s">
        <v>957</v>
      </c>
      <c r="U167" s="84"/>
      <c r="V167" s="84" t="s">
        <v>639</v>
      </c>
    </row>
    <row r="168" spans="1:26" ht="24.75" customHeight="1">
      <c r="A168" s="23">
        <v>158</v>
      </c>
      <c r="B168" s="24" t="s">
        <v>50</v>
      </c>
      <c r="C168" s="24" t="s">
        <v>1489</v>
      </c>
      <c r="D168" s="24" t="s">
        <v>57</v>
      </c>
      <c r="E168" s="74" t="s">
        <v>1488</v>
      </c>
      <c r="F168" s="24" t="s">
        <v>52</v>
      </c>
      <c r="G168" s="83" t="s">
        <v>850</v>
      </c>
      <c r="H168" s="83" t="str">
        <f>VLOOKUP(G168,[1]ListLoaded!$E$6:$F$544,2,0)</f>
        <v>290108</v>
      </c>
      <c r="I168" s="72" t="str">
        <f>VLOOKUP(G168,[1]ListLoaded!$E$6:$M$550,9,0)</f>
        <v>F</v>
      </c>
      <c r="J168" s="72" t="str">
        <f>VLOOKUP(G168,[1]ListLoaded!$E$6:$I$537,5,0)</f>
        <v>20TK</v>
      </c>
      <c r="K168" s="140">
        <f>VLOOKUP(G168,[1]ListLoaded!$E$6:$L$537,8,0)</f>
        <v>24.94</v>
      </c>
      <c r="L168" s="83" t="str">
        <f>VLOOKUP(G168,[1]ListLoaded!$E$6:$S$645,15,0)</f>
        <v>60601</v>
      </c>
      <c r="M168" s="86" t="str">
        <f>VLOOKUP(G168,[1]ListLoaded!$E$6:$T$674,16,0)</f>
        <v>MO CA.</v>
      </c>
      <c r="N168" s="86">
        <f>VLOOKUP(G168,[1]ListLoaded!$E$6:$N$545,10,0)</f>
        <v>0</v>
      </c>
      <c r="O168" s="72"/>
      <c r="P168" s="72">
        <f>VLOOKUP(G168,[1]ListLoaded!$E$6:$O$638,11,0)</f>
        <v>0</v>
      </c>
      <c r="Q168" s="84" t="str">
        <f t="shared" si="32"/>
        <v>F20TK</v>
      </c>
      <c r="R168" s="84" t="str">
        <f>VLOOKUP(G168,[1]ListLoaded!$E$6:$P$604,12,0)</f>
        <v>HAC260519179</v>
      </c>
      <c r="S168" s="15" t="e">
        <f>I168&amp;J168&amp;#REF!</f>
        <v>#REF!</v>
      </c>
      <c r="T168" s="84" t="s">
        <v>957</v>
      </c>
      <c r="U168" s="84"/>
      <c r="V168" s="84" t="s">
        <v>989</v>
      </c>
    </row>
    <row r="169" spans="1:26" ht="24.75" customHeight="1">
      <c r="A169" s="23">
        <v>159</v>
      </c>
      <c r="B169" s="24" t="s">
        <v>50</v>
      </c>
      <c r="C169" s="24" t="s">
        <v>1489</v>
      </c>
      <c r="D169" s="24" t="s">
        <v>57</v>
      </c>
      <c r="E169" s="74" t="s">
        <v>1488</v>
      </c>
      <c r="F169" s="24" t="s">
        <v>52</v>
      </c>
      <c r="G169" s="83" t="s">
        <v>851</v>
      </c>
      <c r="H169" s="83" t="str">
        <f>VLOOKUP(G169,[1]ListLoaded!$E$6:$F$544,2,0)</f>
        <v>290706</v>
      </c>
      <c r="I169" s="72" t="str">
        <f>VLOOKUP(G169,[1]ListLoaded!$E$6:$M$550,9,0)</f>
        <v>F</v>
      </c>
      <c r="J169" s="72" t="str">
        <f>VLOOKUP(G169,[1]ListLoaded!$E$6:$I$537,5,0)</f>
        <v>20TK</v>
      </c>
      <c r="K169" s="140">
        <f>VLOOKUP(G169,[1]ListLoaded!$E$6:$L$537,8,0)</f>
        <v>20.78</v>
      </c>
      <c r="L169" s="83" t="str">
        <f>VLOOKUP(G169,[1]ListLoaded!$E$6:$S$645,15,0)</f>
        <v>114968</v>
      </c>
      <c r="M169" s="86" t="str">
        <f>VLOOKUP(G169,[1]ListLoaded!$E$6:$T$674,16,0)</f>
        <v>DAU CA</v>
      </c>
      <c r="N169" s="86">
        <f>VLOOKUP(G169,[1]ListLoaded!$E$6:$N$545,10,0)</f>
        <v>0</v>
      </c>
      <c r="O169" s="72"/>
      <c r="P169" s="72">
        <f>VLOOKUP(G169,[1]ListLoaded!$E$6:$O$638,11,0)</f>
        <v>0</v>
      </c>
      <c r="Q169" s="84" t="str">
        <f t="shared" si="32"/>
        <v>F20TK</v>
      </c>
      <c r="R169" s="84" t="str">
        <f>VLOOKUP(G169,[1]ListLoaded!$E$6:$P$604,12,0)</f>
        <v>HAC260519179</v>
      </c>
      <c r="S169" s="15" t="e">
        <f>I169&amp;J169&amp;#REF!</f>
        <v>#REF!</v>
      </c>
      <c r="T169" s="84" t="s">
        <v>957</v>
      </c>
      <c r="U169" s="84"/>
      <c r="V169" s="84" t="s">
        <v>990</v>
      </c>
    </row>
    <row r="170" spans="1:26" ht="24.75" customHeight="1">
      <c r="A170" s="23">
        <v>160</v>
      </c>
      <c r="B170" s="24" t="s">
        <v>50</v>
      </c>
      <c r="C170" s="24" t="s">
        <v>1489</v>
      </c>
      <c r="D170" s="24" t="s">
        <v>57</v>
      </c>
      <c r="E170" s="74" t="s">
        <v>52</v>
      </c>
      <c r="F170" s="24" t="s">
        <v>52</v>
      </c>
      <c r="G170" s="83" t="s">
        <v>852</v>
      </c>
      <c r="H170" s="83" t="str">
        <f>VLOOKUP(G170,[1]ListLoaded!$E$6:$F$544,2,0)</f>
        <v>110706</v>
      </c>
      <c r="I170" s="72" t="str">
        <f>VLOOKUP(G170,[1]ListLoaded!$E$6:$M$550,9,0)</f>
        <v>F</v>
      </c>
      <c r="J170" s="72" t="s">
        <v>31</v>
      </c>
      <c r="K170" s="140">
        <f>VLOOKUP(G170,[1]ListLoaded!$E$6:$L$537,8,0)</f>
        <v>28.6</v>
      </c>
      <c r="L170" s="83" t="str">
        <f>VLOOKUP(G170,[1]ListLoaded!$E$6:$S$645,15,0)</f>
        <v>703315</v>
      </c>
      <c r="M170" s="86" t="str">
        <f>VLOOKUP(G170,[1]ListLoaded!$E$6:$T$674,16,0)</f>
        <v>THUC PHAM</v>
      </c>
      <c r="N170" s="86">
        <f>VLOOKUP(G170,[1]ListLoaded!$E$6:$N$545,10,0)</f>
        <v>0</v>
      </c>
      <c r="O170" s="72"/>
      <c r="P170" s="72">
        <f>VLOOKUP(G170,[1]ListLoaded!$E$6:$O$638,11,0)</f>
        <v>0</v>
      </c>
      <c r="Q170" s="84" t="str">
        <f t="shared" si="32"/>
        <v>F20DC</v>
      </c>
      <c r="R170" s="84" t="str">
        <f>VLOOKUP(G170,[1]ListLoaded!$E$6:$P$604,12,0)</f>
        <v>HAC260519123</v>
      </c>
      <c r="S170" s="15" t="e">
        <f>I170&amp;J170&amp;#REF!</f>
        <v>#REF!</v>
      </c>
      <c r="T170" s="84"/>
      <c r="U170" s="84"/>
      <c r="V170" s="84"/>
      <c r="Z170" s="3"/>
    </row>
    <row r="171" spans="1:26" ht="23.45" customHeight="1">
      <c r="A171" s="23">
        <v>161</v>
      </c>
      <c r="B171" s="24" t="s">
        <v>50</v>
      </c>
      <c r="C171" s="24" t="s">
        <v>1489</v>
      </c>
      <c r="D171" s="24" t="s">
        <v>57</v>
      </c>
      <c r="E171" s="74" t="s">
        <v>52</v>
      </c>
      <c r="F171" s="24" t="s">
        <v>52</v>
      </c>
      <c r="G171" s="83" t="s">
        <v>853</v>
      </c>
      <c r="H171" s="83" t="str">
        <f>VLOOKUP(G171,[1]ListLoaded!$E$6:$F$544,2,0)</f>
        <v>060384</v>
      </c>
      <c r="I171" s="72" t="str">
        <f>VLOOKUP(G171,[1]ListLoaded!$E$6:$M$550,9,0)</f>
        <v>F</v>
      </c>
      <c r="J171" s="72" t="str">
        <f>VLOOKUP(G171,[1]ListLoaded!$E$6:$I$537,5,0)</f>
        <v>40HC</v>
      </c>
      <c r="K171" s="140">
        <f>VLOOKUP(G171,[1]ListLoaded!$E$6:$L$537,8,0)</f>
        <v>17.989999999999998</v>
      </c>
      <c r="L171" s="83" t="str">
        <f>VLOOKUP(G171,[1]ListLoaded!$E$6:$S$645,15,0)</f>
        <v>027269</v>
      </c>
      <c r="M171" s="86" t="str">
        <f>VLOOKUP(G171,[1]ListLoaded!$E$6:$T$674,16,0)</f>
        <v>LOP XE</v>
      </c>
      <c r="N171" s="86">
        <f>VLOOKUP(G171,[1]ListLoaded!$E$6:$N$545,10,0)</f>
        <v>0</v>
      </c>
      <c r="O171" s="72"/>
      <c r="P171" s="72">
        <f>VLOOKUP(G171,[1]ListLoaded!$E$6:$O$638,11,0)</f>
        <v>0</v>
      </c>
      <c r="Q171" s="84" t="str">
        <f t="shared" si="32"/>
        <v>F40HC</v>
      </c>
      <c r="R171" s="84" t="str">
        <f>VLOOKUP(G171,[1]ListLoaded!$E$6:$P$604,12,0)</f>
        <v>HAC260519123</v>
      </c>
      <c r="S171" s="15" t="e">
        <f>I171&amp;J171&amp;#REF!</f>
        <v>#REF!</v>
      </c>
      <c r="T171" s="84" t="s">
        <v>958</v>
      </c>
      <c r="U171" s="84"/>
      <c r="V171" s="84" t="s">
        <v>991</v>
      </c>
      <c r="Z171" s="3"/>
    </row>
    <row r="172" spans="1:26" ht="24.75" customHeight="1">
      <c r="A172" s="23">
        <v>162</v>
      </c>
      <c r="B172" s="24" t="s">
        <v>50</v>
      </c>
      <c r="C172" s="24" t="s">
        <v>1489</v>
      </c>
      <c r="D172" s="24" t="s">
        <v>57</v>
      </c>
      <c r="E172" s="74" t="s">
        <v>52</v>
      </c>
      <c r="F172" s="24" t="s">
        <v>52</v>
      </c>
      <c r="G172" s="83" t="s">
        <v>854</v>
      </c>
      <c r="H172" s="83" t="str">
        <f>VLOOKUP(G172,[1]ListLoaded!$E$6:$F$544,2,0)</f>
        <v>260982</v>
      </c>
      <c r="I172" s="72" t="str">
        <f>VLOOKUP(G172,[1]ListLoaded!$E$6:$M$550,9,0)</f>
        <v>F</v>
      </c>
      <c r="J172" s="72" t="str">
        <f>VLOOKUP(G172,[1]ListLoaded!$E$6:$I$537,5,0)</f>
        <v>40HC</v>
      </c>
      <c r="K172" s="140">
        <f>VLOOKUP(G172,[1]ListLoaded!$E$6:$L$537,8,0)</f>
        <v>23.31</v>
      </c>
      <c r="L172" s="83" t="str">
        <f>VLOOKUP(G172,[1]ListLoaded!$E$6:$S$645,15,0)</f>
        <v>1118490</v>
      </c>
      <c r="M172" s="86" t="str">
        <f>VLOOKUP(G172,[1]ListLoaded!$E$6:$T$674,16,0)</f>
        <v>THUC PHAM</v>
      </c>
      <c r="N172" s="86">
        <f>VLOOKUP(G172,[1]ListLoaded!$E$6:$N$545,10,0)</f>
        <v>0</v>
      </c>
      <c r="O172" s="72"/>
      <c r="P172" s="72">
        <f>VLOOKUP(G172,[1]ListLoaded!$E$6:$O$638,11,0)</f>
        <v>0</v>
      </c>
      <c r="Q172" s="84" t="str">
        <f t="shared" si="32"/>
        <v>F40HC</v>
      </c>
      <c r="R172" s="84" t="str">
        <f>VLOOKUP(G172,[1]ListLoaded!$E$6:$P$604,12,0)</f>
        <v>HAC260519123</v>
      </c>
      <c r="S172" s="15" t="e">
        <f>I172&amp;J172&amp;#REF!</f>
        <v>#REF!</v>
      </c>
      <c r="T172" s="84" t="s">
        <v>958</v>
      </c>
      <c r="U172" s="84"/>
      <c r="V172" s="84" t="s">
        <v>647</v>
      </c>
      <c r="Z172" s="3"/>
    </row>
    <row r="173" spans="1:26" ht="24.75" customHeight="1">
      <c r="A173" s="23">
        <v>163</v>
      </c>
      <c r="B173" s="24" t="s">
        <v>50</v>
      </c>
      <c r="C173" s="24" t="s">
        <v>1489</v>
      </c>
      <c r="D173" s="24" t="s">
        <v>57</v>
      </c>
      <c r="E173" s="74" t="s">
        <v>52</v>
      </c>
      <c r="F173" s="24" t="s">
        <v>52</v>
      </c>
      <c r="G173" s="83" t="s">
        <v>855</v>
      </c>
      <c r="H173" s="83" t="str">
        <f>VLOOKUP(G173,[1]ListLoaded!$E$6:$F$544,2,0)</f>
        <v>180502</v>
      </c>
      <c r="I173" s="72" t="str">
        <f>VLOOKUP(G173,[1]ListLoaded!$E$6:$M$550,9,0)</f>
        <v>F</v>
      </c>
      <c r="J173" s="72" t="str">
        <f>VLOOKUP(G173,[1]ListLoaded!$E$6:$I$537,5,0)</f>
        <v>40HC</v>
      </c>
      <c r="K173" s="140">
        <f>VLOOKUP(G173,[1]ListLoaded!$E$6:$L$537,8,0)</f>
        <v>32.380000000000003</v>
      </c>
      <c r="L173" s="83" t="str">
        <f>VLOOKUP(G173,[1]ListLoaded!$E$6:$S$645,15,0)</f>
        <v>94420</v>
      </c>
      <c r="M173" s="86" t="str">
        <f>VLOOKUP(G173,[1]ListLoaded!$E$6:$T$674,16,0)</f>
        <v>THUC PHAM</v>
      </c>
      <c r="N173" s="86">
        <f>VLOOKUP(G173,[1]ListLoaded!$E$6:$N$545,10,0)</f>
        <v>0</v>
      </c>
      <c r="O173" s="72"/>
      <c r="P173" s="72">
        <f>VLOOKUP(G173,[1]ListLoaded!$E$6:$O$638,11,0)</f>
        <v>0</v>
      </c>
      <c r="Q173" s="84" t="str">
        <f t="shared" si="32"/>
        <v>F40HC</v>
      </c>
      <c r="R173" s="84" t="str">
        <f>VLOOKUP(G173,[1]ListLoaded!$E$6:$P$604,12,0)</f>
        <v>HAC260519123</v>
      </c>
      <c r="S173" s="15" t="e">
        <f>I173&amp;J173&amp;#REF!</f>
        <v>#REF!</v>
      </c>
      <c r="T173" s="84" t="s">
        <v>958</v>
      </c>
      <c r="U173" s="84"/>
      <c r="V173" s="84" t="s">
        <v>647</v>
      </c>
    </row>
    <row r="174" spans="1:26" ht="24.75" customHeight="1">
      <c r="A174" s="23">
        <v>164</v>
      </c>
      <c r="B174" s="24" t="s">
        <v>50</v>
      </c>
      <c r="C174" s="24" t="s">
        <v>1489</v>
      </c>
      <c r="D174" s="24" t="s">
        <v>57</v>
      </c>
      <c r="E174" s="143" t="s">
        <v>1488</v>
      </c>
      <c r="F174" s="24" t="s">
        <v>52</v>
      </c>
      <c r="G174" s="83" t="s">
        <v>856</v>
      </c>
      <c r="H174" s="83" t="str">
        <f>VLOOKUP(G174,[1]ListLoaded!$E$6:$F$544,2,0)</f>
        <v>100404</v>
      </c>
      <c r="I174" s="72" t="str">
        <f>VLOOKUP(G174,[1]ListLoaded!$E$6:$M$550,9,0)</f>
        <v>F</v>
      </c>
      <c r="J174" s="72" t="str">
        <f>VLOOKUP(G174,[1]ListLoaded!$E$6:$I$537,5,0)</f>
        <v>40HC</v>
      </c>
      <c r="K174" s="140">
        <f>VLOOKUP(G174,[1]ListLoaded!$E$6:$L$537,8,0)</f>
        <v>31.28</v>
      </c>
      <c r="L174" s="83" t="str">
        <f>VLOOKUP(G174,[1]ListLoaded!$E$6:$S$645,15,0)</f>
        <v>947204</v>
      </c>
      <c r="M174" s="86" t="str">
        <f>VLOOKUP(G174,[1]ListLoaded!$E$6:$T$674,16,0)</f>
        <v>THONG THUONG</v>
      </c>
      <c r="N174" s="86">
        <f>VLOOKUP(G174,[1]ListLoaded!$E$6:$N$545,10,0)</f>
        <v>0</v>
      </c>
      <c r="O174" s="72"/>
      <c r="P174" s="72">
        <f>VLOOKUP(G174,[1]ListLoaded!$E$6:$O$638,11,0)</f>
        <v>0</v>
      </c>
      <c r="Q174" s="84" t="str">
        <f t="shared" si="32"/>
        <v>F40HC</v>
      </c>
      <c r="R174" s="84" t="str">
        <f>VLOOKUP(G174,[1]ListLoaded!$E$6:$P$604,12,0)</f>
        <v>HAC260519179</v>
      </c>
      <c r="S174" s="15" t="e">
        <f>I174&amp;J174&amp;#REF!</f>
        <v>#REF!</v>
      </c>
      <c r="T174" s="84" t="s">
        <v>957</v>
      </c>
      <c r="U174" s="84"/>
      <c r="V174" s="84" t="s">
        <v>992</v>
      </c>
    </row>
    <row r="175" spans="1:26" ht="24.75" customHeight="1">
      <c r="A175" s="23">
        <v>165</v>
      </c>
      <c r="B175" s="24" t="s">
        <v>50</v>
      </c>
      <c r="C175" s="24" t="s">
        <v>1489</v>
      </c>
      <c r="D175" s="24" t="s">
        <v>57</v>
      </c>
      <c r="E175" s="143" t="s">
        <v>1488</v>
      </c>
      <c r="F175" s="24" t="s">
        <v>52</v>
      </c>
      <c r="G175" s="83" t="s">
        <v>857</v>
      </c>
      <c r="H175" s="83" t="str">
        <f>VLOOKUP(G175,[1]ListLoaded!$E$6:$F$544,2,0)</f>
        <v>260108</v>
      </c>
      <c r="I175" s="72" t="str">
        <f>VLOOKUP(G175,[1]ListLoaded!$E$6:$M$550,9,0)</f>
        <v>F</v>
      </c>
      <c r="J175" s="72" t="str">
        <f>VLOOKUP(G175,[1]ListLoaded!$E$6:$I$537,5,0)</f>
        <v>40HC</v>
      </c>
      <c r="K175" s="140">
        <f>VLOOKUP(G175,[1]ListLoaded!$E$6:$L$537,8,0)</f>
        <v>26.48</v>
      </c>
      <c r="L175" s="83" t="str">
        <f>VLOOKUP(G175,[1]ListLoaded!$E$6:$S$645,15,0)</f>
        <v>947217</v>
      </c>
      <c r="M175" s="86" t="str">
        <f>VLOOKUP(G175,[1]ListLoaded!$E$6:$T$674,16,0)</f>
        <v>THONG THUONG</v>
      </c>
      <c r="N175" s="86">
        <f>VLOOKUP(G175,[1]ListLoaded!$E$6:$N$545,10,0)</f>
        <v>0</v>
      </c>
      <c r="O175" s="72"/>
      <c r="P175" s="72">
        <f>VLOOKUP(G175,[1]ListLoaded!$E$6:$O$638,11,0)</f>
        <v>0</v>
      </c>
      <c r="Q175" s="84" t="str">
        <f t="shared" si="32"/>
        <v>F40HC</v>
      </c>
      <c r="R175" s="84" t="str">
        <f>VLOOKUP(G175,[1]ListLoaded!$E$6:$P$604,12,0)</f>
        <v>HAC260519179</v>
      </c>
      <c r="S175" s="15" t="e">
        <f>I175&amp;J175&amp;#REF!</f>
        <v>#REF!</v>
      </c>
      <c r="T175" s="84" t="s">
        <v>957</v>
      </c>
      <c r="U175" s="84"/>
      <c r="V175" s="84" t="s">
        <v>992</v>
      </c>
    </row>
    <row r="176" spans="1:26" ht="24.75" customHeight="1">
      <c r="A176" s="23">
        <v>166</v>
      </c>
      <c r="B176" s="24" t="s">
        <v>50</v>
      </c>
      <c r="C176" s="24" t="s">
        <v>1489</v>
      </c>
      <c r="D176" s="24" t="s">
        <v>57</v>
      </c>
      <c r="E176" s="74" t="s">
        <v>1488</v>
      </c>
      <c r="F176" s="24" t="s">
        <v>52</v>
      </c>
      <c r="G176" s="83" t="s">
        <v>858</v>
      </c>
      <c r="H176" s="83" t="str">
        <f>VLOOKUP(G176,[1]ListLoaded!$E$6:$F$544,2,0)</f>
        <v>290610</v>
      </c>
      <c r="I176" s="72" t="str">
        <f>VLOOKUP(G176,[1]ListLoaded!$E$6:$M$550,9,0)</f>
        <v>E</v>
      </c>
      <c r="J176" s="72" t="str">
        <f>VLOOKUP(G176,[1]ListLoaded!$E$6:$I$537,5,0)</f>
        <v>20TK</v>
      </c>
      <c r="K176" s="140">
        <f>VLOOKUP(G176,[1]ListLoaded!$E$6:$L$537,8,0)</f>
        <v>3</v>
      </c>
      <c r="L176" s="83" t="str">
        <f>VLOOKUP(G176,[1]ListLoaded!$E$6:$S$645,15,0)</f>
        <v/>
      </c>
      <c r="M176" s="86" t="s">
        <v>56</v>
      </c>
      <c r="N176" s="86">
        <f>VLOOKUP(G176,[1]ListLoaded!$E$6:$N$545,10,0)</f>
        <v>0</v>
      </c>
      <c r="O176" s="72"/>
      <c r="P176" s="72">
        <f>VLOOKUP(G176,[1]ListLoaded!$E$6:$O$638,11,0)</f>
        <v>0</v>
      </c>
      <c r="Q176" s="84" t="str">
        <f t="shared" si="32"/>
        <v>E20TK</v>
      </c>
      <c r="R176" s="84" t="str">
        <f>VLOOKUP(G176,[1]ListLoaded!$E$6:$P$604,12,0)</f>
        <v>HAC260519179</v>
      </c>
      <c r="S176" s="15" t="e">
        <f>I176&amp;J176&amp;#REF!</f>
        <v>#REF!</v>
      </c>
      <c r="T176" s="84" t="s">
        <v>957</v>
      </c>
      <c r="U176" s="84"/>
      <c r="V176" s="84"/>
    </row>
    <row r="177" spans="1:22" ht="24.75" customHeight="1">
      <c r="A177" s="23">
        <v>167</v>
      </c>
      <c r="B177" s="24" t="s">
        <v>50</v>
      </c>
      <c r="C177" s="24" t="s">
        <v>1489</v>
      </c>
      <c r="D177" s="24" t="s">
        <v>57</v>
      </c>
      <c r="E177" s="74" t="s">
        <v>1488</v>
      </c>
      <c r="F177" s="24" t="s">
        <v>52</v>
      </c>
      <c r="G177" s="83" t="s">
        <v>859</v>
      </c>
      <c r="H177" s="83" t="str">
        <f>VLOOKUP(G177,[1]ListLoaded!$E$6:$F$544,2,0)</f>
        <v>290210</v>
      </c>
      <c r="I177" s="72" t="str">
        <f>VLOOKUP(G177,[1]ListLoaded!$E$6:$M$550,9,0)</f>
        <v>E</v>
      </c>
      <c r="J177" s="72" t="str">
        <f>VLOOKUP(G177,[1]ListLoaded!$E$6:$I$537,5,0)</f>
        <v>20TK</v>
      </c>
      <c r="K177" s="140">
        <f>VLOOKUP(G177,[1]ListLoaded!$E$6:$L$537,8,0)</f>
        <v>3</v>
      </c>
      <c r="L177" s="83" t="str">
        <f>VLOOKUP(G177,[1]ListLoaded!$E$6:$S$645,15,0)</f>
        <v/>
      </c>
      <c r="M177" s="86" t="s">
        <v>56</v>
      </c>
      <c r="N177" s="86">
        <f>VLOOKUP(G177,[1]ListLoaded!$E$6:$N$545,10,0)</f>
        <v>0</v>
      </c>
      <c r="O177" s="72"/>
      <c r="P177" s="72">
        <f>VLOOKUP(G177,[1]ListLoaded!$E$6:$O$638,11,0)</f>
        <v>0</v>
      </c>
      <c r="Q177" s="84" t="str">
        <f t="shared" si="32"/>
        <v>E20TK</v>
      </c>
      <c r="R177" s="84" t="str">
        <f>VLOOKUP(G177,[1]ListLoaded!$E$6:$P$604,12,0)</f>
        <v>HAC260519179</v>
      </c>
      <c r="S177" s="15" t="e">
        <f>I177&amp;J177&amp;#REF!</f>
        <v>#REF!</v>
      </c>
      <c r="T177" s="84" t="s">
        <v>957</v>
      </c>
      <c r="U177" s="84"/>
      <c r="V177" s="84"/>
    </row>
    <row r="178" spans="1:22" ht="24.75" customHeight="1">
      <c r="A178" s="23">
        <v>168</v>
      </c>
      <c r="B178" s="24" t="s">
        <v>50</v>
      </c>
      <c r="C178" s="24" t="s">
        <v>1489</v>
      </c>
      <c r="D178" s="24" t="s">
        <v>57</v>
      </c>
      <c r="E178" s="74" t="s">
        <v>1488</v>
      </c>
      <c r="F178" s="24" t="s">
        <v>52</v>
      </c>
      <c r="G178" s="83" t="s">
        <v>860</v>
      </c>
      <c r="H178" s="83" t="str">
        <f>VLOOKUP(G178,[1]ListLoaded!$E$6:$F$544,2,0)</f>
        <v>290510</v>
      </c>
      <c r="I178" s="72" t="str">
        <f>VLOOKUP(G178,[1]ListLoaded!$E$6:$M$550,9,0)</f>
        <v>E</v>
      </c>
      <c r="J178" s="72" t="str">
        <f>VLOOKUP(G178,[1]ListLoaded!$E$6:$I$537,5,0)</f>
        <v>20TK</v>
      </c>
      <c r="K178" s="140">
        <f>VLOOKUP(G178,[1]ListLoaded!$E$6:$L$537,8,0)</f>
        <v>3</v>
      </c>
      <c r="L178" s="83" t="str">
        <f>VLOOKUP(G178,[1]ListLoaded!$E$6:$S$645,15,0)</f>
        <v/>
      </c>
      <c r="M178" s="86" t="s">
        <v>56</v>
      </c>
      <c r="N178" s="86">
        <f>VLOOKUP(G178,[1]ListLoaded!$E$6:$N$545,10,0)</f>
        <v>0</v>
      </c>
      <c r="O178" s="72"/>
      <c r="P178" s="72">
        <f>VLOOKUP(G178,[1]ListLoaded!$E$6:$O$638,11,0)</f>
        <v>0</v>
      </c>
      <c r="Q178" s="84" t="str">
        <f t="shared" si="32"/>
        <v>E20TK</v>
      </c>
      <c r="R178" s="84" t="str">
        <f>VLOOKUP(G178,[1]ListLoaded!$E$6:$P$604,12,0)</f>
        <v>HAC260519179</v>
      </c>
      <c r="S178" s="15" t="e">
        <f>I178&amp;J178&amp;#REF!</f>
        <v>#REF!</v>
      </c>
      <c r="T178" s="84" t="s">
        <v>957</v>
      </c>
      <c r="U178" s="84"/>
      <c r="V178" s="84"/>
    </row>
    <row r="179" spans="1:22" ht="24.75" customHeight="1">
      <c r="A179" s="23">
        <v>169</v>
      </c>
      <c r="B179" s="24" t="s">
        <v>50</v>
      </c>
      <c r="C179" s="24" t="s">
        <v>1489</v>
      </c>
      <c r="D179" s="24" t="s">
        <v>57</v>
      </c>
      <c r="E179" s="74" t="s">
        <v>1488</v>
      </c>
      <c r="F179" s="24" t="s">
        <v>52</v>
      </c>
      <c r="G179" s="83" t="s">
        <v>861</v>
      </c>
      <c r="H179" s="83" t="str">
        <f>VLOOKUP(G179,[1]ListLoaded!$E$6:$F$544,2,0)</f>
        <v>290810</v>
      </c>
      <c r="I179" s="72" t="str">
        <f>VLOOKUP(G179,[1]ListLoaded!$E$6:$M$550,9,0)</f>
        <v>E</v>
      </c>
      <c r="J179" s="72" t="str">
        <f>VLOOKUP(G179,[1]ListLoaded!$E$6:$I$537,5,0)</f>
        <v>20TK</v>
      </c>
      <c r="K179" s="140">
        <f>VLOOKUP(G179,[1]ListLoaded!$E$6:$L$537,8,0)</f>
        <v>3</v>
      </c>
      <c r="L179" s="83" t="str">
        <f>VLOOKUP(G179,[1]ListLoaded!$E$6:$S$645,15,0)</f>
        <v/>
      </c>
      <c r="M179" s="86" t="s">
        <v>56</v>
      </c>
      <c r="N179" s="86">
        <f>VLOOKUP(G179,[1]ListLoaded!$E$6:$N$545,10,0)</f>
        <v>0</v>
      </c>
      <c r="O179" s="72"/>
      <c r="P179" s="72">
        <f>VLOOKUP(G179,[1]ListLoaded!$E$6:$O$638,11,0)</f>
        <v>0</v>
      </c>
      <c r="Q179" s="84" t="str">
        <f t="shared" si="32"/>
        <v>E20TK</v>
      </c>
      <c r="R179" s="84" t="str">
        <f>VLOOKUP(G179,[1]ListLoaded!$E$6:$P$604,12,0)</f>
        <v>HAC260519179</v>
      </c>
      <c r="S179" s="15" t="e">
        <f>I179&amp;J179&amp;#REF!</f>
        <v>#REF!</v>
      </c>
      <c r="T179" s="84" t="s">
        <v>957</v>
      </c>
      <c r="U179" s="84"/>
      <c r="V179" s="84"/>
    </row>
    <row r="180" spans="1:22" ht="24.75" customHeight="1">
      <c r="A180" s="23">
        <v>170</v>
      </c>
      <c r="B180" s="24" t="s">
        <v>50</v>
      </c>
      <c r="C180" s="24" t="s">
        <v>1489</v>
      </c>
      <c r="D180" s="24" t="s">
        <v>57</v>
      </c>
      <c r="E180" s="74" t="s">
        <v>1488</v>
      </c>
      <c r="F180" s="24" t="s">
        <v>52</v>
      </c>
      <c r="G180" s="83" t="s">
        <v>862</v>
      </c>
      <c r="H180" s="83" t="str">
        <f>VLOOKUP(G180,[1]ListLoaded!$E$6:$F$544,2,0)</f>
        <v>290410</v>
      </c>
      <c r="I180" s="72" t="str">
        <f>VLOOKUP(G180,[1]ListLoaded!$E$6:$M$550,9,0)</f>
        <v>E</v>
      </c>
      <c r="J180" s="72" t="str">
        <f>VLOOKUP(G180,[1]ListLoaded!$E$6:$I$537,5,0)</f>
        <v>20TK</v>
      </c>
      <c r="K180" s="140">
        <f>VLOOKUP(G180,[1]ListLoaded!$E$6:$L$537,8,0)</f>
        <v>3</v>
      </c>
      <c r="L180" s="83" t="str">
        <f>VLOOKUP(G180,[1]ListLoaded!$E$6:$S$645,15,0)</f>
        <v/>
      </c>
      <c r="M180" s="86" t="s">
        <v>56</v>
      </c>
      <c r="N180" s="86">
        <f>VLOOKUP(G180,[1]ListLoaded!$E$6:$N$545,10,0)</f>
        <v>0</v>
      </c>
      <c r="O180" s="72"/>
      <c r="P180" s="72">
        <f>VLOOKUP(G180,[1]ListLoaded!$E$6:$O$638,11,0)</f>
        <v>0</v>
      </c>
      <c r="Q180" s="84" t="str">
        <f t="shared" si="32"/>
        <v>E20TK</v>
      </c>
      <c r="R180" s="84" t="str">
        <f>VLOOKUP(G180,[1]ListLoaded!$E$6:$P$604,12,0)</f>
        <v>HAC260519179</v>
      </c>
      <c r="S180" s="15" t="e">
        <f>I180&amp;J180&amp;#REF!</f>
        <v>#REF!</v>
      </c>
      <c r="T180" s="84" t="s">
        <v>957</v>
      </c>
      <c r="U180" s="84"/>
      <c r="V180" s="84"/>
    </row>
    <row r="181" spans="1:22" ht="24.75" customHeight="1">
      <c r="A181" s="23">
        <v>171</v>
      </c>
      <c r="B181" s="24" t="s">
        <v>50</v>
      </c>
      <c r="C181" s="24" t="s">
        <v>1489</v>
      </c>
      <c r="D181" s="24" t="s">
        <v>57</v>
      </c>
      <c r="E181" s="74" t="s">
        <v>52</v>
      </c>
      <c r="F181" s="24" t="s">
        <v>52</v>
      </c>
      <c r="G181" s="83" t="s">
        <v>863</v>
      </c>
      <c r="H181" s="83" t="str">
        <f>VLOOKUP(G181,[1]ListLoaded!$E$6:$F$544,2,0)</f>
        <v>181084</v>
      </c>
      <c r="I181" s="72" t="str">
        <f>VLOOKUP(G181,[1]ListLoaded!$E$6:$M$550,9,0)</f>
        <v>F</v>
      </c>
      <c r="J181" s="72" t="str">
        <f>VLOOKUP(G181,[1]ListLoaded!$E$6:$I$537,5,0)</f>
        <v>40HC</v>
      </c>
      <c r="K181" s="140">
        <f>VLOOKUP(G181,[1]ListLoaded!$E$6:$L$537,8,0)</f>
        <v>19.21</v>
      </c>
      <c r="L181" s="83" t="str">
        <f>VLOOKUP(G181,[1]ListLoaded!$E$6:$S$645,15,0)</f>
        <v>1116118</v>
      </c>
      <c r="M181" s="86" t="str">
        <f>VLOOKUP(G181,[1]ListLoaded!$E$6:$T$674,16,0)</f>
        <v>VAI</v>
      </c>
      <c r="N181" s="86">
        <f>VLOOKUP(G181,[1]ListLoaded!$E$6:$N$545,10,0)</f>
        <v>0</v>
      </c>
      <c r="O181" s="72"/>
      <c r="P181" s="72">
        <f>VLOOKUP(G181,[1]ListLoaded!$E$6:$O$638,11,0)</f>
        <v>0</v>
      </c>
      <c r="Q181" s="84" t="str">
        <f t="shared" si="32"/>
        <v>F40HC</v>
      </c>
      <c r="R181" s="84" t="str">
        <f>VLOOKUP(G181,[1]ListLoaded!$E$6:$P$604,12,0)</f>
        <v>HAC260519049</v>
      </c>
      <c r="S181" s="15" t="e">
        <f>I181&amp;J181&amp;#REF!</f>
        <v>#REF!</v>
      </c>
      <c r="T181" s="84" t="s">
        <v>959</v>
      </c>
      <c r="U181" s="84"/>
      <c r="V181" s="84" t="s">
        <v>644</v>
      </c>
    </row>
    <row r="182" spans="1:22" ht="24.75" customHeight="1">
      <c r="A182" s="23">
        <v>172</v>
      </c>
      <c r="B182" s="24" t="s">
        <v>50</v>
      </c>
      <c r="C182" s="24" t="s">
        <v>1489</v>
      </c>
      <c r="D182" s="24" t="s">
        <v>57</v>
      </c>
      <c r="E182" s="74" t="s">
        <v>52</v>
      </c>
      <c r="F182" s="24" t="s">
        <v>52</v>
      </c>
      <c r="G182" s="83" t="s">
        <v>633</v>
      </c>
      <c r="H182" s="83" t="str">
        <f>VLOOKUP(G182,[1]ListLoaded!$E$6:$F$544,2,0)</f>
        <v>100984</v>
      </c>
      <c r="I182" s="72" t="str">
        <f>VLOOKUP(G182,[1]ListLoaded!$E$6:$M$550,9,0)</f>
        <v>F</v>
      </c>
      <c r="J182" s="72" t="str">
        <f>VLOOKUP(G182,[1]ListLoaded!$E$6:$I$537,5,0)</f>
        <v>40HC</v>
      </c>
      <c r="K182" s="140">
        <f>VLOOKUP(G182,[1]ListLoaded!$E$6:$L$537,8,0)</f>
        <v>19.07</v>
      </c>
      <c r="L182" s="83" t="str">
        <f>VLOOKUP(G182,[1]ListLoaded!$E$6:$S$645,15,0)</f>
        <v>1116115</v>
      </c>
      <c r="M182" s="86" t="str">
        <f>VLOOKUP(G182,[1]ListLoaded!$E$6:$T$674,16,0)</f>
        <v>VAI MUNG</v>
      </c>
      <c r="N182" s="86">
        <f>VLOOKUP(G182,[1]ListLoaded!$E$6:$N$545,10,0)</f>
        <v>0</v>
      </c>
      <c r="O182" s="72"/>
      <c r="P182" s="72">
        <f>VLOOKUP(G182,[1]ListLoaded!$E$6:$O$638,11,0)</f>
        <v>0</v>
      </c>
      <c r="Q182" s="84" t="str">
        <f t="shared" si="32"/>
        <v>F40HC</v>
      </c>
      <c r="R182" s="84" t="str">
        <f>VLOOKUP(G182,[1]ListLoaded!$E$6:$P$604,12,0)</f>
        <v>HAC260522003</v>
      </c>
      <c r="S182" s="15" t="e">
        <f>I182&amp;J182&amp;#REF!</f>
        <v>#REF!</v>
      </c>
      <c r="T182" s="84"/>
      <c r="U182" s="84"/>
      <c r="V182" s="84"/>
    </row>
    <row r="183" spans="1:22" ht="24.75" customHeight="1">
      <c r="A183" s="23">
        <v>173</v>
      </c>
      <c r="B183" s="24" t="s">
        <v>50</v>
      </c>
      <c r="C183" s="24" t="s">
        <v>1489</v>
      </c>
      <c r="D183" s="24" t="s">
        <v>57</v>
      </c>
      <c r="E183" s="74" t="s">
        <v>52</v>
      </c>
      <c r="F183" s="24" t="s">
        <v>52</v>
      </c>
      <c r="G183" s="83" t="s">
        <v>864</v>
      </c>
      <c r="H183" s="83" t="str">
        <f>VLOOKUP(G183,[1]ListLoaded!$E$6:$F$544,2,0)</f>
        <v>180184</v>
      </c>
      <c r="I183" s="72" t="str">
        <f>VLOOKUP(G183,[1]ListLoaded!$E$6:$M$550,9,0)</f>
        <v>F</v>
      </c>
      <c r="J183" s="72" t="str">
        <f>VLOOKUP(G183,[1]ListLoaded!$E$6:$I$537,5,0)</f>
        <v>40HC</v>
      </c>
      <c r="K183" s="140">
        <f>VLOOKUP(G183,[1]ListLoaded!$E$6:$L$537,8,0)</f>
        <v>18.809999999999999</v>
      </c>
      <c r="L183" s="83" t="str">
        <f>VLOOKUP(G183,[1]ListLoaded!$E$6:$S$645,15,0)</f>
        <v>1117817</v>
      </c>
      <c r="M183" s="86" t="str">
        <f>VLOOKUP(G183,[1]ListLoaded!$E$6:$T$674,16,0)</f>
        <v>VAI MUNG</v>
      </c>
      <c r="N183" s="86">
        <f>VLOOKUP(G183,[1]ListLoaded!$E$6:$N$545,10,0)</f>
        <v>0</v>
      </c>
      <c r="O183" s="72"/>
      <c r="P183" s="72">
        <f>VLOOKUP(G183,[1]ListLoaded!$E$6:$O$638,11,0)</f>
        <v>0</v>
      </c>
      <c r="Q183" s="84" t="str">
        <f t="shared" si="32"/>
        <v>F40HC</v>
      </c>
      <c r="R183" s="84" t="str">
        <f>VLOOKUP(G183,[1]ListLoaded!$E$6:$P$604,12,0)</f>
        <v>HAC260522003</v>
      </c>
      <c r="S183" s="15" t="e">
        <f>I183&amp;J183&amp;#REF!</f>
        <v>#REF!</v>
      </c>
      <c r="T183" s="84"/>
      <c r="U183" s="84"/>
      <c r="V183" s="84"/>
    </row>
    <row r="184" spans="1:22" ht="24.75" customHeight="1">
      <c r="A184" s="23">
        <v>174</v>
      </c>
      <c r="B184" s="24" t="s">
        <v>50</v>
      </c>
      <c r="C184" s="24" t="s">
        <v>1489</v>
      </c>
      <c r="D184" s="24" t="s">
        <v>57</v>
      </c>
      <c r="E184" s="74" t="s">
        <v>52</v>
      </c>
      <c r="F184" s="24" t="s">
        <v>52</v>
      </c>
      <c r="G184" s="83" t="s">
        <v>865</v>
      </c>
      <c r="H184" s="83" t="str">
        <f>VLOOKUP(G184,[1]ListLoaded!$E$6:$F$544,2,0)</f>
        <v>100584</v>
      </c>
      <c r="I184" s="72" t="str">
        <f>VLOOKUP(G184,[1]ListLoaded!$E$6:$M$550,9,0)</f>
        <v>F</v>
      </c>
      <c r="J184" s="72" t="str">
        <f>VLOOKUP(G184,[1]ListLoaded!$E$6:$I$537,5,0)</f>
        <v>40HC</v>
      </c>
      <c r="K184" s="140">
        <f>VLOOKUP(G184,[1]ListLoaded!$E$6:$L$537,8,0)</f>
        <v>18.82</v>
      </c>
      <c r="L184" s="83" t="str">
        <f>VLOOKUP(G184,[1]ListLoaded!$E$6:$S$645,15,0)</f>
        <v>1117811</v>
      </c>
      <c r="M184" s="86" t="str">
        <f>VLOOKUP(G184,[1]ListLoaded!$E$6:$T$674,16,0)</f>
        <v>VAI MUNG</v>
      </c>
      <c r="N184" s="86">
        <f>VLOOKUP(G184,[1]ListLoaded!$E$6:$N$545,10,0)</f>
        <v>0</v>
      </c>
      <c r="O184" s="72"/>
      <c r="P184" s="72">
        <f>VLOOKUP(G184,[1]ListLoaded!$E$6:$O$638,11,0)</f>
        <v>0</v>
      </c>
      <c r="Q184" s="84" t="str">
        <f t="shared" si="32"/>
        <v>F40HC</v>
      </c>
      <c r="R184" s="84" t="str">
        <f>VLOOKUP(G184,[1]ListLoaded!$E$6:$P$604,12,0)</f>
        <v>HAC260522003</v>
      </c>
      <c r="S184" s="15" t="e">
        <f>I184&amp;J184&amp;#REF!</f>
        <v>#REF!</v>
      </c>
      <c r="T184" s="84"/>
      <c r="U184" s="84"/>
      <c r="V184" s="84"/>
    </row>
    <row r="185" spans="1:22" ht="24.75" customHeight="1">
      <c r="A185" s="23">
        <v>175</v>
      </c>
      <c r="B185" s="24" t="s">
        <v>50</v>
      </c>
      <c r="C185" s="24" t="s">
        <v>1489</v>
      </c>
      <c r="D185" s="24" t="s">
        <v>83</v>
      </c>
      <c r="E185" s="143" t="s">
        <v>1488</v>
      </c>
      <c r="F185" s="24" t="s">
        <v>52</v>
      </c>
      <c r="G185" s="83" t="s">
        <v>1203</v>
      </c>
      <c r="H185" s="83" t="s">
        <v>1484</v>
      </c>
      <c r="I185" s="72" t="s">
        <v>531</v>
      </c>
      <c r="J185" s="72" t="s">
        <v>37</v>
      </c>
      <c r="K185" s="140">
        <v>3.8</v>
      </c>
      <c r="L185" s="83" t="s">
        <v>69</v>
      </c>
      <c r="M185" s="86" t="s">
        <v>56</v>
      </c>
      <c r="N185" s="86">
        <v>0</v>
      </c>
      <c r="O185" s="72" t="s">
        <v>1232</v>
      </c>
      <c r="P185" s="72">
        <v>0</v>
      </c>
      <c r="Q185" s="84" t="str">
        <f t="shared" si="32"/>
        <v>E40HC</v>
      </c>
      <c r="R185" s="84" t="s">
        <v>1462</v>
      </c>
      <c r="S185" s="15" t="s">
        <v>1463</v>
      </c>
      <c r="T185" s="84"/>
      <c r="U185" s="84"/>
      <c r="V185" s="84"/>
    </row>
    <row r="186" spans="1:22" ht="24.75" customHeight="1">
      <c r="A186" s="23">
        <v>176</v>
      </c>
      <c r="B186" s="24" t="s">
        <v>50</v>
      </c>
      <c r="C186" s="24" t="s">
        <v>1489</v>
      </c>
      <c r="D186" s="24" t="s">
        <v>57</v>
      </c>
      <c r="E186" s="74" t="s">
        <v>1488</v>
      </c>
      <c r="F186" s="24" t="s">
        <v>52</v>
      </c>
      <c r="G186" s="83" t="s">
        <v>866</v>
      </c>
      <c r="H186" s="83" t="str">
        <f>VLOOKUP(G186,[1]ListLoaded!$E$6:$F$544,2,0)</f>
        <v>180682</v>
      </c>
      <c r="I186" s="72" t="str">
        <f>VLOOKUP(G186,[1]ListLoaded!$E$6:$M$550,9,0)</f>
        <v>F</v>
      </c>
      <c r="J186" s="72" t="s">
        <v>38</v>
      </c>
      <c r="K186" s="140">
        <f>VLOOKUP(G186,[1]ListLoaded!$E$6:$L$537,8,0)</f>
        <v>32.369999999999997</v>
      </c>
      <c r="L186" s="83" t="str">
        <f>VLOOKUP(G186,[1]ListLoaded!$E$6:$S$645,15,0)</f>
        <v>0581</v>
      </c>
      <c r="M186" s="86" t="str">
        <f>VLOOKUP(G186,[1]ListLoaded!$E$6:$T$674,16,0)</f>
        <v>CA TRA</v>
      </c>
      <c r="N186" s="86" t="str">
        <f>VLOOKUP(G186,[1]ListLoaded!$E$6:$N$545,10,0)</f>
        <v>-18C</v>
      </c>
      <c r="O186" s="72" t="s">
        <v>532</v>
      </c>
      <c r="P186" s="72">
        <f>VLOOKUP(G186,[1]ListLoaded!$E$6:$O$638,11,0)</f>
        <v>0</v>
      </c>
      <c r="Q186" s="84" t="str">
        <f t="shared" si="32"/>
        <v>F40RF</v>
      </c>
      <c r="R186" s="84" t="str">
        <f>VLOOKUP(G186,[1]ListLoaded!$E$6:$P$604,12,0)</f>
        <v>HAC260519053</v>
      </c>
      <c r="S186" s="15" t="e">
        <f>I186&amp;J186&amp;#REF!</f>
        <v>#REF!</v>
      </c>
      <c r="T186" s="84" t="s">
        <v>960</v>
      </c>
      <c r="U186" s="84"/>
      <c r="V186" s="84" t="s">
        <v>646</v>
      </c>
    </row>
    <row r="187" spans="1:22" ht="24.75" customHeight="1">
      <c r="A187" s="23">
        <v>177</v>
      </c>
      <c r="B187" s="24" t="s">
        <v>50</v>
      </c>
      <c r="C187" s="24" t="s">
        <v>1489</v>
      </c>
      <c r="D187" s="24" t="s">
        <v>57</v>
      </c>
      <c r="E187" s="74" t="s">
        <v>1488</v>
      </c>
      <c r="F187" s="24" t="s">
        <v>52</v>
      </c>
      <c r="G187" s="83" t="s">
        <v>867</v>
      </c>
      <c r="H187" s="83" t="str">
        <f>VLOOKUP(G187,[1]ListLoaded!$E$6:$F$544,2,0)</f>
        <v>180482</v>
      </c>
      <c r="I187" s="72" t="str">
        <f>VLOOKUP(G187,[1]ListLoaded!$E$6:$M$550,9,0)</f>
        <v>F</v>
      </c>
      <c r="J187" s="72" t="s">
        <v>38</v>
      </c>
      <c r="K187" s="140">
        <f>VLOOKUP(G187,[1]ListLoaded!$E$6:$L$537,8,0)</f>
        <v>33.72</v>
      </c>
      <c r="L187" s="83" t="str">
        <f>VLOOKUP(G187,[1]ListLoaded!$E$6:$S$645,15,0)</f>
        <v>25004808</v>
      </c>
      <c r="M187" s="86" t="str">
        <f>VLOOKUP(G187,[1]ListLoaded!$E$6:$T$674,16,0)</f>
        <v>CA</v>
      </c>
      <c r="N187" s="86" t="str">
        <f>VLOOKUP(G187,[1]ListLoaded!$E$6:$N$545,10,0)</f>
        <v>-18C</v>
      </c>
      <c r="O187" s="72" t="s">
        <v>532</v>
      </c>
      <c r="P187" s="72">
        <f>VLOOKUP(G187,[1]ListLoaded!$E$6:$O$638,11,0)</f>
        <v>0</v>
      </c>
      <c r="Q187" s="84" t="str">
        <f t="shared" si="32"/>
        <v>F40RF</v>
      </c>
      <c r="R187" s="84" t="str">
        <f>VLOOKUP(G187,[1]ListLoaded!$E$6:$P$604,12,0)</f>
        <v>HAC260519053</v>
      </c>
      <c r="S187" s="15" t="e">
        <f>I187&amp;J187&amp;#REF!</f>
        <v>#REF!</v>
      </c>
      <c r="T187" s="84" t="s">
        <v>960</v>
      </c>
      <c r="U187" s="84"/>
      <c r="V187" s="84" t="s">
        <v>645</v>
      </c>
    </row>
    <row r="188" spans="1:22" ht="24.75" customHeight="1">
      <c r="A188" s="23">
        <v>178</v>
      </c>
      <c r="B188" s="24" t="s">
        <v>50</v>
      </c>
      <c r="C188" s="24" t="s">
        <v>1489</v>
      </c>
      <c r="D188" s="24" t="s">
        <v>57</v>
      </c>
      <c r="E188" s="74" t="s">
        <v>1488</v>
      </c>
      <c r="F188" s="24" t="s">
        <v>52</v>
      </c>
      <c r="G188" s="83" t="s">
        <v>868</v>
      </c>
      <c r="H188" s="83" t="str">
        <f>VLOOKUP(G188,[1]ListLoaded!$E$6:$F$544,2,0)</f>
        <v>100282</v>
      </c>
      <c r="I188" s="72" t="str">
        <f>VLOOKUP(G188,[1]ListLoaded!$E$6:$M$550,9,0)</f>
        <v>F</v>
      </c>
      <c r="J188" s="72" t="s">
        <v>38</v>
      </c>
      <c r="K188" s="140">
        <f>VLOOKUP(G188,[1]ListLoaded!$E$6:$L$537,8,0)</f>
        <v>33.94</v>
      </c>
      <c r="L188" s="83" t="str">
        <f>VLOOKUP(G188,[1]ListLoaded!$E$6:$S$645,15,0)</f>
        <v>25002857</v>
      </c>
      <c r="M188" s="86" t="str">
        <f>VLOOKUP(G188,[1]ListLoaded!$E$6:$T$674,16,0)</f>
        <v>CA</v>
      </c>
      <c r="N188" s="86" t="str">
        <f>VLOOKUP(G188,[1]ListLoaded!$E$6:$N$545,10,0)</f>
        <v>-18C</v>
      </c>
      <c r="O188" s="72" t="s">
        <v>532</v>
      </c>
      <c r="P188" s="72">
        <f>VLOOKUP(G188,[1]ListLoaded!$E$6:$O$638,11,0)</f>
        <v>0</v>
      </c>
      <c r="Q188" s="84" t="str">
        <f t="shared" si="32"/>
        <v>F40RF</v>
      </c>
      <c r="R188" s="84" t="str">
        <f>VLOOKUP(G188,[1]ListLoaded!$E$6:$P$604,12,0)</f>
        <v>HAC260519053</v>
      </c>
      <c r="S188" s="15" t="e">
        <f>I188&amp;J188&amp;#REF!</f>
        <v>#REF!</v>
      </c>
      <c r="T188" s="84" t="s">
        <v>960</v>
      </c>
      <c r="U188" s="84"/>
      <c r="V188" s="84" t="s">
        <v>645</v>
      </c>
    </row>
    <row r="189" spans="1:22" ht="24.75" customHeight="1">
      <c r="A189" s="23">
        <v>179</v>
      </c>
      <c r="B189" s="24" t="s">
        <v>50</v>
      </c>
      <c r="C189" s="24" t="s">
        <v>1489</v>
      </c>
      <c r="D189" s="24" t="s">
        <v>57</v>
      </c>
      <c r="E189" s="74" t="s">
        <v>1488</v>
      </c>
      <c r="F189" s="24" t="s">
        <v>52</v>
      </c>
      <c r="G189" s="83" t="s">
        <v>1279</v>
      </c>
      <c r="H189" s="83" t="s">
        <v>1328</v>
      </c>
      <c r="I189" s="72" t="s">
        <v>116</v>
      </c>
      <c r="J189" s="72" t="s">
        <v>38</v>
      </c>
      <c r="K189" s="140">
        <v>32.32</v>
      </c>
      <c r="L189" s="83" t="s">
        <v>1329</v>
      </c>
      <c r="M189" s="86" t="s">
        <v>645</v>
      </c>
      <c r="N189" s="86" t="s">
        <v>1330</v>
      </c>
      <c r="O189" s="72"/>
      <c r="P189" s="72">
        <v>0</v>
      </c>
      <c r="Q189" s="84" t="str">
        <f t="shared" si="32"/>
        <v>F40RF</v>
      </c>
      <c r="R189" s="84" t="s">
        <v>1331</v>
      </c>
      <c r="T189" s="84"/>
      <c r="U189" s="84"/>
      <c r="V189" s="84"/>
    </row>
    <row r="190" spans="1:22" ht="24.75" customHeight="1">
      <c r="A190" s="23">
        <v>180</v>
      </c>
      <c r="B190" s="24" t="s">
        <v>50</v>
      </c>
      <c r="C190" s="24" t="s">
        <v>1489</v>
      </c>
      <c r="D190" s="24" t="s">
        <v>57</v>
      </c>
      <c r="E190" s="74" t="s">
        <v>52</v>
      </c>
      <c r="F190" s="24" t="s">
        <v>52</v>
      </c>
      <c r="G190" s="83" t="s">
        <v>1276</v>
      </c>
      <c r="H190" s="83" t="s">
        <v>1332</v>
      </c>
      <c r="I190" s="72" t="s">
        <v>116</v>
      </c>
      <c r="J190" s="72" t="s">
        <v>37</v>
      </c>
      <c r="K190" s="140">
        <v>8.82</v>
      </c>
      <c r="L190" s="83" t="s">
        <v>1333</v>
      </c>
      <c r="M190" s="86" t="s">
        <v>1009</v>
      </c>
      <c r="N190" s="86">
        <v>0</v>
      </c>
      <c r="O190" s="72"/>
      <c r="P190" s="72">
        <v>0</v>
      </c>
      <c r="Q190" s="84" t="str">
        <f t="shared" si="32"/>
        <v>F40HC</v>
      </c>
      <c r="R190" s="84" t="s">
        <v>968</v>
      </c>
      <c r="T190" s="84"/>
      <c r="U190" s="84"/>
      <c r="V190" s="84"/>
    </row>
    <row r="191" spans="1:22" ht="24.75" customHeight="1">
      <c r="A191" s="23">
        <v>181</v>
      </c>
      <c r="B191" s="24" t="s">
        <v>50</v>
      </c>
      <c r="C191" s="24" t="s">
        <v>1489</v>
      </c>
      <c r="D191" s="24" t="s">
        <v>57</v>
      </c>
      <c r="E191" s="74" t="s">
        <v>52</v>
      </c>
      <c r="F191" s="24" t="s">
        <v>52</v>
      </c>
      <c r="G191" s="83" t="s">
        <v>1277</v>
      </c>
      <c r="H191" s="83" t="s">
        <v>1334</v>
      </c>
      <c r="I191" s="72" t="s">
        <v>116</v>
      </c>
      <c r="J191" s="72" t="s">
        <v>37</v>
      </c>
      <c r="K191" s="140">
        <v>33.26</v>
      </c>
      <c r="L191" s="83" t="s">
        <v>1335</v>
      </c>
      <c r="M191" s="86" t="s">
        <v>988</v>
      </c>
      <c r="N191" s="86">
        <v>0</v>
      </c>
      <c r="O191" s="72"/>
      <c r="P191" s="72">
        <v>0</v>
      </c>
      <c r="Q191" s="84" t="str">
        <f t="shared" si="32"/>
        <v>F40HC</v>
      </c>
      <c r="R191" s="84" t="s">
        <v>968</v>
      </c>
      <c r="S191" s="15" t="s">
        <v>610</v>
      </c>
      <c r="T191" s="84"/>
      <c r="U191" s="84"/>
      <c r="V191" s="84"/>
    </row>
    <row r="192" spans="1:22" ht="24.75" customHeight="1">
      <c r="A192" s="23">
        <v>182</v>
      </c>
      <c r="B192" s="24" t="s">
        <v>50</v>
      </c>
      <c r="C192" s="24" t="s">
        <v>1489</v>
      </c>
      <c r="D192" s="24" t="s">
        <v>83</v>
      </c>
      <c r="E192" s="74" t="s">
        <v>52</v>
      </c>
      <c r="F192" s="24" t="s">
        <v>52</v>
      </c>
      <c r="G192" s="83" t="s">
        <v>1278</v>
      </c>
      <c r="H192" s="83" t="s">
        <v>1336</v>
      </c>
      <c r="I192" s="72" t="s">
        <v>116</v>
      </c>
      <c r="J192" s="72" t="s">
        <v>31</v>
      </c>
      <c r="K192" s="140">
        <v>21.84</v>
      </c>
      <c r="L192" s="83" t="s">
        <v>1337</v>
      </c>
      <c r="M192" s="86" t="s">
        <v>1010</v>
      </c>
      <c r="N192" s="86">
        <v>0</v>
      </c>
      <c r="O192" s="72"/>
      <c r="P192" s="72">
        <v>0</v>
      </c>
      <c r="Q192" s="84" t="str">
        <f t="shared" si="32"/>
        <v>F20DC</v>
      </c>
      <c r="R192" s="84" t="s">
        <v>1338</v>
      </c>
      <c r="S192" s="15" t="s">
        <v>1339</v>
      </c>
      <c r="T192" s="84"/>
      <c r="U192" s="84"/>
      <c r="V192" s="84"/>
    </row>
    <row r="193" spans="1:22" ht="24.75" customHeight="1">
      <c r="A193" s="23">
        <v>183</v>
      </c>
      <c r="B193" s="24" t="s">
        <v>50</v>
      </c>
      <c r="C193" s="24" t="s">
        <v>1489</v>
      </c>
      <c r="D193" s="24" t="s">
        <v>86</v>
      </c>
      <c r="E193" s="74" t="s">
        <v>52</v>
      </c>
      <c r="F193" s="24" t="s">
        <v>52</v>
      </c>
      <c r="G193" s="83" t="s">
        <v>1280</v>
      </c>
      <c r="H193" s="83" t="s">
        <v>1340</v>
      </c>
      <c r="I193" s="72" t="s">
        <v>116</v>
      </c>
      <c r="J193" s="72" t="s">
        <v>37</v>
      </c>
      <c r="K193" s="140">
        <v>7.02</v>
      </c>
      <c r="L193" s="83" t="s">
        <v>1341</v>
      </c>
      <c r="M193" s="86" t="s">
        <v>1342</v>
      </c>
      <c r="N193" s="86">
        <v>0</v>
      </c>
      <c r="O193" s="72"/>
      <c r="P193" s="72">
        <v>0</v>
      </c>
      <c r="Q193" s="84" t="str">
        <f t="shared" si="32"/>
        <v>F40HC</v>
      </c>
      <c r="R193" s="84" t="s">
        <v>1343</v>
      </c>
      <c r="S193" s="15" t="s">
        <v>1344</v>
      </c>
      <c r="T193" s="84"/>
      <c r="U193" s="84"/>
      <c r="V193" s="84"/>
    </row>
    <row r="194" spans="1:22" ht="24.75" customHeight="1">
      <c r="A194" s="23">
        <v>184</v>
      </c>
      <c r="B194" s="24" t="s">
        <v>50</v>
      </c>
      <c r="C194" s="24" t="s">
        <v>1489</v>
      </c>
      <c r="D194" s="24" t="s">
        <v>86</v>
      </c>
      <c r="E194" s="74" t="s">
        <v>52</v>
      </c>
      <c r="F194" s="24" t="s">
        <v>52</v>
      </c>
      <c r="G194" s="83" t="s">
        <v>1281</v>
      </c>
      <c r="H194" s="83" t="s">
        <v>1345</v>
      </c>
      <c r="I194" s="72" t="s">
        <v>116</v>
      </c>
      <c r="J194" s="72" t="s">
        <v>37</v>
      </c>
      <c r="K194" s="140">
        <v>5.31</v>
      </c>
      <c r="L194" s="83" t="s">
        <v>1346</v>
      </c>
      <c r="M194" s="86" t="s">
        <v>1347</v>
      </c>
      <c r="N194" s="86">
        <v>0</v>
      </c>
      <c r="O194" s="72"/>
      <c r="P194" s="72">
        <v>0</v>
      </c>
      <c r="Q194" s="84" t="str">
        <f t="shared" si="32"/>
        <v>F40HC</v>
      </c>
      <c r="R194" s="84" t="s">
        <v>1343</v>
      </c>
      <c r="S194" s="15" t="s">
        <v>1348</v>
      </c>
      <c r="T194" s="84"/>
      <c r="U194" s="84"/>
      <c r="V194" s="84"/>
    </row>
    <row r="195" spans="1:22" ht="24.75" customHeight="1">
      <c r="A195" s="23">
        <v>185</v>
      </c>
      <c r="B195" s="24" t="s">
        <v>50</v>
      </c>
      <c r="C195" s="24" t="s">
        <v>1489</v>
      </c>
      <c r="D195" s="24" t="s">
        <v>83</v>
      </c>
      <c r="E195" s="74" t="s">
        <v>52</v>
      </c>
      <c r="F195" s="24" t="s">
        <v>52</v>
      </c>
      <c r="G195" s="83" t="s">
        <v>1248</v>
      </c>
      <c r="H195" s="83" t="s">
        <v>1408</v>
      </c>
      <c r="I195" s="72" t="s">
        <v>116</v>
      </c>
      <c r="J195" s="72" t="s">
        <v>37</v>
      </c>
      <c r="K195" s="140">
        <v>26.53</v>
      </c>
      <c r="L195" s="83" t="s">
        <v>1409</v>
      </c>
      <c r="M195" s="86" t="s">
        <v>1410</v>
      </c>
      <c r="N195" s="86">
        <v>0</v>
      </c>
      <c r="O195" s="72"/>
      <c r="P195" s="72">
        <v>0</v>
      </c>
      <c r="Q195" s="84" t="str">
        <f t="shared" si="32"/>
        <v>F40HC</v>
      </c>
      <c r="R195" s="84" t="s">
        <v>1411</v>
      </c>
      <c r="S195" s="15" t="s">
        <v>1412</v>
      </c>
      <c r="T195" s="84"/>
      <c r="U195" s="84"/>
      <c r="V195" s="84"/>
    </row>
    <row r="196" spans="1:22" ht="24.75" customHeight="1">
      <c r="A196" s="23">
        <v>186</v>
      </c>
      <c r="B196" s="24" t="s">
        <v>50</v>
      </c>
      <c r="C196" s="24" t="s">
        <v>1489</v>
      </c>
      <c r="D196" s="24" t="s">
        <v>83</v>
      </c>
      <c r="E196" s="74" t="s">
        <v>52</v>
      </c>
      <c r="F196" s="24" t="s">
        <v>52</v>
      </c>
      <c r="G196" s="83" t="s">
        <v>1249</v>
      </c>
      <c r="H196" s="83" t="s">
        <v>1413</v>
      </c>
      <c r="I196" s="72" t="s">
        <v>116</v>
      </c>
      <c r="J196" s="72" t="s">
        <v>37</v>
      </c>
      <c r="K196" s="140">
        <v>19</v>
      </c>
      <c r="L196" s="83" t="s">
        <v>1414</v>
      </c>
      <c r="M196" s="86" t="s">
        <v>647</v>
      </c>
      <c r="N196" s="86">
        <v>0</v>
      </c>
      <c r="O196" s="72"/>
      <c r="P196" s="72">
        <v>0</v>
      </c>
      <c r="Q196" s="84" t="str">
        <f t="shared" si="32"/>
        <v>F40HC</v>
      </c>
      <c r="R196" s="84" t="s">
        <v>1415</v>
      </c>
      <c r="S196" s="15" t="s">
        <v>1416</v>
      </c>
      <c r="T196" s="84"/>
      <c r="U196" s="84"/>
      <c r="V196" s="84"/>
    </row>
    <row r="197" spans="1:22" ht="24.75" customHeight="1">
      <c r="A197" s="23">
        <v>187</v>
      </c>
      <c r="B197" s="24" t="s">
        <v>50</v>
      </c>
      <c r="C197" s="24" t="s">
        <v>1489</v>
      </c>
      <c r="D197" s="24" t="s">
        <v>83</v>
      </c>
      <c r="E197" s="74" t="s">
        <v>52</v>
      </c>
      <c r="F197" s="24" t="s">
        <v>52</v>
      </c>
      <c r="G197" s="83" t="s">
        <v>1250</v>
      </c>
      <c r="H197" s="83" t="s">
        <v>1417</v>
      </c>
      <c r="I197" s="72" t="s">
        <v>116</v>
      </c>
      <c r="J197" s="72" t="s">
        <v>37</v>
      </c>
      <c r="K197" s="140">
        <v>30.57</v>
      </c>
      <c r="L197" s="83" t="s">
        <v>1418</v>
      </c>
      <c r="M197" s="86" t="s">
        <v>1419</v>
      </c>
      <c r="N197" s="86">
        <v>0</v>
      </c>
      <c r="O197" s="72"/>
      <c r="P197" s="72">
        <v>0</v>
      </c>
      <c r="Q197" s="84" t="str">
        <f t="shared" si="32"/>
        <v>F40HC</v>
      </c>
      <c r="R197" s="84" t="s">
        <v>1411</v>
      </c>
      <c r="S197" s="15" t="s">
        <v>1420</v>
      </c>
      <c r="T197" s="84"/>
      <c r="U197" s="84"/>
      <c r="V197" s="84"/>
    </row>
    <row r="198" spans="1:22" ht="24.75" customHeight="1">
      <c r="A198" s="23">
        <v>188</v>
      </c>
      <c r="B198" s="24" t="s">
        <v>50</v>
      </c>
      <c r="C198" s="24" t="s">
        <v>1489</v>
      </c>
      <c r="D198" s="24" t="s">
        <v>83</v>
      </c>
      <c r="E198" s="74" t="s">
        <v>52</v>
      </c>
      <c r="F198" s="24" t="s">
        <v>52</v>
      </c>
      <c r="G198" s="83" t="s">
        <v>1251</v>
      </c>
      <c r="H198" s="83" t="s">
        <v>1421</v>
      </c>
      <c r="I198" s="72" t="s">
        <v>116</v>
      </c>
      <c r="J198" s="72" t="s">
        <v>37</v>
      </c>
      <c r="K198" s="140">
        <v>25.7</v>
      </c>
      <c r="L198" s="83" t="s">
        <v>1422</v>
      </c>
      <c r="M198" s="86" t="s">
        <v>1423</v>
      </c>
      <c r="N198" s="86">
        <v>0</v>
      </c>
      <c r="O198" s="72"/>
      <c r="P198" s="72">
        <v>0</v>
      </c>
      <c r="Q198" s="84" t="str">
        <f t="shared" si="32"/>
        <v>F40HC</v>
      </c>
      <c r="R198" s="84" t="s">
        <v>1424</v>
      </c>
      <c r="S198" s="15" t="s">
        <v>1425</v>
      </c>
      <c r="T198" s="84"/>
      <c r="U198" s="84"/>
      <c r="V198" s="84"/>
    </row>
    <row r="199" spans="1:22" ht="24.75" customHeight="1">
      <c r="A199" s="23">
        <v>189</v>
      </c>
      <c r="B199" s="24" t="s">
        <v>50</v>
      </c>
      <c r="C199" s="24" t="s">
        <v>1489</v>
      </c>
      <c r="D199" s="24" t="s">
        <v>57</v>
      </c>
      <c r="E199" s="74" t="s">
        <v>52</v>
      </c>
      <c r="F199" s="24" t="s">
        <v>52</v>
      </c>
      <c r="G199" s="83" t="s">
        <v>869</v>
      </c>
      <c r="H199" s="83" t="str">
        <f>VLOOKUP(G199,[1]ListLoaded!$E$6:$F$544,2,0)</f>
        <v>310706</v>
      </c>
      <c r="I199" s="72" t="str">
        <f>VLOOKUP(G199,[1]ListLoaded!$E$6:$M$550,9,0)</f>
        <v>F</v>
      </c>
      <c r="J199" s="72" t="s">
        <v>31</v>
      </c>
      <c r="K199" s="140">
        <f>VLOOKUP(G199,[1]ListLoaded!$E$6:$L$537,8,0)</f>
        <v>21.66</v>
      </c>
      <c r="L199" s="83" t="str">
        <f>VLOOKUP(G199,[1]ListLoaded!$E$6:$S$645,15,0)</f>
        <v>1119849</v>
      </c>
      <c r="M199" s="86" t="str">
        <f>VLOOKUP(G199,[1]ListLoaded!$E$6:$T$674,16,0)</f>
        <v>CAM</v>
      </c>
      <c r="N199" s="86">
        <f>VLOOKUP(G199,[1]ListLoaded!$E$6:$N$545,10,0)</f>
        <v>0</v>
      </c>
      <c r="O199" s="72"/>
      <c r="P199" s="72">
        <f>VLOOKUP(G199,[1]ListLoaded!$E$6:$O$638,11,0)</f>
        <v>0</v>
      </c>
      <c r="Q199" s="84" t="str">
        <f t="shared" si="32"/>
        <v>F20DC</v>
      </c>
      <c r="R199" s="84" t="str">
        <f>VLOOKUP(G199,[1]ListLoaded!$E$6:$P$604,12,0)</f>
        <v>HAC260519058</v>
      </c>
      <c r="S199" s="15" t="e">
        <f>I199&amp;J199&amp;#REF!</f>
        <v>#REF!</v>
      </c>
      <c r="T199" s="84"/>
      <c r="U199" s="84"/>
      <c r="V199" s="84" t="s">
        <v>993</v>
      </c>
    </row>
    <row r="200" spans="1:22" ht="24.75" customHeight="1">
      <c r="A200" s="23">
        <v>190</v>
      </c>
      <c r="B200" s="24" t="s">
        <v>50</v>
      </c>
      <c r="C200" s="24" t="s">
        <v>1489</v>
      </c>
      <c r="D200" s="24" t="s">
        <v>57</v>
      </c>
      <c r="E200" s="74" t="s">
        <v>52</v>
      </c>
      <c r="F200" s="24" t="s">
        <v>52</v>
      </c>
      <c r="G200" s="83" t="s">
        <v>870</v>
      </c>
      <c r="H200" s="83" t="str">
        <f>VLOOKUP(G200,[1]ListLoaded!$E$6:$F$544,2,0)</f>
        <v>290508</v>
      </c>
      <c r="I200" s="72" t="str">
        <f>VLOOKUP(G200,[1]ListLoaded!$E$6:$M$550,9,0)</f>
        <v>F</v>
      </c>
      <c r="J200" s="72" t="s">
        <v>31</v>
      </c>
      <c r="K200" s="140">
        <f>VLOOKUP(G200,[1]ListLoaded!$E$6:$L$537,8,0)</f>
        <v>22.01</v>
      </c>
      <c r="L200" s="83" t="str">
        <f>VLOOKUP(G200,[1]ListLoaded!$E$6:$S$645,15,0)</f>
        <v>1119843</v>
      </c>
      <c r="M200" s="86" t="str">
        <f>VLOOKUP(G200,[1]ListLoaded!$E$6:$T$674,16,0)</f>
        <v>CAM'</v>
      </c>
      <c r="N200" s="86">
        <f>VLOOKUP(G200,[1]ListLoaded!$E$6:$N$545,10,0)</f>
        <v>0</v>
      </c>
      <c r="O200" s="72"/>
      <c r="P200" s="72">
        <f>VLOOKUP(G200,[1]ListLoaded!$E$6:$O$638,11,0)</f>
        <v>0</v>
      </c>
      <c r="Q200" s="84" t="str">
        <f t="shared" si="32"/>
        <v>F20DC</v>
      </c>
      <c r="R200" s="84" t="str">
        <f>VLOOKUP(G200,[1]ListLoaded!$E$6:$P$604,12,0)</f>
        <v>HAC260519058</v>
      </c>
      <c r="S200" s="15" t="e">
        <f>I200&amp;J200&amp;#REF!</f>
        <v>#REF!</v>
      </c>
      <c r="T200" s="84"/>
      <c r="U200" s="84"/>
      <c r="V200" s="84" t="s">
        <v>993</v>
      </c>
    </row>
    <row r="201" spans="1:22" ht="24.75" customHeight="1">
      <c r="A201" s="23">
        <v>191</v>
      </c>
      <c r="B201" s="24" t="s">
        <v>50</v>
      </c>
      <c r="C201" s="24" t="s">
        <v>1489</v>
      </c>
      <c r="D201" s="24" t="s">
        <v>57</v>
      </c>
      <c r="E201" s="74" t="s">
        <v>52</v>
      </c>
      <c r="F201" s="24" t="s">
        <v>52</v>
      </c>
      <c r="G201" s="83" t="s">
        <v>871</v>
      </c>
      <c r="H201" s="83" t="str">
        <f>VLOOKUP(G201,[1]ListLoaded!$E$6:$F$544,2,0)</f>
        <v>050306</v>
      </c>
      <c r="I201" s="72" t="str">
        <f>VLOOKUP(G201,[1]ListLoaded!$E$6:$M$550,9,0)</f>
        <v>F</v>
      </c>
      <c r="J201" s="72" t="s">
        <v>31</v>
      </c>
      <c r="K201" s="140">
        <f>VLOOKUP(G201,[1]ListLoaded!$E$6:$L$537,8,0)</f>
        <v>29.83</v>
      </c>
      <c r="L201" s="83" t="str">
        <f>VLOOKUP(G201,[1]ListLoaded!$E$6:$S$645,15,0)</f>
        <v>1076498</v>
      </c>
      <c r="M201" s="86" t="str">
        <f>VLOOKUP(G201,[1]ListLoaded!$E$6:$T$674,16,0)</f>
        <v>CAM</v>
      </c>
      <c r="N201" s="86">
        <f>VLOOKUP(G201,[1]ListLoaded!$E$6:$N$545,10,0)</f>
        <v>0</v>
      </c>
      <c r="O201" s="72"/>
      <c r="P201" s="72">
        <f>VLOOKUP(G201,[1]ListLoaded!$E$6:$O$638,11,0)</f>
        <v>0</v>
      </c>
      <c r="Q201" s="84" t="str">
        <f t="shared" si="32"/>
        <v>F20DC</v>
      </c>
      <c r="R201" s="84" t="str">
        <f>VLOOKUP(G201,[1]ListLoaded!$E$6:$P$604,12,0)</f>
        <v>HAC260519058</v>
      </c>
      <c r="S201" s="15" t="e">
        <f>I201&amp;J201&amp;#REF!</f>
        <v>#REF!</v>
      </c>
      <c r="T201" s="84" t="s">
        <v>961</v>
      </c>
      <c r="U201" s="84"/>
      <c r="V201" s="84" t="s">
        <v>994</v>
      </c>
    </row>
    <row r="202" spans="1:22" ht="24.75" customHeight="1">
      <c r="A202" s="23">
        <v>192</v>
      </c>
      <c r="B202" s="24" t="s">
        <v>50</v>
      </c>
      <c r="C202" s="24" t="s">
        <v>1489</v>
      </c>
      <c r="D202" s="24" t="s">
        <v>57</v>
      </c>
      <c r="E202" s="74" t="s">
        <v>52</v>
      </c>
      <c r="F202" s="24" t="s">
        <v>52</v>
      </c>
      <c r="G202" s="83" t="s">
        <v>872</v>
      </c>
      <c r="H202" s="83" t="str">
        <f>VLOOKUP(G202,[1]ListLoaded!$E$6:$F$544,2,0)</f>
        <v>290104</v>
      </c>
      <c r="I202" s="72" t="str">
        <f>VLOOKUP(G202,[1]ListLoaded!$E$6:$M$550,9,0)</f>
        <v>F</v>
      </c>
      <c r="J202" s="72" t="s">
        <v>31</v>
      </c>
      <c r="K202" s="140">
        <f>VLOOKUP(G202,[1]ListLoaded!$E$6:$L$537,8,0)</f>
        <v>29.67</v>
      </c>
      <c r="L202" s="83" t="str">
        <f>VLOOKUP(G202,[1]ListLoaded!$E$6:$S$645,15,0)</f>
        <v>22753060</v>
      </c>
      <c r="M202" s="86" t="str">
        <f>VLOOKUP(G202,[1]ListLoaded!$E$6:$T$674,16,0)</f>
        <v>CAM</v>
      </c>
      <c r="N202" s="86">
        <f>VLOOKUP(G202,[1]ListLoaded!$E$6:$N$545,10,0)</f>
        <v>0</v>
      </c>
      <c r="O202" s="72"/>
      <c r="P202" s="72">
        <f>VLOOKUP(G202,[1]ListLoaded!$E$6:$O$638,11,0)</f>
        <v>0</v>
      </c>
      <c r="Q202" s="84" t="str">
        <f t="shared" si="32"/>
        <v>F20DC</v>
      </c>
      <c r="R202" s="84" t="str">
        <f>VLOOKUP(G202,[1]ListLoaded!$E$6:$P$604,12,0)</f>
        <v>HAC260519058</v>
      </c>
      <c r="S202" s="15" t="e">
        <f>I202&amp;J202&amp;#REF!</f>
        <v>#REF!</v>
      </c>
      <c r="T202" s="84"/>
      <c r="U202" s="84"/>
      <c r="V202" s="84" t="s">
        <v>994</v>
      </c>
    </row>
    <row r="203" spans="1:22" ht="24.75" customHeight="1">
      <c r="A203" s="23">
        <v>193</v>
      </c>
      <c r="B203" s="24" t="s">
        <v>50</v>
      </c>
      <c r="C203" s="24" t="s">
        <v>1489</v>
      </c>
      <c r="D203" s="24" t="s">
        <v>57</v>
      </c>
      <c r="E203" s="74" t="s">
        <v>52</v>
      </c>
      <c r="F203" s="24" t="s">
        <v>52</v>
      </c>
      <c r="G203" s="83" t="s">
        <v>873</v>
      </c>
      <c r="H203" s="83" t="str">
        <f>VLOOKUP(G203,[1]ListLoaded!$E$6:$F$544,2,0)</f>
        <v>290206</v>
      </c>
      <c r="I203" s="72" t="str">
        <f>VLOOKUP(G203,[1]ListLoaded!$E$6:$M$550,9,0)</f>
        <v>F</v>
      </c>
      <c r="J203" s="72" t="s">
        <v>31</v>
      </c>
      <c r="K203" s="140">
        <f>VLOOKUP(G203,[1]ListLoaded!$E$6:$L$537,8,0)</f>
        <v>23.92</v>
      </c>
      <c r="L203" s="83" t="str">
        <f>VLOOKUP(G203,[1]ListLoaded!$E$6:$S$645,15,0)</f>
        <v>1119940</v>
      </c>
      <c r="M203" s="86" t="str">
        <f>VLOOKUP(G203,[1]ListLoaded!$E$6:$T$674,16,0)</f>
        <v>NGUYEN LIEU</v>
      </c>
      <c r="N203" s="86">
        <f>VLOOKUP(G203,[1]ListLoaded!$E$6:$N$545,10,0)</f>
        <v>0</v>
      </c>
      <c r="O203" s="72"/>
      <c r="P203" s="72">
        <f>VLOOKUP(G203,[1]ListLoaded!$E$6:$O$638,11,0)</f>
        <v>0</v>
      </c>
      <c r="Q203" s="84" t="str">
        <f t="shared" si="32"/>
        <v>F20DC</v>
      </c>
      <c r="R203" s="84" t="str">
        <f>VLOOKUP(G203,[1]ListLoaded!$E$6:$P$604,12,0)</f>
        <v>HAC260519058</v>
      </c>
      <c r="S203" s="15" t="e">
        <f>I203&amp;J203&amp;#REF!</f>
        <v>#REF!</v>
      </c>
      <c r="T203" s="84"/>
      <c r="U203" s="84"/>
      <c r="V203" s="84" t="s">
        <v>995</v>
      </c>
    </row>
    <row r="204" spans="1:22" ht="24.75" customHeight="1">
      <c r="A204" s="23">
        <v>194</v>
      </c>
      <c r="B204" s="24" t="s">
        <v>50</v>
      </c>
      <c r="C204" s="24" t="s">
        <v>1489</v>
      </c>
      <c r="D204" s="24" t="s">
        <v>57</v>
      </c>
      <c r="E204" s="74" t="s">
        <v>52</v>
      </c>
      <c r="F204" s="24" t="s">
        <v>52</v>
      </c>
      <c r="G204" s="83" t="s">
        <v>874</v>
      </c>
      <c r="H204" s="83" t="str">
        <f>VLOOKUP(G204,[1]ListLoaded!$E$6:$F$544,2,0)</f>
        <v>210706</v>
      </c>
      <c r="I204" s="72" t="str">
        <f>VLOOKUP(G204,[1]ListLoaded!$E$6:$M$550,9,0)</f>
        <v>F</v>
      </c>
      <c r="J204" s="72" t="s">
        <v>31</v>
      </c>
      <c r="K204" s="140">
        <f>VLOOKUP(G204,[1]ListLoaded!$E$6:$L$537,8,0)</f>
        <v>22.69</v>
      </c>
      <c r="L204" s="83" t="str">
        <f>VLOOKUP(G204,[1]ListLoaded!$E$6:$S$645,15,0)</f>
        <v>1119841</v>
      </c>
      <c r="M204" s="86" t="str">
        <f>VLOOKUP(G204,[1]ListLoaded!$E$6:$T$674,16,0)</f>
        <v>NGUYEN LIEU</v>
      </c>
      <c r="N204" s="86">
        <f>VLOOKUP(G204,[1]ListLoaded!$E$6:$N$545,10,0)</f>
        <v>0</v>
      </c>
      <c r="O204" s="72"/>
      <c r="P204" s="72">
        <f>VLOOKUP(G204,[1]ListLoaded!$E$6:$O$638,11,0)</f>
        <v>0</v>
      </c>
      <c r="Q204" s="84" t="str">
        <f t="shared" ref="Q204:Q267" si="34">I204&amp;J204</f>
        <v>F20DC</v>
      </c>
      <c r="R204" s="84" t="str">
        <f>VLOOKUP(G204,[1]ListLoaded!$E$6:$P$604,12,0)</f>
        <v>HAC260519058</v>
      </c>
      <c r="S204" s="15" t="e">
        <f>I204&amp;J204&amp;#REF!</f>
        <v>#REF!</v>
      </c>
      <c r="T204" s="84"/>
      <c r="U204" s="84"/>
      <c r="V204" s="84" t="s">
        <v>995</v>
      </c>
    </row>
    <row r="205" spans="1:22" ht="24.75" customHeight="1">
      <c r="A205" s="23">
        <v>195</v>
      </c>
      <c r="B205" s="24" t="s">
        <v>50</v>
      </c>
      <c r="C205" s="24" t="s">
        <v>1489</v>
      </c>
      <c r="D205" s="24" t="s">
        <v>57</v>
      </c>
      <c r="E205" s="74" t="s">
        <v>52</v>
      </c>
      <c r="F205" s="24" t="s">
        <v>52</v>
      </c>
      <c r="G205" s="83" t="s">
        <v>875</v>
      </c>
      <c r="H205" s="83" t="str">
        <f>VLOOKUP(G205,[1]ListLoaded!$E$6:$F$544,2,0)</f>
        <v>310508</v>
      </c>
      <c r="I205" s="72" t="str">
        <f>VLOOKUP(G205,[1]ListLoaded!$E$6:$M$550,9,0)</f>
        <v>F</v>
      </c>
      <c r="J205" s="72" t="s">
        <v>31</v>
      </c>
      <c r="K205" s="140">
        <f>VLOOKUP(G205,[1]ListLoaded!$E$6:$L$537,8,0)</f>
        <v>13.39</v>
      </c>
      <c r="L205" s="83" t="str">
        <f>VLOOKUP(G205,[1]ListLoaded!$E$6:$S$645,15,0)</f>
        <v>23361440</v>
      </c>
      <c r="M205" s="86" t="str">
        <f>VLOOKUP(G205,[1]ListLoaded!$E$6:$T$674,16,0)</f>
        <v>CAM</v>
      </c>
      <c r="N205" s="86">
        <f>VLOOKUP(G205,[1]ListLoaded!$E$6:$N$545,10,0)</f>
        <v>0</v>
      </c>
      <c r="O205" s="72"/>
      <c r="P205" s="72">
        <f>VLOOKUP(G205,[1]ListLoaded!$E$6:$O$638,11,0)</f>
        <v>0</v>
      </c>
      <c r="Q205" s="84" t="str">
        <f t="shared" si="34"/>
        <v>F20DC</v>
      </c>
      <c r="R205" s="84" t="str">
        <f>VLOOKUP(G205,[1]ListLoaded!$E$6:$P$604,12,0)</f>
        <v>HAC260519058</v>
      </c>
      <c r="S205" s="15" t="e">
        <f>I205&amp;J205&amp;#REF!</f>
        <v>#REF!</v>
      </c>
      <c r="T205" s="84"/>
      <c r="U205" s="84"/>
      <c r="V205" s="84" t="s">
        <v>996</v>
      </c>
    </row>
    <row r="206" spans="1:22" ht="24.75" customHeight="1">
      <c r="A206" s="23">
        <v>196</v>
      </c>
      <c r="B206" s="24" t="s">
        <v>50</v>
      </c>
      <c r="C206" s="24" t="s">
        <v>1489</v>
      </c>
      <c r="D206" s="24" t="s">
        <v>57</v>
      </c>
      <c r="E206" s="74" t="s">
        <v>52</v>
      </c>
      <c r="F206" s="24" t="s">
        <v>52</v>
      </c>
      <c r="G206" s="83" t="s">
        <v>876</v>
      </c>
      <c r="H206" s="83" t="str">
        <f>VLOOKUP(G206,[1]ListLoaded!$E$6:$F$544,2,0)</f>
        <v>140502</v>
      </c>
      <c r="I206" s="72" t="str">
        <f>VLOOKUP(G206,[1]ListLoaded!$E$6:$M$550,9,0)</f>
        <v>F</v>
      </c>
      <c r="J206" s="72" t="str">
        <f>VLOOKUP(G206,[1]ListLoaded!$E$6:$I$537,5,0)</f>
        <v>40HC</v>
      </c>
      <c r="K206" s="140">
        <f>VLOOKUP(G206,[1]ListLoaded!$E$6:$L$537,8,0)</f>
        <v>31.44</v>
      </c>
      <c r="L206" s="83" t="str">
        <f>VLOOKUP(G206,[1]ListLoaded!$E$6:$S$645,15,0)</f>
        <v>1119848</v>
      </c>
      <c r="M206" s="86" t="str">
        <f>VLOOKUP(G206,[1]ListLoaded!$E$6:$T$674,16,0)</f>
        <v>THUC PHAM</v>
      </c>
      <c r="N206" s="86">
        <f>VLOOKUP(G206,[1]ListLoaded!$E$6:$N$545,10,0)</f>
        <v>0</v>
      </c>
      <c r="O206" s="72"/>
      <c r="P206" s="72">
        <f>VLOOKUP(G206,[1]ListLoaded!$E$6:$O$638,11,0)</f>
        <v>0</v>
      </c>
      <c r="Q206" s="84" t="str">
        <f t="shared" si="34"/>
        <v>F40HC</v>
      </c>
      <c r="R206" s="84" t="str">
        <f>VLOOKUP(G206,[1]ListLoaded!$E$6:$P$604,12,0)</f>
        <v>HAC260519058</v>
      </c>
      <c r="S206" s="15" t="e">
        <f>I206&amp;J206&amp;#REF!</f>
        <v>#REF!</v>
      </c>
      <c r="T206" s="84"/>
      <c r="U206" s="84"/>
      <c r="V206" s="84" t="s">
        <v>997</v>
      </c>
    </row>
    <row r="207" spans="1:22" ht="24.75" customHeight="1">
      <c r="A207" s="23">
        <v>197</v>
      </c>
      <c r="B207" s="24" t="s">
        <v>50</v>
      </c>
      <c r="C207" s="24" t="s">
        <v>1489</v>
      </c>
      <c r="D207" s="24" t="s">
        <v>57</v>
      </c>
      <c r="E207" s="74" t="s">
        <v>52</v>
      </c>
      <c r="F207" s="24" t="s">
        <v>52</v>
      </c>
      <c r="G207" s="83" t="s">
        <v>877</v>
      </c>
      <c r="H207" s="83" t="str">
        <f>VLOOKUP(G207,[1]ListLoaded!$E$6:$F$544,2,0)</f>
        <v>060206</v>
      </c>
      <c r="I207" s="72" t="str">
        <f>VLOOKUP(G207,[1]ListLoaded!$E$6:$M$550,9,0)</f>
        <v>F</v>
      </c>
      <c r="J207" s="72" t="str">
        <f>VLOOKUP(G207,[1]ListLoaded!$E$6:$I$537,5,0)</f>
        <v>40HC</v>
      </c>
      <c r="K207" s="140">
        <f>VLOOKUP(G207,[1]ListLoaded!$E$6:$L$537,8,0)</f>
        <v>30.98</v>
      </c>
      <c r="L207" s="83" t="str">
        <f>VLOOKUP(G207,[1]ListLoaded!$E$6:$S$645,15,0)</f>
        <v>1119853</v>
      </c>
      <c r="M207" s="86" t="str">
        <f>VLOOKUP(G207,[1]ListLoaded!$E$6:$T$674,16,0)</f>
        <v>CAM</v>
      </c>
      <c r="N207" s="86">
        <f>VLOOKUP(G207,[1]ListLoaded!$E$6:$N$545,10,0)</f>
        <v>0</v>
      </c>
      <c r="O207" s="72"/>
      <c r="P207" s="72">
        <f>VLOOKUP(G207,[1]ListLoaded!$E$6:$O$638,11,0)</f>
        <v>0</v>
      </c>
      <c r="Q207" s="84" t="str">
        <f t="shared" si="34"/>
        <v>F40HC</v>
      </c>
      <c r="R207" s="84" t="str">
        <f>VLOOKUP(G207,[1]ListLoaded!$E$6:$P$604,12,0)</f>
        <v>HAC260519058</v>
      </c>
      <c r="S207" s="15" t="e">
        <f>I207&amp;J207&amp;#REF!</f>
        <v>#REF!</v>
      </c>
      <c r="T207" s="84"/>
      <c r="U207" s="84"/>
      <c r="V207" s="84" t="s">
        <v>993</v>
      </c>
    </row>
    <row r="208" spans="1:22" ht="24.75" customHeight="1">
      <c r="A208" s="23">
        <v>198</v>
      </c>
      <c r="B208" s="24" t="s">
        <v>50</v>
      </c>
      <c r="C208" s="24" t="s">
        <v>1489</v>
      </c>
      <c r="D208" s="24" t="s">
        <v>57</v>
      </c>
      <c r="E208" s="74" t="s">
        <v>52</v>
      </c>
      <c r="F208" s="24" t="s">
        <v>52</v>
      </c>
      <c r="G208" s="83" t="s">
        <v>878</v>
      </c>
      <c r="H208" s="83" t="str">
        <f>VLOOKUP(G208,[1]ListLoaded!$E$6:$F$544,2,0)</f>
        <v>220408</v>
      </c>
      <c r="I208" s="72" t="str">
        <f>VLOOKUP(G208,[1]ListLoaded!$E$6:$M$550,9,0)</f>
        <v>F</v>
      </c>
      <c r="J208" s="72" t="str">
        <f>VLOOKUP(G208,[1]ListLoaded!$E$6:$I$537,5,0)</f>
        <v>40HC</v>
      </c>
      <c r="K208" s="140">
        <f>VLOOKUP(G208,[1]ListLoaded!$E$6:$L$537,8,0)</f>
        <v>30.7</v>
      </c>
      <c r="L208" s="83" t="str">
        <f>VLOOKUP(G208,[1]ListLoaded!$E$6:$S$645,15,0)</f>
        <v>1119846</v>
      </c>
      <c r="M208" s="86" t="str">
        <f>VLOOKUP(G208,[1]ListLoaded!$E$6:$T$674,16,0)</f>
        <v>THUC PHAM</v>
      </c>
      <c r="N208" s="86">
        <f>VLOOKUP(G208,[1]ListLoaded!$E$6:$N$545,10,0)</f>
        <v>0</v>
      </c>
      <c r="O208" s="72"/>
      <c r="P208" s="72">
        <f>VLOOKUP(G208,[1]ListLoaded!$E$6:$O$638,11,0)</f>
        <v>0</v>
      </c>
      <c r="Q208" s="84" t="str">
        <f t="shared" si="34"/>
        <v>F40HC</v>
      </c>
      <c r="R208" s="84" t="str">
        <f>VLOOKUP(G208,[1]ListLoaded!$E$6:$P$604,12,0)</f>
        <v>HAC260519058</v>
      </c>
      <c r="S208" s="15" t="e">
        <f>I208&amp;J208&amp;#REF!</f>
        <v>#REF!</v>
      </c>
      <c r="T208" s="84"/>
      <c r="U208" s="84"/>
      <c r="V208" s="84" t="s">
        <v>997</v>
      </c>
    </row>
    <row r="209" spans="1:22" ht="24.75" customHeight="1">
      <c r="A209" s="23">
        <v>199</v>
      </c>
      <c r="B209" s="24" t="s">
        <v>50</v>
      </c>
      <c r="C209" s="24" t="s">
        <v>1489</v>
      </c>
      <c r="D209" s="24" t="s">
        <v>57</v>
      </c>
      <c r="E209" s="74" t="s">
        <v>52</v>
      </c>
      <c r="F209" s="24" t="s">
        <v>52</v>
      </c>
      <c r="G209" s="83" t="s">
        <v>879</v>
      </c>
      <c r="H209" s="83" t="str">
        <f>VLOOKUP(G209,[1]ListLoaded!$E$6:$F$544,2,0)</f>
        <v>100104</v>
      </c>
      <c r="I209" s="72" t="str">
        <f>VLOOKUP(G209,[1]ListLoaded!$E$6:$M$550,9,0)</f>
        <v>F</v>
      </c>
      <c r="J209" s="72" t="str">
        <f>VLOOKUP(G209,[1]ListLoaded!$E$6:$I$537,5,0)</f>
        <v>40HC</v>
      </c>
      <c r="K209" s="140">
        <f>VLOOKUP(G209,[1]ListLoaded!$E$6:$L$537,8,0)</f>
        <v>30.82</v>
      </c>
      <c r="L209" s="83" t="str">
        <f>VLOOKUP(G209,[1]ListLoaded!$E$6:$S$645,15,0)</f>
        <v>1119850</v>
      </c>
      <c r="M209" s="86" t="str">
        <f>VLOOKUP(G209,[1]ListLoaded!$E$6:$T$674,16,0)</f>
        <v>CAM</v>
      </c>
      <c r="N209" s="86">
        <f>VLOOKUP(G209,[1]ListLoaded!$E$6:$N$545,10,0)</f>
        <v>0</v>
      </c>
      <c r="O209" s="72"/>
      <c r="P209" s="72">
        <f>VLOOKUP(G209,[1]ListLoaded!$E$6:$O$638,11,0)</f>
        <v>0</v>
      </c>
      <c r="Q209" s="84" t="str">
        <f t="shared" si="34"/>
        <v>F40HC</v>
      </c>
      <c r="R209" s="84" t="str">
        <f>VLOOKUP(G209,[1]ListLoaded!$E$6:$P$604,12,0)</f>
        <v>HAC260519058</v>
      </c>
      <c r="S209" s="15" t="e">
        <f>I209&amp;J209&amp;#REF!</f>
        <v>#REF!</v>
      </c>
      <c r="T209" s="84"/>
      <c r="U209" s="84"/>
      <c r="V209" s="84" t="s">
        <v>997</v>
      </c>
    </row>
    <row r="210" spans="1:22" ht="24.75" customHeight="1">
      <c r="A210" s="23">
        <v>200</v>
      </c>
      <c r="B210" s="24" t="s">
        <v>50</v>
      </c>
      <c r="C210" s="24" t="s">
        <v>1489</v>
      </c>
      <c r="D210" s="24" t="s">
        <v>57</v>
      </c>
      <c r="E210" s="74" t="s">
        <v>52</v>
      </c>
      <c r="F210" s="24" t="s">
        <v>52</v>
      </c>
      <c r="G210" s="83" t="s">
        <v>880</v>
      </c>
      <c r="H210" s="83" t="str">
        <f>VLOOKUP(G210,[1]ListLoaded!$E$6:$F$544,2,0)</f>
        <v>260382</v>
      </c>
      <c r="I210" s="72" t="str">
        <f>VLOOKUP(G210,[1]ListLoaded!$E$6:$M$550,9,0)</f>
        <v>F</v>
      </c>
      <c r="J210" s="72" t="str">
        <f>VLOOKUP(G210,[1]ListLoaded!$E$6:$I$537,5,0)</f>
        <v>40HC</v>
      </c>
      <c r="K210" s="140">
        <f>VLOOKUP(G210,[1]ListLoaded!$E$6:$L$537,8,0)</f>
        <v>26.8</v>
      </c>
      <c r="L210" s="83" t="str">
        <f>VLOOKUP(G210,[1]ListLoaded!$E$6:$S$645,15,0)</f>
        <v>1119816</v>
      </c>
      <c r="M210" s="86" t="str">
        <f>VLOOKUP(G210,[1]ListLoaded!$E$6:$T$674,16,0)</f>
        <v>VAN EP</v>
      </c>
      <c r="N210" s="86">
        <f>VLOOKUP(G210,[1]ListLoaded!$E$6:$N$545,10,0)</f>
        <v>0</v>
      </c>
      <c r="O210" s="72"/>
      <c r="P210" s="72">
        <f>VLOOKUP(G210,[1]ListLoaded!$E$6:$O$638,11,0)</f>
        <v>0</v>
      </c>
      <c r="Q210" s="84" t="str">
        <f t="shared" si="34"/>
        <v>F40HC</v>
      </c>
      <c r="R210" s="84" t="str">
        <f>VLOOKUP(G210,[1]ListLoaded!$E$6:$P$604,12,0)</f>
        <v>HAC260519058</v>
      </c>
      <c r="S210" s="15" t="e">
        <f>I210&amp;J210&amp;#REF!</f>
        <v>#REF!</v>
      </c>
      <c r="T210" s="84"/>
      <c r="U210" s="84"/>
      <c r="V210" s="84" t="s">
        <v>998</v>
      </c>
    </row>
    <row r="211" spans="1:22" ht="24.75" customHeight="1">
      <c r="A211" s="23">
        <v>201</v>
      </c>
      <c r="B211" s="24" t="s">
        <v>50</v>
      </c>
      <c r="C211" s="24" t="s">
        <v>1489</v>
      </c>
      <c r="D211" s="24" t="s">
        <v>57</v>
      </c>
      <c r="E211" s="74" t="s">
        <v>52</v>
      </c>
      <c r="F211" s="24" t="s">
        <v>52</v>
      </c>
      <c r="G211" s="83" t="s">
        <v>881</v>
      </c>
      <c r="H211" s="83" t="str">
        <f>VLOOKUP(G211,[1]ListLoaded!$E$6:$F$544,2,0)</f>
        <v>140982</v>
      </c>
      <c r="I211" s="72" t="str">
        <f>VLOOKUP(G211,[1]ListLoaded!$E$6:$M$550,9,0)</f>
        <v>F</v>
      </c>
      <c r="J211" s="72" t="str">
        <f>VLOOKUP(G211,[1]ListLoaded!$E$6:$I$537,5,0)</f>
        <v>40HC</v>
      </c>
      <c r="K211" s="140">
        <f>VLOOKUP(G211,[1]ListLoaded!$E$6:$L$537,8,0)</f>
        <v>28.95</v>
      </c>
      <c r="L211" s="83" t="str">
        <f>VLOOKUP(G211,[1]ListLoaded!$E$6:$S$645,15,0)</f>
        <v>1119829</v>
      </c>
      <c r="M211" s="86" t="str">
        <f>VLOOKUP(G211,[1]ListLoaded!$E$6:$T$674,16,0)</f>
        <v>THUC PHAM</v>
      </c>
      <c r="N211" s="86">
        <f>VLOOKUP(G211,[1]ListLoaded!$E$6:$N$545,10,0)</f>
        <v>0</v>
      </c>
      <c r="O211" s="72"/>
      <c r="P211" s="72">
        <f>VLOOKUP(G211,[1]ListLoaded!$E$6:$O$638,11,0)</f>
        <v>0</v>
      </c>
      <c r="Q211" s="84" t="str">
        <f t="shared" si="34"/>
        <v>F40HC</v>
      </c>
      <c r="R211" s="84" t="str">
        <f>VLOOKUP(G211,[1]ListLoaded!$E$6:$P$604,12,0)</f>
        <v>HAC260519058</v>
      </c>
      <c r="S211" s="15" t="e">
        <f>I211&amp;J211&amp;#REF!</f>
        <v>#REF!</v>
      </c>
      <c r="T211" s="84"/>
      <c r="U211" s="84"/>
      <c r="V211" s="84" t="s">
        <v>997</v>
      </c>
    </row>
    <row r="212" spans="1:22" ht="24.75" customHeight="1">
      <c r="A212" s="23">
        <v>202</v>
      </c>
      <c r="B212" s="24" t="s">
        <v>50</v>
      </c>
      <c r="C212" s="24" t="s">
        <v>1489</v>
      </c>
      <c r="D212" s="24" t="s">
        <v>57</v>
      </c>
      <c r="E212" s="74" t="s">
        <v>52</v>
      </c>
      <c r="F212" s="24" t="s">
        <v>52</v>
      </c>
      <c r="G212" s="83" t="s">
        <v>882</v>
      </c>
      <c r="H212" s="83" t="str">
        <f>VLOOKUP(G212,[1]ListLoaded!$E$6:$F$544,2,0)</f>
        <v>140102</v>
      </c>
      <c r="I212" s="72" t="str">
        <f>VLOOKUP(G212,[1]ListLoaded!$E$6:$M$550,9,0)</f>
        <v>F</v>
      </c>
      <c r="J212" s="72" t="str">
        <f>VLOOKUP(G212,[1]ListLoaded!$E$6:$I$537,5,0)</f>
        <v>40HC</v>
      </c>
      <c r="K212" s="140">
        <f>VLOOKUP(G212,[1]ListLoaded!$E$6:$L$537,8,0)</f>
        <v>31.26</v>
      </c>
      <c r="L212" s="83" t="str">
        <f>VLOOKUP(G212,[1]ListLoaded!$E$6:$S$645,15,0)</f>
        <v>1115404</v>
      </c>
      <c r="M212" s="86" t="str">
        <f>VLOOKUP(G212,[1]ListLoaded!$E$6:$T$674,16,0)</f>
        <v>THUC PHAM</v>
      </c>
      <c r="N212" s="86">
        <f>VLOOKUP(G212,[1]ListLoaded!$E$6:$N$545,10,0)</f>
        <v>0</v>
      </c>
      <c r="O212" s="72"/>
      <c r="P212" s="72">
        <f>VLOOKUP(G212,[1]ListLoaded!$E$6:$O$638,11,0)</f>
        <v>0</v>
      </c>
      <c r="Q212" s="84" t="str">
        <f t="shared" si="34"/>
        <v>F40HC</v>
      </c>
      <c r="R212" s="84" t="str">
        <f>VLOOKUP(G212,[1]ListLoaded!$E$6:$P$604,12,0)</f>
        <v>HAC260519058</v>
      </c>
      <c r="S212" s="15" t="e">
        <f>I212&amp;J212&amp;#REF!</f>
        <v>#REF!</v>
      </c>
      <c r="T212" s="84"/>
      <c r="U212" s="84"/>
      <c r="V212" s="84" t="s">
        <v>997</v>
      </c>
    </row>
    <row r="213" spans="1:22" ht="24.75" customHeight="1">
      <c r="A213" s="23">
        <v>203</v>
      </c>
      <c r="B213" s="24" t="s">
        <v>50</v>
      </c>
      <c r="C213" s="24" t="s">
        <v>1489</v>
      </c>
      <c r="D213" s="24" t="s">
        <v>57</v>
      </c>
      <c r="E213" s="74" t="s">
        <v>52</v>
      </c>
      <c r="F213" s="24" t="s">
        <v>52</v>
      </c>
      <c r="G213" s="83" t="s">
        <v>625</v>
      </c>
      <c r="H213" s="83" t="str">
        <f>VLOOKUP(G213,[1]ListLoaded!$E$6:$F$544,2,0)</f>
        <v>260882</v>
      </c>
      <c r="I213" s="72" t="str">
        <f>VLOOKUP(G213,[1]ListLoaded!$E$6:$M$550,9,0)</f>
        <v>F</v>
      </c>
      <c r="J213" s="72" t="str">
        <f>VLOOKUP(G213,[1]ListLoaded!$E$6:$I$537,5,0)</f>
        <v>40HC</v>
      </c>
      <c r="K213" s="140">
        <f>VLOOKUP(G213,[1]ListLoaded!$E$6:$L$537,8,0)</f>
        <v>24.61</v>
      </c>
      <c r="L213" s="83" t="str">
        <f>VLOOKUP(G213,[1]ListLoaded!$E$6:$S$645,15,0)</f>
        <v>1119855</v>
      </c>
      <c r="M213" s="86" t="str">
        <f>VLOOKUP(G213,[1]ListLoaded!$E$6:$T$674,16,0)</f>
        <v>CAM</v>
      </c>
      <c r="N213" s="86">
        <f>VLOOKUP(G213,[1]ListLoaded!$E$6:$N$545,10,0)</f>
        <v>0</v>
      </c>
      <c r="O213" s="72"/>
      <c r="P213" s="72">
        <f>VLOOKUP(G213,[1]ListLoaded!$E$6:$O$638,11,0)</f>
        <v>0</v>
      </c>
      <c r="Q213" s="84" t="str">
        <f t="shared" si="34"/>
        <v>F40HC</v>
      </c>
      <c r="R213" s="84" t="str">
        <f>VLOOKUP(G213,[1]ListLoaded!$E$6:$P$604,12,0)</f>
        <v>HAC260519058</v>
      </c>
      <c r="S213" s="15" t="e">
        <f>I213&amp;J213&amp;#REF!</f>
        <v>#REF!</v>
      </c>
      <c r="T213" s="84" t="s">
        <v>961</v>
      </c>
      <c r="U213" s="84"/>
      <c r="V213" s="84" t="s">
        <v>997</v>
      </c>
    </row>
    <row r="214" spans="1:22" ht="24.75" customHeight="1">
      <c r="A214" s="23">
        <v>204</v>
      </c>
      <c r="B214" s="24" t="s">
        <v>50</v>
      </c>
      <c r="C214" s="24" t="s">
        <v>1489</v>
      </c>
      <c r="D214" s="24" t="s">
        <v>57</v>
      </c>
      <c r="E214" s="74" t="s">
        <v>52</v>
      </c>
      <c r="F214" s="24" t="s">
        <v>52</v>
      </c>
      <c r="G214" s="83" t="s">
        <v>883</v>
      </c>
      <c r="H214" s="83" t="str">
        <f>VLOOKUP(G214,[1]ListLoaded!$E$6:$F$544,2,0)</f>
        <v>310106</v>
      </c>
      <c r="I214" s="72" t="str">
        <f>VLOOKUP(G214,[1]ListLoaded!$E$6:$M$550,9,0)</f>
        <v>F</v>
      </c>
      <c r="J214" s="72" t="s">
        <v>31</v>
      </c>
      <c r="K214" s="140">
        <f>VLOOKUP(G214,[1]ListLoaded!$E$6:$L$537,8,0)</f>
        <v>29.37</v>
      </c>
      <c r="L214" s="83" t="str">
        <f>VLOOKUP(G214,[1]ListLoaded!$E$6:$S$645,15,0)</f>
        <v>VFC332758</v>
      </c>
      <c r="M214" s="86" t="str">
        <f>VLOOKUP(G214,[1]ListLoaded!$E$6:$T$674,16,0)</f>
        <v>GAO</v>
      </c>
      <c r="N214" s="86">
        <f>VLOOKUP(G214,[1]ListLoaded!$E$6:$N$545,10,0)</f>
        <v>0</v>
      </c>
      <c r="O214" s="72"/>
      <c r="P214" s="72">
        <f>VLOOKUP(G214,[1]ListLoaded!$E$6:$O$638,11,0)</f>
        <v>0</v>
      </c>
      <c r="Q214" s="84" t="str">
        <f t="shared" si="34"/>
        <v>F20DC</v>
      </c>
      <c r="R214" s="84" t="str">
        <f>VLOOKUP(G214,[1]ListLoaded!$E$6:$P$604,12,0)</f>
        <v>HAC260519064</v>
      </c>
      <c r="S214" s="15" t="e">
        <f>I214&amp;J214&amp;#REF!</f>
        <v>#REF!</v>
      </c>
      <c r="T214" s="84" t="s">
        <v>962</v>
      </c>
      <c r="U214" s="84"/>
      <c r="V214" s="84" t="s">
        <v>637</v>
      </c>
    </row>
    <row r="215" spans="1:22" ht="24.75" customHeight="1">
      <c r="A215" s="23">
        <v>205</v>
      </c>
      <c r="B215" s="24" t="s">
        <v>50</v>
      </c>
      <c r="C215" s="24" t="s">
        <v>1489</v>
      </c>
      <c r="D215" s="24" t="s">
        <v>57</v>
      </c>
      <c r="E215" s="74" t="s">
        <v>52</v>
      </c>
      <c r="F215" s="24" t="s">
        <v>52</v>
      </c>
      <c r="G215" s="83" t="s">
        <v>884</v>
      </c>
      <c r="H215" s="83" t="str">
        <f>VLOOKUP(G215,[1]ListLoaded!$E$6:$F$544,2,0)</f>
        <v>310102</v>
      </c>
      <c r="I215" s="72" t="str">
        <f>VLOOKUP(G215,[1]ListLoaded!$E$6:$M$550,9,0)</f>
        <v>F</v>
      </c>
      <c r="J215" s="72" t="s">
        <v>31</v>
      </c>
      <c r="K215" s="140">
        <f>VLOOKUP(G215,[1]ListLoaded!$E$6:$L$537,8,0)</f>
        <v>30.05</v>
      </c>
      <c r="L215" s="83" t="str">
        <f>VLOOKUP(G215,[1]ListLoaded!$E$6:$S$645,15,0)</f>
        <v>VFC332682</v>
      </c>
      <c r="M215" s="86" t="str">
        <f>VLOOKUP(G215,[1]ListLoaded!$E$6:$T$674,16,0)</f>
        <v>TON PALET</v>
      </c>
      <c r="N215" s="86">
        <f>VLOOKUP(G215,[1]ListLoaded!$E$6:$N$545,10,0)</f>
        <v>0</v>
      </c>
      <c r="O215" s="72"/>
      <c r="P215" s="72">
        <f>VLOOKUP(G215,[1]ListLoaded!$E$6:$O$638,11,0)</f>
        <v>0</v>
      </c>
      <c r="Q215" s="84" t="str">
        <f t="shared" si="34"/>
        <v>F20DC</v>
      </c>
      <c r="R215" s="84" t="str">
        <f>VLOOKUP(G215,[1]ListLoaded!$E$6:$P$604,12,0)</f>
        <v>HAC260519064</v>
      </c>
      <c r="S215" s="15" t="e">
        <f>I215&amp;J215&amp;#REF!</f>
        <v>#REF!</v>
      </c>
      <c r="T215" s="84" t="s">
        <v>962</v>
      </c>
      <c r="U215" s="84"/>
      <c r="V215" s="84" t="s">
        <v>999</v>
      </c>
    </row>
    <row r="216" spans="1:22" ht="24.75" customHeight="1">
      <c r="A216" s="23">
        <v>206</v>
      </c>
      <c r="B216" s="24" t="s">
        <v>50</v>
      </c>
      <c r="C216" s="24" t="s">
        <v>1489</v>
      </c>
      <c r="D216" s="24" t="s">
        <v>57</v>
      </c>
      <c r="E216" s="143" t="s">
        <v>1488</v>
      </c>
      <c r="F216" s="24" t="s">
        <v>52</v>
      </c>
      <c r="G216" s="83" t="s">
        <v>885</v>
      </c>
      <c r="H216" s="83" t="str">
        <f>VLOOKUP(G216,[1]ListLoaded!$E$6:$F$544,2,0)</f>
        <v>050608</v>
      </c>
      <c r="I216" s="72" t="str">
        <f>VLOOKUP(G216,[1]ListLoaded!$E$6:$M$550,9,0)</f>
        <v>F</v>
      </c>
      <c r="J216" s="72" t="s">
        <v>31</v>
      </c>
      <c r="K216" s="140">
        <f>VLOOKUP(G216,[1]ListLoaded!$E$6:$L$537,8,0)</f>
        <v>28.97</v>
      </c>
      <c r="L216" s="83" t="str">
        <f>VLOOKUP(G216,[1]ListLoaded!$E$6:$S$645,15,0)</f>
        <v>VFC331585</v>
      </c>
      <c r="M216" s="86" t="str">
        <f>VLOOKUP(G216,[1]ListLoaded!$E$6:$T$674,16,0)</f>
        <v>GAO</v>
      </c>
      <c r="N216" s="86">
        <f>VLOOKUP(G216,[1]ListLoaded!$E$6:$N$545,10,0)</f>
        <v>0</v>
      </c>
      <c r="O216" s="72"/>
      <c r="P216" s="72">
        <f>VLOOKUP(G216,[1]ListLoaded!$E$6:$O$638,11,0)</f>
        <v>0</v>
      </c>
      <c r="Q216" s="84" t="str">
        <f t="shared" si="34"/>
        <v>F20DC</v>
      </c>
      <c r="R216" s="84" t="str">
        <f>VLOOKUP(G216,[1]ListLoaded!$E$6:$P$604,12,0)</f>
        <v>HAC260519065</v>
      </c>
      <c r="S216" s="15" t="e">
        <f>I216&amp;J216&amp;#REF!</f>
        <v>#REF!</v>
      </c>
      <c r="T216" s="84" t="s">
        <v>963</v>
      </c>
      <c r="U216" s="84"/>
      <c r="V216" s="84" t="s">
        <v>637</v>
      </c>
    </row>
    <row r="217" spans="1:22" ht="24.75" customHeight="1">
      <c r="A217" s="23">
        <v>207</v>
      </c>
      <c r="B217" s="24" t="s">
        <v>50</v>
      </c>
      <c r="C217" s="24" t="s">
        <v>1489</v>
      </c>
      <c r="D217" s="24" t="s">
        <v>57</v>
      </c>
      <c r="E217" s="143" t="s">
        <v>1488</v>
      </c>
      <c r="F217" s="24" t="s">
        <v>52</v>
      </c>
      <c r="G217" s="83" t="s">
        <v>886</v>
      </c>
      <c r="H217" s="83" t="str">
        <f>VLOOKUP(G217,[1]ListLoaded!$E$6:$F$544,2,0)</f>
        <v>030204</v>
      </c>
      <c r="I217" s="72" t="str">
        <f>VLOOKUP(G217,[1]ListLoaded!$E$6:$M$550,9,0)</f>
        <v>F</v>
      </c>
      <c r="J217" s="72" t="s">
        <v>31</v>
      </c>
      <c r="K217" s="140">
        <f>VLOOKUP(G217,[1]ListLoaded!$E$6:$L$537,8,0)</f>
        <v>30.34</v>
      </c>
      <c r="L217" s="83" t="str">
        <f>VLOOKUP(G217,[1]ListLoaded!$E$6:$S$645,15,0)</f>
        <v>VFC334438</v>
      </c>
      <c r="M217" s="86" t="str">
        <f>VLOOKUP(G217,[1]ListLoaded!$E$6:$T$674,16,0)</f>
        <v>TON PALLET</v>
      </c>
      <c r="N217" s="86">
        <f>VLOOKUP(G217,[1]ListLoaded!$E$6:$N$545,10,0)</f>
        <v>0</v>
      </c>
      <c r="O217" s="72"/>
      <c r="P217" s="72">
        <f>VLOOKUP(G217,[1]ListLoaded!$E$6:$O$638,11,0)</f>
        <v>0</v>
      </c>
      <c r="Q217" s="84" t="str">
        <f t="shared" si="34"/>
        <v>F20DC</v>
      </c>
      <c r="R217" s="84" t="str">
        <f>VLOOKUP(G217,[1]ListLoaded!$E$6:$P$604,12,0)</f>
        <v>HAC260519065</v>
      </c>
      <c r="S217" s="15" t="e">
        <f>I217&amp;J217&amp;#REF!</f>
        <v>#REF!</v>
      </c>
      <c r="T217" s="84" t="s">
        <v>963</v>
      </c>
      <c r="U217" s="84"/>
      <c r="V217" s="84" t="s">
        <v>1000</v>
      </c>
    </row>
    <row r="218" spans="1:22" ht="24.75" customHeight="1">
      <c r="A218" s="23">
        <v>208</v>
      </c>
      <c r="B218" s="24" t="s">
        <v>50</v>
      </c>
      <c r="C218" s="24" t="s">
        <v>1489</v>
      </c>
      <c r="D218" s="24" t="s">
        <v>83</v>
      </c>
      <c r="E218" s="74" t="s">
        <v>52</v>
      </c>
      <c r="F218" s="24" t="s">
        <v>52</v>
      </c>
      <c r="G218" s="83" t="s">
        <v>1272</v>
      </c>
      <c r="H218" s="83" t="s">
        <v>1349</v>
      </c>
      <c r="I218" s="72" t="s">
        <v>116</v>
      </c>
      <c r="J218" s="72" t="s">
        <v>37</v>
      </c>
      <c r="K218" s="140">
        <v>32.369999999999997</v>
      </c>
      <c r="L218" s="83" t="s">
        <v>1350</v>
      </c>
      <c r="M218" s="86" t="s">
        <v>643</v>
      </c>
      <c r="N218" s="86">
        <v>0</v>
      </c>
      <c r="O218" s="72"/>
      <c r="P218" s="72">
        <v>0</v>
      </c>
      <c r="Q218" s="84" t="str">
        <f t="shared" si="34"/>
        <v>F40HC</v>
      </c>
      <c r="R218" s="84" t="s">
        <v>1351</v>
      </c>
      <c r="T218" s="84"/>
      <c r="U218" s="84"/>
      <c r="V218" s="84"/>
    </row>
    <row r="219" spans="1:22" ht="24.75" customHeight="1">
      <c r="A219" s="23">
        <v>209</v>
      </c>
      <c r="B219" s="24" t="s">
        <v>50</v>
      </c>
      <c r="C219" s="24" t="s">
        <v>1489</v>
      </c>
      <c r="D219" s="24" t="s">
        <v>83</v>
      </c>
      <c r="E219" s="74" t="s">
        <v>52</v>
      </c>
      <c r="F219" s="24" t="s">
        <v>52</v>
      </c>
      <c r="G219" s="83" t="s">
        <v>1273</v>
      </c>
      <c r="H219" s="83" t="s">
        <v>1352</v>
      </c>
      <c r="I219" s="72" t="s">
        <v>116</v>
      </c>
      <c r="J219" s="72" t="s">
        <v>37</v>
      </c>
      <c r="K219" s="140">
        <v>30.04</v>
      </c>
      <c r="L219" s="83" t="s">
        <v>1353</v>
      </c>
      <c r="M219" s="86" t="s">
        <v>643</v>
      </c>
      <c r="N219" s="86">
        <v>0</v>
      </c>
      <c r="O219" s="72"/>
      <c r="P219" s="72">
        <v>0</v>
      </c>
      <c r="Q219" s="84" t="str">
        <f t="shared" si="34"/>
        <v>F40HC</v>
      </c>
      <c r="R219" s="84" t="s">
        <v>1351</v>
      </c>
      <c r="T219" s="84"/>
      <c r="U219" s="84"/>
      <c r="V219" s="84"/>
    </row>
    <row r="220" spans="1:22" ht="24.75" customHeight="1">
      <c r="A220" s="23">
        <v>210</v>
      </c>
      <c r="B220" s="24" t="s">
        <v>50</v>
      </c>
      <c r="C220" s="24" t="s">
        <v>1489</v>
      </c>
      <c r="D220" s="24" t="s">
        <v>83</v>
      </c>
      <c r="E220" s="74" t="s">
        <v>52</v>
      </c>
      <c r="F220" s="24" t="s">
        <v>52</v>
      </c>
      <c r="G220" s="83" t="s">
        <v>1274</v>
      </c>
      <c r="H220" s="83" t="s">
        <v>1354</v>
      </c>
      <c r="I220" s="72" t="s">
        <v>116</v>
      </c>
      <c r="J220" s="72" t="s">
        <v>37</v>
      </c>
      <c r="K220" s="140">
        <v>31.95</v>
      </c>
      <c r="L220" s="83" t="s">
        <v>1355</v>
      </c>
      <c r="M220" s="86" t="s">
        <v>643</v>
      </c>
      <c r="N220" s="86">
        <v>0</v>
      </c>
      <c r="O220" s="72"/>
      <c r="P220" s="72">
        <v>0</v>
      </c>
      <c r="Q220" s="84" t="str">
        <f t="shared" si="34"/>
        <v>F40HC</v>
      </c>
      <c r="R220" s="84" t="s">
        <v>1351</v>
      </c>
      <c r="T220" s="84"/>
      <c r="U220" s="84"/>
      <c r="V220" s="84"/>
    </row>
    <row r="221" spans="1:22" ht="24.75" customHeight="1">
      <c r="A221" s="23">
        <v>211</v>
      </c>
      <c r="B221" s="24" t="s">
        <v>50</v>
      </c>
      <c r="C221" s="24" t="s">
        <v>1489</v>
      </c>
      <c r="D221" s="24" t="s">
        <v>83</v>
      </c>
      <c r="E221" s="74" t="s">
        <v>52</v>
      </c>
      <c r="F221" s="24" t="s">
        <v>52</v>
      </c>
      <c r="G221" s="83" t="s">
        <v>1275</v>
      </c>
      <c r="H221" s="83" t="s">
        <v>1356</v>
      </c>
      <c r="I221" s="72" t="s">
        <v>116</v>
      </c>
      <c r="J221" s="72" t="s">
        <v>37</v>
      </c>
      <c r="K221" s="140">
        <v>18.62</v>
      </c>
      <c r="L221" s="83" t="s">
        <v>1357</v>
      </c>
      <c r="M221" s="86" t="s">
        <v>1358</v>
      </c>
      <c r="N221" s="86">
        <v>0</v>
      </c>
      <c r="O221" s="72"/>
      <c r="P221" s="72">
        <v>0</v>
      </c>
      <c r="Q221" s="84" t="str">
        <f t="shared" si="34"/>
        <v>F40HC</v>
      </c>
      <c r="R221" s="84" t="s">
        <v>1359</v>
      </c>
      <c r="T221" s="84"/>
      <c r="U221" s="84"/>
      <c r="V221" s="84"/>
    </row>
    <row r="222" spans="1:22" ht="24.75" customHeight="1">
      <c r="A222" s="23">
        <v>212</v>
      </c>
      <c r="B222" s="24" t="s">
        <v>50</v>
      </c>
      <c r="C222" s="24" t="s">
        <v>1489</v>
      </c>
      <c r="D222" s="24" t="s">
        <v>57</v>
      </c>
      <c r="E222" s="74" t="s">
        <v>52</v>
      </c>
      <c r="F222" s="24" t="s">
        <v>52</v>
      </c>
      <c r="G222" s="83" t="s">
        <v>887</v>
      </c>
      <c r="H222" s="83" t="str">
        <f>VLOOKUP(G222,[1]ListLoaded!$E$6:$F$544,2,0)</f>
        <v>050510</v>
      </c>
      <c r="I222" s="72" t="str">
        <f>VLOOKUP(G222,[1]ListLoaded!$E$6:$M$550,9,0)</f>
        <v>F</v>
      </c>
      <c r="J222" s="72" t="s">
        <v>31</v>
      </c>
      <c r="K222" s="140">
        <f>VLOOKUP(G222,[1]ListLoaded!$E$6:$L$537,8,0)</f>
        <v>16.82</v>
      </c>
      <c r="L222" s="83" t="str">
        <f>VLOOKUP(G222,[1]ListLoaded!$E$6:$S$645,15,0)</f>
        <v>1086234</v>
      </c>
      <c r="M222" s="86" t="str">
        <f>VLOOKUP(G222,[1]ListLoaded!$E$6:$T$674,16,0)</f>
        <v>NGUYEN LIEU</v>
      </c>
      <c r="N222" s="86">
        <f>VLOOKUP(G222,[1]ListLoaded!$E$6:$N$545,10,0)</f>
        <v>0</v>
      </c>
      <c r="O222" s="72"/>
      <c r="P222" s="72">
        <f>VLOOKUP(G222,[1]ListLoaded!$E$6:$O$638,11,0)</f>
        <v>0</v>
      </c>
      <c r="Q222" s="84" t="str">
        <f t="shared" si="34"/>
        <v>F20DC</v>
      </c>
      <c r="R222" s="84" t="str">
        <f>VLOOKUP(G222,[1]ListLoaded!$E$6:$P$604,12,0)</f>
        <v>HAC260519075</v>
      </c>
      <c r="S222" s="15" t="e">
        <f>I222&amp;J222&amp;#REF!</f>
        <v>#REF!</v>
      </c>
      <c r="T222" s="84"/>
      <c r="U222" s="84"/>
      <c r="V222" s="84"/>
    </row>
    <row r="223" spans="1:22" ht="24.75" customHeight="1">
      <c r="A223" s="23">
        <v>213</v>
      </c>
      <c r="B223" s="24" t="s">
        <v>50</v>
      </c>
      <c r="C223" s="24" t="s">
        <v>1489</v>
      </c>
      <c r="D223" s="24" t="s">
        <v>57</v>
      </c>
      <c r="E223" s="74" t="s">
        <v>52</v>
      </c>
      <c r="F223" s="24" t="s">
        <v>52</v>
      </c>
      <c r="G223" s="83" t="s">
        <v>888</v>
      </c>
      <c r="H223" s="83" t="str">
        <f>VLOOKUP(G223,[1]ListLoaded!$E$6:$F$544,2,0)</f>
        <v>050410</v>
      </c>
      <c r="I223" s="72" t="str">
        <f>VLOOKUP(G223,[1]ListLoaded!$E$6:$M$550,9,0)</f>
        <v>F</v>
      </c>
      <c r="J223" s="72" t="s">
        <v>31</v>
      </c>
      <c r="K223" s="140">
        <f>VLOOKUP(G223,[1]ListLoaded!$E$6:$L$537,8,0)</f>
        <v>16</v>
      </c>
      <c r="L223" s="83" t="str">
        <f>VLOOKUP(G223,[1]ListLoaded!$E$6:$S$645,15,0)</f>
        <v>23385664</v>
      </c>
      <c r="M223" s="86" t="str">
        <f>VLOOKUP(G223,[1]ListLoaded!$E$6:$T$674,16,0)</f>
        <v>NGUYEN LIEU</v>
      </c>
      <c r="N223" s="86">
        <f>VLOOKUP(G223,[1]ListLoaded!$E$6:$N$545,10,0)</f>
        <v>0</v>
      </c>
      <c r="O223" s="72"/>
      <c r="P223" s="72">
        <f>VLOOKUP(G223,[1]ListLoaded!$E$6:$O$638,11,0)</f>
        <v>0</v>
      </c>
      <c r="Q223" s="84" t="str">
        <f t="shared" si="34"/>
        <v>F20DC</v>
      </c>
      <c r="R223" s="84" t="str">
        <f>VLOOKUP(G223,[1]ListLoaded!$E$6:$P$604,12,0)</f>
        <v>HAC260519075</v>
      </c>
      <c r="S223" s="15" t="e">
        <f>I223&amp;J223&amp;#REF!</f>
        <v>#REF!</v>
      </c>
      <c r="T223" s="84" t="s">
        <v>964</v>
      </c>
      <c r="U223" s="84"/>
      <c r="V223" s="84" t="s">
        <v>638</v>
      </c>
    </row>
    <row r="224" spans="1:22" ht="24.75" customHeight="1">
      <c r="A224" s="23">
        <v>214</v>
      </c>
      <c r="B224" s="24" t="s">
        <v>50</v>
      </c>
      <c r="C224" s="24" t="s">
        <v>1489</v>
      </c>
      <c r="D224" s="24" t="s">
        <v>57</v>
      </c>
      <c r="E224" s="74" t="s">
        <v>52</v>
      </c>
      <c r="F224" s="24" t="s">
        <v>52</v>
      </c>
      <c r="G224" s="83" t="s">
        <v>889</v>
      </c>
      <c r="H224" s="83" t="str">
        <f>VLOOKUP(G224,[1]ListLoaded!$E$6:$F$544,2,0)</f>
        <v>050610</v>
      </c>
      <c r="I224" s="72" t="str">
        <f>VLOOKUP(G224,[1]ListLoaded!$E$6:$M$550,9,0)</f>
        <v>F</v>
      </c>
      <c r="J224" s="72" t="s">
        <v>31</v>
      </c>
      <c r="K224" s="140">
        <f>VLOOKUP(G224,[1]ListLoaded!$E$6:$L$537,8,0)</f>
        <v>14.8</v>
      </c>
      <c r="L224" s="83" t="str">
        <f>VLOOKUP(G224,[1]ListLoaded!$E$6:$S$645,15,0)</f>
        <v>23385684</v>
      </c>
      <c r="M224" s="86" t="str">
        <f>VLOOKUP(G224,[1]ListLoaded!$E$6:$T$674,16,0)</f>
        <v>NGUYENL IEU</v>
      </c>
      <c r="N224" s="86">
        <f>VLOOKUP(G224,[1]ListLoaded!$E$6:$N$545,10,0)</f>
        <v>0</v>
      </c>
      <c r="O224" s="72"/>
      <c r="P224" s="72">
        <f>VLOOKUP(G224,[1]ListLoaded!$E$6:$O$638,11,0)</f>
        <v>0</v>
      </c>
      <c r="Q224" s="84" t="str">
        <f t="shared" si="34"/>
        <v>F20DC</v>
      </c>
      <c r="R224" s="84" t="str">
        <f>VLOOKUP(G224,[1]ListLoaded!$E$6:$P$604,12,0)</f>
        <v>HAC260519075</v>
      </c>
      <c r="S224" s="15" t="e">
        <f>I224&amp;J224&amp;#REF!</f>
        <v>#REF!</v>
      </c>
      <c r="T224" s="84" t="s">
        <v>964</v>
      </c>
      <c r="U224" s="84"/>
      <c r="V224" s="84" t="s">
        <v>1001</v>
      </c>
    </row>
    <row r="225" spans="1:60" ht="24.75" customHeight="1">
      <c r="A225" s="23">
        <v>215</v>
      </c>
      <c r="B225" s="24" t="s">
        <v>50</v>
      </c>
      <c r="C225" s="24" t="s">
        <v>1489</v>
      </c>
      <c r="D225" s="24" t="s">
        <v>57</v>
      </c>
      <c r="E225" s="74" t="s">
        <v>52</v>
      </c>
      <c r="F225" s="24" t="s">
        <v>52</v>
      </c>
      <c r="G225" s="83" t="s">
        <v>632</v>
      </c>
      <c r="H225" s="83" t="str">
        <f>VLOOKUP(G225,[1]ListLoaded!$E$6:$F$544,2,0)</f>
        <v>090508</v>
      </c>
      <c r="I225" s="72" t="str">
        <f>VLOOKUP(G225,[1]ListLoaded!$E$6:$M$550,9,0)</f>
        <v>F</v>
      </c>
      <c r="J225" s="72" t="s">
        <v>31</v>
      </c>
      <c r="K225" s="140">
        <f>VLOOKUP(G225,[1]ListLoaded!$E$6:$L$537,8,0)</f>
        <v>14.16</v>
      </c>
      <c r="L225" s="83" t="str">
        <f>VLOOKUP(G225,[1]ListLoaded!$E$6:$S$645,15,0)</f>
        <v>200409</v>
      </c>
      <c r="M225" s="86" t="str">
        <f>VLOOKUP(G225,[1]ListLoaded!$E$6:$T$674,16,0)</f>
        <v>NGUYEN LIEU</v>
      </c>
      <c r="N225" s="86">
        <f>VLOOKUP(G225,[1]ListLoaded!$E$6:$N$545,10,0)</f>
        <v>0</v>
      </c>
      <c r="O225" s="72"/>
      <c r="P225" s="72">
        <f>VLOOKUP(G225,[1]ListLoaded!$E$6:$O$638,11,0)</f>
        <v>0</v>
      </c>
      <c r="Q225" s="84" t="str">
        <f t="shared" si="34"/>
        <v>F20DC</v>
      </c>
      <c r="R225" s="84" t="str">
        <f>VLOOKUP(G225,[1]ListLoaded!$E$6:$P$604,12,0)</f>
        <v>HAC260519075</v>
      </c>
      <c r="S225" s="15" t="e">
        <f>I225&amp;J225&amp;#REF!</f>
        <v>#REF!</v>
      </c>
      <c r="T225" s="84"/>
      <c r="U225" s="84"/>
      <c r="V225" s="84"/>
    </row>
    <row r="226" spans="1:60" ht="24.75" customHeight="1">
      <c r="A226" s="23">
        <v>216</v>
      </c>
      <c r="B226" s="24" t="s">
        <v>50</v>
      </c>
      <c r="C226" s="24" t="s">
        <v>1489</v>
      </c>
      <c r="D226" s="24" t="s">
        <v>57</v>
      </c>
      <c r="E226" s="74" t="s">
        <v>52</v>
      </c>
      <c r="F226" s="24" t="s">
        <v>52</v>
      </c>
      <c r="G226" s="83" t="s">
        <v>890</v>
      </c>
      <c r="H226" s="83" t="str">
        <f>VLOOKUP(G226,[1]ListLoaded!$E$6:$F$544,2,0)</f>
        <v>090510</v>
      </c>
      <c r="I226" s="72" t="str">
        <f>VLOOKUP(G226,[1]ListLoaded!$E$6:$M$550,9,0)</f>
        <v>F</v>
      </c>
      <c r="J226" s="72" t="s">
        <v>31</v>
      </c>
      <c r="K226" s="140">
        <f>VLOOKUP(G226,[1]ListLoaded!$E$6:$L$537,8,0)</f>
        <v>13.68</v>
      </c>
      <c r="L226" s="83" t="str">
        <f>VLOOKUP(G226,[1]ListLoaded!$E$6:$S$645,15,0)</f>
        <v>200292</v>
      </c>
      <c r="M226" s="86" t="str">
        <f>VLOOKUP(G226,[1]ListLoaded!$E$6:$T$674,16,0)</f>
        <v>NGUYEN LIEU</v>
      </c>
      <c r="N226" s="86">
        <f>VLOOKUP(G226,[1]ListLoaded!$E$6:$N$545,10,0)</f>
        <v>0</v>
      </c>
      <c r="O226" s="72"/>
      <c r="P226" s="72">
        <f>VLOOKUP(G226,[1]ListLoaded!$E$6:$O$638,11,0)</f>
        <v>0</v>
      </c>
      <c r="Q226" s="84" t="str">
        <f t="shared" si="34"/>
        <v>F20DC</v>
      </c>
      <c r="R226" s="84" t="str">
        <f>VLOOKUP(G226,[1]ListLoaded!$E$6:$P$604,12,0)</f>
        <v>HAC260519075</v>
      </c>
      <c r="S226" s="15" t="e">
        <f>I226&amp;J226&amp;#REF!</f>
        <v>#REF!</v>
      </c>
      <c r="T226" s="84"/>
      <c r="U226" s="84"/>
      <c r="V226" s="84"/>
    </row>
    <row r="227" spans="1:60" ht="24.75" customHeight="1">
      <c r="A227" s="23">
        <v>217</v>
      </c>
      <c r="B227" s="24" t="s">
        <v>50</v>
      </c>
      <c r="C227" s="24" t="s">
        <v>1489</v>
      </c>
      <c r="D227" s="24" t="s">
        <v>57</v>
      </c>
      <c r="E227" s="74" t="s">
        <v>52</v>
      </c>
      <c r="F227" s="24" t="s">
        <v>52</v>
      </c>
      <c r="G227" s="83" t="s">
        <v>891</v>
      </c>
      <c r="H227" s="83" t="str">
        <f>VLOOKUP(G227,[1]ListLoaded!$E$6:$F$544,2,0)</f>
        <v>181082</v>
      </c>
      <c r="I227" s="72" t="str">
        <f>VLOOKUP(G227,[1]ListLoaded!$E$6:$M$550,9,0)</f>
        <v>F</v>
      </c>
      <c r="J227" s="72" t="str">
        <f>VLOOKUP(G227,[1]ListLoaded!$E$6:$I$537,5,0)</f>
        <v>40HC</v>
      </c>
      <c r="K227" s="140">
        <f>VLOOKUP(G227,[1]ListLoaded!$E$6:$L$537,8,0)</f>
        <v>26.25</v>
      </c>
      <c r="L227" s="83" t="str">
        <f>VLOOKUP(G227,[1]ListLoaded!$E$6:$S$645,15,0)</f>
        <v>23408363</v>
      </c>
      <c r="M227" s="86" t="str">
        <f>VLOOKUP(G227,[1]ListLoaded!$E$6:$T$674,16,0)</f>
        <v>MY PHAM</v>
      </c>
      <c r="N227" s="86">
        <f>VLOOKUP(G227,[1]ListLoaded!$E$6:$N$545,10,0)</f>
        <v>0</v>
      </c>
      <c r="O227" s="72"/>
      <c r="P227" s="72">
        <f>VLOOKUP(G227,[1]ListLoaded!$E$6:$O$638,11,0)</f>
        <v>0</v>
      </c>
      <c r="Q227" s="84" t="str">
        <f t="shared" si="34"/>
        <v>F40HC</v>
      </c>
      <c r="R227" s="84" t="str">
        <f>VLOOKUP(G227,[1]ListLoaded!$E$6:$P$604,12,0)</f>
        <v>HAC260519075</v>
      </c>
      <c r="S227" s="15" t="e">
        <f>I227&amp;J227&amp;#REF!</f>
        <v>#REF!</v>
      </c>
      <c r="T227" s="84"/>
      <c r="U227" s="84"/>
      <c r="V227" s="84"/>
    </row>
    <row r="228" spans="1:60" ht="24.75" customHeight="1">
      <c r="A228" s="23">
        <v>218</v>
      </c>
      <c r="B228" s="24" t="s">
        <v>50</v>
      </c>
      <c r="C228" s="24" t="s">
        <v>1489</v>
      </c>
      <c r="D228" s="24" t="s">
        <v>57</v>
      </c>
      <c r="E228" s="74" t="s">
        <v>52</v>
      </c>
      <c r="F228" s="24" t="s">
        <v>52</v>
      </c>
      <c r="G228" s="83" t="s">
        <v>892</v>
      </c>
      <c r="H228" s="83" t="str">
        <f>VLOOKUP(G228,[1]ListLoaded!$E$6:$F$544,2,0)</f>
        <v>180984</v>
      </c>
      <c r="I228" s="72" t="str">
        <f>VLOOKUP(G228,[1]ListLoaded!$E$6:$M$550,9,0)</f>
        <v>F</v>
      </c>
      <c r="J228" s="72" t="str">
        <f>VLOOKUP(G228,[1]ListLoaded!$E$6:$I$537,5,0)</f>
        <v>40HC</v>
      </c>
      <c r="K228" s="140">
        <f>VLOOKUP(G228,[1]ListLoaded!$E$6:$L$537,8,0)</f>
        <v>21.88</v>
      </c>
      <c r="L228" s="83" t="str">
        <f>VLOOKUP(G228,[1]ListLoaded!$E$6:$S$645,15,0)</f>
        <v>338167</v>
      </c>
      <c r="M228" s="86" t="str">
        <f>VLOOKUP(G228,[1]ListLoaded!$E$6:$T$674,16,0)</f>
        <v>MY PHAM</v>
      </c>
      <c r="N228" s="86">
        <f>VLOOKUP(G228,[1]ListLoaded!$E$6:$N$545,10,0)</f>
        <v>0</v>
      </c>
      <c r="O228" s="72"/>
      <c r="P228" s="72">
        <f>VLOOKUP(G228,[1]ListLoaded!$E$6:$O$638,11,0)</f>
        <v>0</v>
      </c>
      <c r="Q228" s="84" t="str">
        <f t="shared" si="34"/>
        <v>F40HC</v>
      </c>
      <c r="R228" s="84" t="str">
        <f>VLOOKUP(G228,[1]ListLoaded!$E$6:$P$604,12,0)</f>
        <v>HAC260519075</v>
      </c>
      <c r="S228" s="15" t="e">
        <f>I228&amp;J228&amp;#REF!</f>
        <v>#REF!</v>
      </c>
      <c r="T228" s="84" t="s">
        <v>964</v>
      </c>
      <c r="U228" s="84"/>
      <c r="V228" s="84" t="s">
        <v>1002</v>
      </c>
    </row>
    <row r="229" spans="1:60" ht="24.75" customHeight="1">
      <c r="A229" s="23">
        <v>219</v>
      </c>
      <c r="B229" s="24" t="s">
        <v>50</v>
      </c>
      <c r="C229" s="24" t="s">
        <v>1489</v>
      </c>
      <c r="D229" s="24" t="s">
        <v>57</v>
      </c>
      <c r="E229" s="74" t="s">
        <v>52</v>
      </c>
      <c r="F229" s="24" t="s">
        <v>52</v>
      </c>
      <c r="G229" s="83" t="s">
        <v>893</v>
      </c>
      <c r="H229" s="83" t="str">
        <f>VLOOKUP(G229,[1]ListLoaded!$E$6:$F$544,2,0)</f>
        <v>260306</v>
      </c>
      <c r="I229" s="72" t="str">
        <f>VLOOKUP(G229,[1]ListLoaded!$E$6:$M$550,9,0)</f>
        <v>F</v>
      </c>
      <c r="J229" s="72" t="str">
        <f>VLOOKUP(G229,[1]ListLoaded!$E$6:$I$537,5,0)</f>
        <v>40HC</v>
      </c>
      <c r="K229" s="140">
        <f>VLOOKUP(G229,[1]ListLoaded!$E$6:$L$537,8,0)</f>
        <v>29.58</v>
      </c>
      <c r="L229" s="83" t="str">
        <f>VLOOKUP(G229,[1]ListLoaded!$E$6:$S$645,15,0)</f>
        <v>1046717</v>
      </c>
      <c r="M229" s="86" t="str">
        <f>VLOOKUP(G229,[1]ListLoaded!$E$6:$T$674,16,0)</f>
        <v>THUC PHAM</v>
      </c>
      <c r="N229" s="86">
        <f>VLOOKUP(G229,[1]ListLoaded!$E$6:$N$545,10,0)</f>
        <v>0</v>
      </c>
      <c r="O229" s="72"/>
      <c r="P229" s="72">
        <f>VLOOKUP(G229,[1]ListLoaded!$E$6:$O$638,11,0)</f>
        <v>0</v>
      </c>
      <c r="Q229" s="84" t="str">
        <f t="shared" si="34"/>
        <v>F40HC</v>
      </c>
      <c r="R229" s="84" t="str">
        <f>VLOOKUP(G229,[1]ListLoaded!$E$6:$P$604,12,0)</f>
        <v>HAC260519075</v>
      </c>
      <c r="S229" s="15" t="e">
        <f>I229&amp;J229&amp;#REF!</f>
        <v>#REF!</v>
      </c>
      <c r="T229" s="84" t="s">
        <v>964</v>
      </c>
      <c r="U229" s="84"/>
      <c r="V229" s="84" t="s">
        <v>647</v>
      </c>
    </row>
    <row r="230" spans="1:60" ht="24.75" customHeight="1">
      <c r="A230" s="23">
        <v>220</v>
      </c>
      <c r="B230" s="24" t="s">
        <v>50</v>
      </c>
      <c r="C230" s="24" t="s">
        <v>1489</v>
      </c>
      <c r="D230" s="24" t="s">
        <v>57</v>
      </c>
      <c r="E230" s="74" t="s">
        <v>52</v>
      </c>
      <c r="F230" s="24" t="s">
        <v>52</v>
      </c>
      <c r="G230" s="83" t="s">
        <v>894</v>
      </c>
      <c r="H230" s="83" t="str">
        <f>VLOOKUP(G230,[1]ListLoaded!$E$6:$F$544,2,0)</f>
        <v>010108</v>
      </c>
      <c r="I230" s="72" t="str">
        <f>VLOOKUP(G230,[1]ListLoaded!$E$6:$M$550,9,0)</f>
        <v>F</v>
      </c>
      <c r="J230" s="72" t="s">
        <v>31</v>
      </c>
      <c r="K230" s="140">
        <f>VLOOKUP(G230,[1]ListLoaded!$E$6:$L$537,8,0)</f>
        <v>29.22</v>
      </c>
      <c r="L230" s="83" t="str">
        <f>VLOOKUP(G230,[1]ListLoaded!$E$6:$S$645,15,0)</f>
        <v>031020</v>
      </c>
      <c r="M230" s="86" t="str">
        <f>VLOOKUP(G230,[1]ListLoaded!$E$6:$T$674,16,0)</f>
        <v>TON CUON</v>
      </c>
      <c r="N230" s="86">
        <f>VLOOKUP(G230,[1]ListLoaded!$E$6:$N$545,10,0)</f>
        <v>0</v>
      </c>
      <c r="O230" s="72"/>
      <c r="P230" s="72">
        <f>VLOOKUP(G230,[1]ListLoaded!$E$6:$O$638,11,0)</f>
        <v>0</v>
      </c>
      <c r="Q230" s="84" t="str">
        <f t="shared" si="34"/>
        <v>F20DC</v>
      </c>
      <c r="R230" s="84" t="str">
        <f>VLOOKUP(G230,[1]ListLoaded!$E$6:$P$604,12,0)</f>
        <v>HAC260519077</v>
      </c>
      <c r="S230" s="15" t="e">
        <f>I230&amp;J230&amp;#REF!</f>
        <v>#REF!</v>
      </c>
      <c r="T230" s="84" t="s">
        <v>965</v>
      </c>
      <c r="U230" s="84"/>
      <c r="V230" s="84" t="s">
        <v>604</v>
      </c>
    </row>
    <row r="231" spans="1:60" ht="24.75" customHeight="1">
      <c r="A231" s="23">
        <v>221</v>
      </c>
      <c r="B231" s="24" t="s">
        <v>50</v>
      </c>
      <c r="C231" s="24" t="s">
        <v>1489</v>
      </c>
      <c r="D231" s="24" t="s">
        <v>57</v>
      </c>
      <c r="E231" s="143" t="s">
        <v>1488</v>
      </c>
      <c r="F231" s="24" t="s">
        <v>52</v>
      </c>
      <c r="G231" s="83" t="s">
        <v>619</v>
      </c>
      <c r="H231" s="83" t="str">
        <f>VLOOKUP(G231,[1]ListLoaded!$E$6:$F$544,2,0)</f>
        <v>260182</v>
      </c>
      <c r="I231" s="72" t="str">
        <f>VLOOKUP(G231,[1]ListLoaded!$E$6:$M$550,9,0)</f>
        <v>F</v>
      </c>
      <c r="J231" s="72" t="str">
        <f>VLOOKUP(G231,[1]ListLoaded!$E$6:$I$537,5,0)</f>
        <v>40HC</v>
      </c>
      <c r="K231" s="140">
        <f>VLOOKUP(G231,[1]ListLoaded!$E$6:$L$537,8,0)</f>
        <v>20.440000000000001</v>
      </c>
      <c r="L231" s="83" t="str">
        <f>VLOOKUP(G231,[1]ListLoaded!$E$6:$S$645,15,0)</f>
        <v>030343</v>
      </c>
      <c r="M231" s="86" t="str">
        <f>VLOOKUP(G231,[1]ListLoaded!$E$6:$T$674,16,0)</f>
        <v>THUC PHAM</v>
      </c>
      <c r="N231" s="86">
        <f>VLOOKUP(G231,[1]ListLoaded!$E$6:$N$545,10,0)</f>
        <v>0</v>
      </c>
      <c r="O231" s="72"/>
      <c r="P231" s="72">
        <f>VLOOKUP(G231,[1]ListLoaded!$E$6:$O$638,11,0)</f>
        <v>0</v>
      </c>
      <c r="Q231" s="84" t="str">
        <f t="shared" si="34"/>
        <v>F40HC</v>
      </c>
      <c r="R231" s="84" t="str">
        <f>VLOOKUP(G231,[1]ListLoaded!$E$6:$P$604,12,0)</f>
        <v>HAC260519078</v>
      </c>
      <c r="S231" s="15" t="e">
        <f>I231&amp;J231&amp;#REF!</f>
        <v>#REF!</v>
      </c>
      <c r="T231" s="84" t="s">
        <v>966</v>
      </c>
      <c r="U231" s="84"/>
      <c r="V231" s="84" t="s">
        <v>605</v>
      </c>
    </row>
    <row r="232" spans="1:60" ht="24.75" customHeight="1">
      <c r="A232" s="23">
        <v>222</v>
      </c>
      <c r="B232" s="24" t="s">
        <v>50</v>
      </c>
      <c r="C232" s="24" t="s">
        <v>1489</v>
      </c>
      <c r="D232" s="24" t="s">
        <v>57</v>
      </c>
      <c r="E232" s="143" t="s">
        <v>1488</v>
      </c>
      <c r="F232" s="24" t="s">
        <v>52</v>
      </c>
      <c r="G232" s="83" t="s">
        <v>895</v>
      </c>
      <c r="H232" s="83" t="str">
        <f>VLOOKUP(G232,[1]ListLoaded!$E$6:$F$544,2,0)</f>
        <v>260482</v>
      </c>
      <c r="I232" s="72" t="str">
        <f>VLOOKUP(G232,[1]ListLoaded!$E$6:$M$550,9,0)</f>
        <v>F</v>
      </c>
      <c r="J232" s="72" t="str">
        <f>VLOOKUP(G232,[1]ListLoaded!$E$6:$I$537,5,0)</f>
        <v>40HC</v>
      </c>
      <c r="K232" s="140">
        <f>VLOOKUP(G232,[1]ListLoaded!$E$6:$L$537,8,0)</f>
        <v>21.77</v>
      </c>
      <c r="L232" s="83" t="str">
        <f>VLOOKUP(G232,[1]ListLoaded!$E$6:$S$645,15,0)</f>
        <v>020807</v>
      </c>
      <c r="M232" s="86" t="str">
        <f>VLOOKUP(G232,[1]ListLoaded!$E$6:$T$674,16,0)</f>
        <v>THUC PHAM</v>
      </c>
      <c r="N232" s="86">
        <f>VLOOKUP(G232,[1]ListLoaded!$E$6:$N$545,10,0)</f>
        <v>0</v>
      </c>
      <c r="O232" s="72"/>
      <c r="P232" s="72">
        <f>VLOOKUP(G232,[1]ListLoaded!$E$6:$O$638,11,0)</f>
        <v>0</v>
      </c>
      <c r="Q232" s="84" t="str">
        <f t="shared" si="34"/>
        <v>F40HC</v>
      </c>
      <c r="R232" s="84" t="str">
        <f>VLOOKUP(G232,[1]ListLoaded!$E$6:$P$604,12,0)</f>
        <v>HAC260519078</v>
      </c>
      <c r="S232" s="15" t="e">
        <f>I232&amp;J232&amp;#REF!</f>
        <v>#REF!</v>
      </c>
      <c r="T232" s="84" t="s">
        <v>966</v>
      </c>
      <c r="U232" s="84"/>
      <c r="V232" s="84" t="s">
        <v>605</v>
      </c>
    </row>
    <row r="233" spans="1:60" ht="24.75" customHeight="1">
      <c r="A233" s="23">
        <v>223</v>
      </c>
      <c r="B233" s="24" t="s">
        <v>50</v>
      </c>
      <c r="C233" s="24" t="s">
        <v>1489</v>
      </c>
      <c r="D233" s="24" t="s">
        <v>57</v>
      </c>
      <c r="E233" s="74" t="s">
        <v>1488</v>
      </c>
      <c r="F233" s="24" t="s">
        <v>52</v>
      </c>
      <c r="G233" s="83" t="s">
        <v>896</v>
      </c>
      <c r="H233" s="83" t="str">
        <f>VLOOKUP(G233,[1]ListLoaded!$E$6:$F$544,2,0)</f>
        <v>290204</v>
      </c>
      <c r="I233" s="72" t="str">
        <f>VLOOKUP(G233,[1]ListLoaded!$E$6:$M$550,9,0)</f>
        <v>F</v>
      </c>
      <c r="J233" s="72" t="str">
        <f>VLOOKUP(G233,[1]ListLoaded!$E$6:$I$537,5,0)</f>
        <v>20TK</v>
      </c>
      <c r="K233" s="140">
        <f>VLOOKUP(G233,[1]ListLoaded!$E$6:$L$537,8,0)</f>
        <v>29.13</v>
      </c>
      <c r="L233" s="83" t="str">
        <f>VLOOKUP(G233,[1]ListLoaded!$E$6:$S$645,15,0)</f>
        <v>007484</v>
      </c>
      <c r="M233" s="86" t="str">
        <f>VLOOKUP(G233,[1]ListLoaded!$E$6:$T$674,16,0)</f>
        <v>DAU TV</v>
      </c>
      <c r="N233" s="86">
        <f>VLOOKUP(G233,[1]ListLoaded!$E$6:$N$545,10,0)</f>
        <v>0</v>
      </c>
      <c r="O233" s="72"/>
      <c r="P233" s="72">
        <f>VLOOKUP(G233,[1]ListLoaded!$E$6:$O$638,11,0)</f>
        <v>0</v>
      </c>
      <c r="Q233" s="84" t="str">
        <f t="shared" si="34"/>
        <v>F20TK</v>
      </c>
      <c r="R233" s="84" t="str">
        <f>VLOOKUP(G233,[1]ListLoaded!$E$6:$P$604,12,0)</f>
        <v>HAC260519078</v>
      </c>
      <c r="S233" s="15" t="e">
        <f>I233&amp;J233&amp;#REF!</f>
        <v>#REF!</v>
      </c>
      <c r="T233" s="84"/>
      <c r="U233" s="84"/>
      <c r="V233" s="84" t="s">
        <v>1003</v>
      </c>
    </row>
    <row r="234" spans="1:60" ht="24.75" customHeight="1">
      <c r="A234" s="23">
        <v>224</v>
      </c>
      <c r="B234" s="24" t="s">
        <v>50</v>
      </c>
      <c r="C234" s="24" t="s">
        <v>1489</v>
      </c>
      <c r="D234" s="24" t="s">
        <v>57</v>
      </c>
      <c r="E234" s="74" t="s">
        <v>1488</v>
      </c>
      <c r="F234" s="24" t="s">
        <v>52</v>
      </c>
      <c r="G234" s="83" t="s">
        <v>897</v>
      </c>
      <c r="H234" s="83" t="str">
        <f>VLOOKUP(G234,[1]ListLoaded!$E$6:$F$544,2,0)</f>
        <v>290504</v>
      </c>
      <c r="I234" s="72" t="str">
        <f>VLOOKUP(G234,[1]ListLoaded!$E$6:$M$550,9,0)</f>
        <v>F</v>
      </c>
      <c r="J234" s="72" t="str">
        <f>VLOOKUP(G234,[1]ListLoaded!$E$6:$I$537,5,0)</f>
        <v>20TK</v>
      </c>
      <c r="K234" s="140">
        <f>VLOOKUP(G234,[1]ListLoaded!$E$6:$L$537,8,0)</f>
        <v>30.61</v>
      </c>
      <c r="L234" s="83" t="str">
        <f>VLOOKUP(G234,[1]ListLoaded!$E$6:$S$645,15,0)</f>
        <v>005457</v>
      </c>
      <c r="M234" s="86" t="str">
        <f>VLOOKUP(G234,[1]ListLoaded!$E$6:$T$674,16,0)</f>
        <v>DAU THUC VAT</v>
      </c>
      <c r="N234" s="86">
        <f>VLOOKUP(G234,[1]ListLoaded!$E$6:$N$545,10,0)</f>
        <v>0</v>
      </c>
      <c r="O234" s="72"/>
      <c r="P234" s="72">
        <f>VLOOKUP(G234,[1]ListLoaded!$E$6:$O$638,11,0)</f>
        <v>0</v>
      </c>
      <c r="Q234" s="84" t="str">
        <f t="shared" si="34"/>
        <v>F20TK</v>
      </c>
      <c r="R234" s="84" t="str">
        <f>VLOOKUP(G234,[1]ListLoaded!$E$6:$P$604,12,0)</f>
        <v>HAC260519078</v>
      </c>
      <c r="S234" s="15" t="e">
        <f>I234&amp;J234&amp;#REF!</f>
        <v>#REF!</v>
      </c>
      <c r="T234" s="84"/>
      <c r="U234" s="84"/>
      <c r="V234" s="84" t="s">
        <v>1004</v>
      </c>
    </row>
    <row r="235" spans="1:60" ht="24.75" customHeight="1">
      <c r="A235" s="23">
        <v>225</v>
      </c>
      <c r="B235" s="24" t="s">
        <v>50</v>
      </c>
      <c r="C235" s="24" t="s">
        <v>1489</v>
      </c>
      <c r="D235" s="24" t="s">
        <v>57</v>
      </c>
      <c r="E235" s="74" t="s">
        <v>1488</v>
      </c>
      <c r="F235" s="24" t="s">
        <v>52</v>
      </c>
      <c r="G235" s="83" t="s">
        <v>898</v>
      </c>
      <c r="H235" s="83" t="str">
        <f>VLOOKUP(G235,[1]ListLoaded!$E$6:$F$544,2,0)</f>
        <v>100382</v>
      </c>
      <c r="I235" s="72" t="str">
        <f>VLOOKUP(G235,[1]ListLoaded!$E$6:$M$550,9,0)</f>
        <v>F</v>
      </c>
      <c r="J235" s="72" t="s">
        <v>38</v>
      </c>
      <c r="K235" s="140">
        <f>VLOOKUP(G235,[1]ListLoaded!$E$6:$L$537,8,0)</f>
        <v>17.86</v>
      </c>
      <c r="L235" s="83" t="str">
        <f>VLOOKUP(G235,[1]ListLoaded!$E$6:$S$645,15,0)</f>
        <v>033206</v>
      </c>
      <c r="M235" s="86" t="str">
        <f>VLOOKUP(G235,[1]ListLoaded!$E$6:$T$674,16,0)</f>
        <v>BANH KEO</v>
      </c>
      <c r="N235" s="86" t="str">
        <f>VLOOKUP(G235,[1]ListLoaded!$E$6:$N$545,10,0)</f>
        <v>22C</v>
      </c>
      <c r="O235" s="72" t="s">
        <v>1005</v>
      </c>
      <c r="P235" s="72">
        <f>VLOOKUP(G235,[1]ListLoaded!$E$6:$O$638,11,0)</f>
        <v>0</v>
      </c>
      <c r="Q235" s="84" t="str">
        <f t="shared" si="34"/>
        <v>F40RF</v>
      </c>
      <c r="R235" s="84" t="str">
        <f>VLOOKUP(G235,[1]ListLoaded!$E$6:$P$604,12,0)</f>
        <v>HAC260519078</v>
      </c>
      <c r="S235" s="15" t="e">
        <f>I235&amp;J235&amp;#REF!</f>
        <v>#REF!</v>
      </c>
      <c r="T235" s="84" t="s">
        <v>966</v>
      </c>
      <c r="U235" s="84"/>
      <c r="V235" s="84" t="s">
        <v>1005</v>
      </c>
    </row>
    <row r="236" spans="1:60" ht="24.75" customHeight="1">
      <c r="A236" s="23">
        <v>226</v>
      </c>
      <c r="B236" s="24" t="s">
        <v>50</v>
      </c>
      <c r="C236" s="24" t="s">
        <v>1489</v>
      </c>
      <c r="D236" s="24" t="s">
        <v>57</v>
      </c>
      <c r="E236" s="74" t="s">
        <v>1488</v>
      </c>
      <c r="F236" s="24" t="s">
        <v>52</v>
      </c>
      <c r="G236" s="83" t="s">
        <v>899</v>
      </c>
      <c r="H236" s="83" t="str">
        <f>VLOOKUP(G236,[1]ListLoaded!$E$6:$F$544,2,0)</f>
        <v>180882</v>
      </c>
      <c r="I236" s="72" t="str">
        <f>VLOOKUP(G236,[1]ListLoaded!$E$6:$M$550,9,0)</f>
        <v>F</v>
      </c>
      <c r="J236" s="72" t="s">
        <v>38</v>
      </c>
      <c r="K236" s="140">
        <f>VLOOKUP(G236,[1]ListLoaded!$E$6:$L$537,8,0)</f>
        <v>16.18</v>
      </c>
      <c r="L236" s="83" t="str">
        <f>VLOOKUP(G236,[1]ListLoaded!$E$6:$S$645,15,0)</f>
        <v>031988</v>
      </c>
      <c r="M236" s="86" t="str">
        <f>VLOOKUP(G236,[1]ListLoaded!$E$6:$T$674,16,0)</f>
        <v>DUOC PHAM</v>
      </c>
      <c r="N236" s="86" t="str">
        <f>VLOOKUP(G236,[1]ListLoaded!$E$6:$N$545,10,0)</f>
        <v>25C</v>
      </c>
      <c r="O236" s="72" t="s">
        <v>1006</v>
      </c>
      <c r="P236" s="72">
        <f>VLOOKUP(G236,[1]ListLoaded!$E$6:$O$638,11,0)</f>
        <v>0</v>
      </c>
      <c r="Q236" s="84" t="str">
        <f t="shared" si="34"/>
        <v>F40RF</v>
      </c>
      <c r="R236" s="84" t="str">
        <f>VLOOKUP(G236,[1]ListLoaded!$E$6:$P$604,12,0)</f>
        <v>HAC260519078</v>
      </c>
      <c r="S236" s="15" t="e">
        <f>I236&amp;J236&amp;#REF!</f>
        <v>#REF!</v>
      </c>
      <c r="T236" s="84" t="s">
        <v>966</v>
      </c>
      <c r="U236" s="84"/>
      <c r="V236" s="84" t="s">
        <v>1006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BF236" s="1"/>
      <c r="BG236" s="1"/>
      <c r="BH236" s="73"/>
    </row>
    <row r="237" spans="1:60" ht="24.75" customHeight="1">
      <c r="A237" s="23">
        <v>227</v>
      </c>
      <c r="B237" s="24" t="s">
        <v>50</v>
      </c>
      <c r="C237" s="24" t="s">
        <v>1489</v>
      </c>
      <c r="D237" s="24" t="s">
        <v>57</v>
      </c>
      <c r="E237" s="74" t="s">
        <v>1488</v>
      </c>
      <c r="F237" s="24" t="s">
        <v>52</v>
      </c>
      <c r="G237" s="83" t="s">
        <v>900</v>
      </c>
      <c r="H237" s="83" t="str">
        <f>VLOOKUP(G237,[1]ListLoaded!$E$6:$F$544,2,0)</f>
        <v>140582</v>
      </c>
      <c r="I237" s="72" t="str">
        <f>VLOOKUP(G237,[1]ListLoaded!$E$6:$M$550,9,0)</f>
        <v>F</v>
      </c>
      <c r="J237" s="72" t="s">
        <v>38</v>
      </c>
      <c r="K237" s="140">
        <f>VLOOKUP(G237,[1]ListLoaded!$E$6:$L$537,8,0)</f>
        <v>28.35</v>
      </c>
      <c r="L237" s="83" t="str">
        <f>VLOOKUP(G237,[1]ListLoaded!$E$6:$S$645,15,0)</f>
        <v>030333</v>
      </c>
      <c r="M237" s="86" t="str">
        <f>VLOOKUP(G237,[1]ListLoaded!$E$6:$T$674,16,0)</f>
        <v>NUOC COT DUA</v>
      </c>
      <c r="N237" s="86" t="str">
        <f>VLOOKUP(G237,[1]ListLoaded!$E$6:$N$545,10,0)</f>
        <v>-22C</v>
      </c>
      <c r="O237" s="72" t="s">
        <v>1007</v>
      </c>
      <c r="P237" s="72">
        <f>VLOOKUP(G237,[1]ListLoaded!$E$6:$O$638,11,0)</f>
        <v>0</v>
      </c>
      <c r="Q237" s="84" t="str">
        <f t="shared" si="34"/>
        <v>F40RF</v>
      </c>
      <c r="R237" s="84" t="str">
        <f>VLOOKUP(G237,[1]ListLoaded!$E$6:$P$604,12,0)</f>
        <v>HAC260519078</v>
      </c>
      <c r="S237" s="15" t="e">
        <f>I237&amp;J237&amp;#REF!</f>
        <v>#REF!</v>
      </c>
      <c r="T237" s="84"/>
      <c r="U237" s="84"/>
      <c r="V237" s="84" t="s">
        <v>1007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BF237" s="1"/>
      <c r="BG237" s="1"/>
      <c r="BH237" s="73"/>
    </row>
    <row r="238" spans="1:60" ht="24.75" customHeight="1">
      <c r="A238" s="23">
        <v>228</v>
      </c>
      <c r="B238" s="24" t="s">
        <v>50</v>
      </c>
      <c r="C238" s="24" t="s">
        <v>1489</v>
      </c>
      <c r="D238" s="24" t="s">
        <v>57</v>
      </c>
      <c r="E238" s="74" t="s">
        <v>1488</v>
      </c>
      <c r="F238" s="24" t="s">
        <v>52</v>
      </c>
      <c r="G238" s="83" t="s">
        <v>901</v>
      </c>
      <c r="H238" s="83" t="str">
        <f>VLOOKUP(G238,[1]ListLoaded!$E$6:$F$544,2,0)</f>
        <v>100682</v>
      </c>
      <c r="I238" s="72" t="str">
        <f>VLOOKUP(G238,[1]ListLoaded!$E$6:$M$550,9,0)</f>
        <v>F</v>
      </c>
      <c r="J238" s="72" t="s">
        <v>38</v>
      </c>
      <c r="K238" s="140">
        <f>VLOOKUP(G238,[1]ListLoaded!$E$6:$L$537,8,0)</f>
        <v>33.64</v>
      </c>
      <c r="L238" s="83" t="str">
        <f>VLOOKUP(G238,[1]ListLoaded!$E$6:$S$645,15,0)</f>
        <v>031989</v>
      </c>
      <c r="M238" s="86" t="str">
        <f>VLOOKUP(G238,[1]ListLoaded!$E$6:$T$674,16,0)</f>
        <v>THUCP HAM</v>
      </c>
      <c r="N238" s="86" t="str">
        <f>VLOOKUP(G238,[1]ListLoaded!$E$6:$N$545,10,0)</f>
        <v>-18C</v>
      </c>
      <c r="O238" s="72" t="s">
        <v>1008</v>
      </c>
      <c r="P238" s="72">
        <f>VLOOKUP(G238,[1]ListLoaded!$E$6:$O$638,11,0)</f>
        <v>0</v>
      </c>
      <c r="Q238" s="84" t="str">
        <f t="shared" si="34"/>
        <v>F40RF</v>
      </c>
      <c r="R238" s="84" t="str">
        <f>VLOOKUP(G238,[1]ListLoaded!$E$6:$P$604,12,0)</f>
        <v>HAC260519078</v>
      </c>
      <c r="S238" s="15" t="e">
        <f>I238&amp;J238&amp;#REF!</f>
        <v>#REF!</v>
      </c>
      <c r="T238" s="84"/>
      <c r="U238" s="84"/>
      <c r="V238" s="84" t="s">
        <v>1008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BF238" s="1"/>
      <c r="BG238" s="1"/>
      <c r="BH238" s="73"/>
    </row>
    <row r="239" spans="1:60" ht="24.75" customHeight="1">
      <c r="A239" s="23">
        <v>229</v>
      </c>
      <c r="B239" s="24" t="s">
        <v>50</v>
      </c>
      <c r="C239" s="24" t="s">
        <v>1489</v>
      </c>
      <c r="D239" s="24" t="s">
        <v>57</v>
      </c>
      <c r="E239" s="74" t="s">
        <v>1488</v>
      </c>
      <c r="F239" s="24" t="s">
        <v>52</v>
      </c>
      <c r="G239" s="83" t="s">
        <v>902</v>
      </c>
      <c r="H239" s="83" t="str">
        <f>VLOOKUP(G239,[1]ListLoaded!$E$6:$F$544,2,0)</f>
        <v>300482</v>
      </c>
      <c r="I239" s="72" t="str">
        <f>VLOOKUP(G239,[1]ListLoaded!$E$6:$M$550,9,0)</f>
        <v>F</v>
      </c>
      <c r="J239" s="72" t="s">
        <v>38</v>
      </c>
      <c r="K239" s="140">
        <f>VLOOKUP(G239,[1]ListLoaded!$E$6:$L$537,8,0)</f>
        <v>32.840000000000003</v>
      </c>
      <c r="L239" s="83" t="str">
        <f>VLOOKUP(G239,[1]ListLoaded!$E$6:$S$645,15,0)</f>
        <v>031011</v>
      </c>
      <c r="M239" s="86" t="str">
        <f>VLOOKUP(G239,[1]ListLoaded!$E$6:$T$674,16,0)</f>
        <v>THUC PHAM</v>
      </c>
      <c r="N239" s="86" t="str">
        <f>VLOOKUP(G239,[1]ListLoaded!$E$6:$N$545,10,0)</f>
        <v>-18C</v>
      </c>
      <c r="O239" s="72" t="s">
        <v>1008</v>
      </c>
      <c r="P239" s="72">
        <f>VLOOKUP(G239,[1]ListLoaded!$E$6:$O$638,11,0)</f>
        <v>0</v>
      </c>
      <c r="Q239" s="84" t="str">
        <f t="shared" si="34"/>
        <v>F40RF</v>
      </c>
      <c r="R239" s="84" t="str">
        <f>VLOOKUP(G239,[1]ListLoaded!$E$6:$P$604,12,0)</f>
        <v>HAC260519078</v>
      </c>
      <c r="S239" s="15" t="e">
        <f>I239&amp;J239&amp;#REF!</f>
        <v>#REF!</v>
      </c>
      <c r="T239" s="84" t="s">
        <v>966</v>
      </c>
      <c r="U239" s="84"/>
      <c r="V239" s="84" t="s">
        <v>1008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BF239" s="1"/>
      <c r="BG239" s="1"/>
      <c r="BH239" s="73"/>
    </row>
    <row r="240" spans="1:60" ht="24.75" customHeight="1">
      <c r="A240" s="23">
        <v>230</v>
      </c>
      <c r="B240" s="24" t="s">
        <v>50</v>
      </c>
      <c r="C240" s="24" t="s">
        <v>1489</v>
      </c>
      <c r="D240" s="24" t="s">
        <v>57</v>
      </c>
      <c r="E240" s="74" t="s">
        <v>52</v>
      </c>
      <c r="F240" s="24" t="s">
        <v>52</v>
      </c>
      <c r="G240" s="83" t="s">
        <v>903</v>
      </c>
      <c r="H240" s="83" t="str">
        <f>VLOOKUP(G240,[1]ListLoaded!$E$6:$F$544,2,0)</f>
        <v>140386</v>
      </c>
      <c r="I240" s="72" t="str">
        <f>VLOOKUP(G240,[1]ListLoaded!$E$6:$M$550,9,0)</f>
        <v>F</v>
      </c>
      <c r="J240" s="72" t="str">
        <f>VLOOKUP(G240,[1]ListLoaded!$E$6:$I$537,5,0)</f>
        <v>40HC</v>
      </c>
      <c r="K240" s="140">
        <f>VLOOKUP(G240,[1]ListLoaded!$E$6:$L$537,8,0)</f>
        <v>9.6199999999999992</v>
      </c>
      <c r="L240" s="83" t="str">
        <f>VLOOKUP(G240,[1]ListLoaded!$E$6:$S$645,15,0)</f>
        <v>1074526</v>
      </c>
      <c r="M240" s="86" t="str">
        <f>VLOOKUP(G240,[1]ListLoaded!$E$6:$T$674,16,0)</f>
        <v>DIEN TU</v>
      </c>
      <c r="N240" s="86">
        <f>VLOOKUP(G240,[1]ListLoaded!$E$6:$N$545,10,0)</f>
        <v>0</v>
      </c>
      <c r="O240" s="72"/>
      <c r="P240" s="72">
        <f>VLOOKUP(G240,[1]ListLoaded!$E$6:$O$638,11,0)</f>
        <v>0</v>
      </c>
      <c r="Q240" s="84" t="str">
        <f t="shared" si="34"/>
        <v>F40HC</v>
      </c>
      <c r="R240" s="84" t="str">
        <f>VLOOKUP(G240,[1]ListLoaded!$E$6:$P$604,12,0)</f>
        <v>HAC260519082</v>
      </c>
      <c r="S240" s="15" t="e">
        <f>I240&amp;J240&amp;#REF!</f>
        <v>#REF!</v>
      </c>
      <c r="T240" s="84" t="s">
        <v>967</v>
      </c>
      <c r="U240" s="84"/>
      <c r="V240" s="84" t="s">
        <v>1009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BF240" s="1"/>
      <c r="BG240" s="1"/>
      <c r="BH240" s="73"/>
    </row>
    <row r="241" spans="1:60" ht="24.75" customHeight="1">
      <c r="A241" s="23">
        <v>231</v>
      </c>
      <c r="B241" s="24" t="s">
        <v>50</v>
      </c>
      <c r="C241" s="24" t="s">
        <v>1489</v>
      </c>
      <c r="D241" s="24" t="s">
        <v>57</v>
      </c>
      <c r="E241" s="74" t="s">
        <v>52</v>
      </c>
      <c r="F241" s="24" t="s">
        <v>52</v>
      </c>
      <c r="G241" s="83" t="s">
        <v>904</v>
      </c>
      <c r="H241" s="83" t="str">
        <f>VLOOKUP(G241,[1]ListLoaded!$E$6:$F$544,2,0)</f>
        <v>260308</v>
      </c>
      <c r="I241" s="72" t="str">
        <f>VLOOKUP(G241,[1]ListLoaded!$E$6:$M$550,9,0)</f>
        <v>F</v>
      </c>
      <c r="J241" s="72" t="str">
        <f>VLOOKUP(G241,[1]ListLoaded!$E$6:$I$537,5,0)</f>
        <v>40HC</v>
      </c>
      <c r="K241" s="140">
        <f>VLOOKUP(G241,[1]ListLoaded!$E$6:$L$537,8,0)</f>
        <v>28.73</v>
      </c>
      <c r="L241" s="83" t="str">
        <f>VLOOKUP(G241,[1]ListLoaded!$E$6:$S$645,15,0)</f>
        <v>23360793</v>
      </c>
      <c r="M241" s="86" t="str">
        <f>VLOOKUP(G241,[1]ListLoaded!$E$6:$T$674,16,0)</f>
        <v>VAI</v>
      </c>
      <c r="N241" s="86">
        <f>VLOOKUP(G241,[1]ListLoaded!$E$6:$N$545,10,0)</f>
        <v>0</v>
      </c>
      <c r="O241" s="72"/>
      <c r="P241" s="72">
        <f>VLOOKUP(G241,[1]ListLoaded!$E$6:$O$638,11,0)</f>
        <v>0</v>
      </c>
      <c r="Q241" s="84" t="str">
        <f t="shared" si="34"/>
        <v>F40HC</v>
      </c>
      <c r="R241" s="84" t="str">
        <f>VLOOKUP(G241,[1]ListLoaded!$E$6:$P$604,12,0)</f>
        <v>HAC260519082</v>
      </c>
      <c r="S241" s="15" t="e">
        <f>I241&amp;J241&amp;#REF!</f>
        <v>#REF!</v>
      </c>
      <c r="T241" s="84" t="s">
        <v>967</v>
      </c>
      <c r="U241" s="84"/>
      <c r="V241" s="84" t="s">
        <v>644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BF241" s="1"/>
      <c r="BG241" s="1"/>
      <c r="BH241" s="73"/>
    </row>
    <row r="242" spans="1:60" ht="24.75" customHeight="1">
      <c r="A242" s="23">
        <v>232</v>
      </c>
      <c r="B242" s="24" t="s">
        <v>50</v>
      </c>
      <c r="C242" s="24" t="s">
        <v>1489</v>
      </c>
      <c r="D242" s="24" t="s">
        <v>57</v>
      </c>
      <c r="E242" s="74" t="s">
        <v>52</v>
      </c>
      <c r="F242" s="24" t="s">
        <v>52</v>
      </c>
      <c r="G242" s="83" t="s">
        <v>905</v>
      </c>
      <c r="H242" s="83" t="str">
        <f>VLOOKUP(G242,[1]ListLoaded!$E$6:$F$544,2,0)</f>
        <v>140384</v>
      </c>
      <c r="I242" s="72" t="str">
        <f>VLOOKUP(G242,[1]ListLoaded!$E$6:$M$550,9,0)</f>
        <v>F</v>
      </c>
      <c r="J242" s="72" t="str">
        <f>VLOOKUP(G242,[1]ListLoaded!$E$6:$I$537,5,0)</f>
        <v>40HC</v>
      </c>
      <c r="K242" s="140">
        <f>VLOOKUP(G242,[1]ListLoaded!$E$6:$L$537,8,0)</f>
        <v>17.59</v>
      </c>
      <c r="L242" s="83" t="str">
        <f>VLOOKUP(G242,[1]ListLoaded!$E$6:$S$645,15,0)</f>
        <v>1073986</v>
      </c>
      <c r="M242" s="86" t="str">
        <f>VLOOKUP(G242,[1]ListLoaded!$E$6:$T$674,16,0)</f>
        <v>VAI</v>
      </c>
      <c r="N242" s="86">
        <f>VLOOKUP(G242,[1]ListLoaded!$E$6:$N$545,10,0)</f>
        <v>0</v>
      </c>
      <c r="O242" s="72"/>
      <c r="P242" s="72">
        <f>VLOOKUP(G242,[1]ListLoaded!$E$6:$O$638,11,0)</f>
        <v>0</v>
      </c>
      <c r="Q242" s="84" t="str">
        <f t="shared" si="34"/>
        <v>F40HC</v>
      </c>
      <c r="R242" s="84" t="str">
        <f>VLOOKUP(G242,[1]ListLoaded!$E$6:$P$604,12,0)</f>
        <v>HAC260519082</v>
      </c>
      <c r="T242" s="84" t="s">
        <v>967</v>
      </c>
      <c r="U242" s="84"/>
      <c r="V242" s="84" t="s">
        <v>644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BF242" s="1"/>
      <c r="BG242" s="1"/>
      <c r="BH242" s="73"/>
    </row>
    <row r="243" spans="1:60" ht="24.75" customHeight="1">
      <c r="A243" s="23">
        <v>233</v>
      </c>
      <c r="B243" s="24" t="s">
        <v>50</v>
      </c>
      <c r="C243" s="24" t="s">
        <v>1489</v>
      </c>
      <c r="D243" s="24" t="s">
        <v>57</v>
      </c>
      <c r="E243" s="74" t="s">
        <v>52</v>
      </c>
      <c r="F243" s="24" t="s">
        <v>52</v>
      </c>
      <c r="G243" s="83" t="s">
        <v>906</v>
      </c>
      <c r="H243" s="83" t="str">
        <f>VLOOKUP(G243,[1]ListLoaded!$E$6:$F$544,2,0)</f>
        <v>020286</v>
      </c>
      <c r="I243" s="72" t="str">
        <f>VLOOKUP(G243,[1]ListLoaded!$E$6:$M$550,9,0)</f>
        <v>F</v>
      </c>
      <c r="J243" s="72" t="str">
        <f>VLOOKUP(G243,[1]ListLoaded!$E$6:$I$537,5,0)</f>
        <v>40HC</v>
      </c>
      <c r="K243" s="140">
        <f>VLOOKUP(G243,[1]ListLoaded!$E$6:$L$537,8,0)</f>
        <v>9.85</v>
      </c>
      <c r="L243" s="83" t="str">
        <f>VLOOKUP(G243,[1]ListLoaded!$E$6:$S$645,15,0)</f>
        <v>23182850</v>
      </c>
      <c r="M243" s="86" t="str">
        <f>VLOOKUP(G243,[1]ListLoaded!$E$6:$T$674,16,0)</f>
        <v>DIEN TU</v>
      </c>
      <c r="N243" s="86">
        <f>VLOOKUP(G243,[1]ListLoaded!$E$6:$N$545,10,0)</f>
        <v>0</v>
      </c>
      <c r="O243" s="72"/>
      <c r="P243" s="72">
        <f>VLOOKUP(G243,[1]ListLoaded!$E$6:$O$638,11,0)</f>
        <v>0</v>
      </c>
      <c r="Q243" s="84" t="str">
        <f t="shared" si="34"/>
        <v>F40HC</v>
      </c>
      <c r="R243" s="84" t="str">
        <f>VLOOKUP(G243,[1]ListLoaded!$E$6:$P$604,12,0)</f>
        <v>HAC260519082</v>
      </c>
      <c r="T243" s="84" t="s">
        <v>967</v>
      </c>
      <c r="U243" s="84"/>
      <c r="V243" s="84" t="s">
        <v>1009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BF243" s="1"/>
      <c r="BG243" s="1"/>
      <c r="BH243" s="73"/>
    </row>
    <row r="244" spans="1:60" ht="24.75" customHeight="1">
      <c r="A244" s="23">
        <v>234</v>
      </c>
      <c r="B244" s="24" t="s">
        <v>50</v>
      </c>
      <c r="C244" s="24" t="s">
        <v>1489</v>
      </c>
      <c r="D244" s="24" t="s">
        <v>57</v>
      </c>
      <c r="E244" s="74" t="s">
        <v>52</v>
      </c>
      <c r="F244" s="24" t="s">
        <v>52</v>
      </c>
      <c r="G244" s="83" t="s">
        <v>907</v>
      </c>
      <c r="H244" s="83" t="str">
        <f>VLOOKUP(G244,[1]ListLoaded!$E$6:$F$544,2,0)</f>
        <v>220406</v>
      </c>
      <c r="I244" s="72" t="str">
        <f>VLOOKUP(G244,[1]ListLoaded!$E$6:$M$550,9,0)</f>
        <v>F</v>
      </c>
      <c r="J244" s="72" t="str">
        <f>VLOOKUP(G244,[1]ListLoaded!$E$6:$I$537,5,0)</f>
        <v>40HC</v>
      </c>
      <c r="K244" s="140">
        <f>VLOOKUP(G244,[1]ListLoaded!$E$6:$L$537,8,0)</f>
        <v>32.020000000000003</v>
      </c>
      <c r="L244" s="83" t="str">
        <f>VLOOKUP(G244,[1]ListLoaded!$E$6:$S$645,15,0)</f>
        <v>1077328</v>
      </c>
      <c r="M244" s="86" t="str">
        <f>VLOOKUP(G244,[1]ListLoaded!$E$6:$T$674,16,0)</f>
        <v>KEO</v>
      </c>
      <c r="N244" s="86">
        <f>VLOOKUP(G244,[1]ListLoaded!$E$6:$N$545,10,0)</f>
        <v>0</v>
      </c>
      <c r="O244" s="72"/>
      <c r="P244" s="72">
        <f>VLOOKUP(G244,[1]ListLoaded!$E$6:$O$638,11,0)</f>
        <v>0</v>
      </c>
      <c r="Q244" s="84" t="str">
        <f t="shared" si="34"/>
        <v>F40HC</v>
      </c>
      <c r="R244" s="84" t="str">
        <f>VLOOKUP(G244,[1]ListLoaded!$E$6:$P$604,12,0)</f>
        <v>HAC260519082</v>
      </c>
      <c r="T244" s="84" t="s">
        <v>967</v>
      </c>
      <c r="U244" s="84"/>
      <c r="V244" s="84" t="s">
        <v>1010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BF244" s="1"/>
      <c r="BG244" s="1"/>
      <c r="BH244" s="73"/>
    </row>
    <row r="245" spans="1:60" ht="24.75" customHeight="1">
      <c r="A245" s="23">
        <v>235</v>
      </c>
      <c r="B245" s="24" t="s">
        <v>50</v>
      </c>
      <c r="C245" s="24" t="s">
        <v>1489</v>
      </c>
      <c r="D245" s="24" t="s">
        <v>57</v>
      </c>
      <c r="E245" s="74" t="s">
        <v>52</v>
      </c>
      <c r="F245" s="24" t="s">
        <v>52</v>
      </c>
      <c r="G245" s="83" t="s">
        <v>908</v>
      </c>
      <c r="H245" s="83" t="str">
        <f>VLOOKUP(G245,[1]ListLoaded!$E$6:$F$544,2,0)</f>
        <v>020186</v>
      </c>
      <c r="I245" s="72" t="str">
        <f>VLOOKUP(G245,[1]ListLoaded!$E$6:$M$550,9,0)</f>
        <v>F</v>
      </c>
      <c r="J245" s="72" t="str">
        <f>VLOOKUP(G245,[1]ListLoaded!$E$6:$I$537,5,0)</f>
        <v>40HC</v>
      </c>
      <c r="K245" s="140">
        <f>VLOOKUP(G245,[1]ListLoaded!$E$6:$L$537,8,0)</f>
        <v>9.16</v>
      </c>
      <c r="L245" s="83" t="str">
        <f>VLOOKUP(G245,[1]ListLoaded!$E$6:$S$645,15,0)</f>
        <v>1077339</v>
      </c>
      <c r="M245" s="86" t="str">
        <f>VLOOKUP(G245,[1]ListLoaded!$E$6:$T$674,16,0)</f>
        <v>DIEN TU</v>
      </c>
      <c r="N245" s="86">
        <f>VLOOKUP(G245,[1]ListLoaded!$E$6:$N$545,10,0)</f>
        <v>0</v>
      </c>
      <c r="O245" s="72"/>
      <c r="P245" s="72">
        <f>VLOOKUP(G245,[1]ListLoaded!$E$6:$O$638,11,0)</f>
        <v>0</v>
      </c>
      <c r="Q245" s="84" t="str">
        <f t="shared" si="34"/>
        <v>F40HC</v>
      </c>
      <c r="R245" s="84" t="str">
        <f>VLOOKUP(G245,[1]ListLoaded!$E$6:$P$604,12,0)</f>
        <v>HAC260519082</v>
      </c>
      <c r="T245" s="84" t="s">
        <v>967</v>
      </c>
      <c r="U245" s="84"/>
      <c r="V245" s="84" t="s">
        <v>1009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BF245" s="1"/>
      <c r="BG245" s="1"/>
      <c r="BH245" s="73"/>
    </row>
    <row r="246" spans="1:60" ht="24.75" customHeight="1">
      <c r="A246" s="23">
        <v>236</v>
      </c>
      <c r="B246" s="24" t="s">
        <v>50</v>
      </c>
      <c r="C246" s="24" t="s">
        <v>1489</v>
      </c>
      <c r="D246" s="24" t="s">
        <v>57</v>
      </c>
      <c r="E246" s="74" t="s">
        <v>52</v>
      </c>
      <c r="F246" s="24" t="s">
        <v>52</v>
      </c>
      <c r="G246" s="83" t="s">
        <v>909</v>
      </c>
      <c r="H246" s="83" t="str">
        <f>VLOOKUP(G246,[1]ListLoaded!$E$6:$F$544,2,0)</f>
        <v>260484</v>
      </c>
      <c r="I246" s="72" t="str">
        <f>VLOOKUP(G246,[1]ListLoaded!$E$6:$M$550,9,0)</f>
        <v>F</v>
      </c>
      <c r="J246" s="72" t="str">
        <f>VLOOKUP(G246,[1]ListLoaded!$E$6:$I$537,5,0)</f>
        <v>40HC</v>
      </c>
      <c r="K246" s="140">
        <f>VLOOKUP(G246,[1]ListLoaded!$E$6:$L$537,8,0)</f>
        <v>17.22</v>
      </c>
      <c r="L246" s="83" t="str">
        <f>VLOOKUP(G246,[1]ListLoaded!$E$6:$S$645,15,0)</f>
        <v>1073995</v>
      </c>
      <c r="M246" s="86" t="str">
        <f>VLOOKUP(G246,[1]ListLoaded!$E$6:$T$674,16,0)</f>
        <v>VAI</v>
      </c>
      <c r="N246" s="86">
        <f>VLOOKUP(G246,[1]ListLoaded!$E$6:$N$545,10,0)</f>
        <v>0</v>
      </c>
      <c r="O246" s="72"/>
      <c r="P246" s="72">
        <f>VLOOKUP(G246,[1]ListLoaded!$E$6:$O$638,11,0)</f>
        <v>0</v>
      </c>
      <c r="Q246" s="84" t="str">
        <f t="shared" si="34"/>
        <v>F40HC</v>
      </c>
      <c r="R246" s="84" t="str">
        <f>VLOOKUP(G246,[1]ListLoaded!$E$6:$P$604,12,0)</f>
        <v>HAC260519082</v>
      </c>
      <c r="T246" s="84" t="s">
        <v>967</v>
      </c>
      <c r="U246" s="84"/>
      <c r="V246" s="84" t="s">
        <v>644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BF246" s="1"/>
      <c r="BG246" s="1"/>
      <c r="BH246" s="73"/>
    </row>
    <row r="247" spans="1:60" ht="24.75" customHeight="1">
      <c r="A247" s="23">
        <v>237</v>
      </c>
      <c r="B247" s="24" t="s">
        <v>50</v>
      </c>
      <c r="C247" s="24" t="s">
        <v>1489</v>
      </c>
      <c r="D247" s="24" t="s">
        <v>57</v>
      </c>
      <c r="E247" s="74" t="s">
        <v>52</v>
      </c>
      <c r="F247" s="24" t="s">
        <v>52</v>
      </c>
      <c r="G247" s="83" t="s">
        <v>910</v>
      </c>
      <c r="H247" s="83" t="str">
        <f>VLOOKUP(G247,[1]ListLoaded!$E$6:$F$544,2,0)</f>
        <v>260884</v>
      </c>
      <c r="I247" s="72" t="str">
        <f>VLOOKUP(G247,[1]ListLoaded!$E$6:$M$550,9,0)</f>
        <v>F</v>
      </c>
      <c r="J247" s="72" t="str">
        <f>VLOOKUP(G247,[1]ListLoaded!$E$6:$I$537,5,0)</f>
        <v>40HC</v>
      </c>
      <c r="K247" s="140">
        <f>VLOOKUP(G247,[1]ListLoaded!$E$6:$L$537,8,0)</f>
        <v>14.23</v>
      </c>
      <c r="L247" s="83" t="str">
        <f>VLOOKUP(G247,[1]ListLoaded!$E$6:$S$645,15,0)</f>
        <v>1077321</v>
      </c>
      <c r="M247" s="86" t="str">
        <f>VLOOKUP(G247,[1]ListLoaded!$E$6:$T$674,16,0)</f>
        <v>DIEN TU</v>
      </c>
      <c r="N247" s="86">
        <f>VLOOKUP(G247,[1]ListLoaded!$E$6:$N$545,10,0)</f>
        <v>0</v>
      </c>
      <c r="O247" s="72"/>
      <c r="P247" s="72">
        <f>VLOOKUP(G247,[1]ListLoaded!$E$6:$O$638,11,0)</f>
        <v>0</v>
      </c>
      <c r="Q247" s="84" t="str">
        <f t="shared" si="34"/>
        <v>F40HC</v>
      </c>
      <c r="R247" s="84" t="str">
        <f>VLOOKUP(G247,[1]ListLoaded!$E$6:$P$604,12,0)</f>
        <v>HAC260522027</v>
      </c>
      <c r="S247" s="15" t="e">
        <f>I247&amp;J247&amp;#REF!</f>
        <v>#REF!</v>
      </c>
      <c r="T247" s="84"/>
      <c r="U247" s="84"/>
      <c r="V247" s="84"/>
    </row>
    <row r="248" spans="1:60" ht="24.75" customHeight="1">
      <c r="A248" s="23">
        <v>238</v>
      </c>
      <c r="B248" s="24" t="s">
        <v>50</v>
      </c>
      <c r="C248" s="24" t="s">
        <v>1489</v>
      </c>
      <c r="D248" s="24" t="s">
        <v>57</v>
      </c>
      <c r="E248" s="74" t="s">
        <v>52</v>
      </c>
      <c r="F248" s="24" t="s">
        <v>52</v>
      </c>
      <c r="G248" s="83" t="s">
        <v>911</v>
      </c>
      <c r="H248" s="83" t="str">
        <f>VLOOKUP(G248,[1]ListLoaded!$E$6:$F$544,2,0)</f>
        <v>060184</v>
      </c>
      <c r="I248" s="72" t="str">
        <f>VLOOKUP(G248,[1]ListLoaded!$E$6:$M$550,9,0)</f>
        <v>F</v>
      </c>
      <c r="J248" s="72" t="str">
        <f>VLOOKUP(G248,[1]ListLoaded!$E$6:$I$537,5,0)</f>
        <v>40HC</v>
      </c>
      <c r="K248" s="140">
        <f>VLOOKUP(G248,[1]ListLoaded!$E$6:$L$537,8,0)</f>
        <v>20.329999999999998</v>
      </c>
      <c r="L248" s="83" t="str">
        <f>VLOOKUP(G248,[1]ListLoaded!$E$6:$S$645,15,0)</f>
        <v>1073989</v>
      </c>
      <c r="M248" s="86" t="str">
        <f>VLOOKUP(G248,[1]ListLoaded!$E$6:$T$674,16,0)</f>
        <v>DIEN TU</v>
      </c>
      <c r="N248" s="86">
        <f>VLOOKUP(G248,[1]ListLoaded!$E$6:$N$545,10,0)</f>
        <v>0</v>
      </c>
      <c r="O248" s="72"/>
      <c r="P248" s="72">
        <f>VLOOKUP(G248,[1]ListLoaded!$E$6:$O$638,11,0)</f>
        <v>0</v>
      </c>
      <c r="Q248" s="84" t="str">
        <f t="shared" si="34"/>
        <v>F40HC</v>
      </c>
      <c r="R248" s="84" t="str">
        <f>VLOOKUP(G248,[1]ListLoaded!$E$6:$P$604,12,0)</f>
        <v>HAC260522027</v>
      </c>
      <c r="S248" s="15" t="e">
        <f>I248&amp;J248&amp;#REF!</f>
        <v>#REF!</v>
      </c>
      <c r="T248" s="84"/>
      <c r="U248" s="84"/>
      <c r="V248" s="84"/>
    </row>
    <row r="249" spans="1:60" ht="24.75" customHeight="1">
      <c r="A249" s="23">
        <v>239</v>
      </c>
      <c r="B249" s="24" t="s">
        <v>50</v>
      </c>
      <c r="C249" s="24" t="s">
        <v>1489</v>
      </c>
      <c r="D249" s="24" t="s">
        <v>57</v>
      </c>
      <c r="E249" s="74" t="s">
        <v>52</v>
      </c>
      <c r="F249" s="24" t="s">
        <v>52</v>
      </c>
      <c r="G249" s="83" t="s">
        <v>912</v>
      </c>
      <c r="H249" s="83" t="str">
        <f>VLOOKUP(G249,[1]ListLoaded!$E$6:$F$544,2,0)</f>
        <v>180506</v>
      </c>
      <c r="I249" s="72" t="str">
        <f>VLOOKUP(G249,[1]ListLoaded!$E$6:$M$550,9,0)</f>
        <v>F</v>
      </c>
      <c r="J249" s="72" t="str">
        <f>VLOOKUP(G249,[1]ListLoaded!$E$6:$I$537,5,0)</f>
        <v>40HC</v>
      </c>
      <c r="K249" s="140">
        <f>VLOOKUP(G249,[1]ListLoaded!$E$6:$L$537,8,0)</f>
        <v>30.57</v>
      </c>
      <c r="L249" s="83" t="str">
        <f>VLOOKUP(G249,[1]ListLoaded!$E$6:$S$645,15,0)</f>
        <v>260818</v>
      </c>
      <c r="M249" s="86" t="str">
        <f>VLOOKUP(G249,[1]ListLoaded!$E$6:$T$674,16,0)</f>
        <v>GIAY</v>
      </c>
      <c r="N249" s="86">
        <f>VLOOKUP(G249,[1]ListLoaded!$E$6:$N$545,10,0)</f>
        <v>0</v>
      </c>
      <c r="O249" s="72"/>
      <c r="P249" s="72">
        <f>VLOOKUP(G249,[1]ListLoaded!$E$6:$O$638,11,0)</f>
        <v>0</v>
      </c>
      <c r="Q249" s="84" t="str">
        <f t="shared" si="34"/>
        <v>F40HC</v>
      </c>
      <c r="R249" s="84" t="str">
        <f>VLOOKUP(G249,[1]ListLoaded!$E$6:$P$604,12,0)</f>
        <v>HAC260519086</v>
      </c>
      <c r="S249" s="15" t="e">
        <f>I249&amp;J249&amp;#REF!</f>
        <v>#REF!</v>
      </c>
      <c r="T249" s="84" t="s">
        <v>968</v>
      </c>
      <c r="U249" s="84"/>
      <c r="V249" s="84" t="s">
        <v>613</v>
      </c>
      <c r="BC249" s="1"/>
      <c r="BD249" s="1"/>
      <c r="BE249" s="1"/>
    </row>
    <row r="250" spans="1:60" ht="24.75" customHeight="1">
      <c r="A250" s="23">
        <v>240</v>
      </c>
      <c r="B250" s="24" t="s">
        <v>50</v>
      </c>
      <c r="C250" s="24" t="s">
        <v>1489</v>
      </c>
      <c r="D250" s="24" t="s">
        <v>57</v>
      </c>
      <c r="E250" s="74" t="s">
        <v>52</v>
      </c>
      <c r="F250" s="24" t="s">
        <v>52</v>
      </c>
      <c r="G250" s="83" t="s">
        <v>913</v>
      </c>
      <c r="H250" s="83" t="str">
        <f>VLOOKUP(G250,[1]ListLoaded!$E$6:$F$544,2,0)</f>
        <v>220404</v>
      </c>
      <c r="I250" s="72" t="str">
        <f>VLOOKUP(G250,[1]ListLoaded!$E$6:$M$550,9,0)</f>
        <v>F</v>
      </c>
      <c r="J250" s="72" t="str">
        <f>VLOOKUP(G250,[1]ListLoaded!$E$6:$I$537,5,0)</f>
        <v>40HC</v>
      </c>
      <c r="K250" s="140">
        <f>VLOOKUP(G250,[1]ListLoaded!$E$6:$L$537,8,0)</f>
        <v>31.52</v>
      </c>
      <c r="L250" s="83" t="str">
        <f>VLOOKUP(G250,[1]ListLoaded!$E$6:$S$645,15,0)</f>
        <v>026030</v>
      </c>
      <c r="M250" s="86" t="str">
        <f>VLOOKUP(G250,[1]ListLoaded!$E$6:$T$674,16,0)</f>
        <v>CAM</v>
      </c>
      <c r="N250" s="86">
        <f>VLOOKUP(G250,[1]ListLoaded!$E$6:$N$545,10,0)</f>
        <v>0</v>
      </c>
      <c r="O250" s="72"/>
      <c r="P250" s="72">
        <f>VLOOKUP(G250,[1]ListLoaded!$E$6:$O$638,11,0)</f>
        <v>0</v>
      </c>
      <c r="Q250" s="84" t="str">
        <f t="shared" si="34"/>
        <v>F40HC</v>
      </c>
      <c r="R250" s="84" t="str">
        <f>VLOOKUP(G250,[1]ListLoaded!$E$6:$P$604,12,0)</f>
        <v>HAC260519086</v>
      </c>
      <c r="S250" s="15" t="e">
        <f>I250&amp;J250&amp;#REF!</f>
        <v>#REF!</v>
      </c>
      <c r="T250" s="84" t="s">
        <v>968</v>
      </c>
      <c r="U250" s="84"/>
      <c r="V250" s="84" t="s">
        <v>988</v>
      </c>
      <c r="BC250" s="1"/>
      <c r="BD250" s="1"/>
      <c r="BE250" s="1"/>
    </row>
    <row r="251" spans="1:60" ht="24.75" customHeight="1">
      <c r="A251" s="23">
        <v>241</v>
      </c>
      <c r="B251" s="24" t="s">
        <v>50</v>
      </c>
      <c r="C251" s="24" t="s">
        <v>1489</v>
      </c>
      <c r="D251" s="24" t="s">
        <v>83</v>
      </c>
      <c r="E251" s="74" t="s">
        <v>52</v>
      </c>
      <c r="F251" s="24" t="s">
        <v>52</v>
      </c>
      <c r="G251" s="83" t="s">
        <v>1284</v>
      </c>
      <c r="H251" s="83" t="s">
        <v>1316</v>
      </c>
      <c r="I251" s="72" t="s">
        <v>116</v>
      </c>
      <c r="J251" s="72" t="s">
        <v>37</v>
      </c>
      <c r="K251" s="140">
        <v>8.7100000000000009</v>
      </c>
      <c r="L251" s="83" t="s">
        <v>1317</v>
      </c>
      <c r="M251" s="86" t="s">
        <v>1009</v>
      </c>
      <c r="N251" s="86">
        <v>0</v>
      </c>
      <c r="O251" s="72"/>
      <c r="P251" s="72">
        <v>0</v>
      </c>
      <c r="Q251" s="84" t="str">
        <f t="shared" si="34"/>
        <v>F40HC</v>
      </c>
      <c r="R251" s="84" t="s">
        <v>1318</v>
      </c>
      <c r="S251" s="15" t="s">
        <v>1319</v>
      </c>
      <c r="T251" s="84"/>
      <c r="U251" s="84"/>
      <c r="V251" s="84"/>
      <c r="BC251" s="1"/>
      <c r="BD251" s="1"/>
      <c r="BE251" s="1"/>
    </row>
    <row r="252" spans="1:60" ht="24.75" customHeight="1">
      <c r="A252" s="23">
        <v>242</v>
      </c>
      <c r="B252" s="24" t="s">
        <v>50</v>
      </c>
      <c r="C252" s="24" t="s">
        <v>1489</v>
      </c>
      <c r="D252" s="24" t="s">
        <v>83</v>
      </c>
      <c r="E252" s="74" t="s">
        <v>52</v>
      </c>
      <c r="F252" s="24" t="s">
        <v>52</v>
      </c>
      <c r="G252" s="83" t="s">
        <v>1285</v>
      </c>
      <c r="H252" s="83" t="s">
        <v>1320</v>
      </c>
      <c r="I252" s="72" t="s">
        <v>116</v>
      </c>
      <c r="J252" s="72" t="s">
        <v>37</v>
      </c>
      <c r="K252" s="140">
        <v>10.76</v>
      </c>
      <c r="L252" s="83" t="s">
        <v>1321</v>
      </c>
      <c r="M252" s="86" t="s">
        <v>991</v>
      </c>
      <c r="N252" s="86">
        <v>0</v>
      </c>
      <c r="O252" s="72"/>
      <c r="P252" s="72">
        <v>0</v>
      </c>
      <c r="Q252" s="84" t="str">
        <f t="shared" si="34"/>
        <v>F40HC</v>
      </c>
      <c r="R252" s="84" t="s">
        <v>1322</v>
      </c>
      <c r="S252" s="15" t="s">
        <v>1323</v>
      </c>
      <c r="T252" s="84"/>
      <c r="U252" s="84"/>
      <c r="V252" s="84"/>
      <c r="BC252" s="1"/>
      <c r="BD252" s="1"/>
      <c r="BE252" s="1"/>
    </row>
    <row r="253" spans="1:60" s="16" customFormat="1" ht="24.75" customHeight="1">
      <c r="A253" s="23">
        <v>243</v>
      </c>
      <c r="B253" s="24" t="s">
        <v>50</v>
      </c>
      <c r="C253" s="24" t="s">
        <v>1489</v>
      </c>
      <c r="D253" s="24" t="s">
        <v>57</v>
      </c>
      <c r="E253" s="74" t="s">
        <v>52</v>
      </c>
      <c r="F253" s="24" t="s">
        <v>52</v>
      </c>
      <c r="G253" s="83" t="s">
        <v>914</v>
      </c>
      <c r="H253" s="83" t="str">
        <f>VLOOKUP(G253,[1]ListLoaded!$E$6:$F$544,2,0)</f>
        <v>060102</v>
      </c>
      <c r="I253" s="72" t="str">
        <f>VLOOKUP(G253,[1]ListLoaded!$E$6:$M$550,9,0)</f>
        <v>F</v>
      </c>
      <c r="J253" s="72" t="str">
        <f>VLOOKUP(G253,[1]ListLoaded!$E$6:$I$537,5,0)</f>
        <v>40HC</v>
      </c>
      <c r="K253" s="140">
        <f>VLOOKUP(G253,[1]ListLoaded!$E$6:$L$537,8,0)</f>
        <v>31.26</v>
      </c>
      <c r="L253" s="83" t="str">
        <f>VLOOKUP(G253,[1]ListLoaded!$E$6:$S$645,15,0)</f>
        <v>000938</v>
      </c>
      <c r="M253" s="86" t="str">
        <f>VLOOKUP(G253,[1]ListLoaded!$E$6:$T$674,16,0)</f>
        <v>SI NHOM</v>
      </c>
      <c r="N253" s="86">
        <f>VLOOKUP(G253,[1]ListLoaded!$E$6:$N$545,10,0)</f>
        <v>0</v>
      </c>
      <c r="O253" s="72"/>
      <c r="P253" s="72">
        <f>VLOOKUP(G253,[1]ListLoaded!$E$6:$O$638,11,0)</f>
        <v>0</v>
      </c>
      <c r="Q253" s="84" t="str">
        <f t="shared" si="34"/>
        <v>F40HC</v>
      </c>
      <c r="R253" s="84" t="str">
        <f>VLOOKUP(G253,[1]ListLoaded!$E$6:$P$604,12,0)</f>
        <v>HAC260519088</v>
      </c>
      <c r="S253" s="15" t="e">
        <f>I253&amp;J253&amp;#REF!</f>
        <v>#REF!</v>
      </c>
      <c r="T253" s="84"/>
      <c r="U253" s="84"/>
      <c r="V253" s="84"/>
      <c r="X253" s="8"/>
      <c r="Y253" s="9"/>
      <c r="Z253" s="8"/>
      <c r="AA253" s="8"/>
      <c r="AB253" s="8"/>
      <c r="AC253" s="8"/>
      <c r="AD253" s="8"/>
      <c r="AE253" s="8"/>
      <c r="AF253" s="8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1"/>
      <c r="BD253" s="1"/>
      <c r="BE253" s="1"/>
    </row>
    <row r="254" spans="1:60" s="16" customFormat="1" ht="24.75" customHeight="1">
      <c r="A254" s="23">
        <v>244</v>
      </c>
      <c r="B254" s="24" t="s">
        <v>50</v>
      </c>
      <c r="C254" s="24" t="s">
        <v>1489</v>
      </c>
      <c r="D254" s="24" t="s">
        <v>57</v>
      </c>
      <c r="E254" s="74" t="s">
        <v>52</v>
      </c>
      <c r="F254" s="24" t="s">
        <v>52</v>
      </c>
      <c r="G254" s="106" t="s">
        <v>915</v>
      </c>
      <c r="H254" s="83" t="str">
        <f>VLOOKUP(G254,[1]ListLoaded!$E$6:$F$544,2,0)</f>
        <v>300884</v>
      </c>
      <c r="I254" s="72" t="str">
        <f>VLOOKUP(G254,[1]ListLoaded!$E$6:$M$550,9,0)</f>
        <v>F</v>
      </c>
      <c r="J254" s="72" t="str">
        <f>VLOOKUP(G254,[1]ListLoaded!$E$6:$I$537,5,0)</f>
        <v>40HC</v>
      </c>
      <c r="K254" s="140">
        <f>VLOOKUP(G254,[1]ListLoaded!$E$6:$L$537,8,0)</f>
        <v>12.62</v>
      </c>
      <c r="L254" s="83" t="str">
        <f>VLOOKUP(G254,[1]ListLoaded!$E$6:$S$645,15,0)</f>
        <v>1118633</v>
      </c>
      <c r="M254" s="86" t="str">
        <f>VLOOKUP(G254,[1]ListLoaded!$E$6:$T$674,16,0)</f>
        <v>NHUA</v>
      </c>
      <c r="N254" s="86">
        <f>VLOOKUP(G254,[1]ListLoaded!$E$6:$N$545,10,0)</f>
        <v>0</v>
      </c>
      <c r="O254" s="72"/>
      <c r="P254" s="72">
        <f>VLOOKUP(G254,[1]ListLoaded!$E$6:$O$638,11,0)</f>
        <v>0</v>
      </c>
      <c r="Q254" s="84" t="str">
        <f t="shared" si="34"/>
        <v>F40HC</v>
      </c>
      <c r="R254" s="84" t="str">
        <f>VLOOKUP(G254,[1]ListLoaded!$E$6:$P$604,12,0)</f>
        <v>HAC260519088</v>
      </c>
      <c r="S254" s="15" t="s">
        <v>615</v>
      </c>
      <c r="T254" s="84" t="s">
        <v>969</v>
      </c>
      <c r="U254" s="84"/>
      <c r="V254" s="84" t="s">
        <v>643</v>
      </c>
      <c r="X254" s="8"/>
      <c r="Y254" s="9"/>
      <c r="Z254" s="8"/>
      <c r="AA254" s="8"/>
      <c r="AB254" s="8"/>
      <c r="AC254" s="8"/>
      <c r="AD254" s="8"/>
      <c r="AE254" s="8"/>
      <c r="AF254" s="8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1"/>
      <c r="BD254" s="1"/>
      <c r="BE254" s="1"/>
    </row>
    <row r="255" spans="1:60" s="16" customFormat="1" ht="24.75" customHeight="1">
      <c r="A255" s="23">
        <v>245</v>
      </c>
      <c r="B255" s="24" t="s">
        <v>50</v>
      </c>
      <c r="C255" s="24" t="s">
        <v>1489</v>
      </c>
      <c r="D255" s="24" t="s">
        <v>57</v>
      </c>
      <c r="E255" s="74" t="s">
        <v>52</v>
      </c>
      <c r="F255" s="24" t="s">
        <v>52</v>
      </c>
      <c r="G255" s="83" t="s">
        <v>916</v>
      </c>
      <c r="H255" s="83" t="str">
        <f>VLOOKUP(G255,[1]ListLoaded!$E$6:$F$544,2,0)</f>
        <v>180686</v>
      </c>
      <c r="I255" s="72" t="str">
        <f>VLOOKUP(G255,[1]ListLoaded!$E$6:$M$550,9,0)</f>
        <v>F</v>
      </c>
      <c r="J255" s="72" t="str">
        <f>VLOOKUP(G255,[1]ListLoaded!$E$6:$I$537,5,0)</f>
        <v>40HC</v>
      </c>
      <c r="K255" s="140">
        <f>VLOOKUP(G255,[1]ListLoaded!$E$6:$L$537,8,0)</f>
        <v>9.51</v>
      </c>
      <c r="L255" s="83" t="str">
        <f>VLOOKUP(G255,[1]ListLoaded!$E$6:$S$645,15,0)</f>
        <v>12228</v>
      </c>
      <c r="M255" s="86" t="str">
        <f>VLOOKUP(G255,[1]ListLoaded!$E$6:$T$674,16,0)</f>
        <v>VAI</v>
      </c>
      <c r="N255" s="86">
        <f>VLOOKUP(G255,[1]ListLoaded!$E$6:$N$545,10,0)</f>
        <v>0</v>
      </c>
      <c r="O255" s="72"/>
      <c r="P255" s="72">
        <f>VLOOKUP(G255,[1]ListLoaded!$E$6:$O$638,11,0)</f>
        <v>0</v>
      </c>
      <c r="Q255" s="84" t="str">
        <f t="shared" si="34"/>
        <v>F40HC</v>
      </c>
      <c r="R255" s="84" t="str">
        <f>VLOOKUP(G255,[1]ListLoaded!$E$6:$P$604,12,0)</f>
        <v>HAC260519108</v>
      </c>
      <c r="S255" s="15" t="s">
        <v>615</v>
      </c>
      <c r="T255" s="84"/>
      <c r="U255" s="84"/>
      <c r="V255" s="84"/>
      <c r="X255" s="8"/>
      <c r="Y255" s="9"/>
      <c r="Z255" s="8"/>
      <c r="AA255" s="8"/>
      <c r="AB255" s="8"/>
      <c r="AC255" s="8"/>
      <c r="AD255" s="8"/>
      <c r="AE255" s="8"/>
      <c r="AF255" s="8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1"/>
      <c r="BD255" s="1"/>
      <c r="BE255" s="1"/>
    </row>
    <row r="256" spans="1:60" s="16" customFormat="1" ht="24.75" customHeight="1">
      <c r="A256" s="23">
        <v>246</v>
      </c>
      <c r="B256" s="24" t="s">
        <v>50</v>
      </c>
      <c r="C256" s="24" t="s">
        <v>1489</v>
      </c>
      <c r="D256" s="24" t="s">
        <v>57</v>
      </c>
      <c r="E256" s="74" t="s">
        <v>52</v>
      </c>
      <c r="F256" s="24" t="s">
        <v>52</v>
      </c>
      <c r="G256" s="83" t="s">
        <v>917</v>
      </c>
      <c r="H256" s="83" t="str">
        <f>VLOOKUP(G256,[1]ListLoaded!$E$6:$F$544,2,0)</f>
        <v>220384</v>
      </c>
      <c r="I256" s="72" t="str">
        <f>VLOOKUP(G256,[1]ListLoaded!$E$6:$M$550,9,0)</f>
        <v>F</v>
      </c>
      <c r="J256" s="72" t="str">
        <f>VLOOKUP(G256,[1]ListLoaded!$E$6:$I$537,5,0)</f>
        <v>40HC</v>
      </c>
      <c r="K256" s="140">
        <f>VLOOKUP(G256,[1]ListLoaded!$E$6:$L$537,8,0)</f>
        <v>11.38</v>
      </c>
      <c r="L256" s="83" t="str">
        <f>VLOOKUP(G256,[1]ListLoaded!$E$6:$S$645,15,0)</f>
        <v>12227</v>
      </c>
      <c r="M256" s="86" t="str">
        <f>VLOOKUP(G256,[1]ListLoaded!$E$6:$T$674,16,0)</f>
        <v>VAI</v>
      </c>
      <c r="N256" s="86">
        <f>VLOOKUP(G256,[1]ListLoaded!$E$6:$N$545,10,0)</f>
        <v>0</v>
      </c>
      <c r="O256" s="72"/>
      <c r="P256" s="72">
        <f>VLOOKUP(G256,[1]ListLoaded!$E$6:$O$638,11,0)</f>
        <v>0</v>
      </c>
      <c r="Q256" s="84" t="str">
        <f t="shared" si="34"/>
        <v>F40HC</v>
      </c>
      <c r="R256" s="84" t="str">
        <f>VLOOKUP(G256,[1]ListLoaded!$E$6:$P$604,12,0)</f>
        <v>HAC260519108</v>
      </c>
      <c r="S256" s="15" t="s">
        <v>615</v>
      </c>
      <c r="T256" s="84" t="s">
        <v>970</v>
      </c>
      <c r="U256" s="84"/>
      <c r="V256" s="84" t="s">
        <v>644</v>
      </c>
      <c r="X256" s="8"/>
      <c r="Y256" s="9"/>
      <c r="Z256" s="8"/>
      <c r="AA256" s="8"/>
      <c r="AB256" s="8"/>
      <c r="AC256" s="8"/>
      <c r="AD256" s="8"/>
      <c r="AE256" s="8"/>
      <c r="AF256" s="8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1"/>
      <c r="BD256" s="1"/>
      <c r="BE256" s="1"/>
    </row>
    <row r="257" spans="1:57" s="16" customFormat="1" ht="24.75" customHeight="1">
      <c r="A257" s="23">
        <v>247</v>
      </c>
      <c r="B257" s="24" t="s">
        <v>50</v>
      </c>
      <c r="C257" s="24" t="s">
        <v>1489</v>
      </c>
      <c r="D257" s="24" t="s">
        <v>57</v>
      </c>
      <c r="E257" s="74" t="s">
        <v>52</v>
      </c>
      <c r="F257" s="24" t="s">
        <v>52</v>
      </c>
      <c r="G257" s="83" t="s">
        <v>918</v>
      </c>
      <c r="H257" s="83" t="str">
        <f>VLOOKUP(G257,[1]ListLoaded!$E$6:$F$544,2,0)</f>
        <v>100386</v>
      </c>
      <c r="I257" s="72" t="str">
        <f>VLOOKUP(G257,[1]ListLoaded!$E$6:$M$550,9,0)</f>
        <v>F</v>
      </c>
      <c r="J257" s="72" t="str">
        <f>VLOOKUP(G257,[1]ListLoaded!$E$6:$I$537,5,0)</f>
        <v>40HC</v>
      </c>
      <c r="K257" s="140">
        <f>VLOOKUP(G257,[1]ListLoaded!$E$6:$L$537,8,0)</f>
        <v>11.79</v>
      </c>
      <c r="L257" s="83" t="str">
        <f>VLOOKUP(G257,[1]ListLoaded!$E$6:$S$645,15,0)</f>
        <v>1106593</v>
      </c>
      <c r="M257" s="86" t="str">
        <f>VLOOKUP(G257,[1]ListLoaded!$E$6:$T$674,16,0)</f>
        <v>VAI</v>
      </c>
      <c r="N257" s="86">
        <f>VLOOKUP(G257,[1]ListLoaded!$E$6:$N$545,10,0)</f>
        <v>0</v>
      </c>
      <c r="O257" s="72"/>
      <c r="P257" s="72">
        <f>VLOOKUP(G257,[1]ListLoaded!$E$6:$O$638,11,0)</f>
        <v>0</v>
      </c>
      <c r="Q257" s="84" t="str">
        <f t="shared" si="34"/>
        <v>F40HC</v>
      </c>
      <c r="R257" s="84" t="str">
        <f>VLOOKUP(G257,[1]ListLoaded!$E$6:$P$604,12,0)</f>
        <v>HAC260519108</v>
      </c>
      <c r="S257" s="15" t="s">
        <v>615</v>
      </c>
      <c r="T257" s="84" t="s">
        <v>970</v>
      </c>
      <c r="U257" s="84"/>
      <c r="V257" s="84" t="s">
        <v>644</v>
      </c>
      <c r="X257" s="8"/>
      <c r="Y257" s="9"/>
      <c r="Z257" s="8"/>
      <c r="AA257" s="8"/>
      <c r="AB257" s="8"/>
      <c r="AC257" s="8"/>
      <c r="AD257" s="8"/>
      <c r="AE257" s="8"/>
      <c r="AF257" s="8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1"/>
      <c r="BD257" s="1"/>
      <c r="BE257" s="1"/>
    </row>
    <row r="258" spans="1:57" s="16" customFormat="1" ht="24.75" customHeight="1">
      <c r="A258" s="23">
        <v>248</v>
      </c>
      <c r="B258" s="24" t="s">
        <v>50</v>
      </c>
      <c r="C258" s="24" t="s">
        <v>1489</v>
      </c>
      <c r="D258" s="24" t="s">
        <v>57</v>
      </c>
      <c r="E258" s="74" t="s">
        <v>1488</v>
      </c>
      <c r="F258" s="24" t="s">
        <v>52</v>
      </c>
      <c r="G258" s="83" t="s">
        <v>919</v>
      </c>
      <c r="H258" s="83" t="str">
        <f>VLOOKUP(G258,[1]ListLoaded!$E$6:$F$544,2,0)</f>
        <v>180182</v>
      </c>
      <c r="I258" s="72" t="str">
        <f>VLOOKUP(G258,[1]ListLoaded!$E$6:$M$550,9,0)</f>
        <v>F</v>
      </c>
      <c r="J258" s="72" t="s">
        <v>38</v>
      </c>
      <c r="K258" s="140">
        <f>VLOOKUP(G258,[1]ListLoaded!$E$6:$L$537,8,0)</f>
        <v>33.659999999999997</v>
      </c>
      <c r="L258" s="83" t="str">
        <f>VLOOKUP(G258,[1]ListLoaded!$E$6:$S$645,15,0)</f>
        <v>00303</v>
      </c>
      <c r="M258" s="86" t="str">
        <f>VLOOKUP(G258,[1]ListLoaded!$E$6:$T$674,16,0)</f>
        <v>CA</v>
      </c>
      <c r="N258" s="86" t="str">
        <f>VLOOKUP(G258,[1]ListLoaded!$E$6:$N$545,10,0)</f>
        <v>-18C</v>
      </c>
      <c r="O258" s="72" t="s">
        <v>532</v>
      </c>
      <c r="P258" s="72">
        <f>VLOOKUP(G258,[1]ListLoaded!$E$6:$O$638,11,0)</f>
        <v>0</v>
      </c>
      <c r="Q258" s="84" t="str">
        <f t="shared" si="34"/>
        <v>F40RF</v>
      </c>
      <c r="R258" s="84" t="str">
        <f>VLOOKUP(G258,[1]ListLoaded!$E$6:$P$604,12,0)</f>
        <v>HAC260519090</v>
      </c>
      <c r="S258" s="15" t="s">
        <v>615</v>
      </c>
      <c r="T258" s="84" t="s">
        <v>971</v>
      </c>
      <c r="U258" s="84"/>
      <c r="V258" s="84" t="s">
        <v>645</v>
      </c>
      <c r="X258" s="8"/>
      <c r="Y258" s="9"/>
      <c r="Z258" s="8"/>
      <c r="AA258" s="8"/>
      <c r="AB258" s="8"/>
      <c r="AC258" s="8"/>
      <c r="AD258" s="8"/>
      <c r="AE258" s="8"/>
      <c r="AF258" s="8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1"/>
      <c r="BD258" s="1"/>
      <c r="BE258" s="1"/>
    </row>
    <row r="259" spans="1:57" s="16" customFormat="1" ht="24.75" customHeight="1">
      <c r="A259" s="23">
        <v>249</v>
      </c>
      <c r="B259" s="24" t="s">
        <v>50</v>
      </c>
      <c r="C259" s="24" t="s">
        <v>1489</v>
      </c>
      <c r="D259" s="24" t="s">
        <v>83</v>
      </c>
      <c r="E259" s="74" t="s">
        <v>52</v>
      </c>
      <c r="F259" s="24" t="s">
        <v>52</v>
      </c>
      <c r="G259" s="83" t="s">
        <v>1241</v>
      </c>
      <c r="H259" s="83" t="s">
        <v>1438</v>
      </c>
      <c r="I259" s="72" t="s">
        <v>116</v>
      </c>
      <c r="J259" s="72" t="s">
        <v>37</v>
      </c>
      <c r="K259" s="140">
        <v>29.92</v>
      </c>
      <c r="L259" s="83" t="s">
        <v>1439</v>
      </c>
      <c r="M259" s="86" t="s">
        <v>613</v>
      </c>
      <c r="N259" s="86">
        <v>0</v>
      </c>
      <c r="O259" s="72"/>
      <c r="P259" s="72">
        <v>0</v>
      </c>
      <c r="Q259" s="84" t="str">
        <f t="shared" si="34"/>
        <v>F40HC</v>
      </c>
      <c r="R259" s="84" t="s">
        <v>1428</v>
      </c>
      <c r="S259" s="15" t="s">
        <v>1429</v>
      </c>
      <c r="T259" s="84"/>
      <c r="U259" s="84"/>
      <c r="V259" s="84"/>
      <c r="X259" s="8"/>
      <c r="Y259" s="9"/>
      <c r="Z259" s="8"/>
      <c r="AA259" s="8"/>
      <c r="AB259" s="8"/>
      <c r="AC259" s="8"/>
      <c r="AD259" s="8"/>
      <c r="AE259" s="8"/>
      <c r="AF259" s="8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1"/>
      <c r="BD259" s="1"/>
      <c r="BE259" s="1"/>
    </row>
    <row r="260" spans="1:57" s="16" customFormat="1" ht="24.75" customHeight="1">
      <c r="A260" s="23">
        <v>250</v>
      </c>
      <c r="B260" s="24" t="s">
        <v>50</v>
      </c>
      <c r="C260" s="24" t="s">
        <v>1489</v>
      </c>
      <c r="D260" s="24" t="s">
        <v>83</v>
      </c>
      <c r="E260" s="74" t="s">
        <v>52</v>
      </c>
      <c r="F260" s="24" t="s">
        <v>52</v>
      </c>
      <c r="G260" s="83" t="s">
        <v>1242</v>
      </c>
      <c r="H260" s="83" t="s">
        <v>1440</v>
      </c>
      <c r="I260" s="72" t="s">
        <v>116</v>
      </c>
      <c r="J260" s="72" t="s">
        <v>37</v>
      </c>
      <c r="K260" s="140">
        <v>30.16</v>
      </c>
      <c r="L260" s="83" t="s">
        <v>1441</v>
      </c>
      <c r="M260" s="86" t="s">
        <v>613</v>
      </c>
      <c r="N260" s="86">
        <v>0</v>
      </c>
      <c r="O260" s="72"/>
      <c r="P260" s="72">
        <v>0</v>
      </c>
      <c r="Q260" s="84" t="str">
        <f t="shared" si="34"/>
        <v>F40HC</v>
      </c>
      <c r="R260" s="84" t="s">
        <v>1428</v>
      </c>
      <c r="S260" s="15" t="s">
        <v>1429</v>
      </c>
      <c r="T260" s="84"/>
      <c r="U260" s="84"/>
      <c r="V260" s="84"/>
      <c r="X260" s="8"/>
      <c r="Y260" s="9"/>
      <c r="Z260" s="8"/>
      <c r="AA260" s="8"/>
      <c r="AB260" s="8"/>
      <c r="AC260" s="8"/>
      <c r="AD260" s="8"/>
      <c r="AE260" s="8"/>
      <c r="AF260" s="8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1"/>
      <c r="BD260" s="1"/>
      <c r="BE260" s="1"/>
    </row>
    <row r="261" spans="1:57" s="16" customFormat="1" ht="24.75" customHeight="1">
      <c r="A261" s="23">
        <v>251</v>
      </c>
      <c r="B261" s="24" t="s">
        <v>50</v>
      </c>
      <c r="C261" s="24" t="s">
        <v>1489</v>
      </c>
      <c r="D261" s="24" t="s">
        <v>83</v>
      </c>
      <c r="E261" s="74" t="s">
        <v>52</v>
      </c>
      <c r="F261" s="24" t="s">
        <v>52</v>
      </c>
      <c r="G261" s="83" t="s">
        <v>1243</v>
      </c>
      <c r="H261" s="83" t="s">
        <v>1426</v>
      </c>
      <c r="I261" s="72" t="s">
        <v>116</v>
      </c>
      <c r="J261" s="72" t="s">
        <v>37</v>
      </c>
      <c r="K261" s="140">
        <v>28.46</v>
      </c>
      <c r="L261" s="83" t="s">
        <v>1427</v>
      </c>
      <c r="M261" s="86" t="s">
        <v>613</v>
      </c>
      <c r="N261" s="86">
        <v>0</v>
      </c>
      <c r="O261" s="72"/>
      <c r="P261" s="72">
        <v>0</v>
      </c>
      <c r="Q261" s="84" t="str">
        <f t="shared" si="34"/>
        <v>F40HC</v>
      </c>
      <c r="R261" s="84" t="s">
        <v>1428</v>
      </c>
      <c r="S261" s="15" t="s">
        <v>1429</v>
      </c>
      <c r="T261" s="84"/>
      <c r="U261" s="84"/>
      <c r="V261" s="84"/>
      <c r="X261" s="8"/>
      <c r="Y261" s="9"/>
      <c r="Z261" s="8"/>
      <c r="AA261" s="8"/>
      <c r="AB261" s="8"/>
      <c r="AC261" s="8"/>
      <c r="AD261" s="8"/>
      <c r="AE261" s="8"/>
      <c r="AF261" s="8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 s="16" customFormat="1" ht="24.75" customHeight="1">
      <c r="A262" s="23">
        <v>252</v>
      </c>
      <c r="B262" s="24" t="s">
        <v>50</v>
      </c>
      <c r="C262" s="24" t="s">
        <v>1489</v>
      </c>
      <c r="D262" s="24" t="s">
        <v>83</v>
      </c>
      <c r="E262" s="74" t="s">
        <v>52</v>
      </c>
      <c r="F262" s="24" t="s">
        <v>52</v>
      </c>
      <c r="G262" s="83" t="s">
        <v>1244</v>
      </c>
      <c r="H262" s="83" t="s">
        <v>1430</v>
      </c>
      <c r="I262" s="72" t="s">
        <v>116</v>
      </c>
      <c r="J262" s="72" t="s">
        <v>37</v>
      </c>
      <c r="K262" s="140">
        <v>29.81</v>
      </c>
      <c r="L262" s="83" t="s">
        <v>1431</v>
      </c>
      <c r="M262" s="86" t="s">
        <v>613</v>
      </c>
      <c r="N262" s="86">
        <v>0</v>
      </c>
      <c r="O262" s="72"/>
      <c r="P262" s="72">
        <v>0</v>
      </c>
      <c r="Q262" s="84" t="str">
        <f t="shared" si="34"/>
        <v>F40HC</v>
      </c>
      <c r="R262" s="84" t="s">
        <v>1428</v>
      </c>
      <c r="S262" s="15" t="s">
        <v>1429</v>
      </c>
      <c r="T262" s="84"/>
      <c r="U262" s="84"/>
      <c r="V262" s="84"/>
      <c r="X262" s="8"/>
      <c r="Y262" s="9"/>
      <c r="Z262" s="8"/>
      <c r="AA262" s="8"/>
      <c r="AB262" s="8"/>
      <c r="AC262" s="8"/>
      <c r="AD262" s="8"/>
      <c r="AE262" s="8"/>
      <c r="AF262" s="8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 s="16" customFormat="1" ht="24.75" customHeight="1">
      <c r="A263" s="23">
        <v>253</v>
      </c>
      <c r="B263" s="24" t="s">
        <v>50</v>
      </c>
      <c r="C263" s="24" t="s">
        <v>1489</v>
      </c>
      <c r="D263" s="24" t="s">
        <v>83</v>
      </c>
      <c r="E263" s="74" t="s">
        <v>52</v>
      </c>
      <c r="F263" s="24" t="s">
        <v>52</v>
      </c>
      <c r="G263" s="83" t="s">
        <v>1245</v>
      </c>
      <c r="H263" s="83" t="s">
        <v>1432</v>
      </c>
      <c r="I263" s="72" t="s">
        <v>116</v>
      </c>
      <c r="J263" s="72" t="s">
        <v>37</v>
      </c>
      <c r="K263" s="140">
        <v>28.08</v>
      </c>
      <c r="L263" s="83" t="s">
        <v>1433</v>
      </c>
      <c r="M263" s="86" t="s">
        <v>613</v>
      </c>
      <c r="N263" s="86">
        <v>0</v>
      </c>
      <c r="O263" s="72"/>
      <c r="P263" s="72">
        <v>0</v>
      </c>
      <c r="Q263" s="84" t="str">
        <f t="shared" si="34"/>
        <v>F40HC</v>
      </c>
      <c r="R263" s="84" t="s">
        <v>1428</v>
      </c>
      <c r="S263" s="15" t="s">
        <v>1429</v>
      </c>
      <c r="T263" s="84"/>
      <c r="U263" s="84"/>
      <c r="V263" s="84"/>
      <c r="X263" s="8"/>
      <c r="Y263" s="9"/>
      <c r="Z263" s="8"/>
      <c r="AA263" s="8"/>
      <c r="AB263" s="8"/>
      <c r="AC263" s="8"/>
      <c r="AD263" s="8"/>
      <c r="AE263" s="8"/>
      <c r="AF263" s="8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 s="16" customFormat="1" ht="24.75" customHeight="1">
      <c r="A264" s="23">
        <v>254</v>
      </c>
      <c r="B264" s="24" t="s">
        <v>50</v>
      </c>
      <c r="C264" s="24" t="s">
        <v>1489</v>
      </c>
      <c r="D264" s="24" t="s">
        <v>83</v>
      </c>
      <c r="E264" s="74" t="s">
        <v>52</v>
      </c>
      <c r="F264" s="24" t="s">
        <v>52</v>
      </c>
      <c r="G264" s="83" t="s">
        <v>1246</v>
      </c>
      <c r="H264" s="83" t="s">
        <v>1434</v>
      </c>
      <c r="I264" s="72" t="s">
        <v>116</v>
      </c>
      <c r="J264" s="72" t="s">
        <v>37</v>
      </c>
      <c r="K264" s="140">
        <v>28.26</v>
      </c>
      <c r="L264" s="83" t="s">
        <v>1435</v>
      </c>
      <c r="M264" s="86" t="s">
        <v>613</v>
      </c>
      <c r="N264" s="86">
        <v>0</v>
      </c>
      <c r="O264" s="72"/>
      <c r="P264" s="72">
        <v>0</v>
      </c>
      <c r="Q264" s="84" t="str">
        <f t="shared" si="34"/>
        <v>F40HC</v>
      </c>
      <c r="R264" s="84" t="s">
        <v>1428</v>
      </c>
      <c r="S264" s="15" t="s">
        <v>1429</v>
      </c>
      <c r="T264" s="84"/>
      <c r="U264" s="84"/>
      <c r="V264" s="84"/>
      <c r="X264" s="8"/>
      <c r="Y264" s="9"/>
      <c r="Z264" s="8"/>
      <c r="AA264" s="8"/>
      <c r="AB264" s="8"/>
      <c r="AC264" s="8"/>
      <c r="AD264" s="8"/>
      <c r="AE264" s="8"/>
      <c r="AF264" s="8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 s="16" customFormat="1" ht="24.75" customHeight="1">
      <c r="A265" s="23">
        <v>255</v>
      </c>
      <c r="B265" s="24" t="s">
        <v>50</v>
      </c>
      <c r="C265" s="24" t="s">
        <v>1489</v>
      </c>
      <c r="D265" s="24" t="s">
        <v>83</v>
      </c>
      <c r="E265" s="74" t="s">
        <v>52</v>
      </c>
      <c r="F265" s="24" t="s">
        <v>52</v>
      </c>
      <c r="G265" s="83" t="s">
        <v>1247</v>
      </c>
      <c r="H265" s="83" t="s">
        <v>1436</v>
      </c>
      <c r="I265" s="72" t="s">
        <v>116</v>
      </c>
      <c r="J265" s="72" t="s">
        <v>37</v>
      </c>
      <c r="K265" s="140">
        <v>26.26</v>
      </c>
      <c r="L265" s="83" t="s">
        <v>1437</v>
      </c>
      <c r="M265" s="86" t="s">
        <v>613</v>
      </c>
      <c r="N265" s="86">
        <v>0</v>
      </c>
      <c r="O265" s="72"/>
      <c r="P265" s="72">
        <v>0</v>
      </c>
      <c r="Q265" s="84" t="str">
        <f t="shared" si="34"/>
        <v>F40HC</v>
      </c>
      <c r="R265" s="84" t="s">
        <v>1428</v>
      </c>
      <c r="S265" s="15" t="s">
        <v>1429</v>
      </c>
      <c r="T265" s="84"/>
      <c r="U265" s="84"/>
      <c r="V265" s="84"/>
      <c r="X265" s="8"/>
      <c r="Y265" s="9"/>
      <c r="Z265" s="8"/>
      <c r="AA265" s="8"/>
      <c r="AB265" s="8"/>
      <c r="AC265" s="8"/>
      <c r="AD265" s="8"/>
      <c r="AE265" s="8"/>
      <c r="AF265" s="8"/>
    </row>
    <row r="266" spans="1:57" s="16" customFormat="1" ht="24.75" customHeight="1">
      <c r="A266" s="23">
        <v>256</v>
      </c>
      <c r="B266" s="24" t="s">
        <v>50</v>
      </c>
      <c r="C266" s="24" t="s">
        <v>1489</v>
      </c>
      <c r="D266" s="24" t="s">
        <v>57</v>
      </c>
      <c r="E266" s="74" t="s">
        <v>52</v>
      </c>
      <c r="F266" s="24" t="s">
        <v>52</v>
      </c>
      <c r="G266" s="83" t="s">
        <v>920</v>
      </c>
      <c r="H266" s="83" t="str">
        <f>VLOOKUP(G266,[1]ListLoaded!$E$6:$F$544,2,0)</f>
        <v>110508</v>
      </c>
      <c r="I266" s="72" t="str">
        <f>VLOOKUP(G266,[1]ListLoaded!$E$6:$M$550,9,0)</f>
        <v>F</v>
      </c>
      <c r="J266" s="72" t="s">
        <v>31</v>
      </c>
      <c r="K266" s="140">
        <f>VLOOKUP(G266,[1]ListLoaded!$E$6:$L$537,8,0)</f>
        <v>22.88</v>
      </c>
      <c r="L266" s="83" t="str">
        <f>VLOOKUP(G266,[1]ListLoaded!$E$6:$S$645,15,0)</f>
        <v>001889</v>
      </c>
      <c r="M266" s="86" t="str">
        <f>VLOOKUP(G266,[1]ListLoaded!$E$6:$T$674,16,0)</f>
        <v>CAM</v>
      </c>
      <c r="N266" s="86">
        <f>VLOOKUP(G266,[1]ListLoaded!$E$6:$N$545,10,0)</f>
        <v>0</v>
      </c>
      <c r="O266" s="72"/>
      <c r="P266" s="72">
        <f>VLOOKUP(G266,[1]ListLoaded!$E$6:$O$638,11,0)</f>
        <v>0</v>
      </c>
      <c r="Q266" s="84" t="str">
        <f t="shared" si="34"/>
        <v>F20DC</v>
      </c>
      <c r="R266" s="84" t="str">
        <f>VLOOKUP(G266,[1]ListLoaded!$E$6:$P$604,12,0)</f>
        <v>HAC260519106</v>
      </c>
      <c r="S266" s="15" t="s">
        <v>616</v>
      </c>
      <c r="T266" s="84"/>
      <c r="U266" s="84"/>
      <c r="V266" s="84"/>
      <c r="X266" s="8"/>
      <c r="Y266" s="9"/>
      <c r="Z266" s="8"/>
      <c r="AA266" s="8"/>
      <c r="AB266" s="8"/>
      <c r="AC266" s="8"/>
      <c r="AD266" s="8"/>
      <c r="AE266" s="8"/>
      <c r="AF266" s="8"/>
    </row>
    <row r="267" spans="1:57" s="16" customFormat="1" ht="24.75" customHeight="1">
      <c r="A267" s="23">
        <v>257</v>
      </c>
      <c r="B267" s="24" t="s">
        <v>50</v>
      </c>
      <c r="C267" s="24" t="s">
        <v>1489</v>
      </c>
      <c r="D267" s="24" t="s">
        <v>57</v>
      </c>
      <c r="E267" s="74" t="s">
        <v>52</v>
      </c>
      <c r="F267" s="24" t="s">
        <v>52</v>
      </c>
      <c r="G267" s="83" t="s">
        <v>921</v>
      </c>
      <c r="H267" s="83" t="str">
        <f>VLOOKUP(G267,[1]ListLoaded!$E$6:$F$544,2,0)</f>
        <v>090608</v>
      </c>
      <c r="I267" s="72" t="str">
        <f>VLOOKUP(G267,[1]ListLoaded!$E$6:$M$550,9,0)</f>
        <v>F</v>
      </c>
      <c r="J267" s="72" t="s">
        <v>31</v>
      </c>
      <c r="K267" s="140">
        <f>VLOOKUP(G267,[1]ListLoaded!$E$6:$L$537,8,0)</f>
        <v>22.25</v>
      </c>
      <c r="L267" s="83" t="str">
        <f>VLOOKUP(G267,[1]ListLoaded!$E$6:$S$645,15,0)</f>
        <v>001800</v>
      </c>
      <c r="M267" s="86" t="str">
        <f>VLOOKUP(G267,[1]ListLoaded!$E$6:$T$674,16,0)</f>
        <v>THUC AN</v>
      </c>
      <c r="N267" s="86">
        <f>VLOOKUP(G267,[1]ListLoaded!$E$6:$N$545,10,0)</f>
        <v>0</v>
      </c>
      <c r="O267" s="72"/>
      <c r="P267" s="72">
        <f>VLOOKUP(G267,[1]ListLoaded!$E$6:$O$638,11,0)</f>
        <v>0</v>
      </c>
      <c r="Q267" s="84" t="str">
        <f t="shared" si="34"/>
        <v>F20DC</v>
      </c>
      <c r="R267" s="84" t="str">
        <f>VLOOKUP(G267,[1]ListLoaded!$E$6:$P$604,12,0)</f>
        <v>HAC260519106</v>
      </c>
      <c r="S267" s="15" t="s">
        <v>616</v>
      </c>
      <c r="T267" s="84"/>
      <c r="U267" s="84"/>
      <c r="V267" s="84"/>
      <c r="X267" s="8"/>
      <c r="Y267" s="9"/>
      <c r="Z267" s="8"/>
      <c r="AA267" s="8"/>
      <c r="AB267" s="8"/>
      <c r="AC267" s="8"/>
      <c r="AD267" s="8"/>
      <c r="AE267" s="8"/>
      <c r="AF267" s="8"/>
    </row>
    <row r="268" spans="1:57" s="16" customFormat="1" ht="24.75" customHeight="1">
      <c r="A268" s="23">
        <v>258</v>
      </c>
      <c r="B268" s="24" t="s">
        <v>50</v>
      </c>
      <c r="C268" s="24" t="s">
        <v>1489</v>
      </c>
      <c r="D268" s="24" t="s">
        <v>57</v>
      </c>
      <c r="E268" s="74" t="s">
        <v>52</v>
      </c>
      <c r="F268" s="24" t="s">
        <v>52</v>
      </c>
      <c r="G268" s="83" t="s">
        <v>922</v>
      </c>
      <c r="H268" s="83" t="str">
        <f>VLOOKUP(G268,[1]ListLoaded!$E$6:$F$544,2,0)</f>
        <v>180508</v>
      </c>
      <c r="I268" s="72" t="str">
        <f>VLOOKUP(G268,[1]ListLoaded!$E$6:$M$550,9,0)</f>
        <v>F</v>
      </c>
      <c r="J268" s="72" t="str">
        <f>VLOOKUP(G268,[1]ListLoaded!$E$6:$I$537,5,0)</f>
        <v>40HC</v>
      </c>
      <c r="K268" s="140">
        <f>VLOOKUP(G268,[1]ListLoaded!$E$6:$L$537,8,0)</f>
        <v>27.07</v>
      </c>
      <c r="L268" s="83" t="str">
        <f>VLOOKUP(G268,[1]ListLoaded!$E$6:$S$645,15,0)</f>
        <v>003882</v>
      </c>
      <c r="M268" s="86" t="str">
        <f>VLOOKUP(G268,[1]ListLoaded!$E$6:$T$674,16,0)</f>
        <v>THUC PHAM</v>
      </c>
      <c r="N268" s="86">
        <f>VLOOKUP(G268,[1]ListLoaded!$E$6:$N$545,10,0)</f>
        <v>0</v>
      </c>
      <c r="O268" s="72"/>
      <c r="P268" s="72">
        <f>VLOOKUP(G268,[1]ListLoaded!$E$6:$O$638,11,0)</f>
        <v>0</v>
      </c>
      <c r="Q268" s="84" t="str">
        <f t="shared" ref="Q268:Q331" si="35">I268&amp;J268</f>
        <v>F40HC</v>
      </c>
      <c r="R268" s="84" t="str">
        <f>VLOOKUP(G268,[1]ListLoaded!$E$6:$P$604,12,0)</f>
        <v>HAC260519106</v>
      </c>
      <c r="S268" s="15" t="s">
        <v>616</v>
      </c>
      <c r="T268" s="84" t="s">
        <v>972</v>
      </c>
      <c r="U268" s="84"/>
      <c r="V268" s="84" t="s">
        <v>647</v>
      </c>
      <c r="X268" s="8"/>
      <c r="Y268" s="9"/>
      <c r="Z268" s="8"/>
      <c r="AA268" s="8"/>
      <c r="AB268" s="8"/>
      <c r="AC268" s="8"/>
      <c r="AD268" s="8"/>
      <c r="AE268" s="8"/>
      <c r="AF268" s="8"/>
    </row>
    <row r="269" spans="1:57" s="16" customFormat="1" ht="24.75" customHeight="1">
      <c r="A269" s="23">
        <v>259</v>
      </c>
      <c r="B269" s="24" t="s">
        <v>50</v>
      </c>
      <c r="C269" s="24" t="s">
        <v>1489</v>
      </c>
      <c r="D269" s="24" t="s">
        <v>57</v>
      </c>
      <c r="E269" s="143" t="s">
        <v>1488</v>
      </c>
      <c r="F269" s="24" t="s">
        <v>52</v>
      </c>
      <c r="G269" s="83" t="s">
        <v>923</v>
      </c>
      <c r="H269" s="83" t="str">
        <f>VLOOKUP(G269,[1]ListLoaded!$E$6:$F$544,2,0)</f>
        <v>100102</v>
      </c>
      <c r="I269" s="72" t="str">
        <f>VLOOKUP(G269,[1]ListLoaded!$E$6:$M$550,9,0)</f>
        <v>F</v>
      </c>
      <c r="J269" s="72" t="str">
        <f>VLOOKUP(G269,[1]ListLoaded!$E$6:$I$537,5,0)</f>
        <v>40HC</v>
      </c>
      <c r="K269" s="140">
        <f>VLOOKUP(G269,[1]ListLoaded!$E$6:$L$537,8,0)</f>
        <v>30.41</v>
      </c>
      <c r="L269" s="83" t="str">
        <f>VLOOKUP(G269,[1]ListLoaded!$E$6:$S$645,15,0)</f>
        <v>56483</v>
      </c>
      <c r="M269" s="86" t="str">
        <f>VLOOKUP(G269,[1]ListLoaded!$E$6:$T$674,16,0)</f>
        <v>PHU TUNG</v>
      </c>
      <c r="N269" s="86">
        <f>VLOOKUP(G269,[1]ListLoaded!$E$6:$N$545,10,0)</f>
        <v>0</v>
      </c>
      <c r="O269" s="72"/>
      <c r="P269" s="72">
        <f>VLOOKUP(G269,[1]ListLoaded!$E$6:$O$638,11,0)</f>
        <v>0</v>
      </c>
      <c r="Q269" s="84" t="str">
        <f t="shared" si="35"/>
        <v>F40HC</v>
      </c>
      <c r="R269" s="84" t="str">
        <f>VLOOKUP(G269,[1]ListLoaded!$E$6:$P$604,12,0)</f>
        <v>HAC260519110</v>
      </c>
      <c r="S269" s="15" t="s">
        <v>616</v>
      </c>
      <c r="T269" s="84" t="s">
        <v>973</v>
      </c>
      <c r="U269" s="84"/>
      <c r="V269" s="84" t="s">
        <v>1011</v>
      </c>
      <c r="X269" s="8"/>
      <c r="Y269" s="9"/>
      <c r="Z269" s="8"/>
      <c r="AA269" s="8"/>
      <c r="AB269" s="8"/>
      <c r="AC269" s="8"/>
      <c r="AD269" s="8"/>
      <c r="AE269" s="8"/>
      <c r="AF269" s="8"/>
    </row>
    <row r="270" spans="1:57" s="16" customFormat="1" ht="24.75" customHeight="1">
      <c r="A270" s="23">
        <v>260</v>
      </c>
      <c r="B270" s="24" t="s">
        <v>50</v>
      </c>
      <c r="C270" s="24" t="s">
        <v>1489</v>
      </c>
      <c r="D270" s="24" t="s">
        <v>57</v>
      </c>
      <c r="E270" s="143" t="s">
        <v>1488</v>
      </c>
      <c r="F270" s="24" t="s">
        <v>52</v>
      </c>
      <c r="G270" s="83" t="s">
        <v>924</v>
      </c>
      <c r="H270" s="83" t="str">
        <f>VLOOKUP(G270,[1]ListLoaded!$E$6:$F$544,2,0)</f>
        <v>060108</v>
      </c>
      <c r="I270" s="72" t="str">
        <f>VLOOKUP(G270,[1]ListLoaded!$E$6:$M$550,9,0)</f>
        <v>F</v>
      </c>
      <c r="J270" s="72" t="str">
        <f>VLOOKUP(G270,[1]ListLoaded!$E$6:$I$537,5,0)</f>
        <v>40HC</v>
      </c>
      <c r="K270" s="140">
        <f>VLOOKUP(G270,[1]ListLoaded!$E$6:$L$537,8,0)</f>
        <v>30.72</v>
      </c>
      <c r="L270" s="83" t="str">
        <f>VLOOKUP(G270,[1]ListLoaded!$E$6:$S$645,15,0)</f>
        <v>57011</v>
      </c>
      <c r="M270" s="86" t="str">
        <f>VLOOKUP(G270,[1]ListLoaded!$E$6:$T$674,16,0)</f>
        <v>PHU TUNG</v>
      </c>
      <c r="N270" s="86">
        <f>VLOOKUP(G270,[1]ListLoaded!$E$6:$N$545,10,0)</f>
        <v>0</v>
      </c>
      <c r="O270" s="72"/>
      <c r="P270" s="72">
        <f>VLOOKUP(G270,[1]ListLoaded!$E$6:$O$638,11,0)</f>
        <v>0</v>
      </c>
      <c r="Q270" s="84" t="str">
        <f t="shared" si="35"/>
        <v>F40HC</v>
      </c>
      <c r="R270" s="84" t="str">
        <f>VLOOKUP(G270,[1]ListLoaded!$E$6:$P$604,12,0)</f>
        <v>HAC260519110</v>
      </c>
      <c r="S270" s="15" t="e">
        <f>I270&amp;J270&amp;#REF!</f>
        <v>#REF!</v>
      </c>
      <c r="T270" s="84" t="s">
        <v>973</v>
      </c>
      <c r="U270" s="84"/>
      <c r="V270" s="84" t="s">
        <v>1011</v>
      </c>
      <c r="X270" s="8"/>
      <c r="Y270" s="9"/>
      <c r="Z270" s="8"/>
      <c r="AA270" s="8"/>
      <c r="AB270" s="8"/>
      <c r="AC270" s="8"/>
      <c r="AD270" s="8"/>
      <c r="AE270" s="8"/>
      <c r="AF270" s="8"/>
    </row>
    <row r="271" spans="1:57" s="16" customFormat="1" ht="24.75" customHeight="1">
      <c r="A271" s="23">
        <v>261</v>
      </c>
      <c r="B271" s="24" t="s">
        <v>50</v>
      </c>
      <c r="C271" s="24" t="s">
        <v>1489</v>
      </c>
      <c r="D271" s="24" t="s">
        <v>57</v>
      </c>
      <c r="E271" s="143" t="s">
        <v>1488</v>
      </c>
      <c r="F271" s="24" t="s">
        <v>52</v>
      </c>
      <c r="G271" s="83" t="s">
        <v>925</v>
      </c>
      <c r="H271" s="83" t="str">
        <f>VLOOKUP(G271,[1]ListLoaded!$E$6:$F$544,2,0)</f>
        <v>100684</v>
      </c>
      <c r="I271" s="72" t="str">
        <f>VLOOKUP(G271,[1]ListLoaded!$E$6:$M$550,9,0)</f>
        <v>F</v>
      </c>
      <c r="J271" s="72" t="str">
        <f>VLOOKUP(G271,[1]ListLoaded!$E$6:$I$537,5,0)</f>
        <v>40HC</v>
      </c>
      <c r="K271" s="140">
        <f>VLOOKUP(G271,[1]ListLoaded!$E$6:$L$537,8,0)</f>
        <v>17.21</v>
      </c>
      <c r="L271" s="83" t="str">
        <f>VLOOKUP(G271,[1]ListLoaded!$E$6:$S$645,15,0)</f>
        <v>56294</v>
      </c>
      <c r="M271" s="86" t="str">
        <f>VLOOKUP(G271,[1]ListLoaded!$E$6:$T$674,16,0)</f>
        <v>THUOC LA</v>
      </c>
      <c r="N271" s="86">
        <f>VLOOKUP(G271,[1]ListLoaded!$E$6:$N$545,10,0)</f>
        <v>0</v>
      </c>
      <c r="O271" s="72"/>
      <c r="P271" s="72">
        <f>VLOOKUP(G271,[1]ListLoaded!$E$6:$O$638,11,0)</f>
        <v>0</v>
      </c>
      <c r="Q271" s="84" t="str">
        <f t="shared" si="35"/>
        <v>F40HC</v>
      </c>
      <c r="R271" s="84" t="str">
        <f>VLOOKUP(G271,[1]ListLoaded!$E$6:$P$604,12,0)</f>
        <v>HAC260519110</v>
      </c>
      <c r="S271" s="15" t="e">
        <f>I271&amp;J271&amp;#REF!</f>
        <v>#REF!</v>
      </c>
      <c r="T271" s="84"/>
      <c r="U271" s="84"/>
      <c r="V271" s="84"/>
      <c r="X271" s="8"/>
      <c r="Y271" s="9"/>
      <c r="Z271" s="8"/>
      <c r="AA271" s="8"/>
      <c r="AB271" s="8"/>
      <c r="AC271" s="8"/>
      <c r="AD271" s="8"/>
      <c r="AE271" s="8"/>
      <c r="AF271" s="8"/>
    </row>
    <row r="272" spans="1:57" s="16" customFormat="1" ht="24.75" customHeight="1">
      <c r="A272" s="23">
        <v>262</v>
      </c>
      <c r="B272" s="24" t="s">
        <v>50</v>
      </c>
      <c r="C272" s="24" t="s">
        <v>1489</v>
      </c>
      <c r="D272" s="24" t="s">
        <v>57</v>
      </c>
      <c r="E272" s="74" t="s">
        <v>52</v>
      </c>
      <c r="F272" s="24" t="s">
        <v>52</v>
      </c>
      <c r="G272" s="83" t="s">
        <v>926</v>
      </c>
      <c r="H272" s="83" t="str">
        <f>VLOOKUP(G272,[1]ListLoaded!$E$6:$F$544,2,0)</f>
        <v>030110</v>
      </c>
      <c r="I272" s="72" t="str">
        <f>VLOOKUP(G272,[1]ListLoaded!$E$6:$M$550,9,0)</f>
        <v>F</v>
      </c>
      <c r="J272" s="72" t="s">
        <v>31</v>
      </c>
      <c r="K272" s="140">
        <f>VLOOKUP(G272,[1]ListLoaded!$E$6:$L$537,8,0)</f>
        <v>24.72</v>
      </c>
      <c r="L272" s="83" t="str">
        <f>VLOOKUP(G272,[1]ListLoaded!$E$6:$S$645,15,0)</f>
        <v>01047</v>
      </c>
      <c r="M272" s="86" t="str">
        <f>VLOOKUP(G272,[1]ListLoaded!$E$6:$T$674,16,0)</f>
        <v>VAI</v>
      </c>
      <c r="N272" s="86">
        <f>VLOOKUP(G272,[1]ListLoaded!$E$6:$N$545,10,0)</f>
        <v>0</v>
      </c>
      <c r="O272" s="72"/>
      <c r="P272" s="72">
        <f>VLOOKUP(G272,[1]ListLoaded!$E$6:$O$638,11,0)</f>
        <v>0</v>
      </c>
      <c r="Q272" s="84" t="str">
        <f t="shared" si="35"/>
        <v>F20DC</v>
      </c>
      <c r="R272" s="84" t="str">
        <f>VLOOKUP(G272,[1]ListLoaded!$E$6:$P$604,12,0)</f>
        <v>HAC260519114</v>
      </c>
      <c r="S272" s="15" t="e">
        <f>I272&amp;J272&amp;#REF!</f>
        <v>#REF!</v>
      </c>
      <c r="T272" s="84" t="s">
        <v>974</v>
      </c>
      <c r="U272" s="84"/>
      <c r="V272" s="84" t="s">
        <v>644</v>
      </c>
      <c r="X272" s="8"/>
      <c r="Y272" s="9"/>
      <c r="Z272" s="8"/>
      <c r="AA272" s="8"/>
      <c r="AB272" s="8"/>
      <c r="AC272" s="8"/>
      <c r="AD272" s="8"/>
      <c r="AE272" s="8"/>
      <c r="AF272" s="8"/>
    </row>
    <row r="273" spans="1:57" s="16" customFormat="1" ht="24.75" customHeight="1">
      <c r="A273" s="23">
        <v>263</v>
      </c>
      <c r="B273" s="24" t="s">
        <v>50</v>
      </c>
      <c r="C273" s="24" t="s">
        <v>1489</v>
      </c>
      <c r="D273" s="24" t="s">
        <v>57</v>
      </c>
      <c r="E273" s="74" t="s">
        <v>52</v>
      </c>
      <c r="F273" s="24" t="s">
        <v>52</v>
      </c>
      <c r="G273" s="83" t="s">
        <v>927</v>
      </c>
      <c r="H273" s="83" t="str">
        <f>VLOOKUP(G273,[1]ListLoaded!$E$6:$F$544,2,0)</f>
        <v>310104</v>
      </c>
      <c r="I273" s="72" t="str">
        <f>VLOOKUP(G273,[1]ListLoaded!$E$6:$M$550,9,0)</f>
        <v>F</v>
      </c>
      <c r="J273" s="72" t="s">
        <v>31</v>
      </c>
      <c r="K273" s="140">
        <f>VLOOKUP(G273,[1]ListLoaded!$E$6:$L$537,8,0)</f>
        <v>30.12</v>
      </c>
      <c r="L273" s="83" t="str">
        <f>VLOOKUP(G273,[1]ListLoaded!$E$6:$S$645,15,0)</f>
        <v>703265</v>
      </c>
      <c r="M273" s="86" t="str">
        <f>VLOOKUP(G273,[1]ListLoaded!$E$6:$T$674,16,0)</f>
        <v>GAO</v>
      </c>
      <c r="N273" s="86">
        <f>VLOOKUP(G273,[1]ListLoaded!$E$6:$N$545,10,0)</f>
        <v>0</v>
      </c>
      <c r="O273" s="72"/>
      <c r="P273" s="72">
        <f>VLOOKUP(G273,[1]ListLoaded!$E$6:$O$638,11,0)</f>
        <v>0</v>
      </c>
      <c r="Q273" s="84" t="str">
        <f t="shared" si="35"/>
        <v>F20DC</v>
      </c>
      <c r="R273" s="84" t="str">
        <f>VLOOKUP(G273,[1]ListLoaded!$E$6:$P$604,12,0)</f>
        <v>HAC260519116</v>
      </c>
      <c r="S273" s="15" t="e">
        <f>I273&amp;J273&amp;#REF!</f>
        <v>#REF!</v>
      </c>
      <c r="T273" s="84"/>
      <c r="U273" s="84"/>
      <c r="V273" s="84"/>
      <c r="X273" s="8"/>
      <c r="Y273" s="9"/>
      <c r="Z273" s="8"/>
      <c r="AA273" s="8"/>
      <c r="AB273" s="8"/>
      <c r="AC273" s="8"/>
      <c r="AD273" s="8"/>
      <c r="AE273" s="8"/>
      <c r="AF273" s="8"/>
    </row>
    <row r="274" spans="1:57" s="16" customFormat="1" ht="24.75" customHeight="1">
      <c r="A274" s="23">
        <v>264</v>
      </c>
      <c r="B274" s="24" t="s">
        <v>50</v>
      </c>
      <c r="C274" s="24" t="s">
        <v>1489</v>
      </c>
      <c r="D274" s="24" t="s">
        <v>83</v>
      </c>
      <c r="E274" s="143" t="s">
        <v>1488</v>
      </c>
      <c r="F274" s="24" t="s">
        <v>52</v>
      </c>
      <c r="G274" s="83" t="s">
        <v>1205</v>
      </c>
      <c r="H274" s="83" t="s">
        <v>1482</v>
      </c>
      <c r="I274" s="72" t="s">
        <v>531</v>
      </c>
      <c r="J274" s="72" t="s">
        <v>37</v>
      </c>
      <c r="K274" s="140">
        <v>3.8</v>
      </c>
      <c r="L274" s="83" t="s">
        <v>69</v>
      </c>
      <c r="M274" s="86" t="s">
        <v>56</v>
      </c>
      <c r="N274" s="86">
        <v>0</v>
      </c>
      <c r="O274" s="72" t="s">
        <v>1232</v>
      </c>
      <c r="P274" s="72">
        <v>0</v>
      </c>
      <c r="Q274" s="84" t="str">
        <f t="shared" si="35"/>
        <v>E40HC</v>
      </c>
      <c r="R274" s="84" t="s">
        <v>1462</v>
      </c>
      <c r="S274" s="15" t="s">
        <v>1463</v>
      </c>
      <c r="T274" s="84"/>
      <c r="U274" s="84"/>
      <c r="V274" s="84"/>
      <c r="X274" s="8"/>
      <c r="Y274" s="9"/>
      <c r="Z274" s="8"/>
      <c r="AA274" s="8"/>
      <c r="AB274" s="8"/>
      <c r="AC274" s="8"/>
      <c r="AD274" s="8"/>
      <c r="AE274" s="8"/>
      <c r="AF274" s="8"/>
    </row>
    <row r="275" spans="1:57" s="16" customFormat="1" ht="24.75" customHeight="1">
      <c r="A275" s="23">
        <v>265</v>
      </c>
      <c r="B275" s="24" t="s">
        <v>50</v>
      </c>
      <c r="C275" s="24" t="s">
        <v>1489</v>
      </c>
      <c r="D275" s="24" t="s">
        <v>57</v>
      </c>
      <c r="E275" s="74" t="s">
        <v>52</v>
      </c>
      <c r="F275" s="24" t="s">
        <v>52</v>
      </c>
      <c r="G275" s="83" t="s">
        <v>928</v>
      </c>
      <c r="H275" s="83" t="str">
        <f>VLOOKUP(G275,[1]ListLoaded!$E$6:$F$544,2,0)</f>
        <v>010210</v>
      </c>
      <c r="I275" s="72" t="str">
        <f>VLOOKUP(G275,[1]ListLoaded!$E$6:$M$550,9,0)</f>
        <v>F</v>
      </c>
      <c r="J275" s="72" t="s">
        <v>31</v>
      </c>
      <c r="K275" s="140">
        <f>VLOOKUP(G275,[1]ListLoaded!$E$6:$L$537,8,0)</f>
        <v>21.11</v>
      </c>
      <c r="L275" s="83" t="str">
        <f>VLOOKUP(G275,[1]ListLoaded!$E$6:$S$645,15,0)</f>
        <v>23464</v>
      </c>
      <c r="M275" s="86" t="str">
        <f>VLOOKUP(G275,[1]ListLoaded!$E$6:$T$674,16,0)</f>
        <v>CAO SU</v>
      </c>
      <c r="N275" s="86">
        <f>VLOOKUP(G275,[1]ListLoaded!$E$6:$N$545,10,0)</f>
        <v>0</v>
      </c>
      <c r="O275" s="72"/>
      <c r="P275" s="72">
        <f>VLOOKUP(G275,[1]ListLoaded!$E$6:$O$638,11,0)</f>
        <v>0</v>
      </c>
      <c r="Q275" s="84" t="str">
        <f t="shared" si="35"/>
        <v>F20DC</v>
      </c>
      <c r="R275" s="84" t="str">
        <f>VLOOKUP(G275,[1]ListLoaded!$E$6:$P$604,12,0)</f>
        <v>HAC260522059</v>
      </c>
      <c r="S275" s="15" t="e">
        <f>I275&amp;J275&amp;#REF!</f>
        <v>#REF!</v>
      </c>
      <c r="T275" s="84" t="s">
        <v>975</v>
      </c>
      <c r="U275" s="84"/>
      <c r="V275" s="84" t="s">
        <v>1012</v>
      </c>
      <c r="X275" s="8"/>
      <c r="Y275" s="9"/>
      <c r="Z275" s="8"/>
      <c r="AA275" s="8"/>
      <c r="AB275" s="8"/>
      <c r="AC275" s="8"/>
      <c r="AD275" s="8"/>
      <c r="AE275" s="8"/>
      <c r="AF275" s="8"/>
    </row>
    <row r="276" spans="1:57" s="16" customFormat="1" ht="24.75" customHeight="1">
      <c r="A276" s="23">
        <v>266</v>
      </c>
      <c r="B276" s="24" t="s">
        <v>50</v>
      </c>
      <c r="C276" s="24" t="s">
        <v>1489</v>
      </c>
      <c r="D276" s="24" t="s">
        <v>57</v>
      </c>
      <c r="E276" s="74" t="s">
        <v>52</v>
      </c>
      <c r="F276" s="24" t="s">
        <v>52</v>
      </c>
      <c r="G276" s="83" t="s">
        <v>929</v>
      </c>
      <c r="H276" s="83" t="str">
        <f>VLOOKUP(G276,[1]ListLoaded!$E$6:$F$544,2,0)</f>
        <v>290106</v>
      </c>
      <c r="I276" s="72" t="str">
        <f>VLOOKUP(G276,[1]ListLoaded!$E$6:$M$550,9,0)</f>
        <v>F</v>
      </c>
      <c r="J276" s="72" t="s">
        <v>31</v>
      </c>
      <c r="K276" s="140">
        <f>VLOOKUP(G276,[1]ListLoaded!$E$6:$L$537,8,0)</f>
        <v>21.92</v>
      </c>
      <c r="L276" s="83" t="str">
        <f>VLOOKUP(G276,[1]ListLoaded!$E$6:$S$645,15,0)</f>
        <v>997588</v>
      </c>
      <c r="M276" s="86" t="str">
        <f>VLOOKUP(G276,[1]ListLoaded!$E$6:$T$674,16,0)</f>
        <v>CAO SU</v>
      </c>
      <c r="N276" s="86">
        <f>VLOOKUP(G276,[1]ListLoaded!$E$6:$N$545,10,0)</f>
        <v>0</v>
      </c>
      <c r="O276" s="72"/>
      <c r="P276" s="72">
        <f>VLOOKUP(G276,[1]ListLoaded!$E$6:$O$638,11,0)</f>
        <v>0</v>
      </c>
      <c r="Q276" s="84" t="str">
        <f t="shared" si="35"/>
        <v>F20DC</v>
      </c>
      <c r="R276" s="84" t="str">
        <f>VLOOKUP(G276,[1]ListLoaded!$E$6:$P$604,12,0)</f>
        <v>HAC260522059</v>
      </c>
      <c r="S276" s="15" t="e">
        <f>I276&amp;J276&amp;#REF!</f>
        <v>#REF!</v>
      </c>
      <c r="T276" s="84" t="s">
        <v>975</v>
      </c>
      <c r="U276" s="84"/>
      <c r="V276" s="84" t="s">
        <v>1012</v>
      </c>
      <c r="X276" s="8"/>
      <c r="Y276" s="9"/>
      <c r="Z276" s="8"/>
      <c r="AA276" s="8"/>
      <c r="AB276" s="8"/>
      <c r="AC276" s="8"/>
      <c r="AD276" s="8"/>
      <c r="AE276" s="8"/>
      <c r="AF276" s="8"/>
    </row>
    <row r="277" spans="1:57" s="16" customFormat="1" ht="24.75" customHeight="1">
      <c r="A277" s="23">
        <v>267</v>
      </c>
      <c r="B277" s="24" t="s">
        <v>50</v>
      </c>
      <c r="C277" s="24" t="s">
        <v>1489</v>
      </c>
      <c r="D277" s="24" t="s">
        <v>83</v>
      </c>
      <c r="E277" s="143" t="s">
        <v>1488</v>
      </c>
      <c r="F277" s="24" t="s">
        <v>52</v>
      </c>
      <c r="G277" s="83" t="s">
        <v>1204</v>
      </c>
      <c r="H277" s="83" t="s">
        <v>1483</v>
      </c>
      <c r="I277" s="72" t="s">
        <v>531</v>
      </c>
      <c r="J277" s="72" t="s">
        <v>37</v>
      </c>
      <c r="K277" s="140">
        <v>3.8</v>
      </c>
      <c r="L277" s="83" t="s">
        <v>69</v>
      </c>
      <c r="M277" s="86" t="s">
        <v>56</v>
      </c>
      <c r="N277" s="86">
        <v>0</v>
      </c>
      <c r="O277" s="72" t="s">
        <v>1232</v>
      </c>
      <c r="P277" s="72">
        <v>0</v>
      </c>
      <c r="Q277" s="84" t="str">
        <f t="shared" si="35"/>
        <v>E40HC</v>
      </c>
      <c r="R277" s="84" t="s">
        <v>1462</v>
      </c>
      <c r="S277" s="15" t="s">
        <v>1463</v>
      </c>
      <c r="T277" s="84"/>
      <c r="U277" s="84"/>
      <c r="V277" s="84"/>
      <c r="X277" s="8"/>
      <c r="Y277" s="9"/>
      <c r="Z277" s="8"/>
      <c r="AA277" s="8"/>
      <c r="AB277" s="8"/>
      <c r="AC277" s="8"/>
      <c r="AD277" s="8"/>
      <c r="AE277" s="8"/>
      <c r="AF277" s="8"/>
    </row>
    <row r="278" spans="1:57" s="16" customFormat="1" ht="24.75" customHeight="1">
      <c r="A278" s="23">
        <v>268</v>
      </c>
      <c r="B278" s="24" t="s">
        <v>50</v>
      </c>
      <c r="C278" s="24" t="s">
        <v>1489</v>
      </c>
      <c r="D278" s="24" t="s">
        <v>57</v>
      </c>
      <c r="E278" s="74" t="s">
        <v>52</v>
      </c>
      <c r="F278" s="24" t="s">
        <v>52</v>
      </c>
      <c r="G278" s="83" t="s">
        <v>930</v>
      </c>
      <c r="H278" s="83" t="str">
        <f>VLOOKUP(G278,[1]ListLoaded!$E$6:$F$544,2,0)</f>
        <v>300384</v>
      </c>
      <c r="I278" s="72" t="str">
        <f>VLOOKUP(G278,[1]ListLoaded!$E$6:$M$550,9,0)</f>
        <v>F</v>
      </c>
      <c r="J278" s="72" t="str">
        <f>VLOOKUP(G278,[1]ListLoaded!$E$6:$I$537,5,0)</f>
        <v>40HC</v>
      </c>
      <c r="K278" s="140">
        <f>VLOOKUP(G278,[1]ListLoaded!$E$6:$L$537,8,0)</f>
        <v>11.81</v>
      </c>
      <c r="L278" s="83" t="str">
        <f>VLOOKUP(G278,[1]ListLoaded!$E$6:$S$645,15,0)</f>
        <v>1104934</v>
      </c>
      <c r="M278" s="86" t="str">
        <f>VLOOKUP(G278,[1]ListLoaded!$E$6:$T$674,16,0)</f>
        <v>BANH KEO</v>
      </c>
      <c r="N278" s="86">
        <f>VLOOKUP(G278,[1]ListLoaded!$E$6:$N$545,10,0)</f>
        <v>0</v>
      </c>
      <c r="O278" s="72"/>
      <c r="P278" s="72">
        <f>VLOOKUP(G278,[1]ListLoaded!$E$6:$O$638,11,0)</f>
        <v>0</v>
      </c>
      <c r="Q278" s="84" t="str">
        <f t="shared" si="35"/>
        <v>F40HC</v>
      </c>
      <c r="R278" s="84" t="str">
        <f>VLOOKUP(G278,[1]ListLoaded!$E$6:$P$604,12,0)</f>
        <v>HAC260519126</v>
      </c>
      <c r="S278" s="15" t="e">
        <f>I278&amp;J278&amp;#REF!</f>
        <v>#REF!</v>
      </c>
      <c r="T278" s="84"/>
      <c r="U278" s="84"/>
      <c r="V278" s="84"/>
      <c r="X278" s="8"/>
      <c r="Y278" s="9"/>
      <c r="Z278" s="8"/>
      <c r="AA278" s="8"/>
      <c r="AB278" s="8"/>
      <c r="AC278" s="8"/>
      <c r="AD278" s="8"/>
      <c r="AE278" s="8"/>
      <c r="AF278" s="8"/>
    </row>
    <row r="279" spans="1:57" s="16" customFormat="1" ht="24.75" customHeight="1">
      <c r="A279" s="23">
        <v>269</v>
      </c>
      <c r="B279" s="24" t="s">
        <v>50</v>
      </c>
      <c r="C279" s="24" t="s">
        <v>1489</v>
      </c>
      <c r="D279" s="24" t="s">
        <v>57</v>
      </c>
      <c r="E279" s="74" t="s">
        <v>52</v>
      </c>
      <c r="F279" s="24" t="s">
        <v>52</v>
      </c>
      <c r="G279" s="83" t="s">
        <v>931</v>
      </c>
      <c r="H279" s="83" t="str">
        <f>VLOOKUP(G279,[1]ListLoaded!$E$6:$F$544,2,0)</f>
        <v>030208</v>
      </c>
      <c r="I279" s="72" t="str">
        <f>VLOOKUP(G279,[1]ListLoaded!$E$6:$M$550,9,0)</f>
        <v>F</v>
      </c>
      <c r="J279" s="72" t="s">
        <v>31</v>
      </c>
      <c r="K279" s="140">
        <f>VLOOKUP(G279,[1]ListLoaded!$E$6:$L$537,8,0)</f>
        <v>23.83</v>
      </c>
      <c r="L279" s="83" t="str">
        <f>VLOOKUP(G279,[1]ListLoaded!$E$6:$S$645,15,0)</f>
        <v>11978</v>
      </c>
      <c r="M279" s="86" t="str">
        <f>VLOOKUP(G279,[1]ListLoaded!$E$6:$T$674,16,0)</f>
        <v>BOT MY</v>
      </c>
      <c r="N279" s="86">
        <f>VLOOKUP(G279,[1]ListLoaded!$E$6:$N$545,10,0)</f>
        <v>0</v>
      </c>
      <c r="O279" s="72"/>
      <c r="P279" s="72">
        <f>VLOOKUP(G279,[1]ListLoaded!$E$6:$O$638,11,0)</f>
        <v>0</v>
      </c>
      <c r="Q279" s="84" t="str">
        <f t="shared" si="35"/>
        <v>F20DC</v>
      </c>
      <c r="R279" s="84" t="str">
        <f>VLOOKUP(G279,[1]ListLoaded!$E$6:$P$604,12,0)</f>
        <v>HAC260523024</v>
      </c>
      <c r="S279" s="15" t="e">
        <f>I279&amp;J279&amp;#REF!</f>
        <v>#REF!</v>
      </c>
      <c r="T279" s="84" t="s">
        <v>976</v>
      </c>
      <c r="U279" s="84"/>
      <c r="V279" s="84" t="s">
        <v>1013</v>
      </c>
      <c r="X279" s="8"/>
      <c r="Y279" s="9"/>
      <c r="Z279" s="8"/>
      <c r="AA279" s="8"/>
      <c r="AB279" s="8"/>
      <c r="AC279" s="8"/>
      <c r="AD279" s="8"/>
      <c r="AE279" s="8"/>
      <c r="AF279" s="8"/>
    </row>
    <row r="280" spans="1:57" s="16" customFormat="1" ht="24.75" customHeight="1">
      <c r="A280" s="23">
        <v>270</v>
      </c>
      <c r="B280" s="24" t="s">
        <v>50</v>
      </c>
      <c r="C280" s="24" t="s">
        <v>1489</v>
      </c>
      <c r="D280" s="24" t="s">
        <v>57</v>
      </c>
      <c r="E280" s="74" t="s">
        <v>52</v>
      </c>
      <c r="F280" s="24" t="s">
        <v>52</v>
      </c>
      <c r="G280" s="83" t="s">
        <v>932</v>
      </c>
      <c r="H280" s="83" t="str">
        <f>VLOOKUP(G280,[1]ListLoaded!$E$6:$F$544,2,0)</f>
        <v>101084</v>
      </c>
      <c r="I280" s="72" t="str">
        <f>VLOOKUP(G280,[1]ListLoaded!$E$6:$M$550,9,0)</f>
        <v>F</v>
      </c>
      <c r="J280" s="72" t="str">
        <f>VLOOKUP(G280,[1]ListLoaded!$E$6:$I$537,5,0)</f>
        <v>40HC</v>
      </c>
      <c r="K280" s="140">
        <f>VLOOKUP(G280,[1]ListLoaded!$E$6:$L$537,8,0)</f>
        <v>21.1</v>
      </c>
      <c r="L280" s="83" t="str">
        <f>VLOOKUP(G280,[1]ListLoaded!$E$6:$S$645,15,0)</f>
        <v>1105670</v>
      </c>
      <c r="M280" s="86" t="str">
        <f>VLOOKUP(G280,[1]ListLoaded!$E$6:$T$674,16,0)</f>
        <v>GAO</v>
      </c>
      <c r="N280" s="86">
        <f>VLOOKUP(G280,[1]ListLoaded!$E$6:$N$545,10,0)</f>
        <v>0</v>
      </c>
      <c r="O280" s="72"/>
      <c r="P280" s="72">
        <f>VLOOKUP(G280,[1]ListLoaded!$E$6:$O$638,11,0)</f>
        <v>0</v>
      </c>
      <c r="Q280" s="84" t="str">
        <f t="shared" si="35"/>
        <v>F40HC</v>
      </c>
      <c r="R280" s="84" t="str">
        <f>VLOOKUP(G280,[1]ListLoaded!$E$6:$P$604,12,0)</f>
        <v>HAC260526057</v>
      </c>
      <c r="S280" s="15" t="e">
        <f>I280&amp;J280&amp;#REF!</f>
        <v>#REF!</v>
      </c>
      <c r="T280" s="84"/>
      <c r="U280" s="84"/>
      <c r="V280" s="84"/>
      <c r="X280" s="8"/>
      <c r="Y280" s="9"/>
      <c r="Z280" s="8"/>
      <c r="AA280" s="8"/>
      <c r="AB280" s="8"/>
      <c r="AC280" s="8"/>
      <c r="AD280" s="8"/>
      <c r="AE280" s="8"/>
      <c r="AF280" s="8"/>
    </row>
    <row r="281" spans="1:57" s="16" customFormat="1" ht="24.75" customHeight="1">
      <c r="A281" s="23">
        <v>271</v>
      </c>
      <c r="B281" s="24" t="s">
        <v>50</v>
      </c>
      <c r="C281" s="24" t="s">
        <v>1489</v>
      </c>
      <c r="D281" s="24" t="s">
        <v>57</v>
      </c>
      <c r="E281" s="74" t="s">
        <v>52</v>
      </c>
      <c r="F281" s="24" t="s">
        <v>52</v>
      </c>
      <c r="G281" s="83" t="s">
        <v>620</v>
      </c>
      <c r="H281" s="83" t="str">
        <f>VLOOKUP(G281,[1]ListLoaded!$E$6:$F$544,2,0)</f>
        <v>030210</v>
      </c>
      <c r="I281" s="72" t="str">
        <f>VLOOKUP(G281,[1]ListLoaded!$E$6:$M$550,9,0)</f>
        <v>F</v>
      </c>
      <c r="J281" s="72" t="s">
        <v>31</v>
      </c>
      <c r="K281" s="140">
        <f>VLOOKUP(G281,[1]ListLoaded!$E$6:$L$537,8,0)</f>
        <v>23.37</v>
      </c>
      <c r="L281" s="83" t="str">
        <f>VLOOKUP(G281,[1]ListLoaded!$E$6:$S$645,15,0)</f>
        <v>23378626</v>
      </c>
      <c r="M281" s="86" t="str">
        <f>VLOOKUP(G281,[1]ListLoaded!$E$6:$T$674,16,0)</f>
        <v>THUC PHAM</v>
      </c>
      <c r="N281" s="86">
        <f>VLOOKUP(G281,[1]ListLoaded!$E$6:$N$545,10,0)</f>
        <v>0</v>
      </c>
      <c r="O281" s="72"/>
      <c r="P281" s="72">
        <f>VLOOKUP(G281,[1]ListLoaded!$E$6:$O$638,11,0)</f>
        <v>0</v>
      </c>
      <c r="Q281" s="84" t="str">
        <f t="shared" si="35"/>
        <v>F20DC</v>
      </c>
      <c r="R281" s="84" t="str">
        <f>VLOOKUP(G281,[1]ListLoaded!$E$6:$P$604,12,0)</f>
        <v>HAC260519126</v>
      </c>
      <c r="S281" s="15" t="e">
        <f>I281&amp;J281&amp;#REF!</f>
        <v>#REF!</v>
      </c>
      <c r="T281" s="84"/>
      <c r="U281" s="84"/>
      <c r="V281" s="84"/>
      <c r="X281" s="8"/>
      <c r="Y281" s="9"/>
      <c r="Z281" s="8"/>
      <c r="AA281" s="8"/>
      <c r="AB281" s="8"/>
      <c r="AC281" s="8"/>
      <c r="AD281" s="8"/>
      <c r="AE281" s="8"/>
      <c r="AF281" s="8"/>
    </row>
    <row r="282" spans="1:57" s="16" customFormat="1" ht="24.75" customHeight="1">
      <c r="A282" s="23">
        <v>272</v>
      </c>
      <c r="B282" s="24" t="s">
        <v>50</v>
      </c>
      <c r="C282" s="24" t="s">
        <v>1489</v>
      </c>
      <c r="D282" s="24" t="s">
        <v>57</v>
      </c>
      <c r="E282" s="74" t="s">
        <v>52</v>
      </c>
      <c r="F282" s="24" t="s">
        <v>52</v>
      </c>
      <c r="G282" s="83" t="s">
        <v>933</v>
      </c>
      <c r="H282" s="83" t="str">
        <f>VLOOKUP(G282,[1]ListLoaded!$E$6:$F$544,2,0)</f>
        <v>221082</v>
      </c>
      <c r="I282" s="72" t="str">
        <f>VLOOKUP(G282,[1]ListLoaded!$E$6:$M$550,9,0)</f>
        <v>F</v>
      </c>
      <c r="J282" s="72" t="str">
        <f>VLOOKUP(G282,[1]ListLoaded!$E$6:$I$537,5,0)</f>
        <v>40HC</v>
      </c>
      <c r="K282" s="140">
        <f>VLOOKUP(G282,[1]ListLoaded!$E$6:$L$537,8,0)</f>
        <v>22.65</v>
      </c>
      <c r="L282" s="83" t="str">
        <f>VLOOKUP(G282,[1]ListLoaded!$E$6:$S$645,15,0)</f>
        <v>1115926</v>
      </c>
      <c r="M282" s="86" t="str">
        <f>VLOOKUP(G282,[1]ListLoaded!$E$6:$T$674,16,0)</f>
        <v>NHOM</v>
      </c>
      <c r="N282" s="86">
        <f>VLOOKUP(G282,[1]ListLoaded!$E$6:$N$545,10,0)</f>
        <v>0</v>
      </c>
      <c r="O282" s="72"/>
      <c r="P282" s="72">
        <f>VLOOKUP(G282,[1]ListLoaded!$E$6:$O$638,11,0)</f>
        <v>0</v>
      </c>
      <c r="Q282" s="84" t="str">
        <f t="shared" si="35"/>
        <v>F40HC</v>
      </c>
      <c r="R282" s="84" t="str">
        <f>VLOOKUP(G282,[1]ListLoaded!$E$6:$P$604,12,0)</f>
        <v>HAC260526055</v>
      </c>
      <c r="S282" s="15" t="e">
        <f>I282&amp;J282&amp;#REF!</f>
        <v>#REF!</v>
      </c>
      <c r="T282" s="84"/>
      <c r="U282" s="84"/>
      <c r="V282" s="84"/>
      <c r="X282" s="8"/>
      <c r="Y282" s="9"/>
      <c r="Z282" s="8"/>
      <c r="AA282" s="8"/>
      <c r="AB282" s="8"/>
      <c r="AC282" s="8"/>
      <c r="AD282" s="8"/>
      <c r="AE282" s="8"/>
      <c r="AF282" s="8"/>
    </row>
    <row r="283" spans="1:57" s="16" customFormat="1" ht="24.75" customHeight="1">
      <c r="A283" s="23">
        <v>273</v>
      </c>
      <c r="B283" s="24" t="s">
        <v>50</v>
      </c>
      <c r="C283" s="24" t="s">
        <v>1489</v>
      </c>
      <c r="D283" s="24" t="s">
        <v>57</v>
      </c>
      <c r="E283" s="74" t="s">
        <v>52</v>
      </c>
      <c r="F283" s="24" t="s">
        <v>52</v>
      </c>
      <c r="G283" s="83" t="s">
        <v>934</v>
      </c>
      <c r="H283" s="83" t="str">
        <f>VLOOKUP(G283,[1]ListLoaded!$E$6:$F$544,2,0)</f>
        <v>180684</v>
      </c>
      <c r="I283" s="72" t="str">
        <f>VLOOKUP(G283,[1]ListLoaded!$E$6:$M$550,9,0)</f>
        <v>F</v>
      </c>
      <c r="J283" s="72" t="str">
        <f>VLOOKUP(G283,[1]ListLoaded!$E$6:$I$537,5,0)</f>
        <v>40HC</v>
      </c>
      <c r="K283" s="140">
        <f>VLOOKUP(G283,[1]ListLoaded!$E$6:$L$537,8,0)</f>
        <v>27.16</v>
      </c>
      <c r="L283" s="83" t="str">
        <f>VLOOKUP(G283,[1]ListLoaded!$E$6:$S$645,15,0)</f>
        <v>1104838</v>
      </c>
      <c r="M283" s="86" t="str">
        <f>VLOOKUP(G283,[1]ListLoaded!$E$6:$T$674,16,0)</f>
        <v>BANH KEO</v>
      </c>
      <c r="N283" s="86">
        <f>VLOOKUP(G283,[1]ListLoaded!$E$6:$N$545,10,0)</f>
        <v>0</v>
      </c>
      <c r="O283" s="72"/>
      <c r="P283" s="72">
        <f>VLOOKUP(G283,[1]ListLoaded!$E$6:$O$638,11,0)</f>
        <v>0</v>
      </c>
      <c r="Q283" s="84" t="str">
        <f t="shared" si="35"/>
        <v>F40HC</v>
      </c>
      <c r="R283" s="84" t="str">
        <f>VLOOKUP(G283,[1]ListLoaded!$E$6:$P$604,12,0)</f>
        <v>HAC260519126</v>
      </c>
      <c r="S283" s="15" t="e">
        <f>I283&amp;J283&amp;#REF!</f>
        <v>#REF!</v>
      </c>
      <c r="T283" s="84"/>
      <c r="U283" s="84"/>
      <c r="V283" s="84"/>
      <c r="X283" s="8"/>
      <c r="Y283" s="9"/>
      <c r="Z283" s="8"/>
      <c r="AA283" s="8"/>
      <c r="AB283" s="8"/>
      <c r="AC283" s="8"/>
      <c r="AD283" s="8"/>
      <c r="AE283" s="8"/>
      <c r="AF283" s="8"/>
    </row>
    <row r="284" spans="1:57" s="16" customFormat="1" ht="24.75" customHeight="1">
      <c r="A284" s="23">
        <v>274</v>
      </c>
      <c r="B284" s="24" t="s">
        <v>50</v>
      </c>
      <c r="C284" s="24" t="s">
        <v>1489</v>
      </c>
      <c r="D284" s="24" t="s">
        <v>57</v>
      </c>
      <c r="E284" s="74" t="s">
        <v>52</v>
      </c>
      <c r="F284" s="24" t="s">
        <v>52</v>
      </c>
      <c r="G284" s="83" t="s">
        <v>935</v>
      </c>
      <c r="H284" s="83" t="str">
        <f>VLOOKUP(G284,[1]ListLoaded!$E$6:$F$544,2,0)</f>
        <v>301084</v>
      </c>
      <c r="I284" s="72" t="str">
        <f>VLOOKUP(G284,[1]ListLoaded!$E$6:$M$550,9,0)</f>
        <v>F</v>
      </c>
      <c r="J284" s="72" t="str">
        <f>VLOOKUP(G284,[1]ListLoaded!$E$6:$I$537,5,0)</f>
        <v>40HC</v>
      </c>
      <c r="K284" s="140">
        <f>VLOOKUP(G284,[1]ListLoaded!$E$6:$L$537,8,0)</f>
        <v>9.26</v>
      </c>
      <c r="L284" s="83" t="str">
        <f>VLOOKUP(G284,[1]ListLoaded!$E$6:$S$645,15,0)</f>
        <v>1106598</v>
      </c>
      <c r="M284" s="86" t="str">
        <f>VLOOKUP(G284,[1]ListLoaded!$E$6:$T$674,16,0)</f>
        <v>VAI</v>
      </c>
      <c r="N284" s="86">
        <f>VLOOKUP(G284,[1]ListLoaded!$E$6:$N$545,10,0)</f>
        <v>0</v>
      </c>
      <c r="O284" s="72"/>
      <c r="P284" s="72">
        <f>VLOOKUP(G284,[1]ListLoaded!$E$6:$O$638,11,0)</f>
        <v>0</v>
      </c>
      <c r="Q284" s="84" t="str">
        <f t="shared" si="35"/>
        <v>F40HC</v>
      </c>
      <c r="R284" s="84" t="str">
        <f>VLOOKUP(G284,[1]ListLoaded!$E$6:$P$604,12,0)</f>
        <v>HAC260519126</v>
      </c>
      <c r="S284" s="15" t="e">
        <f>I284&amp;J284&amp;#REF!</f>
        <v>#REF!</v>
      </c>
      <c r="T284" s="84" t="s">
        <v>977</v>
      </c>
      <c r="U284" s="84"/>
      <c r="V284" s="84" t="s">
        <v>644</v>
      </c>
      <c r="X284" s="8"/>
      <c r="Y284" s="9"/>
      <c r="Z284" s="8"/>
      <c r="AA284" s="8"/>
      <c r="AB284" s="8"/>
      <c r="AC284" s="8"/>
      <c r="AD284" s="8"/>
      <c r="AE284" s="8"/>
      <c r="AF284" s="8"/>
    </row>
    <row r="285" spans="1:57" ht="24.75" customHeight="1">
      <c r="A285" s="23">
        <v>275</v>
      </c>
      <c r="B285" s="24" t="s">
        <v>50</v>
      </c>
      <c r="C285" s="24" t="s">
        <v>1489</v>
      </c>
      <c r="D285" s="24" t="s">
        <v>57</v>
      </c>
      <c r="E285" s="74" t="s">
        <v>52</v>
      </c>
      <c r="F285" s="24" t="s">
        <v>52</v>
      </c>
      <c r="G285" s="83" t="s">
        <v>936</v>
      </c>
      <c r="H285" s="83" t="str">
        <f>VLOOKUP(G285,[1]ListLoaded!$E$6:$F$544,2,0)</f>
        <v>060884</v>
      </c>
      <c r="I285" s="72" t="str">
        <f>VLOOKUP(G285,[1]ListLoaded!$E$6:$M$550,9,0)</f>
        <v>F</v>
      </c>
      <c r="J285" s="72" t="str">
        <f>VLOOKUP(G285,[1]ListLoaded!$E$6:$I$537,5,0)</f>
        <v>40HC</v>
      </c>
      <c r="K285" s="140">
        <f>VLOOKUP(G285,[1]ListLoaded!$E$6:$L$537,8,0)</f>
        <v>12.02</v>
      </c>
      <c r="L285" s="83" t="str">
        <f>VLOOKUP(G285,[1]ListLoaded!$E$6:$S$645,15,0)</f>
        <v>1106594</v>
      </c>
      <c r="M285" s="86" t="str">
        <f>VLOOKUP(G285,[1]ListLoaded!$E$6:$T$674,16,0)</f>
        <v>VAI</v>
      </c>
      <c r="N285" s="86">
        <f>VLOOKUP(G285,[1]ListLoaded!$E$6:$N$545,10,0)</f>
        <v>0</v>
      </c>
      <c r="O285" s="72"/>
      <c r="P285" s="72">
        <f>VLOOKUP(G285,[1]ListLoaded!$E$6:$O$638,11,0)</f>
        <v>0</v>
      </c>
      <c r="Q285" s="84" t="str">
        <f t="shared" si="35"/>
        <v>F40HC</v>
      </c>
      <c r="R285" s="84" t="str">
        <f>VLOOKUP(G285,[1]ListLoaded!$E$6:$P$604,12,0)</f>
        <v>HAC260519126</v>
      </c>
      <c r="T285" s="84"/>
      <c r="U285" s="84"/>
      <c r="V285" s="84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</row>
    <row r="286" spans="1:57" ht="26.45" customHeight="1">
      <c r="A286" s="23">
        <v>276</v>
      </c>
      <c r="B286" s="24" t="s">
        <v>50</v>
      </c>
      <c r="C286" s="24" t="s">
        <v>1489</v>
      </c>
      <c r="D286" s="24" t="s">
        <v>57</v>
      </c>
      <c r="E286" s="74" t="s">
        <v>52</v>
      </c>
      <c r="F286" s="24" t="s">
        <v>52</v>
      </c>
      <c r="G286" s="83" t="s">
        <v>937</v>
      </c>
      <c r="H286" s="83" t="str">
        <f>VLOOKUP(G286,[1]ListLoaded!$E$6:$F$544,2,0)</f>
        <v>220984</v>
      </c>
      <c r="I286" s="72" t="str">
        <f>VLOOKUP(G286,[1]ListLoaded!$E$6:$M$550,9,0)</f>
        <v>F</v>
      </c>
      <c r="J286" s="72" t="str">
        <f>VLOOKUP(G286,[1]ListLoaded!$E$6:$I$537,5,0)</f>
        <v>40HC</v>
      </c>
      <c r="K286" s="140">
        <f>VLOOKUP(G286,[1]ListLoaded!$E$6:$L$537,8,0)</f>
        <v>11.51</v>
      </c>
      <c r="L286" s="83" t="str">
        <f>VLOOKUP(G286,[1]ListLoaded!$E$6:$S$645,15,0)</f>
        <v>1105987</v>
      </c>
      <c r="M286" s="86" t="str">
        <f>VLOOKUP(G286,[1]ListLoaded!$E$6:$T$674,16,0)</f>
        <v>VAI</v>
      </c>
      <c r="N286" s="86">
        <f>VLOOKUP(G286,[1]ListLoaded!$E$6:$N$545,10,0)</f>
        <v>0</v>
      </c>
      <c r="O286" s="72"/>
      <c r="P286" s="72">
        <f>VLOOKUP(G286,[1]ListLoaded!$E$6:$O$638,11,0)</f>
        <v>0</v>
      </c>
      <c r="Q286" s="84" t="str">
        <f t="shared" si="35"/>
        <v>F40HC</v>
      </c>
      <c r="R286" s="84" t="str">
        <f>VLOOKUP(G286,[1]ListLoaded!$E$6:$P$604,12,0)</f>
        <v>HAC260519126</v>
      </c>
      <c r="S286" s="15" t="e">
        <f>I286&amp;J286&amp;#REF!</f>
        <v>#REF!</v>
      </c>
      <c r="T286" s="84"/>
      <c r="U286" s="84"/>
      <c r="V286" s="84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</row>
    <row r="287" spans="1:57" ht="24.75" customHeight="1">
      <c r="A287" s="23">
        <v>277</v>
      </c>
      <c r="B287" s="24" t="s">
        <v>50</v>
      </c>
      <c r="C287" s="24" t="s">
        <v>1489</v>
      </c>
      <c r="D287" s="24" t="s">
        <v>57</v>
      </c>
      <c r="E287" s="74" t="s">
        <v>52</v>
      </c>
      <c r="F287" s="24" t="s">
        <v>52</v>
      </c>
      <c r="G287" s="83" t="s">
        <v>938</v>
      </c>
      <c r="H287" s="83" t="str">
        <f>VLOOKUP(G287,[1]ListLoaded!$E$6:$F$544,2,0)</f>
        <v>101082</v>
      </c>
      <c r="I287" s="72" t="str">
        <f>VLOOKUP(G287,[1]ListLoaded!$E$6:$M$550,9,0)</f>
        <v>F</v>
      </c>
      <c r="J287" s="72" t="str">
        <f>VLOOKUP(G287,[1]ListLoaded!$E$6:$I$537,5,0)</f>
        <v>40HC</v>
      </c>
      <c r="K287" s="140">
        <f>VLOOKUP(G287,[1]ListLoaded!$E$6:$L$537,8,0)</f>
        <v>29.87</v>
      </c>
      <c r="L287" s="83" t="str">
        <f>VLOOKUP(G287,[1]ListLoaded!$E$6:$S$645,15,0)</f>
        <v>1105768</v>
      </c>
      <c r="M287" s="86" t="str">
        <f>VLOOKUP(G287,[1]ListLoaded!$E$6:$T$674,16,0)</f>
        <v>SOI</v>
      </c>
      <c r="N287" s="86">
        <f>VLOOKUP(G287,[1]ListLoaded!$E$6:$N$545,10,0)</f>
        <v>0</v>
      </c>
      <c r="O287" s="72"/>
      <c r="P287" s="72">
        <f>VLOOKUP(G287,[1]ListLoaded!$E$6:$O$638,11,0)</f>
        <v>0</v>
      </c>
      <c r="Q287" s="84" t="str">
        <f t="shared" si="35"/>
        <v>F40HC</v>
      </c>
      <c r="R287" s="84" t="str">
        <f>VLOOKUP(G287,[1]ListLoaded!$E$6:$P$604,12,0)</f>
        <v>HAC260526057</v>
      </c>
      <c r="S287" s="15" t="e">
        <f>I287&amp;J287&amp;#REF!</f>
        <v>#REF!</v>
      </c>
      <c r="T287" s="84" t="s">
        <v>978</v>
      </c>
      <c r="U287" s="84"/>
      <c r="V287" s="84" t="s">
        <v>1014</v>
      </c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</row>
    <row r="288" spans="1:57" ht="24.75" customHeight="1">
      <c r="A288" s="23">
        <v>278</v>
      </c>
      <c r="B288" s="24" t="s">
        <v>50</v>
      </c>
      <c r="C288" s="24" t="s">
        <v>1489</v>
      </c>
      <c r="D288" s="24" t="s">
        <v>57</v>
      </c>
      <c r="E288" s="74" t="s">
        <v>52</v>
      </c>
      <c r="F288" s="24" t="s">
        <v>52</v>
      </c>
      <c r="G288" s="83" t="s">
        <v>939</v>
      </c>
      <c r="H288" s="83" t="str">
        <f>VLOOKUP(G288,[1]ListLoaded!$E$6:$F$544,2,0)</f>
        <v>180808</v>
      </c>
      <c r="I288" s="72" t="str">
        <f>VLOOKUP(G288,[1]ListLoaded!$E$6:$M$550,9,0)</f>
        <v>F</v>
      </c>
      <c r="J288" s="72" t="str">
        <f>VLOOKUP(G288,[1]ListLoaded!$E$6:$I$537,5,0)</f>
        <v>40HC</v>
      </c>
      <c r="K288" s="140">
        <f>VLOOKUP(G288,[1]ListLoaded!$E$6:$L$537,8,0)</f>
        <v>28.81</v>
      </c>
      <c r="L288" s="83" t="str">
        <f>VLOOKUP(G288,[1]ListLoaded!$E$6:$S$645,15,0)</f>
        <v>01088</v>
      </c>
      <c r="M288" s="86" t="str">
        <f>VLOOKUP(G288,[1]ListLoaded!$E$6:$T$674,16,0)</f>
        <v>DAY DONG</v>
      </c>
      <c r="N288" s="86">
        <f>VLOOKUP(G288,[1]ListLoaded!$E$6:$N$545,10,0)</f>
        <v>0</v>
      </c>
      <c r="O288" s="72"/>
      <c r="P288" s="72">
        <f>VLOOKUP(G288,[1]ListLoaded!$E$6:$O$638,11,0)</f>
        <v>0</v>
      </c>
      <c r="Q288" s="84" t="str">
        <f t="shared" si="35"/>
        <v>F40HC</v>
      </c>
      <c r="R288" s="84" t="str">
        <f>VLOOKUP(G288,[1]ListLoaded!$E$6:$P$604,12,0)</f>
        <v>HAC260526057</v>
      </c>
      <c r="S288" s="15" t="e">
        <f>I288&amp;J288&amp;#REF!</f>
        <v>#REF!</v>
      </c>
      <c r="T288" s="84" t="s">
        <v>978</v>
      </c>
      <c r="U288" s="84"/>
      <c r="V288" s="84" t="s">
        <v>1015</v>
      </c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</row>
    <row r="289" spans="1:57" ht="24.75" customHeight="1">
      <c r="A289" s="23">
        <v>279</v>
      </c>
      <c r="B289" s="24" t="s">
        <v>50</v>
      </c>
      <c r="C289" s="24" t="s">
        <v>1489</v>
      </c>
      <c r="D289" s="24" t="s">
        <v>57</v>
      </c>
      <c r="E289" s="74" t="s">
        <v>52</v>
      </c>
      <c r="F289" s="24" t="s">
        <v>52</v>
      </c>
      <c r="G289" s="83" t="s">
        <v>940</v>
      </c>
      <c r="H289" s="83" t="str">
        <f>VLOOKUP(G289,[1]ListLoaded!$E$6:$F$544,2,0)</f>
        <v>100484</v>
      </c>
      <c r="I289" s="72" t="str">
        <f>VLOOKUP(G289,[1]ListLoaded!$E$6:$M$550,9,0)</f>
        <v>F</v>
      </c>
      <c r="J289" s="72" t="str">
        <f>VLOOKUP(G289,[1]ListLoaded!$E$6:$I$537,5,0)</f>
        <v>40HC</v>
      </c>
      <c r="K289" s="140">
        <f>VLOOKUP(G289,[1]ListLoaded!$E$6:$L$537,8,0)</f>
        <v>19.46</v>
      </c>
      <c r="L289" s="83" t="str">
        <f>VLOOKUP(G289,[1]ListLoaded!$E$6:$S$645,15,0)</f>
        <v>1034303</v>
      </c>
      <c r="M289" s="86" t="str">
        <f>VLOOKUP(G289,[1]ListLoaded!$E$6:$T$674,16,0)</f>
        <v>VAI</v>
      </c>
      <c r="N289" s="86">
        <f>VLOOKUP(G289,[1]ListLoaded!$E$6:$N$545,10,0)</f>
        <v>0</v>
      </c>
      <c r="O289" s="72"/>
      <c r="P289" s="72">
        <f>VLOOKUP(G289,[1]ListLoaded!$E$6:$O$638,11,0)</f>
        <v>0</v>
      </c>
      <c r="Q289" s="84" t="str">
        <f t="shared" si="35"/>
        <v>F40HC</v>
      </c>
      <c r="R289" s="84" t="str">
        <f>VLOOKUP(G289,[1]ListLoaded!$E$6:$P$604,12,0)</f>
        <v>HAC260523045</v>
      </c>
      <c r="S289" s="15" t="e">
        <f>I289&amp;J289&amp;#REF!</f>
        <v>#REF!</v>
      </c>
      <c r="T289" s="84"/>
      <c r="U289" s="84"/>
      <c r="V289" s="84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</row>
    <row r="290" spans="1:57" ht="24.75" customHeight="1">
      <c r="A290" s="23">
        <v>280</v>
      </c>
      <c r="B290" s="24" t="s">
        <v>50</v>
      </c>
      <c r="C290" s="24" t="s">
        <v>1489</v>
      </c>
      <c r="D290" s="24" t="s">
        <v>57</v>
      </c>
      <c r="E290" s="74" t="s">
        <v>52</v>
      </c>
      <c r="F290" s="24" t="s">
        <v>52</v>
      </c>
      <c r="G290" s="83" t="s">
        <v>941</v>
      </c>
      <c r="H290" s="83" t="str">
        <f>VLOOKUP(G290,[1]ListLoaded!$E$6:$F$544,2,0)</f>
        <v>100184</v>
      </c>
      <c r="I290" s="72" t="str">
        <f>VLOOKUP(G290,[1]ListLoaded!$E$6:$M$550,9,0)</f>
        <v>F</v>
      </c>
      <c r="J290" s="72" t="str">
        <f>VLOOKUP(G290,[1]ListLoaded!$E$6:$I$537,5,0)</f>
        <v>40HC</v>
      </c>
      <c r="K290" s="140">
        <f>VLOOKUP(G290,[1]ListLoaded!$E$6:$L$537,8,0)</f>
        <v>23.16</v>
      </c>
      <c r="L290" s="83" t="str">
        <f>VLOOKUP(G290,[1]ListLoaded!$E$6:$S$645,15,0)</f>
        <v>1034315</v>
      </c>
      <c r="M290" s="86" t="str">
        <f>VLOOKUP(G290,[1]ListLoaded!$E$6:$T$674,16,0)</f>
        <v>GENERAL CARGO</v>
      </c>
      <c r="N290" s="86">
        <f>VLOOKUP(G290,[1]ListLoaded!$E$6:$N$545,10,0)</f>
        <v>0</v>
      </c>
      <c r="O290" s="72"/>
      <c r="P290" s="72">
        <f>VLOOKUP(G290,[1]ListLoaded!$E$6:$O$638,11,0)</f>
        <v>0</v>
      </c>
      <c r="Q290" s="84" t="str">
        <f t="shared" si="35"/>
        <v>F40HC</v>
      </c>
      <c r="R290" s="84" t="str">
        <f>VLOOKUP(G290,[1]ListLoaded!$E$6:$P$604,12,0)</f>
        <v>HAC260523045</v>
      </c>
      <c r="S290" s="15" t="e">
        <f>I290&amp;J290&amp;#REF!</f>
        <v>#REF!</v>
      </c>
      <c r="T290" s="84" t="s">
        <v>979</v>
      </c>
      <c r="U290" s="84"/>
      <c r="V290" s="84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</row>
    <row r="291" spans="1:57" ht="24.75" customHeight="1">
      <c r="A291" s="23">
        <v>281</v>
      </c>
      <c r="B291" s="24" t="s">
        <v>50</v>
      </c>
      <c r="C291" s="24" t="s">
        <v>1489</v>
      </c>
      <c r="D291" s="24" t="s">
        <v>57</v>
      </c>
      <c r="E291" s="74" t="s">
        <v>52</v>
      </c>
      <c r="F291" s="24" t="s">
        <v>52</v>
      </c>
      <c r="G291" s="83" t="s">
        <v>942</v>
      </c>
      <c r="H291" s="83" t="str">
        <f>VLOOKUP(G291,[1]ListLoaded!$E$6:$F$544,2,0)</f>
        <v>110610</v>
      </c>
      <c r="I291" s="72" t="str">
        <f>VLOOKUP(G291,[1]ListLoaded!$E$6:$M$550,9,0)</f>
        <v>F</v>
      </c>
      <c r="J291" s="72" t="s">
        <v>31</v>
      </c>
      <c r="K291" s="140">
        <f>VLOOKUP(G291,[1]ListLoaded!$E$6:$L$537,8,0)</f>
        <v>18</v>
      </c>
      <c r="L291" s="83" t="str">
        <f>VLOOKUP(G291,[1]ListLoaded!$E$6:$S$645,15,0)</f>
        <v>1105615</v>
      </c>
      <c r="M291" s="86" t="str">
        <f>VLOOKUP(G291,[1]ListLoaded!$E$6:$T$674,16,0)</f>
        <v>SON</v>
      </c>
      <c r="N291" s="86">
        <f>VLOOKUP(G291,[1]ListLoaded!$E$6:$N$545,10,0)</f>
        <v>0</v>
      </c>
      <c r="O291" s="72"/>
      <c r="P291" s="72">
        <f>VLOOKUP(G291,[1]ListLoaded!$E$6:$O$638,11,0)</f>
        <v>0</v>
      </c>
      <c r="Q291" s="84" t="str">
        <f t="shared" si="35"/>
        <v>F20DC</v>
      </c>
      <c r="R291" s="84" t="str">
        <f>VLOOKUP(G291,[1]ListLoaded!$E$6:$P$604,12,0)</f>
        <v>HAC260519126</v>
      </c>
      <c r="S291" s="15" t="e">
        <f>I291&amp;J291&amp;#REF!</f>
        <v>#REF!</v>
      </c>
      <c r="T291" s="84" t="s">
        <v>977</v>
      </c>
      <c r="U291" s="84"/>
      <c r="V291" s="84" t="s">
        <v>1016</v>
      </c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</row>
    <row r="292" spans="1:57" s="16" customFormat="1" ht="24.75" customHeight="1">
      <c r="A292" s="23">
        <v>282</v>
      </c>
      <c r="B292" s="24" t="s">
        <v>50</v>
      </c>
      <c r="C292" s="24" t="s">
        <v>1489</v>
      </c>
      <c r="D292" s="24" t="s">
        <v>57</v>
      </c>
      <c r="E292" s="74" t="s">
        <v>52</v>
      </c>
      <c r="F292" s="24" t="s">
        <v>52</v>
      </c>
      <c r="G292" s="83" t="s">
        <v>943</v>
      </c>
      <c r="H292" s="83" t="str">
        <f>VLOOKUP(G292,[1]ListLoaded!$E$6:$F$544,2,0)</f>
        <v>070310</v>
      </c>
      <c r="I292" s="72" t="str">
        <f>VLOOKUP(G292,[1]ListLoaded!$E$6:$M$550,9,0)</f>
        <v>F</v>
      </c>
      <c r="J292" s="72" t="s">
        <v>31</v>
      </c>
      <c r="K292" s="140">
        <f>VLOOKUP(G292,[1]ListLoaded!$E$6:$L$537,8,0)</f>
        <v>14.63</v>
      </c>
      <c r="L292" s="83" t="str">
        <f>VLOOKUP(G292,[1]ListLoaded!$E$6:$S$645,15,0)</f>
        <v>1104837</v>
      </c>
      <c r="M292" s="86" t="str">
        <f>VLOOKUP(G292,[1]ListLoaded!$E$6:$T$674,16,0)</f>
        <v>SON</v>
      </c>
      <c r="N292" s="86">
        <f>VLOOKUP(G292,[1]ListLoaded!$E$6:$N$545,10,0)</f>
        <v>0</v>
      </c>
      <c r="O292" s="72"/>
      <c r="P292" s="72">
        <f>VLOOKUP(G292,[1]ListLoaded!$E$6:$O$638,11,0)</f>
        <v>0</v>
      </c>
      <c r="Q292" s="84" t="str">
        <f t="shared" si="35"/>
        <v>F20DC</v>
      </c>
      <c r="R292" s="84" t="str">
        <f>VLOOKUP(G292,[1]ListLoaded!$E$6:$P$604,12,0)</f>
        <v>HAC260519126</v>
      </c>
      <c r="S292" s="15" t="e">
        <f>I292&amp;J292&amp;#REF!</f>
        <v>#REF!</v>
      </c>
      <c r="T292" s="84" t="s">
        <v>977</v>
      </c>
      <c r="U292" s="84"/>
      <c r="V292" s="84" t="s">
        <v>1016</v>
      </c>
      <c r="X292" s="8"/>
      <c r="Y292" s="9"/>
      <c r="Z292" s="8"/>
      <c r="AA292" s="8"/>
      <c r="AB292" s="8"/>
      <c r="AC292" s="8"/>
      <c r="AD292" s="8"/>
      <c r="AE292" s="8"/>
      <c r="AF292" s="8"/>
    </row>
    <row r="293" spans="1:57" ht="24.75" customHeight="1">
      <c r="A293" s="23">
        <v>283</v>
      </c>
      <c r="B293" s="24" t="s">
        <v>50</v>
      </c>
      <c r="C293" s="24" t="s">
        <v>1489</v>
      </c>
      <c r="D293" s="24" t="s">
        <v>57</v>
      </c>
      <c r="E293" s="74" t="s">
        <v>52</v>
      </c>
      <c r="F293" s="24" t="s">
        <v>52</v>
      </c>
      <c r="G293" s="83" t="s">
        <v>944</v>
      </c>
      <c r="H293" s="83" t="str">
        <f>VLOOKUP(G293,[1]ListLoaded!$E$6:$F$544,2,0)</f>
        <v>030108</v>
      </c>
      <c r="I293" s="72" t="str">
        <f>VLOOKUP(G293,[1]ListLoaded!$E$6:$M$550,9,0)</f>
        <v>F</v>
      </c>
      <c r="J293" s="72" t="s">
        <v>31</v>
      </c>
      <c r="K293" s="140">
        <f>VLOOKUP(G293,[1]ListLoaded!$E$6:$L$537,8,0)</f>
        <v>26.74</v>
      </c>
      <c r="L293" s="83" t="str">
        <f>VLOOKUP(G293,[1]ListLoaded!$E$6:$S$645,15,0)</f>
        <v>1047893</v>
      </c>
      <c r="M293" s="86" t="str">
        <f>VLOOKUP(G293,[1]ListLoaded!$E$6:$T$674,16,0)</f>
        <v>ONG THEP</v>
      </c>
      <c r="N293" s="86">
        <f>VLOOKUP(G293,[1]ListLoaded!$E$6:$N$545,10,0)</f>
        <v>0</v>
      </c>
      <c r="O293" s="72"/>
      <c r="P293" s="72">
        <f>VLOOKUP(G293,[1]ListLoaded!$E$6:$O$638,11,0)</f>
        <v>0</v>
      </c>
      <c r="Q293" s="84" t="str">
        <f t="shared" si="35"/>
        <v>F20DC</v>
      </c>
      <c r="R293" s="84" t="str">
        <f>VLOOKUP(G293,[1]ListLoaded!$E$6:$P$604,12,0)</f>
        <v>HAC260521020</v>
      </c>
      <c r="S293" s="15" t="e">
        <f>I293&amp;J293&amp;#REF!</f>
        <v>#REF!</v>
      </c>
      <c r="T293" s="84" t="s">
        <v>980</v>
      </c>
      <c r="U293" s="84"/>
      <c r="V293" s="84" t="s">
        <v>1017</v>
      </c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</row>
    <row r="294" spans="1:57" ht="24.75" customHeight="1">
      <c r="A294" s="23">
        <v>284</v>
      </c>
      <c r="B294" s="24" t="s">
        <v>50</v>
      </c>
      <c r="C294" s="24" t="s">
        <v>1489</v>
      </c>
      <c r="D294" s="24" t="s">
        <v>57</v>
      </c>
      <c r="E294" s="74" t="s">
        <v>52</v>
      </c>
      <c r="F294" s="24" t="s">
        <v>52</v>
      </c>
      <c r="G294" s="83" t="s">
        <v>945</v>
      </c>
      <c r="H294" s="83" t="str">
        <f>VLOOKUP(G294,[1]ListLoaded!$E$6:$F$544,2,0)</f>
        <v>070710</v>
      </c>
      <c r="I294" s="72" t="str">
        <f>VLOOKUP(G294,[1]ListLoaded!$E$6:$M$550,9,0)</f>
        <v>F</v>
      </c>
      <c r="J294" s="72" t="s">
        <v>31</v>
      </c>
      <c r="K294" s="140">
        <f>VLOOKUP(G294,[1]ListLoaded!$E$6:$L$537,8,0)</f>
        <v>23.06</v>
      </c>
      <c r="L294" s="83" t="str">
        <f>VLOOKUP(G294,[1]ListLoaded!$E$6:$S$645,15,0)</f>
        <v>1104832</v>
      </c>
      <c r="M294" s="86" t="str">
        <f>VLOOKUP(G294,[1]ListLoaded!$E$6:$T$674,16,0)</f>
        <v>ONG THEP RONG</v>
      </c>
      <c r="N294" s="86">
        <f>VLOOKUP(G294,[1]ListLoaded!$E$6:$N$545,10,0)</f>
        <v>0</v>
      </c>
      <c r="O294" s="72"/>
      <c r="P294" s="72">
        <f>VLOOKUP(G294,[1]ListLoaded!$E$6:$O$638,11,0)</f>
        <v>0</v>
      </c>
      <c r="Q294" s="84" t="str">
        <f t="shared" si="35"/>
        <v>F20DC</v>
      </c>
      <c r="R294" s="84" t="str">
        <f>VLOOKUP(G294,[1]ListLoaded!$E$6:$P$604,12,0)</f>
        <v>HAC260521020</v>
      </c>
      <c r="S294" s="15" t="e">
        <f>I294&amp;J294&amp;#REF!</f>
        <v>#REF!</v>
      </c>
      <c r="T294" s="84" t="s">
        <v>980</v>
      </c>
      <c r="U294" s="84"/>
      <c r="V294" s="84" t="s">
        <v>1018</v>
      </c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</row>
    <row r="295" spans="1:57" ht="24.75" customHeight="1">
      <c r="A295" s="23">
        <v>285</v>
      </c>
      <c r="B295" s="24" t="s">
        <v>50</v>
      </c>
      <c r="C295" s="24" t="s">
        <v>1489</v>
      </c>
      <c r="D295" s="24" t="s">
        <v>57</v>
      </c>
      <c r="E295" s="74" t="s">
        <v>52</v>
      </c>
      <c r="F295" s="24" t="s">
        <v>52</v>
      </c>
      <c r="G295" s="83" t="s">
        <v>946</v>
      </c>
      <c r="H295" s="83" t="str">
        <f>VLOOKUP(G295,[1]ListLoaded!$E$6:$F$544,2,0)</f>
        <v>100302</v>
      </c>
      <c r="I295" s="72" t="str">
        <f>VLOOKUP(G295,[1]ListLoaded!$E$6:$M$550,9,0)</f>
        <v>F</v>
      </c>
      <c r="J295" s="72" t="str">
        <f>VLOOKUP(G295,[1]ListLoaded!$E$6:$I$537,5,0)</f>
        <v>40HC</v>
      </c>
      <c r="K295" s="140">
        <f>VLOOKUP(G295,[1]ListLoaded!$E$6:$L$537,8,0)</f>
        <v>32.5</v>
      </c>
      <c r="L295" s="83" t="str">
        <f>VLOOKUP(G295,[1]ListLoaded!$E$6:$S$645,15,0)</f>
        <v>003069</v>
      </c>
      <c r="M295" s="86" t="str">
        <f>VLOOKUP(G295,[1]ListLoaded!$E$6:$T$674,16,0)</f>
        <v>NHUA</v>
      </c>
      <c r="N295" s="86">
        <f>VLOOKUP(G295,[1]ListLoaded!$E$6:$N$545,10,0)</f>
        <v>0</v>
      </c>
      <c r="O295" s="72"/>
      <c r="P295" s="72">
        <f>VLOOKUP(G295,[1]ListLoaded!$E$6:$O$638,11,0)</f>
        <v>0</v>
      </c>
      <c r="Q295" s="84" t="str">
        <f t="shared" si="35"/>
        <v>F40HC</v>
      </c>
      <c r="R295" s="84" t="str">
        <f>VLOOKUP(G295,[1]ListLoaded!$E$6:$P$604,12,0)</f>
        <v>HAC260526123</v>
      </c>
      <c r="S295" s="15" t="e">
        <f>I295&amp;J295&amp;#REF!</f>
        <v>#REF!</v>
      </c>
      <c r="T295" s="84" t="s">
        <v>981</v>
      </c>
      <c r="U295" s="84"/>
      <c r="V295" s="84" t="s">
        <v>643</v>
      </c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</row>
    <row r="296" spans="1:57" ht="24.75" customHeight="1">
      <c r="A296" s="23">
        <v>286</v>
      </c>
      <c r="B296" s="24" t="s">
        <v>50</v>
      </c>
      <c r="C296" s="24" t="s">
        <v>1489</v>
      </c>
      <c r="D296" s="24" t="s">
        <v>57</v>
      </c>
      <c r="E296" s="74" t="s">
        <v>52</v>
      </c>
      <c r="F296" s="24" t="s">
        <v>52</v>
      </c>
      <c r="G296" s="83" t="s">
        <v>947</v>
      </c>
      <c r="H296" s="83" t="str">
        <f>VLOOKUP(G296,[1]ListLoaded!$E$6:$F$544,2,0)</f>
        <v>070408</v>
      </c>
      <c r="I296" s="72" t="str">
        <f>VLOOKUP(G296,[1]ListLoaded!$E$6:$M$550,9,0)</f>
        <v>F</v>
      </c>
      <c r="J296" s="72" t="s">
        <v>31</v>
      </c>
      <c r="K296" s="140">
        <f>VLOOKUP(G296,[1]ListLoaded!$E$6:$L$537,8,0)</f>
        <v>27.92</v>
      </c>
      <c r="L296" s="83" t="str">
        <f>VLOOKUP(G296,[1]ListLoaded!$E$6:$S$645,15,0)</f>
        <v>23379523</v>
      </c>
      <c r="M296" s="86" t="str">
        <f>VLOOKUP(G296,[1]ListLoaded!$E$6:$T$674,16,0)</f>
        <v>GAO</v>
      </c>
      <c r="N296" s="86">
        <f>VLOOKUP(G296,[1]ListLoaded!$E$6:$N$545,10,0)</f>
        <v>0</v>
      </c>
      <c r="O296" s="72"/>
      <c r="P296" s="72">
        <f>VLOOKUP(G296,[1]ListLoaded!$E$6:$O$638,11,0)</f>
        <v>0</v>
      </c>
      <c r="Q296" s="84" t="str">
        <f t="shared" si="35"/>
        <v>F20DC</v>
      </c>
      <c r="R296" s="84" t="str">
        <f>VLOOKUP(G296,[1]ListLoaded!$E$6:$P$604,12,0)</f>
        <v>HAC260522127</v>
      </c>
      <c r="S296" s="15" t="e">
        <f>I296&amp;J296&amp;#REF!</f>
        <v>#REF!</v>
      </c>
      <c r="T296" s="84" t="s">
        <v>982</v>
      </c>
      <c r="U296" s="84"/>
      <c r="V296" s="84" t="s">
        <v>637</v>
      </c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</row>
    <row r="297" spans="1:57" ht="24.75" customHeight="1">
      <c r="A297" s="23">
        <v>287</v>
      </c>
      <c r="B297" s="24" t="s">
        <v>50</v>
      </c>
      <c r="C297" s="24" t="s">
        <v>1489</v>
      </c>
      <c r="D297" s="24" t="s">
        <v>57</v>
      </c>
      <c r="E297" s="74" t="s">
        <v>52</v>
      </c>
      <c r="F297" s="24" t="s">
        <v>52</v>
      </c>
      <c r="G297" s="83" t="s">
        <v>948</v>
      </c>
      <c r="H297" s="83" t="str">
        <f>VLOOKUP(G297,[1]ListLoaded!$E$6:$F$544,2,0)</f>
        <v>070306</v>
      </c>
      <c r="I297" s="72" t="str">
        <f>VLOOKUP(G297,[1]ListLoaded!$E$6:$M$550,9,0)</f>
        <v>F</v>
      </c>
      <c r="J297" s="72" t="s">
        <v>31</v>
      </c>
      <c r="K297" s="140">
        <f>VLOOKUP(G297,[1]ListLoaded!$E$6:$L$537,8,0)</f>
        <v>30.36</v>
      </c>
      <c r="L297" s="83" t="str">
        <f>VLOOKUP(G297,[1]ListLoaded!$E$6:$S$645,15,0)</f>
        <v>23378656</v>
      </c>
      <c r="M297" s="86" t="str">
        <f>VLOOKUP(G297,[1]ListLoaded!$E$6:$T$674,16,0)</f>
        <v>GAO</v>
      </c>
      <c r="N297" s="86">
        <f>VLOOKUP(G297,[1]ListLoaded!$E$6:$N$545,10,0)</f>
        <v>0</v>
      </c>
      <c r="O297" s="72"/>
      <c r="P297" s="72">
        <f>VLOOKUP(G297,[1]ListLoaded!$E$6:$O$638,11,0)</f>
        <v>0</v>
      </c>
      <c r="Q297" s="84" t="str">
        <f t="shared" si="35"/>
        <v>F20DC</v>
      </c>
      <c r="R297" s="84" t="str">
        <f>VLOOKUP(G297,[1]ListLoaded!$E$6:$P$604,12,0)</f>
        <v>HAC260522127</v>
      </c>
      <c r="S297" s="15" t="e">
        <f>I297&amp;J297&amp;#REF!</f>
        <v>#REF!</v>
      </c>
      <c r="T297" s="84" t="s">
        <v>982</v>
      </c>
      <c r="U297" s="84"/>
      <c r="V297" s="84" t="s">
        <v>637</v>
      </c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</row>
    <row r="298" spans="1:57" ht="24.75" customHeight="1">
      <c r="A298" s="23">
        <v>288</v>
      </c>
      <c r="B298" s="24" t="s">
        <v>50</v>
      </c>
      <c r="C298" s="24" t="s">
        <v>1489</v>
      </c>
      <c r="D298" s="24" t="s">
        <v>57</v>
      </c>
      <c r="E298" s="74" t="s">
        <v>52</v>
      </c>
      <c r="F298" s="24" t="s">
        <v>52</v>
      </c>
      <c r="G298" s="83" t="s">
        <v>949</v>
      </c>
      <c r="H298" s="83" t="str">
        <f>VLOOKUP(G298,[1]ListLoaded!$E$6:$F$544,2,0)</f>
        <v>310608</v>
      </c>
      <c r="I298" s="72" t="str">
        <f>VLOOKUP(G298,[1]ListLoaded!$E$6:$M$550,9,0)</f>
        <v>F</v>
      </c>
      <c r="J298" s="72" t="s">
        <v>31</v>
      </c>
      <c r="K298" s="140">
        <f>VLOOKUP(G298,[1]ListLoaded!$E$6:$L$537,8,0)</f>
        <v>23.04</v>
      </c>
      <c r="L298" s="83" t="str">
        <f>VLOOKUP(G298,[1]ListLoaded!$E$6:$S$645,15,0)</f>
        <v>1117404</v>
      </c>
      <c r="M298" s="86" t="str">
        <f>VLOOKUP(G298,[1]ListLoaded!$E$6:$T$674,16,0)</f>
        <v>PHAN BON</v>
      </c>
      <c r="N298" s="86">
        <f>VLOOKUP(G298,[1]ListLoaded!$E$6:$N$545,10,0)</f>
        <v>0</v>
      </c>
      <c r="O298" s="72"/>
      <c r="P298" s="72">
        <f>VLOOKUP(G298,[1]ListLoaded!$E$6:$O$638,11,0)</f>
        <v>0</v>
      </c>
      <c r="Q298" s="84" t="str">
        <f t="shared" si="35"/>
        <v>F20DC</v>
      </c>
      <c r="R298" s="84" t="str">
        <f>VLOOKUP(G298,[1]ListLoaded!$E$6:$P$604,12,0)</f>
        <v>HAC260523035</v>
      </c>
      <c r="S298" s="15" t="e">
        <f>I298&amp;J298&amp;#REF!</f>
        <v>#REF!</v>
      </c>
      <c r="T298" s="84" t="s">
        <v>983</v>
      </c>
      <c r="U298" s="84"/>
      <c r="V298" s="84" t="s">
        <v>1019</v>
      </c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</row>
    <row r="299" spans="1:57" s="16" customFormat="1" ht="24.75" customHeight="1">
      <c r="A299" s="23">
        <v>289</v>
      </c>
      <c r="B299" s="24" t="s">
        <v>50</v>
      </c>
      <c r="C299" s="24" t="s">
        <v>1489</v>
      </c>
      <c r="D299" s="24" t="s">
        <v>83</v>
      </c>
      <c r="E299" s="143" t="s">
        <v>1488</v>
      </c>
      <c r="F299" s="24" t="s">
        <v>52</v>
      </c>
      <c r="G299" s="83" t="s">
        <v>1219</v>
      </c>
      <c r="H299" s="83" t="s">
        <v>1461</v>
      </c>
      <c r="I299" s="72" t="s">
        <v>531</v>
      </c>
      <c r="J299" s="72" t="s">
        <v>37</v>
      </c>
      <c r="K299" s="140">
        <v>3.8</v>
      </c>
      <c r="L299" s="83" t="s">
        <v>69</v>
      </c>
      <c r="M299" s="86" t="s">
        <v>56</v>
      </c>
      <c r="N299" s="86">
        <v>0</v>
      </c>
      <c r="O299" s="72" t="s">
        <v>1232</v>
      </c>
      <c r="P299" s="72">
        <v>0</v>
      </c>
      <c r="Q299" s="84" t="str">
        <f t="shared" si="35"/>
        <v>E40HC</v>
      </c>
      <c r="R299" s="84" t="s">
        <v>1462</v>
      </c>
      <c r="S299" s="15" t="s">
        <v>1463</v>
      </c>
      <c r="T299" s="84"/>
      <c r="U299" s="84"/>
      <c r="V299" s="84"/>
      <c r="X299" s="8"/>
      <c r="Y299" s="9"/>
      <c r="Z299" s="8"/>
      <c r="AA299" s="8"/>
      <c r="AB299" s="8"/>
      <c r="AC299" s="8"/>
      <c r="AD299" s="8"/>
      <c r="AE299" s="8"/>
      <c r="AF299" s="8"/>
    </row>
    <row r="300" spans="1:57" s="16" customFormat="1" ht="24.75" customHeight="1">
      <c r="A300" s="23">
        <v>290</v>
      </c>
      <c r="B300" s="24" t="s">
        <v>50</v>
      </c>
      <c r="C300" s="24" t="s">
        <v>1489</v>
      </c>
      <c r="D300" s="24" t="s">
        <v>83</v>
      </c>
      <c r="E300" s="143" t="s">
        <v>1488</v>
      </c>
      <c r="F300" s="24" t="s">
        <v>52</v>
      </c>
      <c r="G300" s="83" t="s">
        <v>1220</v>
      </c>
      <c r="H300" s="83" t="s">
        <v>1464</v>
      </c>
      <c r="I300" s="72" t="s">
        <v>531</v>
      </c>
      <c r="J300" s="72" t="s">
        <v>37</v>
      </c>
      <c r="K300" s="140">
        <v>3.8</v>
      </c>
      <c r="L300" s="83" t="s">
        <v>69</v>
      </c>
      <c r="M300" s="86" t="s">
        <v>56</v>
      </c>
      <c r="N300" s="86">
        <v>0</v>
      </c>
      <c r="O300" s="72" t="s">
        <v>1232</v>
      </c>
      <c r="P300" s="72">
        <v>0</v>
      </c>
      <c r="Q300" s="84" t="str">
        <f t="shared" si="35"/>
        <v>E40HC</v>
      </c>
      <c r="R300" s="84" t="s">
        <v>1462</v>
      </c>
      <c r="S300" s="15" t="s">
        <v>1463</v>
      </c>
      <c r="T300" s="84"/>
      <c r="U300" s="84"/>
      <c r="V300" s="84"/>
      <c r="X300" s="8"/>
      <c r="Y300" s="9"/>
      <c r="Z300" s="8"/>
      <c r="AA300" s="8"/>
      <c r="AB300" s="8"/>
      <c r="AC300" s="8"/>
      <c r="AD300" s="8"/>
      <c r="AE300" s="8"/>
      <c r="AF300" s="8"/>
    </row>
    <row r="301" spans="1:57" s="16" customFormat="1" ht="24.75" customHeight="1">
      <c r="A301" s="23">
        <v>291</v>
      </c>
      <c r="B301" s="24" t="s">
        <v>50</v>
      </c>
      <c r="C301" s="24" t="s">
        <v>1489</v>
      </c>
      <c r="D301" s="24" t="s">
        <v>57</v>
      </c>
      <c r="E301" s="74" t="s">
        <v>52</v>
      </c>
      <c r="F301" s="24" t="s">
        <v>52</v>
      </c>
      <c r="G301" s="83" t="s">
        <v>1293</v>
      </c>
      <c r="H301" s="83" t="s">
        <v>1465</v>
      </c>
      <c r="I301" s="72" t="s">
        <v>116</v>
      </c>
      <c r="J301" s="72" t="s">
        <v>37</v>
      </c>
      <c r="K301" s="140">
        <v>32.26</v>
      </c>
      <c r="L301" s="83" t="s">
        <v>1466</v>
      </c>
      <c r="M301" s="86" t="s">
        <v>988</v>
      </c>
      <c r="N301" s="86">
        <v>0</v>
      </c>
      <c r="O301" s="72"/>
      <c r="P301" s="72">
        <v>0</v>
      </c>
      <c r="Q301" s="84" t="str">
        <f t="shared" si="35"/>
        <v>F40HC</v>
      </c>
      <c r="R301" s="84" t="s">
        <v>1467</v>
      </c>
      <c r="S301" s="15" t="s">
        <v>1468</v>
      </c>
      <c r="T301" s="84"/>
      <c r="U301" s="84"/>
      <c r="V301" s="84"/>
      <c r="X301" s="8"/>
      <c r="Y301" s="9"/>
      <c r="Z301" s="8"/>
      <c r="AA301" s="8"/>
      <c r="AB301" s="8"/>
      <c r="AC301" s="8"/>
      <c r="AD301" s="8"/>
      <c r="AE301" s="8"/>
      <c r="AF301" s="8"/>
    </row>
    <row r="302" spans="1:57" s="16" customFormat="1" ht="24.75" customHeight="1">
      <c r="A302" s="23">
        <v>292</v>
      </c>
      <c r="B302" s="24" t="s">
        <v>50</v>
      </c>
      <c r="C302" s="24" t="s">
        <v>1489</v>
      </c>
      <c r="D302" s="24" t="s">
        <v>57</v>
      </c>
      <c r="E302" s="74" t="s">
        <v>52</v>
      </c>
      <c r="F302" s="24" t="s">
        <v>52</v>
      </c>
      <c r="G302" s="83" t="s">
        <v>950</v>
      </c>
      <c r="H302" s="83" t="str">
        <f>VLOOKUP(G302,[1]ListLoaded!$E$6:$F$544,2,0)</f>
        <v>290506</v>
      </c>
      <c r="I302" s="72" t="str">
        <f>VLOOKUP(G302,[1]ListLoaded!$E$6:$M$550,9,0)</f>
        <v>F</v>
      </c>
      <c r="J302" s="72" t="s">
        <v>31</v>
      </c>
      <c r="K302" s="140">
        <f>VLOOKUP(G302,[1]ListLoaded!$E$6:$L$537,8,0)</f>
        <v>29.95</v>
      </c>
      <c r="L302" s="83" t="str">
        <f>VLOOKUP(G302,[1]ListLoaded!$E$6:$S$645,15,0)</f>
        <v>2273138</v>
      </c>
      <c r="M302" s="86" t="str">
        <f>VLOOKUP(G302,[1]ListLoaded!$E$6:$T$674,16,0)</f>
        <v>GAO</v>
      </c>
      <c r="N302" s="86">
        <f>VLOOKUP(G302,[1]ListLoaded!$E$6:$N$545,10,0)</f>
        <v>0</v>
      </c>
      <c r="O302" s="72"/>
      <c r="P302" s="72">
        <f>VLOOKUP(G302,[1]ListLoaded!$E$6:$O$638,11,0)</f>
        <v>0</v>
      </c>
      <c r="Q302" s="84" t="str">
        <f t="shared" si="35"/>
        <v>F20DC</v>
      </c>
      <c r="R302" s="84" t="str">
        <f>VLOOKUP(G302,[1]ListLoaded!$E$6:$P$604,12,0)</f>
        <v>HAC260523036</v>
      </c>
      <c r="S302" s="15" t="e">
        <f>I302&amp;J302&amp;#REF!</f>
        <v>#REF!</v>
      </c>
      <c r="T302" s="84"/>
      <c r="U302" s="84"/>
      <c r="V302" s="84"/>
      <c r="X302" s="8"/>
      <c r="Y302" s="9"/>
      <c r="Z302" s="8"/>
      <c r="AA302" s="8"/>
      <c r="AB302" s="8"/>
      <c r="AC302" s="8"/>
      <c r="AD302" s="8"/>
      <c r="AE302" s="8"/>
      <c r="AF302" s="8"/>
    </row>
    <row r="303" spans="1:57" s="16" customFormat="1" ht="24.75" customHeight="1">
      <c r="A303" s="23">
        <v>293</v>
      </c>
      <c r="B303" s="24" t="s">
        <v>50</v>
      </c>
      <c r="C303" s="24" t="s">
        <v>1489</v>
      </c>
      <c r="D303" s="24" t="s">
        <v>57</v>
      </c>
      <c r="E303" s="74" t="s">
        <v>52</v>
      </c>
      <c r="F303" s="24" t="s">
        <v>52</v>
      </c>
      <c r="G303" s="83" t="s">
        <v>951</v>
      </c>
      <c r="H303" s="83" t="str">
        <f>VLOOKUP(G303,[1]ListLoaded!$E$6:$F$544,2,0)</f>
        <v>070606</v>
      </c>
      <c r="I303" s="72" t="str">
        <f>VLOOKUP(G303,[1]ListLoaded!$E$6:$M$550,9,0)</f>
        <v>F</v>
      </c>
      <c r="J303" s="72" t="s">
        <v>31</v>
      </c>
      <c r="K303" s="140">
        <f>VLOOKUP(G303,[1]ListLoaded!$E$6:$L$537,8,0)</f>
        <v>29.62</v>
      </c>
      <c r="L303" s="83" t="str">
        <f>VLOOKUP(G303,[1]ListLoaded!$E$6:$S$645,15,0)</f>
        <v>000615</v>
      </c>
      <c r="M303" s="86" t="str">
        <f>VLOOKUP(G303,[1]ListLoaded!$E$6:$T$674,16,0)</f>
        <v>GAO</v>
      </c>
      <c r="N303" s="86">
        <f>VLOOKUP(G303,[1]ListLoaded!$E$6:$N$545,10,0)</f>
        <v>0</v>
      </c>
      <c r="O303" s="72"/>
      <c r="P303" s="72">
        <f>VLOOKUP(G303,[1]ListLoaded!$E$6:$O$638,11,0)</f>
        <v>0</v>
      </c>
      <c r="Q303" s="84" t="str">
        <f t="shared" si="35"/>
        <v>F20DC</v>
      </c>
      <c r="R303" s="84" t="str">
        <f>VLOOKUP(G303,[1]ListLoaded!$E$6:$P$604,12,0)</f>
        <v>HAC260523036</v>
      </c>
      <c r="S303" s="15" t="e">
        <f>I303&amp;J303&amp;#REF!</f>
        <v>#REF!</v>
      </c>
      <c r="T303" s="84" t="s">
        <v>984</v>
      </c>
      <c r="U303" s="84"/>
      <c r="V303" s="84" t="s">
        <v>637</v>
      </c>
      <c r="X303" s="8"/>
      <c r="Y303" s="9"/>
      <c r="Z303" s="8"/>
      <c r="AA303" s="8"/>
      <c r="AB303" s="8"/>
      <c r="AC303" s="8"/>
      <c r="AD303" s="8"/>
      <c r="AE303" s="8"/>
      <c r="AF303" s="8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</row>
    <row r="304" spans="1:57" s="16" customFormat="1" ht="24.75" customHeight="1">
      <c r="A304" s="23">
        <v>294</v>
      </c>
      <c r="B304" s="24" t="s">
        <v>50</v>
      </c>
      <c r="C304" s="24" t="s">
        <v>1489</v>
      </c>
      <c r="D304" s="24" t="s">
        <v>83</v>
      </c>
      <c r="E304" s="74" t="s">
        <v>52</v>
      </c>
      <c r="F304" s="24" t="s">
        <v>52</v>
      </c>
      <c r="G304" s="83" t="s">
        <v>1282</v>
      </c>
      <c r="H304" s="83" t="s">
        <v>1324</v>
      </c>
      <c r="I304" s="72" t="s">
        <v>116</v>
      </c>
      <c r="J304" s="72" t="s">
        <v>37</v>
      </c>
      <c r="K304" s="140">
        <v>8.43</v>
      </c>
      <c r="L304" s="83" t="s">
        <v>1325</v>
      </c>
      <c r="M304" s="86" t="s">
        <v>1009</v>
      </c>
      <c r="N304" s="86">
        <v>0</v>
      </c>
      <c r="O304" s="72"/>
      <c r="P304" s="72">
        <v>0</v>
      </c>
      <c r="Q304" s="84" t="str">
        <f t="shared" si="35"/>
        <v>F40HC</v>
      </c>
      <c r="R304" s="84" t="s">
        <v>1318</v>
      </c>
      <c r="S304" s="15" t="s">
        <v>1319</v>
      </c>
      <c r="T304" s="84"/>
      <c r="U304" s="84"/>
      <c r="V304" s="84"/>
      <c r="X304" s="8"/>
      <c r="Y304" s="9"/>
      <c r="Z304" s="8"/>
      <c r="AA304" s="8"/>
      <c r="AB304" s="8"/>
      <c r="AC304" s="8"/>
      <c r="AD304" s="8"/>
      <c r="AE304" s="8"/>
      <c r="AF304" s="8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</row>
    <row r="305" spans="1:57" s="16" customFormat="1" ht="24.75" customHeight="1">
      <c r="A305" s="23">
        <v>295</v>
      </c>
      <c r="B305" s="24" t="s">
        <v>50</v>
      </c>
      <c r="C305" s="24" t="s">
        <v>1489</v>
      </c>
      <c r="D305" s="24" t="s">
        <v>83</v>
      </c>
      <c r="E305" s="74" t="s">
        <v>52</v>
      </c>
      <c r="F305" s="24" t="s">
        <v>52</v>
      </c>
      <c r="G305" s="83" t="s">
        <v>1283</v>
      </c>
      <c r="H305" s="83" t="s">
        <v>1326</v>
      </c>
      <c r="I305" s="72" t="s">
        <v>116</v>
      </c>
      <c r="J305" s="72" t="s">
        <v>37</v>
      </c>
      <c r="K305" s="140">
        <v>7.82</v>
      </c>
      <c r="L305" s="83" t="s">
        <v>1327</v>
      </c>
      <c r="M305" s="86" t="s">
        <v>1009</v>
      </c>
      <c r="N305" s="86">
        <v>0</v>
      </c>
      <c r="O305" s="72"/>
      <c r="P305" s="72">
        <v>0</v>
      </c>
      <c r="Q305" s="84" t="str">
        <f t="shared" si="35"/>
        <v>F40HC</v>
      </c>
      <c r="R305" s="84" t="s">
        <v>1318</v>
      </c>
      <c r="S305" s="15" t="s">
        <v>1319</v>
      </c>
      <c r="T305" s="84"/>
      <c r="U305" s="84"/>
      <c r="V305" s="84"/>
      <c r="X305" s="8"/>
      <c r="Y305" s="9"/>
      <c r="Z305" s="8"/>
      <c r="AA305" s="8"/>
      <c r="AB305" s="8"/>
      <c r="AC305" s="8"/>
      <c r="AD305" s="8"/>
      <c r="AE305" s="8"/>
      <c r="AF305" s="8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</row>
    <row r="306" spans="1:57" s="16" customFormat="1" ht="24.75" customHeight="1">
      <c r="A306" s="23">
        <v>296</v>
      </c>
      <c r="B306" s="24" t="s">
        <v>50</v>
      </c>
      <c r="C306" s="24" t="s">
        <v>1489</v>
      </c>
      <c r="D306" s="24" t="s">
        <v>83</v>
      </c>
      <c r="E306" s="74" t="s">
        <v>52</v>
      </c>
      <c r="F306" s="24" t="s">
        <v>52</v>
      </c>
      <c r="G306" s="83" t="s">
        <v>1020</v>
      </c>
      <c r="H306" s="83" t="str">
        <f>VLOOKUP(G306,[1]ListLoaded!$E$6:$F$544,2,0)</f>
        <v>110606</v>
      </c>
      <c r="I306" s="72" t="str">
        <f>VLOOKUP(G306,[1]ListLoaded!$E$6:$M$550,9,0)</f>
        <v>F</v>
      </c>
      <c r="J306" s="72" t="s">
        <v>31</v>
      </c>
      <c r="K306" s="140">
        <f>VLOOKUP(G306,[1]ListLoaded!$E$6:$L$537,8,0)</f>
        <v>21.08</v>
      </c>
      <c r="L306" s="83" t="str">
        <f>VLOOKUP(G306,[1]ListLoaded!$E$6:$S$645,15,0)</f>
        <v>1116952</v>
      </c>
      <c r="M306" s="86" t="str">
        <f>VLOOKUP(G306,[1]ListLoaded!$E$6:$T$674,16,0)</f>
        <v>KEO</v>
      </c>
      <c r="N306" s="86">
        <f>VLOOKUP(G306,[1]ListLoaded!$E$6:$N$545,10,0)</f>
        <v>0</v>
      </c>
      <c r="O306" s="72"/>
      <c r="P306" s="72">
        <f>VLOOKUP(G306,[1]ListLoaded!$E$6:$O$638,11,0)</f>
        <v>0</v>
      </c>
      <c r="Q306" s="84" t="str">
        <f t="shared" si="35"/>
        <v>F20DC</v>
      </c>
      <c r="R306" s="84" t="str">
        <f>VLOOKUP(G306,[1]ListLoaded!$E$6:$P$604,12,0)</f>
        <v>HAC260519148</v>
      </c>
      <c r="S306" s="15" t="e">
        <f>I306&amp;J306&amp;#REF!</f>
        <v>#REF!</v>
      </c>
      <c r="T306" s="84"/>
      <c r="U306" s="84"/>
      <c r="V306" s="84"/>
      <c r="X306" s="8"/>
      <c r="Y306" s="9"/>
      <c r="Z306" s="8"/>
      <c r="AA306" s="8"/>
      <c r="AB306" s="8"/>
      <c r="AC306" s="8"/>
      <c r="AD306" s="8"/>
      <c r="AE306" s="8"/>
      <c r="AF306" s="8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</row>
    <row r="307" spans="1:57" s="16" customFormat="1" ht="24.75" customHeight="1">
      <c r="A307" s="23">
        <v>297</v>
      </c>
      <c r="B307" s="24" t="s">
        <v>50</v>
      </c>
      <c r="C307" s="24" t="s">
        <v>1489</v>
      </c>
      <c r="D307" s="24" t="s">
        <v>83</v>
      </c>
      <c r="E307" s="74" t="s">
        <v>52</v>
      </c>
      <c r="F307" s="24" t="s">
        <v>52</v>
      </c>
      <c r="G307" s="83" t="s">
        <v>1021</v>
      </c>
      <c r="H307" s="83" t="str">
        <f>VLOOKUP(G307,[1]ListLoaded!$E$6:$F$544,2,0)</f>
        <v>290406</v>
      </c>
      <c r="I307" s="72" t="str">
        <f>VLOOKUP(G307,[1]ListLoaded!$E$6:$M$550,9,0)</f>
        <v>F</v>
      </c>
      <c r="J307" s="72" t="s">
        <v>31</v>
      </c>
      <c r="K307" s="140">
        <f>VLOOKUP(G307,[1]ListLoaded!$E$6:$L$537,8,0)</f>
        <v>24.18</v>
      </c>
      <c r="L307" s="83" t="str">
        <f>VLOOKUP(G307,[1]ListLoaded!$E$6:$S$645,15,0)</f>
        <v>656182</v>
      </c>
      <c r="M307" s="86" t="str">
        <f>VLOOKUP(G307,[1]ListLoaded!$E$6:$T$674,16,0)</f>
        <v>KEO DAN</v>
      </c>
      <c r="N307" s="86">
        <f>VLOOKUP(G307,[1]ListLoaded!$E$6:$N$545,10,0)</f>
        <v>0</v>
      </c>
      <c r="O307" s="72"/>
      <c r="P307" s="72">
        <f>VLOOKUP(G307,[1]ListLoaded!$E$6:$O$638,11,0)</f>
        <v>0</v>
      </c>
      <c r="Q307" s="84" t="str">
        <f t="shared" si="35"/>
        <v>F20DC</v>
      </c>
      <c r="R307" s="84" t="str">
        <f>VLOOKUP(G307,[1]ListLoaded!$E$6:$P$604,12,0)</f>
        <v>HAC260519148</v>
      </c>
      <c r="S307" s="15" t="e">
        <f>I307&amp;J307&amp;#REF!</f>
        <v>#REF!</v>
      </c>
      <c r="T307" s="84"/>
      <c r="U307" s="84"/>
      <c r="V307" s="84"/>
      <c r="X307" s="8"/>
      <c r="Y307" s="9"/>
      <c r="Z307" s="8"/>
      <c r="AA307" s="8"/>
      <c r="AB307" s="8"/>
      <c r="AC307" s="8"/>
      <c r="AD307" s="8"/>
      <c r="AE307" s="8"/>
      <c r="AF307" s="8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</row>
    <row r="308" spans="1:57" s="16" customFormat="1" ht="24.75" customHeight="1">
      <c r="A308" s="23">
        <v>298</v>
      </c>
      <c r="B308" s="24" t="s">
        <v>50</v>
      </c>
      <c r="C308" s="24" t="s">
        <v>1489</v>
      </c>
      <c r="D308" s="24" t="s">
        <v>83</v>
      </c>
      <c r="E308" s="74" t="s">
        <v>52</v>
      </c>
      <c r="F308" s="24" t="s">
        <v>52</v>
      </c>
      <c r="G308" s="83" t="s">
        <v>1022</v>
      </c>
      <c r="H308" s="83" t="str">
        <f>VLOOKUP(G308,[1]ListLoaded!$E$6:$F$544,2,0)</f>
        <v>030310</v>
      </c>
      <c r="I308" s="72" t="str">
        <f>VLOOKUP(G308,[1]ListLoaded!$E$6:$M$550,9,0)</f>
        <v>F</v>
      </c>
      <c r="J308" s="72" t="s">
        <v>31</v>
      </c>
      <c r="K308" s="140">
        <f>VLOOKUP(G308,[1]ListLoaded!$E$6:$L$537,8,0)</f>
        <v>24.49</v>
      </c>
      <c r="L308" s="83" t="str">
        <f>VLOOKUP(G308,[1]ListLoaded!$E$6:$S$645,15,0)</f>
        <v>1108202</v>
      </c>
      <c r="M308" s="86" t="str">
        <f>VLOOKUP(G308,[1]ListLoaded!$E$6:$T$674,16,0)</f>
        <v>BOT DAU NANH</v>
      </c>
      <c r="N308" s="86">
        <f>VLOOKUP(G308,[1]ListLoaded!$E$6:$N$545,10,0)</f>
        <v>0</v>
      </c>
      <c r="O308" s="72"/>
      <c r="P308" s="72">
        <f>VLOOKUP(G308,[1]ListLoaded!$E$6:$O$638,11,0)</f>
        <v>0</v>
      </c>
      <c r="Q308" s="84" t="str">
        <f t="shared" si="35"/>
        <v>F20DC</v>
      </c>
      <c r="R308" s="84" t="str">
        <f>VLOOKUP(G308,[1]ListLoaded!$E$6:$P$604,12,0)</f>
        <v>HAC260519148</v>
      </c>
      <c r="S308" s="15" t="e">
        <f>I308&amp;J308&amp;#REF!</f>
        <v>#REF!</v>
      </c>
      <c r="T308" s="84"/>
      <c r="U308" s="84"/>
      <c r="V308" s="84"/>
      <c r="X308" s="8"/>
      <c r="Y308" s="9"/>
      <c r="Z308" s="8"/>
      <c r="AA308" s="8"/>
      <c r="AB308" s="8"/>
      <c r="AC308" s="8"/>
      <c r="AD308" s="8"/>
      <c r="AE308" s="8"/>
      <c r="AF308" s="8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</row>
    <row r="309" spans="1:57" s="16" customFormat="1" ht="24.75" customHeight="1">
      <c r="A309" s="23">
        <v>299</v>
      </c>
      <c r="B309" s="24" t="s">
        <v>50</v>
      </c>
      <c r="C309" s="24" t="s">
        <v>1489</v>
      </c>
      <c r="D309" s="24" t="s">
        <v>83</v>
      </c>
      <c r="E309" s="74" t="s">
        <v>52</v>
      </c>
      <c r="F309" s="24" t="s">
        <v>52</v>
      </c>
      <c r="G309" s="83" t="s">
        <v>1023</v>
      </c>
      <c r="H309" s="83" t="str">
        <f>VLOOKUP(G309,[1]ListLoaded!$E$6:$F$544,2,0)</f>
        <v>310304</v>
      </c>
      <c r="I309" s="72" t="str">
        <f>VLOOKUP(G309,[1]ListLoaded!$E$6:$M$550,9,0)</f>
        <v>F</v>
      </c>
      <c r="J309" s="72" t="s">
        <v>31</v>
      </c>
      <c r="K309" s="140">
        <f>VLOOKUP(G309,[1]ListLoaded!$E$6:$L$537,8,0)</f>
        <v>29.63</v>
      </c>
      <c r="L309" s="83" t="str">
        <f>VLOOKUP(G309,[1]ListLoaded!$E$6:$S$645,15,0)</f>
        <v>656068</v>
      </c>
      <c r="M309" s="86" t="str">
        <f>VLOOKUP(G309,[1]ListLoaded!$E$6:$T$674,16,0)</f>
        <v>GAO</v>
      </c>
      <c r="N309" s="86">
        <f>VLOOKUP(G309,[1]ListLoaded!$E$6:$N$545,10,0)</f>
        <v>0</v>
      </c>
      <c r="O309" s="72"/>
      <c r="P309" s="72">
        <f>VLOOKUP(G309,[1]ListLoaded!$E$6:$O$638,11,0)</f>
        <v>0</v>
      </c>
      <c r="Q309" s="84" t="str">
        <f t="shared" si="35"/>
        <v>F20DC</v>
      </c>
      <c r="R309" s="84" t="str">
        <f>VLOOKUP(G309,[1]ListLoaded!$E$6:$P$604,12,0)</f>
        <v>HAC260519148</v>
      </c>
      <c r="S309" s="15" t="e">
        <f>I309&amp;J309&amp;#REF!</f>
        <v>#REF!</v>
      </c>
      <c r="T309" s="84"/>
      <c r="U309" s="84"/>
      <c r="V309" s="84"/>
      <c r="X309" s="8"/>
      <c r="Y309" s="9"/>
      <c r="Z309" s="8"/>
      <c r="AA309" s="8"/>
      <c r="AB309" s="8"/>
      <c r="AC309" s="8"/>
      <c r="AD309" s="8"/>
      <c r="AE309" s="8"/>
      <c r="AF309" s="8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</row>
    <row r="310" spans="1:57" s="16" customFormat="1" ht="24.75" customHeight="1">
      <c r="A310" s="23">
        <v>300</v>
      </c>
      <c r="B310" s="24" t="s">
        <v>50</v>
      </c>
      <c r="C310" s="24" t="s">
        <v>1489</v>
      </c>
      <c r="D310" s="24" t="s">
        <v>83</v>
      </c>
      <c r="E310" s="74" t="s">
        <v>52</v>
      </c>
      <c r="F310" s="24" t="s">
        <v>52</v>
      </c>
      <c r="G310" s="83" t="s">
        <v>1024</v>
      </c>
      <c r="H310" s="83" t="str">
        <f>VLOOKUP(G310,[1]ListLoaded!$E$6:$F$544,2,0)</f>
        <v>030782</v>
      </c>
      <c r="I310" s="72" t="str">
        <f>VLOOKUP(G310,[1]ListLoaded!$E$6:$M$550,9,0)</f>
        <v>F</v>
      </c>
      <c r="J310" s="72" t="s">
        <v>31</v>
      </c>
      <c r="K310" s="140">
        <f>VLOOKUP(G310,[1]ListLoaded!$E$6:$L$537,8,0)</f>
        <v>17.53</v>
      </c>
      <c r="L310" s="83" t="str">
        <f>VLOOKUP(G310,[1]ListLoaded!$E$6:$S$645,15,0)</f>
        <v>656105</v>
      </c>
      <c r="M310" s="86" t="str">
        <f>VLOOKUP(G310,[1]ListLoaded!$E$6:$T$674,16,0)</f>
        <v>ETHANOL</v>
      </c>
      <c r="N310" s="86">
        <f>VLOOKUP(G310,[1]ListLoaded!$E$6:$N$545,10,0)</f>
        <v>0</v>
      </c>
      <c r="O310" s="72" t="s">
        <v>1221</v>
      </c>
      <c r="P310" s="72">
        <f>VLOOKUP(G310,[1]ListLoaded!$E$6:$O$638,11,0)</f>
        <v>3</v>
      </c>
      <c r="Q310" s="84" t="str">
        <f t="shared" si="35"/>
        <v>F20DC</v>
      </c>
      <c r="R310" s="84" t="str">
        <f>VLOOKUP(G310,[1]ListLoaded!$E$6:$P$604,12,0)</f>
        <v>HAC260519148</v>
      </c>
      <c r="S310" s="15" t="e">
        <f>I310&amp;J310&amp;#REF!</f>
        <v>#REF!</v>
      </c>
      <c r="T310" s="84"/>
      <c r="U310" s="84"/>
      <c r="V310" s="84"/>
      <c r="X310" s="8"/>
      <c r="Y310" s="9"/>
      <c r="Z310" s="8"/>
      <c r="AA310" s="8"/>
      <c r="AB310" s="8"/>
      <c r="AC310" s="8"/>
      <c r="AD310" s="8"/>
      <c r="AE310" s="8"/>
      <c r="AF310" s="8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</row>
    <row r="311" spans="1:57" s="16" customFormat="1" ht="24.75" customHeight="1">
      <c r="A311" s="23">
        <v>301</v>
      </c>
      <c r="B311" s="24" t="s">
        <v>50</v>
      </c>
      <c r="C311" s="24" t="s">
        <v>1489</v>
      </c>
      <c r="D311" s="24" t="s">
        <v>83</v>
      </c>
      <c r="E311" s="74" t="s">
        <v>52</v>
      </c>
      <c r="F311" s="24" t="s">
        <v>52</v>
      </c>
      <c r="G311" s="83" t="s">
        <v>1025</v>
      </c>
      <c r="H311" s="83" t="str">
        <f>VLOOKUP(G311,[1]ListLoaded!$E$6:$F$544,2,0)</f>
        <v>030882</v>
      </c>
      <c r="I311" s="72" t="str">
        <f>VLOOKUP(G311,[1]ListLoaded!$E$6:$M$550,9,0)</f>
        <v>F</v>
      </c>
      <c r="J311" s="72" t="s">
        <v>31</v>
      </c>
      <c r="K311" s="140">
        <f>VLOOKUP(G311,[1]ListLoaded!$E$6:$L$537,8,0)</f>
        <v>20.22</v>
      </c>
      <c r="L311" s="83" t="str">
        <f>VLOOKUP(G311,[1]ListLoaded!$E$6:$S$645,15,0)</f>
        <v>1110197</v>
      </c>
      <c r="M311" s="86" t="str">
        <f>VLOOKUP(G311,[1]ListLoaded!$E$6:$T$674,16,0)</f>
        <v>BINH AC QUY</v>
      </c>
      <c r="N311" s="86">
        <f>VLOOKUP(G311,[1]ListLoaded!$E$6:$N$545,10,0)</f>
        <v>0</v>
      </c>
      <c r="O311" s="72" t="s">
        <v>1222</v>
      </c>
      <c r="P311" s="72">
        <f>VLOOKUP(G311,[1]ListLoaded!$E$6:$O$638,11,0)</f>
        <v>8</v>
      </c>
      <c r="Q311" s="84" t="str">
        <f t="shared" si="35"/>
        <v>F20DC</v>
      </c>
      <c r="R311" s="84" t="str">
        <f>VLOOKUP(G311,[1]ListLoaded!$E$6:$P$604,12,0)</f>
        <v>HAC260519148</v>
      </c>
      <c r="S311" s="15" t="e">
        <f>I311&amp;J311&amp;#REF!</f>
        <v>#REF!</v>
      </c>
      <c r="T311" s="84"/>
      <c r="U311" s="84"/>
      <c r="V311" s="84"/>
      <c r="X311" s="8"/>
      <c r="Y311" s="9"/>
      <c r="Z311" s="8"/>
      <c r="AA311" s="8"/>
      <c r="AB311" s="8"/>
      <c r="AC311" s="8"/>
      <c r="AD311" s="8"/>
      <c r="AE311" s="8"/>
      <c r="AF311" s="8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</row>
    <row r="312" spans="1:57" s="16" customFormat="1" ht="24.75" customHeight="1">
      <c r="A312" s="23">
        <v>302</v>
      </c>
      <c r="B312" s="24" t="s">
        <v>50</v>
      </c>
      <c r="C312" s="24" t="s">
        <v>1489</v>
      </c>
      <c r="D312" s="24" t="s">
        <v>83</v>
      </c>
      <c r="E312" s="74" t="s">
        <v>52</v>
      </c>
      <c r="F312" s="24" t="s">
        <v>52</v>
      </c>
      <c r="G312" s="83" t="s">
        <v>1026</v>
      </c>
      <c r="H312" s="83" t="str">
        <f>VLOOKUP(G312,[1]ListLoaded!$E$6:$F$544,2,0)</f>
        <v>020682</v>
      </c>
      <c r="I312" s="72" t="str">
        <f>VLOOKUP(G312,[1]ListLoaded!$E$6:$M$550,9,0)</f>
        <v>F</v>
      </c>
      <c r="J312" s="72" t="str">
        <f>VLOOKUP(G312,[1]ListLoaded!$E$6:$I$537,5,0)</f>
        <v>40HC</v>
      </c>
      <c r="K312" s="140">
        <f>VLOOKUP(G312,[1]ListLoaded!$E$6:$L$537,8,0)</f>
        <v>22.46</v>
      </c>
      <c r="L312" s="83" t="str">
        <f>VLOOKUP(G312,[1]ListLoaded!$E$6:$S$645,15,0)</f>
        <v>656194</v>
      </c>
      <c r="M312" s="86" t="str">
        <f>VLOOKUP(G312,[1]ListLoaded!$E$6:$T$674,16,0)</f>
        <v>CHAT TAY RUA</v>
      </c>
      <c r="N312" s="86">
        <f>VLOOKUP(G312,[1]ListLoaded!$E$6:$N$545,10,0)</f>
        <v>0</v>
      </c>
      <c r="O312" s="72" t="s">
        <v>1223</v>
      </c>
      <c r="P312" s="72">
        <f>VLOOKUP(G312,[1]ListLoaded!$E$6:$O$638,11,0)</f>
        <v>8</v>
      </c>
      <c r="Q312" s="84" t="str">
        <f t="shared" si="35"/>
        <v>F40HC</v>
      </c>
      <c r="R312" s="84" t="str">
        <f>VLOOKUP(G312,[1]ListLoaded!$E$6:$P$604,12,0)</f>
        <v>HAC260519148</v>
      </c>
      <c r="S312" s="15" t="e">
        <f>I312&amp;J312&amp;#REF!</f>
        <v>#REF!</v>
      </c>
      <c r="T312" s="84"/>
      <c r="U312" s="84"/>
      <c r="V312" s="84"/>
      <c r="X312" s="8"/>
      <c r="Y312" s="9"/>
      <c r="Z312" s="8"/>
      <c r="AA312" s="8"/>
      <c r="AB312" s="8"/>
      <c r="AC312" s="8"/>
      <c r="AD312" s="8"/>
      <c r="AE312" s="8"/>
      <c r="AF312" s="8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</row>
    <row r="313" spans="1:57" s="16" customFormat="1" ht="24.75" customHeight="1">
      <c r="A313" s="23">
        <v>303</v>
      </c>
      <c r="B313" s="24" t="s">
        <v>50</v>
      </c>
      <c r="C313" s="24" t="s">
        <v>1489</v>
      </c>
      <c r="D313" s="24" t="s">
        <v>83</v>
      </c>
      <c r="E313" s="74" t="s">
        <v>52</v>
      </c>
      <c r="F313" s="24" t="s">
        <v>52</v>
      </c>
      <c r="G313" s="83" t="s">
        <v>1027</v>
      </c>
      <c r="H313" s="83" t="str">
        <f>VLOOKUP(G313,[1]ListLoaded!$E$6:$F$544,2,0)</f>
        <v>060482</v>
      </c>
      <c r="I313" s="72" t="str">
        <f>VLOOKUP(G313,[1]ListLoaded!$E$6:$M$550,9,0)</f>
        <v>F</v>
      </c>
      <c r="J313" s="72" t="str">
        <f>VLOOKUP(G313,[1]ListLoaded!$E$6:$I$537,5,0)</f>
        <v>40HC</v>
      </c>
      <c r="K313" s="140">
        <f>VLOOKUP(G313,[1]ListLoaded!$E$6:$L$537,8,0)</f>
        <v>30.27</v>
      </c>
      <c r="L313" s="83" t="str">
        <f>VLOOKUP(G313,[1]ListLoaded!$E$6:$S$645,15,0)</f>
        <v>656191</v>
      </c>
      <c r="M313" s="86" t="str">
        <f>VLOOKUP(G313,[1]ListLoaded!$E$6:$T$674,16,0)</f>
        <v>IPA</v>
      </c>
      <c r="N313" s="86">
        <f>VLOOKUP(G313,[1]ListLoaded!$E$6:$N$545,10,0)</f>
        <v>0</v>
      </c>
      <c r="O313" s="72" t="s">
        <v>1224</v>
      </c>
      <c r="P313" s="72">
        <f>VLOOKUP(G313,[1]ListLoaded!$E$6:$O$638,11,0)</f>
        <v>3</v>
      </c>
      <c r="Q313" s="84" t="str">
        <f t="shared" si="35"/>
        <v>F40HC</v>
      </c>
      <c r="R313" s="84" t="str">
        <f>VLOOKUP(G313,[1]ListLoaded!$E$6:$P$604,12,0)</f>
        <v>HAC260519148</v>
      </c>
      <c r="S313" s="15" t="e">
        <f>I313&amp;J313&amp;#REF!</f>
        <v>#REF!</v>
      </c>
      <c r="T313" s="84"/>
      <c r="U313" s="84"/>
      <c r="V313" s="84"/>
      <c r="X313" s="8"/>
      <c r="Y313" s="9"/>
      <c r="Z313" s="8"/>
      <c r="AA313" s="8"/>
      <c r="AB313" s="8"/>
      <c r="AC313" s="8"/>
      <c r="AD313" s="8"/>
      <c r="AE313" s="8"/>
      <c r="AF313" s="8"/>
      <c r="AK313" s="3"/>
    </row>
    <row r="314" spans="1:57" s="16" customFormat="1" ht="24.75" customHeight="1">
      <c r="A314" s="23">
        <v>304</v>
      </c>
      <c r="B314" s="24" t="s">
        <v>50</v>
      </c>
      <c r="C314" s="24" t="s">
        <v>1489</v>
      </c>
      <c r="D314" s="24" t="s">
        <v>83</v>
      </c>
      <c r="E314" s="74" t="s">
        <v>52</v>
      </c>
      <c r="F314" s="24" t="s">
        <v>52</v>
      </c>
      <c r="G314" s="83" t="s">
        <v>1028</v>
      </c>
      <c r="H314" s="83" t="str">
        <f>VLOOKUP(G314,[1]ListLoaded!$E$6:$F$544,2,0)</f>
        <v>060682</v>
      </c>
      <c r="I314" s="72" t="str">
        <f>VLOOKUP(G314,[1]ListLoaded!$E$6:$M$550,9,0)</f>
        <v>F</v>
      </c>
      <c r="J314" s="72" t="str">
        <f>VLOOKUP(G314,[1]ListLoaded!$E$6:$I$537,5,0)</f>
        <v>40HC</v>
      </c>
      <c r="K314" s="140">
        <f>VLOOKUP(G314,[1]ListLoaded!$E$6:$L$537,8,0)</f>
        <v>31.06</v>
      </c>
      <c r="L314" s="83" t="str">
        <f>VLOOKUP(G314,[1]ListLoaded!$E$6:$S$645,15,0)</f>
        <v>656235</v>
      </c>
      <c r="M314" s="86" t="str">
        <f>VLOOKUP(G314,[1]ListLoaded!$E$6:$T$674,16,0)</f>
        <v>BUTYL ACETATE</v>
      </c>
      <c r="N314" s="86">
        <f>VLOOKUP(G314,[1]ListLoaded!$E$6:$N$545,10,0)</f>
        <v>0</v>
      </c>
      <c r="O314" s="72" t="s">
        <v>1225</v>
      </c>
      <c r="P314" s="72">
        <f>VLOOKUP(G314,[1]ListLoaded!$E$6:$O$638,11,0)</f>
        <v>3</v>
      </c>
      <c r="Q314" s="84" t="str">
        <f t="shared" si="35"/>
        <v>F40HC</v>
      </c>
      <c r="R314" s="84" t="str">
        <f>VLOOKUP(G314,[1]ListLoaded!$E$6:$P$604,12,0)</f>
        <v>HAC260519148</v>
      </c>
      <c r="S314" s="15" t="e">
        <f>I314&amp;J314&amp;#REF!</f>
        <v>#REF!</v>
      </c>
      <c r="T314" s="84"/>
      <c r="U314" s="84"/>
      <c r="V314" s="84"/>
      <c r="X314" s="8"/>
      <c r="Y314" s="9"/>
      <c r="Z314" s="8"/>
      <c r="AA314" s="8"/>
      <c r="AB314" s="8"/>
      <c r="AC314" s="8"/>
      <c r="AD314" s="8"/>
      <c r="AE314" s="8"/>
      <c r="AF314" s="8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</row>
    <row r="315" spans="1:57" s="16" customFormat="1" ht="24.75" customHeight="1">
      <c r="A315" s="23">
        <v>305</v>
      </c>
      <c r="B315" s="24" t="s">
        <v>50</v>
      </c>
      <c r="C315" s="24" t="s">
        <v>1489</v>
      </c>
      <c r="D315" s="24" t="s">
        <v>83</v>
      </c>
      <c r="E315" s="74" t="s">
        <v>52</v>
      </c>
      <c r="F315" s="24" t="s">
        <v>52</v>
      </c>
      <c r="G315" s="83" t="s">
        <v>1029</v>
      </c>
      <c r="H315" s="83" t="str">
        <f>VLOOKUP(G315,[1]ListLoaded!$E$6:$F$544,2,0)</f>
        <v>060282</v>
      </c>
      <c r="I315" s="72" t="str">
        <f>VLOOKUP(G315,[1]ListLoaded!$E$6:$M$550,9,0)</f>
        <v>F</v>
      </c>
      <c r="J315" s="72" t="str">
        <f>VLOOKUP(G315,[1]ListLoaded!$E$6:$I$537,5,0)</f>
        <v>40HC</v>
      </c>
      <c r="K315" s="140">
        <f>VLOOKUP(G315,[1]ListLoaded!$E$6:$L$537,8,0)</f>
        <v>30.14</v>
      </c>
      <c r="L315" s="83" t="str">
        <f>VLOOKUP(G315,[1]ListLoaded!$E$6:$S$645,15,0)</f>
        <v>656232</v>
      </c>
      <c r="M315" s="86" t="str">
        <f>VLOOKUP(G315,[1]ListLoaded!$E$6:$T$674,16,0)</f>
        <v>BUTYL
  ACETATE</v>
      </c>
      <c r="N315" s="86">
        <f>VLOOKUP(G315,[1]ListLoaded!$E$6:$N$545,10,0)</f>
        <v>0</v>
      </c>
      <c r="O315" s="72" t="s">
        <v>1225</v>
      </c>
      <c r="P315" s="72">
        <f>VLOOKUP(G315,[1]ListLoaded!$E$6:$O$638,11,0)</f>
        <v>3</v>
      </c>
      <c r="Q315" s="84" t="str">
        <f t="shared" si="35"/>
        <v>F40HC</v>
      </c>
      <c r="R315" s="84" t="str">
        <f>VLOOKUP(G315,[1]ListLoaded!$E$6:$P$604,12,0)</f>
        <v>HAC260519148</v>
      </c>
      <c r="S315" s="15" t="e">
        <f>I315&amp;J315&amp;#REF!</f>
        <v>#REF!</v>
      </c>
      <c r="T315" s="84"/>
      <c r="U315" s="84"/>
      <c r="V315" s="84"/>
      <c r="X315" s="8"/>
      <c r="Y315" s="9"/>
      <c r="Z315" s="8"/>
      <c r="AA315" s="8"/>
      <c r="AB315" s="8"/>
      <c r="AC315" s="8"/>
      <c r="AD315" s="8"/>
      <c r="AE315" s="8"/>
      <c r="AF315" s="8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</row>
    <row r="316" spans="1:57" s="16" customFormat="1" ht="24.75" customHeight="1">
      <c r="A316" s="23">
        <v>306</v>
      </c>
      <c r="B316" s="24" t="s">
        <v>50</v>
      </c>
      <c r="C316" s="24" t="s">
        <v>1489</v>
      </c>
      <c r="D316" s="24" t="s">
        <v>83</v>
      </c>
      <c r="E316" s="74" t="s">
        <v>52</v>
      </c>
      <c r="F316" s="24" t="s">
        <v>52</v>
      </c>
      <c r="G316" s="83" t="s">
        <v>1030</v>
      </c>
      <c r="H316" s="83" t="str">
        <f>VLOOKUP(G316,[1]ListLoaded!$E$6:$F$544,2,0)</f>
        <v>060882</v>
      </c>
      <c r="I316" s="72" t="str">
        <f>VLOOKUP(G316,[1]ListLoaded!$E$6:$M$550,9,0)</f>
        <v>F</v>
      </c>
      <c r="J316" s="72" t="str">
        <f>VLOOKUP(G316,[1]ListLoaded!$E$6:$I$537,5,0)</f>
        <v>40HC</v>
      </c>
      <c r="K316" s="140">
        <f>VLOOKUP(G316,[1]ListLoaded!$E$6:$L$537,8,0)</f>
        <v>31.65</v>
      </c>
      <c r="L316" s="83" t="str">
        <f>VLOOKUP(G316,[1]ListLoaded!$E$6:$S$645,15,0)</f>
        <v>656126</v>
      </c>
      <c r="M316" s="86" t="str">
        <f>VLOOKUP(G316,[1]ListLoaded!$E$6:$T$674,16,0)</f>
        <v>BUTYL ACETATE</v>
      </c>
      <c r="N316" s="86">
        <f>VLOOKUP(G316,[1]ListLoaded!$E$6:$N$545,10,0)</f>
        <v>0</v>
      </c>
      <c r="O316" s="72" t="s">
        <v>1225</v>
      </c>
      <c r="P316" s="72">
        <f>VLOOKUP(G316,[1]ListLoaded!$E$6:$O$638,11,0)</f>
        <v>3</v>
      </c>
      <c r="Q316" s="84" t="str">
        <f t="shared" si="35"/>
        <v>F40HC</v>
      </c>
      <c r="R316" s="84" t="str">
        <f>VLOOKUP(G316,[1]ListLoaded!$E$6:$P$604,12,0)</f>
        <v>HAC260519148</v>
      </c>
      <c r="S316" s="15" t="e">
        <f>I316&amp;J316&amp;#REF!</f>
        <v>#REF!</v>
      </c>
      <c r="T316" s="84"/>
      <c r="U316" s="84"/>
      <c r="V316" s="84"/>
      <c r="X316" s="8"/>
      <c r="Y316" s="9"/>
      <c r="Z316" s="8"/>
      <c r="AA316" s="8"/>
      <c r="AB316" s="8"/>
      <c r="AC316" s="8"/>
      <c r="AD316" s="8"/>
      <c r="AE316" s="8"/>
      <c r="AF316" s="8"/>
    </row>
    <row r="317" spans="1:57" s="16" customFormat="1" ht="24.75" customHeight="1">
      <c r="A317" s="23">
        <v>307</v>
      </c>
      <c r="B317" s="24" t="s">
        <v>50</v>
      </c>
      <c r="C317" s="24" t="s">
        <v>1489</v>
      </c>
      <c r="D317" s="24" t="s">
        <v>83</v>
      </c>
      <c r="E317" s="74" t="s">
        <v>52</v>
      </c>
      <c r="F317" s="24" t="s">
        <v>52</v>
      </c>
      <c r="G317" s="83" t="s">
        <v>1031</v>
      </c>
      <c r="H317" s="83" t="str">
        <f>VLOOKUP(G317,[1]ListLoaded!$E$6:$F$544,2,0)</f>
        <v>060182</v>
      </c>
      <c r="I317" s="72" t="str">
        <f>VLOOKUP(G317,[1]ListLoaded!$E$6:$M$550,9,0)</f>
        <v>F</v>
      </c>
      <c r="J317" s="72" t="str">
        <f>VLOOKUP(G317,[1]ListLoaded!$E$6:$I$537,5,0)</f>
        <v>40HC</v>
      </c>
      <c r="K317" s="140">
        <f>VLOOKUP(G317,[1]ListLoaded!$E$6:$L$537,8,0)</f>
        <v>31.71</v>
      </c>
      <c r="L317" s="83" t="str">
        <f>VLOOKUP(G317,[1]ListLoaded!$E$6:$S$645,15,0)</f>
        <v>656205</v>
      </c>
      <c r="M317" s="86" t="str">
        <f>VLOOKUP(G317,[1]ListLoaded!$E$6:$T$674,16,0)</f>
        <v>BUTYL ACETATE</v>
      </c>
      <c r="N317" s="86">
        <f>VLOOKUP(G317,[1]ListLoaded!$E$6:$N$545,10,0)</f>
        <v>0</v>
      </c>
      <c r="O317" s="72" t="s">
        <v>1225</v>
      </c>
      <c r="P317" s="72">
        <f>VLOOKUP(G317,[1]ListLoaded!$E$6:$O$638,11,0)</f>
        <v>3</v>
      </c>
      <c r="Q317" s="84" t="str">
        <f t="shared" si="35"/>
        <v>F40HC</v>
      </c>
      <c r="R317" s="84" t="str">
        <f>VLOOKUP(G317,[1]ListLoaded!$E$6:$P$604,12,0)</f>
        <v>HAC260519148</v>
      </c>
      <c r="S317" s="15" t="e">
        <f>I317&amp;J317&amp;#REF!</f>
        <v>#REF!</v>
      </c>
      <c r="T317" s="84"/>
      <c r="U317" s="84"/>
      <c r="V317" s="84"/>
      <c r="X317" s="8"/>
      <c r="Y317" s="9"/>
      <c r="Z317" s="8"/>
      <c r="AA317" s="8"/>
      <c r="AB317" s="8"/>
      <c r="AC317" s="8"/>
      <c r="AD317" s="8"/>
      <c r="AE317" s="8"/>
      <c r="AF317" s="8"/>
    </row>
    <row r="318" spans="1:57" s="16" customFormat="1" ht="24.75" customHeight="1">
      <c r="A318" s="23">
        <v>308</v>
      </c>
      <c r="B318" s="24" t="s">
        <v>50</v>
      </c>
      <c r="C318" s="24" t="s">
        <v>1489</v>
      </c>
      <c r="D318" s="24" t="s">
        <v>83</v>
      </c>
      <c r="E318" s="74" t="s">
        <v>52</v>
      </c>
      <c r="F318" s="24" t="s">
        <v>52</v>
      </c>
      <c r="G318" s="83" t="s">
        <v>1032</v>
      </c>
      <c r="H318" s="83" t="str">
        <f>VLOOKUP(G318,[1]ListLoaded!$E$6:$F$544,2,0)</f>
        <v>060782</v>
      </c>
      <c r="I318" s="72" t="str">
        <f>VLOOKUP(G318,[1]ListLoaded!$E$6:$M$550,9,0)</f>
        <v>F</v>
      </c>
      <c r="J318" s="72" t="str">
        <f>VLOOKUP(G318,[1]ListLoaded!$E$6:$I$537,5,0)</f>
        <v>40HC</v>
      </c>
      <c r="K318" s="140">
        <f>VLOOKUP(G318,[1]ListLoaded!$E$6:$L$537,8,0)</f>
        <v>30.74</v>
      </c>
      <c r="L318" s="83" t="str">
        <f>VLOOKUP(G318,[1]ListLoaded!$E$6:$S$645,15,0)</f>
        <v>656057</v>
      </c>
      <c r="M318" s="86" t="str">
        <f>VLOOKUP(G318,[1]ListLoaded!$E$6:$T$674,16,0)</f>
        <v>MEK</v>
      </c>
      <c r="N318" s="86">
        <f>VLOOKUP(G318,[1]ListLoaded!$E$6:$N$545,10,0)</f>
        <v>0</v>
      </c>
      <c r="O318" s="72" t="s">
        <v>1226</v>
      </c>
      <c r="P318" s="72">
        <f>VLOOKUP(G318,[1]ListLoaded!$E$6:$O$638,11,0)</f>
        <v>3</v>
      </c>
      <c r="Q318" s="84" t="str">
        <f t="shared" si="35"/>
        <v>F40HC</v>
      </c>
      <c r="R318" s="84" t="str">
        <f>VLOOKUP(G318,[1]ListLoaded!$E$6:$P$604,12,0)</f>
        <v>HAC260519148</v>
      </c>
      <c r="S318" s="15" t="e">
        <f>I318&amp;J318&amp;#REF!</f>
        <v>#REF!</v>
      </c>
      <c r="T318" s="84"/>
      <c r="U318" s="84"/>
      <c r="V318" s="84"/>
      <c r="X318" s="8"/>
      <c r="Y318" s="9"/>
      <c r="Z318" s="8"/>
      <c r="AA318" s="8"/>
      <c r="AB318" s="8"/>
      <c r="AC318" s="8"/>
      <c r="AD318" s="8"/>
      <c r="AE318" s="8"/>
      <c r="AF318" s="8"/>
    </row>
    <row r="319" spans="1:57" s="16" customFormat="1" ht="24.75" customHeight="1">
      <c r="A319" s="23">
        <v>309</v>
      </c>
      <c r="B319" s="24" t="s">
        <v>50</v>
      </c>
      <c r="C319" s="24" t="s">
        <v>1489</v>
      </c>
      <c r="D319" s="24" t="s">
        <v>83</v>
      </c>
      <c r="E319" s="74" t="s">
        <v>52</v>
      </c>
      <c r="F319" s="24" t="s">
        <v>52</v>
      </c>
      <c r="G319" s="83" t="s">
        <v>627</v>
      </c>
      <c r="H319" s="83" t="str">
        <f>VLOOKUP(G319,[1]ListLoaded!$E$6:$F$544,2,0)</f>
        <v>020382</v>
      </c>
      <c r="I319" s="72" t="str">
        <f>VLOOKUP(G319,[1]ListLoaded!$E$6:$M$550,9,0)</f>
        <v>F</v>
      </c>
      <c r="J319" s="72" t="str">
        <f>VLOOKUP(G319,[1]ListLoaded!$E$6:$I$537,5,0)</f>
        <v>40HC</v>
      </c>
      <c r="K319" s="140">
        <f>VLOOKUP(G319,[1]ListLoaded!$E$6:$L$537,8,0)</f>
        <v>28.31</v>
      </c>
      <c r="L319" s="83" t="str">
        <f>VLOOKUP(G319,[1]ListLoaded!$E$6:$S$645,15,0)</f>
        <v>656113</v>
      </c>
      <c r="M319" s="86" t="str">
        <f>VLOOKUP(G319,[1]ListLoaded!$E$6:$T$674,16,0)</f>
        <v>TOPSOL 3040A</v>
      </c>
      <c r="N319" s="86">
        <f>VLOOKUP(G319,[1]ListLoaded!$E$6:$N$545,10,0)</f>
        <v>0</v>
      </c>
      <c r="O319" s="72" t="s">
        <v>1227</v>
      </c>
      <c r="P319" s="72">
        <f>VLOOKUP(G319,[1]ListLoaded!$E$6:$O$638,11,0)</f>
        <v>3</v>
      </c>
      <c r="Q319" s="84" t="str">
        <f t="shared" si="35"/>
        <v>F40HC</v>
      </c>
      <c r="R319" s="84" t="str">
        <f>VLOOKUP(G319,[1]ListLoaded!$E$6:$P$604,12,0)</f>
        <v>HAC260519148</v>
      </c>
      <c r="S319" s="15" t="e">
        <f>I319&amp;J319&amp;#REF!</f>
        <v>#REF!</v>
      </c>
      <c r="T319" s="84"/>
      <c r="U319" s="84"/>
      <c r="V319" s="84"/>
      <c r="X319" s="8"/>
      <c r="Y319" s="9"/>
      <c r="Z319" s="8"/>
      <c r="AA319" s="8"/>
      <c r="AB319" s="8"/>
      <c r="AC319" s="8"/>
      <c r="AD319" s="8"/>
      <c r="AE319" s="8"/>
      <c r="AF319" s="8"/>
    </row>
    <row r="320" spans="1:57" s="16" customFormat="1" ht="24.75" customHeight="1">
      <c r="A320" s="23">
        <v>310</v>
      </c>
      <c r="B320" s="24" t="s">
        <v>50</v>
      </c>
      <c r="C320" s="24" t="s">
        <v>1489</v>
      </c>
      <c r="D320" s="24" t="s">
        <v>83</v>
      </c>
      <c r="E320" s="74" t="s">
        <v>52</v>
      </c>
      <c r="F320" s="24" t="s">
        <v>52</v>
      </c>
      <c r="G320" s="83" t="s">
        <v>1033</v>
      </c>
      <c r="H320" s="83" t="str">
        <f>VLOOKUP(G320,[1]ListLoaded!$E$6:$F$544,2,0)</f>
        <v>220206</v>
      </c>
      <c r="I320" s="72" t="str">
        <f>VLOOKUP(G320,[1]ListLoaded!$E$6:$M$550,9,0)</f>
        <v>F</v>
      </c>
      <c r="J320" s="72" t="str">
        <f>VLOOKUP(G320,[1]ListLoaded!$E$6:$I$537,5,0)</f>
        <v>40HC</v>
      </c>
      <c r="K320" s="140">
        <f>VLOOKUP(G320,[1]ListLoaded!$E$6:$L$537,8,0)</f>
        <v>31.6</v>
      </c>
      <c r="L320" s="83" t="str">
        <f>VLOOKUP(G320,[1]ListLoaded!$E$6:$S$645,15,0)</f>
        <v>28912029</v>
      </c>
      <c r="M320" s="86" t="str">
        <f>VLOOKUP(G320,[1]ListLoaded!$E$6:$T$674,16,0)</f>
        <v>SON</v>
      </c>
      <c r="N320" s="86">
        <f>VLOOKUP(G320,[1]ListLoaded!$E$6:$N$545,10,0)</f>
        <v>0</v>
      </c>
      <c r="O320" s="72"/>
      <c r="P320" s="72">
        <f>VLOOKUP(G320,[1]ListLoaded!$E$6:$O$638,11,0)</f>
        <v>0</v>
      </c>
      <c r="Q320" s="84" t="str">
        <f t="shared" si="35"/>
        <v>F40HC</v>
      </c>
      <c r="R320" s="84" t="str">
        <f>VLOOKUP(G320,[1]ListLoaded!$E$6:$P$604,12,0)</f>
        <v>HAC260519148</v>
      </c>
      <c r="S320" s="15" t="e">
        <f>I320&amp;J320&amp;#REF!</f>
        <v>#REF!</v>
      </c>
      <c r="T320" s="84"/>
      <c r="U320" s="84"/>
      <c r="V320" s="84"/>
      <c r="X320" s="8"/>
      <c r="Y320" s="9"/>
      <c r="Z320" s="8"/>
      <c r="AA320" s="8"/>
      <c r="AB320" s="8"/>
      <c r="AC320" s="8"/>
      <c r="AD320" s="8"/>
      <c r="AE320" s="8"/>
      <c r="AF320" s="8"/>
    </row>
    <row r="321" spans="1:57" s="16" customFormat="1" ht="24.75" customHeight="1">
      <c r="A321" s="23">
        <v>311</v>
      </c>
      <c r="B321" s="24" t="s">
        <v>50</v>
      </c>
      <c r="C321" s="24" t="s">
        <v>1489</v>
      </c>
      <c r="D321" s="24" t="s">
        <v>83</v>
      </c>
      <c r="E321" s="143" t="s">
        <v>1488</v>
      </c>
      <c r="F321" s="24" t="s">
        <v>52</v>
      </c>
      <c r="G321" s="83" t="s">
        <v>1209</v>
      </c>
      <c r="H321" s="83" t="s">
        <v>1478</v>
      </c>
      <c r="I321" s="72" t="s">
        <v>531</v>
      </c>
      <c r="J321" s="72" t="s">
        <v>37</v>
      </c>
      <c r="K321" s="140">
        <v>3.8</v>
      </c>
      <c r="L321" s="83" t="s">
        <v>69</v>
      </c>
      <c r="M321" s="86" t="s">
        <v>56</v>
      </c>
      <c r="N321" s="86">
        <v>0</v>
      </c>
      <c r="O321" s="72" t="s">
        <v>1232</v>
      </c>
      <c r="P321" s="72">
        <v>0</v>
      </c>
      <c r="Q321" s="84" t="str">
        <f t="shared" si="35"/>
        <v>E40HC</v>
      </c>
      <c r="R321" s="84" t="s">
        <v>1462</v>
      </c>
      <c r="S321" s="15" t="s">
        <v>1463</v>
      </c>
      <c r="T321" s="84"/>
      <c r="U321" s="84"/>
      <c r="V321" s="84"/>
      <c r="X321" s="8"/>
      <c r="Y321" s="9"/>
      <c r="Z321" s="8"/>
      <c r="AA321" s="8"/>
      <c r="AB321" s="8"/>
      <c r="AC321" s="8"/>
      <c r="AD321" s="8"/>
      <c r="AE321" s="8"/>
      <c r="AF321" s="8"/>
    </row>
    <row r="322" spans="1:57" s="16" customFormat="1" ht="24.75" customHeight="1">
      <c r="A322" s="23">
        <v>312</v>
      </c>
      <c r="B322" s="24" t="s">
        <v>50</v>
      </c>
      <c r="C322" s="24" t="s">
        <v>1489</v>
      </c>
      <c r="D322" s="24" t="s">
        <v>83</v>
      </c>
      <c r="E322" s="74" t="s">
        <v>52</v>
      </c>
      <c r="F322" s="24" t="s">
        <v>52</v>
      </c>
      <c r="G322" s="83" t="s">
        <v>1034</v>
      </c>
      <c r="H322" s="83" t="str">
        <f>VLOOKUP(G322,[1]ListLoaded!$E$6:$F$544,2,0)</f>
        <v>140886</v>
      </c>
      <c r="I322" s="72" t="str">
        <f>VLOOKUP(G322,[1]ListLoaded!$E$6:$M$550,9,0)</f>
        <v>F</v>
      </c>
      <c r="J322" s="72" t="str">
        <f>VLOOKUP(G322,[1]ListLoaded!$E$6:$I$537,5,0)</f>
        <v>40HC</v>
      </c>
      <c r="K322" s="140">
        <f>VLOOKUP(G322,[1]ListLoaded!$E$6:$L$537,8,0)</f>
        <v>7.42</v>
      </c>
      <c r="L322" s="83" t="str">
        <f>VLOOKUP(G322,[1]ListLoaded!$E$6:$S$645,15,0)</f>
        <v>656233</v>
      </c>
      <c r="M322" s="86" t="str">
        <f>VLOOKUP(G322,[1]ListLoaded!$E$6:$T$674,16,0)</f>
        <v>KHUNG
  NHOM</v>
      </c>
      <c r="N322" s="86">
        <f>VLOOKUP(G322,[1]ListLoaded!$E$6:$N$545,10,0)</f>
        <v>0</v>
      </c>
      <c r="O322" s="72"/>
      <c r="P322" s="72">
        <f>VLOOKUP(G322,[1]ListLoaded!$E$6:$O$638,11,0)</f>
        <v>0</v>
      </c>
      <c r="Q322" s="84" t="str">
        <f t="shared" si="35"/>
        <v>F40HC</v>
      </c>
      <c r="R322" s="84" t="str">
        <f>VLOOKUP(G322,[1]ListLoaded!$E$6:$P$604,12,0)</f>
        <v>HAC260519148</v>
      </c>
      <c r="S322" s="15" t="e">
        <f>I322&amp;J322&amp;#REF!</f>
        <v>#REF!</v>
      </c>
      <c r="T322" s="84"/>
      <c r="U322" s="84"/>
      <c r="V322" s="84"/>
      <c r="X322" s="8"/>
      <c r="Y322" s="9"/>
      <c r="Z322" s="8"/>
      <c r="AA322" s="8"/>
      <c r="AB322" s="8"/>
      <c r="AC322" s="8"/>
      <c r="AD322" s="8"/>
      <c r="AE322" s="8"/>
      <c r="AF322" s="8"/>
    </row>
    <row r="323" spans="1:57" s="16" customFormat="1" ht="24.75" customHeight="1">
      <c r="A323" s="23">
        <v>313</v>
      </c>
      <c r="B323" s="24" t="s">
        <v>50</v>
      </c>
      <c r="C323" s="24" t="s">
        <v>1489</v>
      </c>
      <c r="D323" s="24" t="s">
        <v>83</v>
      </c>
      <c r="E323" s="74" t="s">
        <v>52</v>
      </c>
      <c r="F323" s="24" t="s">
        <v>52</v>
      </c>
      <c r="G323" s="83" t="s">
        <v>1035</v>
      </c>
      <c r="H323" s="83" t="str">
        <f>VLOOKUP(G323,[1]ListLoaded!$E$6:$F$544,2,0)</f>
        <v>140602</v>
      </c>
      <c r="I323" s="72" t="str">
        <f>VLOOKUP(G323,[1]ListLoaded!$E$6:$M$550,9,0)</f>
        <v>F</v>
      </c>
      <c r="J323" s="72" t="str">
        <f>VLOOKUP(G323,[1]ListLoaded!$E$6:$I$537,5,0)</f>
        <v>40HC</v>
      </c>
      <c r="K323" s="140">
        <f>VLOOKUP(G323,[1]ListLoaded!$E$6:$L$537,8,0)</f>
        <v>32.450000000000003</v>
      </c>
      <c r="L323" s="83" t="str">
        <f>VLOOKUP(G323,[1]ListLoaded!$E$6:$S$645,15,0)</f>
        <v>659101</v>
      </c>
      <c r="M323" s="86" t="str">
        <f>VLOOKUP(G323,[1]ListLoaded!$E$6:$T$674,16,0)</f>
        <v>CAM?</v>
      </c>
      <c r="N323" s="86">
        <f>VLOOKUP(G323,[1]ListLoaded!$E$6:$N$545,10,0)</f>
        <v>0</v>
      </c>
      <c r="O323" s="72"/>
      <c r="P323" s="72">
        <f>VLOOKUP(G323,[1]ListLoaded!$E$6:$O$638,11,0)</f>
        <v>0</v>
      </c>
      <c r="Q323" s="84" t="str">
        <f t="shared" si="35"/>
        <v>F40HC</v>
      </c>
      <c r="R323" s="84" t="str">
        <f>VLOOKUP(G323,[1]ListLoaded!$E$6:$P$604,12,0)</f>
        <v>HAC260519148</v>
      </c>
      <c r="S323" s="15" t="e">
        <f>I323&amp;J323&amp;#REF!</f>
        <v>#REF!</v>
      </c>
      <c r="T323" s="84"/>
      <c r="U323" s="84"/>
      <c r="V323" s="84"/>
      <c r="X323" s="8"/>
      <c r="Y323" s="9"/>
      <c r="Z323" s="8"/>
      <c r="AA323" s="8"/>
      <c r="AB323" s="8"/>
      <c r="AC323" s="8"/>
      <c r="AD323" s="8"/>
      <c r="AE323" s="8"/>
      <c r="AF323" s="8"/>
    </row>
    <row r="324" spans="1:57" s="16" customFormat="1" ht="24.75" customHeight="1">
      <c r="A324" s="23">
        <v>314</v>
      </c>
      <c r="B324" s="24" t="s">
        <v>50</v>
      </c>
      <c r="C324" s="24" t="s">
        <v>1489</v>
      </c>
      <c r="D324" s="24" t="s">
        <v>83</v>
      </c>
      <c r="E324" s="74" t="s">
        <v>52</v>
      </c>
      <c r="F324" s="24" t="s">
        <v>52</v>
      </c>
      <c r="G324" s="83" t="s">
        <v>1036</v>
      </c>
      <c r="H324" s="83" t="str">
        <f>VLOOKUP(G324,[1]ListLoaded!$E$6:$F$544,2,0)</f>
        <v>070304</v>
      </c>
      <c r="I324" s="72" t="str">
        <f>VLOOKUP(G324,[1]ListLoaded!$E$6:$M$550,9,0)</f>
        <v>F</v>
      </c>
      <c r="J324" s="72" t="s">
        <v>31</v>
      </c>
      <c r="K324" s="140">
        <f>VLOOKUP(G324,[1]ListLoaded!$E$6:$L$537,8,0)</f>
        <v>30.38</v>
      </c>
      <c r="L324" s="83" t="str">
        <f>VLOOKUP(G324,[1]ListLoaded!$E$6:$S$645,15,0)</f>
        <v>23367160</v>
      </c>
      <c r="M324" s="86" t="str">
        <f>VLOOKUP(G324,[1]ListLoaded!$E$6:$T$674,16,0)</f>
        <v>GAO</v>
      </c>
      <c r="N324" s="86">
        <f>VLOOKUP(G324,[1]ListLoaded!$E$6:$N$545,10,0)</f>
        <v>0</v>
      </c>
      <c r="O324" s="72"/>
      <c r="P324" s="72">
        <f>VLOOKUP(G324,[1]ListLoaded!$E$6:$O$638,11,0)</f>
        <v>0</v>
      </c>
      <c r="Q324" s="84" t="str">
        <f t="shared" si="35"/>
        <v>F20DC</v>
      </c>
      <c r="R324" s="84" t="str">
        <f>VLOOKUP(G324,[1]ListLoaded!$E$6:$P$604,12,0)</f>
        <v>HAC260520116</v>
      </c>
      <c r="S324" s="15" t="e">
        <f>I324&amp;J324&amp;#REF!</f>
        <v>#REF!</v>
      </c>
      <c r="T324" s="84"/>
      <c r="U324" s="84"/>
      <c r="V324" s="84"/>
      <c r="X324" s="8"/>
      <c r="Y324" s="9"/>
      <c r="Z324" s="8"/>
      <c r="AA324" s="8"/>
      <c r="AB324" s="8"/>
      <c r="AC324" s="8"/>
      <c r="AD324" s="8"/>
      <c r="AE324" s="8"/>
      <c r="AF324" s="8"/>
    </row>
    <row r="325" spans="1:57" s="16" customFormat="1" ht="24.75" customHeight="1">
      <c r="A325" s="23">
        <v>315</v>
      </c>
      <c r="B325" s="24" t="s">
        <v>50</v>
      </c>
      <c r="C325" s="24" t="s">
        <v>1489</v>
      </c>
      <c r="D325" s="24" t="s">
        <v>83</v>
      </c>
      <c r="E325" s="74" t="s">
        <v>52</v>
      </c>
      <c r="F325" s="24" t="s">
        <v>52</v>
      </c>
      <c r="G325" s="83" t="s">
        <v>1037</v>
      </c>
      <c r="H325" s="83" t="str">
        <f>VLOOKUP(G325,[1]ListLoaded!$E$6:$F$544,2,0)</f>
        <v>050406</v>
      </c>
      <c r="I325" s="72" t="str">
        <f>VLOOKUP(G325,[1]ListLoaded!$E$6:$M$550,9,0)</f>
        <v>F</v>
      </c>
      <c r="J325" s="72" t="s">
        <v>31</v>
      </c>
      <c r="K325" s="140">
        <f>VLOOKUP(G325,[1]ListLoaded!$E$6:$L$537,8,0)</f>
        <v>30.17</v>
      </c>
      <c r="L325" s="83" t="str">
        <f>VLOOKUP(G325,[1]ListLoaded!$E$6:$S$645,15,0)</f>
        <v>23391785</v>
      </c>
      <c r="M325" s="86" t="str">
        <f>VLOOKUP(G325,[1]ListLoaded!$E$6:$T$674,16,0)</f>
        <v>GAO</v>
      </c>
      <c r="N325" s="86">
        <f>VLOOKUP(G325,[1]ListLoaded!$E$6:$N$545,10,0)</f>
        <v>0</v>
      </c>
      <c r="O325" s="72"/>
      <c r="P325" s="72">
        <f>VLOOKUP(G325,[1]ListLoaded!$E$6:$O$638,11,0)</f>
        <v>0</v>
      </c>
      <c r="Q325" s="84" t="str">
        <f t="shared" si="35"/>
        <v>F20DC</v>
      </c>
      <c r="R325" s="84" t="str">
        <f>VLOOKUP(G325,[1]ListLoaded!$E$6:$P$604,12,0)</f>
        <v>HAC260520116</v>
      </c>
      <c r="S325" s="15" t="s">
        <v>614</v>
      </c>
      <c r="T325" s="84"/>
      <c r="U325" s="84"/>
      <c r="V325" s="84"/>
      <c r="X325" s="8"/>
      <c r="Y325" s="9"/>
      <c r="Z325" s="8"/>
      <c r="AA325" s="8"/>
      <c r="AB325" s="8"/>
      <c r="AC325" s="8"/>
      <c r="AD325" s="8"/>
      <c r="AE325" s="8"/>
      <c r="AF325" s="8"/>
    </row>
    <row r="326" spans="1:57" s="16" customFormat="1" ht="24.75" customHeight="1">
      <c r="A326" s="23">
        <v>316</v>
      </c>
      <c r="B326" s="24" t="s">
        <v>50</v>
      </c>
      <c r="C326" s="24" t="s">
        <v>1489</v>
      </c>
      <c r="D326" s="24" t="s">
        <v>83</v>
      </c>
      <c r="E326" s="74" t="s">
        <v>52</v>
      </c>
      <c r="F326" s="24" t="s">
        <v>52</v>
      </c>
      <c r="G326" s="83" t="s">
        <v>1038</v>
      </c>
      <c r="H326" s="83" t="str">
        <f>VLOOKUP(G326,[1]ListLoaded!$E$6:$F$544,2,0)</f>
        <v>030104</v>
      </c>
      <c r="I326" s="72" t="str">
        <f>VLOOKUP(G326,[1]ListLoaded!$E$6:$M$550,9,0)</f>
        <v>F</v>
      </c>
      <c r="J326" s="72" t="s">
        <v>31</v>
      </c>
      <c r="K326" s="140">
        <f>VLOOKUP(G326,[1]ListLoaded!$E$6:$L$537,8,0)</f>
        <v>29.86</v>
      </c>
      <c r="L326" s="83" t="str">
        <f>VLOOKUP(G326,[1]ListLoaded!$E$6:$S$645,15,0)</f>
        <v>23382455</v>
      </c>
      <c r="M326" s="86" t="str">
        <f>VLOOKUP(G326,[1]ListLoaded!$E$6:$T$674,16,0)</f>
        <v>GAO</v>
      </c>
      <c r="N326" s="86">
        <f>VLOOKUP(G326,[1]ListLoaded!$E$6:$N$545,10,0)</f>
        <v>0</v>
      </c>
      <c r="O326" s="72"/>
      <c r="P326" s="72">
        <f>VLOOKUP(G326,[1]ListLoaded!$E$6:$O$638,11,0)</f>
        <v>0</v>
      </c>
      <c r="Q326" s="84" t="str">
        <f t="shared" si="35"/>
        <v>F20DC</v>
      </c>
      <c r="R326" s="84" t="str">
        <f>VLOOKUP(G326,[1]ListLoaded!$E$6:$P$604,12,0)</f>
        <v>HAC260520116</v>
      </c>
      <c r="S326" s="15" t="e">
        <f>I326&amp;J326&amp;#REF!</f>
        <v>#REF!</v>
      </c>
      <c r="T326" s="84"/>
      <c r="U326" s="84"/>
      <c r="V326" s="84"/>
      <c r="X326" s="8"/>
      <c r="Y326" s="9"/>
      <c r="Z326" s="8"/>
      <c r="AA326" s="8"/>
      <c r="AB326" s="8"/>
      <c r="AC326" s="8"/>
      <c r="AD326" s="8"/>
      <c r="AE326" s="8"/>
      <c r="AF326" s="8"/>
    </row>
    <row r="327" spans="1:57" s="16" customFormat="1" ht="24.75" customHeight="1">
      <c r="A327" s="23">
        <v>317</v>
      </c>
      <c r="B327" s="24" t="s">
        <v>50</v>
      </c>
      <c r="C327" s="24" t="s">
        <v>1489</v>
      </c>
      <c r="D327" s="24" t="s">
        <v>83</v>
      </c>
      <c r="E327" s="74" t="s">
        <v>52</v>
      </c>
      <c r="F327" s="24" t="s">
        <v>52</v>
      </c>
      <c r="G327" s="83" t="s">
        <v>1039</v>
      </c>
      <c r="H327" s="83" t="str">
        <f>VLOOKUP(G327,[1]ListLoaded!$E$6:$F$544,2,0)</f>
        <v>070404</v>
      </c>
      <c r="I327" s="72" t="str">
        <f>VLOOKUP(G327,[1]ListLoaded!$E$6:$M$550,9,0)</f>
        <v>F</v>
      </c>
      <c r="J327" s="72" t="s">
        <v>31</v>
      </c>
      <c r="K327" s="140">
        <f>VLOOKUP(G327,[1]ListLoaded!$E$6:$L$537,8,0)</f>
        <v>30.44</v>
      </c>
      <c r="L327" s="83" t="str">
        <f>VLOOKUP(G327,[1]ListLoaded!$E$6:$S$645,15,0)</f>
        <v>340058</v>
      </c>
      <c r="M327" s="86" t="str">
        <f>VLOOKUP(G327,[1]ListLoaded!$E$6:$T$674,16,0)</f>
        <v>GAO</v>
      </c>
      <c r="N327" s="86">
        <f>VLOOKUP(G327,[1]ListLoaded!$E$6:$N$545,10,0)</f>
        <v>0</v>
      </c>
      <c r="O327" s="72"/>
      <c r="P327" s="72">
        <f>VLOOKUP(G327,[1]ListLoaded!$E$6:$O$638,11,0)</f>
        <v>0</v>
      </c>
      <c r="Q327" s="84" t="str">
        <f t="shared" si="35"/>
        <v>F20DC</v>
      </c>
      <c r="R327" s="84" t="str">
        <f>VLOOKUP(G327,[1]ListLoaded!$E$6:$P$604,12,0)</f>
        <v>HAC260520116</v>
      </c>
      <c r="S327" s="15" t="e">
        <f>I327&amp;J327&amp;#REF!</f>
        <v>#REF!</v>
      </c>
      <c r="T327" s="84"/>
      <c r="U327" s="84"/>
      <c r="V327" s="84"/>
      <c r="X327" s="8"/>
      <c r="Y327" s="9"/>
      <c r="Z327" s="8"/>
      <c r="AA327" s="8"/>
      <c r="AB327" s="8"/>
      <c r="AC327" s="8"/>
      <c r="AD327" s="8"/>
      <c r="AE327" s="8"/>
      <c r="AF327" s="8"/>
    </row>
    <row r="328" spans="1:57" ht="24.75" customHeight="1">
      <c r="A328" s="23">
        <v>318</v>
      </c>
      <c r="B328" s="24" t="s">
        <v>50</v>
      </c>
      <c r="C328" s="24" t="s">
        <v>1489</v>
      </c>
      <c r="D328" s="24" t="s">
        <v>83</v>
      </c>
      <c r="E328" s="74" t="s">
        <v>52</v>
      </c>
      <c r="F328" s="24" t="s">
        <v>52</v>
      </c>
      <c r="G328" s="83" t="s">
        <v>1040</v>
      </c>
      <c r="H328" s="83" t="str">
        <f>VLOOKUP(G328,[1]ListLoaded!$E$6:$F$544,2,0)</f>
        <v>110504</v>
      </c>
      <c r="I328" s="72" t="str">
        <f>VLOOKUP(G328,[1]ListLoaded!$E$6:$M$550,9,0)</f>
        <v>F</v>
      </c>
      <c r="J328" s="72" t="s">
        <v>31</v>
      </c>
      <c r="K328" s="140">
        <f>VLOOKUP(G328,[1]ListLoaded!$E$6:$L$537,8,0)</f>
        <v>29.77</v>
      </c>
      <c r="L328" s="83" t="str">
        <f>VLOOKUP(G328,[1]ListLoaded!$E$6:$S$645,15,0)</f>
        <v>340188</v>
      </c>
      <c r="M328" s="86" t="str">
        <f>VLOOKUP(G328,[1]ListLoaded!$E$6:$T$674,16,0)</f>
        <v>GACH</v>
      </c>
      <c r="N328" s="86">
        <f>VLOOKUP(G328,[1]ListLoaded!$E$6:$N$545,10,0)</f>
        <v>0</v>
      </c>
      <c r="O328" s="72"/>
      <c r="P328" s="72">
        <f>VLOOKUP(G328,[1]ListLoaded!$E$6:$O$638,11,0)</f>
        <v>0</v>
      </c>
      <c r="Q328" s="84" t="str">
        <f t="shared" si="35"/>
        <v>F20DC</v>
      </c>
      <c r="R328" s="84" t="str">
        <f>VLOOKUP(G328,[1]ListLoaded!$E$6:$P$604,12,0)</f>
        <v>HAC260520116</v>
      </c>
      <c r="S328" s="15" t="e">
        <f>I328&amp;J328&amp;#REF!</f>
        <v>#REF!</v>
      </c>
      <c r="T328" s="84"/>
      <c r="U328" s="84"/>
      <c r="V328" s="84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</row>
    <row r="329" spans="1:57" ht="25.5" customHeight="1">
      <c r="A329" s="23">
        <v>319</v>
      </c>
      <c r="B329" s="24" t="s">
        <v>50</v>
      </c>
      <c r="C329" s="24" t="s">
        <v>1489</v>
      </c>
      <c r="D329" s="24" t="s">
        <v>83</v>
      </c>
      <c r="E329" s="74" t="s">
        <v>52</v>
      </c>
      <c r="F329" s="24" t="s">
        <v>52</v>
      </c>
      <c r="G329" s="83" t="s">
        <v>1041</v>
      </c>
      <c r="H329" s="83" t="str">
        <f>VLOOKUP(G329,[1]ListLoaded!$E$6:$F$544,2,0)</f>
        <v>050508</v>
      </c>
      <c r="I329" s="72" t="str">
        <f>VLOOKUP(G329,[1]ListLoaded!$E$6:$M$550,9,0)</f>
        <v>F</v>
      </c>
      <c r="J329" s="72" t="s">
        <v>31</v>
      </c>
      <c r="K329" s="140">
        <f>VLOOKUP(G329,[1]ListLoaded!$E$6:$L$537,8,0)</f>
        <v>22.05</v>
      </c>
      <c r="L329" s="83" t="str">
        <f>VLOOKUP(G329,[1]ListLoaded!$E$6:$S$645,15,0)</f>
        <v>23146730</v>
      </c>
      <c r="M329" s="86" t="str">
        <f>VLOOKUP(G329,[1]ListLoaded!$E$6:$T$674,16,0)</f>
        <v>CAM</v>
      </c>
      <c r="N329" s="86">
        <f>VLOOKUP(G329,[1]ListLoaded!$E$6:$N$545,10,0)</f>
        <v>0</v>
      </c>
      <c r="O329" s="72"/>
      <c r="P329" s="72">
        <f>VLOOKUP(G329,[1]ListLoaded!$E$6:$O$638,11,0)</f>
        <v>0</v>
      </c>
      <c r="Q329" s="84" t="str">
        <f t="shared" si="35"/>
        <v>F20DC</v>
      </c>
      <c r="R329" s="84" t="str">
        <f>VLOOKUP(G329,[1]ListLoaded!$E$6:$P$604,12,0)</f>
        <v>HAC260520116</v>
      </c>
      <c r="S329" s="15" t="e">
        <f>I329&amp;J329&amp;#REF!</f>
        <v>#REF!</v>
      </c>
      <c r="T329" s="84"/>
      <c r="U329" s="84"/>
      <c r="V329" s="84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</row>
    <row r="330" spans="1:57" ht="24.75" customHeight="1">
      <c r="A330" s="23">
        <v>320</v>
      </c>
      <c r="B330" s="24" t="s">
        <v>50</v>
      </c>
      <c r="C330" s="24" t="s">
        <v>1489</v>
      </c>
      <c r="D330" s="24" t="s">
        <v>83</v>
      </c>
      <c r="E330" s="74" t="s">
        <v>52</v>
      </c>
      <c r="F330" s="24" t="s">
        <v>52</v>
      </c>
      <c r="G330" s="83" t="s">
        <v>1042</v>
      </c>
      <c r="H330" s="83" t="str">
        <f>VLOOKUP(G330,[1]ListLoaded!$E$6:$F$544,2,0)</f>
        <v>030308</v>
      </c>
      <c r="I330" s="72" t="str">
        <f>VLOOKUP(G330,[1]ListLoaded!$E$6:$M$550,9,0)</f>
        <v>F</v>
      </c>
      <c r="J330" s="72" t="s">
        <v>31</v>
      </c>
      <c r="K330" s="140">
        <f>VLOOKUP(G330,[1]ListLoaded!$E$6:$L$537,8,0)</f>
        <v>25.35</v>
      </c>
      <c r="L330" s="83" t="str">
        <f>VLOOKUP(G330,[1]ListLoaded!$E$6:$S$645,15,0)</f>
        <v>011483</v>
      </c>
      <c r="M330" s="86" t="str">
        <f>VLOOKUP(G330,[1]ListLoaded!$E$6:$T$674,16,0)</f>
        <v>GAXH</v>
      </c>
      <c r="N330" s="86">
        <f>VLOOKUP(G330,[1]ListLoaded!$E$6:$N$545,10,0)</f>
        <v>0</v>
      </c>
      <c r="O330" s="72"/>
      <c r="P330" s="72">
        <f>VLOOKUP(G330,[1]ListLoaded!$E$6:$O$638,11,0)</f>
        <v>0</v>
      </c>
      <c r="Q330" s="84" t="str">
        <f t="shared" si="35"/>
        <v>F20DC</v>
      </c>
      <c r="R330" s="84" t="str">
        <f>VLOOKUP(G330,[1]ListLoaded!$E$6:$P$604,12,0)</f>
        <v>HAC260520116</v>
      </c>
      <c r="S330" s="15" t="e">
        <f>I330&amp;J330&amp;#REF!</f>
        <v>#REF!</v>
      </c>
      <c r="T330" s="84"/>
      <c r="U330" s="84"/>
      <c r="V330" s="84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</row>
    <row r="331" spans="1:57" ht="24.75" customHeight="1">
      <c r="A331" s="23">
        <v>321</v>
      </c>
      <c r="B331" s="24" t="s">
        <v>50</v>
      </c>
      <c r="C331" s="24" t="s">
        <v>1489</v>
      </c>
      <c r="D331" s="24" t="s">
        <v>83</v>
      </c>
      <c r="E331" s="74" t="s">
        <v>52</v>
      </c>
      <c r="F331" s="24" t="s">
        <v>52</v>
      </c>
      <c r="G331" s="83" t="s">
        <v>1043</v>
      </c>
      <c r="H331" s="83" t="str">
        <f>VLOOKUP(G331,[1]ListLoaded!$E$6:$F$544,2,0)</f>
        <v>010208</v>
      </c>
      <c r="I331" s="72" t="str">
        <f>VLOOKUP(G331,[1]ListLoaded!$E$6:$M$550,9,0)</f>
        <v>F</v>
      </c>
      <c r="J331" s="72" t="s">
        <v>31</v>
      </c>
      <c r="K331" s="140">
        <f>VLOOKUP(G331,[1]ListLoaded!$E$6:$L$537,8,0)</f>
        <v>28.98</v>
      </c>
      <c r="L331" s="83" t="str">
        <f>VLOOKUP(G331,[1]ListLoaded!$E$6:$S$645,15,0)</f>
        <v>23102026</v>
      </c>
      <c r="M331" s="86" t="str">
        <f>VLOOKUP(G331,[1]ListLoaded!$E$6:$T$674,16,0)</f>
        <v>GACH</v>
      </c>
      <c r="N331" s="86">
        <f>VLOOKUP(G331,[1]ListLoaded!$E$6:$N$545,10,0)</f>
        <v>0</v>
      </c>
      <c r="O331" s="72"/>
      <c r="P331" s="72">
        <f>VLOOKUP(G331,[1]ListLoaded!$E$6:$O$638,11,0)</f>
        <v>0</v>
      </c>
      <c r="Q331" s="84" t="str">
        <f t="shared" si="35"/>
        <v>F20DC</v>
      </c>
      <c r="R331" s="84" t="str">
        <f>VLOOKUP(G331,[1]ListLoaded!$E$6:$P$604,12,0)</f>
        <v>HAC260520116</v>
      </c>
      <c r="S331" s="15" t="e">
        <f>I331&amp;J331&amp;#REF!</f>
        <v>#REF!</v>
      </c>
      <c r="T331" s="84"/>
      <c r="U331" s="84"/>
      <c r="V331" s="84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</row>
    <row r="332" spans="1:57" ht="24.75" customHeight="1">
      <c r="A332" s="23">
        <v>322</v>
      </c>
      <c r="B332" s="24" t="s">
        <v>50</v>
      </c>
      <c r="C332" s="24" t="s">
        <v>1489</v>
      </c>
      <c r="D332" s="24" t="s">
        <v>83</v>
      </c>
      <c r="E332" s="74" t="s">
        <v>52</v>
      </c>
      <c r="F332" s="24" t="s">
        <v>52</v>
      </c>
      <c r="G332" s="83" t="s">
        <v>629</v>
      </c>
      <c r="H332" s="83" t="str">
        <f>VLOOKUP(G332,[1]ListLoaded!$E$6:$F$544,2,0)</f>
        <v>030106</v>
      </c>
      <c r="I332" s="72" t="str">
        <f>VLOOKUP(G332,[1]ListLoaded!$E$6:$M$550,9,0)</f>
        <v>F</v>
      </c>
      <c r="J332" s="72" t="s">
        <v>31</v>
      </c>
      <c r="K332" s="140">
        <f>VLOOKUP(G332,[1]ListLoaded!$E$6:$L$537,8,0)</f>
        <v>31.82</v>
      </c>
      <c r="L332" s="83" t="str">
        <f>VLOOKUP(G332,[1]ListLoaded!$E$6:$S$645,15,0)</f>
        <v>23127720</v>
      </c>
      <c r="M332" s="86" t="str">
        <f>VLOOKUP(G332,[1]ListLoaded!$E$6:$T$674,16,0)</f>
        <v>CAO LANH</v>
      </c>
      <c r="N332" s="86">
        <f>VLOOKUP(G332,[1]ListLoaded!$E$6:$N$545,10,0)</f>
        <v>0</v>
      </c>
      <c r="O332" s="72"/>
      <c r="P332" s="72">
        <f>VLOOKUP(G332,[1]ListLoaded!$E$6:$O$638,11,0)</f>
        <v>0</v>
      </c>
      <c r="Q332" s="84" t="str">
        <f t="shared" ref="Q332:Q395" si="36">I332&amp;J332</f>
        <v>F20DC</v>
      </c>
      <c r="R332" s="84" t="str">
        <f>VLOOKUP(G332,[1]ListLoaded!$E$6:$P$604,12,0)</f>
        <v>HAC260520116</v>
      </c>
      <c r="S332" s="15" t="e">
        <f>I332&amp;J332&amp;#REF!</f>
        <v>#REF!</v>
      </c>
      <c r="T332" s="84"/>
      <c r="U332" s="84"/>
      <c r="V332" s="84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</row>
    <row r="333" spans="1:57" ht="24.75" customHeight="1">
      <c r="A333" s="23">
        <v>323</v>
      </c>
      <c r="B333" s="24" t="s">
        <v>50</v>
      </c>
      <c r="C333" s="24" t="s">
        <v>1489</v>
      </c>
      <c r="D333" s="24" t="s">
        <v>83</v>
      </c>
      <c r="E333" s="143" t="s">
        <v>1488</v>
      </c>
      <c r="F333" s="24" t="s">
        <v>52</v>
      </c>
      <c r="G333" s="83" t="s">
        <v>1210</v>
      </c>
      <c r="H333" s="83" t="s">
        <v>1477</v>
      </c>
      <c r="I333" s="72" t="s">
        <v>531</v>
      </c>
      <c r="J333" s="72" t="s">
        <v>37</v>
      </c>
      <c r="K333" s="140">
        <v>3.8</v>
      </c>
      <c r="L333" s="83" t="s">
        <v>69</v>
      </c>
      <c r="M333" s="86" t="s">
        <v>56</v>
      </c>
      <c r="N333" s="86">
        <v>0</v>
      </c>
      <c r="O333" s="72" t="s">
        <v>1232</v>
      </c>
      <c r="P333" s="72">
        <v>0</v>
      </c>
      <c r="Q333" s="84" t="str">
        <f t="shared" si="36"/>
        <v>E40HC</v>
      </c>
      <c r="R333" s="84" t="s">
        <v>1462</v>
      </c>
      <c r="S333" s="15" t="s">
        <v>1463</v>
      </c>
      <c r="T333" s="84"/>
      <c r="U333" s="84"/>
      <c r="V333" s="84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</row>
    <row r="334" spans="1:57" ht="24.75" customHeight="1">
      <c r="A334" s="23">
        <v>324</v>
      </c>
      <c r="B334" s="24" t="s">
        <v>50</v>
      </c>
      <c r="C334" s="24" t="s">
        <v>1489</v>
      </c>
      <c r="D334" s="24" t="s">
        <v>83</v>
      </c>
      <c r="E334" s="74" t="s">
        <v>52</v>
      </c>
      <c r="F334" s="24" t="s">
        <v>52</v>
      </c>
      <c r="G334" s="83" t="s">
        <v>1044</v>
      </c>
      <c r="H334" s="83" t="str">
        <f>VLOOKUP(G334,[1]ListLoaded!$E$6:$F$544,2,0)</f>
        <v>030206</v>
      </c>
      <c r="I334" s="72" t="str">
        <f>VLOOKUP(G334,[1]ListLoaded!$E$6:$M$550,9,0)</f>
        <v>F</v>
      </c>
      <c r="J334" s="72" t="s">
        <v>31</v>
      </c>
      <c r="K334" s="140">
        <f>VLOOKUP(G334,[1]ListLoaded!$E$6:$L$537,8,0)</f>
        <v>30.11</v>
      </c>
      <c r="L334" s="83" t="str">
        <f>VLOOKUP(G334,[1]ListLoaded!$E$6:$S$645,15,0)</f>
        <v>23408278</v>
      </c>
      <c r="M334" s="86" t="str">
        <f>VLOOKUP(G334,[1]ListLoaded!$E$6:$T$674,16,0)</f>
        <v>GACH</v>
      </c>
      <c r="N334" s="86">
        <f>VLOOKUP(G334,[1]ListLoaded!$E$6:$N$545,10,0)</f>
        <v>0</v>
      </c>
      <c r="O334" s="72"/>
      <c r="P334" s="72">
        <f>VLOOKUP(G334,[1]ListLoaded!$E$6:$O$638,11,0)</f>
        <v>0</v>
      </c>
      <c r="Q334" s="84" t="str">
        <f t="shared" si="36"/>
        <v>F20DC</v>
      </c>
      <c r="R334" s="84" t="str">
        <f>VLOOKUP(G334,[1]ListLoaded!$E$6:$P$604,12,0)</f>
        <v>HAC260520116</v>
      </c>
      <c r="S334" s="15" t="e">
        <f>I334&amp;J334&amp;#REF!</f>
        <v>#REF!</v>
      </c>
      <c r="T334" s="84"/>
      <c r="U334" s="84"/>
      <c r="V334" s="84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</row>
    <row r="335" spans="1:57" s="16" customFormat="1" ht="24.75" customHeight="1">
      <c r="A335" s="23">
        <v>325</v>
      </c>
      <c r="B335" s="24" t="s">
        <v>50</v>
      </c>
      <c r="C335" s="24" t="s">
        <v>1489</v>
      </c>
      <c r="D335" s="24" t="s">
        <v>83</v>
      </c>
      <c r="E335" s="74" t="s">
        <v>52</v>
      </c>
      <c r="F335" s="24" t="s">
        <v>52</v>
      </c>
      <c r="G335" s="83" t="s">
        <v>1045</v>
      </c>
      <c r="H335" s="83" t="str">
        <f>VLOOKUP(G335,[1]ListLoaded!$E$6:$F$544,2,0)</f>
        <v>050310</v>
      </c>
      <c r="I335" s="72" t="str">
        <f>VLOOKUP(G335,[1]ListLoaded!$E$6:$M$550,9,0)</f>
        <v>F</v>
      </c>
      <c r="J335" s="72" t="s">
        <v>31</v>
      </c>
      <c r="K335" s="140">
        <f>VLOOKUP(G335,[1]ListLoaded!$E$6:$L$537,8,0)</f>
        <v>18.68</v>
      </c>
      <c r="L335" s="83" t="str">
        <f>VLOOKUP(G335,[1]ListLoaded!$E$6:$S$645,15,0)</f>
        <v>001821</v>
      </c>
      <c r="M335" s="86" t="str">
        <f>VLOOKUP(G335,[1]ListLoaded!$E$6:$T$674,16,0)</f>
        <v>THUCP HAM</v>
      </c>
      <c r="N335" s="86">
        <f>VLOOKUP(G335,[1]ListLoaded!$E$6:$N$545,10,0)</f>
        <v>0</v>
      </c>
      <c r="O335" s="72"/>
      <c r="P335" s="72">
        <f>VLOOKUP(G335,[1]ListLoaded!$E$6:$O$638,11,0)</f>
        <v>0</v>
      </c>
      <c r="Q335" s="84" t="str">
        <f t="shared" si="36"/>
        <v>F20DC</v>
      </c>
      <c r="R335" s="84" t="str">
        <f>VLOOKUP(G335,[1]ListLoaded!$E$6:$P$604,12,0)</f>
        <v>HAC260520116</v>
      </c>
      <c r="S335" s="15" t="e">
        <f>I335&amp;J335&amp;#REF!</f>
        <v>#REF!</v>
      </c>
      <c r="T335" s="84"/>
      <c r="U335" s="84"/>
      <c r="V335" s="84"/>
      <c r="X335" s="8"/>
      <c r="Y335" s="9"/>
      <c r="Z335" s="8"/>
      <c r="AA335" s="8"/>
      <c r="AB335" s="8"/>
      <c r="AC335" s="8"/>
      <c r="AD335" s="8"/>
      <c r="AE335" s="8"/>
      <c r="AF335" s="8"/>
    </row>
    <row r="336" spans="1:57" ht="24.75" customHeight="1">
      <c r="A336" s="23">
        <v>326</v>
      </c>
      <c r="B336" s="24" t="s">
        <v>50</v>
      </c>
      <c r="C336" s="24" t="s">
        <v>1489</v>
      </c>
      <c r="D336" s="24" t="s">
        <v>83</v>
      </c>
      <c r="E336" s="74" t="s">
        <v>52</v>
      </c>
      <c r="F336" s="24" t="s">
        <v>52</v>
      </c>
      <c r="G336" s="83" t="s">
        <v>624</v>
      </c>
      <c r="H336" s="83" t="str">
        <f>VLOOKUP(G336,[1]ListLoaded!$E$6:$F$544,2,0)</f>
        <v>030410</v>
      </c>
      <c r="I336" s="72" t="str">
        <f>VLOOKUP(G336,[1]ListLoaded!$E$6:$M$550,9,0)</f>
        <v>F</v>
      </c>
      <c r="J336" s="72" t="s">
        <v>31</v>
      </c>
      <c r="K336" s="140">
        <f>VLOOKUP(G336,[1]ListLoaded!$E$6:$L$537,8,0)</f>
        <v>20.440000000000001</v>
      </c>
      <c r="L336" s="83" t="str">
        <f>VLOOKUP(G336,[1]ListLoaded!$E$6:$S$645,15,0)</f>
        <v>001788</v>
      </c>
      <c r="M336" s="86" t="str">
        <f>VLOOKUP(G336,[1]ListLoaded!$E$6:$T$674,16,0)</f>
        <v>CAM</v>
      </c>
      <c r="N336" s="86">
        <f>VLOOKUP(G336,[1]ListLoaded!$E$6:$N$545,10,0)</f>
        <v>0</v>
      </c>
      <c r="O336" s="72"/>
      <c r="P336" s="72">
        <f>VLOOKUP(G336,[1]ListLoaded!$E$6:$O$638,11,0)</f>
        <v>0</v>
      </c>
      <c r="Q336" s="84" t="str">
        <f t="shared" si="36"/>
        <v>F20DC</v>
      </c>
      <c r="R336" s="84" t="str">
        <f>VLOOKUP(G336,[1]ListLoaded!$E$6:$P$604,12,0)</f>
        <v>HAC260520116</v>
      </c>
      <c r="S336" s="15" t="e">
        <f>I336&amp;J336&amp;#REF!</f>
        <v>#REF!</v>
      </c>
      <c r="T336" s="84"/>
      <c r="U336" s="84"/>
      <c r="V336" s="84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</row>
    <row r="337" spans="1:57" ht="24.75" customHeight="1">
      <c r="A337" s="23">
        <v>327</v>
      </c>
      <c r="B337" s="24" t="s">
        <v>50</v>
      </c>
      <c r="C337" s="24" t="s">
        <v>1489</v>
      </c>
      <c r="D337" s="24" t="s">
        <v>83</v>
      </c>
      <c r="E337" s="74" t="s">
        <v>52</v>
      </c>
      <c r="F337" s="24" t="s">
        <v>52</v>
      </c>
      <c r="G337" s="83" t="s">
        <v>1046</v>
      </c>
      <c r="H337" s="83" t="str">
        <f>VLOOKUP(G337,[1]ListLoaded!$E$6:$F$544,2,0)</f>
        <v>310606</v>
      </c>
      <c r="I337" s="72" t="str">
        <f>VLOOKUP(G337,[1]ListLoaded!$E$6:$M$550,9,0)</f>
        <v>F</v>
      </c>
      <c r="J337" s="72" t="s">
        <v>31</v>
      </c>
      <c r="K337" s="140">
        <f>VLOOKUP(G337,[1]ListLoaded!$E$6:$L$537,8,0)</f>
        <v>29.76</v>
      </c>
      <c r="L337" s="83" t="str">
        <f>VLOOKUP(G337,[1]ListLoaded!$E$6:$S$645,15,0)</f>
        <v>23399470</v>
      </c>
      <c r="M337" s="86" t="str">
        <f>VLOOKUP(G337,[1]ListLoaded!$E$6:$T$674,16,0)</f>
        <v>GACH</v>
      </c>
      <c r="N337" s="86">
        <f>VLOOKUP(G337,[1]ListLoaded!$E$6:$N$545,10,0)</f>
        <v>0</v>
      </c>
      <c r="O337" s="72"/>
      <c r="P337" s="72">
        <f>VLOOKUP(G337,[1]ListLoaded!$E$6:$O$638,11,0)</f>
        <v>0</v>
      </c>
      <c r="Q337" s="84" t="str">
        <f t="shared" si="36"/>
        <v>F20DC</v>
      </c>
      <c r="R337" s="84" t="str">
        <f>VLOOKUP(G337,[1]ListLoaded!$E$6:$P$604,12,0)</f>
        <v>HAC260520116</v>
      </c>
      <c r="S337" s="15" t="e">
        <f>I337&amp;J337&amp;#REF!</f>
        <v>#REF!</v>
      </c>
      <c r="T337" s="84"/>
      <c r="U337" s="84"/>
      <c r="V337" s="84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</row>
    <row r="338" spans="1:57" ht="24.75" customHeight="1">
      <c r="A338" s="23">
        <v>328</v>
      </c>
      <c r="B338" s="24" t="s">
        <v>50</v>
      </c>
      <c r="C338" s="24" t="s">
        <v>1489</v>
      </c>
      <c r="D338" s="24" t="s">
        <v>83</v>
      </c>
      <c r="E338" s="74" t="s">
        <v>52</v>
      </c>
      <c r="F338" s="24" t="s">
        <v>52</v>
      </c>
      <c r="G338" s="83" t="s">
        <v>1047</v>
      </c>
      <c r="H338" s="83" t="str">
        <f>VLOOKUP(G338,[1]ListLoaded!$E$6:$F$544,2,0)</f>
        <v>310404</v>
      </c>
      <c r="I338" s="72" t="str">
        <f>VLOOKUP(G338,[1]ListLoaded!$E$6:$M$550,9,0)</f>
        <v>F</v>
      </c>
      <c r="J338" s="72" t="s">
        <v>31</v>
      </c>
      <c r="K338" s="140">
        <f>VLOOKUP(G338,[1]ListLoaded!$E$6:$L$537,8,0)</f>
        <v>29.58</v>
      </c>
      <c r="L338" s="83" t="str">
        <f>VLOOKUP(G338,[1]ListLoaded!$E$6:$S$645,15,0)</f>
        <v>338099</v>
      </c>
      <c r="M338" s="86" t="str">
        <f>VLOOKUP(G338,[1]ListLoaded!$E$6:$T$674,16,0)</f>
        <v>GAO</v>
      </c>
      <c r="N338" s="86">
        <f>VLOOKUP(G338,[1]ListLoaded!$E$6:$N$545,10,0)</f>
        <v>0</v>
      </c>
      <c r="O338" s="72"/>
      <c r="P338" s="72">
        <f>VLOOKUP(G338,[1]ListLoaded!$E$6:$O$638,11,0)</f>
        <v>0</v>
      </c>
      <c r="Q338" s="84" t="str">
        <f t="shared" si="36"/>
        <v>F20DC</v>
      </c>
      <c r="R338" s="84" t="str">
        <f>VLOOKUP(G338,[1]ListLoaded!$E$6:$P$604,12,0)</f>
        <v>HAC260520116</v>
      </c>
      <c r="S338" s="15" t="e">
        <f>I338&amp;J338&amp;#REF!</f>
        <v>#REF!</v>
      </c>
      <c r="T338" s="84"/>
      <c r="U338" s="84"/>
      <c r="V338" s="84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</row>
    <row r="339" spans="1:57" ht="24.75" customHeight="1">
      <c r="A339" s="23">
        <v>329</v>
      </c>
      <c r="B339" s="24" t="s">
        <v>50</v>
      </c>
      <c r="C339" s="24" t="s">
        <v>1489</v>
      </c>
      <c r="D339" s="24" t="s">
        <v>83</v>
      </c>
      <c r="E339" s="74" t="s">
        <v>52</v>
      </c>
      <c r="F339" s="24" t="s">
        <v>52</v>
      </c>
      <c r="G339" s="83" t="s">
        <v>1048</v>
      </c>
      <c r="H339" s="83" t="str">
        <f>VLOOKUP(G339,[1]ListLoaded!$E$6:$F$544,2,0)</f>
        <v>290402</v>
      </c>
      <c r="I339" s="72" t="str">
        <f>VLOOKUP(G339,[1]ListLoaded!$E$6:$M$550,9,0)</f>
        <v>F</v>
      </c>
      <c r="J339" s="72" t="s">
        <v>31</v>
      </c>
      <c r="K339" s="140">
        <f>VLOOKUP(G339,[1]ListLoaded!$E$6:$L$537,8,0)</f>
        <v>30.36</v>
      </c>
      <c r="L339" s="83" t="str">
        <f>VLOOKUP(G339,[1]ListLoaded!$E$6:$S$645,15,0)</f>
        <v>23367150</v>
      </c>
      <c r="M339" s="86" t="str">
        <f>VLOOKUP(G339,[1]ListLoaded!$E$6:$T$674,16,0)</f>
        <v>GACH</v>
      </c>
      <c r="N339" s="86">
        <f>VLOOKUP(G339,[1]ListLoaded!$E$6:$N$545,10,0)</f>
        <v>0</v>
      </c>
      <c r="O339" s="72"/>
      <c r="P339" s="72">
        <f>VLOOKUP(G339,[1]ListLoaded!$E$6:$O$638,11,0)</f>
        <v>0</v>
      </c>
      <c r="Q339" s="84" t="str">
        <f t="shared" si="36"/>
        <v>F20DC</v>
      </c>
      <c r="R339" s="84" t="str">
        <f>VLOOKUP(G339,[1]ListLoaded!$E$6:$P$604,12,0)</f>
        <v>HAC260520116</v>
      </c>
      <c r="S339" s="15" t="e">
        <f>I339&amp;J339&amp;#REF!</f>
        <v>#REF!</v>
      </c>
      <c r="T339" s="84"/>
      <c r="U339" s="84"/>
      <c r="V339" s="84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</row>
    <row r="340" spans="1:57" ht="24.75" customHeight="1">
      <c r="A340" s="23">
        <v>330</v>
      </c>
      <c r="B340" s="24" t="s">
        <v>50</v>
      </c>
      <c r="C340" s="24" t="s">
        <v>1489</v>
      </c>
      <c r="D340" s="24" t="s">
        <v>83</v>
      </c>
      <c r="E340" s="143" t="s">
        <v>1488</v>
      </c>
      <c r="F340" s="24" t="s">
        <v>52</v>
      </c>
      <c r="G340" s="83" t="s">
        <v>1049</v>
      </c>
      <c r="H340" s="83" t="str">
        <f>VLOOKUP(G340,[1]ListLoaded!$E$6:$F$544,2,0)</f>
        <v>180608</v>
      </c>
      <c r="I340" s="72" t="str">
        <f>VLOOKUP(G340,[1]ListLoaded!$E$6:$M$550,9,0)</f>
        <v>F</v>
      </c>
      <c r="J340" s="72" t="str">
        <f>VLOOKUP(G340,[1]ListLoaded!$E$6:$I$537,5,0)</f>
        <v>40HC</v>
      </c>
      <c r="K340" s="140">
        <f>VLOOKUP(G340,[1]ListLoaded!$E$6:$L$537,8,0)</f>
        <v>28.33</v>
      </c>
      <c r="L340" s="83" t="str">
        <f>VLOOKUP(G340,[1]ListLoaded!$E$6:$S$645,15,0)</f>
        <v>23140820</v>
      </c>
      <c r="M340" s="86" t="str">
        <f>VLOOKUP(G340,[1]ListLoaded!$E$6:$T$674,16,0)</f>
        <v>NHUA</v>
      </c>
      <c r="N340" s="86">
        <f>VLOOKUP(G340,[1]ListLoaded!$E$6:$N$545,10,0)</f>
        <v>0</v>
      </c>
      <c r="O340" s="72"/>
      <c r="P340" s="72">
        <f>VLOOKUP(G340,[1]ListLoaded!$E$6:$O$638,11,0)</f>
        <v>0</v>
      </c>
      <c r="Q340" s="84" t="str">
        <f t="shared" si="36"/>
        <v>F40HC</v>
      </c>
      <c r="R340" s="84" t="str">
        <f>VLOOKUP(G340,[1]ListLoaded!$E$6:$P$604,12,0)</f>
        <v>HAC260520115</v>
      </c>
      <c r="S340" s="15" t="e">
        <f>I340&amp;J340&amp;#REF!</f>
        <v>#REF!</v>
      </c>
      <c r="T340" s="84"/>
      <c r="U340" s="84"/>
      <c r="V340" s="84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</row>
    <row r="341" spans="1:57" ht="24.75" customHeight="1">
      <c r="A341" s="23">
        <v>331</v>
      </c>
      <c r="B341" s="24" t="s">
        <v>50</v>
      </c>
      <c r="C341" s="24" t="s">
        <v>1489</v>
      </c>
      <c r="D341" s="24" t="s">
        <v>83</v>
      </c>
      <c r="E341" s="74" t="s">
        <v>52</v>
      </c>
      <c r="F341" s="24" t="s">
        <v>52</v>
      </c>
      <c r="G341" s="83" t="s">
        <v>1050</v>
      </c>
      <c r="H341" s="83" t="str">
        <f>VLOOKUP(G341,[1]ListLoaded!$E$6:$F$544,2,0)</f>
        <v>180804</v>
      </c>
      <c r="I341" s="72" t="str">
        <f>VLOOKUP(G341,[1]ListLoaded!$E$6:$M$550,9,0)</f>
        <v>F</v>
      </c>
      <c r="J341" s="72" t="str">
        <f>VLOOKUP(G341,[1]ListLoaded!$E$6:$I$537,5,0)</f>
        <v>40HC</v>
      </c>
      <c r="K341" s="140">
        <f>VLOOKUP(G341,[1]ListLoaded!$E$6:$L$537,8,0)</f>
        <v>31.82</v>
      </c>
      <c r="L341" s="83" t="str">
        <f>VLOOKUP(G341,[1]ListLoaded!$E$6:$S$645,15,0)</f>
        <v>01272</v>
      </c>
      <c r="M341" s="86" t="str">
        <f>VLOOKUP(G341,[1]ListLoaded!$E$6:$T$674,16,0)</f>
        <v>NHUA</v>
      </c>
      <c r="N341" s="86">
        <f>VLOOKUP(G341,[1]ListLoaded!$E$6:$N$545,10,0)</f>
        <v>0</v>
      </c>
      <c r="O341" s="72"/>
      <c r="P341" s="72">
        <f>VLOOKUP(G341,[1]ListLoaded!$E$6:$O$638,11,0)</f>
        <v>0</v>
      </c>
      <c r="Q341" s="84" t="str">
        <f t="shared" si="36"/>
        <v>F40HC</v>
      </c>
      <c r="R341" s="84" t="str">
        <f>VLOOKUP(G341,[1]ListLoaded!$E$6:$P$604,12,0)</f>
        <v>HAC260520116</v>
      </c>
      <c r="S341" s="15" t="e">
        <f>I341&amp;J341&amp;#REF!</f>
        <v>#REF!</v>
      </c>
      <c r="T341" s="84"/>
      <c r="U341" s="84"/>
      <c r="V341" s="84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</row>
    <row r="342" spans="1:57" ht="24.75" customHeight="1">
      <c r="A342" s="23">
        <v>332</v>
      </c>
      <c r="B342" s="24" t="s">
        <v>50</v>
      </c>
      <c r="C342" s="24" t="s">
        <v>1489</v>
      </c>
      <c r="D342" s="24" t="s">
        <v>83</v>
      </c>
      <c r="E342" s="74" t="s">
        <v>52</v>
      </c>
      <c r="F342" s="24" t="s">
        <v>52</v>
      </c>
      <c r="G342" s="83" t="s">
        <v>1051</v>
      </c>
      <c r="H342" s="83" t="str">
        <f>VLOOKUP(G342,[1]ListLoaded!$E$6:$F$544,2,0)</f>
        <v>260404</v>
      </c>
      <c r="I342" s="72" t="str">
        <f>VLOOKUP(G342,[1]ListLoaded!$E$6:$M$550,9,0)</f>
        <v>F</v>
      </c>
      <c r="J342" s="72" t="str">
        <f>VLOOKUP(G342,[1]ListLoaded!$E$6:$I$537,5,0)</f>
        <v>40HC</v>
      </c>
      <c r="K342" s="140">
        <f>VLOOKUP(G342,[1]ListLoaded!$E$6:$L$537,8,0)</f>
        <v>31.77</v>
      </c>
      <c r="L342" s="83" t="str">
        <f>VLOOKUP(G342,[1]ListLoaded!$E$6:$S$645,15,0)</f>
        <v>87934</v>
      </c>
      <c r="M342" s="86" t="str">
        <f>VLOOKUP(G342,[1]ListLoaded!$E$6:$T$674,16,0)</f>
        <v>THUC AN</v>
      </c>
      <c r="N342" s="86">
        <f>VLOOKUP(G342,[1]ListLoaded!$E$6:$N$545,10,0)</f>
        <v>0</v>
      </c>
      <c r="O342" s="72"/>
      <c r="P342" s="72">
        <f>VLOOKUP(G342,[1]ListLoaded!$E$6:$O$638,11,0)</f>
        <v>0</v>
      </c>
      <c r="Q342" s="84" t="str">
        <f t="shared" si="36"/>
        <v>F40HC</v>
      </c>
      <c r="R342" s="84" t="str">
        <f>VLOOKUP(G342,[1]ListLoaded!$E$6:$P$604,12,0)</f>
        <v>HAC260520116</v>
      </c>
      <c r="S342" s="15" t="e">
        <f>I342&amp;J342&amp;#REF!</f>
        <v>#REF!</v>
      </c>
      <c r="T342" s="84"/>
      <c r="U342" s="84"/>
      <c r="V342" s="84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</row>
    <row r="343" spans="1:57" s="16" customFormat="1" ht="24.75" customHeight="1">
      <c r="A343" s="23">
        <v>333</v>
      </c>
      <c r="B343" s="24" t="s">
        <v>50</v>
      </c>
      <c r="C343" s="24" t="s">
        <v>1489</v>
      </c>
      <c r="D343" s="24" t="s">
        <v>83</v>
      </c>
      <c r="E343" s="74" t="s">
        <v>52</v>
      </c>
      <c r="F343" s="24" t="s">
        <v>52</v>
      </c>
      <c r="G343" s="83" t="s">
        <v>1052</v>
      </c>
      <c r="H343" s="83" t="str">
        <f>VLOOKUP(G343,[1]ListLoaded!$E$6:$F$544,2,0)</f>
        <v>180108</v>
      </c>
      <c r="I343" s="72" t="str">
        <f>VLOOKUP(G343,[1]ListLoaded!$E$6:$M$550,9,0)</f>
        <v>F</v>
      </c>
      <c r="J343" s="72" t="str">
        <f>VLOOKUP(G343,[1]ListLoaded!$E$6:$I$537,5,0)</f>
        <v>40HC</v>
      </c>
      <c r="K343" s="140">
        <f>VLOOKUP(G343,[1]ListLoaded!$E$6:$L$537,8,0)</f>
        <v>31.26</v>
      </c>
      <c r="L343" s="83" t="str">
        <f>VLOOKUP(G343,[1]ListLoaded!$E$6:$S$645,15,0)</f>
        <v>1108132</v>
      </c>
      <c r="M343" s="86" t="str">
        <f>VLOOKUP(G343,[1]ListLoaded!$E$6:$T$674,16,0)</f>
        <v>GIAY</v>
      </c>
      <c r="N343" s="86">
        <f>VLOOKUP(G343,[1]ListLoaded!$E$6:$N$545,10,0)</f>
        <v>0</v>
      </c>
      <c r="O343" s="72"/>
      <c r="P343" s="72">
        <f>VLOOKUP(G343,[1]ListLoaded!$E$6:$O$638,11,0)</f>
        <v>0</v>
      </c>
      <c r="Q343" s="84" t="str">
        <f t="shared" si="36"/>
        <v>F40HC</v>
      </c>
      <c r="R343" s="84" t="str">
        <f>VLOOKUP(G343,[1]ListLoaded!$E$6:$P$604,12,0)</f>
        <v>HAC260520116</v>
      </c>
      <c r="S343" s="15" t="e">
        <f>I343&amp;J343&amp;#REF!</f>
        <v>#REF!</v>
      </c>
      <c r="T343" s="84"/>
      <c r="U343" s="84"/>
      <c r="V343" s="84"/>
      <c r="X343" s="8"/>
      <c r="Y343" s="9"/>
      <c r="Z343" s="8"/>
      <c r="AA343" s="8"/>
      <c r="AB343" s="8"/>
      <c r="AC343" s="8"/>
      <c r="AD343" s="8"/>
      <c r="AE343" s="8"/>
      <c r="AF343" s="8"/>
    </row>
    <row r="344" spans="1:57" s="16" customFormat="1" ht="24.75" customHeight="1">
      <c r="A344" s="23">
        <v>334</v>
      </c>
      <c r="B344" s="24" t="s">
        <v>50</v>
      </c>
      <c r="C344" s="24" t="s">
        <v>1489</v>
      </c>
      <c r="D344" s="24" t="s">
        <v>83</v>
      </c>
      <c r="E344" s="74" t="s">
        <v>52</v>
      </c>
      <c r="F344" s="24" t="s">
        <v>52</v>
      </c>
      <c r="G344" s="83" t="s">
        <v>1053</v>
      </c>
      <c r="H344" s="83" t="str">
        <f>VLOOKUP(G344,[1]ListLoaded!$E$6:$F$544,2,0)</f>
        <v>140806</v>
      </c>
      <c r="I344" s="72" t="str">
        <f>VLOOKUP(G344,[1]ListLoaded!$E$6:$M$550,9,0)</f>
        <v>F</v>
      </c>
      <c r="J344" s="72" t="str">
        <f>VLOOKUP(G344,[1]ListLoaded!$E$6:$I$537,5,0)</f>
        <v>40HC</v>
      </c>
      <c r="K344" s="140">
        <f>VLOOKUP(G344,[1]ListLoaded!$E$6:$L$537,8,0)</f>
        <v>32.42</v>
      </c>
      <c r="L344" s="83" t="str">
        <f>VLOOKUP(G344,[1]ListLoaded!$E$6:$S$645,15,0)</f>
        <v>23131198</v>
      </c>
      <c r="M344" s="86" t="str">
        <f>VLOOKUP(G344,[1]ListLoaded!$E$6:$T$674,16,0)</f>
        <v>NHUA</v>
      </c>
      <c r="N344" s="86">
        <f>VLOOKUP(G344,[1]ListLoaded!$E$6:$N$545,10,0)</f>
        <v>0</v>
      </c>
      <c r="O344" s="72"/>
      <c r="P344" s="72">
        <f>VLOOKUP(G344,[1]ListLoaded!$E$6:$O$638,11,0)</f>
        <v>0</v>
      </c>
      <c r="Q344" s="84" t="str">
        <f t="shared" si="36"/>
        <v>F40HC</v>
      </c>
      <c r="R344" s="84" t="str">
        <f>VLOOKUP(G344,[1]ListLoaded!$E$6:$P$604,12,0)</f>
        <v>HAC260527142</v>
      </c>
      <c r="S344" s="15" t="e">
        <f>I344&amp;J344&amp;#REF!</f>
        <v>#REF!</v>
      </c>
      <c r="T344" s="84"/>
      <c r="U344" s="84"/>
      <c r="V344" s="84"/>
      <c r="X344" s="8"/>
      <c r="Y344" s="9"/>
      <c r="Z344" s="8"/>
      <c r="AA344" s="8"/>
      <c r="AB344" s="8"/>
      <c r="AC344" s="8"/>
      <c r="AD344" s="8"/>
      <c r="AE344" s="8"/>
      <c r="AF344" s="8"/>
    </row>
    <row r="345" spans="1:57" s="16" customFormat="1" ht="24.75" customHeight="1">
      <c r="A345" s="23">
        <v>335</v>
      </c>
      <c r="B345" s="24" t="s">
        <v>50</v>
      </c>
      <c r="C345" s="24" t="s">
        <v>1489</v>
      </c>
      <c r="D345" s="24" t="s">
        <v>83</v>
      </c>
      <c r="E345" s="74" t="s">
        <v>52</v>
      </c>
      <c r="F345" s="24" t="s">
        <v>52</v>
      </c>
      <c r="G345" s="83" t="s">
        <v>1054</v>
      </c>
      <c r="H345" s="83" t="str">
        <f>VLOOKUP(G345,[1]ListLoaded!$E$6:$F$544,2,0)</f>
        <v>020684</v>
      </c>
      <c r="I345" s="72" t="str">
        <f>VLOOKUP(G345,[1]ListLoaded!$E$6:$M$550,9,0)</f>
        <v>F</v>
      </c>
      <c r="J345" s="72" t="str">
        <f>VLOOKUP(G345,[1]ListLoaded!$E$6:$I$537,5,0)</f>
        <v>40HC</v>
      </c>
      <c r="K345" s="140">
        <f>VLOOKUP(G345,[1]ListLoaded!$E$6:$L$537,8,0)</f>
        <v>32.619999999999997</v>
      </c>
      <c r="L345" s="83" t="str">
        <f>VLOOKUP(G345,[1]ListLoaded!$E$6:$S$645,15,0)</f>
        <v>340050</v>
      </c>
      <c r="M345" s="86" t="str">
        <f>VLOOKUP(G345,[1]ListLoaded!$E$6:$T$674,16,0)</f>
        <v>NHUA</v>
      </c>
      <c r="N345" s="86">
        <f>VLOOKUP(G345,[1]ListLoaded!$E$6:$N$545,10,0)</f>
        <v>0</v>
      </c>
      <c r="O345" s="72"/>
      <c r="P345" s="72">
        <f>VLOOKUP(G345,[1]ListLoaded!$E$6:$O$638,11,0)</f>
        <v>0</v>
      </c>
      <c r="Q345" s="84" t="str">
        <f t="shared" si="36"/>
        <v>F40HC</v>
      </c>
      <c r="R345" s="84" t="str">
        <f>VLOOKUP(G345,[1]ListLoaded!$E$6:$P$604,12,0)</f>
        <v>HAC260520116</v>
      </c>
      <c r="S345" s="15" t="e">
        <f>I345&amp;J345&amp;#REF!</f>
        <v>#REF!</v>
      </c>
      <c r="T345" s="84"/>
      <c r="U345" s="84"/>
      <c r="V345" s="84"/>
      <c r="X345" s="8"/>
      <c r="Y345" s="9"/>
      <c r="Z345" s="8"/>
      <c r="AA345" s="8"/>
      <c r="AB345" s="8"/>
      <c r="AC345" s="8"/>
      <c r="AD345" s="8"/>
      <c r="AE345" s="8"/>
      <c r="AF345" s="8"/>
    </row>
    <row r="346" spans="1:57" s="16" customFormat="1" ht="24.75" customHeight="1">
      <c r="A346" s="23">
        <v>336</v>
      </c>
      <c r="B346" s="24" t="s">
        <v>50</v>
      </c>
      <c r="C346" s="24" t="s">
        <v>1489</v>
      </c>
      <c r="D346" s="24" t="s">
        <v>83</v>
      </c>
      <c r="E346" s="74" t="s">
        <v>52</v>
      </c>
      <c r="F346" s="24" t="s">
        <v>52</v>
      </c>
      <c r="G346" s="83" t="s">
        <v>1055</v>
      </c>
      <c r="H346" s="83" t="str">
        <f>VLOOKUP(G346,[1]ListLoaded!$E$6:$F$544,2,0)</f>
        <v>060104</v>
      </c>
      <c r="I346" s="72" t="str">
        <f>VLOOKUP(G346,[1]ListLoaded!$E$6:$M$550,9,0)</f>
        <v>F</v>
      </c>
      <c r="J346" s="72" t="str">
        <f>VLOOKUP(G346,[1]ListLoaded!$E$6:$I$537,5,0)</f>
        <v>40HC</v>
      </c>
      <c r="K346" s="140">
        <f>VLOOKUP(G346,[1]ListLoaded!$E$6:$L$537,8,0)</f>
        <v>31.31</v>
      </c>
      <c r="L346" s="83" t="str">
        <f>VLOOKUP(G346,[1]ListLoaded!$E$6:$S$645,15,0)</f>
        <v>1113573</v>
      </c>
      <c r="M346" s="86" t="str">
        <f>VLOOKUP(G346,[1]ListLoaded!$E$6:$T$674,16,0)</f>
        <v>GIAY</v>
      </c>
      <c r="N346" s="86">
        <f>VLOOKUP(G346,[1]ListLoaded!$E$6:$N$545,10,0)</f>
        <v>0</v>
      </c>
      <c r="O346" s="72"/>
      <c r="P346" s="72">
        <f>VLOOKUP(G346,[1]ListLoaded!$E$6:$O$638,11,0)</f>
        <v>0</v>
      </c>
      <c r="Q346" s="84" t="str">
        <f t="shared" si="36"/>
        <v>F40HC</v>
      </c>
      <c r="R346" s="84" t="str">
        <f>VLOOKUP(G346,[1]ListLoaded!$E$6:$P$604,12,0)</f>
        <v>HAC260526017</v>
      </c>
      <c r="S346" s="15" t="e">
        <f>I346&amp;J346&amp;#REF!</f>
        <v>#REF!</v>
      </c>
      <c r="T346" s="84"/>
      <c r="U346" s="84"/>
      <c r="V346" s="84"/>
      <c r="X346" s="8"/>
      <c r="Y346" s="9"/>
      <c r="Z346" s="8"/>
      <c r="AA346" s="8"/>
      <c r="AB346" s="8"/>
      <c r="AC346" s="8"/>
      <c r="AD346" s="8"/>
      <c r="AE346" s="8"/>
      <c r="AF346" s="8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</row>
    <row r="347" spans="1:57" s="16" customFormat="1" ht="24.75" customHeight="1">
      <c r="A347" s="23">
        <v>337</v>
      </c>
      <c r="B347" s="24" t="s">
        <v>50</v>
      </c>
      <c r="C347" s="24" t="s">
        <v>1489</v>
      </c>
      <c r="D347" s="24" t="s">
        <v>83</v>
      </c>
      <c r="E347" s="74" t="s">
        <v>52</v>
      </c>
      <c r="F347" s="24" t="s">
        <v>52</v>
      </c>
      <c r="G347" s="83" t="s">
        <v>1056</v>
      </c>
      <c r="H347" s="83" t="str">
        <f>VLOOKUP(G347,[1]ListLoaded!$E$6:$F$544,2,0)</f>
        <v>260508</v>
      </c>
      <c r="I347" s="72" t="str">
        <f>VLOOKUP(G347,[1]ListLoaded!$E$6:$M$550,9,0)</f>
        <v>F</v>
      </c>
      <c r="J347" s="72" t="str">
        <f>VLOOKUP(G347,[1]ListLoaded!$E$6:$I$537,5,0)</f>
        <v>40HC</v>
      </c>
      <c r="K347" s="140">
        <f>VLOOKUP(G347,[1]ListLoaded!$E$6:$L$537,8,0)</f>
        <v>27.85</v>
      </c>
      <c r="L347" s="83" t="str">
        <f>VLOOKUP(G347,[1]ListLoaded!$E$6:$S$645,15,0)</f>
        <v>1113543</v>
      </c>
      <c r="M347" s="86" t="str">
        <f>VLOOKUP(G347,[1]ListLoaded!$E$6:$T$674,16,0)</f>
        <v>GIAY</v>
      </c>
      <c r="N347" s="86">
        <f>VLOOKUP(G347,[1]ListLoaded!$E$6:$N$545,10,0)</f>
        <v>0</v>
      </c>
      <c r="O347" s="72"/>
      <c r="P347" s="72">
        <f>VLOOKUP(G347,[1]ListLoaded!$E$6:$O$638,11,0)</f>
        <v>0</v>
      </c>
      <c r="Q347" s="84" t="str">
        <f t="shared" si="36"/>
        <v>F40HC</v>
      </c>
      <c r="R347" s="84" t="str">
        <f>VLOOKUP(G347,[1]ListLoaded!$E$6:$P$604,12,0)</f>
        <v>HAC260526017</v>
      </c>
      <c r="S347" s="15" t="e">
        <f>I347&amp;J347&amp;#REF!</f>
        <v>#REF!</v>
      </c>
      <c r="T347" s="84"/>
      <c r="U347" s="84"/>
      <c r="V347" s="84"/>
      <c r="X347" s="8"/>
      <c r="Y347" s="9"/>
      <c r="Z347" s="8"/>
      <c r="AA347" s="8"/>
      <c r="AB347" s="8"/>
      <c r="AC347" s="8"/>
      <c r="AD347" s="8"/>
      <c r="AE347" s="8"/>
      <c r="AF347" s="8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</row>
    <row r="348" spans="1:57" s="16" customFormat="1" ht="24.75" customHeight="1">
      <c r="A348" s="23">
        <v>338</v>
      </c>
      <c r="B348" s="24" t="s">
        <v>50</v>
      </c>
      <c r="C348" s="24" t="s">
        <v>1489</v>
      </c>
      <c r="D348" s="24" t="s">
        <v>83</v>
      </c>
      <c r="E348" s="74" t="s">
        <v>52</v>
      </c>
      <c r="F348" s="24" t="s">
        <v>52</v>
      </c>
      <c r="G348" s="83" t="s">
        <v>1057</v>
      </c>
      <c r="H348" s="83" t="str">
        <f>VLOOKUP(G348,[1]ListLoaded!$E$6:$F$544,2,0)</f>
        <v>260302</v>
      </c>
      <c r="I348" s="72" t="str">
        <f>VLOOKUP(G348,[1]ListLoaded!$E$6:$M$550,9,0)</f>
        <v>F</v>
      </c>
      <c r="J348" s="72" t="str">
        <f>VLOOKUP(G348,[1]ListLoaded!$E$6:$I$537,5,0)</f>
        <v>40HC</v>
      </c>
      <c r="K348" s="140">
        <f>VLOOKUP(G348,[1]ListLoaded!$E$6:$L$537,8,0)</f>
        <v>31.43</v>
      </c>
      <c r="L348" s="83" t="str">
        <f>VLOOKUP(G348,[1]ListLoaded!$E$6:$S$645,15,0)</f>
        <v>1113557</v>
      </c>
      <c r="M348" s="86" t="str">
        <f>VLOOKUP(G348,[1]ListLoaded!$E$6:$T$674,16,0)</f>
        <v>GIAY</v>
      </c>
      <c r="N348" s="86">
        <f>VLOOKUP(G348,[1]ListLoaded!$E$6:$N$545,10,0)</f>
        <v>0</v>
      </c>
      <c r="O348" s="72"/>
      <c r="P348" s="72">
        <f>VLOOKUP(G348,[1]ListLoaded!$E$6:$O$638,11,0)</f>
        <v>0</v>
      </c>
      <c r="Q348" s="84" t="str">
        <f t="shared" si="36"/>
        <v>F40HC</v>
      </c>
      <c r="R348" s="84" t="str">
        <f>VLOOKUP(G348,[1]ListLoaded!$E$6:$P$604,12,0)</f>
        <v>HAC260526017</v>
      </c>
      <c r="S348" s="15" t="e">
        <f>I348&amp;J348&amp;#REF!</f>
        <v>#REF!</v>
      </c>
      <c r="T348" s="84"/>
      <c r="U348" s="84"/>
      <c r="V348" s="84"/>
      <c r="X348" s="8"/>
      <c r="Y348" s="9"/>
      <c r="Z348" s="8"/>
      <c r="AA348" s="8"/>
      <c r="AB348" s="8"/>
      <c r="AC348" s="8"/>
      <c r="AD348" s="8"/>
      <c r="AE348" s="8"/>
      <c r="AF348" s="8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</row>
    <row r="349" spans="1:57" s="16" customFormat="1" ht="24.75" customHeight="1">
      <c r="A349" s="23">
        <v>339</v>
      </c>
      <c r="B349" s="24" t="s">
        <v>50</v>
      </c>
      <c r="C349" s="24" t="s">
        <v>1489</v>
      </c>
      <c r="D349" s="24" t="s">
        <v>83</v>
      </c>
      <c r="E349" s="74" t="s">
        <v>52</v>
      </c>
      <c r="F349" s="24" t="s">
        <v>52</v>
      </c>
      <c r="G349" s="83" t="s">
        <v>1058</v>
      </c>
      <c r="H349" s="83" t="str">
        <f>VLOOKUP(G349,[1]ListLoaded!$E$6:$F$544,2,0)</f>
        <v>220108</v>
      </c>
      <c r="I349" s="72" t="str">
        <f>VLOOKUP(G349,[1]ListLoaded!$E$6:$M$550,9,0)</f>
        <v>F</v>
      </c>
      <c r="J349" s="72" t="str">
        <f>VLOOKUP(G349,[1]ListLoaded!$E$6:$I$537,5,0)</f>
        <v>40HC</v>
      </c>
      <c r="K349" s="140">
        <f>VLOOKUP(G349,[1]ListLoaded!$E$6:$L$537,8,0)</f>
        <v>29.86</v>
      </c>
      <c r="L349" s="83" t="str">
        <f>VLOOKUP(G349,[1]ListLoaded!$E$6:$S$645,15,0)</f>
        <v>1106554</v>
      </c>
      <c r="M349" s="86" t="str">
        <f>VLOOKUP(G349,[1]ListLoaded!$E$6:$T$674,16,0)</f>
        <v>GIAY</v>
      </c>
      <c r="N349" s="86">
        <f>VLOOKUP(G349,[1]ListLoaded!$E$6:$N$545,10,0)</f>
        <v>0</v>
      </c>
      <c r="O349" s="72"/>
      <c r="P349" s="72">
        <f>VLOOKUP(G349,[1]ListLoaded!$E$6:$O$638,11,0)</f>
        <v>0</v>
      </c>
      <c r="Q349" s="84" t="str">
        <f t="shared" si="36"/>
        <v>F40HC</v>
      </c>
      <c r="R349" s="84" t="str">
        <f>VLOOKUP(G349,[1]ListLoaded!$E$6:$P$604,12,0)</f>
        <v>HAC260526017</v>
      </c>
      <c r="S349" s="15" t="e">
        <f>I349&amp;J349&amp;#REF!</f>
        <v>#REF!</v>
      </c>
      <c r="T349" s="84"/>
      <c r="U349" s="84"/>
      <c r="V349" s="84"/>
      <c r="X349" s="8"/>
      <c r="Y349" s="9"/>
      <c r="Z349" s="8"/>
      <c r="AA349" s="8"/>
      <c r="AB349" s="8"/>
      <c r="AC349" s="8"/>
      <c r="AD349" s="8"/>
      <c r="AE349" s="8"/>
      <c r="AF349" s="8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</row>
    <row r="350" spans="1:57" s="16" customFormat="1" ht="24.75" customHeight="1">
      <c r="A350" s="23">
        <v>340</v>
      </c>
      <c r="B350" s="24" t="s">
        <v>50</v>
      </c>
      <c r="C350" s="24" t="s">
        <v>1489</v>
      </c>
      <c r="D350" s="24" t="s">
        <v>83</v>
      </c>
      <c r="E350" s="74" t="s">
        <v>52</v>
      </c>
      <c r="F350" s="24" t="s">
        <v>52</v>
      </c>
      <c r="G350" s="83" t="s">
        <v>1059</v>
      </c>
      <c r="H350" s="83" t="str">
        <f>VLOOKUP(G350,[1]ListLoaded!$E$6:$F$544,2,0)</f>
        <v>100408</v>
      </c>
      <c r="I350" s="72" t="str">
        <f>VLOOKUP(G350,[1]ListLoaded!$E$6:$M$550,9,0)</f>
        <v>F</v>
      </c>
      <c r="J350" s="72" t="str">
        <f>VLOOKUP(G350,[1]ListLoaded!$E$6:$I$537,5,0)</f>
        <v>40HC</v>
      </c>
      <c r="K350" s="140">
        <f>VLOOKUP(G350,[1]ListLoaded!$E$6:$L$537,8,0)</f>
        <v>29.19</v>
      </c>
      <c r="L350" s="83" t="str">
        <f>VLOOKUP(G350,[1]ListLoaded!$E$6:$S$645,15,0)</f>
        <v>1104935</v>
      </c>
      <c r="M350" s="86" t="str">
        <f>VLOOKUP(G350,[1]ListLoaded!$E$6:$T$674,16,0)</f>
        <v>GIAY</v>
      </c>
      <c r="N350" s="86">
        <f>VLOOKUP(G350,[1]ListLoaded!$E$6:$N$545,10,0)</f>
        <v>0</v>
      </c>
      <c r="O350" s="72"/>
      <c r="P350" s="72">
        <f>VLOOKUP(G350,[1]ListLoaded!$E$6:$O$638,11,0)</f>
        <v>0</v>
      </c>
      <c r="Q350" s="84" t="str">
        <f t="shared" si="36"/>
        <v>F40HC</v>
      </c>
      <c r="R350" s="84" t="str">
        <f>VLOOKUP(G350,[1]ListLoaded!$E$6:$P$604,12,0)</f>
        <v>HAC260526017</v>
      </c>
      <c r="S350" s="15" t="e">
        <f>I350&amp;J350&amp;#REF!</f>
        <v>#REF!</v>
      </c>
      <c r="T350" s="84"/>
      <c r="U350" s="84"/>
      <c r="V350" s="84"/>
      <c r="X350" s="8"/>
      <c r="Y350" s="9"/>
      <c r="Z350" s="8"/>
      <c r="AA350" s="8"/>
      <c r="AB350" s="8"/>
      <c r="AC350" s="8"/>
      <c r="AD350" s="8"/>
      <c r="AE350" s="8"/>
      <c r="AF350" s="8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</row>
    <row r="351" spans="1:57" s="16" customFormat="1" ht="24.75" customHeight="1">
      <c r="A351" s="23">
        <v>341</v>
      </c>
      <c r="B351" s="24" t="s">
        <v>50</v>
      </c>
      <c r="C351" s="24" t="s">
        <v>1489</v>
      </c>
      <c r="D351" s="24" t="s">
        <v>83</v>
      </c>
      <c r="E351" s="74" t="s">
        <v>52</v>
      </c>
      <c r="F351" s="24" t="s">
        <v>52</v>
      </c>
      <c r="G351" s="83" t="s">
        <v>1286</v>
      </c>
      <c r="H351" s="83" t="s">
        <v>1294</v>
      </c>
      <c r="I351" s="72" t="s">
        <v>116</v>
      </c>
      <c r="J351" s="72" t="s">
        <v>37</v>
      </c>
      <c r="K351" s="140">
        <v>28.05</v>
      </c>
      <c r="L351" s="83" t="s">
        <v>1295</v>
      </c>
      <c r="M351" s="86" t="s">
        <v>1296</v>
      </c>
      <c r="N351" s="86">
        <v>0</v>
      </c>
      <c r="O351" s="72"/>
      <c r="P351" s="72">
        <v>0</v>
      </c>
      <c r="Q351" s="84" t="str">
        <f t="shared" si="36"/>
        <v>F40HC</v>
      </c>
      <c r="R351" s="84" t="s">
        <v>1297</v>
      </c>
      <c r="S351" s="15" t="s">
        <v>1298</v>
      </c>
      <c r="T351" s="84"/>
      <c r="U351" s="84"/>
      <c r="V351" s="84"/>
      <c r="X351" s="8"/>
      <c r="Y351" s="9"/>
      <c r="Z351" s="8"/>
      <c r="AA351" s="8"/>
      <c r="AB351" s="8"/>
      <c r="AC351" s="8"/>
      <c r="AD351" s="8"/>
      <c r="AE351" s="8"/>
      <c r="AF351" s="8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</row>
    <row r="352" spans="1:57" s="16" customFormat="1" ht="24.75" customHeight="1">
      <c r="A352" s="23">
        <v>342</v>
      </c>
      <c r="B352" s="24" t="s">
        <v>50</v>
      </c>
      <c r="C352" s="24" t="s">
        <v>1489</v>
      </c>
      <c r="D352" s="24" t="s">
        <v>83</v>
      </c>
      <c r="E352" s="74" t="s">
        <v>52</v>
      </c>
      <c r="F352" s="24" t="s">
        <v>52</v>
      </c>
      <c r="G352" s="83" t="s">
        <v>1287</v>
      </c>
      <c r="H352" s="83" t="s">
        <v>1299</v>
      </c>
      <c r="I352" s="72" t="s">
        <v>116</v>
      </c>
      <c r="J352" s="72" t="s">
        <v>37</v>
      </c>
      <c r="K352" s="140">
        <v>30.85</v>
      </c>
      <c r="L352" s="83" t="s">
        <v>1300</v>
      </c>
      <c r="M352" s="86" t="s">
        <v>1296</v>
      </c>
      <c r="N352" s="86">
        <v>0</v>
      </c>
      <c r="O352" s="72"/>
      <c r="P352" s="72">
        <v>0</v>
      </c>
      <c r="Q352" s="84" t="str">
        <f t="shared" si="36"/>
        <v>F40HC</v>
      </c>
      <c r="R352" s="84" t="s">
        <v>1297</v>
      </c>
      <c r="S352" s="15" t="s">
        <v>1298</v>
      </c>
      <c r="T352" s="84"/>
      <c r="U352" s="84"/>
      <c r="V352" s="84"/>
      <c r="X352" s="8"/>
      <c r="Y352" s="9"/>
      <c r="Z352" s="8"/>
      <c r="AA352" s="8"/>
      <c r="AB352" s="8"/>
      <c r="AC352" s="8"/>
      <c r="AD352" s="8"/>
      <c r="AE352" s="8"/>
      <c r="AF352" s="8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</row>
    <row r="353" spans="1:57" s="16" customFormat="1" ht="24.75" customHeight="1">
      <c r="A353" s="23">
        <v>343</v>
      </c>
      <c r="B353" s="24" t="s">
        <v>50</v>
      </c>
      <c r="C353" s="24" t="s">
        <v>1489</v>
      </c>
      <c r="D353" s="24" t="s">
        <v>83</v>
      </c>
      <c r="E353" s="74" t="s">
        <v>52</v>
      </c>
      <c r="F353" s="24" t="s">
        <v>52</v>
      </c>
      <c r="G353" s="83" t="s">
        <v>1288</v>
      </c>
      <c r="H353" s="83" t="s">
        <v>1301</v>
      </c>
      <c r="I353" s="72" t="s">
        <v>116</v>
      </c>
      <c r="J353" s="72" t="s">
        <v>37</v>
      </c>
      <c r="K353" s="140">
        <v>12.43</v>
      </c>
      <c r="L353" s="83" t="s">
        <v>1302</v>
      </c>
      <c r="M353" s="86" t="s">
        <v>1303</v>
      </c>
      <c r="N353" s="86">
        <v>0</v>
      </c>
      <c r="O353" s="72"/>
      <c r="P353" s="72">
        <v>0</v>
      </c>
      <c r="Q353" s="84" t="str">
        <f t="shared" si="36"/>
        <v>F40HC</v>
      </c>
      <c r="R353" s="84" t="s">
        <v>1304</v>
      </c>
      <c r="S353" s="15" t="s">
        <v>1305</v>
      </c>
      <c r="T353" s="84"/>
      <c r="U353" s="84"/>
      <c r="V353" s="84"/>
      <c r="X353" s="8"/>
      <c r="Y353" s="9"/>
      <c r="Z353" s="8"/>
      <c r="AA353" s="8"/>
      <c r="AB353" s="8"/>
      <c r="AC353" s="8"/>
      <c r="AD353" s="8"/>
      <c r="AE353" s="8"/>
      <c r="AF353" s="8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</row>
    <row r="354" spans="1:57" s="16" customFormat="1" ht="24.75" customHeight="1">
      <c r="A354" s="23">
        <v>344</v>
      </c>
      <c r="B354" s="24" t="s">
        <v>50</v>
      </c>
      <c r="C354" s="24" t="s">
        <v>1489</v>
      </c>
      <c r="D354" s="24" t="s">
        <v>83</v>
      </c>
      <c r="E354" s="74" t="s">
        <v>52</v>
      </c>
      <c r="F354" s="24" t="s">
        <v>52</v>
      </c>
      <c r="G354" s="83" t="s">
        <v>1289</v>
      </c>
      <c r="H354" s="83" t="s">
        <v>1306</v>
      </c>
      <c r="I354" s="72" t="s">
        <v>116</v>
      </c>
      <c r="J354" s="72" t="s">
        <v>37</v>
      </c>
      <c r="K354" s="140">
        <v>13.57</v>
      </c>
      <c r="L354" s="83" t="s">
        <v>1307</v>
      </c>
      <c r="M354" s="86" t="s">
        <v>1303</v>
      </c>
      <c r="N354" s="86">
        <v>0</v>
      </c>
      <c r="O354" s="72"/>
      <c r="P354" s="72">
        <v>0</v>
      </c>
      <c r="Q354" s="84" t="str">
        <f t="shared" si="36"/>
        <v>F40HC</v>
      </c>
      <c r="R354" s="84" t="s">
        <v>1304</v>
      </c>
      <c r="S354" s="15" t="s">
        <v>1305</v>
      </c>
      <c r="T354" s="84"/>
      <c r="U354" s="84"/>
      <c r="V354" s="84"/>
      <c r="X354" s="8"/>
      <c r="Y354" s="9"/>
      <c r="Z354" s="8"/>
      <c r="AA354" s="8"/>
      <c r="AB354" s="8"/>
      <c r="AC354" s="8"/>
      <c r="AD354" s="8"/>
      <c r="AE354" s="8"/>
      <c r="AF354" s="8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</row>
    <row r="355" spans="1:57" ht="24.75" customHeight="1">
      <c r="A355" s="23">
        <v>345</v>
      </c>
      <c r="B355" s="24" t="s">
        <v>50</v>
      </c>
      <c r="C355" s="24" t="s">
        <v>1489</v>
      </c>
      <c r="D355" s="24" t="s">
        <v>83</v>
      </c>
      <c r="E355" s="74" t="s">
        <v>52</v>
      </c>
      <c r="F355" s="24" t="s">
        <v>52</v>
      </c>
      <c r="G355" s="83" t="s">
        <v>1290</v>
      </c>
      <c r="H355" s="83" t="s">
        <v>1308</v>
      </c>
      <c r="I355" s="72" t="s">
        <v>116</v>
      </c>
      <c r="J355" s="72" t="s">
        <v>37</v>
      </c>
      <c r="K355" s="140">
        <v>12.2</v>
      </c>
      <c r="L355" s="83" t="s">
        <v>1309</v>
      </c>
      <c r="M355" s="86" t="s">
        <v>1303</v>
      </c>
      <c r="N355" s="86">
        <v>0</v>
      </c>
      <c r="O355" s="72"/>
      <c r="P355" s="72">
        <v>0</v>
      </c>
      <c r="Q355" s="84" t="str">
        <f t="shared" si="36"/>
        <v>F40HC</v>
      </c>
      <c r="R355" s="84" t="s">
        <v>1304</v>
      </c>
      <c r="S355" s="15" t="s">
        <v>1305</v>
      </c>
      <c r="T355" s="84"/>
      <c r="U355" s="84"/>
      <c r="V355" s="84"/>
    </row>
    <row r="356" spans="1:57" ht="24.75" customHeight="1">
      <c r="A356" s="23">
        <v>346</v>
      </c>
      <c r="B356" s="24" t="s">
        <v>50</v>
      </c>
      <c r="C356" s="24" t="s">
        <v>1489</v>
      </c>
      <c r="D356" s="24" t="s">
        <v>83</v>
      </c>
      <c r="E356" s="74" t="s">
        <v>52</v>
      </c>
      <c r="F356" s="24" t="s">
        <v>52</v>
      </c>
      <c r="G356" s="83" t="s">
        <v>1291</v>
      </c>
      <c r="H356" s="83" t="s">
        <v>1310</v>
      </c>
      <c r="I356" s="72" t="s">
        <v>116</v>
      </c>
      <c r="J356" s="72" t="s">
        <v>31</v>
      </c>
      <c r="K356" s="140">
        <v>12.4</v>
      </c>
      <c r="L356" s="83" t="s">
        <v>1311</v>
      </c>
      <c r="M356" s="86" t="s">
        <v>1312</v>
      </c>
      <c r="N356" s="86">
        <v>0</v>
      </c>
      <c r="O356" s="72"/>
      <c r="P356" s="72">
        <v>0</v>
      </c>
      <c r="Q356" s="84" t="str">
        <f t="shared" si="36"/>
        <v>F20DC</v>
      </c>
      <c r="R356" s="84" t="s">
        <v>1304</v>
      </c>
      <c r="S356" s="15" t="s">
        <v>1313</v>
      </c>
      <c r="T356" s="84"/>
      <c r="U356" s="84"/>
      <c r="V356" s="84"/>
    </row>
    <row r="357" spans="1:57" ht="24.75" customHeight="1">
      <c r="A357" s="23">
        <v>347</v>
      </c>
      <c r="B357" s="24" t="s">
        <v>50</v>
      </c>
      <c r="C357" s="24" t="s">
        <v>1489</v>
      </c>
      <c r="D357" s="24" t="s">
        <v>83</v>
      </c>
      <c r="E357" s="74" t="s">
        <v>52</v>
      </c>
      <c r="F357" s="24" t="s">
        <v>52</v>
      </c>
      <c r="G357" s="83" t="s">
        <v>1292</v>
      </c>
      <c r="H357" s="83" t="s">
        <v>1314</v>
      </c>
      <c r="I357" s="72" t="s">
        <v>116</v>
      </c>
      <c r="J357" s="72" t="s">
        <v>31</v>
      </c>
      <c r="K357" s="140">
        <v>16.399999999999999</v>
      </c>
      <c r="L357" s="83" t="s">
        <v>1315</v>
      </c>
      <c r="M357" s="86" t="s">
        <v>1312</v>
      </c>
      <c r="N357" s="86">
        <v>0</v>
      </c>
      <c r="O357" s="72"/>
      <c r="P357" s="72">
        <v>0</v>
      </c>
      <c r="Q357" s="84" t="str">
        <f t="shared" si="36"/>
        <v>F20DC</v>
      </c>
      <c r="R357" s="84" t="s">
        <v>1304</v>
      </c>
      <c r="S357" s="15" t="s">
        <v>1313</v>
      </c>
      <c r="T357" s="84"/>
      <c r="U357" s="84"/>
      <c r="V357" s="84"/>
    </row>
    <row r="358" spans="1:57" ht="24.75" customHeight="1">
      <c r="A358" s="23">
        <v>348</v>
      </c>
      <c r="B358" s="24" t="s">
        <v>50</v>
      </c>
      <c r="C358" s="24" t="s">
        <v>1489</v>
      </c>
      <c r="D358" s="24" t="s">
        <v>86</v>
      </c>
      <c r="E358" s="74" t="s">
        <v>52</v>
      </c>
      <c r="F358" s="24" t="s">
        <v>52</v>
      </c>
      <c r="G358" s="83" t="s">
        <v>1262</v>
      </c>
      <c r="H358" s="83" t="s">
        <v>1373</v>
      </c>
      <c r="I358" s="72" t="s">
        <v>116</v>
      </c>
      <c r="J358" s="72" t="s">
        <v>37</v>
      </c>
      <c r="K358" s="140">
        <v>29.37</v>
      </c>
      <c r="L358" s="83" t="s">
        <v>1374</v>
      </c>
      <c r="M358" s="86" t="s">
        <v>1375</v>
      </c>
      <c r="N358" s="86">
        <v>0</v>
      </c>
      <c r="O358" s="72"/>
      <c r="P358" s="72">
        <v>0</v>
      </c>
      <c r="Q358" s="84" t="str">
        <f t="shared" si="36"/>
        <v>F40HC</v>
      </c>
      <c r="R358" s="84" t="s">
        <v>1343</v>
      </c>
      <c r="T358" s="84"/>
      <c r="U358" s="84"/>
      <c r="V358" s="84"/>
    </row>
    <row r="359" spans="1:57" ht="24.75" customHeight="1">
      <c r="A359" s="23">
        <v>349</v>
      </c>
      <c r="B359" s="24" t="s">
        <v>50</v>
      </c>
      <c r="C359" s="24" t="s">
        <v>1489</v>
      </c>
      <c r="D359" s="24" t="s">
        <v>57</v>
      </c>
      <c r="E359" s="74" t="s">
        <v>52</v>
      </c>
      <c r="F359" s="24" t="s">
        <v>52</v>
      </c>
      <c r="G359" s="83" t="s">
        <v>1263</v>
      </c>
      <c r="H359" s="83" t="s">
        <v>1376</v>
      </c>
      <c r="I359" s="72" t="s">
        <v>116</v>
      </c>
      <c r="J359" s="72" t="s">
        <v>31</v>
      </c>
      <c r="K359" s="140">
        <v>29.85</v>
      </c>
      <c r="L359" s="83" t="s">
        <v>1377</v>
      </c>
      <c r="M359" s="86" t="s">
        <v>637</v>
      </c>
      <c r="N359" s="86">
        <v>0</v>
      </c>
      <c r="O359" s="72"/>
      <c r="P359" s="72">
        <v>0</v>
      </c>
      <c r="Q359" s="84" t="str">
        <f t="shared" si="36"/>
        <v>F20DC</v>
      </c>
      <c r="R359" s="84" t="s">
        <v>1378</v>
      </c>
      <c r="T359" s="84"/>
      <c r="U359" s="84"/>
      <c r="V359" s="84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</row>
    <row r="360" spans="1:57" ht="24.75" customHeight="1">
      <c r="A360" s="23">
        <v>350</v>
      </c>
      <c r="B360" s="24" t="s">
        <v>50</v>
      </c>
      <c r="C360" s="24" t="s">
        <v>1489</v>
      </c>
      <c r="D360" s="24" t="s">
        <v>57</v>
      </c>
      <c r="E360" s="74" t="s">
        <v>1488</v>
      </c>
      <c r="F360" s="24" t="s">
        <v>52</v>
      </c>
      <c r="G360" s="83" t="s">
        <v>1264</v>
      </c>
      <c r="H360" s="83" t="s">
        <v>1379</v>
      </c>
      <c r="I360" s="72" t="s">
        <v>116</v>
      </c>
      <c r="J360" s="72" t="s">
        <v>38</v>
      </c>
      <c r="K360" s="140">
        <v>32.71</v>
      </c>
      <c r="L360" s="83" t="s">
        <v>1380</v>
      </c>
      <c r="M360" s="86" t="s">
        <v>645</v>
      </c>
      <c r="N360" s="86" t="s">
        <v>1330</v>
      </c>
      <c r="O360" s="72"/>
      <c r="P360" s="72">
        <v>0</v>
      </c>
      <c r="Q360" s="84" t="str">
        <f t="shared" si="36"/>
        <v>F40RF</v>
      </c>
      <c r="R360" s="84" t="s">
        <v>960</v>
      </c>
      <c r="T360" s="84"/>
      <c r="U360" s="84"/>
      <c r="V360" s="84"/>
    </row>
    <row r="361" spans="1:57" ht="24.75" customHeight="1">
      <c r="A361" s="23">
        <v>351</v>
      </c>
      <c r="B361" s="24" t="s">
        <v>50</v>
      </c>
      <c r="C361" s="24" t="s">
        <v>1489</v>
      </c>
      <c r="D361" s="24" t="s">
        <v>57</v>
      </c>
      <c r="E361" s="74" t="s">
        <v>1488</v>
      </c>
      <c r="F361" s="24" t="s">
        <v>52</v>
      </c>
      <c r="G361" s="83" t="s">
        <v>1265</v>
      </c>
      <c r="H361" s="83" t="s">
        <v>1381</v>
      </c>
      <c r="I361" s="72" t="s">
        <v>116</v>
      </c>
      <c r="J361" s="72" t="s">
        <v>38</v>
      </c>
      <c r="K361" s="140">
        <v>34.06</v>
      </c>
      <c r="L361" s="83" t="s">
        <v>1382</v>
      </c>
      <c r="M361" s="86" t="s">
        <v>645</v>
      </c>
      <c r="N361" s="86" t="s">
        <v>1330</v>
      </c>
      <c r="O361" s="72"/>
      <c r="P361" s="72">
        <v>0</v>
      </c>
      <c r="Q361" s="84" t="str">
        <f t="shared" si="36"/>
        <v>F40RF</v>
      </c>
      <c r="R361" s="84" t="s">
        <v>960</v>
      </c>
      <c r="T361" s="84"/>
      <c r="U361" s="84"/>
      <c r="V361" s="84"/>
    </row>
    <row r="362" spans="1:57" ht="24.75" customHeight="1">
      <c r="A362" s="23">
        <v>352</v>
      </c>
      <c r="B362" s="24" t="s">
        <v>50</v>
      </c>
      <c r="C362" s="24" t="s">
        <v>1489</v>
      </c>
      <c r="D362" s="24" t="s">
        <v>83</v>
      </c>
      <c r="E362" s="74" t="s">
        <v>52</v>
      </c>
      <c r="F362" s="24" t="s">
        <v>52</v>
      </c>
      <c r="G362" s="83" t="s">
        <v>1060</v>
      </c>
      <c r="H362" s="83" t="str">
        <f>VLOOKUP(G362,[1]ListLoaded!$E$6:$F$544,2,0)</f>
        <v>100204</v>
      </c>
      <c r="I362" s="72" t="str">
        <f>VLOOKUP(G362,[1]ListLoaded!$E$6:$M$550,9,0)</f>
        <v>F</v>
      </c>
      <c r="J362" s="72" t="str">
        <f>VLOOKUP(G362,[1]ListLoaded!$E$6:$I$537,5,0)</f>
        <v>40HC</v>
      </c>
      <c r="K362" s="140">
        <f>VLOOKUP(G362,[1]ListLoaded!$E$6:$L$537,8,0)</f>
        <v>31.24</v>
      </c>
      <c r="L362" s="83" t="str">
        <f>VLOOKUP(G362,[1]ListLoaded!$E$6:$S$645,15,0)</f>
        <v>1042934</v>
      </c>
      <c r="M362" s="86" t="str">
        <f>VLOOKUP(G362,[1]ListLoaded!$E$6:$T$674,16,0)</f>
        <v>BAN THANH PHAM</v>
      </c>
      <c r="N362" s="86">
        <f>VLOOKUP(G362,[1]ListLoaded!$E$6:$N$545,10,0)</f>
        <v>0</v>
      </c>
      <c r="O362" s="72"/>
      <c r="P362" s="72">
        <f>VLOOKUP(G362,[1]ListLoaded!$E$6:$O$638,11,0)</f>
        <v>0</v>
      </c>
      <c r="Q362" s="84" t="str">
        <f t="shared" si="36"/>
        <v>F40HC</v>
      </c>
      <c r="R362" s="84" t="str">
        <f>VLOOKUP(G362,[1]ListLoaded!$E$6:$P$604,12,0)</f>
        <v>HAC260522146</v>
      </c>
      <c r="S362" s="15" t="e">
        <f>I362&amp;J362&amp;#REF!</f>
        <v>#REF!</v>
      </c>
      <c r="T362" s="84"/>
      <c r="U362" s="84"/>
      <c r="V362" s="84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</row>
    <row r="363" spans="1:57" ht="24.75" customHeight="1">
      <c r="A363" s="23">
        <v>353</v>
      </c>
      <c r="B363" s="24" t="s">
        <v>50</v>
      </c>
      <c r="C363" s="24" t="s">
        <v>1489</v>
      </c>
      <c r="D363" s="24" t="s">
        <v>83</v>
      </c>
      <c r="E363" s="74" t="s">
        <v>52</v>
      </c>
      <c r="F363" s="24" t="s">
        <v>52</v>
      </c>
      <c r="G363" s="83" t="s">
        <v>1061</v>
      </c>
      <c r="H363" s="83" t="str">
        <f>VLOOKUP(G363,[1]ListLoaded!$E$6:$F$544,2,0)</f>
        <v>020582</v>
      </c>
      <c r="I363" s="72" t="str">
        <f>VLOOKUP(G363,[1]ListLoaded!$E$6:$M$550,9,0)</f>
        <v>F</v>
      </c>
      <c r="J363" s="72" t="str">
        <f>VLOOKUP(G363,[1]ListLoaded!$E$6:$I$537,5,0)</f>
        <v>40HC</v>
      </c>
      <c r="K363" s="140">
        <f>VLOOKUP(G363,[1]ListLoaded!$E$6:$L$537,8,0)</f>
        <v>31.22</v>
      </c>
      <c r="L363" s="83" t="str">
        <f>VLOOKUP(G363,[1]ListLoaded!$E$6:$S$645,15,0)</f>
        <v>1104819</v>
      </c>
      <c r="M363" s="86" t="str">
        <f>VLOOKUP(G363,[1]ListLoaded!$E$6:$T$674,16,0)</f>
        <v>GIAY</v>
      </c>
      <c r="N363" s="86">
        <f>VLOOKUP(G363,[1]ListLoaded!$E$6:$N$545,10,0)</f>
        <v>0</v>
      </c>
      <c r="O363" s="72"/>
      <c r="P363" s="72">
        <f>VLOOKUP(G363,[1]ListLoaded!$E$6:$O$638,11,0)</f>
        <v>0</v>
      </c>
      <c r="Q363" s="84" t="str">
        <f t="shared" si="36"/>
        <v>F40HC</v>
      </c>
      <c r="R363" s="84" t="str">
        <f>VLOOKUP(G363,[1]ListLoaded!$E$6:$P$604,12,0)</f>
        <v>HAC260525072</v>
      </c>
      <c r="S363" s="15" t="e">
        <f>I363&amp;J363&amp;#REF!</f>
        <v>#REF!</v>
      </c>
      <c r="T363" s="84"/>
      <c r="U363" s="84"/>
      <c r="V363" s="84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</row>
    <row r="364" spans="1:57" ht="24.75" customHeight="1">
      <c r="A364" s="23">
        <v>354</v>
      </c>
      <c r="B364" s="24" t="s">
        <v>50</v>
      </c>
      <c r="C364" s="24" t="s">
        <v>1489</v>
      </c>
      <c r="D364" s="24" t="s">
        <v>83</v>
      </c>
      <c r="E364" s="74" t="s">
        <v>52</v>
      </c>
      <c r="F364" s="24" t="s">
        <v>52</v>
      </c>
      <c r="G364" s="83" t="s">
        <v>1062</v>
      </c>
      <c r="H364" s="83" t="str">
        <f>VLOOKUP(G364,[1]ListLoaded!$E$6:$F$544,2,0)</f>
        <v>260102</v>
      </c>
      <c r="I364" s="72" t="str">
        <f>VLOOKUP(G364,[1]ListLoaded!$E$6:$M$550,9,0)</f>
        <v>F</v>
      </c>
      <c r="J364" s="72" t="str">
        <f>VLOOKUP(G364,[1]ListLoaded!$E$6:$I$537,5,0)</f>
        <v>40HC</v>
      </c>
      <c r="K364" s="140">
        <f>VLOOKUP(G364,[1]ListLoaded!$E$6:$L$537,8,0)</f>
        <v>32.24</v>
      </c>
      <c r="L364" s="83" t="str">
        <f>VLOOKUP(G364,[1]ListLoaded!$E$6:$S$645,15,0)</f>
        <v>00823</v>
      </c>
      <c r="M364" s="86" t="str">
        <f>VLOOKUP(G364,[1]ListLoaded!$E$6:$T$674,16,0)</f>
        <v>GIAY</v>
      </c>
      <c r="N364" s="86">
        <f>VLOOKUP(G364,[1]ListLoaded!$E$6:$N$545,10,0)</f>
        <v>0</v>
      </c>
      <c r="O364" s="72"/>
      <c r="P364" s="72">
        <f>VLOOKUP(G364,[1]ListLoaded!$E$6:$O$638,11,0)</f>
        <v>0</v>
      </c>
      <c r="Q364" s="84" t="str">
        <f t="shared" si="36"/>
        <v>F40HC</v>
      </c>
      <c r="R364" s="84" t="str">
        <f>VLOOKUP(G364,[1]ListLoaded!$E$6:$P$604,12,0)</f>
        <v>HAC260525072</v>
      </c>
      <c r="S364" s="15" t="e">
        <f>I364&amp;J364&amp;#REF!</f>
        <v>#REF!</v>
      </c>
      <c r="T364" s="84"/>
      <c r="U364" s="84"/>
      <c r="V364" s="84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</row>
    <row r="365" spans="1:57" ht="24.75" customHeight="1">
      <c r="A365" s="23">
        <v>355</v>
      </c>
      <c r="B365" s="24" t="s">
        <v>50</v>
      </c>
      <c r="C365" s="24" t="s">
        <v>1489</v>
      </c>
      <c r="D365" s="24" t="s">
        <v>83</v>
      </c>
      <c r="E365" s="74" t="s">
        <v>52</v>
      </c>
      <c r="F365" s="24" t="s">
        <v>52</v>
      </c>
      <c r="G365" s="83" t="s">
        <v>1063</v>
      </c>
      <c r="H365" s="83" t="str">
        <f>VLOOKUP(G365,[1]ListLoaded!$E$6:$F$544,2,0)</f>
        <v>100306</v>
      </c>
      <c r="I365" s="72" t="str">
        <f>VLOOKUP(G365,[1]ListLoaded!$E$6:$M$550,9,0)</f>
        <v>F</v>
      </c>
      <c r="J365" s="72" t="str">
        <f>VLOOKUP(G365,[1]ListLoaded!$E$6:$I$537,5,0)</f>
        <v>40HC</v>
      </c>
      <c r="K365" s="140">
        <f>VLOOKUP(G365,[1]ListLoaded!$E$6:$L$537,8,0)</f>
        <v>31.19</v>
      </c>
      <c r="L365" s="83" t="str">
        <f>VLOOKUP(G365,[1]ListLoaded!$E$6:$S$645,15,0)</f>
        <v>1106578</v>
      </c>
      <c r="M365" s="86" t="str">
        <f>VLOOKUP(G365,[1]ListLoaded!$E$6:$T$674,16,0)</f>
        <v>GIAY</v>
      </c>
      <c r="N365" s="86">
        <f>VLOOKUP(G365,[1]ListLoaded!$E$6:$N$545,10,0)</f>
        <v>0</v>
      </c>
      <c r="O365" s="72"/>
      <c r="P365" s="72">
        <f>VLOOKUP(G365,[1]ListLoaded!$E$6:$O$638,11,0)</f>
        <v>0</v>
      </c>
      <c r="Q365" s="84" t="str">
        <f t="shared" si="36"/>
        <v>F40HC</v>
      </c>
      <c r="R365" s="84" t="str">
        <f>VLOOKUP(G365,[1]ListLoaded!$E$6:$P$604,12,0)</f>
        <v>HAC260525072</v>
      </c>
      <c r="S365" s="15" t="e">
        <f>I365&amp;J365&amp;#REF!</f>
        <v>#REF!</v>
      </c>
      <c r="T365" s="84"/>
      <c r="U365" s="84"/>
      <c r="V365" s="84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</row>
    <row r="366" spans="1:57" ht="24.75" customHeight="1">
      <c r="A366" s="23">
        <v>356</v>
      </c>
      <c r="B366" s="24" t="s">
        <v>50</v>
      </c>
      <c r="C366" s="24" t="s">
        <v>1489</v>
      </c>
      <c r="D366" s="24" t="s">
        <v>83</v>
      </c>
      <c r="E366" s="74" t="s">
        <v>52</v>
      </c>
      <c r="F366" s="24" t="s">
        <v>52</v>
      </c>
      <c r="G366" s="83" t="s">
        <v>1064</v>
      </c>
      <c r="H366" s="83" t="str">
        <f>VLOOKUP(G366,[1]ListLoaded!$E$6:$F$544,2,0)</f>
        <v>180306</v>
      </c>
      <c r="I366" s="72" t="str">
        <f>VLOOKUP(G366,[1]ListLoaded!$E$6:$M$550,9,0)</f>
        <v>F</v>
      </c>
      <c r="J366" s="72" t="str">
        <f>VLOOKUP(G366,[1]ListLoaded!$E$6:$I$537,5,0)</f>
        <v>40HC</v>
      </c>
      <c r="K366" s="140">
        <f>VLOOKUP(G366,[1]ListLoaded!$E$6:$L$537,8,0)</f>
        <v>31.14</v>
      </c>
      <c r="L366" s="83" t="str">
        <f>VLOOKUP(G366,[1]ListLoaded!$E$6:$S$645,15,0)</f>
        <v>1115822</v>
      </c>
      <c r="M366" s="86" t="str">
        <f>VLOOKUP(G366,[1]ListLoaded!$E$6:$T$674,16,0)</f>
        <v>GIAY</v>
      </c>
      <c r="N366" s="86">
        <f>VLOOKUP(G366,[1]ListLoaded!$E$6:$N$545,10,0)</f>
        <v>0</v>
      </c>
      <c r="O366" s="72"/>
      <c r="P366" s="72">
        <f>VLOOKUP(G366,[1]ListLoaded!$E$6:$O$638,11,0)</f>
        <v>0</v>
      </c>
      <c r="Q366" s="84" t="str">
        <f t="shared" si="36"/>
        <v>F40HC</v>
      </c>
      <c r="R366" s="84" t="str">
        <f>VLOOKUP(G366,[1]ListLoaded!$E$6:$P$604,12,0)</f>
        <v>HAC260525072</v>
      </c>
      <c r="S366" s="15" t="e">
        <f>I366&amp;J366&amp;#REF!</f>
        <v>#REF!</v>
      </c>
      <c r="T366" s="84"/>
      <c r="U366" s="84"/>
      <c r="V366" s="84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</row>
    <row r="367" spans="1:57" ht="24.75" customHeight="1">
      <c r="A367" s="23">
        <v>357</v>
      </c>
      <c r="B367" s="24" t="s">
        <v>50</v>
      </c>
      <c r="C367" s="24" t="s">
        <v>1489</v>
      </c>
      <c r="D367" s="24" t="s">
        <v>83</v>
      </c>
      <c r="E367" s="74" t="s">
        <v>52</v>
      </c>
      <c r="F367" s="24" t="s">
        <v>52</v>
      </c>
      <c r="G367" s="83" t="s">
        <v>1065</v>
      </c>
      <c r="H367" s="83" t="str">
        <f>VLOOKUP(G367,[1]ListLoaded!$E$6:$F$544,2,0)</f>
        <v>180404</v>
      </c>
      <c r="I367" s="72" t="str">
        <f>VLOOKUP(G367,[1]ListLoaded!$E$6:$M$550,9,0)</f>
        <v>F</v>
      </c>
      <c r="J367" s="72" t="str">
        <f>VLOOKUP(G367,[1]ListLoaded!$E$6:$I$537,5,0)</f>
        <v>40HC</v>
      </c>
      <c r="K367" s="140">
        <f>VLOOKUP(G367,[1]ListLoaded!$E$6:$L$537,8,0)</f>
        <v>31.52</v>
      </c>
      <c r="L367" s="83" t="str">
        <f>VLOOKUP(G367,[1]ListLoaded!$E$6:$S$645,15,0)</f>
        <v>1104895</v>
      </c>
      <c r="M367" s="86" t="str">
        <f>VLOOKUP(G367,[1]ListLoaded!$E$6:$T$674,16,0)</f>
        <v>GIAY</v>
      </c>
      <c r="N367" s="86">
        <f>VLOOKUP(G367,[1]ListLoaded!$E$6:$N$545,10,0)</f>
        <v>0</v>
      </c>
      <c r="O367" s="72"/>
      <c r="P367" s="72">
        <f>VLOOKUP(G367,[1]ListLoaded!$E$6:$O$638,11,0)</f>
        <v>0</v>
      </c>
      <c r="Q367" s="84" t="str">
        <f t="shared" si="36"/>
        <v>F40HC</v>
      </c>
      <c r="R367" s="84" t="str">
        <f>VLOOKUP(G367,[1]ListLoaded!$E$6:$P$604,12,0)</f>
        <v>HAC260525072</v>
      </c>
      <c r="S367" s="15" t="e">
        <f>I367&amp;J367&amp;#REF!</f>
        <v>#REF!</v>
      </c>
      <c r="T367" s="84"/>
      <c r="U367" s="84"/>
      <c r="V367" s="84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</row>
    <row r="368" spans="1:57" ht="24.75" customHeight="1">
      <c r="A368" s="23">
        <v>358</v>
      </c>
      <c r="B368" s="24" t="s">
        <v>50</v>
      </c>
      <c r="C368" s="24" t="s">
        <v>1489</v>
      </c>
      <c r="D368" s="24" t="s">
        <v>83</v>
      </c>
      <c r="E368" s="74" t="s">
        <v>52</v>
      </c>
      <c r="F368" s="24" t="s">
        <v>52</v>
      </c>
      <c r="G368" s="83" t="s">
        <v>1066</v>
      </c>
      <c r="H368" s="83" t="str">
        <f>VLOOKUP(G368,[1]ListLoaded!$E$6:$F$544,2,0)</f>
        <v>140402</v>
      </c>
      <c r="I368" s="72" t="str">
        <f>VLOOKUP(G368,[1]ListLoaded!$E$6:$M$550,9,0)</f>
        <v>F</v>
      </c>
      <c r="J368" s="72" t="str">
        <f>VLOOKUP(G368,[1]ListLoaded!$E$6:$I$537,5,0)</f>
        <v>40HC</v>
      </c>
      <c r="K368" s="140">
        <f>VLOOKUP(G368,[1]ListLoaded!$E$6:$L$537,8,0)</f>
        <v>30.5</v>
      </c>
      <c r="L368" s="83" t="str">
        <f>VLOOKUP(G368,[1]ListLoaded!$E$6:$S$645,15,0)</f>
        <v>1116579</v>
      </c>
      <c r="M368" s="86" t="str">
        <f>VLOOKUP(G368,[1]ListLoaded!$E$6:$T$674,16,0)</f>
        <v>GIAY</v>
      </c>
      <c r="N368" s="86">
        <f>VLOOKUP(G368,[1]ListLoaded!$E$6:$N$545,10,0)</f>
        <v>0</v>
      </c>
      <c r="O368" s="72"/>
      <c r="P368" s="72">
        <f>VLOOKUP(G368,[1]ListLoaded!$E$6:$O$638,11,0)</f>
        <v>0</v>
      </c>
      <c r="Q368" s="84" t="str">
        <f t="shared" si="36"/>
        <v>F40HC</v>
      </c>
      <c r="R368" s="84" t="str">
        <f>VLOOKUP(G368,[1]ListLoaded!$E$6:$P$604,12,0)</f>
        <v>HAC260525072</v>
      </c>
      <c r="S368" s="15" t="e">
        <f>I368&amp;J368&amp;#REF!</f>
        <v>#REF!</v>
      </c>
      <c r="T368" s="84"/>
      <c r="U368" s="84"/>
      <c r="V368" s="84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</row>
    <row r="369" spans="1:57" ht="24.75" customHeight="1">
      <c r="A369" s="23">
        <v>359</v>
      </c>
      <c r="B369" s="24" t="s">
        <v>50</v>
      </c>
      <c r="C369" s="24" t="s">
        <v>1489</v>
      </c>
      <c r="D369" s="24" t="s">
        <v>83</v>
      </c>
      <c r="E369" s="74" t="s">
        <v>52</v>
      </c>
      <c r="F369" s="24" t="s">
        <v>52</v>
      </c>
      <c r="G369" s="83" t="s">
        <v>1067</v>
      </c>
      <c r="H369" s="83" t="str">
        <f>VLOOKUP(G369,[1]ListLoaded!$E$6:$F$544,2,0)</f>
        <v>220104</v>
      </c>
      <c r="I369" s="72" t="str">
        <f>VLOOKUP(G369,[1]ListLoaded!$E$6:$M$550,9,0)</f>
        <v>F</v>
      </c>
      <c r="J369" s="72" t="str">
        <f>VLOOKUP(G369,[1]ListLoaded!$E$6:$I$537,5,0)</f>
        <v>40HC</v>
      </c>
      <c r="K369" s="140">
        <f>VLOOKUP(G369,[1]ListLoaded!$E$6:$L$537,8,0)</f>
        <v>30.29</v>
      </c>
      <c r="L369" s="83" t="str">
        <f>VLOOKUP(G369,[1]ListLoaded!$E$6:$S$645,15,0)</f>
        <v>1117492</v>
      </c>
      <c r="M369" s="86" t="str">
        <f>VLOOKUP(G369,[1]ListLoaded!$E$6:$T$674,16,0)</f>
        <v>GIAY</v>
      </c>
      <c r="N369" s="86">
        <f>VLOOKUP(G369,[1]ListLoaded!$E$6:$N$545,10,0)</f>
        <v>0</v>
      </c>
      <c r="O369" s="72"/>
      <c r="P369" s="72">
        <f>VLOOKUP(G369,[1]ListLoaded!$E$6:$O$638,11,0)</f>
        <v>0</v>
      </c>
      <c r="Q369" s="84" t="str">
        <f t="shared" si="36"/>
        <v>F40HC</v>
      </c>
      <c r="R369" s="84" t="str">
        <f>VLOOKUP(G369,[1]ListLoaded!$E$6:$P$604,12,0)</f>
        <v>HAC260525072</v>
      </c>
      <c r="S369" s="15" t="e">
        <f>I369&amp;J369&amp;#REF!</f>
        <v>#REF!</v>
      </c>
      <c r="T369" s="84"/>
      <c r="U369" s="84"/>
      <c r="V369" s="84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</row>
    <row r="370" spans="1:57" ht="24.75" customHeight="1">
      <c r="A370" s="23">
        <v>360</v>
      </c>
      <c r="B370" s="24" t="s">
        <v>50</v>
      </c>
      <c r="C370" s="24" t="s">
        <v>1489</v>
      </c>
      <c r="D370" s="24" t="s">
        <v>57</v>
      </c>
      <c r="E370" s="143" t="s">
        <v>1488</v>
      </c>
      <c r="F370" s="24" t="s">
        <v>52</v>
      </c>
      <c r="G370" s="83" t="s">
        <v>1269</v>
      </c>
      <c r="H370" s="83" t="s">
        <v>1360</v>
      </c>
      <c r="I370" s="72" t="s">
        <v>116</v>
      </c>
      <c r="J370" s="72" t="s">
        <v>31</v>
      </c>
      <c r="K370" s="140">
        <v>29.64</v>
      </c>
      <c r="L370" s="83" t="s">
        <v>1361</v>
      </c>
      <c r="M370" s="86" t="s">
        <v>999</v>
      </c>
      <c r="N370" s="86">
        <v>0</v>
      </c>
      <c r="O370" s="72"/>
      <c r="P370" s="72">
        <v>0</v>
      </c>
      <c r="Q370" s="84" t="str">
        <f t="shared" si="36"/>
        <v>F20DC</v>
      </c>
      <c r="R370" s="84" t="s">
        <v>963</v>
      </c>
      <c r="T370" s="84"/>
      <c r="U370" s="84"/>
      <c r="V370" s="84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</row>
    <row r="371" spans="1:57" ht="24.75" customHeight="1">
      <c r="A371" s="23">
        <v>361</v>
      </c>
      <c r="B371" s="24" t="s">
        <v>50</v>
      </c>
      <c r="C371" s="24" t="s">
        <v>1489</v>
      </c>
      <c r="D371" s="24" t="s">
        <v>57</v>
      </c>
      <c r="E371" s="143" t="s">
        <v>1488</v>
      </c>
      <c r="F371" s="24" t="s">
        <v>52</v>
      </c>
      <c r="G371" s="83" t="s">
        <v>1270</v>
      </c>
      <c r="H371" s="83" t="s">
        <v>1362</v>
      </c>
      <c r="I371" s="72" t="s">
        <v>116</v>
      </c>
      <c r="J371" s="72" t="s">
        <v>31</v>
      </c>
      <c r="K371" s="140">
        <v>29.9</v>
      </c>
      <c r="L371" s="83" t="s">
        <v>1363</v>
      </c>
      <c r="M371" s="86" t="s">
        <v>999</v>
      </c>
      <c r="N371" s="86">
        <v>0</v>
      </c>
      <c r="O371" s="72"/>
      <c r="P371" s="72">
        <v>0</v>
      </c>
      <c r="Q371" s="84" t="str">
        <f t="shared" si="36"/>
        <v>F20DC</v>
      </c>
      <c r="R371" s="84" t="s">
        <v>963</v>
      </c>
      <c r="T371" s="84"/>
      <c r="U371" s="84"/>
      <c r="V371" s="84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</row>
    <row r="372" spans="1:57" ht="24.75" customHeight="1">
      <c r="A372" s="23">
        <v>362</v>
      </c>
      <c r="B372" s="24" t="s">
        <v>50</v>
      </c>
      <c r="C372" s="24" t="s">
        <v>1489</v>
      </c>
      <c r="D372" s="24" t="s">
        <v>57</v>
      </c>
      <c r="E372" s="74" t="s">
        <v>52</v>
      </c>
      <c r="F372" s="24" t="s">
        <v>52</v>
      </c>
      <c r="G372" s="83" t="s">
        <v>1271</v>
      </c>
      <c r="H372" s="83" t="s">
        <v>1364</v>
      </c>
      <c r="I372" s="72" t="s">
        <v>116</v>
      </c>
      <c r="J372" s="72" t="s">
        <v>37</v>
      </c>
      <c r="K372" s="140">
        <v>16.8</v>
      </c>
      <c r="L372" s="83" t="s">
        <v>1365</v>
      </c>
      <c r="M372" s="86" t="s">
        <v>1366</v>
      </c>
      <c r="N372" s="86">
        <v>0</v>
      </c>
      <c r="O372" s="72"/>
      <c r="P372" s="72">
        <v>0</v>
      </c>
      <c r="Q372" s="84" t="str">
        <f t="shared" si="36"/>
        <v>F40HC</v>
      </c>
      <c r="R372" s="84" t="s">
        <v>962</v>
      </c>
      <c r="T372" s="84"/>
      <c r="U372" s="84"/>
      <c r="V372" s="84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</row>
    <row r="373" spans="1:57" ht="24.75" customHeight="1">
      <c r="A373" s="23">
        <v>363</v>
      </c>
      <c r="B373" s="24" t="s">
        <v>50</v>
      </c>
      <c r="C373" s="24" t="s">
        <v>1489</v>
      </c>
      <c r="D373" s="24" t="s">
        <v>83</v>
      </c>
      <c r="E373" s="74" t="s">
        <v>52</v>
      </c>
      <c r="F373" s="24" t="s">
        <v>52</v>
      </c>
      <c r="G373" s="83" t="s">
        <v>1068</v>
      </c>
      <c r="H373" s="83" t="str">
        <f>VLOOKUP(G373,[1]ListLoaded!$E$6:$F$544,2,0)</f>
        <v>180604</v>
      </c>
      <c r="I373" s="72" t="str">
        <f>VLOOKUP(G373,[1]ListLoaded!$E$6:$M$550,9,0)</f>
        <v>F</v>
      </c>
      <c r="J373" s="72" t="str">
        <f>VLOOKUP(G373,[1]ListLoaded!$E$6:$I$537,5,0)</f>
        <v>40HC</v>
      </c>
      <c r="K373" s="140">
        <f>VLOOKUP(G373,[1]ListLoaded!$E$6:$L$537,8,0)</f>
        <v>30.64</v>
      </c>
      <c r="L373" s="83" t="str">
        <f>VLOOKUP(G373,[1]ListLoaded!$E$6:$S$645,15,0)</f>
        <v>1113507</v>
      </c>
      <c r="M373" s="86" t="str">
        <f>VLOOKUP(G373,[1]ListLoaded!$E$6:$T$674,16,0)</f>
        <v>GIAY</v>
      </c>
      <c r="N373" s="86">
        <f>VLOOKUP(G373,[1]ListLoaded!$E$6:$N$545,10,0)</f>
        <v>0</v>
      </c>
      <c r="O373" s="72"/>
      <c r="P373" s="72">
        <f>VLOOKUP(G373,[1]ListLoaded!$E$6:$O$638,11,0)</f>
        <v>0</v>
      </c>
      <c r="Q373" s="84" t="str">
        <f t="shared" si="36"/>
        <v>F40HC</v>
      </c>
      <c r="R373" s="84" t="str">
        <f>VLOOKUP(G373,[1]ListLoaded!$E$6:$P$604,12,0)</f>
        <v>HAC260525072</v>
      </c>
      <c r="S373" s="15" t="e">
        <f>I373&amp;J373&amp;#REF!</f>
        <v>#REF!</v>
      </c>
      <c r="T373" s="84"/>
      <c r="U373" s="84"/>
      <c r="V373" s="84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</row>
    <row r="374" spans="1:57" ht="26.25" customHeight="1">
      <c r="A374" s="23">
        <v>364</v>
      </c>
      <c r="B374" s="24" t="s">
        <v>50</v>
      </c>
      <c r="C374" s="24" t="s">
        <v>1489</v>
      </c>
      <c r="D374" s="24" t="s">
        <v>57</v>
      </c>
      <c r="E374" s="74" t="s">
        <v>1488</v>
      </c>
      <c r="F374" s="24" t="s">
        <v>52</v>
      </c>
      <c r="G374" s="83" t="s">
        <v>1266</v>
      </c>
      <c r="H374" s="83" t="s">
        <v>1367</v>
      </c>
      <c r="I374" s="72" t="s">
        <v>116</v>
      </c>
      <c r="J374" s="72" t="s">
        <v>38</v>
      </c>
      <c r="K374" s="140">
        <v>33.700000000000003</v>
      </c>
      <c r="L374" s="83" t="s">
        <v>1368</v>
      </c>
      <c r="M374" s="86" t="s">
        <v>645</v>
      </c>
      <c r="N374" s="86" t="s">
        <v>1330</v>
      </c>
      <c r="O374" s="72"/>
      <c r="P374" s="72">
        <v>0</v>
      </c>
      <c r="Q374" s="84" t="str">
        <f t="shared" si="36"/>
        <v>F40RF</v>
      </c>
      <c r="R374" s="84" t="s">
        <v>960</v>
      </c>
      <c r="T374" s="84"/>
      <c r="U374" s="84"/>
      <c r="V374" s="84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</row>
    <row r="375" spans="1:57" ht="24.75" customHeight="1">
      <c r="A375" s="23">
        <v>365</v>
      </c>
      <c r="B375" s="24" t="s">
        <v>50</v>
      </c>
      <c r="C375" s="24" t="s">
        <v>1489</v>
      </c>
      <c r="D375" s="24" t="s">
        <v>57</v>
      </c>
      <c r="E375" s="74" t="s">
        <v>1488</v>
      </c>
      <c r="F375" s="24" t="s">
        <v>52</v>
      </c>
      <c r="G375" s="83" t="s">
        <v>1267</v>
      </c>
      <c r="H375" s="83" t="s">
        <v>1369</v>
      </c>
      <c r="I375" s="72" t="s">
        <v>116</v>
      </c>
      <c r="J375" s="72" t="s">
        <v>38</v>
      </c>
      <c r="K375" s="140">
        <v>34.01</v>
      </c>
      <c r="L375" s="83" t="s">
        <v>1370</v>
      </c>
      <c r="M375" s="86" t="s">
        <v>645</v>
      </c>
      <c r="N375" s="86" t="s">
        <v>1330</v>
      </c>
      <c r="O375" s="72"/>
      <c r="P375" s="72">
        <v>0</v>
      </c>
      <c r="Q375" s="84" t="str">
        <f t="shared" si="36"/>
        <v>F40RF</v>
      </c>
      <c r="R375" s="84" t="s">
        <v>960</v>
      </c>
      <c r="T375" s="84"/>
      <c r="U375" s="84"/>
      <c r="V375" s="84"/>
    </row>
    <row r="376" spans="1:57" ht="24.75" customHeight="1">
      <c r="A376" s="23">
        <v>366</v>
      </c>
      <c r="B376" s="24" t="s">
        <v>50</v>
      </c>
      <c r="C376" s="24" t="s">
        <v>1489</v>
      </c>
      <c r="D376" s="24" t="s">
        <v>57</v>
      </c>
      <c r="E376" s="74" t="s">
        <v>1488</v>
      </c>
      <c r="F376" s="24" t="s">
        <v>52</v>
      </c>
      <c r="G376" s="83" t="s">
        <v>1268</v>
      </c>
      <c r="H376" s="83" t="s">
        <v>1371</v>
      </c>
      <c r="I376" s="72" t="s">
        <v>116</v>
      </c>
      <c r="J376" s="72" t="s">
        <v>38</v>
      </c>
      <c r="K376" s="140">
        <v>33.68</v>
      </c>
      <c r="L376" s="83" t="s">
        <v>1372</v>
      </c>
      <c r="M376" s="86" t="s">
        <v>645</v>
      </c>
      <c r="N376" s="86" t="s">
        <v>1330</v>
      </c>
      <c r="O376" s="72"/>
      <c r="P376" s="72">
        <v>0</v>
      </c>
      <c r="Q376" s="84" t="str">
        <f t="shared" si="36"/>
        <v>F40RF</v>
      </c>
      <c r="R376" s="84" t="s">
        <v>960</v>
      </c>
      <c r="T376" s="84"/>
      <c r="U376" s="84"/>
      <c r="V376" s="84"/>
    </row>
    <row r="377" spans="1:57" ht="24.75" customHeight="1">
      <c r="A377" s="23">
        <v>367</v>
      </c>
      <c r="B377" s="24" t="s">
        <v>50</v>
      </c>
      <c r="C377" s="24" t="s">
        <v>1489</v>
      </c>
      <c r="D377" s="24" t="s">
        <v>83</v>
      </c>
      <c r="E377" s="74" t="s">
        <v>52</v>
      </c>
      <c r="F377" s="24" t="s">
        <v>52</v>
      </c>
      <c r="G377" s="83" t="s">
        <v>1069</v>
      </c>
      <c r="H377" s="83" t="str">
        <f>VLOOKUP(G377,[1]ListLoaded!$E$6:$F$544,2,0)</f>
        <v>220402</v>
      </c>
      <c r="I377" s="72" t="str">
        <f>VLOOKUP(G377,[1]ListLoaded!$E$6:$M$550,9,0)</f>
        <v>F</v>
      </c>
      <c r="J377" s="72" t="str">
        <f>VLOOKUP(G377,[1]ListLoaded!$E$6:$I$537,5,0)</f>
        <v>40HC</v>
      </c>
      <c r="K377" s="140">
        <f>VLOOKUP(G377,[1]ListLoaded!$E$6:$L$537,8,0)</f>
        <v>31.72</v>
      </c>
      <c r="L377" s="83" t="str">
        <f>VLOOKUP(G377,[1]ListLoaded!$E$6:$S$645,15,0)</f>
        <v>1115921</v>
      </c>
      <c r="M377" s="86" t="str">
        <f>VLOOKUP(G377,[1]ListLoaded!$E$6:$T$674,16,0)</f>
        <v>SIKA CHAT CHONG THAM</v>
      </c>
      <c r="N377" s="86">
        <f>VLOOKUP(G377,[1]ListLoaded!$E$6:$N$545,10,0)</f>
        <v>0</v>
      </c>
      <c r="O377" s="72"/>
      <c r="P377" s="72">
        <f>VLOOKUP(G377,[1]ListLoaded!$E$6:$O$638,11,0)</f>
        <v>0</v>
      </c>
      <c r="Q377" s="84" t="str">
        <f t="shared" si="36"/>
        <v>F40HC</v>
      </c>
      <c r="R377" s="84" t="str">
        <f>VLOOKUP(G377,[1]ListLoaded!$E$6:$P$604,12,0)</f>
        <v>HAC260525015</v>
      </c>
      <c r="S377" s="15" t="e">
        <f>I377&amp;J377&amp;#REF!</f>
        <v>#REF!</v>
      </c>
      <c r="T377" s="84"/>
      <c r="U377" s="84"/>
      <c r="V377" s="84"/>
    </row>
    <row r="378" spans="1:57" ht="24.75" customHeight="1">
      <c r="A378" s="23">
        <v>368</v>
      </c>
      <c r="B378" s="24" t="s">
        <v>50</v>
      </c>
      <c r="C378" s="24" t="s">
        <v>1489</v>
      </c>
      <c r="D378" s="24" t="s">
        <v>83</v>
      </c>
      <c r="E378" s="74" t="s">
        <v>52</v>
      </c>
      <c r="F378" s="24" t="s">
        <v>52</v>
      </c>
      <c r="G378" s="83" t="s">
        <v>1070</v>
      </c>
      <c r="H378" s="83" t="str">
        <f>VLOOKUP(G378,[1]ListLoaded!$E$6:$F$544,2,0)</f>
        <v>060684</v>
      </c>
      <c r="I378" s="72" t="str">
        <f>VLOOKUP(G378,[1]ListLoaded!$E$6:$M$550,9,0)</f>
        <v>F</v>
      </c>
      <c r="J378" s="72" t="str">
        <f>VLOOKUP(G378,[1]ListLoaded!$E$6:$I$537,5,0)</f>
        <v>40HC</v>
      </c>
      <c r="K378" s="140">
        <f>VLOOKUP(G378,[1]ListLoaded!$E$6:$L$537,8,0)</f>
        <v>15.34</v>
      </c>
      <c r="L378" s="83" t="str">
        <f>VLOOKUP(G378,[1]ListLoaded!$E$6:$S$645,15,0)</f>
        <v>01072</v>
      </c>
      <c r="M378" s="86" t="str">
        <f>VLOOKUP(G378,[1]ListLoaded!$E$6:$T$674,16,0)</f>
        <v>ACCESSORIES</v>
      </c>
      <c r="N378" s="86">
        <f>VLOOKUP(G378,[1]ListLoaded!$E$6:$N$545,10,0)</f>
        <v>0</v>
      </c>
      <c r="O378" s="72"/>
      <c r="P378" s="72">
        <f>VLOOKUP(G378,[1]ListLoaded!$E$6:$O$638,11,0)</f>
        <v>0</v>
      </c>
      <c r="Q378" s="84" t="str">
        <f t="shared" si="36"/>
        <v>F40HC</v>
      </c>
      <c r="R378" s="84" t="str">
        <f>VLOOKUP(G378,[1]ListLoaded!$E$6:$P$604,12,0)</f>
        <v>HAC260525073</v>
      </c>
      <c r="S378" s="15" t="e">
        <f>I378&amp;J378&amp;#REF!</f>
        <v>#REF!</v>
      </c>
      <c r="T378" s="84"/>
      <c r="U378" s="84"/>
      <c r="V378" s="84"/>
    </row>
    <row r="379" spans="1:57" ht="24.75" customHeight="1">
      <c r="A379" s="23">
        <v>369</v>
      </c>
      <c r="B379" s="24" t="s">
        <v>50</v>
      </c>
      <c r="C379" s="24" t="s">
        <v>1489</v>
      </c>
      <c r="D379" s="24" t="s">
        <v>83</v>
      </c>
      <c r="E379" s="74" t="s">
        <v>52</v>
      </c>
      <c r="F379" s="24" t="s">
        <v>52</v>
      </c>
      <c r="G379" s="83" t="s">
        <v>1071</v>
      </c>
      <c r="H379" s="83" t="str">
        <f>VLOOKUP(G379,[1]ListLoaded!$E$6:$F$544,2,0)</f>
        <v>100486</v>
      </c>
      <c r="I379" s="72" t="str">
        <f>VLOOKUP(G379,[1]ListLoaded!$E$6:$M$550,9,0)</f>
        <v>F</v>
      </c>
      <c r="J379" s="72" t="str">
        <f>VLOOKUP(G379,[1]ListLoaded!$E$6:$I$537,5,0)</f>
        <v>40HC</v>
      </c>
      <c r="K379" s="140">
        <f>VLOOKUP(G379,[1]ListLoaded!$E$6:$L$537,8,0)</f>
        <v>12.97</v>
      </c>
      <c r="L379" s="83" t="str">
        <f>VLOOKUP(G379,[1]ListLoaded!$E$6:$S$645,15,0)</f>
        <v>01116</v>
      </c>
      <c r="M379" s="86" t="str">
        <f>VLOOKUP(G379,[1]ListLoaded!$E$6:$T$674,16,0)</f>
        <v>XO DUA</v>
      </c>
      <c r="N379" s="86">
        <f>VLOOKUP(G379,[1]ListLoaded!$E$6:$N$545,10,0)</f>
        <v>0</v>
      </c>
      <c r="O379" s="72"/>
      <c r="P379" s="72">
        <f>VLOOKUP(G379,[1]ListLoaded!$E$6:$O$638,11,0)</f>
        <v>0</v>
      </c>
      <c r="Q379" s="84" t="str">
        <f t="shared" si="36"/>
        <v>F40HC</v>
      </c>
      <c r="R379" s="84" t="str">
        <f>VLOOKUP(G379,[1]ListLoaded!$E$6:$P$604,12,0)</f>
        <v>HAC260525073</v>
      </c>
      <c r="S379" s="15" t="e">
        <f>I379&amp;J379&amp;#REF!</f>
        <v>#REF!</v>
      </c>
      <c r="T379" s="84"/>
      <c r="U379" s="84"/>
      <c r="V379" s="84"/>
    </row>
    <row r="380" spans="1:57" ht="24.75" customHeight="1">
      <c r="A380" s="23">
        <v>370</v>
      </c>
      <c r="B380" s="24" t="s">
        <v>50</v>
      </c>
      <c r="C380" s="24" t="s">
        <v>1489</v>
      </c>
      <c r="D380" s="24" t="s">
        <v>83</v>
      </c>
      <c r="E380" s="74" t="s">
        <v>52</v>
      </c>
      <c r="F380" s="24" t="s">
        <v>52</v>
      </c>
      <c r="G380" s="83" t="s">
        <v>1072</v>
      </c>
      <c r="H380" s="83" t="str">
        <f>VLOOKUP(G380,[1]ListLoaded!$E$6:$F$544,2,0)</f>
        <v>220584</v>
      </c>
      <c r="I380" s="72" t="str">
        <f>VLOOKUP(G380,[1]ListLoaded!$E$6:$M$550,9,0)</f>
        <v>F</v>
      </c>
      <c r="J380" s="72" t="str">
        <f>VLOOKUP(G380,[1]ListLoaded!$E$6:$I$537,5,0)</f>
        <v>40HC</v>
      </c>
      <c r="K380" s="140">
        <f>VLOOKUP(G380,[1]ListLoaded!$E$6:$L$537,8,0)</f>
        <v>15.12</v>
      </c>
      <c r="L380" s="83" t="str">
        <f>VLOOKUP(G380,[1]ListLoaded!$E$6:$S$645,15,0)</f>
        <v>1105865</v>
      </c>
      <c r="M380" s="86" t="str">
        <f>VLOOKUP(G380,[1]ListLoaded!$E$6:$T$674,16,0)</f>
        <v>COCONUT FIBRE</v>
      </c>
      <c r="N380" s="86">
        <f>VLOOKUP(G380,[1]ListLoaded!$E$6:$N$545,10,0)</f>
        <v>0</v>
      </c>
      <c r="O380" s="72"/>
      <c r="P380" s="72">
        <f>VLOOKUP(G380,[1]ListLoaded!$E$6:$O$638,11,0)</f>
        <v>0</v>
      </c>
      <c r="Q380" s="84" t="str">
        <f t="shared" si="36"/>
        <v>F40HC</v>
      </c>
      <c r="R380" s="84" t="str">
        <f>VLOOKUP(G380,[1]ListLoaded!$E$6:$P$604,12,0)</f>
        <v>HAC260525073</v>
      </c>
      <c r="S380" s="15" t="e">
        <f>I380&amp;J380&amp;#REF!</f>
        <v>#REF!</v>
      </c>
      <c r="T380" s="84"/>
      <c r="U380" s="84"/>
      <c r="V380" s="84"/>
    </row>
    <row r="381" spans="1:57" ht="24.75" customHeight="1">
      <c r="A381" s="23">
        <v>371</v>
      </c>
      <c r="B381" s="24" t="s">
        <v>50</v>
      </c>
      <c r="C381" s="24" t="s">
        <v>1489</v>
      </c>
      <c r="D381" s="24" t="s">
        <v>83</v>
      </c>
      <c r="E381" s="74" t="s">
        <v>52</v>
      </c>
      <c r="F381" s="24" t="s">
        <v>52</v>
      </c>
      <c r="G381" s="83" t="s">
        <v>1073</v>
      </c>
      <c r="H381" s="83" t="str">
        <f>VLOOKUP(G381,[1]ListLoaded!$E$6:$F$544,2,0)</f>
        <v>100686</v>
      </c>
      <c r="I381" s="72" t="str">
        <f>VLOOKUP(G381,[1]ListLoaded!$E$6:$M$550,9,0)</f>
        <v>F</v>
      </c>
      <c r="J381" s="72" t="str">
        <f>VLOOKUP(G381,[1]ListLoaded!$E$6:$I$537,5,0)</f>
        <v>40HC</v>
      </c>
      <c r="K381" s="140">
        <f>VLOOKUP(G381,[1]ListLoaded!$E$6:$L$537,8,0)</f>
        <v>9.41</v>
      </c>
      <c r="L381" s="83" t="str">
        <f>VLOOKUP(G381,[1]ListLoaded!$E$6:$S$645,15,0)</f>
        <v>1106446</v>
      </c>
      <c r="M381" s="86" t="str">
        <f>VLOOKUP(G381,[1]ListLoaded!$E$6:$T$674,16,0)</f>
        <v>NEM</v>
      </c>
      <c r="N381" s="86">
        <f>VLOOKUP(G381,[1]ListLoaded!$E$6:$N$545,10,0)</f>
        <v>0</v>
      </c>
      <c r="O381" s="72"/>
      <c r="P381" s="72">
        <f>VLOOKUP(G381,[1]ListLoaded!$E$6:$O$638,11,0)</f>
        <v>0</v>
      </c>
      <c r="Q381" s="84" t="str">
        <f t="shared" si="36"/>
        <v>F40HC</v>
      </c>
      <c r="R381" s="84" t="str">
        <f>VLOOKUP(G381,[1]ListLoaded!$E$6:$P$604,12,0)</f>
        <v>HAC260522047</v>
      </c>
      <c r="T381" s="84"/>
      <c r="U381" s="84"/>
      <c r="V381" s="84"/>
    </row>
    <row r="382" spans="1:57" ht="24.75" customHeight="1">
      <c r="A382" s="23">
        <v>372</v>
      </c>
      <c r="B382" s="24" t="s">
        <v>50</v>
      </c>
      <c r="C382" s="24" t="s">
        <v>1489</v>
      </c>
      <c r="D382" s="24" t="s">
        <v>83</v>
      </c>
      <c r="E382" s="74" t="s">
        <v>52</v>
      </c>
      <c r="F382" s="24" t="s">
        <v>52</v>
      </c>
      <c r="G382" s="83" t="s">
        <v>1074</v>
      </c>
      <c r="H382" s="83" t="str">
        <f>VLOOKUP(G382,[1]ListLoaded!$E$6:$F$544,2,0)</f>
        <v>260282</v>
      </c>
      <c r="I382" s="72" t="str">
        <f>VLOOKUP(G382,[1]ListLoaded!$E$6:$M$550,9,0)</f>
        <v>F</v>
      </c>
      <c r="J382" s="72" t="str">
        <f>VLOOKUP(G382,[1]ListLoaded!$E$6:$I$537,5,0)</f>
        <v>40HC</v>
      </c>
      <c r="K382" s="140">
        <f>VLOOKUP(G382,[1]ListLoaded!$E$6:$L$537,8,0)</f>
        <v>24.55</v>
      </c>
      <c r="L382" s="83" t="str">
        <f>VLOOKUP(G382,[1]ListLoaded!$E$6:$S$645,15,0)</f>
        <v>1105749</v>
      </c>
      <c r="M382" s="86" t="str">
        <f>VLOOKUP(G382,[1]ListLoaded!$E$6:$T$674,16,0)</f>
        <v>SOI</v>
      </c>
      <c r="N382" s="86">
        <f>VLOOKUP(G382,[1]ListLoaded!$E$6:$N$545,10,0)</f>
        <v>0</v>
      </c>
      <c r="O382" s="72"/>
      <c r="P382" s="72">
        <f>VLOOKUP(G382,[1]ListLoaded!$E$6:$O$638,11,0)</f>
        <v>0</v>
      </c>
      <c r="Q382" s="84" t="str">
        <f t="shared" si="36"/>
        <v>F40HC</v>
      </c>
      <c r="R382" s="84" t="str">
        <f>VLOOKUP(G382,[1]ListLoaded!$E$6:$P$604,12,0)</f>
        <v>HAC260523009</v>
      </c>
      <c r="T382" s="84"/>
      <c r="U382" s="84"/>
      <c r="V382" s="84"/>
    </row>
    <row r="383" spans="1:57" ht="24.75" customHeight="1">
      <c r="A383" s="23">
        <v>373</v>
      </c>
      <c r="B383" s="24" t="s">
        <v>50</v>
      </c>
      <c r="C383" s="24" t="s">
        <v>1489</v>
      </c>
      <c r="D383" s="24" t="s">
        <v>83</v>
      </c>
      <c r="E383" s="74" t="s">
        <v>52</v>
      </c>
      <c r="F383" s="24" t="s">
        <v>52</v>
      </c>
      <c r="G383" s="83" t="s">
        <v>1075</v>
      </c>
      <c r="H383" s="83" t="str">
        <f>VLOOKUP(G383,[1]ListLoaded!$E$6:$F$544,2,0)</f>
        <v>260384</v>
      </c>
      <c r="I383" s="72" t="str">
        <f>VLOOKUP(G383,[1]ListLoaded!$E$6:$M$550,9,0)</f>
        <v>F</v>
      </c>
      <c r="J383" s="72" t="str">
        <f>VLOOKUP(G383,[1]ListLoaded!$E$6:$I$537,5,0)</f>
        <v>40HC</v>
      </c>
      <c r="K383" s="140">
        <f>VLOOKUP(G383,[1]ListLoaded!$E$6:$L$537,8,0)</f>
        <v>19.52</v>
      </c>
      <c r="L383" s="83" t="str">
        <f>VLOOKUP(G383,[1]ListLoaded!$E$6:$S$645,15,0)</f>
        <v>1105767</v>
      </c>
      <c r="M383" s="86" t="str">
        <f>VLOOKUP(G383,[1]ListLoaded!$E$6:$T$674,16,0)</f>
        <v>LOP XE</v>
      </c>
      <c r="N383" s="86">
        <f>VLOOKUP(G383,[1]ListLoaded!$E$6:$N$545,10,0)</f>
        <v>0</v>
      </c>
      <c r="O383" s="72"/>
      <c r="P383" s="72">
        <f>VLOOKUP(G383,[1]ListLoaded!$E$6:$O$638,11,0)</f>
        <v>0</v>
      </c>
      <c r="Q383" s="84" t="str">
        <f t="shared" si="36"/>
        <v>F40HC</v>
      </c>
      <c r="R383" s="84" t="str">
        <f>VLOOKUP(G383,[1]ListLoaded!$E$6:$P$604,12,0)</f>
        <v>HAC260525017</v>
      </c>
      <c r="T383" s="84"/>
      <c r="U383" s="84"/>
      <c r="V383" s="84"/>
    </row>
    <row r="384" spans="1:57" ht="24.75" customHeight="1">
      <c r="A384" s="23">
        <v>374</v>
      </c>
      <c r="B384" s="24" t="s">
        <v>50</v>
      </c>
      <c r="C384" s="24" t="s">
        <v>1489</v>
      </c>
      <c r="D384" s="24" t="s">
        <v>83</v>
      </c>
      <c r="E384" s="74" t="s">
        <v>52</v>
      </c>
      <c r="F384" s="24" t="s">
        <v>52</v>
      </c>
      <c r="G384" s="83" t="s">
        <v>1076</v>
      </c>
      <c r="H384" s="83" t="str">
        <f>VLOOKUP(G384,[1]ListLoaded!$E$6:$F$544,2,0)</f>
        <v>260408</v>
      </c>
      <c r="I384" s="72" t="str">
        <f>VLOOKUP(G384,[1]ListLoaded!$E$6:$M$550,9,0)</f>
        <v>F</v>
      </c>
      <c r="J384" s="72" t="str">
        <f>VLOOKUP(G384,[1]ListLoaded!$E$6:$I$537,5,0)</f>
        <v>40HC</v>
      </c>
      <c r="K384" s="140">
        <f>VLOOKUP(G384,[1]ListLoaded!$E$6:$L$537,8,0)</f>
        <v>27.45</v>
      </c>
      <c r="L384" s="83" t="str">
        <f>VLOOKUP(G384,[1]ListLoaded!$E$6:$S$645,15,0)</f>
        <v>1116424</v>
      </c>
      <c r="M384" s="86" t="str">
        <f>VLOOKUP(G384,[1]ListLoaded!$E$6:$T$674,16,0)</f>
        <v>THANH PHAM</v>
      </c>
      <c r="N384" s="86">
        <f>VLOOKUP(G384,[1]ListLoaded!$E$6:$N$545,10,0)</f>
        <v>0</v>
      </c>
      <c r="O384" s="72"/>
      <c r="P384" s="72">
        <f>VLOOKUP(G384,[1]ListLoaded!$E$6:$O$638,11,0)</f>
        <v>0</v>
      </c>
      <c r="Q384" s="84" t="str">
        <f t="shared" si="36"/>
        <v>F40HC</v>
      </c>
      <c r="R384" s="84" t="str">
        <f>VLOOKUP(G384,[1]ListLoaded!$E$6:$P$604,12,0)</f>
        <v>HAC260525011</v>
      </c>
      <c r="T384" s="84"/>
      <c r="U384" s="84"/>
      <c r="V384" s="84"/>
    </row>
    <row r="385" spans="1:22" ht="24.75" customHeight="1">
      <c r="A385" s="23">
        <v>375</v>
      </c>
      <c r="B385" s="24" t="s">
        <v>50</v>
      </c>
      <c r="C385" s="24" t="s">
        <v>1489</v>
      </c>
      <c r="D385" s="24" t="s">
        <v>83</v>
      </c>
      <c r="E385" s="74" t="s">
        <v>52</v>
      </c>
      <c r="F385" s="24" t="s">
        <v>52</v>
      </c>
      <c r="G385" s="83" t="s">
        <v>1077</v>
      </c>
      <c r="H385" s="83" t="str">
        <f>VLOOKUP(G385,[1]ListLoaded!$E$6:$F$544,2,0)</f>
        <v>260804</v>
      </c>
      <c r="I385" s="72" t="str">
        <f>VLOOKUP(G385,[1]ListLoaded!$E$6:$M$550,9,0)</f>
        <v>F</v>
      </c>
      <c r="J385" s="72" t="str">
        <f>VLOOKUP(G385,[1]ListLoaded!$E$6:$I$537,5,0)</f>
        <v>40HC</v>
      </c>
      <c r="K385" s="140">
        <f>VLOOKUP(G385,[1]ListLoaded!$E$6:$L$537,8,0)</f>
        <v>31.81</v>
      </c>
      <c r="L385" s="83" t="str">
        <f>VLOOKUP(G385,[1]ListLoaded!$E$6:$S$645,15,0)</f>
        <v>1113521</v>
      </c>
      <c r="M385" s="86" t="str">
        <f>VLOOKUP(G385,[1]ListLoaded!$E$6:$T$674,16,0)</f>
        <v>BOT NGOT</v>
      </c>
      <c r="N385" s="86">
        <f>VLOOKUP(G385,[1]ListLoaded!$E$6:$N$545,10,0)</f>
        <v>0</v>
      </c>
      <c r="O385" s="72"/>
      <c r="P385" s="72">
        <f>VLOOKUP(G385,[1]ListLoaded!$E$6:$O$638,11,0)</f>
        <v>0</v>
      </c>
      <c r="Q385" s="84" t="str">
        <f t="shared" si="36"/>
        <v>F40HC</v>
      </c>
      <c r="R385" s="84" t="str">
        <f>VLOOKUP(G385,[1]ListLoaded!$E$6:$P$604,12,0)</f>
        <v>HAC260526015</v>
      </c>
      <c r="T385" s="84"/>
      <c r="U385" s="84"/>
      <c r="V385" s="84"/>
    </row>
    <row r="386" spans="1:22" ht="24.75" customHeight="1">
      <c r="A386" s="23">
        <v>376</v>
      </c>
      <c r="B386" s="24" t="s">
        <v>50</v>
      </c>
      <c r="C386" s="24" t="s">
        <v>1489</v>
      </c>
      <c r="D386" s="24" t="s">
        <v>83</v>
      </c>
      <c r="E386" s="74" t="s">
        <v>52</v>
      </c>
      <c r="F386" s="24" t="s">
        <v>52</v>
      </c>
      <c r="G386" s="83" t="s">
        <v>1078</v>
      </c>
      <c r="H386" s="83" t="str">
        <f>VLOOKUP(G386,[1]ListLoaded!$E$6:$F$544,2,0)</f>
        <v>060284</v>
      </c>
      <c r="I386" s="72" t="str">
        <f>VLOOKUP(G386,[1]ListLoaded!$E$6:$M$550,9,0)</f>
        <v>F</v>
      </c>
      <c r="J386" s="72" t="str">
        <f>VLOOKUP(G386,[1]ListLoaded!$E$6:$I$537,5,0)</f>
        <v>40HC</v>
      </c>
      <c r="K386" s="140">
        <f>VLOOKUP(G386,[1]ListLoaded!$E$6:$L$537,8,0)</f>
        <v>17.899999999999999</v>
      </c>
      <c r="L386" s="83" t="str">
        <f>VLOOKUP(G386,[1]ListLoaded!$E$6:$S$645,15,0)</f>
        <v>000966</v>
      </c>
      <c r="M386" s="86" t="str">
        <f>VLOOKUP(G386,[1]ListLoaded!$E$6:$T$674,16,0)</f>
        <v>BOT NGOT</v>
      </c>
      <c r="N386" s="86">
        <f>VLOOKUP(G386,[1]ListLoaded!$E$6:$N$545,10,0)</f>
        <v>0</v>
      </c>
      <c r="O386" s="72"/>
      <c r="P386" s="72">
        <f>VLOOKUP(G386,[1]ListLoaded!$E$6:$O$638,11,0)</f>
        <v>0</v>
      </c>
      <c r="Q386" s="84" t="str">
        <f t="shared" si="36"/>
        <v>F40HC</v>
      </c>
      <c r="R386" s="84" t="str">
        <f>VLOOKUP(G386,[1]ListLoaded!$E$6:$P$604,12,0)</f>
        <v>HAC260526015</v>
      </c>
      <c r="T386" s="84"/>
      <c r="U386" s="84"/>
      <c r="V386" s="84"/>
    </row>
    <row r="387" spans="1:22" ht="24.75" customHeight="1">
      <c r="A387" s="23">
        <v>377</v>
      </c>
      <c r="B387" s="24" t="s">
        <v>50</v>
      </c>
      <c r="C387" s="24" t="s">
        <v>1489</v>
      </c>
      <c r="D387" s="24" t="s">
        <v>83</v>
      </c>
      <c r="E387" s="74" t="s">
        <v>52</v>
      </c>
      <c r="F387" s="24" t="s">
        <v>52</v>
      </c>
      <c r="G387" s="83" t="s">
        <v>1079</v>
      </c>
      <c r="H387" s="83" t="str">
        <f>VLOOKUP(G387,[1]ListLoaded!$E$6:$F$544,2,0)</f>
        <v>260682</v>
      </c>
      <c r="I387" s="72" t="str">
        <f>VLOOKUP(G387,[1]ListLoaded!$E$6:$M$550,9,0)</f>
        <v>F</v>
      </c>
      <c r="J387" s="72" t="str">
        <f>VLOOKUP(G387,[1]ListLoaded!$E$6:$I$537,5,0)</f>
        <v>40HC</v>
      </c>
      <c r="K387" s="140">
        <f>VLOOKUP(G387,[1]ListLoaded!$E$6:$L$537,8,0)</f>
        <v>25.78</v>
      </c>
      <c r="L387" s="83" t="str">
        <f>VLOOKUP(G387,[1]ListLoaded!$E$6:$S$645,15,0)</f>
        <v>1104879</v>
      </c>
      <c r="M387" s="86" t="str">
        <f>VLOOKUP(G387,[1]ListLoaded!$E$6:$T$674,16,0)</f>
        <v>BOT NGOT</v>
      </c>
      <c r="N387" s="86">
        <f>VLOOKUP(G387,[1]ListLoaded!$E$6:$N$545,10,0)</f>
        <v>0</v>
      </c>
      <c r="O387" s="72"/>
      <c r="P387" s="72">
        <f>VLOOKUP(G387,[1]ListLoaded!$E$6:$O$638,11,0)</f>
        <v>0</v>
      </c>
      <c r="Q387" s="84" t="str">
        <f t="shared" si="36"/>
        <v>F40HC</v>
      </c>
      <c r="R387" s="84" t="str">
        <f>VLOOKUP(G387,[1]ListLoaded!$E$6:$P$604,12,0)</f>
        <v>HAC260526015</v>
      </c>
      <c r="T387" s="84"/>
      <c r="U387" s="84"/>
      <c r="V387" s="84"/>
    </row>
    <row r="388" spans="1:22" ht="24.75" customHeight="1">
      <c r="A388" s="23">
        <v>378</v>
      </c>
      <c r="B388" s="24" t="s">
        <v>50</v>
      </c>
      <c r="C388" s="24" t="s">
        <v>1489</v>
      </c>
      <c r="D388" s="24" t="s">
        <v>83</v>
      </c>
      <c r="E388" s="74" t="s">
        <v>52</v>
      </c>
      <c r="F388" s="24" t="s">
        <v>52</v>
      </c>
      <c r="G388" s="83" t="s">
        <v>1080</v>
      </c>
      <c r="H388" s="83" t="str">
        <f>VLOOKUP(G388,[1]ListLoaded!$E$6:$F$544,2,0)</f>
        <v>180406</v>
      </c>
      <c r="I388" s="72" t="str">
        <f>VLOOKUP(G388,[1]ListLoaded!$E$6:$M$550,9,0)</f>
        <v>F</v>
      </c>
      <c r="J388" s="72" t="str">
        <f>VLOOKUP(G388,[1]ListLoaded!$E$6:$I$537,5,0)</f>
        <v>40HC</v>
      </c>
      <c r="K388" s="140">
        <f>VLOOKUP(G388,[1]ListLoaded!$E$6:$L$537,8,0)</f>
        <v>32.36</v>
      </c>
      <c r="L388" s="83" t="str">
        <f>VLOOKUP(G388,[1]ListLoaded!$E$6:$S$645,15,0)</f>
        <v>1106540</v>
      </c>
      <c r="M388" s="86" t="str">
        <f>VLOOKUP(G388,[1]ListLoaded!$E$6:$T$674,16,0)</f>
        <v>BOT NGOT</v>
      </c>
      <c r="N388" s="86">
        <f>VLOOKUP(G388,[1]ListLoaded!$E$6:$N$545,10,0)</f>
        <v>0</v>
      </c>
      <c r="O388" s="72"/>
      <c r="P388" s="72">
        <f>VLOOKUP(G388,[1]ListLoaded!$E$6:$O$638,11,0)</f>
        <v>0</v>
      </c>
      <c r="Q388" s="84" t="str">
        <f t="shared" si="36"/>
        <v>F40HC</v>
      </c>
      <c r="R388" s="84" t="str">
        <f>VLOOKUP(G388,[1]ListLoaded!$E$6:$P$604,12,0)</f>
        <v>HAC260526015</v>
      </c>
      <c r="T388" s="84"/>
      <c r="U388" s="84"/>
      <c r="V388" s="84"/>
    </row>
    <row r="389" spans="1:22" ht="24.75" customHeight="1">
      <c r="A389" s="23">
        <v>379</v>
      </c>
      <c r="B389" s="24" t="s">
        <v>50</v>
      </c>
      <c r="C389" s="24" t="s">
        <v>1489</v>
      </c>
      <c r="D389" s="24" t="s">
        <v>83</v>
      </c>
      <c r="E389" s="74" t="s">
        <v>52</v>
      </c>
      <c r="F389" s="24" t="s">
        <v>52</v>
      </c>
      <c r="G389" s="83" t="s">
        <v>1081</v>
      </c>
      <c r="H389" s="83" t="str">
        <f>VLOOKUP(G389,[1]ListLoaded!$E$6:$F$544,2,0)</f>
        <v>260684</v>
      </c>
      <c r="I389" s="72" t="str">
        <f>VLOOKUP(G389,[1]ListLoaded!$E$6:$M$550,9,0)</f>
        <v>F</v>
      </c>
      <c r="J389" s="72" t="str">
        <f>VLOOKUP(G389,[1]ListLoaded!$E$6:$I$537,5,0)</f>
        <v>40HC</v>
      </c>
      <c r="K389" s="140">
        <f>VLOOKUP(G389,[1]ListLoaded!$E$6:$L$537,8,0)</f>
        <v>19.21</v>
      </c>
      <c r="L389" s="83" t="str">
        <f>VLOOKUP(G389,[1]ListLoaded!$E$6:$S$645,15,0)</f>
        <v>1106469</v>
      </c>
      <c r="M389" s="86" t="str">
        <f>VLOOKUP(G389,[1]ListLoaded!$E$6:$T$674,16,0)</f>
        <v>THUC PHAM</v>
      </c>
      <c r="N389" s="86">
        <f>VLOOKUP(G389,[1]ListLoaded!$E$6:$N$545,10,0)</f>
        <v>0</v>
      </c>
      <c r="O389" s="72"/>
      <c r="P389" s="72">
        <f>VLOOKUP(G389,[1]ListLoaded!$E$6:$O$638,11,0)</f>
        <v>0</v>
      </c>
      <c r="Q389" s="84" t="str">
        <f t="shared" si="36"/>
        <v>F40HC</v>
      </c>
      <c r="R389" s="84" t="str">
        <f>VLOOKUP(G389,[1]ListLoaded!$E$6:$P$604,12,0)</f>
        <v>HAC260526016</v>
      </c>
      <c r="T389" s="84"/>
      <c r="U389" s="84"/>
      <c r="V389" s="84"/>
    </row>
    <row r="390" spans="1:22" ht="24.75" customHeight="1">
      <c r="A390" s="23">
        <v>380</v>
      </c>
      <c r="B390" s="24" t="s">
        <v>50</v>
      </c>
      <c r="C390" s="24" t="s">
        <v>1489</v>
      </c>
      <c r="D390" s="24" t="s">
        <v>83</v>
      </c>
      <c r="E390" s="74" t="s">
        <v>1488</v>
      </c>
      <c r="F390" s="24" t="s">
        <v>52</v>
      </c>
      <c r="G390" s="83" t="s">
        <v>1082</v>
      </c>
      <c r="H390" s="83" t="str">
        <f>VLOOKUP(G390,[1]ListLoaded!$E$6:$F$544,2,0)</f>
        <v>180582</v>
      </c>
      <c r="I390" s="72" t="str">
        <f>VLOOKUP(G390,[1]ListLoaded!$E$6:$M$550,9,0)</f>
        <v>F</v>
      </c>
      <c r="J390" s="72" t="s">
        <v>38</v>
      </c>
      <c r="K390" s="140">
        <f>VLOOKUP(G390,[1]ListLoaded!$E$6:$L$537,8,0)</f>
        <v>33.090000000000003</v>
      </c>
      <c r="L390" s="83" t="str">
        <f>VLOOKUP(G390,[1]ListLoaded!$E$6:$S$645,15,0)</f>
        <v>436448</v>
      </c>
      <c r="M390" s="86" t="str">
        <f>VLOOKUP(G390,[1]ListLoaded!$E$6:$T$674,16,0)</f>
        <v>CA</v>
      </c>
      <c r="N390" s="86" t="str">
        <f>VLOOKUP(G390,[1]ListLoaded!$E$6:$N$545,10,0)</f>
        <v>-20C</v>
      </c>
      <c r="O390" s="72" t="s">
        <v>1228</v>
      </c>
      <c r="P390" s="72">
        <f>VLOOKUP(G390,[1]ListLoaded!$E$6:$O$638,11,0)</f>
        <v>0</v>
      </c>
      <c r="Q390" s="84" t="str">
        <f t="shared" si="36"/>
        <v>F40RF</v>
      </c>
      <c r="R390" s="84" t="str">
        <f>VLOOKUP(G390,[1]ListLoaded!$E$6:$P$604,12,0)</f>
        <v>HAC260521043</v>
      </c>
      <c r="T390" s="84"/>
      <c r="U390" s="84"/>
      <c r="V390" s="84"/>
    </row>
    <row r="391" spans="1:22" ht="24.75" customHeight="1">
      <c r="A391" s="23">
        <v>381</v>
      </c>
      <c r="B391" s="24" t="s">
        <v>50</v>
      </c>
      <c r="C391" s="24" t="s">
        <v>1489</v>
      </c>
      <c r="D391" s="24" t="s">
        <v>83</v>
      </c>
      <c r="E391" s="74" t="s">
        <v>1488</v>
      </c>
      <c r="F391" s="24" t="s">
        <v>52</v>
      </c>
      <c r="G391" s="83" t="s">
        <v>1083</v>
      </c>
      <c r="H391" s="83" t="str">
        <f>VLOOKUP(G391,[1]ListLoaded!$E$6:$F$544,2,0)</f>
        <v>180282</v>
      </c>
      <c r="I391" s="72" t="str">
        <f>VLOOKUP(G391,[1]ListLoaded!$E$6:$M$550,9,0)</f>
        <v>F</v>
      </c>
      <c r="J391" s="72" t="s">
        <v>38</v>
      </c>
      <c r="K391" s="140">
        <f>VLOOKUP(G391,[1]ListLoaded!$E$6:$L$537,8,0)</f>
        <v>33.03</v>
      </c>
      <c r="L391" s="83" t="str">
        <f>VLOOKUP(G391,[1]ListLoaded!$E$6:$S$645,15,0)</f>
        <v>436443</v>
      </c>
      <c r="M391" s="86" t="str">
        <f>VLOOKUP(G391,[1]ListLoaded!$E$6:$T$674,16,0)</f>
        <v>CA</v>
      </c>
      <c r="N391" s="86" t="str">
        <f>VLOOKUP(G391,[1]ListLoaded!$E$6:$N$545,10,0)</f>
        <v>-20C</v>
      </c>
      <c r="O391" s="72" t="s">
        <v>1228</v>
      </c>
      <c r="P391" s="72">
        <f>VLOOKUP(G391,[1]ListLoaded!$E$6:$O$638,11,0)</f>
        <v>0</v>
      </c>
      <c r="Q391" s="84" t="str">
        <f t="shared" si="36"/>
        <v>F40RF</v>
      </c>
      <c r="R391" s="84" t="str">
        <f>VLOOKUP(G391,[1]ListLoaded!$E$6:$P$604,12,0)</f>
        <v>HAC260521043</v>
      </c>
      <c r="T391" s="84"/>
      <c r="U391" s="84"/>
      <c r="V391" s="84"/>
    </row>
    <row r="392" spans="1:22" ht="24.75" customHeight="1">
      <c r="A392" s="23">
        <v>382</v>
      </c>
      <c r="B392" s="24" t="s">
        <v>50</v>
      </c>
      <c r="C392" s="24" t="s">
        <v>1489</v>
      </c>
      <c r="D392" s="24" t="s">
        <v>83</v>
      </c>
      <c r="E392" s="74" t="s">
        <v>1488</v>
      </c>
      <c r="F392" s="24" t="s">
        <v>52</v>
      </c>
      <c r="G392" s="83" t="s">
        <v>1084</v>
      </c>
      <c r="H392" s="83" t="str">
        <f>VLOOKUP(G392,[1]ListLoaded!$E$6:$F$544,2,0)</f>
        <v>300484</v>
      </c>
      <c r="I392" s="72" t="str">
        <f>VLOOKUP(G392,[1]ListLoaded!$E$6:$M$550,9,0)</f>
        <v>F</v>
      </c>
      <c r="J392" s="72" t="s">
        <v>42</v>
      </c>
      <c r="K392" s="140">
        <f>VLOOKUP(G392,[1]ListLoaded!$E$6:$L$537,8,0)</f>
        <v>31.91</v>
      </c>
      <c r="L392" s="83" t="str">
        <f>VLOOKUP(G392,[1]ListLoaded!$E$6:$S$645,15,0)</f>
        <v>466904</v>
      </c>
      <c r="M392" s="86" t="str">
        <f>VLOOKUP(G392,[1]ListLoaded!$E$6:$T$674,16,0)</f>
        <v>CA</v>
      </c>
      <c r="N392" s="86" t="str">
        <f>VLOOKUP(G392,[1]ListLoaded!$E$6:$N$545,10,0)</f>
        <v>-20C</v>
      </c>
      <c r="O392" s="72" t="s">
        <v>1228</v>
      </c>
      <c r="P392" s="72">
        <f>VLOOKUP(G392,[1]ListLoaded!$E$6:$O$638,11,0)</f>
        <v>0</v>
      </c>
      <c r="Q392" s="84" t="str">
        <f t="shared" si="36"/>
        <v>F53RF</v>
      </c>
      <c r="R392" s="84" t="str">
        <f>VLOOKUP(G392,[1]ListLoaded!$E$6:$P$604,12,0)</f>
        <v>HAC260521043</v>
      </c>
      <c r="T392" s="84"/>
      <c r="U392" s="84"/>
      <c r="V392" s="84"/>
    </row>
    <row r="393" spans="1:22" ht="24.75" customHeight="1">
      <c r="A393" s="23">
        <v>383</v>
      </c>
      <c r="B393" s="24" t="s">
        <v>50</v>
      </c>
      <c r="C393" s="24" t="s">
        <v>1489</v>
      </c>
      <c r="D393" s="24" t="s">
        <v>83</v>
      </c>
      <c r="E393" s="74" t="s">
        <v>52</v>
      </c>
      <c r="F393" s="24" t="s">
        <v>52</v>
      </c>
      <c r="G393" s="83" t="s">
        <v>1085</v>
      </c>
      <c r="H393" s="83" t="str">
        <f>VLOOKUP(G393,[1]ListLoaded!$E$6:$F$544,2,0)</f>
        <v>180486</v>
      </c>
      <c r="I393" s="72" t="str">
        <f>VLOOKUP(G393,[1]ListLoaded!$E$6:$M$550,9,0)</f>
        <v>F</v>
      </c>
      <c r="J393" s="72" t="str">
        <f>VLOOKUP(G393,[1]ListLoaded!$E$6:$I$537,5,0)</f>
        <v>40HC</v>
      </c>
      <c r="K393" s="140">
        <f>VLOOKUP(G393,[1]ListLoaded!$E$6:$L$537,8,0)</f>
        <v>14.21</v>
      </c>
      <c r="L393" s="83" t="str">
        <f>VLOOKUP(G393,[1]ListLoaded!$E$6:$S$645,15,0)</f>
        <v>1111123</v>
      </c>
      <c r="M393" s="86" t="str">
        <f>VLOOKUP(G393,[1]ListLoaded!$E$6:$T$674,16,0)</f>
        <v>BEP GA</v>
      </c>
      <c r="N393" s="86">
        <f>VLOOKUP(G393,[1]ListLoaded!$E$6:$N$545,10,0)</f>
        <v>0</v>
      </c>
      <c r="O393" s="72"/>
      <c r="P393" s="72">
        <f>VLOOKUP(G393,[1]ListLoaded!$E$6:$O$638,11,0)</f>
        <v>0</v>
      </c>
      <c r="Q393" s="84" t="str">
        <f t="shared" si="36"/>
        <v>F40HC</v>
      </c>
      <c r="R393" s="84" t="str">
        <f>VLOOKUP(G393,[1]ListLoaded!$E$6:$P$604,12,0)</f>
        <v>HAC260521112</v>
      </c>
      <c r="T393" s="84"/>
      <c r="U393" s="84"/>
      <c r="V393" s="84"/>
    </row>
    <row r="394" spans="1:22" ht="24.75" customHeight="1">
      <c r="A394" s="23">
        <v>384</v>
      </c>
      <c r="B394" s="24" t="s">
        <v>50</v>
      </c>
      <c r="C394" s="24" t="s">
        <v>1489</v>
      </c>
      <c r="D394" s="24" t="s">
        <v>83</v>
      </c>
      <c r="E394" s="74" t="s">
        <v>52</v>
      </c>
      <c r="F394" s="24" t="s">
        <v>52</v>
      </c>
      <c r="G394" s="83" t="s">
        <v>1086</v>
      </c>
      <c r="H394" s="83" t="str">
        <f>VLOOKUP(G394,[1]ListLoaded!$E$6:$F$544,2,0)</f>
        <v>260504</v>
      </c>
      <c r="I394" s="72" t="str">
        <f>VLOOKUP(G394,[1]ListLoaded!$E$6:$M$550,9,0)</f>
        <v>F</v>
      </c>
      <c r="J394" s="72" t="str">
        <f>VLOOKUP(G394,[1]ListLoaded!$E$6:$I$537,5,0)</f>
        <v>40HC</v>
      </c>
      <c r="K394" s="140">
        <f>VLOOKUP(G394,[1]ListLoaded!$E$6:$L$537,8,0)</f>
        <v>31.22</v>
      </c>
      <c r="L394" s="83" t="str">
        <f>VLOOKUP(G394,[1]ListLoaded!$E$6:$S$645,15,0)</f>
        <v>1110053</v>
      </c>
      <c r="M394" s="86" t="str">
        <f>VLOOKUP(G394,[1]ListLoaded!$E$6:$T$674,16,0)</f>
        <v>GACH</v>
      </c>
      <c r="N394" s="86">
        <f>VLOOKUP(G394,[1]ListLoaded!$E$6:$N$545,10,0)</f>
        <v>0</v>
      </c>
      <c r="O394" s="72"/>
      <c r="P394" s="72">
        <f>VLOOKUP(G394,[1]ListLoaded!$E$6:$O$638,11,0)</f>
        <v>0</v>
      </c>
      <c r="Q394" s="84" t="str">
        <f t="shared" si="36"/>
        <v>F40HC</v>
      </c>
      <c r="R394" s="84" t="str">
        <f>VLOOKUP(G394,[1]ListLoaded!$E$6:$P$604,12,0)</f>
        <v>HAC260521112</v>
      </c>
      <c r="T394" s="84"/>
      <c r="U394" s="84"/>
      <c r="V394" s="84"/>
    </row>
    <row r="395" spans="1:22" ht="24.75" customHeight="1">
      <c r="A395" s="23">
        <v>385</v>
      </c>
      <c r="B395" s="24" t="s">
        <v>50</v>
      </c>
      <c r="C395" s="24" t="s">
        <v>1489</v>
      </c>
      <c r="D395" s="24" t="s">
        <v>83</v>
      </c>
      <c r="E395" s="74" t="s">
        <v>52</v>
      </c>
      <c r="F395" s="24" t="s">
        <v>52</v>
      </c>
      <c r="G395" s="83" t="s">
        <v>1087</v>
      </c>
      <c r="H395" s="83" t="str">
        <f>VLOOKUP(G395,[1]ListLoaded!$E$6:$F$544,2,0)</f>
        <v>100284</v>
      </c>
      <c r="I395" s="72" t="str">
        <f>VLOOKUP(G395,[1]ListLoaded!$E$6:$M$550,9,0)</f>
        <v>F</v>
      </c>
      <c r="J395" s="72" t="str">
        <f>VLOOKUP(G395,[1]ListLoaded!$E$6:$I$537,5,0)</f>
        <v>40HC</v>
      </c>
      <c r="K395" s="140">
        <f>VLOOKUP(G395,[1]ListLoaded!$E$6:$L$537,8,0)</f>
        <v>25.88</v>
      </c>
      <c r="L395" s="83" t="str">
        <f>VLOOKUP(G395,[1]ListLoaded!$E$6:$S$645,15,0)</f>
        <v>47130</v>
      </c>
      <c r="M395" s="86" t="str">
        <f>VLOOKUP(G395,[1]ListLoaded!$E$6:$T$674,16,0)</f>
        <v>NOI THAT</v>
      </c>
      <c r="N395" s="86">
        <f>VLOOKUP(G395,[1]ListLoaded!$E$6:$N$545,10,0)</f>
        <v>0</v>
      </c>
      <c r="O395" s="72"/>
      <c r="P395" s="72">
        <f>VLOOKUP(G395,[1]ListLoaded!$E$6:$O$638,11,0)</f>
        <v>0</v>
      </c>
      <c r="Q395" s="84" t="str">
        <f t="shared" si="36"/>
        <v>F40HC</v>
      </c>
      <c r="R395" s="84" t="str">
        <f>VLOOKUP(G395,[1]ListLoaded!$E$6:$P$604,12,0)</f>
        <v>HAC260521112</v>
      </c>
      <c r="T395" s="84"/>
      <c r="U395" s="84"/>
      <c r="V395" s="84"/>
    </row>
    <row r="396" spans="1:22" ht="24.75" customHeight="1">
      <c r="A396" s="23">
        <v>386</v>
      </c>
      <c r="B396" s="24" t="s">
        <v>50</v>
      </c>
      <c r="C396" s="24" t="s">
        <v>1489</v>
      </c>
      <c r="D396" s="24" t="s">
        <v>83</v>
      </c>
      <c r="E396" s="74" t="s">
        <v>52</v>
      </c>
      <c r="F396" s="24" t="s">
        <v>52</v>
      </c>
      <c r="G396" s="83" t="s">
        <v>1088</v>
      </c>
      <c r="H396" s="83" t="str">
        <f>VLOOKUP(G396,[1]ListLoaded!$E$6:$F$544,2,0)</f>
        <v>210808</v>
      </c>
      <c r="I396" s="72" t="str">
        <f>VLOOKUP(G396,[1]ListLoaded!$E$6:$M$550,9,0)</f>
        <v>F</v>
      </c>
      <c r="J396" s="72" t="s">
        <v>31</v>
      </c>
      <c r="K396" s="140">
        <f>VLOOKUP(G396,[1]ListLoaded!$E$6:$L$537,8,0)</f>
        <v>23.74</v>
      </c>
      <c r="L396" s="83" t="str">
        <f>VLOOKUP(G396,[1]ListLoaded!$E$6:$S$645,15,0)</f>
        <v>657246</v>
      </c>
      <c r="M396" s="86" t="str">
        <f>VLOOKUP(G396,[1]ListLoaded!$E$6:$T$674,16,0)</f>
        <v>THUC PHAM</v>
      </c>
      <c r="N396" s="86">
        <f>VLOOKUP(G396,[1]ListLoaded!$E$6:$N$545,10,0)</f>
        <v>0</v>
      </c>
      <c r="O396" s="72"/>
      <c r="P396" s="72">
        <f>VLOOKUP(G396,[1]ListLoaded!$E$6:$O$638,11,0)</f>
        <v>0</v>
      </c>
      <c r="Q396" s="84" t="str">
        <f t="shared" ref="Q396:Q459" si="37">I396&amp;J396</f>
        <v>F20DC</v>
      </c>
      <c r="R396" s="84" t="str">
        <f>VLOOKUP(G396,[1]ListLoaded!$E$6:$P$604,12,0)</f>
        <v>HAC260521047</v>
      </c>
      <c r="T396" s="84"/>
      <c r="U396" s="84"/>
      <c r="V396" s="84"/>
    </row>
    <row r="397" spans="1:22" ht="24.75" customHeight="1">
      <c r="A397" s="23">
        <v>387</v>
      </c>
      <c r="B397" s="24" t="s">
        <v>50</v>
      </c>
      <c r="C397" s="24" t="s">
        <v>1489</v>
      </c>
      <c r="D397" s="24" t="s">
        <v>83</v>
      </c>
      <c r="E397" s="74" t="s">
        <v>52</v>
      </c>
      <c r="F397" s="24" t="s">
        <v>52</v>
      </c>
      <c r="G397" s="83" t="s">
        <v>1089</v>
      </c>
      <c r="H397" s="83" t="str">
        <f>VLOOKUP(G397,[1]ListLoaded!$E$6:$F$544,2,0)</f>
        <v>090604</v>
      </c>
      <c r="I397" s="72" t="str">
        <f>VLOOKUP(G397,[1]ListLoaded!$E$6:$M$550,9,0)</f>
        <v>F</v>
      </c>
      <c r="J397" s="72" t="s">
        <v>31</v>
      </c>
      <c r="K397" s="140">
        <f>VLOOKUP(G397,[1]ListLoaded!$E$6:$L$537,8,0)</f>
        <v>24.13</v>
      </c>
      <c r="L397" s="83" t="str">
        <f>VLOOKUP(G397,[1]ListLoaded!$E$6:$S$645,15,0)</f>
        <v>1113406</v>
      </c>
      <c r="M397" s="86" t="str">
        <f>VLOOKUP(G397,[1]ListLoaded!$E$6:$T$674,16,0)</f>
        <v>THUC PHAM</v>
      </c>
      <c r="N397" s="86">
        <f>VLOOKUP(G397,[1]ListLoaded!$E$6:$N$545,10,0)</f>
        <v>0</v>
      </c>
      <c r="O397" s="72"/>
      <c r="P397" s="72">
        <f>VLOOKUP(G397,[1]ListLoaded!$E$6:$O$638,11,0)</f>
        <v>0</v>
      </c>
      <c r="Q397" s="84" t="str">
        <f t="shared" si="37"/>
        <v>F20DC</v>
      </c>
      <c r="R397" s="84" t="str">
        <f>VLOOKUP(G397,[1]ListLoaded!$E$6:$P$604,12,0)</f>
        <v>HAC260521047</v>
      </c>
      <c r="T397" s="84"/>
      <c r="U397" s="84"/>
      <c r="V397" s="84"/>
    </row>
    <row r="398" spans="1:22" ht="24.75" customHeight="1">
      <c r="A398" s="23">
        <v>388</v>
      </c>
      <c r="B398" s="24" t="s">
        <v>50</v>
      </c>
      <c r="C398" s="24" t="s">
        <v>1489</v>
      </c>
      <c r="D398" s="24" t="s">
        <v>83</v>
      </c>
      <c r="E398" s="74" t="s">
        <v>52</v>
      </c>
      <c r="F398" s="24" t="s">
        <v>52</v>
      </c>
      <c r="G398" s="83" t="s">
        <v>1090</v>
      </c>
      <c r="H398" s="83" t="str">
        <f>VLOOKUP(G398,[1]ListLoaded!$E$6:$F$544,2,0)</f>
        <v>290606</v>
      </c>
      <c r="I398" s="72" t="str">
        <f>VLOOKUP(G398,[1]ListLoaded!$E$6:$M$550,9,0)</f>
        <v>F</v>
      </c>
      <c r="J398" s="72" t="s">
        <v>31</v>
      </c>
      <c r="K398" s="140">
        <f>VLOOKUP(G398,[1]ListLoaded!$E$6:$L$537,8,0)</f>
        <v>21.59</v>
      </c>
      <c r="L398" s="83" t="str">
        <f>VLOOKUP(G398,[1]ListLoaded!$E$6:$S$645,15,0)</f>
        <v>631560</v>
      </c>
      <c r="M398" s="86" t="str">
        <f>VLOOKUP(G398,[1]ListLoaded!$E$6:$T$674,16,0)</f>
        <v>THUC PHAM</v>
      </c>
      <c r="N398" s="86">
        <f>VLOOKUP(G398,[1]ListLoaded!$E$6:$N$545,10,0)</f>
        <v>0</v>
      </c>
      <c r="O398" s="72"/>
      <c r="P398" s="72">
        <f>VLOOKUP(G398,[1]ListLoaded!$E$6:$O$638,11,0)</f>
        <v>0</v>
      </c>
      <c r="Q398" s="84" t="str">
        <f t="shared" si="37"/>
        <v>F20DC</v>
      </c>
      <c r="R398" s="84" t="str">
        <f>VLOOKUP(G398,[1]ListLoaded!$E$6:$P$604,12,0)</f>
        <v>HAC260521085</v>
      </c>
      <c r="T398" s="84"/>
      <c r="U398" s="84"/>
      <c r="V398" s="84"/>
    </row>
    <row r="399" spans="1:22" ht="27.75" customHeight="1">
      <c r="A399" s="23">
        <v>389</v>
      </c>
      <c r="B399" s="24" t="s">
        <v>50</v>
      </c>
      <c r="C399" s="24" t="s">
        <v>1489</v>
      </c>
      <c r="D399" s="24" t="s">
        <v>83</v>
      </c>
      <c r="E399" s="74" t="s">
        <v>52</v>
      </c>
      <c r="F399" s="24" t="s">
        <v>52</v>
      </c>
      <c r="G399" s="83" t="s">
        <v>1091</v>
      </c>
      <c r="H399" s="83" t="str">
        <f>VLOOKUP(G399,[1]ListLoaded!$E$6:$F$544,2,0)</f>
        <v>210508</v>
      </c>
      <c r="I399" s="72" t="str">
        <f>VLOOKUP(G399,[1]ListLoaded!$E$6:$M$550,9,0)</f>
        <v>F</v>
      </c>
      <c r="J399" s="72" t="s">
        <v>31</v>
      </c>
      <c r="K399" s="140">
        <f>VLOOKUP(G399,[1]ListLoaded!$E$6:$L$537,8,0)</f>
        <v>17.7</v>
      </c>
      <c r="L399" s="83" t="str">
        <f>VLOOKUP(G399,[1]ListLoaded!$E$6:$S$645,15,0)</f>
        <v>1143401</v>
      </c>
      <c r="M399" s="86" t="str">
        <f>VLOOKUP(G399,[1]ListLoaded!$E$6:$T$674,16,0)</f>
        <v>THUC PHAM</v>
      </c>
      <c r="N399" s="86">
        <f>VLOOKUP(G399,[1]ListLoaded!$E$6:$N$545,10,0)</f>
        <v>0</v>
      </c>
      <c r="O399" s="72"/>
      <c r="P399" s="72">
        <f>VLOOKUP(G399,[1]ListLoaded!$E$6:$O$638,11,0)</f>
        <v>0</v>
      </c>
      <c r="Q399" s="84" t="str">
        <f t="shared" si="37"/>
        <v>F20DC</v>
      </c>
      <c r="R399" s="84" t="str">
        <f>VLOOKUP(G399,[1]ListLoaded!$E$6:$P$604,12,0)</f>
        <v>HAC260521047</v>
      </c>
      <c r="T399" s="84"/>
      <c r="U399" s="84"/>
      <c r="V399" s="84"/>
    </row>
    <row r="400" spans="1:22" ht="24.75" customHeight="1">
      <c r="A400" s="23">
        <v>390</v>
      </c>
      <c r="B400" s="24" t="s">
        <v>50</v>
      </c>
      <c r="C400" s="24" t="s">
        <v>1489</v>
      </c>
      <c r="D400" s="24" t="s">
        <v>83</v>
      </c>
      <c r="E400" s="74" t="s">
        <v>52</v>
      </c>
      <c r="F400" s="24" t="s">
        <v>52</v>
      </c>
      <c r="G400" s="83" t="s">
        <v>1092</v>
      </c>
      <c r="H400" s="83" t="str">
        <f>VLOOKUP(G400,[1]ListLoaded!$E$6:$F$544,2,0)</f>
        <v>070608</v>
      </c>
      <c r="I400" s="72" t="str">
        <f>VLOOKUP(G400,[1]ListLoaded!$E$6:$M$550,9,0)</f>
        <v>F</v>
      </c>
      <c r="J400" s="72" t="s">
        <v>31</v>
      </c>
      <c r="K400" s="140">
        <f>VLOOKUP(G400,[1]ListLoaded!$E$6:$L$537,8,0)</f>
        <v>22.73</v>
      </c>
      <c r="L400" s="83" t="str">
        <f>VLOOKUP(G400,[1]ListLoaded!$E$6:$S$645,15,0)</f>
        <v>1116126</v>
      </c>
      <c r="M400" s="86" t="str">
        <f>VLOOKUP(G400,[1]ListLoaded!$E$6:$T$674,16,0)</f>
        <v>THUC PHAM</v>
      </c>
      <c r="N400" s="86">
        <f>VLOOKUP(G400,[1]ListLoaded!$E$6:$N$545,10,0)</f>
        <v>0</v>
      </c>
      <c r="O400" s="72"/>
      <c r="P400" s="72">
        <f>VLOOKUP(G400,[1]ListLoaded!$E$6:$O$638,11,0)</f>
        <v>0</v>
      </c>
      <c r="Q400" s="84" t="str">
        <f t="shared" si="37"/>
        <v>F20DC</v>
      </c>
      <c r="R400" s="84" t="str">
        <f>VLOOKUP(G400,[1]ListLoaded!$E$6:$P$604,12,0)</f>
        <v>HAC260521047</v>
      </c>
      <c r="T400" s="84"/>
      <c r="U400" s="84"/>
      <c r="V400" s="84"/>
    </row>
    <row r="401" spans="1:22" ht="24.75" customHeight="1">
      <c r="A401" s="23">
        <v>391</v>
      </c>
      <c r="B401" s="24" t="s">
        <v>50</v>
      </c>
      <c r="C401" s="24" t="s">
        <v>1489</v>
      </c>
      <c r="D401" s="24" t="s">
        <v>83</v>
      </c>
      <c r="E401" s="74" t="s">
        <v>52</v>
      </c>
      <c r="F401" s="24" t="s">
        <v>52</v>
      </c>
      <c r="G401" s="83" t="s">
        <v>1093</v>
      </c>
      <c r="H401" s="83" t="str">
        <f>VLOOKUP(G401,[1]ListLoaded!$E$6:$F$544,2,0)</f>
        <v>070810</v>
      </c>
      <c r="I401" s="72" t="str">
        <f>VLOOKUP(G401,[1]ListLoaded!$E$6:$M$550,9,0)</f>
        <v>F</v>
      </c>
      <c r="J401" s="72" t="s">
        <v>31</v>
      </c>
      <c r="K401" s="140">
        <f>VLOOKUP(G401,[1]ListLoaded!$E$6:$L$537,8,0)</f>
        <v>24.33</v>
      </c>
      <c r="L401" s="83" t="str">
        <f>VLOOKUP(G401,[1]ListLoaded!$E$6:$S$645,15,0)</f>
        <v>1113442</v>
      </c>
      <c r="M401" s="86" t="str">
        <f>VLOOKUP(G401,[1]ListLoaded!$E$6:$T$674,16,0)</f>
        <v>THUC PHAM</v>
      </c>
      <c r="N401" s="86">
        <f>VLOOKUP(G401,[1]ListLoaded!$E$6:$N$545,10,0)</f>
        <v>0</v>
      </c>
      <c r="O401" s="72"/>
      <c r="P401" s="72">
        <f>VLOOKUP(G401,[1]ListLoaded!$E$6:$O$638,11,0)</f>
        <v>0</v>
      </c>
      <c r="Q401" s="84" t="str">
        <f t="shared" si="37"/>
        <v>F20DC</v>
      </c>
      <c r="R401" s="84" t="str">
        <f>VLOOKUP(G401,[1]ListLoaded!$E$6:$P$604,12,0)</f>
        <v>HAC260521047</v>
      </c>
      <c r="T401" s="84"/>
      <c r="U401" s="84"/>
      <c r="V401" s="84"/>
    </row>
    <row r="402" spans="1:22" ht="24.75" customHeight="1">
      <c r="A402" s="23">
        <v>392</v>
      </c>
      <c r="B402" s="24" t="s">
        <v>50</v>
      </c>
      <c r="C402" s="24" t="s">
        <v>1489</v>
      </c>
      <c r="D402" s="24" t="s">
        <v>83</v>
      </c>
      <c r="E402" s="74" t="s">
        <v>52</v>
      </c>
      <c r="F402" s="24" t="s">
        <v>52</v>
      </c>
      <c r="G402" s="83" t="s">
        <v>630</v>
      </c>
      <c r="H402" s="83" t="str">
        <f>VLOOKUP(G402,[1]ListLoaded!$E$6:$F$544,2,0)</f>
        <v>140202</v>
      </c>
      <c r="I402" s="72" t="str">
        <f>VLOOKUP(G402,[1]ListLoaded!$E$6:$M$550,9,0)</f>
        <v>F</v>
      </c>
      <c r="J402" s="72" t="str">
        <f>VLOOKUP(G402,[1]ListLoaded!$E$6:$I$537,5,0)</f>
        <v>40HC</v>
      </c>
      <c r="K402" s="140">
        <f>VLOOKUP(G402,[1]ListLoaded!$E$6:$L$537,8,0)</f>
        <v>30.97</v>
      </c>
      <c r="L402" s="83" t="str">
        <f>VLOOKUP(G402,[1]ListLoaded!$E$6:$S$645,15,0)</f>
        <v>631565</v>
      </c>
      <c r="M402" s="86" t="str">
        <f>VLOOKUP(G402,[1]ListLoaded!$E$6:$T$674,16,0)</f>
        <v>NGUYEN LIEU</v>
      </c>
      <c r="N402" s="86">
        <f>VLOOKUP(G402,[1]ListLoaded!$E$6:$N$545,10,0)</f>
        <v>0</v>
      </c>
      <c r="O402" s="72"/>
      <c r="P402" s="72">
        <f>VLOOKUP(G402,[1]ListLoaded!$E$6:$O$638,11,0)</f>
        <v>0</v>
      </c>
      <c r="Q402" s="84" t="str">
        <f t="shared" si="37"/>
        <v>F40HC</v>
      </c>
      <c r="R402" s="84" t="str">
        <f>VLOOKUP(G402,[1]ListLoaded!$E$6:$P$604,12,0)</f>
        <v>HAC260526141</v>
      </c>
      <c r="T402" s="84"/>
      <c r="U402" s="84"/>
      <c r="V402" s="84"/>
    </row>
    <row r="403" spans="1:22" ht="23.25" customHeight="1">
      <c r="A403" s="23">
        <v>393</v>
      </c>
      <c r="B403" s="24" t="s">
        <v>50</v>
      </c>
      <c r="C403" s="24" t="s">
        <v>1489</v>
      </c>
      <c r="D403" s="24" t="s">
        <v>83</v>
      </c>
      <c r="E403" s="143" t="s">
        <v>1488</v>
      </c>
      <c r="F403" s="24" t="s">
        <v>52</v>
      </c>
      <c r="G403" s="83" t="s">
        <v>1211</v>
      </c>
      <c r="H403" s="83" t="s">
        <v>1476</v>
      </c>
      <c r="I403" s="72" t="s">
        <v>531</v>
      </c>
      <c r="J403" s="72" t="s">
        <v>37</v>
      </c>
      <c r="K403" s="140">
        <v>3.8</v>
      </c>
      <c r="L403" s="83" t="s">
        <v>69</v>
      </c>
      <c r="M403" s="86" t="s">
        <v>56</v>
      </c>
      <c r="N403" s="86">
        <v>0</v>
      </c>
      <c r="O403" s="72" t="s">
        <v>1232</v>
      </c>
      <c r="P403" s="72">
        <v>0</v>
      </c>
      <c r="Q403" s="84" t="str">
        <f t="shared" si="37"/>
        <v>E40HC</v>
      </c>
      <c r="R403" s="84" t="s">
        <v>1462</v>
      </c>
      <c r="S403" s="15" t="s">
        <v>1463</v>
      </c>
      <c r="T403" s="84"/>
      <c r="U403" s="84"/>
      <c r="V403" s="84"/>
    </row>
    <row r="404" spans="1:22" ht="22.5" customHeight="1">
      <c r="A404" s="23">
        <v>394</v>
      </c>
      <c r="B404" s="24" t="s">
        <v>50</v>
      </c>
      <c r="C404" s="24" t="s">
        <v>1489</v>
      </c>
      <c r="D404" s="24" t="s">
        <v>83</v>
      </c>
      <c r="E404" s="74" t="s">
        <v>52</v>
      </c>
      <c r="F404" s="24" t="s">
        <v>52</v>
      </c>
      <c r="G404" s="83" t="s">
        <v>1094</v>
      </c>
      <c r="H404" s="83" t="str">
        <f>VLOOKUP(G404,[1]ListLoaded!$E$6:$F$544,2,0)</f>
        <v>060208</v>
      </c>
      <c r="I404" s="72" t="str">
        <f>VLOOKUP(G404,[1]ListLoaded!$E$6:$M$550,9,0)</f>
        <v>F</v>
      </c>
      <c r="J404" s="72" t="str">
        <f>VLOOKUP(G404,[1]ListLoaded!$E$6:$I$537,5,0)</f>
        <v>40HC</v>
      </c>
      <c r="K404" s="140">
        <f>VLOOKUP(G404,[1]ListLoaded!$E$6:$L$537,8,0)</f>
        <v>31.04</v>
      </c>
      <c r="L404" s="83" t="str">
        <f>VLOOKUP(G404,[1]ListLoaded!$E$6:$S$645,15,0)</f>
        <v>17360</v>
      </c>
      <c r="M404" s="86" t="str">
        <f>VLOOKUP(G404,[1]ListLoaded!$E$6:$T$674,16,0)</f>
        <v>BOT KEM</v>
      </c>
      <c r="N404" s="86">
        <f>VLOOKUP(G404,[1]ListLoaded!$E$6:$N$545,10,0)</f>
        <v>0</v>
      </c>
      <c r="O404" s="72"/>
      <c r="P404" s="72">
        <f>VLOOKUP(G404,[1]ListLoaded!$E$6:$O$638,11,0)</f>
        <v>0</v>
      </c>
      <c r="Q404" s="84" t="str">
        <f t="shared" si="37"/>
        <v>F40HC</v>
      </c>
      <c r="R404" s="84" t="str">
        <f>VLOOKUP(G404,[1]ListLoaded!$E$6:$P$604,12,0)</f>
        <v>HAC260526010</v>
      </c>
      <c r="T404" s="84"/>
      <c r="U404" s="84"/>
      <c r="V404" s="84"/>
    </row>
    <row r="405" spans="1:22" ht="22.5" customHeight="1">
      <c r="A405" s="23">
        <v>395</v>
      </c>
      <c r="B405" s="24" t="s">
        <v>50</v>
      </c>
      <c r="C405" s="24" t="s">
        <v>1489</v>
      </c>
      <c r="D405" s="24" t="s">
        <v>83</v>
      </c>
      <c r="E405" s="74" t="s">
        <v>52</v>
      </c>
      <c r="F405" s="24" t="s">
        <v>52</v>
      </c>
      <c r="G405" s="83" t="s">
        <v>1095</v>
      </c>
      <c r="H405" s="83" t="str">
        <f>VLOOKUP(G405,[1]ListLoaded!$E$6:$F$544,2,0)</f>
        <v>260406</v>
      </c>
      <c r="I405" s="72" t="str">
        <f>VLOOKUP(G405,[1]ListLoaded!$E$6:$M$550,9,0)</f>
        <v>F</v>
      </c>
      <c r="J405" s="72" t="str">
        <f>VLOOKUP(G405,[1]ListLoaded!$E$6:$I$537,5,0)</f>
        <v>40HC</v>
      </c>
      <c r="K405" s="140">
        <f>VLOOKUP(G405,[1]ListLoaded!$E$6:$L$537,8,0)</f>
        <v>30.77</v>
      </c>
      <c r="L405" s="83" t="str">
        <f>VLOOKUP(G405,[1]ListLoaded!$E$6:$S$645,15,0)</f>
        <v>1042937</v>
      </c>
      <c r="M405" s="86" t="str">
        <f>VLOOKUP(G405,[1]ListLoaded!$E$6:$T$674,16,0)</f>
        <v>BOT KEM</v>
      </c>
      <c r="N405" s="86">
        <f>VLOOKUP(G405,[1]ListLoaded!$E$6:$N$545,10,0)</f>
        <v>0</v>
      </c>
      <c r="O405" s="72"/>
      <c r="P405" s="72">
        <f>VLOOKUP(G405,[1]ListLoaded!$E$6:$O$638,11,0)</f>
        <v>0</v>
      </c>
      <c r="Q405" s="84" t="str">
        <f t="shared" si="37"/>
        <v>F40HC</v>
      </c>
      <c r="R405" s="84" t="str">
        <f>VLOOKUP(G405,[1]ListLoaded!$E$6:$P$604,12,0)</f>
        <v>HAC260526010</v>
      </c>
      <c r="T405" s="84"/>
      <c r="U405" s="84"/>
      <c r="V405" s="84"/>
    </row>
    <row r="406" spans="1:22" ht="22.5" customHeight="1">
      <c r="A406" s="23">
        <v>396</v>
      </c>
      <c r="B406" s="24" t="s">
        <v>50</v>
      </c>
      <c r="C406" s="24" t="s">
        <v>1489</v>
      </c>
      <c r="D406" s="24" t="s">
        <v>83</v>
      </c>
      <c r="E406" s="74" t="s">
        <v>52</v>
      </c>
      <c r="F406" s="24" t="s">
        <v>52</v>
      </c>
      <c r="G406" s="83" t="s">
        <v>623</v>
      </c>
      <c r="H406" s="83" t="str">
        <f>VLOOKUP(G406,[1]ListLoaded!$E$6:$F$544,2,0)</f>
        <v>260806</v>
      </c>
      <c r="I406" s="72" t="str">
        <f>VLOOKUP(G406,[1]ListLoaded!$E$6:$M$550,9,0)</f>
        <v>F</v>
      </c>
      <c r="J406" s="72" t="str">
        <f>VLOOKUP(G406,[1]ListLoaded!$E$6:$I$537,5,0)</f>
        <v>40HC</v>
      </c>
      <c r="K406" s="140">
        <f>VLOOKUP(G406,[1]ListLoaded!$E$6:$L$537,8,0)</f>
        <v>31.14</v>
      </c>
      <c r="L406" s="83" t="str">
        <f>VLOOKUP(G406,[1]ListLoaded!$E$6:$S$645,15,0)</f>
        <v>1116554</v>
      </c>
      <c r="M406" s="86" t="str">
        <f>VLOOKUP(G406,[1]ListLoaded!$E$6:$T$674,16,0)</f>
        <v>BOT KEM</v>
      </c>
      <c r="N406" s="86">
        <f>VLOOKUP(G406,[1]ListLoaded!$E$6:$N$545,10,0)</f>
        <v>0</v>
      </c>
      <c r="O406" s="72"/>
      <c r="P406" s="72">
        <f>VLOOKUP(G406,[1]ListLoaded!$E$6:$O$638,11,0)</f>
        <v>0</v>
      </c>
      <c r="Q406" s="84" t="str">
        <f t="shared" si="37"/>
        <v>F40HC</v>
      </c>
      <c r="R406" s="84" t="str">
        <f>VLOOKUP(G406,[1]ListLoaded!$E$6:$P$604,12,0)</f>
        <v>HAC260526010</v>
      </c>
      <c r="T406" s="84"/>
      <c r="U406" s="84"/>
      <c r="V406" s="84"/>
    </row>
    <row r="407" spans="1:22" ht="22.5" customHeight="1">
      <c r="A407" s="23">
        <v>397</v>
      </c>
      <c r="B407" s="24" t="s">
        <v>50</v>
      </c>
      <c r="C407" s="24" t="s">
        <v>1489</v>
      </c>
      <c r="D407" s="24" t="s">
        <v>83</v>
      </c>
      <c r="E407" s="74" t="s">
        <v>52</v>
      </c>
      <c r="F407" s="24" t="s">
        <v>52</v>
      </c>
      <c r="G407" s="83" t="s">
        <v>1096</v>
      </c>
      <c r="H407" s="83" t="str">
        <f>VLOOKUP(G407,[1]ListLoaded!$E$6:$F$544,2,0)</f>
        <v>180584</v>
      </c>
      <c r="I407" s="72" t="str">
        <f>VLOOKUP(G407,[1]ListLoaded!$E$6:$M$550,9,0)</f>
        <v>F</v>
      </c>
      <c r="J407" s="72" t="str">
        <f>VLOOKUP(G407,[1]ListLoaded!$E$6:$I$537,5,0)</f>
        <v>40HC</v>
      </c>
      <c r="K407" s="140">
        <f>VLOOKUP(G407,[1]ListLoaded!$E$6:$L$537,8,0)</f>
        <v>24.61</v>
      </c>
      <c r="L407" s="83" t="str">
        <f>VLOOKUP(G407,[1]ListLoaded!$E$6:$S$645,15,0)</f>
        <v>1106599</v>
      </c>
      <c r="M407" s="86" t="str">
        <f>VLOOKUP(G407,[1]ListLoaded!$E$6:$T$674,16,0)</f>
        <v>NHUA</v>
      </c>
      <c r="N407" s="86">
        <f>VLOOKUP(G407,[1]ListLoaded!$E$6:$N$545,10,0)</f>
        <v>0</v>
      </c>
      <c r="O407" s="72"/>
      <c r="P407" s="72">
        <f>VLOOKUP(G407,[1]ListLoaded!$E$6:$O$638,11,0)</f>
        <v>0</v>
      </c>
      <c r="Q407" s="84" t="str">
        <f t="shared" si="37"/>
        <v>F40HC</v>
      </c>
      <c r="R407" s="84" t="str">
        <f>VLOOKUP(G407,[1]ListLoaded!$E$6:$P$604,12,0)</f>
        <v>HAC260526010</v>
      </c>
      <c r="T407" s="84"/>
      <c r="U407" s="84"/>
      <c r="V407" s="84"/>
    </row>
    <row r="408" spans="1:22" ht="22.5" customHeight="1">
      <c r="A408" s="23">
        <v>398</v>
      </c>
      <c r="B408" s="24" t="s">
        <v>50</v>
      </c>
      <c r="C408" s="24" t="s">
        <v>1489</v>
      </c>
      <c r="D408" s="24" t="s">
        <v>83</v>
      </c>
      <c r="E408" s="74" t="s">
        <v>52</v>
      </c>
      <c r="F408" s="24" t="s">
        <v>52</v>
      </c>
      <c r="G408" s="83" t="s">
        <v>1097</v>
      </c>
      <c r="H408" s="83" t="str">
        <f>VLOOKUP(G408,[1]ListLoaded!$E$6:$F$544,2,0)</f>
        <v>260782</v>
      </c>
      <c r="I408" s="72" t="str">
        <f>VLOOKUP(G408,[1]ListLoaded!$E$6:$M$550,9,0)</f>
        <v>F</v>
      </c>
      <c r="J408" s="72" t="str">
        <f>VLOOKUP(G408,[1]ListLoaded!$E$6:$I$537,5,0)</f>
        <v>40HC</v>
      </c>
      <c r="K408" s="140">
        <f>VLOOKUP(G408,[1]ListLoaded!$E$6:$L$537,8,0)</f>
        <v>27.34</v>
      </c>
      <c r="L408" s="83" t="str">
        <f>VLOOKUP(G408,[1]ListLoaded!$E$6:$S$645,15,0)</f>
        <v>000984</v>
      </c>
      <c r="M408" s="86" t="str">
        <f>VLOOKUP(G408,[1]ListLoaded!$E$6:$T$674,16,0)</f>
        <v>NUOC NGOT</v>
      </c>
      <c r="N408" s="86">
        <f>VLOOKUP(G408,[1]ListLoaded!$E$6:$N$545,10,0)</f>
        <v>0</v>
      </c>
      <c r="O408" s="72"/>
      <c r="P408" s="72">
        <f>VLOOKUP(G408,[1]ListLoaded!$E$6:$O$638,11,0)</f>
        <v>0</v>
      </c>
      <c r="Q408" s="84" t="str">
        <f t="shared" si="37"/>
        <v>F40HC</v>
      </c>
      <c r="R408" s="84" t="str">
        <f>VLOOKUP(G408,[1]ListLoaded!$E$6:$P$604,12,0)</f>
        <v>HAC260521122</v>
      </c>
      <c r="T408" s="84"/>
      <c r="U408" s="84"/>
      <c r="V408" s="84"/>
    </row>
    <row r="409" spans="1:22" ht="22.5" customHeight="1">
      <c r="A409" s="23">
        <v>399</v>
      </c>
      <c r="B409" s="24" t="s">
        <v>50</v>
      </c>
      <c r="C409" s="24" t="s">
        <v>1489</v>
      </c>
      <c r="D409" s="24" t="s">
        <v>83</v>
      </c>
      <c r="E409" s="74" t="s">
        <v>52</v>
      </c>
      <c r="F409" s="24" t="s">
        <v>52</v>
      </c>
      <c r="G409" s="83" t="s">
        <v>1235</v>
      </c>
      <c r="H409" s="83" t="s">
        <v>1448</v>
      </c>
      <c r="I409" s="72" t="s">
        <v>116</v>
      </c>
      <c r="J409" s="72" t="s">
        <v>37</v>
      </c>
      <c r="K409" s="140">
        <v>30.99</v>
      </c>
      <c r="L409" s="83" t="s">
        <v>1449</v>
      </c>
      <c r="M409" s="86" t="s">
        <v>1450</v>
      </c>
      <c r="N409" s="86">
        <v>0</v>
      </c>
      <c r="O409" s="72"/>
      <c r="P409" s="72">
        <v>0</v>
      </c>
      <c r="Q409" s="84" t="str">
        <f t="shared" si="37"/>
        <v>F40HC</v>
      </c>
      <c r="R409" s="84" t="s">
        <v>1451</v>
      </c>
      <c r="S409" s="15" t="s">
        <v>1452</v>
      </c>
      <c r="T409" s="84"/>
      <c r="U409" s="84"/>
      <c r="V409" s="84"/>
    </row>
    <row r="410" spans="1:22" ht="22.5" customHeight="1">
      <c r="A410" s="23">
        <v>400</v>
      </c>
      <c r="B410" s="24" t="s">
        <v>50</v>
      </c>
      <c r="C410" s="24" t="s">
        <v>1489</v>
      </c>
      <c r="D410" s="24" t="s">
        <v>83</v>
      </c>
      <c r="E410" s="74" t="s">
        <v>52</v>
      </c>
      <c r="F410" s="24" t="s">
        <v>52</v>
      </c>
      <c r="G410" s="83" t="s">
        <v>1236</v>
      </c>
      <c r="H410" s="83" t="s">
        <v>1453</v>
      </c>
      <c r="I410" s="72" t="s">
        <v>116</v>
      </c>
      <c r="J410" s="72" t="s">
        <v>37</v>
      </c>
      <c r="K410" s="140">
        <v>31.92</v>
      </c>
      <c r="L410" s="83" t="s">
        <v>1454</v>
      </c>
      <c r="M410" s="86" t="s">
        <v>1450</v>
      </c>
      <c r="N410" s="86">
        <v>0</v>
      </c>
      <c r="O410" s="72"/>
      <c r="P410" s="72">
        <v>0</v>
      </c>
      <c r="Q410" s="84" t="str">
        <f t="shared" si="37"/>
        <v>F40HC</v>
      </c>
      <c r="R410" s="84" t="s">
        <v>1451</v>
      </c>
      <c r="S410" s="15" t="s">
        <v>1452</v>
      </c>
      <c r="T410" s="84"/>
      <c r="U410" s="84"/>
      <c r="V410" s="84"/>
    </row>
    <row r="411" spans="1:22" ht="22.5" customHeight="1">
      <c r="A411" s="23">
        <v>401</v>
      </c>
      <c r="B411" s="24" t="s">
        <v>50</v>
      </c>
      <c r="C411" s="24" t="s">
        <v>1489</v>
      </c>
      <c r="D411" s="24" t="s">
        <v>83</v>
      </c>
      <c r="E411" s="74" t="s">
        <v>52</v>
      </c>
      <c r="F411" s="24" t="s">
        <v>52</v>
      </c>
      <c r="G411" s="83" t="s">
        <v>1237</v>
      </c>
      <c r="H411" s="83" t="s">
        <v>1455</v>
      </c>
      <c r="I411" s="72" t="s">
        <v>116</v>
      </c>
      <c r="J411" s="72" t="s">
        <v>37</v>
      </c>
      <c r="K411" s="140">
        <v>31.24</v>
      </c>
      <c r="L411" s="83" t="s">
        <v>1456</v>
      </c>
      <c r="M411" s="86" t="s">
        <v>1450</v>
      </c>
      <c r="N411" s="86">
        <v>0</v>
      </c>
      <c r="O411" s="72"/>
      <c r="P411" s="72">
        <v>0</v>
      </c>
      <c r="Q411" s="84" t="str">
        <f t="shared" si="37"/>
        <v>F40HC</v>
      </c>
      <c r="R411" s="84" t="s">
        <v>1451</v>
      </c>
      <c r="S411" s="15" t="s">
        <v>1452</v>
      </c>
      <c r="T411" s="84"/>
      <c r="U411" s="84"/>
      <c r="V411" s="84"/>
    </row>
    <row r="412" spans="1:22" ht="22.5" customHeight="1">
      <c r="A412" s="23">
        <v>402</v>
      </c>
      <c r="B412" s="24" t="s">
        <v>50</v>
      </c>
      <c r="C412" s="24" t="s">
        <v>1489</v>
      </c>
      <c r="D412" s="24" t="s">
        <v>83</v>
      </c>
      <c r="E412" s="74" t="s">
        <v>52</v>
      </c>
      <c r="F412" s="24" t="s">
        <v>52</v>
      </c>
      <c r="G412" s="83" t="s">
        <v>1098</v>
      </c>
      <c r="H412" s="83" t="str">
        <f>VLOOKUP(G412,[1]ListLoaded!$E$6:$F$544,2,0)</f>
        <v>260584</v>
      </c>
      <c r="I412" s="72" t="str">
        <f>VLOOKUP(G412,[1]ListLoaded!$E$6:$M$550,9,0)</f>
        <v>F</v>
      </c>
      <c r="J412" s="72" t="str">
        <f>VLOOKUP(G412,[1]ListLoaded!$E$6:$I$537,5,0)</f>
        <v>40HC</v>
      </c>
      <c r="K412" s="140">
        <f>VLOOKUP(G412,[1]ListLoaded!$E$6:$L$537,8,0)</f>
        <v>18.47</v>
      </c>
      <c r="L412" s="83" t="str">
        <f>VLOOKUP(G412,[1]ListLoaded!$E$6:$S$645,15,0)</f>
        <v>1104914</v>
      </c>
      <c r="M412" s="86" t="str">
        <f>VLOOKUP(G412,[1]ListLoaded!$E$6:$T$674,16,0)</f>
        <v>THIET BI VE SINH</v>
      </c>
      <c r="N412" s="86">
        <f>VLOOKUP(G412,[1]ListLoaded!$E$6:$N$545,10,0)</f>
        <v>0</v>
      </c>
      <c r="O412" s="72"/>
      <c r="P412" s="72">
        <f>VLOOKUP(G412,[1]ListLoaded!$E$6:$O$638,11,0)</f>
        <v>0</v>
      </c>
      <c r="Q412" s="84" t="str">
        <f t="shared" si="37"/>
        <v>F40HC</v>
      </c>
      <c r="R412" s="84" t="str">
        <f>VLOOKUP(G412,[1]ListLoaded!$E$6:$P$604,12,0)</f>
        <v>HAC260526018</v>
      </c>
      <c r="T412" s="84"/>
      <c r="U412" s="84"/>
      <c r="V412" s="84"/>
    </row>
    <row r="413" spans="1:22" ht="22.5" customHeight="1">
      <c r="A413" s="23">
        <v>403</v>
      </c>
      <c r="B413" s="24" t="s">
        <v>50</v>
      </c>
      <c r="C413" s="24" t="s">
        <v>1489</v>
      </c>
      <c r="D413" s="24" t="s">
        <v>83</v>
      </c>
      <c r="E413" s="74" t="s">
        <v>52</v>
      </c>
      <c r="F413" s="24" t="s">
        <v>52</v>
      </c>
      <c r="G413" s="83" t="s">
        <v>1099</v>
      </c>
      <c r="H413" s="83" t="str">
        <f>VLOOKUP(G413,[1]ListLoaded!$E$6:$F$544,2,0)</f>
        <v>220882</v>
      </c>
      <c r="I413" s="72" t="str">
        <f>VLOOKUP(G413,[1]ListLoaded!$E$6:$M$550,9,0)</f>
        <v>F</v>
      </c>
      <c r="J413" s="72" t="str">
        <f>VLOOKUP(G413,[1]ListLoaded!$E$6:$I$537,5,0)</f>
        <v>40HC</v>
      </c>
      <c r="K413" s="140">
        <f>VLOOKUP(G413,[1]ListLoaded!$E$6:$L$537,8,0)</f>
        <v>15.45</v>
      </c>
      <c r="L413" s="83" t="str">
        <f>VLOOKUP(G413,[1]ListLoaded!$E$6:$S$645,15,0)</f>
        <v>01084</v>
      </c>
      <c r="M413" s="86" t="str">
        <f>VLOOKUP(G413,[1]ListLoaded!$E$6:$T$674,16,0)</f>
        <v>THIET BI VE SINH</v>
      </c>
      <c r="N413" s="86">
        <f>VLOOKUP(G413,[1]ListLoaded!$E$6:$N$545,10,0)</f>
        <v>0</v>
      </c>
      <c r="O413" s="72"/>
      <c r="P413" s="72">
        <f>VLOOKUP(G413,[1]ListLoaded!$E$6:$O$638,11,0)</f>
        <v>0</v>
      </c>
      <c r="Q413" s="84" t="str">
        <f t="shared" si="37"/>
        <v>F40HC</v>
      </c>
      <c r="R413" s="84" t="str">
        <f>VLOOKUP(G413,[1]ListLoaded!$E$6:$P$604,12,0)</f>
        <v>HAC260527047</v>
      </c>
      <c r="T413" s="84"/>
      <c r="U413" s="84"/>
      <c r="V413" s="84"/>
    </row>
    <row r="414" spans="1:22" ht="22.5" customHeight="1">
      <c r="A414" s="23">
        <v>404</v>
      </c>
      <c r="B414" s="24" t="s">
        <v>50</v>
      </c>
      <c r="C414" s="24" t="s">
        <v>1489</v>
      </c>
      <c r="D414" s="24" t="s">
        <v>83</v>
      </c>
      <c r="E414" s="143" t="s">
        <v>1488</v>
      </c>
      <c r="F414" s="24" t="s">
        <v>52</v>
      </c>
      <c r="G414" s="83" t="s">
        <v>1212</v>
      </c>
      <c r="H414" s="83" t="s">
        <v>1475</v>
      </c>
      <c r="I414" s="72" t="s">
        <v>531</v>
      </c>
      <c r="J414" s="72" t="s">
        <v>37</v>
      </c>
      <c r="K414" s="140">
        <v>3.8</v>
      </c>
      <c r="L414" s="83" t="s">
        <v>69</v>
      </c>
      <c r="M414" s="86" t="s">
        <v>56</v>
      </c>
      <c r="N414" s="86">
        <v>0</v>
      </c>
      <c r="O414" s="72" t="s">
        <v>1232</v>
      </c>
      <c r="P414" s="72">
        <v>0</v>
      </c>
      <c r="Q414" s="84" t="str">
        <f t="shared" si="37"/>
        <v>E40HC</v>
      </c>
      <c r="R414" s="84" t="s">
        <v>1462</v>
      </c>
      <c r="S414" s="15" t="s">
        <v>1463</v>
      </c>
      <c r="T414" s="84"/>
      <c r="U414" s="84"/>
      <c r="V414" s="84"/>
    </row>
    <row r="415" spans="1:22" ht="22.5" customHeight="1">
      <c r="A415" s="23">
        <v>405</v>
      </c>
      <c r="B415" s="24" t="s">
        <v>50</v>
      </c>
      <c r="C415" s="24" t="s">
        <v>1489</v>
      </c>
      <c r="D415" s="24" t="s">
        <v>83</v>
      </c>
      <c r="E415" s="74" t="s">
        <v>52</v>
      </c>
      <c r="F415" s="24" t="s">
        <v>52</v>
      </c>
      <c r="G415" s="83" t="s">
        <v>1100</v>
      </c>
      <c r="H415" s="83" t="str">
        <f>VLOOKUP(G415,[1]ListLoaded!$E$6:$F$544,2,0)</f>
        <v>100384</v>
      </c>
      <c r="I415" s="72" t="str">
        <f>VLOOKUP(G415,[1]ListLoaded!$E$6:$M$550,9,0)</f>
        <v>F</v>
      </c>
      <c r="J415" s="72" t="str">
        <f>VLOOKUP(G415,[1]ListLoaded!$E$6:$I$537,5,0)</f>
        <v>40HC</v>
      </c>
      <c r="K415" s="140">
        <f>VLOOKUP(G415,[1]ListLoaded!$E$6:$L$537,8,0)</f>
        <v>20.91</v>
      </c>
      <c r="L415" s="83" t="str">
        <f>VLOOKUP(G415,[1]ListLoaded!$E$6:$S$645,15,0)</f>
        <v>1028610</v>
      </c>
      <c r="M415" s="86" t="str">
        <f>VLOOKUP(G415,[1]ListLoaded!$E$6:$T$674,16,0)</f>
        <v>CA PHE</v>
      </c>
      <c r="N415" s="86">
        <f>VLOOKUP(G415,[1]ListLoaded!$E$6:$N$545,10,0)</f>
        <v>0</v>
      </c>
      <c r="O415" s="72"/>
      <c r="P415" s="72">
        <f>VLOOKUP(G415,[1]ListLoaded!$E$6:$O$638,11,0)</f>
        <v>0</v>
      </c>
      <c r="Q415" s="84" t="str">
        <f t="shared" si="37"/>
        <v>F40HC</v>
      </c>
      <c r="R415" s="84" t="str">
        <f>VLOOKUP(G415,[1]ListLoaded!$E$6:$P$604,12,0)</f>
        <v>HAC260525136</v>
      </c>
      <c r="T415" s="84"/>
      <c r="U415" s="84"/>
      <c r="V415" s="84"/>
    </row>
    <row r="416" spans="1:22" ht="22.5" customHeight="1">
      <c r="A416" s="23">
        <v>406</v>
      </c>
      <c r="B416" s="24" t="s">
        <v>50</v>
      </c>
      <c r="C416" s="24" t="s">
        <v>1489</v>
      </c>
      <c r="D416" s="24" t="s">
        <v>83</v>
      </c>
      <c r="E416" s="74" t="s">
        <v>52</v>
      </c>
      <c r="F416" s="24" t="s">
        <v>52</v>
      </c>
      <c r="G416" s="83" t="s">
        <v>1101</v>
      </c>
      <c r="H416" s="83" t="str">
        <f>VLOOKUP(G416,[1]ListLoaded!$E$6:$F$544,2,0)</f>
        <v>290308</v>
      </c>
      <c r="I416" s="72" t="str">
        <f>VLOOKUP(G416,[1]ListLoaded!$E$6:$M$550,9,0)</f>
        <v>F</v>
      </c>
      <c r="J416" s="72" t="s">
        <v>31</v>
      </c>
      <c r="K416" s="140">
        <f>VLOOKUP(G416,[1]ListLoaded!$E$6:$L$537,8,0)</f>
        <v>18.579999999999998</v>
      </c>
      <c r="L416" s="83" t="str">
        <f>VLOOKUP(G416,[1]ListLoaded!$E$6:$S$645,15,0)</f>
        <v>340638</v>
      </c>
      <c r="M416" s="86" t="str">
        <f>VLOOKUP(G416,[1]ListLoaded!$E$6:$T$674,16,0)</f>
        <v>NHUA</v>
      </c>
      <c r="N416" s="86">
        <f>VLOOKUP(G416,[1]ListLoaded!$E$6:$N$545,10,0)</f>
        <v>0</v>
      </c>
      <c r="O416" s="72"/>
      <c r="P416" s="72">
        <f>VLOOKUP(G416,[1]ListLoaded!$E$6:$O$638,11,0)</f>
        <v>0</v>
      </c>
      <c r="Q416" s="84" t="str">
        <f t="shared" si="37"/>
        <v>F20DC</v>
      </c>
      <c r="R416" s="84" t="str">
        <f>VLOOKUP(G416,[1]ListLoaded!$E$6:$P$604,12,0)</f>
        <v>HAC260521058</v>
      </c>
      <c r="T416" s="84"/>
      <c r="U416" s="84"/>
      <c r="V416" s="84"/>
    </row>
    <row r="417" spans="1:22" ht="22.5" customHeight="1">
      <c r="A417" s="23">
        <v>407</v>
      </c>
      <c r="B417" s="24" t="s">
        <v>50</v>
      </c>
      <c r="C417" s="24" t="s">
        <v>1489</v>
      </c>
      <c r="D417" s="24" t="s">
        <v>83</v>
      </c>
      <c r="E417" s="74" t="s">
        <v>52</v>
      </c>
      <c r="F417" s="24" t="s">
        <v>52</v>
      </c>
      <c r="G417" s="83" t="s">
        <v>1252</v>
      </c>
      <c r="H417" s="83" t="s">
        <v>1404</v>
      </c>
      <c r="I417" s="72" t="s">
        <v>116</v>
      </c>
      <c r="J417" s="72" t="s">
        <v>37</v>
      </c>
      <c r="K417" s="140">
        <v>30.76</v>
      </c>
      <c r="L417" s="83" t="s">
        <v>1405</v>
      </c>
      <c r="M417" s="86" t="s">
        <v>613</v>
      </c>
      <c r="N417" s="86">
        <v>0</v>
      </c>
      <c r="O417" s="72"/>
      <c r="P417" s="72">
        <v>0</v>
      </c>
      <c r="Q417" s="84" t="str">
        <f t="shared" si="37"/>
        <v>F40HC</v>
      </c>
      <c r="R417" s="84" t="s">
        <v>1395</v>
      </c>
      <c r="T417" s="84"/>
      <c r="U417" s="84"/>
      <c r="V417" s="84"/>
    </row>
    <row r="418" spans="1:22" ht="22.5" customHeight="1">
      <c r="A418" s="23">
        <v>408</v>
      </c>
      <c r="B418" s="24" t="s">
        <v>50</v>
      </c>
      <c r="C418" s="24" t="s">
        <v>1489</v>
      </c>
      <c r="D418" s="24" t="s">
        <v>83</v>
      </c>
      <c r="E418" s="74" t="s">
        <v>52</v>
      </c>
      <c r="F418" s="24" t="s">
        <v>52</v>
      </c>
      <c r="G418" s="83" t="s">
        <v>1253</v>
      </c>
      <c r="H418" s="83" t="s">
        <v>1406</v>
      </c>
      <c r="I418" s="72" t="s">
        <v>116</v>
      </c>
      <c r="J418" s="72" t="s">
        <v>37</v>
      </c>
      <c r="K418" s="140">
        <v>31.77</v>
      </c>
      <c r="L418" s="83" t="s">
        <v>1407</v>
      </c>
      <c r="M418" s="86" t="s">
        <v>613</v>
      </c>
      <c r="N418" s="86">
        <v>0</v>
      </c>
      <c r="O418" s="72"/>
      <c r="P418" s="72">
        <v>0</v>
      </c>
      <c r="Q418" s="84" t="str">
        <f t="shared" si="37"/>
        <v>F40HC</v>
      </c>
      <c r="R418" s="84" t="s">
        <v>1395</v>
      </c>
      <c r="T418" s="84"/>
      <c r="U418" s="84"/>
      <c r="V418" s="84"/>
    </row>
    <row r="419" spans="1:22" ht="22.5" customHeight="1">
      <c r="A419" s="23">
        <v>409</v>
      </c>
      <c r="B419" s="24" t="s">
        <v>50</v>
      </c>
      <c r="C419" s="24" t="s">
        <v>1489</v>
      </c>
      <c r="D419" s="24" t="s">
        <v>83</v>
      </c>
      <c r="E419" s="143" t="s">
        <v>1488</v>
      </c>
      <c r="F419" s="24" t="s">
        <v>52</v>
      </c>
      <c r="G419" s="83" t="s">
        <v>1215</v>
      </c>
      <c r="H419" s="83" t="s">
        <v>1471</v>
      </c>
      <c r="I419" s="72" t="s">
        <v>531</v>
      </c>
      <c r="J419" s="72" t="s">
        <v>37</v>
      </c>
      <c r="K419" s="140">
        <v>3.8</v>
      </c>
      <c r="L419" s="83" t="s">
        <v>69</v>
      </c>
      <c r="M419" s="86" t="s">
        <v>56</v>
      </c>
      <c r="N419" s="86">
        <v>0</v>
      </c>
      <c r="O419" s="72" t="s">
        <v>1232</v>
      </c>
      <c r="P419" s="72">
        <v>0</v>
      </c>
      <c r="Q419" s="84" t="str">
        <f t="shared" si="37"/>
        <v>E40HC</v>
      </c>
      <c r="R419" s="84" t="s">
        <v>1462</v>
      </c>
      <c r="S419" s="15" t="s">
        <v>1463</v>
      </c>
      <c r="T419" s="84"/>
      <c r="U419" s="84"/>
      <c r="V419" s="84"/>
    </row>
    <row r="420" spans="1:22" ht="22.5" customHeight="1">
      <c r="A420" s="23">
        <v>410</v>
      </c>
      <c r="B420" s="24" t="s">
        <v>50</v>
      </c>
      <c r="C420" s="24" t="s">
        <v>1489</v>
      </c>
      <c r="D420" s="24" t="s">
        <v>83</v>
      </c>
      <c r="E420" s="143" t="s">
        <v>1488</v>
      </c>
      <c r="F420" s="24" t="s">
        <v>52</v>
      </c>
      <c r="G420" s="83" t="s">
        <v>1216</v>
      </c>
      <c r="H420" s="83" t="s">
        <v>1472</v>
      </c>
      <c r="I420" s="72" t="s">
        <v>531</v>
      </c>
      <c r="J420" s="72" t="s">
        <v>37</v>
      </c>
      <c r="K420" s="140">
        <v>3.8</v>
      </c>
      <c r="L420" s="83" t="s">
        <v>69</v>
      </c>
      <c r="M420" s="86" t="s">
        <v>56</v>
      </c>
      <c r="N420" s="86">
        <v>0</v>
      </c>
      <c r="O420" s="72" t="s">
        <v>1232</v>
      </c>
      <c r="P420" s="72">
        <v>0</v>
      </c>
      <c r="Q420" s="84" t="str">
        <f t="shared" si="37"/>
        <v>E40HC</v>
      </c>
      <c r="R420" s="84" t="s">
        <v>1462</v>
      </c>
      <c r="S420" s="15" t="s">
        <v>1463</v>
      </c>
      <c r="T420" s="84"/>
      <c r="U420" s="84"/>
      <c r="V420" s="84"/>
    </row>
    <row r="421" spans="1:22" ht="22.5" customHeight="1">
      <c r="A421" s="23">
        <v>411</v>
      </c>
      <c r="B421" s="24" t="s">
        <v>50</v>
      </c>
      <c r="C421" s="24" t="s">
        <v>1489</v>
      </c>
      <c r="D421" s="24" t="s">
        <v>83</v>
      </c>
      <c r="E421" s="74" t="s">
        <v>1488</v>
      </c>
      <c r="F421" s="24" t="s">
        <v>52</v>
      </c>
      <c r="G421" s="83" t="s">
        <v>1102</v>
      </c>
      <c r="H421" s="83" t="str">
        <f>VLOOKUP(G421,[1]ListLoaded!$E$6:$F$544,2,0)</f>
        <v>100286</v>
      </c>
      <c r="I421" s="72" t="str">
        <f>VLOOKUP(G421,[1]ListLoaded!$E$6:$M$550,9,0)</f>
        <v>F</v>
      </c>
      <c r="J421" s="72" t="str">
        <f>VLOOKUP(G421,[1]ListLoaded!$E$6:$I$537,5,0)</f>
        <v>40OT</v>
      </c>
      <c r="K421" s="140">
        <f>VLOOKUP(G421,[1]ListLoaded!$E$6:$L$537,8,0)</f>
        <v>18.32</v>
      </c>
      <c r="L421" s="83" t="str">
        <f>VLOOKUP(G421,[1]ListLoaded!$E$6:$S$645,15,0)</f>
        <v>001068</v>
      </c>
      <c r="M421" s="86" t="str">
        <f>VLOOKUP(G421,[1]ListLoaded!$E$6:$T$674,16,0)</f>
        <v>SAT</v>
      </c>
      <c r="N421" s="86">
        <f>VLOOKUP(G421,[1]ListLoaded!$E$6:$N$545,10,0)</f>
        <v>0</v>
      </c>
      <c r="O421" s="72"/>
      <c r="P421" s="72">
        <f>VLOOKUP(G421,[1]ListLoaded!$E$6:$O$638,11,0)</f>
        <v>0</v>
      </c>
      <c r="Q421" s="84" t="str">
        <f t="shared" si="37"/>
        <v>F40OT</v>
      </c>
      <c r="R421" s="84" t="str">
        <f>VLOOKUP(G421,[1]ListLoaded!$E$6:$P$604,12,0)</f>
        <v>HAC260526155</v>
      </c>
      <c r="S421" s="15" t="e">
        <f>I421&amp;J421&amp;#REF!</f>
        <v>#REF!</v>
      </c>
      <c r="T421" s="84"/>
      <c r="U421" s="84"/>
      <c r="V421" s="84"/>
    </row>
    <row r="422" spans="1:22" ht="22.5" customHeight="1">
      <c r="A422" s="23">
        <v>412</v>
      </c>
      <c r="B422" s="24" t="s">
        <v>50</v>
      </c>
      <c r="C422" s="24" t="s">
        <v>1489</v>
      </c>
      <c r="D422" s="24" t="s">
        <v>83</v>
      </c>
      <c r="E422" s="74" t="s">
        <v>52</v>
      </c>
      <c r="F422" s="24" t="s">
        <v>52</v>
      </c>
      <c r="G422" s="83" t="s">
        <v>1238</v>
      </c>
      <c r="H422" s="83" t="s">
        <v>1442</v>
      </c>
      <c r="I422" s="72" t="s">
        <v>116</v>
      </c>
      <c r="J422" s="72" t="s">
        <v>37</v>
      </c>
      <c r="K422" s="140">
        <v>30.71</v>
      </c>
      <c r="L422" s="83" t="s">
        <v>1443</v>
      </c>
      <c r="M422" s="86" t="s">
        <v>613</v>
      </c>
      <c r="N422" s="86">
        <v>0</v>
      </c>
      <c r="O422" s="72"/>
      <c r="P422" s="72">
        <v>0</v>
      </c>
      <c r="Q422" s="84" t="str">
        <f t="shared" si="37"/>
        <v>F40HC</v>
      </c>
      <c r="R422" s="84" t="s">
        <v>1428</v>
      </c>
      <c r="S422" s="15" t="s">
        <v>1429</v>
      </c>
      <c r="T422" s="84"/>
      <c r="U422" s="84"/>
      <c r="V422" s="84"/>
    </row>
    <row r="423" spans="1:22" ht="22.5" customHeight="1">
      <c r="A423" s="23">
        <v>413</v>
      </c>
      <c r="B423" s="24" t="s">
        <v>50</v>
      </c>
      <c r="C423" s="24" t="s">
        <v>1489</v>
      </c>
      <c r="D423" s="24" t="s">
        <v>83</v>
      </c>
      <c r="E423" s="74" t="s">
        <v>52</v>
      </c>
      <c r="F423" s="24" t="s">
        <v>52</v>
      </c>
      <c r="G423" s="83" t="s">
        <v>1239</v>
      </c>
      <c r="H423" s="83" t="s">
        <v>1444</v>
      </c>
      <c r="I423" s="72" t="s">
        <v>116</v>
      </c>
      <c r="J423" s="72" t="s">
        <v>37</v>
      </c>
      <c r="K423" s="140">
        <v>29.59</v>
      </c>
      <c r="L423" s="83" t="s">
        <v>1445</v>
      </c>
      <c r="M423" s="86" t="s">
        <v>613</v>
      </c>
      <c r="N423" s="86">
        <v>0</v>
      </c>
      <c r="O423" s="72"/>
      <c r="P423" s="72">
        <v>0</v>
      </c>
      <c r="Q423" s="84" t="str">
        <f t="shared" si="37"/>
        <v>F40HC</v>
      </c>
      <c r="R423" s="84" t="s">
        <v>1428</v>
      </c>
      <c r="S423" s="15" t="s">
        <v>1429</v>
      </c>
      <c r="T423" s="84"/>
      <c r="U423" s="84"/>
      <c r="V423" s="84"/>
    </row>
    <row r="424" spans="1:22" ht="22.5" customHeight="1">
      <c r="A424" s="23">
        <v>414</v>
      </c>
      <c r="B424" s="24" t="s">
        <v>50</v>
      </c>
      <c r="C424" s="24" t="s">
        <v>1489</v>
      </c>
      <c r="D424" s="24" t="s">
        <v>83</v>
      </c>
      <c r="E424" s="74" t="s">
        <v>52</v>
      </c>
      <c r="F424" s="24" t="s">
        <v>52</v>
      </c>
      <c r="G424" s="83" t="s">
        <v>1240</v>
      </c>
      <c r="H424" s="83" t="s">
        <v>1446</v>
      </c>
      <c r="I424" s="72" t="s">
        <v>116</v>
      </c>
      <c r="J424" s="72" t="s">
        <v>37</v>
      </c>
      <c r="K424" s="140">
        <v>29.96</v>
      </c>
      <c r="L424" s="83" t="s">
        <v>1447</v>
      </c>
      <c r="M424" s="86" t="s">
        <v>613</v>
      </c>
      <c r="N424" s="86">
        <v>0</v>
      </c>
      <c r="O424" s="72"/>
      <c r="P424" s="72">
        <v>0</v>
      </c>
      <c r="Q424" s="84" t="str">
        <f t="shared" si="37"/>
        <v>F40HC</v>
      </c>
      <c r="R424" s="84" t="s">
        <v>1428</v>
      </c>
      <c r="S424" s="15" t="s">
        <v>1429</v>
      </c>
      <c r="T424" s="84"/>
      <c r="U424" s="84"/>
      <c r="V424" s="84"/>
    </row>
    <row r="425" spans="1:22" ht="22.5" customHeight="1">
      <c r="A425" s="23">
        <v>415</v>
      </c>
      <c r="B425" s="24" t="s">
        <v>50</v>
      </c>
      <c r="C425" s="24" t="s">
        <v>1489</v>
      </c>
      <c r="D425" s="24" t="s">
        <v>83</v>
      </c>
      <c r="E425" s="74" t="s">
        <v>52</v>
      </c>
      <c r="F425" s="24" t="s">
        <v>52</v>
      </c>
      <c r="G425" s="83" t="s">
        <v>1103</v>
      </c>
      <c r="H425" s="83" t="str">
        <f>VLOOKUP(G425,[1]ListLoaded!$E$6:$F$544,2,0)</f>
        <v>221084</v>
      </c>
      <c r="I425" s="72" t="str">
        <f>VLOOKUP(G425,[1]ListLoaded!$E$6:$M$550,9,0)</f>
        <v>F</v>
      </c>
      <c r="J425" s="72" t="str">
        <f>VLOOKUP(G425,[1]ListLoaded!$E$6:$I$537,5,0)</f>
        <v>40HC</v>
      </c>
      <c r="K425" s="140">
        <f>VLOOKUP(G425,[1]ListLoaded!$E$6:$L$537,8,0)</f>
        <v>13.38</v>
      </c>
      <c r="L425" s="83" t="str">
        <f>VLOOKUP(G425,[1]ListLoaded!$E$6:$S$645,15,0)</f>
        <v>1042936</v>
      </c>
      <c r="M425" s="86" t="str">
        <f>VLOOKUP(G425,[1]ListLoaded!$E$6:$T$674,16,0)</f>
        <v>MI</v>
      </c>
      <c r="N425" s="86">
        <f>VLOOKUP(G425,[1]ListLoaded!$E$6:$N$545,10,0)</f>
        <v>0</v>
      </c>
      <c r="O425" s="72"/>
      <c r="P425" s="72">
        <f>VLOOKUP(G425,[1]ListLoaded!$E$6:$O$638,11,0)</f>
        <v>0</v>
      </c>
      <c r="Q425" s="84" t="str">
        <f t="shared" si="37"/>
        <v>F40HC</v>
      </c>
      <c r="R425" s="84" t="str">
        <f>VLOOKUP(G425,[1]ListLoaded!$E$6:$P$604,12,0)</f>
        <v>HAC260525089</v>
      </c>
      <c r="S425" s="15" t="e">
        <f>I425&amp;J425&amp;#REF!</f>
        <v>#REF!</v>
      </c>
      <c r="T425" s="84"/>
      <c r="U425" s="84"/>
      <c r="V425" s="84"/>
    </row>
    <row r="426" spans="1:22" ht="22.5" customHeight="1">
      <c r="A426" s="23">
        <v>416</v>
      </c>
      <c r="B426" s="24" t="s">
        <v>50</v>
      </c>
      <c r="C426" s="24" t="s">
        <v>1489</v>
      </c>
      <c r="D426" s="24" t="s">
        <v>83</v>
      </c>
      <c r="E426" s="74" t="s">
        <v>52</v>
      </c>
      <c r="F426" s="24" t="s">
        <v>52</v>
      </c>
      <c r="G426" s="83" t="s">
        <v>1104</v>
      </c>
      <c r="H426" s="83" t="str">
        <f>VLOOKUP(G426,[1]ListLoaded!$E$6:$F$544,2,0)</f>
        <v>310810</v>
      </c>
      <c r="I426" s="72" t="str">
        <f>VLOOKUP(G426,[1]ListLoaded!$E$6:$M$550,9,0)</f>
        <v>F</v>
      </c>
      <c r="J426" s="72" t="s">
        <v>31</v>
      </c>
      <c r="K426" s="140">
        <f>VLOOKUP(G426,[1]ListLoaded!$E$6:$L$537,8,0)</f>
        <v>16.63</v>
      </c>
      <c r="L426" s="83" t="str">
        <f>VLOOKUP(G426,[1]ListLoaded!$E$6:$S$645,15,0)</f>
        <v>47144</v>
      </c>
      <c r="M426" s="86" t="str">
        <f>VLOOKUP(G426,[1]ListLoaded!$E$6:$T$674,16,0)</f>
        <v>NUOC NGOT</v>
      </c>
      <c r="N426" s="86">
        <f>VLOOKUP(G426,[1]ListLoaded!$E$6:$N$545,10,0)</f>
        <v>0</v>
      </c>
      <c r="O426" s="72"/>
      <c r="P426" s="72">
        <f>VLOOKUP(G426,[1]ListLoaded!$E$6:$O$638,11,0)</f>
        <v>0</v>
      </c>
      <c r="Q426" s="84" t="str">
        <f t="shared" si="37"/>
        <v>F20DC</v>
      </c>
      <c r="R426" s="84" t="str">
        <f>VLOOKUP(G426,[1]ListLoaded!$E$6:$P$604,12,0)</f>
        <v>HAC260526006</v>
      </c>
      <c r="S426" s="15" t="e">
        <f>I426&amp;J426&amp;#REF!</f>
        <v>#REF!</v>
      </c>
      <c r="T426" s="84"/>
      <c r="U426" s="84"/>
      <c r="V426" s="84"/>
    </row>
    <row r="427" spans="1:22" ht="22.5" customHeight="1">
      <c r="A427" s="23">
        <v>417</v>
      </c>
      <c r="B427" s="24" t="s">
        <v>50</v>
      </c>
      <c r="C427" s="24" t="s">
        <v>1489</v>
      </c>
      <c r="D427" s="24" t="s">
        <v>83</v>
      </c>
      <c r="E427" s="74" t="s">
        <v>52</v>
      </c>
      <c r="F427" s="24" t="s">
        <v>52</v>
      </c>
      <c r="G427" s="83" t="s">
        <v>1105</v>
      </c>
      <c r="H427" s="83" t="str">
        <f>VLOOKUP(G427,[1]ListLoaded!$E$6:$F$544,2,0)</f>
        <v>100186</v>
      </c>
      <c r="I427" s="72" t="str">
        <f>VLOOKUP(G427,[1]ListLoaded!$E$6:$M$550,9,0)</f>
        <v>F</v>
      </c>
      <c r="J427" s="72" t="str">
        <f>VLOOKUP(G427,[1]ListLoaded!$E$6:$I$537,5,0)</f>
        <v>40HC</v>
      </c>
      <c r="K427" s="140">
        <f>VLOOKUP(G427,[1]ListLoaded!$E$6:$L$537,8,0)</f>
        <v>12.67</v>
      </c>
      <c r="L427" s="83" t="str">
        <f>VLOOKUP(G427,[1]ListLoaded!$E$6:$S$645,15,0)</f>
        <v>1105704</v>
      </c>
      <c r="M427" s="86" t="str">
        <f>VLOOKUP(G427,[1]ListLoaded!$E$6:$T$674,16,0)</f>
        <v>MI</v>
      </c>
      <c r="N427" s="86">
        <f>VLOOKUP(G427,[1]ListLoaded!$E$6:$N$545,10,0)</f>
        <v>0</v>
      </c>
      <c r="O427" s="72"/>
      <c r="P427" s="72">
        <f>VLOOKUP(G427,[1]ListLoaded!$E$6:$O$638,11,0)</f>
        <v>0</v>
      </c>
      <c r="Q427" s="84" t="str">
        <f t="shared" si="37"/>
        <v>F40HC</v>
      </c>
      <c r="R427" s="84" t="str">
        <f>VLOOKUP(G427,[1]ListLoaded!$E$6:$P$604,12,0)</f>
        <v>HAC260526006</v>
      </c>
      <c r="S427" s="15" t="e">
        <f>I427&amp;J427&amp;#REF!</f>
        <v>#REF!</v>
      </c>
      <c r="T427" s="84"/>
      <c r="U427" s="84"/>
      <c r="V427" s="84"/>
    </row>
    <row r="428" spans="1:22" ht="22.5" customHeight="1">
      <c r="A428" s="23">
        <v>418</v>
      </c>
      <c r="B428" s="24" t="s">
        <v>50</v>
      </c>
      <c r="C428" s="24" t="s">
        <v>1489</v>
      </c>
      <c r="D428" s="24" t="s">
        <v>83</v>
      </c>
      <c r="E428" s="74" t="s">
        <v>52</v>
      </c>
      <c r="F428" s="24" t="s">
        <v>52</v>
      </c>
      <c r="G428" s="83" t="s">
        <v>1106</v>
      </c>
      <c r="H428" s="83" t="str">
        <f>VLOOKUP(G428,[1]ListLoaded!$E$6:$F$544,2,0)</f>
        <v>060584</v>
      </c>
      <c r="I428" s="72" t="str">
        <f>VLOOKUP(G428,[1]ListLoaded!$E$6:$M$550,9,0)</f>
        <v>F</v>
      </c>
      <c r="J428" s="72" t="str">
        <f>VLOOKUP(G428,[1]ListLoaded!$E$6:$I$537,5,0)</f>
        <v>40HC</v>
      </c>
      <c r="K428" s="140">
        <f>VLOOKUP(G428,[1]ListLoaded!$E$6:$L$537,8,0)</f>
        <v>12.39</v>
      </c>
      <c r="L428" s="83" t="str">
        <f>VLOOKUP(G428,[1]ListLoaded!$E$6:$S$645,15,0)</f>
        <v>1115308</v>
      </c>
      <c r="M428" s="86" t="str">
        <f>VLOOKUP(G428,[1]ListLoaded!$E$6:$T$674,16,0)</f>
        <v>MI</v>
      </c>
      <c r="N428" s="86">
        <f>VLOOKUP(G428,[1]ListLoaded!$E$6:$N$545,10,0)</f>
        <v>0</v>
      </c>
      <c r="O428" s="72"/>
      <c r="P428" s="72">
        <f>VLOOKUP(G428,[1]ListLoaded!$E$6:$O$638,11,0)</f>
        <v>0</v>
      </c>
      <c r="Q428" s="84" t="str">
        <f t="shared" si="37"/>
        <v>F40HC</v>
      </c>
      <c r="R428" s="84" t="str">
        <f>VLOOKUP(G428,[1]ListLoaded!$E$6:$P$604,12,0)</f>
        <v>HAC260526006</v>
      </c>
      <c r="S428" s="15" t="e">
        <f>I428&amp;J428&amp;#REF!</f>
        <v>#REF!</v>
      </c>
      <c r="T428" s="84"/>
      <c r="U428" s="84"/>
      <c r="V428" s="84"/>
    </row>
    <row r="429" spans="1:22" ht="22.5" customHeight="1">
      <c r="A429" s="23">
        <v>419</v>
      </c>
      <c r="B429" s="24" t="s">
        <v>50</v>
      </c>
      <c r="C429" s="24" t="s">
        <v>1489</v>
      </c>
      <c r="D429" s="24" t="s">
        <v>83</v>
      </c>
      <c r="E429" s="74" t="s">
        <v>52</v>
      </c>
      <c r="F429" s="24" t="s">
        <v>52</v>
      </c>
      <c r="G429" s="83" t="s">
        <v>1254</v>
      </c>
      <c r="H429" s="83" t="s">
        <v>1393</v>
      </c>
      <c r="I429" s="72" t="s">
        <v>116</v>
      </c>
      <c r="J429" s="72" t="s">
        <v>37</v>
      </c>
      <c r="K429" s="140">
        <v>30.62</v>
      </c>
      <c r="L429" s="83" t="s">
        <v>1394</v>
      </c>
      <c r="M429" s="86" t="s">
        <v>613</v>
      </c>
      <c r="N429" s="86">
        <v>0</v>
      </c>
      <c r="O429" s="72"/>
      <c r="P429" s="72">
        <v>0</v>
      </c>
      <c r="Q429" s="84" t="str">
        <f t="shared" si="37"/>
        <v>F40HC</v>
      </c>
      <c r="R429" s="84" t="s">
        <v>1395</v>
      </c>
      <c r="T429" s="84"/>
      <c r="U429" s="84"/>
      <c r="V429" s="84"/>
    </row>
    <row r="430" spans="1:22" ht="22.5" customHeight="1">
      <c r="A430" s="23">
        <v>420</v>
      </c>
      <c r="B430" s="24" t="s">
        <v>50</v>
      </c>
      <c r="C430" s="24" t="s">
        <v>1489</v>
      </c>
      <c r="D430" s="24" t="s">
        <v>83</v>
      </c>
      <c r="E430" s="74" t="s">
        <v>52</v>
      </c>
      <c r="F430" s="24" t="s">
        <v>52</v>
      </c>
      <c r="G430" s="83" t="s">
        <v>1255</v>
      </c>
      <c r="H430" s="83" t="s">
        <v>1396</v>
      </c>
      <c r="I430" s="72" t="s">
        <v>116</v>
      </c>
      <c r="J430" s="72" t="s">
        <v>37</v>
      </c>
      <c r="K430" s="140">
        <v>30.73</v>
      </c>
      <c r="L430" s="83" t="s">
        <v>1397</v>
      </c>
      <c r="M430" s="86" t="s">
        <v>613</v>
      </c>
      <c r="N430" s="86">
        <v>0</v>
      </c>
      <c r="O430" s="72"/>
      <c r="P430" s="72">
        <v>0</v>
      </c>
      <c r="Q430" s="84" t="str">
        <f t="shared" si="37"/>
        <v>F40HC</v>
      </c>
      <c r="R430" s="84" t="s">
        <v>1395</v>
      </c>
      <c r="T430" s="84"/>
      <c r="U430" s="84"/>
      <c r="V430" s="84"/>
    </row>
    <row r="431" spans="1:22" ht="22.5" customHeight="1">
      <c r="A431" s="23">
        <v>421</v>
      </c>
      <c r="B431" s="24" t="s">
        <v>50</v>
      </c>
      <c r="C431" s="24" t="s">
        <v>1489</v>
      </c>
      <c r="D431" s="24" t="s">
        <v>83</v>
      </c>
      <c r="E431" s="74" t="s">
        <v>52</v>
      </c>
      <c r="F431" s="24" t="s">
        <v>52</v>
      </c>
      <c r="G431" s="83" t="s">
        <v>1256</v>
      </c>
      <c r="H431" s="83" t="s">
        <v>1398</v>
      </c>
      <c r="I431" s="72" t="s">
        <v>116</v>
      </c>
      <c r="J431" s="72" t="s">
        <v>37</v>
      </c>
      <c r="K431" s="140">
        <v>31.28</v>
      </c>
      <c r="L431" s="83" t="s">
        <v>1399</v>
      </c>
      <c r="M431" s="86" t="s">
        <v>613</v>
      </c>
      <c r="N431" s="86">
        <v>0</v>
      </c>
      <c r="O431" s="72"/>
      <c r="P431" s="72">
        <v>0</v>
      </c>
      <c r="Q431" s="84" t="str">
        <f t="shared" si="37"/>
        <v>F40HC</v>
      </c>
      <c r="R431" s="84" t="s">
        <v>1395</v>
      </c>
      <c r="T431" s="84"/>
      <c r="U431" s="84"/>
      <c r="V431" s="84"/>
    </row>
    <row r="432" spans="1:22">
      <c r="A432" s="23">
        <v>422</v>
      </c>
      <c r="B432" s="24" t="s">
        <v>50</v>
      </c>
      <c r="C432" s="24" t="s">
        <v>1489</v>
      </c>
      <c r="D432" s="24" t="s">
        <v>83</v>
      </c>
      <c r="E432" s="74" t="s">
        <v>52</v>
      </c>
      <c r="F432" s="24" t="s">
        <v>52</v>
      </c>
      <c r="G432" s="83" t="s">
        <v>1257</v>
      </c>
      <c r="H432" s="83" t="s">
        <v>1400</v>
      </c>
      <c r="I432" s="72" t="s">
        <v>116</v>
      </c>
      <c r="J432" s="72" t="s">
        <v>37</v>
      </c>
      <c r="K432" s="140">
        <v>31.56</v>
      </c>
      <c r="L432" s="83" t="s">
        <v>1401</v>
      </c>
      <c r="M432" s="86" t="s">
        <v>613</v>
      </c>
      <c r="N432" s="86">
        <v>0</v>
      </c>
      <c r="O432" s="72"/>
      <c r="P432" s="72">
        <v>0</v>
      </c>
      <c r="Q432" s="84" t="str">
        <f t="shared" si="37"/>
        <v>F40HC</v>
      </c>
      <c r="R432" s="84" t="s">
        <v>1395</v>
      </c>
      <c r="T432" s="84"/>
      <c r="U432" s="84"/>
      <c r="V432" s="84"/>
    </row>
    <row r="433" spans="1:22">
      <c r="A433" s="23">
        <v>423</v>
      </c>
      <c r="B433" s="24" t="s">
        <v>50</v>
      </c>
      <c r="C433" s="24" t="s">
        <v>1489</v>
      </c>
      <c r="D433" s="24" t="s">
        <v>83</v>
      </c>
      <c r="E433" s="74" t="s">
        <v>52</v>
      </c>
      <c r="F433" s="24" t="s">
        <v>52</v>
      </c>
      <c r="G433" s="83" t="s">
        <v>1258</v>
      </c>
      <c r="H433" s="83" t="s">
        <v>1402</v>
      </c>
      <c r="I433" s="72" t="s">
        <v>116</v>
      </c>
      <c r="J433" s="72" t="s">
        <v>37</v>
      </c>
      <c r="K433" s="140">
        <v>31.67</v>
      </c>
      <c r="L433" s="83" t="s">
        <v>1403</v>
      </c>
      <c r="M433" s="86" t="s">
        <v>613</v>
      </c>
      <c r="N433" s="86">
        <v>0</v>
      </c>
      <c r="O433" s="72"/>
      <c r="P433" s="72">
        <v>0</v>
      </c>
      <c r="Q433" s="84" t="str">
        <f t="shared" si="37"/>
        <v>F40HC</v>
      </c>
      <c r="R433" s="84" t="s">
        <v>1395</v>
      </c>
      <c r="T433" s="84"/>
      <c r="U433" s="84"/>
      <c r="V433" s="84"/>
    </row>
    <row r="434" spans="1:22">
      <c r="A434" s="23">
        <v>424</v>
      </c>
      <c r="B434" s="24" t="s">
        <v>50</v>
      </c>
      <c r="C434" s="24" t="s">
        <v>1489</v>
      </c>
      <c r="D434" s="24" t="s">
        <v>83</v>
      </c>
      <c r="E434" s="74" t="s">
        <v>52</v>
      </c>
      <c r="F434" s="24" t="s">
        <v>52</v>
      </c>
      <c r="G434" s="83" t="s">
        <v>1107</v>
      </c>
      <c r="H434" s="83" t="str">
        <f>VLOOKUP(G434,[1]ListLoaded!$E$6:$F$544,2,0)</f>
        <v>180286</v>
      </c>
      <c r="I434" s="72" t="str">
        <f>VLOOKUP(G434,[1]ListLoaded!$E$6:$M$550,9,0)</f>
        <v>F</v>
      </c>
      <c r="J434" s="72" t="str">
        <f>VLOOKUP(G434,[1]ListLoaded!$E$6:$I$537,5,0)</f>
        <v>40HC</v>
      </c>
      <c r="K434" s="140">
        <f>VLOOKUP(G434,[1]ListLoaded!$E$6:$L$537,8,0)</f>
        <v>13.48</v>
      </c>
      <c r="L434" s="83" t="str">
        <f>VLOOKUP(G434,[1]ListLoaded!$E$6:$S$645,15,0)</f>
        <v>000961</v>
      </c>
      <c r="M434" s="86" t="str">
        <f>VLOOKUP(G434,[1]ListLoaded!$E$6:$T$674,16,0)</f>
        <v>XUC XICH</v>
      </c>
      <c r="N434" s="86">
        <f>VLOOKUP(G434,[1]ListLoaded!$E$6:$N$545,10,0)</f>
        <v>0</v>
      </c>
      <c r="O434" s="72"/>
      <c r="P434" s="72">
        <f>VLOOKUP(G434,[1]ListLoaded!$E$6:$O$638,11,0)</f>
        <v>0</v>
      </c>
      <c r="Q434" s="84" t="str">
        <f t="shared" si="37"/>
        <v>F40HC</v>
      </c>
      <c r="R434" s="84" t="str">
        <f>VLOOKUP(G434,[1]ListLoaded!$E$6:$P$604,12,0)</f>
        <v>HAC260525070</v>
      </c>
      <c r="S434" s="15" t="e">
        <f>I434&amp;J434&amp;#REF!</f>
        <v>#REF!</v>
      </c>
      <c r="T434" s="84"/>
      <c r="U434" s="84"/>
      <c r="V434" s="84"/>
    </row>
    <row r="435" spans="1:22">
      <c r="A435" s="23">
        <v>425</v>
      </c>
      <c r="B435" s="24" t="s">
        <v>50</v>
      </c>
      <c r="C435" s="24" t="s">
        <v>1489</v>
      </c>
      <c r="D435" s="24" t="s">
        <v>83</v>
      </c>
      <c r="E435" s="74" t="s">
        <v>52</v>
      </c>
      <c r="F435" s="24" t="s">
        <v>52</v>
      </c>
      <c r="G435" s="83" t="s">
        <v>1108</v>
      </c>
      <c r="H435" s="83" t="str">
        <f>VLOOKUP(G435,[1]ListLoaded!$E$6:$F$544,2,0)</f>
        <v>020386</v>
      </c>
      <c r="I435" s="72" t="str">
        <f>VLOOKUP(G435,[1]ListLoaded!$E$6:$M$550,9,0)</f>
        <v>F</v>
      </c>
      <c r="J435" s="72" t="str">
        <f>VLOOKUP(G435,[1]ListLoaded!$E$6:$I$537,5,0)</f>
        <v>40HC</v>
      </c>
      <c r="K435" s="140">
        <f>VLOOKUP(G435,[1]ListLoaded!$E$6:$L$537,8,0)</f>
        <v>11.53</v>
      </c>
      <c r="L435" s="83" t="str">
        <f>VLOOKUP(G435,[1]ListLoaded!$E$6:$S$645,15,0)</f>
        <v>1105728</v>
      </c>
      <c r="M435" s="86" t="str">
        <f>VLOOKUP(G435,[1]ListLoaded!$E$6:$T$674,16,0)</f>
        <v>SUA</v>
      </c>
      <c r="N435" s="86">
        <f>VLOOKUP(G435,[1]ListLoaded!$E$6:$N$545,10,0)</f>
        <v>0</v>
      </c>
      <c r="O435" s="72"/>
      <c r="P435" s="72">
        <f>VLOOKUP(G435,[1]ListLoaded!$E$6:$O$638,11,0)</f>
        <v>0</v>
      </c>
      <c r="Q435" s="84" t="str">
        <f t="shared" si="37"/>
        <v>F40HC</v>
      </c>
      <c r="R435" s="84" t="str">
        <f>VLOOKUP(G435,[1]ListLoaded!$E$6:$P$604,12,0)</f>
        <v>HAC260525070</v>
      </c>
      <c r="S435" s="15" t="e">
        <f>I435&amp;J435&amp;#REF!</f>
        <v>#REF!</v>
      </c>
      <c r="T435" s="84"/>
      <c r="U435" s="84"/>
      <c r="V435" s="84"/>
    </row>
    <row r="436" spans="1:22">
      <c r="A436" s="23">
        <v>426</v>
      </c>
      <c r="B436" s="24" t="s">
        <v>50</v>
      </c>
      <c r="C436" s="24" t="s">
        <v>1489</v>
      </c>
      <c r="D436" s="24" t="s">
        <v>83</v>
      </c>
      <c r="E436" s="74" t="s">
        <v>52</v>
      </c>
      <c r="F436" s="24" t="s">
        <v>52</v>
      </c>
      <c r="G436" s="83" t="s">
        <v>1109</v>
      </c>
      <c r="H436" s="83" t="str">
        <f>VLOOKUP(G436,[1]ListLoaded!$E$6:$F$544,2,0)</f>
        <v>260582</v>
      </c>
      <c r="I436" s="72" t="str">
        <f>VLOOKUP(G436,[1]ListLoaded!$E$6:$M$550,9,0)</f>
        <v>F</v>
      </c>
      <c r="J436" s="72" t="str">
        <f>VLOOKUP(G436,[1]ListLoaded!$E$6:$I$537,5,0)</f>
        <v>40HC</v>
      </c>
      <c r="K436" s="140">
        <f>VLOOKUP(G436,[1]ListLoaded!$E$6:$L$537,8,0)</f>
        <v>27.39</v>
      </c>
      <c r="L436" s="83" t="str">
        <f>VLOOKUP(G436,[1]ListLoaded!$E$6:$S$645,15,0)</f>
        <v>18285</v>
      </c>
      <c r="M436" s="86" t="str">
        <f>VLOOKUP(G436,[1]ListLoaded!$E$6:$T$674,16,0)</f>
        <v>SUA</v>
      </c>
      <c r="N436" s="86">
        <f>VLOOKUP(G436,[1]ListLoaded!$E$6:$N$545,10,0)</f>
        <v>0</v>
      </c>
      <c r="O436" s="72"/>
      <c r="P436" s="72">
        <f>VLOOKUP(G436,[1]ListLoaded!$E$6:$O$638,11,0)</f>
        <v>0</v>
      </c>
      <c r="Q436" s="84" t="str">
        <f t="shared" si="37"/>
        <v>F40HC</v>
      </c>
      <c r="R436" s="84" t="str">
        <f>VLOOKUP(G436,[1]ListLoaded!$E$6:$P$604,12,0)</f>
        <v>HAC260526009</v>
      </c>
      <c r="S436" s="15" t="e">
        <f>I436&amp;J436&amp;#REF!</f>
        <v>#REF!</v>
      </c>
      <c r="T436" s="84"/>
      <c r="U436" s="84"/>
      <c r="V436" s="84"/>
    </row>
    <row r="437" spans="1:22">
      <c r="A437" s="23">
        <v>427</v>
      </c>
      <c r="B437" s="24" t="s">
        <v>50</v>
      </c>
      <c r="C437" s="24" t="s">
        <v>1489</v>
      </c>
      <c r="D437" s="24" t="s">
        <v>83</v>
      </c>
      <c r="E437" s="74" t="s">
        <v>52</v>
      </c>
      <c r="F437" s="24" t="s">
        <v>52</v>
      </c>
      <c r="G437" s="83" t="s">
        <v>1259</v>
      </c>
      <c r="H437" s="83" t="s">
        <v>1383</v>
      </c>
      <c r="I437" s="72" t="s">
        <v>116</v>
      </c>
      <c r="J437" s="72" t="s">
        <v>31</v>
      </c>
      <c r="K437" s="140">
        <v>27.09</v>
      </c>
      <c r="L437" s="83" t="s">
        <v>1384</v>
      </c>
      <c r="M437" s="86" t="s">
        <v>1385</v>
      </c>
      <c r="N437" s="86">
        <v>0</v>
      </c>
      <c r="O437" s="72"/>
      <c r="P437" s="72">
        <v>0</v>
      </c>
      <c r="Q437" s="84" t="str">
        <f t="shared" si="37"/>
        <v>F20DC</v>
      </c>
      <c r="R437" s="84" t="s">
        <v>1386</v>
      </c>
      <c r="S437" s="15" t="e">
        <f>I437&amp;J437&amp;#REF!</f>
        <v>#REF!</v>
      </c>
      <c r="T437" s="84"/>
      <c r="U437" s="84"/>
      <c r="V437" s="84"/>
    </row>
    <row r="438" spans="1:22">
      <c r="A438" s="23">
        <v>428</v>
      </c>
      <c r="B438" s="24" t="s">
        <v>50</v>
      </c>
      <c r="C438" s="24" t="s">
        <v>1489</v>
      </c>
      <c r="D438" s="24" t="s">
        <v>83</v>
      </c>
      <c r="E438" s="74" t="s">
        <v>52</v>
      </c>
      <c r="F438" s="24" t="s">
        <v>52</v>
      </c>
      <c r="G438" s="83" t="s">
        <v>1260</v>
      </c>
      <c r="H438" s="83" t="s">
        <v>1387</v>
      </c>
      <c r="I438" s="72" t="s">
        <v>116</v>
      </c>
      <c r="J438" s="72" t="s">
        <v>37</v>
      </c>
      <c r="K438" s="140">
        <v>19.420000000000002</v>
      </c>
      <c r="L438" s="83" t="s">
        <v>1388</v>
      </c>
      <c r="M438" s="86" t="s">
        <v>991</v>
      </c>
      <c r="N438" s="86">
        <v>0</v>
      </c>
      <c r="O438" s="72"/>
      <c r="P438" s="72">
        <v>0</v>
      </c>
      <c r="Q438" s="84" t="str">
        <f t="shared" si="37"/>
        <v>F40HC</v>
      </c>
      <c r="R438" s="84" t="s">
        <v>1389</v>
      </c>
      <c r="S438" s="15" t="e">
        <f>I438&amp;J438&amp;#REF!</f>
        <v>#REF!</v>
      </c>
      <c r="T438" s="84"/>
      <c r="U438" s="84"/>
      <c r="V438" s="84"/>
    </row>
    <row r="439" spans="1:22">
      <c r="A439" s="23">
        <v>429</v>
      </c>
      <c r="B439" s="24" t="s">
        <v>50</v>
      </c>
      <c r="C439" s="24" t="s">
        <v>1489</v>
      </c>
      <c r="D439" s="24" t="s">
        <v>83</v>
      </c>
      <c r="E439" s="74" t="s">
        <v>1488</v>
      </c>
      <c r="F439" s="24" t="s">
        <v>52</v>
      </c>
      <c r="G439" s="83" t="s">
        <v>1261</v>
      </c>
      <c r="H439" s="83" t="s">
        <v>1390</v>
      </c>
      <c r="I439" s="72" t="s">
        <v>116</v>
      </c>
      <c r="J439" s="72" t="s">
        <v>38</v>
      </c>
      <c r="K439" s="140">
        <v>33.5</v>
      </c>
      <c r="L439" s="83" t="s">
        <v>1391</v>
      </c>
      <c r="M439" s="86" t="s">
        <v>645</v>
      </c>
      <c r="N439" s="86" t="s">
        <v>1330</v>
      </c>
      <c r="O439" s="72"/>
      <c r="P439" s="72">
        <v>0</v>
      </c>
      <c r="Q439" s="84" t="str">
        <f t="shared" si="37"/>
        <v>F40RF</v>
      </c>
      <c r="R439" s="84" t="s">
        <v>1392</v>
      </c>
      <c r="S439" s="15" t="e">
        <f>I439&amp;J439&amp;#REF!</f>
        <v>#REF!</v>
      </c>
      <c r="T439" s="84"/>
      <c r="U439" s="84"/>
      <c r="V439" s="84"/>
    </row>
    <row r="440" spans="1:22">
      <c r="A440" s="23">
        <v>430</v>
      </c>
      <c r="B440" s="24" t="s">
        <v>50</v>
      </c>
      <c r="C440" s="24" t="s">
        <v>1489</v>
      </c>
      <c r="D440" s="24" t="s">
        <v>83</v>
      </c>
      <c r="E440" s="74" t="s">
        <v>52</v>
      </c>
      <c r="F440" s="24" t="s">
        <v>52</v>
      </c>
      <c r="G440" s="83" t="s">
        <v>1110</v>
      </c>
      <c r="H440" s="83" t="str">
        <f>VLOOKUP(G440,[1]ListLoaded!$E$6:$F$544,2,0)</f>
        <v>100586</v>
      </c>
      <c r="I440" s="72" t="str">
        <f>VLOOKUP(G440,[1]ListLoaded!$E$6:$M$550,9,0)</f>
        <v>F</v>
      </c>
      <c r="J440" s="72" t="str">
        <f>VLOOKUP(G440,[1]ListLoaded!$E$6:$I$537,5,0)</f>
        <v>40HC</v>
      </c>
      <c r="K440" s="140">
        <f>VLOOKUP(G440,[1]ListLoaded!$E$6:$L$537,8,0)</f>
        <v>11.36</v>
      </c>
      <c r="L440" s="83" t="str">
        <f>VLOOKUP(G440,[1]ListLoaded!$E$6:$S$645,15,0)</f>
        <v>1106553</v>
      </c>
      <c r="M440" s="86" t="str">
        <f>VLOOKUP(G440,[1]ListLoaded!$E$6:$T$674,16,0)</f>
        <v>TA GIAY</v>
      </c>
      <c r="N440" s="86">
        <f>VLOOKUP(G440,[1]ListLoaded!$E$6:$N$545,10,0)</f>
        <v>0</v>
      </c>
      <c r="O440" s="72"/>
      <c r="P440" s="72">
        <f>VLOOKUP(G440,[1]ListLoaded!$E$6:$O$638,11,0)</f>
        <v>0</v>
      </c>
      <c r="Q440" s="84" t="str">
        <f t="shared" si="37"/>
        <v>F40HC</v>
      </c>
      <c r="R440" s="84" t="str">
        <f>VLOOKUP(G440,[1]ListLoaded!$E$6:$P$604,12,0)</f>
        <v>HAC260523043</v>
      </c>
      <c r="S440" s="15" t="e">
        <f>I440&amp;J440&amp;#REF!</f>
        <v>#REF!</v>
      </c>
      <c r="T440" s="84"/>
      <c r="U440" s="84"/>
      <c r="V440" s="84"/>
    </row>
    <row r="441" spans="1:22">
      <c r="A441" s="23">
        <v>431</v>
      </c>
      <c r="B441" s="24" t="s">
        <v>50</v>
      </c>
      <c r="C441" s="24" t="s">
        <v>1489</v>
      </c>
      <c r="D441" s="24" t="s">
        <v>83</v>
      </c>
      <c r="E441" s="74" t="s">
        <v>52</v>
      </c>
      <c r="F441" s="24" t="s">
        <v>52</v>
      </c>
      <c r="G441" s="83" t="s">
        <v>1111</v>
      </c>
      <c r="H441" s="83" t="str">
        <f>VLOOKUP(G441,[1]ListLoaded!$E$6:$F$544,2,0)</f>
        <v>220784</v>
      </c>
      <c r="I441" s="72" t="str">
        <f>VLOOKUP(G441,[1]ListLoaded!$E$6:$M$550,9,0)</f>
        <v>F</v>
      </c>
      <c r="J441" s="72" t="str">
        <f>VLOOKUP(G441,[1]ListLoaded!$E$6:$I$537,5,0)</f>
        <v>40HC</v>
      </c>
      <c r="K441" s="140">
        <f>VLOOKUP(G441,[1]ListLoaded!$E$6:$L$537,8,0)</f>
        <v>12.75</v>
      </c>
      <c r="L441" s="83" t="str">
        <f>VLOOKUP(G441,[1]ListLoaded!$E$6:$S$645,15,0)</f>
        <v>1115917</v>
      </c>
      <c r="M441" s="86" t="str">
        <f>VLOOKUP(G441,[1]ListLoaded!$E$6:$T$674,16,0)</f>
        <v>TA GIAY</v>
      </c>
      <c r="N441" s="86">
        <f>VLOOKUP(G441,[1]ListLoaded!$E$6:$N$545,10,0)</f>
        <v>0</v>
      </c>
      <c r="O441" s="72"/>
      <c r="P441" s="72">
        <f>VLOOKUP(G441,[1]ListLoaded!$E$6:$O$638,11,0)</f>
        <v>0</v>
      </c>
      <c r="Q441" s="84" t="str">
        <f t="shared" si="37"/>
        <v>F40HC</v>
      </c>
      <c r="R441" s="84" t="str">
        <f>VLOOKUP(G441,[1]ListLoaded!$E$6:$P$604,12,0)</f>
        <v>HAC260526011</v>
      </c>
      <c r="S441" s="15" t="e">
        <f>I441&amp;J441&amp;#REF!</f>
        <v>#REF!</v>
      </c>
      <c r="T441" s="84"/>
      <c r="U441" s="84"/>
      <c r="V441" s="84"/>
    </row>
    <row r="442" spans="1:22">
      <c r="A442" s="23">
        <v>432</v>
      </c>
      <c r="B442" s="24" t="s">
        <v>50</v>
      </c>
      <c r="C442" s="24" t="s">
        <v>1489</v>
      </c>
      <c r="D442" s="24" t="s">
        <v>83</v>
      </c>
      <c r="E442" s="74" t="s">
        <v>52</v>
      </c>
      <c r="F442" s="24" t="s">
        <v>52</v>
      </c>
      <c r="G442" s="83" t="s">
        <v>1112</v>
      </c>
      <c r="H442" s="83" t="str">
        <f>VLOOKUP(G442,[1]ListLoaded!$E$6:$F$544,2,0)</f>
        <v>141086</v>
      </c>
      <c r="I442" s="72" t="str">
        <f>VLOOKUP(G442,[1]ListLoaded!$E$6:$M$550,9,0)</f>
        <v>F</v>
      </c>
      <c r="J442" s="72" t="str">
        <f>VLOOKUP(G442,[1]ListLoaded!$E$6:$I$537,5,0)</f>
        <v>40HC</v>
      </c>
      <c r="K442" s="140">
        <f>VLOOKUP(G442,[1]ListLoaded!$E$6:$L$537,8,0)</f>
        <v>11.59</v>
      </c>
      <c r="L442" s="83" t="str">
        <f>VLOOKUP(G442,[1]ListLoaded!$E$6:$S$645,15,0)</f>
        <v>1105790</v>
      </c>
      <c r="M442" s="86" t="str">
        <f>VLOOKUP(G442,[1]ListLoaded!$E$6:$T$674,16,0)</f>
        <v>TA GIAY</v>
      </c>
      <c r="N442" s="86">
        <f>VLOOKUP(G442,[1]ListLoaded!$E$6:$N$545,10,0)</f>
        <v>0</v>
      </c>
      <c r="O442" s="72"/>
      <c r="P442" s="72">
        <f>VLOOKUP(G442,[1]ListLoaded!$E$6:$O$638,11,0)</f>
        <v>0</v>
      </c>
      <c r="Q442" s="84" t="str">
        <f t="shared" si="37"/>
        <v>F40HC</v>
      </c>
      <c r="R442" s="84" t="str">
        <f>VLOOKUP(G442,[1]ListLoaded!$E$6:$P$604,12,0)</f>
        <v>HAC260523043</v>
      </c>
      <c r="S442" s="15" t="e">
        <f>I442&amp;J442&amp;#REF!</f>
        <v>#REF!</v>
      </c>
      <c r="T442" s="84"/>
      <c r="U442" s="84"/>
      <c r="V442" s="84"/>
    </row>
    <row r="443" spans="1:22">
      <c r="A443" s="23">
        <v>433</v>
      </c>
      <c r="B443" s="24" t="s">
        <v>50</v>
      </c>
      <c r="C443" s="24" t="s">
        <v>1489</v>
      </c>
      <c r="D443" s="24" t="s">
        <v>83</v>
      </c>
      <c r="E443" s="74" t="s">
        <v>52</v>
      </c>
      <c r="F443" s="24" t="s">
        <v>52</v>
      </c>
      <c r="G443" s="83" t="s">
        <v>1113</v>
      </c>
      <c r="H443" s="83" t="str">
        <f>VLOOKUP(G443,[1]ListLoaded!$E$6:$F$544,2,0)</f>
        <v>220208</v>
      </c>
      <c r="I443" s="72" t="str">
        <f>VLOOKUP(G443,[1]ListLoaded!$E$6:$M$550,9,0)</f>
        <v>F</v>
      </c>
      <c r="J443" s="72" t="str">
        <f>VLOOKUP(G443,[1]ListLoaded!$E$6:$I$537,5,0)</f>
        <v>40HC</v>
      </c>
      <c r="K443" s="140">
        <f>VLOOKUP(G443,[1]ListLoaded!$E$6:$L$537,8,0)</f>
        <v>28.92</v>
      </c>
      <c r="L443" s="83" t="str">
        <f>VLOOKUP(G443,[1]ListLoaded!$E$6:$S$645,15,0)</f>
        <v>1113505</v>
      </c>
      <c r="M443" s="86" t="str">
        <f>VLOOKUP(G443,[1]ListLoaded!$E$6:$T$674,16,0)</f>
        <v>HAT NHUA</v>
      </c>
      <c r="N443" s="86">
        <f>VLOOKUP(G443,[1]ListLoaded!$E$6:$N$545,10,0)</f>
        <v>0</v>
      </c>
      <c r="O443" s="72"/>
      <c r="P443" s="72">
        <f>VLOOKUP(G443,[1]ListLoaded!$E$6:$O$638,11,0)</f>
        <v>0</v>
      </c>
      <c r="Q443" s="84" t="str">
        <f t="shared" si="37"/>
        <v>F40HC</v>
      </c>
      <c r="R443" s="84" t="str">
        <f>VLOOKUP(G443,[1]ListLoaded!$E$6:$P$604,12,0)</f>
        <v>HAC260525066</v>
      </c>
      <c r="S443" s="15" t="e">
        <f>I443&amp;J443&amp;#REF!</f>
        <v>#REF!</v>
      </c>
      <c r="T443" s="84"/>
      <c r="U443" s="84"/>
      <c r="V443" s="84"/>
    </row>
    <row r="444" spans="1:22">
      <c r="A444" s="23">
        <v>434</v>
      </c>
      <c r="B444" s="24" t="s">
        <v>50</v>
      </c>
      <c r="C444" s="24" t="s">
        <v>1489</v>
      </c>
      <c r="D444" s="24" t="s">
        <v>83</v>
      </c>
      <c r="E444" s="74" t="s">
        <v>52</v>
      </c>
      <c r="F444" s="24" t="s">
        <v>52</v>
      </c>
      <c r="G444" s="83" t="s">
        <v>1114</v>
      </c>
      <c r="H444" s="83" t="str">
        <f>VLOOKUP(G444,[1]ListLoaded!$E$6:$F$544,2,0)</f>
        <v>140508</v>
      </c>
      <c r="I444" s="72" t="str">
        <f>VLOOKUP(G444,[1]ListLoaded!$E$6:$M$550,9,0)</f>
        <v>F</v>
      </c>
      <c r="J444" s="72" t="str">
        <f>VLOOKUP(G444,[1]ListLoaded!$E$6:$I$537,5,0)</f>
        <v>40HC</v>
      </c>
      <c r="K444" s="140">
        <f>VLOOKUP(G444,[1]ListLoaded!$E$6:$L$537,8,0)</f>
        <v>28.63</v>
      </c>
      <c r="L444" s="83" t="str">
        <f>VLOOKUP(G444,[1]ListLoaded!$E$6:$S$645,15,0)</f>
        <v>1105746</v>
      </c>
      <c r="M444" s="86" t="str">
        <f>VLOOKUP(G444,[1]ListLoaded!$E$6:$T$674,16,0)</f>
        <v>HAT NHUA</v>
      </c>
      <c r="N444" s="86">
        <f>VLOOKUP(G444,[1]ListLoaded!$E$6:$N$545,10,0)</f>
        <v>0</v>
      </c>
      <c r="O444" s="72"/>
      <c r="P444" s="72">
        <f>VLOOKUP(G444,[1]ListLoaded!$E$6:$O$638,11,0)</f>
        <v>0</v>
      </c>
      <c r="Q444" s="84" t="str">
        <f t="shared" si="37"/>
        <v>F40HC</v>
      </c>
      <c r="R444" s="84" t="str">
        <f>VLOOKUP(G444,[1]ListLoaded!$E$6:$P$604,12,0)</f>
        <v>HAC260525066</v>
      </c>
      <c r="S444" s="15" t="e">
        <f>I444&amp;J444&amp;#REF!</f>
        <v>#REF!</v>
      </c>
      <c r="T444" s="84"/>
      <c r="U444" s="84"/>
      <c r="V444" s="84"/>
    </row>
    <row r="445" spans="1:22">
      <c r="A445" s="23">
        <v>435</v>
      </c>
      <c r="B445" s="24" t="s">
        <v>50</v>
      </c>
      <c r="C445" s="24" t="s">
        <v>1489</v>
      </c>
      <c r="D445" s="24" t="s">
        <v>83</v>
      </c>
      <c r="E445" s="74" t="s">
        <v>52</v>
      </c>
      <c r="F445" s="24" t="s">
        <v>52</v>
      </c>
      <c r="G445" s="83" t="s">
        <v>1115</v>
      </c>
      <c r="H445" s="83" t="str">
        <f>VLOOKUP(G445,[1]ListLoaded!$E$6:$F$544,2,0)</f>
        <v>140808</v>
      </c>
      <c r="I445" s="72" t="str">
        <f>VLOOKUP(G445,[1]ListLoaded!$E$6:$M$550,9,0)</f>
        <v>F</v>
      </c>
      <c r="J445" s="72" t="str">
        <f>VLOOKUP(G445,[1]ListLoaded!$E$6:$I$537,5,0)</f>
        <v>40HC</v>
      </c>
      <c r="K445" s="140">
        <f>VLOOKUP(G445,[1]ListLoaded!$E$6:$L$537,8,0)</f>
        <v>28.83</v>
      </c>
      <c r="L445" s="83" t="str">
        <f>VLOOKUP(G445,[1]ListLoaded!$E$6:$S$645,15,0)</f>
        <v>17355</v>
      </c>
      <c r="M445" s="86" t="str">
        <f>VLOOKUP(G445,[1]ListLoaded!$E$6:$T$674,16,0)</f>
        <v>HAT NHUA</v>
      </c>
      <c r="N445" s="86">
        <f>VLOOKUP(G445,[1]ListLoaded!$E$6:$N$545,10,0)</f>
        <v>0</v>
      </c>
      <c r="O445" s="72"/>
      <c r="P445" s="72">
        <f>VLOOKUP(G445,[1]ListLoaded!$E$6:$O$638,11,0)</f>
        <v>0</v>
      </c>
      <c r="Q445" s="84" t="str">
        <f t="shared" si="37"/>
        <v>F40HC</v>
      </c>
      <c r="R445" s="84" t="str">
        <f>VLOOKUP(G445,[1]ListLoaded!$E$6:$P$604,12,0)</f>
        <v>HAC260526007</v>
      </c>
      <c r="S445" s="15" t="e">
        <f>I445&amp;J445&amp;#REF!</f>
        <v>#REF!</v>
      </c>
      <c r="T445" s="84"/>
      <c r="U445" s="84"/>
      <c r="V445" s="84"/>
    </row>
    <row r="446" spans="1:22">
      <c r="A446" s="23">
        <v>436</v>
      </c>
      <c r="B446" s="24" t="s">
        <v>50</v>
      </c>
      <c r="C446" s="24" t="s">
        <v>1489</v>
      </c>
      <c r="D446" s="24" t="s">
        <v>83</v>
      </c>
      <c r="E446" s="143" t="s">
        <v>1488</v>
      </c>
      <c r="F446" s="24" t="s">
        <v>52</v>
      </c>
      <c r="G446" s="83" t="s">
        <v>1213</v>
      </c>
      <c r="H446" s="83" t="s">
        <v>1474</v>
      </c>
      <c r="I446" s="72" t="s">
        <v>531</v>
      </c>
      <c r="J446" s="72" t="s">
        <v>37</v>
      </c>
      <c r="K446" s="140">
        <v>3.8</v>
      </c>
      <c r="L446" s="83" t="s">
        <v>69</v>
      </c>
      <c r="M446" s="86" t="s">
        <v>56</v>
      </c>
      <c r="N446" s="86">
        <v>0</v>
      </c>
      <c r="O446" s="72" t="s">
        <v>1232</v>
      </c>
      <c r="P446" s="72">
        <v>0</v>
      </c>
      <c r="Q446" s="84" t="str">
        <f t="shared" si="37"/>
        <v>E40HC</v>
      </c>
      <c r="R446" s="84" t="s">
        <v>1462</v>
      </c>
      <c r="S446" s="15" t="s">
        <v>1463</v>
      </c>
      <c r="T446" s="84"/>
      <c r="U446" s="84"/>
      <c r="V446" s="84"/>
    </row>
    <row r="447" spans="1:22">
      <c r="A447" s="23">
        <v>437</v>
      </c>
      <c r="B447" s="24" t="s">
        <v>50</v>
      </c>
      <c r="C447" s="24" t="s">
        <v>1489</v>
      </c>
      <c r="D447" s="24" t="s">
        <v>83</v>
      </c>
      <c r="E447" s="74" t="s">
        <v>52</v>
      </c>
      <c r="F447" s="24" t="s">
        <v>52</v>
      </c>
      <c r="G447" s="83" t="s">
        <v>1116</v>
      </c>
      <c r="H447" s="83" t="str">
        <f>VLOOKUP(G447,[1]ListLoaded!$E$6:$F$544,2,0)</f>
        <v>140708</v>
      </c>
      <c r="I447" s="72" t="str">
        <f>VLOOKUP(G447,[1]ListLoaded!$E$6:$M$550,9,0)</f>
        <v>F</v>
      </c>
      <c r="J447" s="72" t="str">
        <f>VLOOKUP(G447,[1]ListLoaded!$E$6:$I$537,5,0)</f>
        <v>40HC</v>
      </c>
      <c r="K447" s="140">
        <f>VLOOKUP(G447,[1]ListLoaded!$E$6:$L$537,8,0)</f>
        <v>27.1</v>
      </c>
      <c r="L447" s="83" t="str">
        <f>VLOOKUP(G447,[1]ListLoaded!$E$6:$S$645,15,0)</f>
        <v>VS369947</v>
      </c>
      <c r="M447" s="86" t="str">
        <f>VLOOKUP(G447,[1]ListLoaded!$E$6:$T$674,16,0)</f>
        <v>GENERAL CARGO</v>
      </c>
      <c r="N447" s="86">
        <f>VLOOKUP(G447,[1]ListLoaded!$E$6:$N$545,10,0)</f>
        <v>0</v>
      </c>
      <c r="O447" s="72"/>
      <c r="P447" s="72">
        <f>VLOOKUP(G447,[1]ListLoaded!$E$6:$O$638,11,0)</f>
        <v>0</v>
      </c>
      <c r="Q447" s="84" t="str">
        <f t="shared" si="37"/>
        <v>F40HC</v>
      </c>
      <c r="R447" s="84" t="str">
        <f>VLOOKUP(G447,[1]ListLoaded!$E$6:$P$604,12,0)</f>
        <v>HAC260520099</v>
      </c>
      <c r="S447" s="15" t="e">
        <f>I447&amp;J447&amp;#REF!</f>
        <v>#REF!</v>
      </c>
      <c r="T447" s="84"/>
      <c r="U447" s="84"/>
      <c r="V447" s="84"/>
    </row>
    <row r="448" spans="1:22">
      <c r="A448" s="23">
        <v>438</v>
      </c>
      <c r="B448" s="24" t="s">
        <v>50</v>
      </c>
      <c r="C448" s="24" t="s">
        <v>1489</v>
      </c>
      <c r="D448" s="24" t="s">
        <v>83</v>
      </c>
      <c r="E448" s="74" t="s">
        <v>52</v>
      </c>
      <c r="F448" s="24" t="s">
        <v>52</v>
      </c>
      <c r="G448" s="83" t="s">
        <v>1117</v>
      </c>
      <c r="H448" s="83" t="str">
        <f>VLOOKUP(G448,[1]ListLoaded!$E$6:$F$544,2,0)</f>
        <v>180982</v>
      </c>
      <c r="I448" s="72" t="str">
        <f>VLOOKUP(G448,[1]ListLoaded!$E$6:$M$550,9,0)</f>
        <v>F</v>
      </c>
      <c r="J448" s="72" t="str">
        <f>VLOOKUP(G448,[1]ListLoaded!$E$6:$I$537,5,0)</f>
        <v>40HC</v>
      </c>
      <c r="K448" s="140">
        <f>VLOOKUP(G448,[1]ListLoaded!$E$6:$L$537,8,0)</f>
        <v>26.84</v>
      </c>
      <c r="L448" s="83" t="str">
        <f>VLOOKUP(G448,[1]ListLoaded!$E$6:$S$645,15,0)</f>
        <v>VS369948</v>
      </c>
      <c r="M448" s="86" t="str">
        <f>VLOOKUP(G448,[1]ListLoaded!$E$6:$T$674,16,0)</f>
        <v>GENERAL CARGO</v>
      </c>
      <c r="N448" s="86">
        <f>VLOOKUP(G448,[1]ListLoaded!$E$6:$N$545,10,0)</f>
        <v>0</v>
      </c>
      <c r="O448" s="72"/>
      <c r="P448" s="72">
        <f>VLOOKUP(G448,[1]ListLoaded!$E$6:$O$638,11,0)</f>
        <v>0</v>
      </c>
      <c r="Q448" s="84" t="str">
        <f t="shared" si="37"/>
        <v>F40HC</v>
      </c>
      <c r="R448" s="84" t="str">
        <f>VLOOKUP(G448,[1]ListLoaded!$E$6:$P$604,12,0)</f>
        <v>HAC260520099</v>
      </c>
      <c r="S448" s="15" t="e">
        <f>I448&amp;J448&amp;#REF!</f>
        <v>#REF!</v>
      </c>
      <c r="T448" s="84"/>
      <c r="U448" s="84"/>
      <c r="V448" s="84"/>
    </row>
    <row r="449" spans="1:22">
      <c r="A449" s="23">
        <v>439</v>
      </c>
      <c r="B449" s="24" t="s">
        <v>50</v>
      </c>
      <c r="C449" s="24" t="s">
        <v>1489</v>
      </c>
      <c r="D449" s="24" t="s">
        <v>83</v>
      </c>
      <c r="E449" s="74" t="s">
        <v>52</v>
      </c>
      <c r="F449" s="24" t="s">
        <v>52</v>
      </c>
      <c r="G449" s="83" t="s">
        <v>1118</v>
      </c>
      <c r="H449" s="83" t="str">
        <f>VLOOKUP(G449,[1]ListLoaded!$E$6:$F$544,2,0)</f>
        <v>180708</v>
      </c>
      <c r="I449" s="72" t="str">
        <f>VLOOKUP(G449,[1]ListLoaded!$E$6:$M$550,9,0)</f>
        <v>F</v>
      </c>
      <c r="J449" s="72" t="str">
        <f>VLOOKUP(G449,[1]ListLoaded!$E$6:$I$537,5,0)</f>
        <v>40HC</v>
      </c>
      <c r="K449" s="140">
        <f>VLOOKUP(G449,[1]ListLoaded!$E$6:$L$537,8,0)</f>
        <v>27.74</v>
      </c>
      <c r="L449" s="83" t="str">
        <f>VLOOKUP(G449,[1]ListLoaded!$E$6:$S$645,15,0)</f>
        <v>VS369949</v>
      </c>
      <c r="M449" s="86" t="str">
        <f>VLOOKUP(G449,[1]ListLoaded!$E$6:$T$674,16,0)</f>
        <v>GENERAL CARGO</v>
      </c>
      <c r="N449" s="86">
        <f>VLOOKUP(G449,[1]ListLoaded!$E$6:$N$545,10,0)</f>
        <v>0</v>
      </c>
      <c r="O449" s="72"/>
      <c r="P449" s="72">
        <f>VLOOKUP(G449,[1]ListLoaded!$E$6:$O$638,11,0)</f>
        <v>0</v>
      </c>
      <c r="Q449" s="84" t="str">
        <f t="shared" si="37"/>
        <v>F40HC</v>
      </c>
      <c r="R449" s="84" t="str">
        <f>VLOOKUP(G449,[1]ListLoaded!$E$6:$P$604,12,0)</f>
        <v>HAC260520099</v>
      </c>
      <c r="S449" s="15" t="e">
        <f>I449&amp;J449&amp;#REF!</f>
        <v>#REF!</v>
      </c>
      <c r="T449" s="84"/>
      <c r="U449" s="84"/>
      <c r="V449" s="84"/>
    </row>
    <row r="450" spans="1:22">
      <c r="A450" s="23">
        <v>440</v>
      </c>
      <c r="B450" s="24" t="s">
        <v>50</v>
      </c>
      <c r="C450" s="24" t="s">
        <v>1489</v>
      </c>
      <c r="D450" s="24" t="s">
        <v>83</v>
      </c>
      <c r="E450" s="74" t="s">
        <v>52</v>
      </c>
      <c r="F450" s="24" t="s">
        <v>52</v>
      </c>
      <c r="G450" s="83" t="s">
        <v>1119</v>
      </c>
      <c r="H450" s="83" t="str">
        <f>VLOOKUP(G450,[1]ListLoaded!$E$6:$F$544,2,0)</f>
        <v>060484</v>
      </c>
      <c r="I450" s="72" t="str">
        <f>VLOOKUP(G450,[1]ListLoaded!$E$6:$M$550,9,0)</f>
        <v>F</v>
      </c>
      <c r="J450" s="72" t="str">
        <f>VLOOKUP(G450,[1]ListLoaded!$E$6:$I$537,5,0)</f>
        <v>40HC</v>
      </c>
      <c r="K450" s="140">
        <f>VLOOKUP(G450,[1]ListLoaded!$E$6:$L$537,8,0)</f>
        <v>22.56</v>
      </c>
      <c r="L450" s="83" t="str">
        <f>VLOOKUP(G450,[1]ListLoaded!$E$6:$S$645,15,0)</f>
        <v>VS369944</v>
      </c>
      <c r="M450" s="86" t="str">
        <f>VLOOKUP(G450,[1]ListLoaded!$E$6:$T$674,16,0)</f>
        <v>GENERAL CARGO</v>
      </c>
      <c r="N450" s="86">
        <f>VLOOKUP(G450,[1]ListLoaded!$E$6:$N$545,10,0)</f>
        <v>0</v>
      </c>
      <c r="O450" s="72"/>
      <c r="P450" s="72">
        <f>VLOOKUP(G450,[1]ListLoaded!$E$6:$O$638,11,0)</f>
        <v>0</v>
      </c>
      <c r="Q450" s="84" t="str">
        <f t="shared" si="37"/>
        <v>F40HC</v>
      </c>
      <c r="R450" s="84" t="str">
        <f>VLOOKUP(G450,[1]ListLoaded!$E$6:$P$604,12,0)</f>
        <v>HAC260520099</v>
      </c>
      <c r="S450" s="15" t="e">
        <f>I450&amp;J450&amp;#REF!</f>
        <v>#REF!</v>
      </c>
      <c r="T450" s="84"/>
      <c r="U450" s="84"/>
      <c r="V450" s="84"/>
    </row>
    <row r="451" spans="1:22">
      <c r="A451" s="23">
        <v>441</v>
      </c>
      <c r="B451" s="24" t="s">
        <v>50</v>
      </c>
      <c r="C451" s="24" t="s">
        <v>1489</v>
      </c>
      <c r="D451" s="24" t="s">
        <v>83</v>
      </c>
      <c r="E451" s="74" t="s">
        <v>52</v>
      </c>
      <c r="F451" s="24" t="s">
        <v>52</v>
      </c>
      <c r="G451" s="83" t="s">
        <v>1120</v>
      </c>
      <c r="H451" s="83" t="str">
        <f>VLOOKUP(G451,[1]ListLoaded!$E$6:$F$544,2,0)</f>
        <v>180308</v>
      </c>
      <c r="I451" s="72" t="str">
        <f>VLOOKUP(G451,[1]ListLoaded!$E$6:$M$550,9,0)</f>
        <v>F</v>
      </c>
      <c r="J451" s="72" t="str">
        <f>VLOOKUP(G451,[1]ListLoaded!$E$6:$I$537,5,0)</f>
        <v>40HC</v>
      </c>
      <c r="K451" s="140">
        <f>VLOOKUP(G451,[1]ListLoaded!$E$6:$L$537,8,0)</f>
        <v>28.08</v>
      </c>
      <c r="L451" s="83" t="str">
        <f>VLOOKUP(G451,[1]ListLoaded!$E$6:$S$645,15,0)</f>
        <v>VS369950</v>
      </c>
      <c r="M451" s="86" t="str">
        <f>VLOOKUP(G451,[1]ListLoaded!$E$6:$T$674,16,0)</f>
        <v>GENERAL CARGO</v>
      </c>
      <c r="N451" s="86">
        <f>VLOOKUP(G451,[1]ListLoaded!$E$6:$N$545,10,0)</f>
        <v>0</v>
      </c>
      <c r="O451" s="72"/>
      <c r="P451" s="72">
        <f>VLOOKUP(G451,[1]ListLoaded!$E$6:$O$638,11,0)</f>
        <v>0</v>
      </c>
      <c r="Q451" s="84" t="str">
        <f t="shared" si="37"/>
        <v>F40HC</v>
      </c>
      <c r="R451" s="84" t="str">
        <f>VLOOKUP(G451,[1]ListLoaded!$E$6:$P$604,12,0)</f>
        <v>HAC260520099</v>
      </c>
      <c r="S451" s="15" t="e">
        <f>I451&amp;J451&amp;#REF!</f>
        <v>#REF!</v>
      </c>
      <c r="T451" s="84"/>
      <c r="U451" s="84"/>
      <c r="V451" s="84"/>
    </row>
    <row r="452" spans="1:22">
      <c r="A452" s="23">
        <v>442</v>
      </c>
      <c r="B452" s="24" t="s">
        <v>50</v>
      </c>
      <c r="C452" s="24" t="s">
        <v>1489</v>
      </c>
      <c r="D452" s="24" t="s">
        <v>83</v>
      </c>
      <c r="E452" s="74" t="s">
        <v>52</v>
      </c>
      <c r="F452" s="24" t="s">
        <v>52</v>
      </c>
      <c r="G452" s="83" t="s">
        <v>1121</v>
      </c>
      <c r="H452" s="83" t="str">
        <f>VLOOKUP(G452,[1]ListLoaded!$E$6:$F$544,2,0)</f>
        <v>180284</v>
      </c>
      <c r="I452" s="72" t="str">
        <f>VLOOKUP(G452,[1]ListLoaded!$E$6:$M$550,9,0)</f>
        <v>F</v>
      </c>
      <c r="J452" s="72" t="str">
        <f>VLOOKUP(G452,[1]ListLoaded!$E$6:$I$537,5,0)</f>
        <v>40HC</v>
      </c>
      <c r="K452" s="140">
        <f>VLOOKUP(G452,[1]ListLoaded!$E$6:$L$537,8,0)</f>
        <v>27.04</v>
      </c>
      <c r="L452" s="83" t="str">
        <f>VLOOKUP(G452,[1]ListLoaded!$E$6:$S$645,15,0)</f>
        <v>VS369943</v>
      </c>
      <c r="M452" s="86" t="str">
        <f>VLOOKUP(G452,[1]ListLoaded!$E$6:$T$674,16,0)</f>
        <v>GENERAL CARGO</v>
      </c>
      <c r="N452" s="86">
        <f>VLOOKUP(G452,[1]ListLoaded!$E$6:$N$545,10,0)</f>
        <v>0</v>
      </c>
      <c r="O452" s="72"/>
      <c r="P452" s="72">
        <f>VLOOKUP(G452,[1]ListLoaded!$E$6:$O$638,11,0)</f>
        <v>0</v>
      </c>
      <c r="Q452" s="84" t="str">
        <f t="shared" si="37"/>
        <v>F40HC</v>
      </c>
      <c r="R452" s="84" t="str">
        <f>VLOOKUP(G452,[1]ListLoaded!$E$6:$P$604,12,0)</f>
        <v>HAC260520099</v>
      </c>
      <c r="S452" s="15" t="e">
        <f>I452&amp;J452&amp;#REF!</f>
        <v>#REF!</v>
      </c>
      <c r="T452" s="84"/>
      <c r="U452" s="84"/>
      <c r="V452" s="84"/>
    </row>
    <row r="453" spans="1:22">
      <c r="A453" s="23">
        <v>443</v>
      </c>
      <c r="B453" s="24" t="s">
        <v>50</v>
      </c>
      <c r="C453" s="24" t="s">
        <v>1489</v>
      </c>
      <c r="D453" s="24" t="s">
        <v>83</v>
      </c>
      <c r="E453" s="74" t="s">
        <v>52</v>
      </c>
      <c r="F453" s="24" t="s">
        <v>52</v>
      </c>
      <c r="G453" s="83" t="s">
        <v>1122</v>
      </c>
      <c r="H453" s="83" t="str">
        <f>VLOOKUP(G453,[1]ListLoaded!$E$6:$F$544,2,0)</f>
        <v>100786</v>
      </c>
      <c r="I453" s="72" t="str">
        <f>VLOOKUP(G453,[1]ListLoaded!$E$6:$M$550,9,0)</f>
        <v>F</v>
      </c>
      <c r="J453" s="72" t="str">
        <f>VLOOKUP(G453,[1]ListLoaded!$E$6:$I$537,5,0)</f>
        <v>40HC</v>
      </c>
      <c r="K453" s="140">
        <f>VLOOKUP(G453,[1]ListLoaded!$E$6:$L$537,8,0)</f>
        <v>10.72</v>
      </c>
      <c r="L453" s="83" t="str">
        <f>VLOOKUP(G453,[1]ListLoaded!$E$6:$S$645,15,0)</f>
        <v>1039012</v>
      </c>
      <c r="M453" s="86" t="str">
        <f>VLOOKUP(G453,[1]ListLoaded!$E$6:$T$674,16,0)</f>
        <v>LOP XE</v>
      </c>
      <c r="N453" s="86">
        <f>VLOOKUP(G453,[1]ListLoaded!$E$6:$N$545,10,0)</f>
        <v>0</v>
      </c>
      <c r="O453" s="72"/>
      <c r="P453" s="72">
        <f>VLOOKUP(G453,[1]ListLoaded!$E$6:$O$638,11,0)</f>
        <v>0</v>
      </c>
      <c r="Q453" s="84" t="str">
        <f t="shared" si="37"/>
        <v>F40HC</v>
      </c>
      <c r="R453" s="84" t="str">
        <f>VLOOKUP(G453,[1]ListLoaded!$E$6:$P$604,12,0)</f>
        <v>HAC260525064</v>
      </c>
      <c r="S453" s="15" t="e">
        <f>I453&amp;J453&amp;#REF!</f>
        <v>#REF!</v>
      </c>
      <c r="T453" s="84"/>
      <c r="U453" s="84"/>
      <c r="V453" s="84"/>
    </row>
    <row r="454" spans="1:22">
      <c r="A454" s="23">
        <v>444</v>
      </c>
      <c r="B454" s="24" t="s">
        <v>50</v>
      </c>
      <c r="C454" s="24" t="s">
        <v>1489</v>
      </c>
      <c r="D454" s="24" t="s">
        <v>83</v>
      </c>
      <c r="E454" s="143" t="s">
        <v>1488</v>
      </c>
      <c r="F454" s="24" t="s">
        <v>52</v>
      </c>
      <c r="G454" s="83" t="s">
        <v>1217</v>
      </c>
      <c r="H454" s="83" t="s">
        <v>1469</v>
      </c>
      <c r="I454" s="72" t="s">
        <v>531</v>
      </c>
      <c r="J454" s="72" t="s">
        <v>37</v>
      </c>
      <c r="K454" s="140">
        <v>3.8</v>
      </c>
      <c r="L454" s="83" t="s">
        <v>69</v>
      </c>
      <c r="M454" s="86" t="s">
        <v>56</v>
      </c>
      <c r="N454" s="86">
        <v>0</v>
      </c>
      <c r="O454" s="72" t="s">
        <v>1232</v>
      </c>
      <c r="P454" s="72">
        <v>0</v>
      </c>
      <c r="Q454" s="84" t="str">
        <f t="shared" si="37"/>
        <v>E40HC</v>
      </c>
      <c r="R454" s="84" t="s">
        <v>1462</v>
      </c>
      <c r="S454" s="15" t="s">
        <v>1463</v>
      </c>
      <c r="T454" s="84"/>
      <c r="U454" s="84"/>
      <c r="V454" s="84"/>
    </row>
    <row r="455" spans="1:22">
      <c r="A455" s="23">
        <v>445</v>
      </c>
      <c r="B455" s="24" t="s">
        <v>50</v>
      </c>
      <c r="C455" s="24" t="s">
        <v>1489</v>
      </c>
      <c r="D455" s="24" t="s">
        <v>83</v>
      </c>
      <c r="E455" s="143" t="s">
        <v>1488</v>
      </c>
      <c r="F455" s="24" t="s">
        <v>52</v>
      </c>
      <c r="G455" s="83" t="s">
        <v>1218</v>
      </c>
      <c r="H455" s="83" t="s">
        <v>1470</v>
      </c>
      <c r="I455" s="72" t="s">
        <v>531</v>
      </c>
      <c r="J455" s="72" t="s">
        <v>37</v>
      </c>
      <c r="K455" s="140">
        <v>3.8</v>
      </c>
      <c r="L455" s="83" t="s">
        <v>69</v>
      </c>
      <c r="M455" s="86" t="s">
        <v>56</v>
      </c>
      <c r="N455" s="86">
        <v>0</v>
      </c>
      <c r="O455" s="72" t="s">
        <v>1232</v>
      </c>
      <c r="P455" s="72">
        <v>0</v>
      </c>
      <c r="Q455" s="84" t="str">
        <f t="shared" si="37"/>
        <v>E40HC</v>
      </c>
      <c r="R455" s="84" t="s">
        <v>1462</v>
      </c>
      <c r="S455" s="15" t="s">
        <v>1463</v>
      </c>
      <c r="T455" s="84"/>
      <c r="U455" s="84"/>
      <c r="V455" s="84"/>
    </row>
    <row r="456" spans="1:22">
      <c r="A456" s="23">
        <v>446</v>
      </c>
      <c r="B456" s="24" t="s">
        <v>50</v>
      </c>
      <c r="C456" s="24" t="s">
        <v>1489</v>
      </c>
      <c r="D456" s="24" t="s">
        <v>83</v>
      </c>
      <c r="E456" s="74" t="s">
        <v>52</v>
      </c>
      <c r="F456" s="24" t="s">
        <v>52</v>
      </c>
      <c r="G456" s="83" t="s">
        <v>1123</v>
      </c>
      <c r="H456" s="83" t="str">
        <f>VLOOKUP(G456,[1]ListLoaded!$E$6:$F$544,2,0)</f>
        <v>100708</v>
      </c>
      <c r="I456" s="72" t="str">
        <f>VLOOKUP(G456,[1]ListLoaded!$E$6:$M$550,9,0)</f>
        <v>F</v>
      </c>
      <c r="J456" s="72" t="str">
        <f>VLOOKUP(G456,[1]ListLoaded!$E$6:$I$537,5,0)</f>
        <v>40HC</v>
      </c>
      <c r="K456" s="140">
        <f>VLOOKUP(G456,[1]ListLoaded!$E$6:$L$537,8,0)</f>
        <v>27.3</v>
      </c>
      <c r="L456" s="83" t="str">
        <f>VLOOKUP(G456,[1]ListLoaded!$E$6:$S$645,15,0)</f>
        <v>1106535</v>
      </c>
      <c r="M456" s="86" t="str">
        <f>VLOOKUP(G456,[1]ListLoaded!$E$6:$T$674,16,0)</f>
        <v>BAO BI</v>
      </c>
      <c r="N456" s="86">
        <f>VLOOKUP(G456,[1]ListLoaded!$E$6:$N$545,10,0)</f>
        <v>0</v>
      </c>
      <c r="O456" s="72"/>
      <c r="P456" s="72">
        <f>VLOOKUP(G456,[1]ListLoaded!$E$6:$O$638,11,0)</f>
        <v>0</v>
      </c>
      <c r="Q456" s="84" t="str">
        <f t="shared" si="37"/>
        <v>F40HC</v>
      </c>
      <c r="R456" s="84" t="str">
        <f>VLOOKUP(G456,[1]ListLoaded!$E$6:$P$604,12,0)</f>
        <v>HAC260525067</v>
      </c>
      <c r="S456" s="15" t="e">
        <f>I456&amp;J456&amp;#REF!</f>
        <v>#REF!</v>
      </c>
      <c r="T456" s="84"/>
      <c r="U456" s="84"/>
      <c r="V456" s="84"/>
    </row>
    <row r="457" spans="1:22">
      <c r="A457" s="23">
        <v>447</v>
      </c>
      <c r="B457" s="24" t="s">
        <v>50</v>
      </c>
      <c r="C457" s="24" t="s">
        <v>1489</v>
      </c>
      <c r="D457" s="24" t="s">
        <v>83</v>
      </c>
      <c r="E457" s="74" t="s">
        <v>52</v>
      </c>
      <c r="F457" s="24" t="s">
        <v>52</v>
      </c>
      <c r="G457" s="83" t="s">
        <v>1124</v>
      </c>
      <c r="H457" s="83" t="str">
        <f>VLOOKUP(G457,[1]ListLoaded!$E$6:$F$544,2,0)</f>
        <v>100982</v>
      </c>
      <c r="I457" s="72" t="str">
        <f>VLOOKUP(G457,[1]ListLoaded!$E$6:$M$550,9,0)</f>
        <v>F</v>
      </c>
      <c r="J457" s="72" t="str">
        <f>VLOOKUP(G457,[1]ListLoaded!$E$6:$I$537,5,0)</f>
        <v>40HC</v>
      </c>
      <c r="K457" s="140">
        <f>VLOOKUP(G457,[1]ListLoaded!$E$6:$L$537,8,0)</f>
        <v>27.11</v>
      </c>
      <c r="L457" s="83" t="str">
        <f>VLOOKUP(G457,[1]ListLoaded!$E$6:$S$645,15,0)</f>
        <v>1115985</v>
      </c>
      <c r="M457" s="86" t="str">
        <f>VLOOKUP(G457,[1]ListLoaded!$E$6:$T$674,16,0)</f>
        <v>BAO BI</v>
      </c>
      <c r="N457" s="86">
        <f>VLOOKUP(G457,[1]ListLoaded!$E$6:$N$545,10,0)</f>
        <v>0</v>
      </c>
      <c r="O457" s="72"/>
      <c r="P457" s="72">
        <f>VLOOKUP(G457,[1]ListLoaded!$E$6:$O$638,11,0)</f>
        <v>0</v>
      </c>
      <c r="Q457" s="84" t="str">
        <f t="shared" si="37"/>
        <v>F40HC</v>
      </c>
      <c r="R457" s="84" t="str">
        <f>VLOOKUP(G457,[1]ListLoaded!$E$6:$P$604,12,0)</f>
        <v>HAC260526005</v>
      </c>
      <c r="S457" s="15" t="e">
        <f>I457&amp;J457&amp;#REF!</f>
        <v>#REF!</v>
      </c>
      <c r="T457" s="84"/>
      <c r="U457" s="84"/>
      <c r="V457" s="84"/>
    </row>
    <row r="458" spans="1:22">
      <c r="A458" s="23">
        <v>448</v>
      </c>
      <c r="B458" s="24" t="s">
        <v>50</v>
      </c>
      <c r="C458" s="24" t="s">
        <v>1489</v>
      </c>
      <c r="D458" s="24" t="s">
        <v>83</v>
      </c>
      <c r="E458" s="74" t="s">
        <v>52</v>
      </c>
      <c r="F458" s="24" t="s">
        <v>52</v>
      </c>
      <c r="G458" s="83" t="s">
        <v>1125</v>
      </c>
      <c r="H458" s="83" t="str">
        <f>VLOOKUP(G458,[1]ListLoaded!$E$6:$F$544,2,0)</f>
        <v>180186</v>
      </c>
      <c r="I458" s="72" t="str">
        <f>VLOOKUP(G458,[1]ListLoaded!$E$6:$M$550,9,0)</f>
        <v>F</v>
      </c>
      <c r="J458" s="72" t="str">
        <f>VLOOKUP(G458,[1]ListLoaded!$E$6:$I$537,5,0)</f>
        <v>40HC</v>
      </c>
      <c r="K458" s="140">
        <f>VLOOKUP(G458,[1]ListLoaded!$E$6:$L$537,8,0)</f>
        <v>10.220000000000001</v>
      </c>
      <c r="L458" s="83" t="str">
        <f>VLOOKUP(G458,[1]ListLoaded!$E$6:$S$645,15,0)</f>
        <v>0033300</v>
      </c>
      <c r="M458" s="86" t="str">
        <f>VLOOKUP(G458,[1]ListLoaded!$E$6:$T$674,16,0)</f>
        <v>DIEN TU</v>
      </c>
      <c r="N458" s="86">
        <f>VLOOKUP(G458,[1]ListLoaded!$E$6:$N$545,10,0)</f>
        <v>0</v>
      </c>
      <c r="O458" s="72"/>
      <c r="P458" s="72">
        <f>VLOOKUP(G458,[1]ListLoaded!$E$6:$O$638,11,0)</f>
        <v>0</v>
      </c>
      <c r="Q458" s="84" t="str">
        <f t="shared" si="37"/>
        <v>F40HC</v>
      </c>
      <c r="R458" s="84" t="str">
        <f>VLOOKUP(G458,[1]ListLoaded!$E$6:$P$604,12,0)</f>
        <v>HAC260525071</v>
      </c>
      <c r="S458" s="15" t="e">
        <f>I458&amp;J458&amp;#REF!</f>
        <v>#REF!</v>
      </c>
      <c r="T458" s="84"/>
      <c r="U458" s="84"/>
      <c r="V458" s="84"/>
    </row>
    <row r="459" spans="1:22">
      <c r="A459" s="23">
        <v>449</v>
      </c>
      <c r="B459" s="24" t="s">
        <v>50</v>
      </c>
      <c r="C459" s="24" t="s">
        <v>1489</v>
      </c>
      <c r="D459" s="24" t="s">
        <v>83</v>
      </c>
      <c r="E459" s="74" t="s">
        <v>52</v>
      </c>
      <c r="F459" s="24" t="s">
        <v>52</v>
      </c>
      <c r="G459" s="83" t="s">
        <v>1126</v>
      </c>
      <c r="H459" s="83" t="str">
        <f>VLOOKUP(G459,[1]ListLoaded!$E$6:$F$544,2,0)</f>
        <v>020486</v>
      </c>
      <c r="I459" s="72" t="str">
        <f>VLOOKUP(G459,[1]ListLoaded!$E$6:$M$550,9,0)</f>
        <v>F</v>
      </c>
      <c r="J459" s="72" t="str">
        <f>VLOOKUP(G459,[1]ListLoaded!$E$6:$I$537,5,0)</f>
        <v>40HC</v>
      </c>
      <c r="K459" s="140">
        <f>VLOOKUP(G459,[1]ListLoaded!$E$6:$L$537,8,0)</f>
        <v>8.17</v>
      </c>
      <c r="L459" s="83" t="str">
        <f>VLOOKUP(G459,[1]ListLoaded!$E$6:$S$645,15,0)</f>
        <v>003482</v>
      </c>
      <c r="M459" s="86" t="str">
        <f>VLOOKUP(G459,[1]ListLoaded!$E$6:$T$674,16,0)</f>
        <v>DIEN TU</v>
      </c>
      <c r="N459" s="86">
        <f>VLOOKUP(G459,[1]ListLoaded!$E$6:$N$545,10,0)</f>
        <v>0</v>
      </c>
      <c r="O459" s="72"/>
      <c r="P459" s="72">
        <f>VLOOKUP(G459,[1]ListLoaded!$E$6:$O$638,11,0)</f>
        <v>0</v>
      </c>
      <c r="Q459" s="84" t="str">
        <f t="shared" si="37"/>
        <v>F40HC</v>
      </c>
      <c r="R459" s="84" t="str">
        <f>VLOOKUP(G459,[1]ListLoaded!$E$6:$P$604,12,0)</f>
        <v>HAC260525071</v>
      </c>
      <c r="S459" s="15" t="e">
        <f>I459&amp;J459&amp;#REF!</f>
        <v>#REF!</v>
      </c>
      <c r="T459" s="84"/>
      <c r="U459" s="84"/>
      <c r="V459" s="84"/>
    </row>
    <row r="460" spans="1:22">
      <c r="A460" s="23">
        <v>450</v>
      </c>
      <c r="B460" s="24" t="s">
        <v>50</v>
      </c>
      <c r="C460" s="24" t="s">
        <v>1489</v>
      </c>
      <c r="D460" s="24" t="s">
        <v>83</v>
      </c>
      <c r="E460" s="74" t="s">
        <v>52</v>
      </c>
      <c r="F460" s="24" t="s">
        <v>52</v>
      </c>
      <c r="G460" s="83" t="s">
        <v>1127</v>
      </c>
      <c r="H460" s="83" t="str">
        <f>VLOOKUP(G460,[1]ListLoaded!$E$6:$F$544,2,0)</f>
        <v>180386</v>
      </c>
      <c r="I460" s="72" t="str">
        <f>VLOOKUP(G460,[1]ListLoaded!$E$6:$M$550,9,0)</f>
        <v>F</v>
      </c>
      <c r="J460" s="72" t="str">
        <f>VLOOKUP(G460,[1]ListLoaded!$E$6:$I$537,5,0)</f>
        <v>40HC</v>
      </c>
      <c r="K460" s="140">
        <f>VLOOKUP(G460,[1]ListLoaded!$E$6:$L$537,8,0)</f>
        <v>7.84</v>
      </c>
      <c r="L460" s="83" t="str">
        <f>VLOOKUP(G460,[1]ListLoaded!$E$6:$S$645,15,0)</f>
        <v>003272</v>
      </c>
      <c r="M460" s="86" t="str">
        <f>VLOOKUP(G460,[1]ListLoaded!$E$6:$T$674,16,0)</f>
        <v>DIEN TU</v>
      </c>
      <c r="N460" s="86">
        <f>VLOOKUP(G460,[1]ListLoaded!$E$6:$N$545,10,0)</f>
        <v>0</v>
      </c>
      <c r="O460" s="72"/>
      <c r="P460" s="72">
        <f>VLOOKUP(G460,[1]ListLoaded!$E$6:$O$638,11,0)</f>
        <v>0</v>
      </c>
      <c r="Q460" s="84" t="str">
        <f t="shared" ref="Q460:Q523" si="38">I460&amp;J460</f>
        <v>F40HC</v>
      </c>
      <c r="R460" s="84" t="str">
        <f>VLOOKUP(G460,[1]ListLoaded!$E$6:$P$604,12,0)</f>
        <v>HAC260525071</v>
      </c>
      <c r="S460" s="15" t="e">
        <f>I460&amp;J460&amp;#REF!</f>
        <v>#REF!</v>
      </c>
      <c r="T460" s="84"/>
      <c r="U460" s="84"/>
      <c r="V460" s="84"/>
    </row>
    <row r="461" spans="1:22">
      <c r="A461" s="23">
        <v>451</v>
      </c>
      <c r="B461" s="24" t="s">
        <v>50</v>
      </c>
      <c r="C461" s="24" t="s">
        <v>1489</v>
      </c>
      <c r="D461" s="24" t="s">
        <v>83</v>
      </c>
      <c r="E461" s="74" t="s">
        <v>52</v>
      </c>
      <c r="F461" s="24" t="s">
        <v>52</v>
      </c>
      <c r="G461" s="83" t="s">
        <v>1128</v>
      </c>
      <c r="H461" s="83" t="str">
        <f>VLOOKUP(G461,[1]ListLoaded!$E$6:$F$544,2,0)</f>
        <v>260184</v>
      </c>
      <c r="I461" s="72" t="str">
        <f>VLOOKUP(G461,[1]ListLoaded!$E$6:$M$550,9,0)</f>
        <v>F</v>
      </c>
      <c r="J461" s="72" t="str">
        <f>VLOOKUP(G461,[1]ListLoaded!$E$6:$I$537,5,0)</f>
        <v>40HC</v>
      </c>
      <c r="K461" s="140">
        <f>VLOOKUP(G461,[1]ListLoaded!$E$6:$L$537,8,0)</f>
        <v>11.78</v>
      </c>
      <c r="L461" s="83" t="str">
        <f>VLOOKUP(G461,[1]ListLoaded!$E$6:$S$645,15,0)</f>
        <v>003309</v>
      </c>
      <c r="M461" s="86" t="str">
        <f>VLOOKUP(G461,[1]ListLoaded!$E$6:$T$674,16,0)</f>
        <v>DIEN TU</v>
      </c>
      <c r="N461" s="86">
        <f>VLOOKUP(G461,[1]ListLoaded!$E$6:$N$545,10,0)</f>
        <v>0</v>
      </c>
      <c r="O461" s="72"/>
      <c r="P461" s="72">
        <f>VLOOKUP(G461,[1]ListLoaded!$E$6:$O$638,11,0)</f>
        <v>0</v>
      </c>
      <c r="Q461" s="84" t="str">
        <f t="shared" si="38"/>
        <v>F40HC</v>
      </c>
      <c r="R461" s="84" t="str">
        <f>VLOOKUP(G461,[1]ListLoaded!$E$6:$P$604,12,0)</f>
        <v>HAC260525071</v>
      </c>
      <c r="S461" s="15" t="e">
        <f>I461&amp;J461&amp;#REF!</f>
        <v>#REF!</v>
      </c>
      <c r="T461" s="84"/>
      <c r="U461" s="84"/>
      <c r="V461" s="84"/>
    </row>
    <row r="462" spans="1:22">
      <c r="A462" s="23">
        <v>452</v>
      </c>
      <c r="B462" s="24" t="s">
        <v>50</v>
      </c>
      <c r="C462" s="24" t="s">
        <v>1489</v>
      </c>
      <c r="D462" s="24" t="s">
        <v>83</v>
      </c>
      <c r="E462" s="74" t="s">
        <v>52</v>
      </c>
      <c r="F462" s="24" t="s">
        <v>52</v>
      </c>
      <c r="G462" s="83" t="s">
        <v>1129</v>
      </c>
      <c r="H462" s="83" t="str">
        <f>VLOOKUP(G462,[1]ListLoaded!$E$6:$F$544,2,0)</f>
        <v>070410</v>
      </c>
      <c r="I462" s="72" t="str">
        <f>VLOOKUP(G462,[1]ListLoaded!$E$6:$M$550,9,0)</f>
        <v>F</v>
      </c>
      <c r="J462" s="72" t="s">
        <v>31</v>
      </c>
      <c r="K462" s="140">
        <f>VLOOKUP(G462,[1]ListLoaded!$E$6:$L$537,8,0)</f>
        <v>6.54</v>
      </c>
      <c r="L462" s="83" t="str">
        <f>VLOOKUP(G462,[1]ListLoaded!$E$6:$S$645,15,0)</f>
        <v>1105231</v>
      </c>
      <c r="M462" s="86" t="str">
        <f>VLOOKUP(G462,[1]ListLoaded!$E$6:$T$674,16,0)</f>
        <v>THUOC LA</v>
      </c>
      <c r="N462" s="86">
        <f>VLOOKUP(G462,[1]ListLoaded!$E$6:$N$545,10,0)</f>
        <v>0</v>
      </c>
      <c r="O462" s="72"/>
      <c r="P462" s="72">
        <f>VLOOKUP(G462,[1]ListLoaded!$E$6:$O$638,11,0)</f>
        <v>0</v>
      </c>
      <c r="Q462" s="84" t="str">
        <f t="shared" si="38"/>
        <v>F20DC</v>
      </c>
      <c r="R462" s="84" t="str">
        <f>VLOOKUP(G462,[1]ListLoaded!$E$6:$P$604,12,0)</f>
        <v>HAC260525065</v>
      </c>
      <c r="S462" s="15" t="e">
        <f>I462&amp;J462&amp;#REF!</f>
        <v>#REF!</v>
      </c>
      <c r="T462" s="84"/>
      <c r="U462" s="84"/>
      <c r="V462" s="84"/>
    </row>
    <row r="463" spans="1:22">
      <c r="A463" s="23">
        <v>453</v>
      </c>
      <c r="B463" s="24" t="s">
        <v>50</v>
      </c>
      <c r="C463" s="24" t="s">
        <v>1489</v>
      </c>
      <c r="D463" s="24" t="s">
        <v>83</v>
      </c>
      <c r="E463" s="143" t="s">
        <v>1488</v>
      </c>
      <c r="F463" s="24" t="s">
        <v>52</v>
      </c>
      <c r="G463" s="83" t="s">
        <v>1130</v>
      </c>
      <c r="H463" s="83" t="str">
        <f>VLOOKUP(G463,[1]ListLoaded!$E$6:$F$544,2,0)</f>
        <v>300784</v>
      </c>
      <c r="I463" s="72" t="str">
        <f>VLOOKUP(G463,[1]ListLoaded!$E$6:$M$550,9,0)</f>
        <v>F</v>
      </c>
      <c r="J463" s="72" t="str">
        <f>VLOOKUP(G463,[1]ListLoaded!$E$6:$I$537,5,0)</f>
        <v>40HC</v>
      </c>
      <c r="K463" s="140">
        <f>VLOOKUP(G463,[1]ListLoaded!$E$6:$L$537,8,0)</f>
        <v>10.33</v>
      </c>
      <c r="L463" s="83" t="str">
        <f>VLOOKUP(G463,[1]ListLoaded!$E$6:$S$645,15,0)</f>
        <v>0094982</v>
      </c>
      <c r="M463" s="86" t="str">
        <f>VLOOKUP(G463,[1]ListLoaded!$E$6:$T$674,16,0)</f>
        <v>VAI</v>
      </c>
      <c r="N463" s="86">
        <f>VLOOKUP(G463,[1]ListLoaded!$E$6:$N$545,10,0)</f>
        <v>0</v>
      </c>
      <c r="O463" s="72"/>
      <c r="P463" s="72">
        <f>VLOOKUP(G463,[1]ListLoaded!$E$6:$O$638,11,0)</f>
        <v>0</v>
      </c>
      <c r="Q463" s="84" t="str">
        <f t="shared" si="38"/>
        <v>F40HC</v>
      </c>
      <c r="R463" s="84" t="str">
        <f>VLOOKUP(G463,[1]ListLoaded!$E$6:$P$604,12,0)</f>
        <v>HATE0461N</v>
      </c>
      <c r="S463" s="15" t="e">
        <f>I463&amp;J463&amp;#REF!</f>
        <v>#REF!</v>
      </c>
      <c r="T463" s="84"/>
      <c r="U463" s="84"/>
      <c r="V463" s="84"/>
    </row>
    <row r="464" spans="1:22">
      <c r="A464" s="23">
        <v>454</v>
      </c>
      <c r="B464" s="24" t="s">
        <v>50</v>
      </c>
      <c r="C464" s="24" t="s">
        <v>1489</v>
      </c>
      <c r="D464" s="24" t="s">
        <v>83</v>
      </c>
      <c r="E464" s="143" t="s">
        <v>1488</v>
      </c>
      <c r="F464" s="24" t="s">
        <v>52</v>
      </c>
      <c r="G464" s="83" t="s">
        <v>1131</v>
      </c>
      <c r="H464" s="83" t="str">
        <f>VLOOKUP(G464,[1]ListLoaded!$E$6:$F$544,2,0)</f>
        <v>181086</v>
      </c>
      <c r="I464" s="72" t="str">
        <f>VLOOKUP(G464,[1]ListLoaded!$E$6:$M$550,9,0)</f>
        <v>F</v>
      </c>
      <c r="J464" s="72" t="str">
        <f>VLOOKUP(G464,[1]ListLoaded!$E$6:$I$537,5,0)</f>
        <v>40HC</v>
      </c>
      <c r="K464" s="140">
        <f>VLOOKUP(G464,[1]ListLoaded!$E$6:$L$537,8,0)</f>
        <v>10</v>
      </c>
      <c r="L464" s="83" t="str">
        <f>VLOOKUP(G464,[1]ListLoaded!$E$6:$S$645,15,0)</f>
        <v>0094990</v>
      </c>
      <c r="M464" s="86" t="str">
        <f>VLOOKUP(G464,[1]ListLoaded!$E$6:$T$674,16,0)</f>
        <v>VAI</v>
      </c>
      <c r="N464" s="86">
        <f>VLOOKUP(G464,[1]ListLoaded!$E$6:$N$545,10,0)</f>
        <v>0</v>
      </c>
      <c r="O464" s="72"/>
      <c r="P464" s="72">
        <f>VLOOKUP(G464,[1]ListLoaded!$E$6:$O$638,11,0)</f>
        <v>0</v>
      </c>
      <c r="Q464" s="84" t="str">
        <f t="shared" si="38"/>
        <v>F40HC</v>
      </c>
      <c r="R464" s="84" t="str">
        <f>VLOOKUP(G464,[1]ListLoaded!$E$6:$P$604,12,0)</f>
        <v>HATE0461N</v>
      </c>
      <c r="S464" s="15" t="e">
        <f>I464&amp;J464&amp;#REF!</f>
        <v>#REF!</v>
      </c>
      <c r="T464" s="84"/>
      <c r="U464" s="84"/>
      <c r="V464" s="84"/>
    </row>
    <row r="465" spans="1:22">
      <c r="A465" s="23">
        <v>455</v>
      </c>
      <c r="B465" s="24" t="s">
        <v>50</v>
      </c>
      <c r="C465" s="24" t="s">
        <v>1489</v>
      </c>
      <c r="D465" s="24" t="s">
        <v>83</v>
      </c>
      <c r="E465" s="143" t="s">
        <v>1488</v>
      </c>
      <c r="F465" s="24" t="s">
        <v>52</v>
      </c>
      <c r="G465" s="83" t="s">
        <v>1132</v>
      </c>
      <c r="H465" s="83" t="str">
        <f>VLOOKUP(G465,[1]ListLoaded!$E$6:$F$544,2,0)</f>
        <v>220684</v>
      </c>
      <c r="I465" s="72" t="str">
        <f>VLOOKUP(G465,[1]ListLoaded!$E$6:$M$550,9,0)</f>
        <v>F</v>
      </c>
      <c r="J465" s="72" t="str">
        <f>VLOOKUP(G465,[1]ListLoaded!$E$6:$I$537,5,0)</f>
        <v>40HC</v>
      </c>
      <c r="K465" s="140">
        <f>VLOOKUP(G465,[1]ListLoaded!$E$6:$L$537,8,0)</f>
        <v>11.19</v>
      </c>
      <c r="L465" s="83" t="str">
        <f>VLOOKUP(G465,[1]ListLoaded!$E$6:$S$645,15,0)</f>
        <v>0094987</v>
      </c>
      <c r="M465" s="86" t="str">
        <f>VLOOKUP(G465,[1]ListLoaded!$E$6:$T$674,16,0)</f>
        <v>VAI</v>
      </c>
      <c r="N465" s="86">
        <f>VLOOKUP(G465,[1]ListLoaded!$E$6:$N$545,10,0)</f>
        <v>0</v>
      </c>
      <c r="O465" s="72"/>
      <c r="P465" s="72">
        <f>VLOOKUP(G465,[1]ListLoaded!$E$6:$O$638,11,0)</f>
        <v>0</v>
      </c>
      <c r="Q465" s="84" t="str">
        <f t="shared" si="38"/>
        <v>F40HC</v>
      </c>
      <c r="R465" s="84" t="str">
        <f>VLOOKUP(G465,[1]ListLoaded!$E$6:$P$604,12,0)</f>
        <v>HATE0461N</v>
      </c>
      <c r="S465" s="15" t="e">
        <f>I465&amp;J465&amp;#REF!</f>
        <v>#REF!</v>
      </c>
      <c r="T465" s="84"/>
      <c r="U465" s="84"/>
      <c r="V465" s="84"/>
    </row>
    <row r="466" spans="1:22">
      <c r="A466" s="23">
        <v>456</v>
      </c>
      <c r="B466" s="24" t="s">
        <v>50</v>
      </c>
      <c r="C466" s="24" t="s">
        <v>1489</v>
      </c>
      <c r="D466" s="24" t="s">
        <v>83</v>
      </c>
      <c r="E466" s="74" t="s">
        <v>52</v>
      </c>
      <c r="F466" s="24" t="s">
        <v>52</v>
      </c>
      <c r="G466" s="83" t="s">
        <v>580</v>
      </c>
      <c r="H466" s="83" t="str">
        <f>VLOOKUP(G466,[1]ListLoaded!$E$6:$F$544,2,0)</f>
        <v>180986</v>
      </c>
      <c r="I466" s="72" t="str">
        <f>VLOOKUP(G466,[1]ListLoaded!$E$6:$M$550,9,0)</f>
        <v>F</v>
      </c>
      <c r="J466" s="72" t="str">
        <f>VLOOKUP(G466,[1]ListLoaded!$E$6:$I$537,5,0)</f>
        <v>40HC</v>
      </c>
      <c r="K466" s="140">
        <f>VLOOKUP(G466,[1]ListLoaded!$E$6:$L$537,8,0)</f>
        <v>8.26</v>
      </c>
      <c r="L466" s="83" t="str">
        <f>VLOOKUP(G466,[1]ListLoaded!$E$6:$S$645,15,0)</f>
        <v>1118556</v>
      </c>
      <c r="M466" s="86" t="str">
        <f>VLOOKUP(G466,[1]ListLoaded!$E$6:$T$674,16,0)</f>
        <v>TAM CACH NHIET</v>
      </c>
      <c r="N466" s="86">
        <f>VLOOKUP(G466,[1]ListLoaded!$E$6:$N$545,10,0)</f>
        <v>0</v>
      </c>
      <c r="O466" s="72"/>
      <c r="P466" s="72">
        <f>VLOOKUP(G466,[1]ListLoaded!$E$6:$O$638,11,0)</f>
        <v>0</v>
      </c>
      <c r="Q466" s="84" t="str">
        <f t="shared" si="38"/>
        <v>F40HC</v>
      </c>
      <c r="R466" s="84" t="str">
        <f>VLOOKUP(G466,[1]ListLoaded!$E$6:$P$604,12,0)</f>
        <v>HAC260525069</v>
      </c>
      <c r="S466" s="15" t="e">
        <f>I466&amp;J466&amp;#REF!</f>
        <v>#REF!</v>
      </c>
      <c r="T466" s="84"/>
      <c r="U466" s="84"/>
      <c r="V466" s="84"/>
    </row>
    <row r="467" spans="1:22">
      <c r="A467" s="23">
        <v>457</v>
      </c>
      <c r="B467" s="24" t="s">
        <v>50</v>
      </c>
      <c r="C467" s="24" t="s">
        <v>1489</v>
      </c>
      <c r="D467" s="24" t="s">
        <v>83</v>
      </c>
      <c r="E467" s="74" t="s">
        <v>52</v>
      </c>
      <c r="F467" s="24" t="s">
        <v>52</v>
      </c>
      <c r="G467" s="83" t="s">
        <v>1133</v>
      </c>
      <c r="H467" s="83" t="str">
        <f>VLOOKUP(G467,[1]ListLoaded!$E$6:$F$544,2,0)</f>
        <v>260984</v>
      </c>
      <c r="I467" s="72" t="str">
        <f>VLOOKUP(G467,[1]ListLoaded!$E$6:$M$550,9,0)</f>
        <v>F</v>
      </c>
      <c r="J467" s="72" t="str">
        <f>VLOOKUP(G467,[1]ListLoaded!$E$6:$I$537,5,0)</f>
        <v>40HC</v>
      </c>
      <c r="K467" s="140">
        <f>VLOOKUP(G467,[1]ListLoaded!$E$6:$L$537,8,0)</f>
        <v>12.73</v>
      </c>
      <c r="L467" s="83" t="str">
        <f>VLOOKUP(G467,[1]ListLoaded!$E$6:$S$645,15,0)</f>
        <v>1105623</v>
      </c>
      <c r="M467" s="86" t="str">
        <f>VLOOKUP(G467,[1]ListLoaded!$E$6:$T$674,16,0)</f>
        <v>TAM CACH NHIET</v>
      </c>
      <c r="N467" s="86">
        <f>VLOOKUP(G467,[1]ListLoaded!$E$6:$N$545,10,0)</f>
        <v>0</v>
      </c>
      <c r="O467" s="72"/>
      <c r="P467" s="72">
        <f>VLOOKUP(G467,[1]ListLoaded!$E$6:$O$638,11,0)</f>
        <v>0</v>
      </c>
      <c r="Q467" s="84" t="str">
        <f t="shared" si="38"/>
        <v>F40HC</v>
      </c>
      <c r="R467" s="84" t="str">
        <f>VLOOKUP(G467,[1]ListLoaded!$E$6:$P$604,12,0)</f>
        <v>HAC260526019</v>
      </c>
      <c r="S467" s="15" t="e">
        <f>I467&amp;J467&amp;#REF!</f>
        <v>#REF!</v>
      </c>
      <c r="T467" s="84"/>
      <c r="U467" s="84"/>
      <c r="V467" s="84"/>
    </row>
    <row r="468" spans="1:22">
      <c r="A468" s="23">
        <v>458</v>
      </c>
      <c r="B468" s="24" t="s">
        <v>50</v>
      </c>
      <c r="C468" s="24" t="s">
        <v>1489</v>
      </c>
      <c r="D468" s="24" t="s">
        <v>83</v>
      </c>
      <c r="E468" s="74" t="s">
        <v>52</v>
      </c>
      <c r="F468" s="24" t="s">
        <v>52</v>
      </c>
      <c r="G468" s="83" t="s">
        <v>1134</v>
      </c>
      <c r="H468" s="83" t="str">
        <f>VLOOKUP(G468,[1]ListLoaded!$E$6:$F$544,2,0)</f>
        <v>110604</v>
      </c>
      <c r="I468" s="72" t="str">
        <f>VLOOKUP(G468,[1]ListLoaded!$E$6:$M$550,9,0)</f>
        <v>F</v>
      </c>
      <c r="J468" s="72" t="s">
        <v>31</v>
      </c>
      <c r="K468" s="140">
        <f>VLOOKUP(G468,[1]ListLoaded!$E$6:$L$537,8,0)</f>
        <v>30.3</v>
      </c>
      <c r="L468" s="83" t="str">
        <f>VLOOKUP(G468,[1]ListLoaded!$E$6:$S$645,15,0)</f>
        <v>23367792</v>
      </c>
      <c r="M468" s="86" t="str">
        <f>VLOOKUP(G468,[1]ListLoaded!$E$6:$T$674,16,0)</f>
        <v>TON CUON</v>
      </c>
      <c r="N468" s="86">
        <f>VLOOKUP(G468,[1]ListLoaded!$E$6:$N$545,10,0)</f>
        <v>0</v>
      </c>
      <c r="O468" s="72"/>
      <c r="P468" s="72">
        <f>VLOOKUP(G468,[1]ListLoaded!$E$6:$O$638,11,0)</f>
        <v>0</v>
      </c>
      <c r="Q468" s="84" t="str">
        <f t="shared" si="38"/>
        <v>F20DC</v>
      </c>
      <c r="R468" s="84" t="str">
        <f>VLOOKUP(G468,[1]ListLoaded!$E$6:$P$604,12,0)</f>
        <v>HAC260520116</v>
      </c>
      <c r="S468" s="15" t="e">
        <f>I468&amp;J468&amp;#REF!</f>
        <v>#REF!</v>
      </c>
      <c r="T468" s="84"/>
      <c r="U468" s="84"/>
      <c r="V468" s="84"/>
    </row>
    <row r="469" spans="1:22">
      <c r="A469" s="23">
        <v>459</v>
      </c>
      <c r="B469" s="24" t="s">
        <v>50</v>
      </c>
      <c r="C469" s="24" t="s">
        <v>1489</v>
      </c>
      <c r="D469" s="24" t="s">
        <v>83</v>
      </c>
      <c r="E469" s="74" t="s">
        <v>52</v>
      </c>
      <c r="F469" s="24" t="s">
        <v>52</v>
      </c>
      <c r="G469" s="83" t="s">
        <v>1135</v>
      </c>
      <c r="H469" s="83" t="str">
        <f>VLOOKUP(G469,[1]ListLoaded!$E$6:$F$544,2,0)</f>
        <v>310204</v>
      </c>
      <c r="I469" s="72" t="str">
        <f>VLOOKUP(G469,[1]ListLoaded!$E$6:$M$550,9,0)</f>
        <v>F</v>
      </c>
      <c r="J469" s="72" t="s">
        <v>31</v>
      </c>
      <c r="K469" s="140">
        <f>VLOOKUP(G469,[1]ListLoaded!$E$6:$L$537,8,0)</f>
        <v>29</v>
      </c>
      <c r="L469" s="83" t="str">
        <f>VLOOKUP(G469,[1]ListLoaded!$E$6:$S$645,15,0)</f>
        <v>23115307</v>
      </c>
      <c r="M469" s="86" t="str">
        <f>VLOOKUP(G469,[1]ListLoaded!$E$6:$T$674,16,0)</f>
        <v>GACH</v>
      </c>
      <c r="N469" s="86">
        <f>VLOOKUP(G469,[1]ListLoaded!$E$6:$N$545,10,0)</f>
        <v>0</v>
      </c>
      <c r="O469" s="72"/>
      <c r="P469" s="72">
        <f>VLOOKUP(G469,[1]ListLoaded!$E$6:$O$638,11,0)</f>
        <v>0</v>
      </c>
      <c r="Q469" s="84" t="str">
        <f t="shared" si="38"/>
        <v>F20DC</v>
      </c>
      <c r="R469" s="84" t="str">
        <f>VLOOKUP(G469,[1]ListLoaded!$E$6:$P$604,12,0)</f>
        <v>HAC260520116</v>
      </c>
      <c r="S469" s="15" t="e">
        <f>I469&amp;J469&amp;#REF!</f>
        <v>#REF!</v>
      </c>
      <c r="T469" s="84"/>
      <c r="U469" s="84"/>
      <c r="V469" s="84"/>
    </row>
    <row r="470" spans="1:22">
      <c r="A470" s="23">
        <v>460</v>
      </c>
      <c r="B470" s="24" t="s">
        <v>50</v>
      </c>
      <c r="C470" s="24" t="s">
        <v>1489</v>
      </c>
      <c r="D470" s="24" t="s">
        <v>83</v>
      </c>
      <c r="E470" s="74" t="s">
        <v>52</v>
      </c>
      <c r="F470" s="24" t="s">
        <v>52</v>
      </c>
      <c r="G470" s="83" t="s">
        <v>1136</v>
      </c>
      <c r="H470" s="83" t="str">
        <f>VLOOKUP(G470,[1]ListLoaded!$E$6:$F$544,2,0)</f>
        <v>290302</v>
      </c>
      <c r="I470" s="72" t="str">
        <f>VLOOKUP(G470,[1]ListLoaded!$E$6:$M$550,9,0)</f>
        <v>F</v>
      </c>
      <c r="J470" s="72" t="s">
        <v>31</v>
      </c>
      <c r="K470" s="140">
        <f>VLOOKUP(G470,[1]ListLoaded!$E$6:$L$537,8,0)</f>
        <v>30.52</v>
      </c>
      <c r="L470" s="83" t="str">
        <f>VLOOKUP(G470,[1]ListLoaded!$E$6:$S$645,15,0)</f>
        <v>23140870</v>
      </c>
      <c r="M470" s="86" t="str">
        <f>VLOOKUP(G470,[1]ListLoaded!$E$6:$T$674,16,0)</f>
        <v>GAO</v>
      </c>
      <c r="N470" s="86">
        <f>VLOOKUP(G470,[1]ListLoaded!$E$6:$N$545,10,0)</f>
        <v>0</v>
      </c>
      <c r="O470" s="72"/>
      <c r="P470" s="72">
        <f>VLOOKUP(G470,[1]ListLoaded!$E$6:$O$638,11,0)</f>
        <v>0</v>
      </c>
      <c r="Q470" s="84" t="str">
        <f t="shared" si="38"/>
        <v>F20DC</v>
      </c>
      <c r="R470" s="84" t="str">
        <f>VLOOKUP(G470,[1]ListLoaded!$E$6:$P$604,12,0)</f>
        <v>HAC260520116</v>
      </c>
      <c r="S470" s="15" t="e">
        <f>I470&amp;J470&amp;#REF!</f>
        <v>#REF!</v>
      </c>
      <c r="T470" s="84"/>
      <c r="U470" s="84"/>
      <c r="V470" s="84"/>
    </row>
    <row r="471" spans="1:22">
      <c r="A471" s="23">
        <v>461</v>
      </c>
      <c r="B471" s="24" t="s">
        <v>50</v>
      </c>
      <c r="C471" s="24" t="s">
        <v>1489</v>
      </c>
      <c r="D471" s="24" t="s">
        <v>83</v>
      </c>
      <c r="E471" s="74" t="s">
        <v>52</v>
      </c>
      <c r="F471" s="24" t="s">
        <v>52</v>
      </c>
      <c r="G471" s="83" t="s">
        <v>1137</v>
      </c>
      <c r="H471" s="83" t="str">
        <f>VLOOKUP(G471,[1]ListLoaded!$E$6:$F$544,2,0)</f>
        <v>070406</v>
      </c>
      <c r="I471" s="72" t="str">
        <f>VLOOKUP(G471,[1]ListLoaded!$E$6:$M$550,9,0)</f>
        <v>F</v>
      </c>
      <c r="J471" s="72" t="s">
        <v>31</v>
      </c>
      <c r="K471" s="140">
        <f>VLOOKUP(G471,[1]ListLoaded!$E$6:$L$537,8,0)</f>
        <v>30.88</v>
      </c>
      <c r="L471" s="83" t="str">
        <f>VLOOKUP(G471,[1]ListLoaded!$E$6:$S$645,15,0)</f>
        <v>00231</v>
      </c>
      <c r="M471" s="86" t="str">
        <f>VLOOKUP(G471,[1]ListLoaded!$E$6:$T$674,16,0)</f>
        <v>PHAN BON</v>
      </c>
      <c r="N471" s="86">
        <f>VLOOKUP(G471,[1]ListLoaded!$E$6:$N$545,10,0)</f>
        <v>0</v>
      </c>
      <c r="O471" s="72"/>
      <c r="P471" s="72">
        <f>VLOOKUP(G471,[1]ListLoaded!$E$6:$O$638,11,0)</f>
        <v>0</v>
      </c>
      <c r="Q471" s="84" t="str">
        <f t="shared" si="38"/>
        <v>F20DC</v>
      </c>
      <c r="R471" s="84" t="str">
        <f>VLOOKUP(G471,[1]ListLoaded!$E$6:$P$604,12,0)</f>
        <v>HAC260520116</v>
      </c>
      <c r="S471" s="15" t="e">
        <f>I471&amp;J471&amp;#REF!</f>
        <v>#REF!</v>
      </c>
      <c r="T471" s="84"/>
      <c r="U471" s="84"/>
      <c r="V471" s="84"/>
    </row>
    <row r="472" spans="1:22">
      <c r="A472" s="23">
        <v>462</v>
      </c>
      <c r="B472" s="24" t="s">
        <v>50</v>
      </c>
      <c r="C472" s="24" t="s">
        <v>1489</v>
      </c>
      <c r="D472" s="24" t="s">
        <v>83</v>
      </c>
      <c r="E472" s="74" t="s">
        <v>52</v>
      </c>
      <c r="F472" s="24" t="s">
        <v>52</v>
      </c>
      <c r="G472" s="83" t="s">
        <v>1138</v>
      </c>
      <c r="H472" s="83" t="str">
        <f>VLOOKUP(G472,[1]ListLoaded!$E$6:$F$544,2,0)</f>
        <v>210704</v>
      </c>
      <c r="I472" s="72" t="str">
        <f>VLOOKUP(G472,[1]ListLoaded!$E$6:$M$550,9,0)</f>
        <v>F</v>
      </c>
      <c r="J472" s="72" t="s">
        <v>31</v>
      </c>
      <c r="K472" s="140">
        <f>VLOOKUP(G472,[1]ListLoaded!$E$6:$L$537,8,0)</f>
        <v>30.78</v>
      </c>
      <c r="L472" s="83" t="str">
        <f>VLOOKUP(G472,[1]ListLoaded!$E$6:$S$645,15,0)</f>
        <v>71619</v>
      </c>
      <c r="M472" s="86" t="str">
        <f>VLOOKUP(G472,[1]ListLoaded!$E$6:$T$674,16,0)</f>
        <v>PHAN BON</v>
      </c>
      <c r="N472" s="86">
        <f>VLOOKUP(G472,[1]ListLoaded!$E$6:$N$545,10,0)</f>
        <v>0</v>
      </c>
      <c r="O472" s="72"/>
      <c r="P472" s="72">
        <f>VLOOKUP(G472,[1]ListLoaded!$E$6:$O$638,11,0)</f>
        <v>0</v>
      </c>
      <c r="Q472" s="84" t="str">
        <f t="shared" si="38"/>
        <v>F20DC</v>
      </c>
      <c r="R472" s="84" t="str">
        <f>VLOOKUP(G472,[1]ListLoaded!$E$6:$P$604,12,0)</f>
        <v>HAC260520116</v>
      </c>
      <c r="S472" s="15" t="e">
        <f>I472&amp;J472&amp;#REF!</f>
        <v>#REF!</v>
      </c>
      <c r="T472" s="84"/>
      <c r="U472" s="84"/>
      <c r="V472" s="84"/>
    </row>
    <row r="473" spans="1:22">
      <c r="A473" s="23">
        <v>463</v>
      </c>
      <c r="B473" s="24" t="s">
        <v>50</v>
      </c>
      <c r="C473" s="24" t="s">
        <v>1489</v>
      </c>
      <c r="D473" s="24" t="s">
        <v>83</v>
      </c>
      <c r="E473" s="74" t="s">
        <v>52</v>
      </c>
      <c r="F473" s="24" t="s">
        <v>52</v>
      </c>
      <c r="G473" s="83" t="s">
        <v>1139</v>
      </c>
      <c r="H473" s="83" t="str">
        <f>VLOOKUP(G473,[1]ListLoaded!$E$6:$F$544,2,0)</f>
        <v>020284</v>
      </c>
      <c r="I473" s="72" t="str">
        <f>VLOOKUP(G473,[1]ListLoaded!$E$6:$M$550,9,0)</f>
        <v>F</v>
      </c>
      <c r="J473" s="72" t="str">
        <f>VLOOKUP(G473,[1]ListLoaded!$E$6:$I$537,5,0)</f>
        <v>40HC</v>
      </c>
      <c r="K473" s="140">
        <f>VLOOKUP(G473,[1]ListLoaded!$E$6:$L$537,8,0)</f>
        <v>32.32</v>
      </c>
      <c r="L473" s="83" t="str">
        <f>VLOOKUP(G473,[1]ListLoaded!$E$6:$S$645,15,0)</f>
        <v>37495</v>
      </c>
      <c r="M473" s="86" t="str">
        <f>VLOOKUP(G473,[1]ListLoaded!$E$6:$T$674,16,0)</f>
        <v>HAT NHUA</v>
      </c>
      <c r="N473" s="86">
        <f>VLOOKUP(G473,[1]ListLoaded!$E$6:$N$545,10,0)</f>
        <v>0</v>
      </c>
      <c r="O473" s="72"/>
      <c r="P473" s="72">
        <f>VLOOKUP(G473,[1]ListLoaded!$E$6:$O$638,11,0)</f>
        <v>0</v>
      </c>
      <c r="Q473" s="84" t="str">
        <f t="shared" si="38"/>
        <v>F40HC</v>
      </c>
      <c r="R473" s="84" t="str">
        <f>VLOOKUP(G473,[1]ListLoaded!$E$6:$P$604,12,0)</f>
        <v>HAC260520116</v>
      </c>
      <c r="S473" s="15" t="e">
        <f>I473&amp;J473&amp;#REF!</f>
        <v>#REF!</v>
      </c>
      <c r="T473" s="84"/>
      <c r="U473" s="84"/>
      <c r="V473" s="84"/>
    </row>
    <row r="474" spans="1:22">
      <c r="A474" s="23">
        <v>464</v>
      </c>
      <c r="B474" s="24" t="s">
        <v>50</v>
      </c>
      <c r="C474" s="24" t="s">
        <v>1489</v>
      </c>
      <c r="D474" s="24" t="s">
        <v>83</v>
      </c>
      <c r="E474" s="74" t="s">
        <v>52</v>
      </c>
      <c r="F474" s="24" t="s">
        <v>52</v>
      </c>
      <c r="G474" s="83" t="s">
        <v>1140</v>
      </c>
      <c r="H474" s="83" t="str">
        <f>VLOOKUP(G474,[1]ListLoaded!$E$6:$F$544,2,0)</f>
        <v>060784</v>
      </c>
      <c r="I474" s="72" t="str">
        <f>VLOOKUP(G474,[1]ListLoaded!$E$6:$M$550,9,0)</f>
        <v>F</v>
      </c>
      <c r="J474" s="72" t="str">
        <f>VLOOKUP(G474,[1]ListLoaded!$E$6:$I$537,5,0)</f>
        <v>40HC</v>
      </c>
      <c r="K474" s="140">
        <f>VLOOKUP(G474,[1]ListLoaded!$E$6:$L$537,8,0)</f>
        <v>12.23</v>
      </c>
      <c r="L474" s="83" t="str">
        <f>VLOOKUP(G474,[1]ListLoaded!$E$6:$S$645,15,0)</f>
        <v>1108129</v>
      </c>
      <c r="M474" s="86" t="str">
        <f>VLOOKUP(G474,[1]ListLoaded!$E$6:$T$674,16,0)</f>
        <v>VAI</v>
      </c>
      <c r="N474" s="86">
        <f>VLOOKUP(G474,[1]ListLoaded!$E$6:$N$545,10,0)</f>
        <v>0</v>
      </c>
      <c r="O474" s="72"/>
      <c r="P474" s="72">
        <f>VLOOKUP(G474,[1]ListLoaded!$E$6:$O$638,11,0)</f>
        <v>0</v>
      </c>
      <c r="Q474" s="84" t="str">
        <f t="shared" si="38"/>
        <v>F40HC</v>
      </c>
      <c r="R474" s="84" t="str">
        <f>VLOOKUP(G474,[1]ListLoaded!$E$6:$P$604,12,0)</f>
        <v>HAC260520116</v>
      </c>
      <c r="S474" s="15" t="e">
        <f>I474&amp;J474&amp;#REF!</f>
        <v>#REF!</v>
      </c>
      <c r="T474" s="84"/>
      <c r="U474" s="84"/>
      <c r="V474" s="84"/>
    </row>
    <row r="475" spans="1:22">
      <c r="A475" s="23">
        <v>465</v>
      </c>
      <c r="B475" s="24" t="s">
        <v>50</v>
      </c>
      <c r="C475" s="24" t="s">
        <v>1489</v>
      </c>
      <c r="D475" s="24" t="s">
        <v>83</v>
      </c>
      <c r="E475" s="74" t="s">
        <v>1488</v>
      </c>
      <c r="F475" s="24" t="s">
        <v>52</v>
      </c>
      <c r="G475" s="83" t="s">
        <v>1141</v>
      </c>
      <c r="H475" s="83" t="str">
        <f>VLOOKUP(G475,[1]ListLoaded!$E$6:$F$544,2,0)</f>
        <v>140382</v>
      </c>
      <c r="I475" s="72" t="str">
        <f>VLOOKUP(G475,[1]ListLoaded!$E$6:$M$550,9,0)</f>
        <v>F</v>
      </c>
      <c r="J475" s="72" t="s">
        <v>38</v>
      </c>
      <c r="K475" s="140">
        <f>VLOOKUP(G475,[1]ListLoaded!$E$6:$L$537,8,0)</f>
        <v>33.46</v>
      </c>
      <c r="L475" s="83" t="str">
        <f>VLOOKUP(G475,[1]ListLoaded!$E$6:$S$645,15,0)</f>
        <v>10288</v>
      </c>
      <c r="M475" s="86" t="str">
        <f>VLOOKUP(G475,[1]ListLoaded!$E$6:$T$674,16,0)</f>
        <v>CA</v>
      </c>
      <c r="N475" s="86" t="str">
        <f>VLOOKUP(G475,[1]ListLoaded!$E$6:$N$545,10,0)</f>
        <v>-18C</v>
      </c>
      <c r="O475" s="72" t="s">
        <v>634</v>
      </c>
      <c r="P475" s="72">
        <f>VLOOKUP(G475,[1]ListLoaded!$E$6:$O$638,11,0)</f>
        <v>0</v>
      </c>
      <c r="Q475" s="84" t="str">
        <f t="shared" si="38"/>
        <v>F40RF</v>
      </c>
      <c r="R475" s="84" t="str">
        <f>VLOOKUP(G475,[1]ListLoaded!$E$6:$P$604,12,0)</f>
        <v>HAC260525111</v>
      </c>
      <c r="S475" s="15" t="e">
        <f>I475&amp;J475&amp;#REF!</f>
        <v>#REF!</v>
      </c>
      <c r="T475" s="84"/>
      <c r="U475" s="84"/>
      <c r="V475" s="84"/>
    </row>
    <row r="476" spans="1:22">
      <c r="A476" s="23">
        <v>466</v>
      </c>
      <c r="B476" s="24" t="s">
        <v>50</v>
      </c>
      <c r="C476" s="24" t="s">
        <v>1489</v>
      </c>
      <c r="D476" s="24" t="s">
        <v>83</v>
      </c>
      <c r="E476" s="74" t="s">
        <v>1488</v>
      </c>
      <c r="F476" s="24" t="s">
        <v>52</v>
      </c>
      <c r="G476" s="83" t="s">
        <v>1142</v>
      </c>
      <c r="H476" s="83" t="str">
        <f>VLOOKUP(G476,[1]ListLoaded!$E$6:$F$544,2,0)</f>
        <v>300182</v>
      </c>
      <c r="I476" s="72" t="str">
        <f>VLOOKUP(G476,[1]ListLoaded!$E$6:$M$550,9,0)</f>
        <v>F</v>
      </c>
      <c r="J476" s="72" t="s">
        <v>38</v>
      </c>
      <c r="K476" s="140">
        <f>VLOOKUP(G476,[1]ListLoaded!$E$6:$L$537,8,0)</f>
        <v>33.36</v>
      </c>
      <c r="L476" s="83" t="str">
        <f>VLOOKUP(G476,[1]ListLoaded!$E$6:$S$645,15,0)</f>
        <v>10358</v>
      </c>
      <c r="M476" s="86" t="str">
        <f>VLOOKUP(G476,[1]ListLoaded!$E$6:$T$674,16,0)</f>
        <v>CA</v>
      </c>
      <c r="N476" s="86" t="str">
        <f>VLOOKUP(G476,[1]ListLoaded!$E$6:$N$545,10,0)</f>
        <v>-18C</v>
      </c>
      <c r="O476" s="72" t="s">
        <v>634</v>
      </c>
      <c r="P476" s="72">
        <f>VLOOKUP(G476,[1]ListLoaded!$E$6:$O$638,11,0)</f>
        <v>0</v>
      </c>
      <c r="Q476" s="84" t="str">
        <f t="shared" si="38"/>
        <v>F40RF</v>
      </c>
      <c r="R476" s="84" t="str">
        <f>VLOOKUP(G476,[1]ListLoaded!$E$6:$P$604,12,0)</f>
        <v>HAC260525111</v>
      </c>
      <c r="S476" s="15" t="e">
        <f>I476&amp;J476&amp;#REF!</f>
        <v>#REF!</v>
      </c>
      <c r="T476" s="84"/>
      <c r="U476" s="84"/>
      <c r="V476" s="84"/>
    </row>
    <row r="477" spans="1:22">
      <c r="A477" s="23">
        <v>467</v>
      </c>
      <c r="B477" s="24" t="s">
        <v>50</v>
      </c>
      <c r="C477" s="24" t="s">
        <v>1489</v>
      </c>
      <c r="D477" s="24" t="s">
        <v>83</v>
      </c>
      <c r="E477" s="74" t="s">
        <v>1488</v>
      </c>
      <c r="F477" s="24" t="s">
        <v>52</v>
      </c>
      <c r="G477" s="83" t="s">
        <v>1143</v>
      </c>
      <c r="H477" s="83" t="str">
        <f>VLOOKUP(G477,[1]ListLoaded!$E$6:$F$544,2,0)</f>
        <v>300284</v>
      </c>
      <c r="I477" s="72" t="str">
        <f>VLOOKUP(G477,[1]ListLoaded!$E$6:$M$550,9,0)</f>
        <v>F</v>
      </c>
      <c r="J477" s="72" t="s">
        <v>41</v>
      </c>
      <c r="K477" s="140">
        <f>VLOOKUP(G477,[1]ListLoaded!$E$6:$L$537,8,0)</f>
        <v>34.729999999999997</v>
      </c>
      <c r="L477" s="83" t="str">
        <f>VLOOKUP(G477,[1]ListLoaded!$E$6:$S$645,15,0)</f>
        <v>2601463</v>
      </c>
      <c r="M477" s="86" t="str">
        <f>VLOOKUP(G477,[1]ListLoaded!$E$6:$T$674,16,0)</f>
        <v>CA</v>
      </c>
      <c r="N477" s="86" t="str">
        <f>VLOOKUP(G477,[1]ListLoaded!$E$6:$N$545,10,0)</f>
        <v>-18C</v>
      </c>
      <c r="O477" s="72" t="s">
        <v>634</v>
      </c>
      <c r="P477" s="72">
        <f>VLOOKUP(G477,[1]ListLoaded!$E$6:$O$638,11,0)</f>
        <v>0</v>
      </c>
      <c r="Q477" s="84" t="str">
        <f t="shared" si="38"/>
        <v>F45RF</v>
      </c>
      <c r="R477" s="84" t="str">
        <f>VLOOKUP(G477,[1]ListLoaded!$E$6:$P$604,12,0)</f>
        <v>HAC260525111</v>
      </c>
      <c r="S477" s="15" t="e">
        <f>I477&amp;J477&amp;#REF!</f>
        <v>#REF!</v>
      </c>
      <c r="T477" s="84"/>
      <c r="U477" s="84"/>
      <c r="V477" s="84"/>
    </row>
    <row r="478" spans="1:22">
      <c r="A478" s="23">
        <v>468</v>
      </c>
      <c r="B478" s="24" t="s">
        <v>50</v>
      </c>
      <c r="C478" s="24" t="s">
        <v>1489</v>
      </c>
      <c r="D478" s="24" t="s">
        <v>83</v>
      </c>
      <c r="E478" s="74" t="s">
        <v>1488</v>
      </c>
      <c r="F478" s="24" t="s">
        <v>52</v>
      </c>
      <c r="G478" s="83" t="s">
        <v>1144</v>
      </c>
      <c r="H478" s="83" t="str">
        <f>VLOOKUP(G478,[1]ListLoaded!$E$6:$F$544,2,0)</f>
        <v>140782</v>
      </c>
      <c r="I478" s="72" t="str">
        <f>VLOOKUP(G478,[1]ListLoaded!$E$6:$M$550,9,0)</f>
        <v>F</v>
      </c>
      <c r="J478" s="72" t="s">
        <v>38</v>
      </c>
      <c r="K478" s="140">
        <f>VLOOKUP(G478,[1]ListLoaded!$E$6:$L$537,8,0)</f>
        <v>33.79</v>
      </c>
      <c r="L478" s="83" t="str">
        <f>VLOOKUP(G478,[1]ListLoaded!$E$6:$S$645,15,0)</f>
        <v>2505049</v>
      </c>
      <c r="M478" s="86" t="str">
        <f>VLOOKUP(G478,[1]ListLoaded!$E$6:$T$674,16,0)</f>
        <v>CA TRA</v>
      </c>
      <c r="N478" s="86" t="str">
        <f>VLOOKUP(G478,[1]ListLoaded!$E$6:$N$545,10,0)</f>
        <v>-18C</v>
      </c>
      <c r="O478" s="72" t="s">
        <v>634</v>
      </c>
      <c r="P478" s="72">
        <f>VLOOKUP(G478,[1]ListLoaded!$E$6:$O$638,11,0)</f>
        <v>0</v>
      </c>
      <c r="Q478" s="84" t="str">
        <f t="shared" si="38"/>
        <v>F40RF</v>
      </c>
      <c r="R478" s="84" t="str">
        <f>VLOOKUP(G478,[1]ListLoaded!$E$6:$P$604,12,0)</f>
        <v>HAC260525111</v>
      </c>
      <c r="S478" s="15" t="e">
        <f>I478&amp;J478&amp;#REF!</f>
        <v>#REF!</v>
      </c>
      <c r="T478" s="84"/>
      <c r="U478" s="84"/>
      <c r="V478" s="84"/>
    </row>
    <row r="479" spans="1:22">
      <c r="A479" s="23">
        <v>469</v>
      </c>
      <c r="B479" s="24" t="s">
        <v>50</v>
      </c>
      <c r="C479" s="24" t="s">
        <v>1489</v>
      </c>
      <c r="D479" s="24" t="s">
        <v>83</v>
      </c>
      <c r="E479" s="74" t="s">
        <v>52</v>
      </c>
      <c r="F479" s="24" t="s">
        <v>52</v>
      </c>
      <c r="G479" s="83" t="s">
        <v>1145</v>
      </c>
      <c r="H479" s="83" t="str">
        <f>VLOOKUP(G479,[1]ListLoaded!$E$6:$F$544,2,0)</f>
        <v>290202</v>
      </c>
      <c r="I479" s="72" t="str">
        <f>VLOOKUP(G479,[1]ListLoaded!$E$6:$M$550,9,0)</f>
        <v>F</v>
      </c>
      <c r="J479" s="72" t="s">
        <v>31</v>
      </c>
      <c r="K479" s="140">
        <f>VLOOKUP(G479,[1]ListLoaded!$E$6:$L$537,8,0)</f>
        <v>30.38</v>
      </c>
      <c r="L479" s="83" t="str">
        <f>VLOOKUP(G479,[1]ListLoaded!$E$6:$S$645,15,0)</f>
        <v>TN03102</v>
      </c>
      <c r="M479" s="86" t="str">
        <f>VLOOKUP(G479,[1]ListLoaded!$E$6:$T$674,16,0)</f>
        <v>NPK</v>
      </c>
      <c r="N479" s="86">
        <f>VLOOKUP(G479,[1]ListLoaded!$E$6:$N$545,10,0)</f>
        <v>0</v>
      </c>
      <c r="O479" s="72"/>
      <c r="P479" s="72">
        <f>VLOOKUP(G479,[1]ListLoaded!$E$6:$O$638,11,0)</f>
        <v>0</v>
      </c>
      <c r="Q479" s="84" t="str">
        <f t="shared" si="38"/>
        <v>F20DC</v>
      </c>
      <c r="R479" s="84" t="str">
        <f>VLOOKUP(G479,[1]ListLoaded!$E$6:$P$604,12,0)</f>
        <v>HAC260526168</v>
      </c>
      <c r="S479" s="15" t="e">
        <f>I479&amp;J479&amp;#REF!</f>
        <v>#REF!</v>
      </c>
      <c r="T479" s="84"/>
      <c r="U479" s="84"/>
      <c r="V479" s="84"/>
    </row>
    <row r="480" spans="1:22">
      <c r="A480" s="23">
        <v>470</v>
      </c>
      <c r="B480" s="24" t="s">
        <v>50</v>
      </c>
      <c r="C480" s="24" t="s">
        <v>1489</v>
      </c>
      <c r="D480" s="24" t="s">
        <v>83</v>
      </c>
      <c r="E480" s="74" t="s">
        <v>52</v>
      </c>
      <c r="F480" s="24" t="s">
        <v>52</v>
      </c>
      <c r="G480" s="83" t="s">
        <v>1146</v>
      </c>
      <c r="H480" s="83" t="str">
        <f>VLOOKUP(G480,[1]ListLoaded!$E$6:$F$544,2,0)</f>
        <v>260104</v>
      </c>
      <c r="I480" s="72" t="str">
        <f>VLOOKUP(G480,[1]ListLoaded!$E$6:$M$550,9,0)</f>
        <v>F</v>
      </c>
      <c r="J480" s="72" t="str">
        <f>VLOOKUP(G480,[1]ListLoaded!$E$6:$I$537,5,0)</f>
        <v>40HC</v>
      </c>
      <c r="K480" s="140">
        <f>VLOOKUP(G480,[1]ListLoaded!$E$6:$L$537,8,0)</f>
        <v>30.88</v>
      </c>
      <c r="L480" s="83" t="str">
        <f>VLOOKUP(G480,[1]ListLoaded!$E$6:$S$645,15,0)</f>
        <v>000951</v>
      </c>
      <c r="M480" s="86" t="str">
        <f>VLOOKUP(G480,[1]ListLoaded!$E$6:$T$674,16,0)</f>
        <v>NUOC NGOT</v>
      </c>
      <c r="N480" s="86">
        <f>VLOOKUP(G480,[1]ListLoaded!$E$6:$N$545,10,0)</f>
        <v>0</v>
      </c>
      <c r="O480" s="72"/>
      <c r="P480" s="72">
        <f>VLOOKUP(G480,[1]ListLoaded!$E$6:$O$638,11,0)</f>
        <v>0</v>
      </c>
      <c r="Q480" s="84" t="str">
        <f t="shared" si="38"/>
        <v>F40HC</v>
      </c>
      <c r="R480" s="84" t="str">
        <f>VLOOKUP(G480,[1]ListLoaded!$E$6:$P$604,12,0)</f>
        <v>HAC260523047</v>
      </c>
      <c r="S480" s="15" t="e">
        <f>I480&amp;J480&amp;#REF!</f>
        <v>#REF!</v>
      </c>
      <c r="T480" s="84"/>
      <c r="U480" s="84"/>
      <c r="V480" s="84"/>
    </row>
    <row r="481" spans="1:22">
      <c r="A481" s="23">
        <v>471</v>
      </c>
      <c r="B481" s="24" t="s">
        <v>50</v>
      </c>
      <c r="C481" s="24" t="s">
        <v>1489</v>
      </c>
      <c r="D481" s="24" t="s">
        <v>83</v>
      </c>
      <c r="E481" s="74" t="s">
        <v>52</v>
      </c>
      <c r="F481" s="24" t="s">
        <v>52</v>
      </c>
      <c r="G481" s="83" t="s">
        <v>1147</v>
      </c>
      <c r="H481" s="83" t="str">
        <f>VLOOKUP(G481,[1]ListLoaded!$E$6:$F$544,2,0)</f>
        <v>140308</v>
      </c>
      <c r="I481" s="72" t="str">
        <f>VLOOKUP(G481,[1]ListLoaded!$E$6:$M$550,9,0)</f>
        <v>F</v>
      </c>
      <c r="J481" s="72" t="str">
        <f>VLOOKUP(G481,[1]ListLoaded!$E$6:$I$537,5,0)</f>
        <v>40HC</v>
      </c>
      <c r="K481" s="140">
        <f>VLOOKUP(G481,[1]ListLoaded!$E$6:$L$537,8,0)</f>
        <v>28.95</v>
      </c>
      <c r="L481" s="83" t="str">
        <f>VLOOKUP(G481,[1]ListLoaded!$E$6:$S$645,15,0)</f>
        <v>000091</v>
      </c>
      <c r="M481" s="86" t="str">
        <f>VLOOKUP(G481,[1]ListLoaded!$E$6:$T$674,16,0)</f>
        <v>NGK</v>
      </c>
      <c r="N481" s="86">
        <f>VLOOKUP(G481,[1]ListLoaded!$E$6:$N$545,10,0)</f>
        <v>0</v>
      </c>
      <c r="O481" s="72"/>
      <c r="P481" s="72">
        <f>VLOOKUP(G481,[1]ListLoaded!$E$6:$O$638,11,0)</f>
        <v>0</v>
      </c>
      <c r="Q481" s="84" t="str">
        <f t="shared" si="38"/>
        <v>F40HC</v>
      </c>
      <c r="R481" s="84" t="str">
        <f>VLOOKUP(G481,[1]ListLoaded!$E$6:$P$604,12,0)</f>
        <v>HAC260523047</v>
      </c>
      <c r="S481" s="15" t="e">
        <f>I481&amp;J481&amp;#REF!</f>
        <v>#REF!</v>
      </c>
      <c r="T481" s="84"/>
      <c r="U481" s="84"/>
      <c r="V481" s="84"/>
    </row>
    <row r="482" spans="1:22">
      <c r="A482" s="23">
        <v>472</v>
      </c>
      <c r="B482" s="24" t="s">
        <v>50</v>
      </c>
      <c r="C482" s="24" t="s">
        <v>1489</v>
      </c>
      <c r="D482" s="24" t="s">
        <v>83</v>
      </c>
      <c r="E482" s="74" t="s">
        <v>52</v>
      </c>
      <c r="F482" s="24" t="s">
        <v>52</v>
      </c>
      <c r="G482" s="83" t="s">
        <v>1148</v>
      </c>
      <c r="H482" s="83" t="str">
        <f>VLOOKUP(G482,[1]ListLoaded!$E$6:$F$544,2,0)</f>
        <v>260106</v>
      </c>
      <c r="I482" s="72" t="str">
        <f>VLOOKUP(G482,[1]ListLoaded!$E$6:$M$550,9,0)</f>
        <v>F</v>
      </c>
      <c r="J482" s="72" t="str">
        <f>VLOOKUP(G482,[1]ListLoaded!$E$6:$I$537,5,0)</f>
        <v>40HC</v>
      </c>
      <c r="K482" s="140">
        <f>VLOOKUP(G482,[1]ListLoaded!$E$6:$L$537,8,0)</f>
        <v>29.91</v>
      </c>
      <c r="L482" s="83" t="str">
        <f>VLOOKUP(G482,[1]ListLoaded!$E$6:$S$645,15,0)</f>
        <v>000816</v>
      </c>
      <c r="M482" s="86" t="str">
        <f>VLOOKUP(G482,[1]ListLoaded!$E$6:$T$674,16,0)</f>
        <v>NGK</v>
      </c>
      <c r="N482" s="86">
        <f>VLOOKUP(G482,[1]ListLoaded!$E$6:$N$545,10,0)</f>
        <v>0</v>
      </c>
      <c r="O482" s="72"/>
      <c r="P482" s="72">
        <f>VLOOKUP(G482,[1]ListLoaded!$E$6:$O$638,11,0)</f>
        <v>0</v>
      </c>
      <c r="Q482" s="84" t="str">
        <f t="shared" si="38"/>
        <v>F40HC</v>
      </c>
      <c r="R482" s="84" t="str">
        <f>VLOOKUP(G482,[1]ListLoaded!$E$6:$P$604,12,0)</f>
        <v>HAC260523005</v>
      </c>
      <c r="S482" s="15" t="e">
        <f>I482&amp;J482&amp;#REF!</f>
        <v>#REF!</v>
      </c>
      <c r="T482" s="84"/>
      <c r="U482" s="84"/>
      <c r="V482" s="84"/>
    </row>
    <row r="483" spans="1:22">
      <c r="A483" s="23">
        <v>473</v>
      </c>
      <c r="B483" s="24" t="s">
        <v>50</v>
      </c>
      <c r="C483" s="24" t="s">
        <v>1489</v>
      </c>
      <c r="D483" s="24" t="s">
        <v>83</v>
      </c>
      <c r="E483" s="74" t="s">
        <v>52</v>
      </c>
      <c r="F483" s="24" t="s">
        <v>52</v>
      </c>
      <c r="G483" s="83" t="s">
        <v>1149</v>
      </c>
      <c r="H483" s="83" t="str">
        <f>VLOOKUP(G483,[1]ListLoaded!$E$6:$F$544,2,0)</f>
        <v>220286</v>
      </c>
      <c r="I483" s="72" t="str">
        <f>VLOOKUP(G483,[1]ListLoaded!$E$6:$M$550,9,0)</f>
        <v>F</v>
      </c>
      <c r="J483" s="72" t="str">
        <f>VLOOKUP(G483,[1]ListLoaded!$E$6:$I$537,5,0)</f>
        <v>40HC</v>
      </c>
      <c r="K483" s="140">
        <f>VLOOKUP(G483,[1]ListLoaded!$E$6:$L$537,8,0)</f>
        <v>8.14</v>
      </c>
      <c r="L483" s="83" t="str">
        <f>VLOOKUP(G483,[1]ListLoaded!$E$6:$S$645,15,0)</f>
        <v>000097</v>
      </c>
      <c r="M483" s="86" t="str">
        <f>VLOOKUP(G483,[1]ListLoaded!$E$6:$T$674,16,0)</f>
        <v>NGK</v>
      </c>
      <c r="N483" s="86">
        <f>VLOOKUP(G483,[1]ListLoaded!$E$6:$N$545,10,0)</f>
        <v>0</v>
      </c>
      <c r="O483" s="72"/>
      <c r="P483" s="72">
        <f>VLOOKUP(G483,[1]ListLoaded!$E$6:$O$638,11,0)</f>
        <v>0</v>
      </c>
      <c r="Q483" s="84" t="str">
        <f t="shared" si="38"/>
        <v>F40HC</v>
      </c>
      <c r="R483" s="84" t="str">
        <f>VLOOKUP(G483,[1]ListLoaded!$E$6:$P$604,12,0)</f>
        <v>HAC260523047</v>
      </c>
      <c r="S483" s="15" t="e">
        <f>I483&amp;J483&amp;#REF!</f>
        <v>#REF!</v>
      </c>
      <c r="T483" s="84"/>
      <c r="U483" s="84"/>
      <c r="V483" s="84"/>
    </row>
    <row r="484" spans="1:22">
      <c r="A484" s="23">
        <v>474</v>
      </c>
      <c r="B484" s="24" t="s">
        <v>50</v>
      </c>
      <c r="C484" s="24" t="s">
        <v>1489</v>
      </c>
      <c r="D484" s="24" t="s">
        <v>83</v>
      </c>
      <c r="E484" s="74" t="s">
        <v>52</v>
      </c>
      <c r="F484" s="24" t="s">
        <v>52</v>
      </c>
      <c r="G484" s="83" t="s">
        <v>1150</v>
      </c>
      <c r="H484" s="83" t="str">
        <f>VLOOKUP(G484,[1]ListLoaded!$E$6:$F$544,2,0)</f>
        <v>140984</v>
      </c>
      <c r="I484" s="72" t="str">
        <f>VLOOKUP(G484,[1]ListLoaded!$E$6:$M$550,9,0)</f>
        <v>F</v>
      </c>
      <c r="J484" s="72" t="str">
        <f>VLOOKUP(G484,[1]ListLoaded!$E$6:$I$537,5,0)</f>
        <v>40HC</v>
      </c>
      <c r="K484" s="140">
        <f>VLOOKUP(G484,[1]ListLoaded!$E$6:$L$537,8,0)</f>
        <v>23.37</v>
      </c>
      <c r="L484" s="83" t="str">
        <f>VLOOKUP(G484,[1]ListLoaded!$E$6:$S$645,15,0)</f>
        <v>1045890</v>
      </c>
      <c r="M484" s="86" t="str">
        <f>VLOOKUP(G484,[1]ListLoaded!$E$6:$T$674,16,0)</f>
        <v>VO LON</v>
      </c>
      <c r="N484" s="86">
        <f>VLOOKUP(G484,[1]ListLoaded!$E$6:$N$545,10,0)</f>
        <v>0</v>
      </c>
      <c r="O484" s="72"/>
      <c r="P484" s="72">
        <f>VLOOKUP(G484,[1]ListLoaded!$E$6:$O$638,11,0)</f>
        <v>0</v>
      </c>
      <c r="Q484" s="84" t="str">
        <f t="shared" si="38"/>
        <v>F40HC</v>
      </c>
      <c r="R484" s="84" t="str">
        <f>VLOOKUP(G484,[1]ListLoaded!$E$6:$P$604,12,0)</f>
        <v>HAC260523047</v>
      </c>
      <c r="S484" s="15" t="e">
        <f>I484&amp;J484&amp;#REF!</f>
        <v>#REF!</v>
      </c>
      <c r="T484" s="84"/>
      <c r="U484" s="84"/>
      <c r="V484" s="84"/>
    </row>
    <row r="485" spans="1:22">
      <c r="A485" s="23">
        <v>475</v>
      </c>
      <c r="B485" s="24" t="s">
        <v>50</v>
      </c>
      <c r="C485" s="24" t="s">
        <v>1489</v>
      </c>
      <c r="D485" s="24" t="s">
        <v>83</v>
      </c>
      <c r="E485" s="74" t="s">
        <v>1488</v>
      </c>
      <c r="F485" s="24" t="s">
        <v>52</v>
      </c>
      <c r="G485" s="83" t="s">
        <v>1151</v>
      </c>
      <c r="H485" s="83" t="str">
        <f>VLOOKUP(G485,[1]ListLoaded!$E$6:$F$544,2,0)</f>
        <v>100782</v>
      </c>
      <c r="I485" s="72" t="str">
        <f>VLOOKUP(G485,[1]ListLoaded!$E$6:$M$550,9,0)</f>
        <v>F</v>
      </c>
      <c r="J485" s="72" t="s">
        <v>38</v>
      </c>
      <c r="K485" s="140">
        <f>VLOOKUP(G485,[1]ListLoaded!$E$6:$L$537,8,0)</f>
        <v>15.65</v>
      </c>
      <c r="L485" s="83" t="str">
        <f>VLOOKUP(G485,[1]ListLoaded!$E$6:$S$645,15,0)</f>
        <v>409528</v>
      </c>
      <c r="M485" s="86" t="str">
        <f>VLOOKUP(G485,[1]ListLoaded!$E$6:$T$674,16,0)</f>
        <v>KEM</v>
      </c>
      <c r="N485" s="86" t="str">
        <f>VLOOKUP(G485,[1]ListLoaded!$E$6:$N$545,10,0)</f>
        <v>-22C</v>
      </c>
      <c r="O485" s="72" t="s">
        <v>1229</v>
      </c>
      <c r="P485" s="72">
        <f>VLOOKUP(G485,[1]ListLoaded!$E$6:$O$638,11,0)</f>
        <v>0</v>
      </c>
      <c r="Q485" s="84" t="str">
        <f t="shared" si="38"/>
        <v>F40RF</v>
      </c>
      <c r="R485" s="84" t="str">
        <f>VLOOKUP(G485,[1]ListLoaded!$E$6:$P$604,12,0)</f>
        <v>HAC260527149</v>
      </c>
      <c r="S485" s="15" t="e">
        <f>I485&amp;J485&amp;#REF!</f>
        <v>#REF!</v>
      </c>
      <c r="T485" s="84"/>
      <c r="U485" s="84"/>
      <c r="V485" s="84"/>
    </row>
    <row r="486" spans="1:22">
      <c r="A486" s="23">
        <v>476</v>
      </c>
      <c r="B486" s="24" t="s">
        <v>50</v>
      </c>
      <c r="C486" s="24" t="s">
        <v>1489</v>
      </c>
      <c r="D486" s="24" t="s">
        <v>83</v>
      </c>
      <c r="E486" s="74" t="s">
        <v>1488</v>
      </c>
      <c r="F486" s="24" t="s">
        <v>52</v>
      </c>
      <c r="G486" s="83" t="s">
        <v>1152</v>
      </c>
      <c r="H486" s="83" t="str">
        <f>VLOOKUP(G486,[1]ListLoaded!$E$6:$F$544,2,0)</f>
        <v>100182</v>
      </c>
      <c r="I486" s="72" t="str">
        <f>VLOOKUP(G486,[1]ListLoaded!$E$6:$M$550,9,0)</f>
        <v>F</v>
      </c>
      <c r="J486" s="72" t="s">
        <v>38</v>
      </c>
      <c r="K486" s="140">
        <f>VLOOKUP(G486,[1]ListLoaded!$E$6:$L$537,8,0)</f>
        <v>32.47</v>
      </c>
      <c r="L486" s="83" t="str">
        <f>VLOOKUP(G486,[1]ListLoaded!$E$6:$S$645,15,0)</f>
        <v>409654</v>
      </c>
      <c r="M486" s="86" t="str">
        <f>VLOOKUP(G486,[1]ListLoaded!$E$6:$T$674,16,0)</f>
        <v>CA</v>
      </c>
      <c r="N486" s="86" t="str">
        <f>VLOOKUP(G486,[1]ListLoaded!$E$6:$N$545,10,0)</f>
        <v>-22C</v>
      </c>
      <c r="O486" s="72" t="s">
        <v>635</v>
      </c>
      <c r="P486" s="72">
        <f>VLOOKUP(G486,[1]ListLoaded!$E$6:$O$638,11,0)</f>
        <v>0</v>
      </c>
      <c r="Q486" s="84" t="str">
        <f t="shared" si="38"/>
        <v>F40RF</v>
      </c>
      <c r="R486" s="84" t="str">
        <f>VLOOKUP(G486,[1]ListLoaded!$E$6:$P$604,12,0)</f>
        <v>HAC260527149</v>
      </c>
      <c r="S486" s="15" t="e">
        <f>I486&amp;J486&amp;#REF!</f>
        <v>#REF!</v>
      </c>
      <c r="T486" s="84"/>
      <c r="U486" s="84"/>
      <c r="V486" s="84"/>
    </row>
    <row r="487" spans="1:22" ht="21.6" customHeight="1">
      <c r="A487" s="23">
        <v>477</v>
      </c>
      <c r="B487" s="24" t="s">
        <v>50</v>
      </c>
      <c r="C487" s="24" t="s">
        <v>1489</v>
      </c>
      <c r="D487" s="24" t="s">
        <v>83</v>
      </c>
      <c r="E487" s="143" t="s">
        <v>1488</v>
      </c>
      <c r="F487" s="24" t="s">
        <v>52</v>
      </c>
      <c r="G487" s="83" t="s">
        <v>1214</v>
      </c>
      <c r="H487" s="83" t="s">
        <v>1473</v>
      </c>
      <c r="I487" s="72" t="s">
        <v>531</v>
      </c>
      <c r="J487" s="72" t="s">
        <v>37</v>
      </c>
      <c r="K487" s="140">
        <v>3.8</v>
      </c>
      <c r="L487" s="83" t="s">
        <v>69</v>
      </c>
      <c r="M487" s="86" t="s">
        <v>56</v>
      </c>
      <c r="N487" s="86">
        <v>0</v>
      </c>
      <c r="O487" s="72" t="s">
        <v>1232</v>
      </c>
      <c r="P487" s="72">
        <v>0</v>
      </c>
      <c r="Q487" s="84" t="str">
        <f t="shared" si="38"/>
        <v>E40HC</v>
      </c>
      <c r="R487" s="84" t="s">
        <v>1462</v>
      </c>
      <c r="S487" s="15" t="s">
        <v>1463</v>
      </c>
      <c r="T487" s="84"/>
      <c r="U487" s="84"/>
      <c r="V487" s="84"/>
    </row>
    <row r="488" spans="1:22">
      <c r="A488" s="23">
        <v>478</v>
      </c>
      <c r="B488" s="24" t="s">
        <v>50</v>
      </c>
      <c r="C488" s="24" t="s">
        <v>1489</v>
      </c>
      <c r="D488" s="24" t="s">
        <v>83</v>
      </c>
      <c r="E488" s="74" t="s">
        <v>1488</v>
      </c>
      <c r="F488" s="24" t="s">
        <v>52</v>
      </c>
      <c r="G488" s="83" t="s">
        <v>1153</v>
      </c>
      <c r="H488" s="83" t="str">
        <f>VLOOKUP(G488,[1]ListLoaded!$E$6:$F$544,2,0)</f>
        <v>100582</v>
      </c>
      <c r="I488" s="72" t="str">
        <f>VLOOKUP(G488,[1]ListLoaded!$E$6:$M$550,9,0)</f>
        <v>F</v>
      </c>
      <c r="J488" s="72" t="s">
        <v>38</v>
      </c>
      <c r="K488" s="140">
        <f>VLOOKUP(G488,[1]ListLoaded!$E$6:$L$537,8,0)</f>
        <v>33.22</v>
      </c>
      <c r="L488" s="83" t="str">
        <f>VLOOKUP(G488,[1]ListLoaded!$E$6:$S$645,15,0)</f>
        <v>10071</v>
      </c>
      <c r="M488" s="86" t="str">
        <f>VLOOKUP(G488,[1]ListLoaded!$E$6:$T$674,16,0)</f>
        <v>CA</v>
      </c>
      <c r="N488" s="86" t="str">
        <f>VLOOKUP(G488,[1]ListLoaded!$E$6:$N$545,10,0)</f>
        <v>-18C</v>
      </c>
      <c r="O488" s="72" t="s">
        <v>526</v>
      </c>
      <c r="P488" s="72">
        <f>VLOOKUP(G488,[1]ListLoaded!$E$6:$O$638,11,0)</f>
        <v>0</v>
      </c>
      <c r="Q488" s="84" t="str">
        <f t="shared" si="38"/>
        <v>F40RF</v>
      </c>
      <c r="R488" s="84" t="str">
        <f>VLOOKUP(G488,[1]ListLoaded!$E$6:$P$604,12,0)</f>
        <v>HAC260526173</v>
      </c>
      <c r="S488" s="15" t="e">
        <f>I488&amp;J488&amp;#REF!</f>
        <v>#REF!</v>
      </c>
      <c r="T488" s="84"/>
      <c r="U488" s="84"/>
      <c r="V488" s="84"/>
    </row>
    <row r="489" spans="1:22">
      <c r="A489" s="23">
        <v>479</v>
      </c>
      <c r="B489" s="24" t="s">
        <v>50</v>
      </c>
      <c r="C489" s="24" t="s">
        <v>1489</v>
      </c>
      <c r="D489" s="24" t="s">
        <v>83</v>
      </c>
      <c r="E489" s="74" t="s">
        <v>1488</v>
      </c>
      <c r="F489" s="24" t="s">
        <v>52</v>
      </c>
      <c r="G489" s="83" t="s">
        <v>1154</v>
      </c>
      <c r="H489" s="83" t="str">
        <f>VLOOKUP(G489,[1]ListLoaded!$E$6:$F$544,2,0)</f>
        <v>300282</v>
      </c>
      <c r="I489" s="72" t="str">
        <f>VLOOKUP(G489,[1]ListLoaded!$E$6:$M$550,9,0)</f>
        <v>F</v>
      </c>
      <c r="J489" s="72" t="s">
        <v>38</v>
      </c>
      <c r="K489" s="140">
        <f>VLOOKUP(G489,[1]ListLoaded!$E$6:$L$537,8,0)</f>
        <v>33.840000000000003</v>
      </c>
      <c r="L489" s="83" t="str">
        <f>VLOOKUP(G489,[1]ListLoaded!$E$6:$S$645,15,0)</f>
        <v>10287</v>
      </c>
      <c r="M489" s="86" t="str">
        <f>VLOOKUP(G489,[1]ListLoaded!$E$6:$T$674,16,0)</f>
        <v>THUY SAN</v>
      </c>
      <c r="N489" s="86" t="str">
        <f>VLOOKUP(G489,[1]ListLoaded!$E$6:$N$545,10,0)</f>
        <v>-18C</v>
      </c>
      <c r="O489" s="72" t="s">
        <v>526</v>
      </c>
      <c r="P489" s="72">
        <f>VLOOKUP(G489,[1]ListLoaded!$E$6:$O$638,11,0)</f>
        <v>0</v>
      </c>
      <c r="Q489" s="84" t="str">
        <f t="shared" si="38"/>
        <v>F40RF</v>
      </c>
      <c r="R489" s="84" t="str">
        <f>VLOOKUP(G489,[1]ListLoaded!$E$6:$P$604,12,0)</f>
        <v>HAC260526173</v>
      </c>
      <c r="S489" s="15" t="e">
        <f>I489&amp;J489&amp;#REF!</f>
        <v>#REF!</v>
      </c>
      <c r="T489" s="84"/>
      <c r="U489" s="84"/>
      <c r="V489" s="84"/>
    </row>
    <row r="490" spans="1:22">
      <c r="A490" s="23">
        <v>480</v>
      </c>
      <c r="B490" s="24" t="s">
        <v>50</v>
      </c>
      <c r="C490" s="24" t="s">
        <v>1489</v>
      </c>
      <c r="D490" s="24" t="s">
        <v>83</v>
      </c>
      <c r="E490" s="74" t="s">
        <v>1488</v>
      </c>
      <c r="F490" s="24" t="s">
        <v>52</v>
      </c>
      <c r="G490" s="83" t="s">
        <v>636</v>
      </c>
      <c r="H490" s="83" t="str">
        <f>VLOOKUP(G490,[1]ListLoaded!$E$6:$F$544,2,0)</f>
        <v>300382</v>
      </c>
      <c r="I490" s="72" t="str">
        <f>VLOOKUP(G490,[1]ListLoaded!$E$6:$M$550,9,0)</f>
        <v>F</v>
      </c>
      <c r="J490" s="72" t="s">
        <v>38</v>
      </c>
      <c r="K490" s="140">
        <f>VLOOKUP(G490,[1]ListLoaded!$E$6:$L$537,8,0)</f>
        <v>34.1</v>
      </c>
      <c r="L490" s="83" t="str">
        <f>VLOOKUP(G490,[1]ListLoaded!$E$6:$S$645,15,0)</f>
        <v>10798</v>
      </c>
      <c r="M490" s="86" t="str">
        <f>VLOOKUP(G490,[1]ListLoaded!$E$6:$T$674,16,0)</f>
        <v>THUY SAN</v>
      </c>
      <c r="N490" s="86" t="str">
        <f>VLOOKUP(G490,[1]ListLoaded!$E$6:$N$545,10,0)</f>
        <v>-18C</v>
      </c>
      <c r="O490" s="72" t="s">
        <v>526</v>
      </c>
      <c r="P490" s="72">
        <f>VLOOKUP(G490,[1]ListLoaded!$E$6:$O$638,11,0)</f>
        <v>0</v>
      </c>
      <c r="Q490" s="84" t="str">
        <f t="shared" si="38"/>
        <v>F40RF</v>
      </c>
      <c r="R490" s="84" t="str">
        <f>VLOOKUP(G490,[1]ListLoaded!$E$6:$P$604,12,0)</f>
        <v>HAC260526173</v>
      </c>
      <c r="S490" s="15" t="e">
        <f>I490&amp;J490&amp;#REF!</f>
        <v>#REF!</v>
      </c>
      <c r="T490" s="84"/>
      <c r="U490" s="84"/>
      <c r="V490" s="84"/>
    </row>
    <row r="491" spans="1:22">
      <c r="A491" s="23">
        <v>481</v>
      </c>
      <c r="B491" s="24" t="s">
        <v>50</v>
      </c>
      <c r="C491" s="24" t="s">
        <v>1489</v>
      </c>
      <c r="D491" s="24" t="s">
        <v>83</v>
      </c>
      <c r="E491" s="74" t="s">
        <v>1488</v>
      </c>
      <c r="F491" s="24" t="s">
        <v>52</v>
      </c>
      <c r="G491" s="83" t="s">
        <v>1155</v>
      </c>
      <c r="H491" s="83" t="str">
        <f>VLOOKUP(G491,[1]ListLoaded!$E$6:$F$544,2,0)</f>
        <v>100482</v>
      </c>
      <c r="I491" s="72" t="str">
        <f>VLOOKUP(G491,[1]ListLoaded!$E$6:$M$550,9,0)</f>
        <v>F</v>
      </c>
      <c r="J491" s="72" t="s">
        <v>38</v>
      </c>
      <c r="K491" s="140">
        <f>VLOOKUP(G491,[1]ListLoaded!$E$6:$L$537,8,0)</f>
        <v>33.25</v>
      </c>
      <c r="L491" s="83" t="str">
        <f>VLOOKUP(G491,[1]ListLoaded!$E$6:$S$645,15,0)</f>
        <v>10078</v>
      </c>
      <c r="M491" s="86" t="str">
        <f>VLOOKUP(G491,[1]ListLoaded!$E$6:$T$674,16,0)</f>
        <v>CA</v>
      </c>
      <c r="N491" s="86" t="str">
        <f>VLOOKUP(G491,[1]ListLoaded!$E$6:$N$545,10,0)</f>
        <v>-18C</v>
      </c>
      <c r="O491" s="72" t="s">
        <v>526</v>
      </c>
      <c r="P491" s="72">
        <f>VLOOKUP(G491,[1]ListLoaded!$E$6:$O$638,11,0)</f>
        <v>0</v>
      </c>
      <c r="Q491" s="84" t="str">
        <f t="shared" si="38"/>
        <v>F40RF</v>
      </c>
      <c r="R491" s="84" t="str">
        <f>VLOOKUP(G491,[1]ListLoaded!$E$6:$P$604,12,0)</f>
        <v>HAC260526173</v>
      </c>
      <c r="S491" s="15" t="e">
        <f>I491&amp;J491&amp;#REF!</f>
        <v>#REF!</v>
      </c>
      <c r="T491" s="84"/>
      <c r="U491" s="84"/>
      <c r="V491" s="84"/>
    </row>
    <row r="492" spans="1:22">
      <c r="A492" s="23">
        <v>482</v>
      </c>
      <c r="B492" s="24" t="s">
        <v>50</v>
      </c>
      <c r="C492" s="24" t="s">
        <v>1489</v>
      </c>
      <c r="D492" s="24" t="s">
        <v>83</v>
      </c>
      <c r="E492" s="74" t="s">
        <v>52</v>
      </c>
      <c r="F492" s="24" t="s">
        <v>52</v>
      </c>
      <c r="G492" s="83" t="s">
        <v>1233</v>
      </c>
      <c r="H492" s="83" t="s">
        <v>1457</v>
      </c>
      <c r="I492" s="72" t="s">
        <v>116</v>
      </c>
      <c r="J492" s="72" t="s">
        <v>37</v>
      </c>
      <c r="K492" s="140">
        <v>26.11</v>
      </c>
      <c r="L492" s="83" t="s">
        <v>1458</v>
      </c>
      <c r="M492" s="86" t="s">
        <v>1450</v>
      </c>
      <c r="N492" s="86">
        <v>0</v>
      </c>
      <c r="O492" s="72"/>
      <c r="P492" s="72">
        <v>0</v>
      </c>
      <c r="Q492" s="84" t="str">
        <f t="shared" si="38"/>
        <v>F40HC</v>
      </c>
      <c r="R492" s="84" t="s">
        <v>1451</v>
      </c>
      <c r="S492" s="15" t="s">
        <v>1452</v>
      </c>
      <c r="T492" s="84"/>
      <c r="U492" s="84"/>
      <c r="V492" s="84"/>
    </row>
    <row r="493" spans="1:22">
      <c r="A493" s="23">
        <v>483</v>
      </c>
      <c r="B493" s="24" t="s">
        <v>50</v>
      </c>
      <c r="C493" s="24" t="s">
        <v>1489</v>
      </c>
      <c r="D493" s="24" t="s">
        <v>83</v>
      </c>
      <c r="E493" s="74" t="s">
        <v>52</v>
      </c>
      <c r="F493" s="24" t="s">
        <v>52</v>
      </c>
      <c r="G493" s="83" t="s">
        <v>1234</v>
      </c>
      <c r="H493" s="83" t="s">
        <v>1459</v>
      </c>
      <c r="I493" s="72" t="s">
        <v>116</v>
      </c>
      <c r="J493" s="72" t="s">
        <v>37</v>
      </c>
      <c r="K493" s="140">
        <v>29.2</v>
      </c>
      <c r="L493" s="83" t="s">
        <v>1460</v>
      </c>
      <c r="M493" s="86" t="s">
        <v>1450</v>
      </c>
      <c r="N493" s="86">
        <v>0</v>
      </c>
      <c r="O493" s="72"/>
      <c r="P493" s="72">
        <v>0</v>
      </c>
      <c r="Q493" s="84" t="str">
        <f t="shared" si="38"/>
        <v>F40HC</v>
      </c>
      <c r="R493" s="84" t="s">
        <v>1451</v>
      </c>
      <c r="S493" s="15" t="s">
        <v>1452</v>
      </c>
      <c r="T493" s="84"/>
      <c r="U493" s="84"/>
      <c r="V493" s="84"/>
    </row>
    <row r="494" spans="1:22">
      <c r="A494" s="23">
        <v>484</v>
      </c>
      <c r="B494" s="24" t="s">
        <v>50</v>
      </c>
      <c r="C494" s="24" t="s">
        <v>1489</v>
      </c>
      <c r="D494" s="24" t="s">
        <v>83</v>
      </c>
      <c r="E494" s="74" t="s">
        <v>1488</v>
      </c>
      <c r="F494" s="24" t="s">
        <v>52</v>
      </c>
      <c r="G494" s="83" t="s">
        <v>1156</v>
      </c>
      <c r="H494" s="83" t="str">
        <f>VLOOKUP(G494,[1]ListLoaded!$E$6:$F$544,2,0)</f>
        <v>300184</v>
      </c>
      <c r="I494" s="72" t="str">
        <f>VLOOKUP(G494,[1]ListLoaded!$E$6:$M$550,9,0)</f>
        <v>F</v>
      </c>
      <c r="J494" s="72" t="s">
        <v>42</v>
      </c>
      <c r="K494" s="140">
        <f>VLOOKUP(G494,[1]ListLoaded!$E$6:$L$537,8,0)</f>
        <v>34.049999999999997</v>
      </c>
      <c r="L494" s="83" t="str">
        <f>VLOOKUP(G494,[1]ListLoaded!$E$6:$S$645,15,0)</f>
        <v>10787</v>
      </c>
      <c r="M494" s="86" t="str">
        <f>VLOOKUP(G494,[1]ListLoaded!$E$6:$T$674,16,0)</f>
        <v>THU YSAN</v>
      </c>
      <c r="N494" s="86" t="str">
        <f>VLOOKUP(G494,[1]ListLoaded!$E$6:$N$545,10,0)</f>
        <v>-18C</v>
      </c>
      <c r="O494" s="72" t="s">
        <v>526</v>
      </c>
      <c r="P494" s="72">
        <f>VLOOKUP(G494,[1]ListLoaded!$E$6:$O$638,11,0)</f>
        <v>0</v>
      </c>
      <c r="Q494" s="84" t="str">
        <f t="shared" si="38"/>
        <v>F53RF</v>
      </c>
      <c r="R494" s="84" t="str">
        <f>VLOOKUP(G494,[1]ListLoaded!$E$6:$P$604,12,0)</f>
        <v>HAC260526173</v>
      </c>
      <c r="S494" s="15" t="e">
        <f>I494&amp;J494&amp;#REF!</f>
        <v>#REF!</v>
      </c>
      <c r="T494" s="84"/>
      <c r="U494" s="84"/>
      <c r="V494" s="84"/>
    </row>
    <row r="495" spans="1:22">
      <c r="A495" s="23">
        <v>485</v>
      </c>
      <c r="B495" s="24" t="s">
        <v>50</v>
      </c>
      <c r="C495" s="24" t="s">
        <v>1489</v>
      </c>
      <c r="D495" s="24" t="s">
        <v>83</v>
      </c>
      <c r="E495" s="74" t="s">
        <v>1488</v>
      </c>
      <c r="F495" s="24" t="s">
        <v>52</v>
      </c>
      <c r="G495" s="83" t="s">
        <v>1157</v>
      </c>
      <c r="H495" s="83" t="str">
        <f>VLOOKUP(G495,[1]ListLoaded!$E$6:$F$544,2,0)</f>
        <v>140282</v>
      </c>
      <c r="I495" s="72" t="str">
        <f>VLOOKUP(G495,[1]ListLoaded!$E$6:$M$550,9,0)</f>
        <v>F</v>
      </c>
      <c r="J495" s="72" t="s">
        <v>38</v>
      </c>
      <c r="K495" s="140">
        <f>VLOOKUP(G495,[1]ListLoaded!$E$6:$L$537,8,0)</f>
        <v>33.5</v>
      </c>
      <c r="L495" s="83" t="str">
        <f>VLOOKUP(G495,[1]ListLoaded!$E$6:$S$645,15,0)</f>
        <v>29616489</v>
      </c>
      <c r="M495" s="86" t="str">
        <f>VLOOKUP(G495,[1]ListLoaded!$E$6:$T$674,16,0)</f>
        <v>CA</v>
      </c>
      <c r="N495" s="86" t="str">
        <f>VLOOKUP(G495,[1]ListLoaded!$E$6:$N$545,10,0)</f>
        <v>-20C</v>
      </c>
      <c r="O495" s="72" t="s">
        <v>1230</v>
      </c>
      <c r="P495" s="72">
        <f>VLOOKUP(G495,[1]ListLoaded!$E$6:$O$638,11,0)</f>
        <v>0</v>
      </c>
      <c r="Q495" s="84" t="str">
        <f t="shared" si="38"/>
        <v>F40RF</v>
      </c>
      <c r="R495" s="84" t="str">
        <f>VLOOKUP(G495,[1]ListLoaded!$E$6:$P$604,12,0)</f>
        <v>HAC260526166</v>
      </c>
      <c r="S495" s="15" t="e">
        <f>I495&amp;J495&amp;#REF!</f>
        <v>#REF!</v>
      </c>
      <c r="T495" s="84"/>
      <c r="U495" s="84"/>
      <c r="V495" s="84"/>
    </row>
    <row r="496" spans="1:22">
      <c r="A496" s="23">
        <v>486</v>
      </c>
      <c r="B496" s="24" t="s">
        <v>50</v>
      </c>
      <c r="C496" s="24" t="s">
        <v>1489</v>
      </c>
      <c r="D496" s="24" t="s">
        <v>83</v>
      </c>
      <c r="E496" s="74" t="s">
        <v>52</v>
      </c>
      <c r="F496" s="24" t="s">
        <v>52</v>
      </c>
      <c r="G496" s="83" t="s">
        <v>1158</v>
      </c>
      <c r="H496" s="83" t="str">
        <f>VLOOKUP(G496,[1]ListLoaded!$E$6:$F$544,2,0)</f>
        <v>010110</v>
      </c>
      <c r="I496" s="72" t="str">
        <f>VLOOKUP(G496,[1]ListLoaded!$E$6:$M$550,9,0)</f>
        <v>F</v>
      </c>
      <c r="J496" s="72" t="s">
        <v>31</v>
      </c>
      <c r="K496" s="140">
        <f>VLOOKUP(G496,[1]ListLoaded!$E$6:$L$537,8,0)</f>
        <v>25.95</v>
      </c>
      <c r="L496" s="83" t="str">
        <f>VLOOKUP(G496,[1]ListLoaded!$E$6:$S$645,15,0)</f>
        <v>000131</v>
      </c>
      <c r="M496" s="86" t="str">
        <f>VLOOKUP(G496,[1]ListLoaded!$E$6:$T$674,16,0)</f>
        <v>THUC PHAM</v>
      </c>
      <c r="N496" s="86">
        <f>VLOOKUP(G496,[1]ListLoaded!$E$6:$N$545,10,0)</f>
        <v>0</v>
      </c>
      <c r="O496" s="72"/>
      <c r="P496" s="72">
        <f>VLOOKUP(G496,[1]ListLoaded!$E$6:$O$638,11,0)</f>
        <v>0</v>
      </c>
      <c r="Q496" s="84" t="str">
        <f t="shared" si="38"/>
        <v>F20DC</v>
      </c>
      <c r="R496" s="84" t="str">
        <f>VLOOKUP(G496,[1]ListLoaded!$E$6:$P$604,12,0)</f>
        <v>HAC260525135</v>
      </c>
      <c r="S496" s="15" t="e">
        <f>I496&amp;J496&amp;#REF!</f>
        <v>#REF!</v>
      </c>
      <c r="T496" s="84"/>
      <c r="U496" s="84"/>
      <c r="V496" s="84"/>
    </row>
    <row r="497" spans="1:22">
      <c r="A497" s="23">
        <v>487</v>
      </c>
      <c r="B497" s="24" t="s">
        <v>50</v>
      </c>
      <c r="C497" s="24" t="s">
        <v>1489</v>
      </c>
      <c r="D497" s="24" t="s">
        <v>83</v>
      </c>
      <c r="E497" s="74" t="s">
        <v>52</v>
      </c>
      <c r="F497" s="24" t="s">
        <v>52</v>
      </c>
      <c r="G497" s="83" t="s">
        <v>1159</v>
      </c>
      <c r="H497" s="83" t="str">
        <f>VLOOKUP(G497,[1]ListLoaded!$E$6:$F$544,2,0)</f>
        <v>180304</v>
      </c>
      <c r="I497" s="72" t="str">
        <f>VLOOKUP(G497,[1]ListLoaded!$E$6:$M$550,9,0)</f>
        <v>F</v>
      </c>
      <c r="J497" s="72" t="str">
        <f>VLOOKUP(G497,[1]ListLoaded!$E$6:$I$537,5,0)</f>
        <v>40HC</v>
      </c>
      <c r="K497" s="140">
        <f>VLOOKUP(G497,[1]ListLoaded!$E$6:$L$537,8,0)</f>
        <v>31.82</v>
      </c>
      <c r="L497" s="83" t="str">
        <f>VLOOKUP(G497,[1]ListLoaded!$E$6:$S$645,15,0)</f>
        <v>0220003</v>
      </c>
      <c r="M497" s="86" t="str">
        <f>VLOOKUP(G497,[1]ListLoaded!$E$6:$T$674,16,0)</f>
        <v>NGUEN LIEU</v>
      </c>
      <c r="N497" s="86">
        <f>VLOOKUP(G497,[1]ListLoaded!$E$6:$N$545,10,0)</f>
        <v>0</v>
      </c>
      <c r="O497" s="72"/>
      <c r="P497" s="72">
        <f>VLOOKUP(G497,[1]ListLoaded!$E$6:$O$638,11,0)</f>
        <v>0</v>
      </c>
      <c r="Q497" s="84" t="str">
        <f t="shared" si="38"/>
        <v>F40HC</v>
      </c>
      <c r="R497" s="84" t="str">
        <f>VLOOKUP(G497,[1]ListLoaded!$E$6:$P$604,12,0)</f>
        <v>HAC260525135</v>
      </c>
      <c r="S497" s="15" t="e">
        <f>I497&amp;J497&amp;#REF!</f>
        <v>#REF!</v>
      </c>
      <c r="T497" s="84"/>
      <c r="U497" s="84"/>
      <c r="V497" s="84"/>
    </row>
    <row r="498" spans="1:22">
      <c r="A498" s="23">
        <v>488</v>
      </c>
      <c r="B498" s="24" t="s">
        <v>50</v>
      </c>
      <c r="C498" s="24" t="s">
        <v>1489</v>
      </c>
      <c r="D498" s="24" t="s">
        <v>83</v>
      </c>
      <c r="E498" s="74" t="s">
        <v>52</v>
      </c>
      <c r="F498" s="24" t="s">
        <v>52</v>
      </c>
      <c r="G498" s="83" t="s">
        <v>1160</v>
      </c>
      <c r="H498" s="83" t="str">
        <f>VLOOKUP(G498,[1]ListLoaded!$E$6:$F$544,2,0)</f>
        <v>300584</v>
      </c>
      <c r="I498" s="72" t="str">
        <f>VLOOKUP(G498,[1]ListLoaded!$E$6:$M$550,9,0)</f>
        <v>F</v>
      </c>
      <c r="J498" s="72" t="str">
        <f>VLOOKUP(G498,[1]ListLoaded!$E$6:$I$537,5,0)</f>
        <v>40HC</v>
      </c>
      <c r="K498" s="140">
        <f>VLOOKUP(G498,[1]ListLoaded!$E$6:$L$537,8,0)</f>
        <v>19.45</v>
      </c>
      <c r="L498" s="83" t="str">
        <f>VLOOKUP(G498,[1]ListLoaded!$E$6:$S$645,15,0)</f>
        <v>260962</v>
      </c>
      <c r="M498" s="86" t="str">
        <f>VLOOKUP(G498,[1]ListLoaded!$E$6:$T$674,16,0)</f>
        <v>THIET BI</v>
      </c>
      <c r="N498" s="86">
        <f>VLOOKUP(G498,[1]ListLoaded!$E$6:$N$545,10,0)</f>
        <v>0</v>
      </c>
      <c r="O498" s="72"/>
      <c r="P498" s="72">
        <f>VLOOKUP(G498,[1]ListLoaded!$E$6:$O$638,11,0)</f>
        <v>0</v>
      </c>
      <c r="Q498" s="84" t="str">
        <f t="shared" si="38"/>
        <v>F40HC</v>
      </c>
      <c r="R498" s="84" t="str">
        <f>VLOOKUP(G498,[1]ListLoaded!$E$6:$P$604,12,0)</f>
        <v>HAC260527136</v>
      </c>
      <c r="S498" s="15" t="e">
        <f>I498&amp;J498&amp;#REF!</f>
        <v>#REF!</v>
      </c>
      <c r="T498" s="84"/>
      <c r="U498" s="84"/>
      <c r="V498" s="84"/>
    </row>
    <row r="499" spans="1:22">
      <c r="A499" s="23">
        <v>489</v>
      </c>
      <c r="B499" s="24" t="s">
        <v>50</v>
      </c>
      <c r="C499" s="173" t="s">
        <v>173</v>
      </c>
      <c r="D499" s="24" t="s">
        <v>83</v>
      </c>
      <c r="E499" s="74" t="s">
        <v>52</v>
      </c>
      <c r="F499" s="24" t="s">
        <v>52</v>
      </c>
      <c r="G499" s="83" t="s">
        <v>1161</v>
      </c>
      <c r="H499" s="83" t="str">
        <f>VLOOKUP(G499,[1]ListLoaded!$E$6:$F$544,2,0)</f>
        <v>230602</v>
      </c>
      <c r="I499" s="72" t="str">
        <f>VLOOKUP(G499,[1]ListLoaded!$E$6:$M$550,9,0)</f>
        <v>F</v>
      </c>
      <c r="J499" s="72" t="s">
        <v>31</v>
      </c>
      <c r="K499" s="140">
        <f>VLOOKUP(G499,[1]ListLoaded!$E$6:$K$539,7,0)</f>
        <v>27</v>
      </c>
      <c r="L499" s="83" t="str">
        <f>VLOOKUP(G499,[1]ListLoaded!$E$6:$S$645,15,0)</f>
        <v>1110096</v>
      </c>
      <c r="M499" s="86" t="str">
        <f>VLOOKUP(G499,[1]ListLoaded!$E$6:$T$674,16,0)</f>
        <v>OP26052515</v>
      </c>
      <c r="N499" s="86">
        <f>VLOOKUP(G499,[1]ListLoaded!$E$6:$N$545,10,0)</f>
        <v>0</v>
      </c>
      <c r="O499" s="141" t="s">
        <v>1231</v>
      </c>
      <c r="P499" s="72">
        <f>VLOOKUP(G499,[1]ListLoaded!$E$6:$O$638,11,0)</f>
        <v>0</v>
      </c>
      <c r="Q499" s="84" t="str">
        <f t="shared" si="38"/>
        <v>F20DC</v>
      </c>
      <c r="R499" s="84" t="str">
        <f>VLOOKUP(G499,[1]ListLoaded!$E$6:$P$604,12,0)</f>
        <v>HASGN26060001EX</v>
      </c>
      <c r="S499" s="15" t="e">
        <f>I499&amp;J499&amp;#REF!</f>
        <v>#REF!</v>
      </c>
      <c r="T499" s="84"/>
      <c r="U499" s="84"/>
      <c r="V499" s="84"/>
    </row>
    <row r="500" spans="1:22">
      <c r="A500" s="23">
        <v>490</v>
      </c>
      <c r="B500" s="24" t="s">
        <v>50</v>
      </c>
      <c r="C500" s="173" t="s">
        <v>173</v>
      </c>
      <c r="D500" s="24" t="s">
        <v>83</v>
      </c>
      <c r="E500" s="74" t="s">
        <v>52</v>
      </c>
      <c r="F500" s="24" t="s">
        <v>52</v>
      </c>
      <c r="G500" s="83" t="s">
        <v>1162</v>
      </c>
      <c r="H500" s="83" t="str">
        <f>VLOOKUP(G500,[1]ListLoaded!$E$6:$F$544,2,0)</f>
        <v>230508</v>
      </c>
      <c r="I500" s="72" t="str">
        <f>VLOOKUP(G500,[1]ListLoaded!$E$6:$M$550,9,0)</f>
        <v>F</v>
      </c>
      <c r="J500" s="72" t="s">
        <v>31</v>
      </c>
      <c r="K500" s="140">
        <f>VLOOKUP(G500,[1]ListLoaded!$E$6:$K$539,7,0)</f>
        <v>27</v>
      </c>
      <c r="L500" s="83" t="str">
        <f>VLOOKUP(G500,[1]ListLoaded!$E$6:$S$645,15,0)</f>
        <v>1110092</v>
      </c>
      <c r="M500" s="86" t="str">
        <f>VLOOKUP(G500,[1]ListLoaded!$E$6:$T$674,16,0)</f>
        <v>OP26052515</v>
      </c>
      <c r="N500" s="86">
        <f>VLOOKUP(G500,[1]ListLoaded!$E$6:$N$545,10,0)</f>
        <v>0</v>
      </c>
      <c r="O500" s="141" t="s">
        <v>1231</v>
      </c>
      <c r="P500" s="72">
        <f>VLOOKUP(G500,[1]ListLoaded!$E$6:$O$638,11,0)</f>
        <v>0</v>
      </c>
      <c r="Q500" s="84" t="str">
        <f t="shared" si="38"/>
        <v>F20DC</v>
      </c>
      <c r="R500" s="84" t="str">
        <f>VLOOKUP(G500,[1]ListLoaded!$E$6:$P$604,12,0)</f>
        <v>HASGN26060001EX</v>
      </c>
      <c r="S500" s="15" t="e">
        <f>I500&amp;J500&amp;#REF!</f>
        <v>#REF!</v>
      </c>
      <c r="T500" s="84"/>
      <c r="U500" s="84"/>
      <c r="V500" s="84"/>
    </row>
    <row r="501" spans="1:22">
      <c r="A501" s="23">
        <v>491</v>
      </c>
      <c r="B501" s="24" t="s">
        <v>50</v>
      </c>
      <c r="C501" s="173" t="s">
        <v>173</v>
      </c>
      <c r="D501" s="24" t="s">
        <v>83</v>
      </c>
      <c r="E501" s="74" t="s">
        <v>52</v>
      </c>
      <c r="F501" s="24" t="s">
        <v>52</v>
      </c>
      <c r="G501" s="83" t="s">
        <v>1163</v>
      </c>
      <c r="H501" s="83" t="str">
        <f>VLOOKUP(G501,[1]ListLoaded!$E$6:$F$544,2,0)</f>
        <v>230308</v>
      </c>
      <c r="I501" s="72" t="str">
        <f>VLOOKUP(G501,[1]ListLoaded!$E$6:$M$550,9,0)</f>
        <v>F</v>
      </c>
      <c r="J501" s="72" t="s">
        <v>31</v>
      </c>
      <c r="K501" s="140">
        <f>VLOOKUP(G501,[1]ListLoaded!$E$6:$K$539,7,0)</f>
        <v>27</v>
      </c>
      <c r="L501" s="83" t="str">
        <f>VLOOKUP(G501,[1]ListLoaded!$E$6:$S$645,15,0)</f>
        <v>1110088</v>
      </c>
      <c r="M501" s="86" t="str">
        <f>VLOOKUP(G501,[1]ListLoaded!$E$6:$T$674,16,0)</f>
        <v>OP26052515</v>
      </c>
      <c r="N501" s="86">
        <f>VLOOKUP(G501,[1]ListLoaded!$E$6:$N$545,10,0)</f>
        <v>0</v>
      </c>
      <c r="O501" s="141" t="s">
        <v>1231</v>
      </c>
      <c r="P501" s="72">
        <f>VLOOKUP(G501,[1]ListLoaded!$E$6:$O$638,11,0)</f>
        <v>0</v>
      </c>
      <c r="Q501" s="84" t="str">
        <f t="shared" si="38"/>
        <v>F20DC</v>
      </c>
      <c r="R501" s="84" t="str">
        <f>VLOOKUP(G501,[1]ListLoaded!$E$6:$P$604,12,0)</f>
        <v>HASGN26060001EX</v>
      </c>
      <c r="S501" s="15" t="e">
        <f>I501&amp;J501&amp;#REF!</f>
        <v>#REF!</v>
      </c>
      <c r="T501" s="84"/>
      <c r="U501" s="84"/>
      <c r="V501" s="84"/>
    </row>
    <row r="502" spans="1:22">
      <c r="A502" s="23">
        <v>492</v>
      </c>
      <c r="B502" s="24" t="s">
        <v>50</v>
      </c>
      <c r="C502" s="173" t="s">
        <v>173</v>
      </c>
      <c r="D502" s="24" t="s">
        <v>83</v>
      </c>
      <c r="E502" s="74" t="s">
        <v>52</v>
      </c>
      <c r="F502" s="24" t="s">
        <v>52</v>
      </c>
      <c r="G502" s="83" t="s">
        <v>1164</v>
      </c>
      <c r="H502" s="83" t="str">
        <f>VLOOKUP(G502,[1]ListLoaded!$E$6:$F$544,2,0)</f>
        <v>210604</v>
      </c>
      <c r="I502" s="72" t="str">
        <f>VLOOKUP(G502,[1]ListLoaded!$E$6:$M$550,9,0)</f>
        <v>F</v>
      </c>
      <c r="J502" s="72" t="s">
        <v>31</v>
      </c>
      <c r="K502" s="140">
        <f>VLOOKUP(G502,[1]ListLoaded!$E$6:$K$539,7,0)</f>
        <v>27</v>
      </c>
      <c r="L502" s="83" t="str">
        <f>VLOOKUP(G502,[1]ListLoaded!$E$6:$S$645,15,0)</f>
        <v>1110087</v>
      </c>
      <c r="M502" s="86" t="str">
        <f>VLOOKUP(G502,[1]ListLoaded!$E$6:$T$674,16,0)</f>
        <v>OP26052515</v>
      </c>
      <c r="N502" s="86">
        <f>VLOOKUP(G502,[1]ListLoaded!$E$6:$N$545,10,0)</f>
        <v>0</v>
      </c>
      <c r="O502" s="141" t="s">
        <v>1231</v>
      </c>
      <c r="P502" s="72">
        <f>VLOOKUP(G502,[1]ListLoaded!$E$6:$O$638,11,0)</f>
        <v>0</v>
      </c>
      <c r="Q502" s="84" t="str">
        <f t="shared" si="38"/>
        <v>F20DC</v>
      </c>
      <c r="R502" s="84" t="str">
        <f>VLOOKUP(G502,[1]ListLoaded!$E$6:$P$604,12,0)</f>
        <v>HASGN26060001EX</v>
      </c>
      <c r="S502" s="15" t="e">
        <f>I502&amp;J502&amp;#REF!</f>
        <v>#REF!</v>
      </c>
      <c r="T502" s="84"/>
      <c r="U502" s="84"/>
      <c r="V502" s="84"/>
    </row>
    <row r="503" spans="1:22">
      <c r="A503" s="23">
        <v>493</v>
      </c>
      <c r="B503" s="24" t="s">
        <v>50</v>
      </c>
      <c r="C503" s="173" t="s">
        <v>173</v>
      </c>
      <c r="D503" s="24" t="s">
        <v>83</v>
      </c>
      <c r="E503" s="74" t="s">
        <v>52</v>
      </c>
      <c r="F503" s="24" t="s">
        <v>52</v>
      </c>
      <c r="G503" s="83" t="s">
        <v>1165</v>
      </c>
      <c r="H503" s="83" t="str">
        <f>VLOOKUP(G503,[1]ListLoaded!$E$6:$F$544,2,0)</f>
        <v>230306</v>
      </c>
      <c r="I503" s="72" t="str">
        <f>VLOOKUP(G503,[1]ListLoaded!$E$6:$M$550,9,0)</f>
        <v>F</v>
      </c>
      <c r="J503" s="72" t="s">
        <v>31</v>
      </c>
      <c r="K503" s="140">
        <f>VLOOKUP(G503,[1]ListLoaded!$E$6:$K$539,7,0)</f>
        <v>27</v>
      </c>
      <c r="L503" s="83" t="str">
        <f>VLOOKUP(G503,[1]ListLoaded!$E$6:$S$645,15,0)</f>
        <v>1110061</v>
      </c>
      <c r="M503" s="86" t="str">
        <f>VLOOKUP(G503,[1]ListLoaded!$E$6:$T$674,16,0)</f>
        <v>OP26052515</v>
      </c>
      <c r="N503" s="86">
        <f>VLOOKUP(G503,[1]ListLoaded!$E$6:$N$545,10,0)</f>
        <v>0</v>
      </c>
      <c r="O503" s="141" t="s">
        <v>1231</v>
      </c>
      <c r="P503" s="72">
        <f>VLOOKUP(G503,[1]ListLoaded!$E$6:$O$638,11,0)</f>
        <v>0</v>
      </c>
      <c r="Q503" s="84" t="str">
        <f t="shared" si="38"/>
        <v>F20DC</v>
      </c>
      <c r="R503" s="84" t="str">
        <f>VLOOKUP(G503,[1]ListLoaded!$E$6:$P$604,12,0)</f>
        <v>HASGN26060001EX</v>
      </c>
      <c r="S503" s="15" t="e">
        <f>I503&amp;J503&amp;#REF!</f>
        <v>#REF!</v>
      </c>
      <c r="T503" s="84"/>
      <c r="U503" s="84"/>
      <c r="V503" s="84"/>
    </row>
    <row r="504" spans="1:22">
      <c r="A504" s="23">
        <v>494</v>
      </c>
      <c r="B504" s="24" t="s">
        <v>50</v>
      </c>
      <c r="C504" s="173" t="s">
        <v>173</v>
      </c>
      <c r="D504" s="24" t="s">
        <v>83</v>
      </c>
      <c r="E504" s="74" t="s">
        <v>52</v>
      </c>
      <c r="F504" s="24" t="s">
        <v>52</v>
      </c>
      <c r="G504" s="83" t="s">
        <v>1166</v>
      </c>
      <c r="H504" s="83" t="str">
        <f>VLOOKUP(G504,[1]ListLoaded!$E$6:$F$544,2,0)</f>
        <v>210302</v>
      </c>
      <c r="I504" s="72" t="str">
        <f>VLOOKUP(G504,[1]ListLoaded!$E$6:$M$550,9,0)</f>
        <v>F</v>
      </c>
      <c r="J504" s="72" t="s">
        <v>31</v>
      </c>
      <c r="K504" s="140">
        <f>VLOOKUP(G504,[1]ListLoaded!$E$6:$K$539,7,0)</f>
        <v>27</v>
      </c>
      <c r="L504" s="83" t="str">
        <f>VLOOKUP(G504,[1]ListLoaded!$E$6:$S$645,15,0)</f>
        <v>1110062</v>
      </c>
      <c r="M504" s="86" t="str">
        <f>VLOOKUP(G504,[1]ListLoaded!$E$6:$T$674,16,0)</f>
        <v>OP26052515</v>
      </c>
      <c r="N504" s="86">
        <f>VLOOKUP(G504,[1]ListLoaded!$E$6:$N$545,10,0)</f>
        <v>0</v>
      </c>
      <c r="O504" s="141" t="s">
        <v>1231</v>
      </c>
      <c r="P504" s="72">
        <f>VLOOKUP(G504,[1]ListLoaded!$E$6:$O$638,11,0)</f>
        <v>0</v>
      </c>
      <c r="Q504" s="84" t="str">
        <f t="shared" si="38"/>
        <v>F20DC</v>
      </c>
      <c r="R504" s="84" t="str">
        <f>VLOOKUP(G504,[1]ListLoaded!$E$6:$P$604,12,0)</f>
        <v>HASGN26060001EX</v>
      </c>
      <c r="S504" s="15" t="e">
        <f>I504&amp;J504&amp;#REF!</f>
        <v>#REF!</v>
      </c>
      <c r="T504" s="84"/>
      <c r="U504" s="84"/>
      <c r="V504" s="84"/>
    </row>
    <row r="505" spans="1:22">
      <c r="A505" s="23">
        <v>495</v>
      </c>
      <c r="B505" s="24" t="s">
        <v>50</v>
      </c>
      <c r="C505" s="173" t="s">
        <v>173</v>
      </c>
      <c r="D505" s="24" t="s">
        <v>83</v>
      </c>
      <c r="E505" s="74" t="s">
        <v>52</v>
      </c>
      <c r="F505" s="24" t="s">
        <v>52</v>
      </c>
      <c r="G505" s="83" t="s">
        <v>1167</v>
      </c>
      <c r="H505" s="83" t="str">
        <f>VLOOKUP(G505,[1]ListLoaded!$E$6:$F$544,2,0)</f>
        <v>230302</v>
      </c>
      <c r="I505" s="72" t="str">
        <f>VLOOKUP(G505,[1]ListLoaded!$E$6:$M$550,9,0)</f>
        <v>F</v>
      </c>
      <c r="J505" s="72" t="s">
        <v>31</v>
      </c>
      <c r="K505" s="140">
        <f>VLOOKUP(G505,[1]ListLoaded!$E$6:$K$539,7,0)</f>
        <v>27</v>
      </c>
      <c r="L505" s="83" t="str">
        <f>VLOOKUP(G505,[1]ListLoaded!$E$6:$S$645,15,0)</f>
        <v>1110066</v>
      </c>
      <c r="M505" s="86" t="str">
        <f>VLOOKUP(G505,[1]ListLoaded!$E$6:$T$674,16,0)</f>
        <v>OP26052515</v>
      </c>
      <c r="N505" s="86">
        <f>VLOOKUP(G505,[1]ListLoaded!$E$6:$N$545,10,0)</f>
        <v>0</v>
      </c>
      <c r="O505" s="141" t="s">
        <v>1231</v>
      </c>
      <c r="P505" s="72">
        <f>VLOOKUP(G505,[1]ListLoaded!$E$6:$O$638,11,0)</f>
        <v>0</v>
      </c>
      <c r="Q505" s="84" t="str">
        <f t="shared" si="38"/>
        <v>F20DC</v>
      </c>
      <c r="R505" s="84" t="str">
        <f>VLOOKUP(G505,[1]ListLoaded!$E$6:$P$604,12,0)</f>
        <v>HASGN26060001EX</v>
      </c>
      <c r="S505" s="15" t="e">
        <f>I505&amp;J505&amp;#REF!</f>
        <v>#REF!</v>
      </c>
      <c r="T505" s="84"/>
      <c r="U505" s="84"/>
      <c r="V505" s="84"/>
    </row>
    <row r="506" spans="1:22">
      <c r="A506" s="23">
        <v>496</v>
      </c>
      <c r="B506" s="24" t="s">
        <v>50</v>
      </c>
      <c r="C506" s="173" t="s">
        <v>173</v>
      </c>
      <c r="D506" s="24" t="s">
        <v>83</v>
      </c>
      <c r="E506" s="74" t="s">
        <v>52</v>
      </c>
      <c r="F506" s="24" t="s">
        <v>52</v>
      </c>
      <c r="G506" s="83" t="s">
        <v>1168</v>
      </c>
      <c r="H506" s="83" t="str">
        <f>VLOOKUP(G506,[1]ListLoaded!$E$6:$F$544,2,0)</f>
        <v>230506</v>
      </c>
      <c r="I506" s="72" t="str">
        <f>VLOOKUP(G506,[1]ListLoaded!$E$6:$M$550,9,0)</f>
        <v>F</v>
      </c>
      <c r="J506" s="72" t="s">
        <v>31</v>
      </c>
      <c r="K506" s="140">
        <f>VLOOKUP(G506,[1]ListLoaded!$E$6:$K$539,7,0)</f>
        <v>27</v>
      </c>
      <c r="L506" s="83" t="str">
        <f>VLOOKUP(G506,[1]ListLoaded!$E$6:$S$645,15,0)</f>
        <v>1110069</v>
      </c>
      <c r="M506" s="86" t="str">
        <f>VLOOKUP(G506,[1]ListLoaded!$E$6:$T$674,16,0)</f>
        <v>OP26052515</v>
      </c>
      <c r="N506" s="86">
        <f>VLOOKUP(G506,[1]ListLoaded!$E$6:$N$545,10,0)</f>
        <v>0</v>
      </c>
      <c r="O506" s="141" t="s">
        <v>1231</v>
      </c>
      <c r="P506" s="72">
        <f>VLOOKUP(G506,[1]ListLoaded!$E$6:$O$638,11,0)</f>
        <v>0</v>
      </c>
      <c r="Q506" s="84" t="str">
        <f t="shared" si="38"/>
        <v>F20DC</v>
      </c>
      <c r="R506" s="84" t="str">
        <f>VLOOKUP(G506,[1]ListLoaded!$E$6:$P$604,12,0)</f>
        <v>HASGN26060001EX</v>
      </c>
      <c r="S506" s="15" t="e">
        <f>I506&amp;J506&amp;#REF!</f>
        <v>#REF!</v>
      </c>
      <c r="T506" s="84"/>
      <c r="U506" s="84"/>
      <c r="V506" s="84"/>
    </row>
    <row r="507" spans="1:22">
      <c r="A507" s="23">
        <v>497</v>
      </c>
      <c r="B507" s="24" t="s">
        <v>50</v>
      </c>
      <c r="C507" s="173" t="s">
        <v>173</v>
      </c>
      <c r="D507" s="24" t="s">
        <v>83</v>
      </c>
      <c r="E507" s="74" t="s">
        <v>52</v>
      </c>
      <c r="F507" s="24" t="s">
        <v>52</v>
      </c>
      <c r="G507" s="83" t="s">
        <v>1169</v>
      </c>
      <c r="H507" s="83" t="str">
        <f>VLOOKUP(G507,[1]ListLoaded!$E$6:$F$544,2,0)</f>
        <v>230502</v>
      </c>
      <c r="I507" s="72" t="str">
        <f>VLOOKUP(G507,[1]ListLoaded!$E$6:$M$550,9,0)</f>
        <v>F</v>
      </c>
      <c r="J507" s="72" t="s">
        <v>31</v>
      </c>
      <c r="K507" s="140">
        <f>VLOOKUP(G507,[1]ListLoaded!$E$6:$K$539,7,0)</f>
        <v>27</v>
      </c>
      <c r="L507" s="83" t="str">
        <f>VLOOKUP(G507,[1]ListLoaded!$E$6:$S$645,15,0)</f>
        <v>1110070</v>
      </c>
      <c r="M507" s="86" t="str">
        <f>VLOOKUP(G507,[1]ListLoaded!$E$6:$T$674,16,0)</f>
        <v>OP26052515</v>
      </c>
      <c r="N507" s="86">
        <f>VLOOKUP(G507,[1]ListLoaded!$E$6:$N$545,10,0)</f>
        <v>0</v>
      </c>
      <c r="O507" s="141" t="s">
        <v>1231</v>
      </c>
      <c r="P507" s="72">
        <f>VLOOKUP(G507,[1]ListLoaded!$E$6:$O$638,11,0)</f>
        <v>0</v>
      </c>
      <c r="Q507" s="84" t="str">
        <f t="shared" si="38"/>
        <v>F20DC</v>
      </c>
      <c r="R507" s="84" t="str">
        <f>VLOOKUP(G507,[1]ListLoaded!$E$6:$P$604,12,0)</f>
        <v>HASGN26060001EX</v>
      </c>
      <c r="S507" s="15" t="e">
        <f>I507&amp;J507&amp;#REF!</f>
        <v>#REF!</v>
      </c>
      <c r="T507" s="84"/>
      <c r="U507" s="84"/>
      <c r="V507" s="84"/>
    </row>
    <row r="508" spans="1:22">
      <c r="A508" s="23">
        <v>498</v>
      </c>
      <c r="B508" s="24" t="s">
        <v>50</v>
      </c>
      <c r="C508" s="173" t="s">
        <v>173</v>
      </c>
      <c r="D508" s="24" t="s">
        <v>83</v>
      </c>
      <c r="E508" s="74" t="s">
        <v>52</v>
      </c>
      <c r="F508" s="24" t="s">
        <v>52</v>
      </c>
      <c r="G508" s="83" t="s">
        <v>1170</v>
      </c>
      <c r="H508" s="83" t="str">
        <f>VLOOKUP(G508,[1]ListLoaded!$E$6:$F$544,2,0)</f>
        <v>230806</v>
      </c>
      <c r="I508" s="72" t="str">
        <f>VLOOKUP(G508,[1]ListLoaded!$E$6:$M$550,9,0)</f>
        <v>F</v>
      </c>
      <c r="J508" s="72" t="s">
        <v>31</v>
      </c>
      <c r="K508" s="140">
        <f>VLOOKUP(G508,[1]ListLoaded!$E$6:$K$539,7,0)</f>
        <v>27</v>
      </c>
      <c r="L508" s="83" t="str">
        <f>VLOOKUP(G508,[1]ListLoaded!$E$6:$S$645,15,0)</f>
        <v>1110067</v>
      </c>
      <c r="M508" s="86" t="str">
        <f>VLOOKUP(G508,[1]ListLoaded!$E$6:$T$674,16,0)</f>
        <v>OP26052515</v>
      </c>
      <c r="N508" s="86">
        <f>VLOOKUP(G508,[1]ListLoaded!$E$6:$N$545,10,0)</f>
        <v>0</v>
      </c>
      <c r="O508" s="141" t="s">
        <v>1231</v>
      </c>
      <c r="P508" s="72">
        <f>VLOOKUP(G508,[1]ListLoaded!$E$6:$O$638,11,0)</f>
        <v>0</v>
      </c>
      <c r="Q508" s="84" t="str">
        <f t="shared" si="38"/>
        <v>F20DC</v>
      </c>
      <c r="R508" s="84" t="str">
        <f>VLOOKUP(G508,[1]ListLoaded!$E$6:$P$604,12,0)</f>
        <v>HASGN26060001EX</v>
      </c>
      <c r="S508" s="15" t="e">
        <f>I508&amp;J508&amp;#REF!</f>
        <v>#REF!</v>
      </c>
      <c r="T508" s="84"/>
      <c r="U508" s="84"/>
      <c r="V508" s="84"/>
    </row>
    <row r="509" spans="1:22">
      <c r="A509" s="23">
        <v>499</v>
      </c>
      <c r="B509" s="24" t="s">
        <v>50</v>
      </c>
      <c r="C509" s="173" t="s">
        <v>173</v>
      </c>
      <c r="D509" s="24" t="s">
        <v>83</v>
      </c>
      <c r="E509" s="74" t="s">
        <v>52</v>
      </c>
      <c r="F509" s="24" t="s">
        <v>52</v>
      </c>
      <c r="G509" s="83" t="s">
        <v>1171</v>
      </c>
      <c r="H509" s="83" t="str">
        <f>VLOOKUP(G509,[1]ListLoaded!$E$6:$F$544,2,0)</f>
        <v>210502</v>
      </c>
      <c r="I509" s="72" t="str">
        <f>VLOOKUP(G509,[1]ListLoaded!$E$6:$M$550,9,0)</f>
        <v>F</v>
      </c>
      <c r="J509" s="72" t="s">
        <v>31</v>
      </c>
      <c r="K509" s="140">
        <f>VLOOKUP(G509,[1]ListLoaded!$E$6:$K$539,7,0)</f>
        <v>27</v>
      </c>
      <c r="L509" s="83" t="str">
        <f>VLOOKUP(G509,[1]ListLoaded!$E$6:$S$645,15,0)</f>
        <v>1110083</v>
      </c>
      <c r="M509" s="86" t="str">
        <f>VLOOKUP(G509,[1]ListLoaded!$E$6:$T$674,16,0)</f>
        <v>OP26052515</v>
      </c>
      <c r="N509" s="86">
        <f>VLOOKUP(G509,[1]ListLoaded!$E$6:$N$545,10,0)</f>
        <v>0</v>
      </c>
      <c r="O509" s="141" t="s">
        <v>1231</v>
      </c>
      <c r="P509" s="72">
        <f>VLOOKUP(G509,[1]ListLoaded!$E$6:$O$638,11,0)</f>
        <v>0</v>
      </c>
      <c r="Q509" s="84" t="str">
        <f t="shared" si="38"/>
        <v>F20DC</v>
      </c>
      <c r="R509" s="84" t="str">
        <f>VLOOKUP(G509,[1]ListLoaded!$E$6:$P$604,12,0)</f>
        <v>HASGN26060001EX</v>
      </c>
      <c r="S509" s="15" t="e">
        <f>I509&amp;J509&amp;#REF!</f>
        <v>#REF!</v>
      </c>
      <c r="T509" s="84"/>
      <c r="U509" s="84"/>
      <c r="V509" s="84"/>
    </row>
    <row r="510" spans="1:22">
      <c r="A510" s="23">
        <v>500</v>
      </c>
      <c r="B510" s="24" t="s">
        <v>50</v>
      </c>
      <c r="C510" s="173" t="s">
        <v>173</v>
      </c>
      <c r="D510" s="24" t="s">
        <v>83</v>
      </c>
      <c r="E510" s="74" t="s">
        <v>52</v>
      </c>
      <c r="F510" s="24" t="s">
        <v>52</v>
      </c>
      <c r="G510" s="83" t="s">
        <v>1172</v>
      </c>
      <c r="H510" s="83" t="str">
        <f>VLOOKUP(G510,[1]ListLoaded!$E$6:$F$544,2,0)</f>
        <v>230708</v>
      </c>
      <c r="I510" s="72" t="str">
        <f>VLOOKUP(G510,[1]ListLoaded!$E$6:$M$550,9,0)</f>
        <v>F</v>
      </c>
      <c r="J510" s="72" t="s">
        <v>31</v>
      </c>
      <c r="K510" s="140">
        <f>VLOOKUP(G510,[1]ListLoaded!$E$6:$K$539,7,0)</f>
        <v>27</v>
      </c>
      <c r="L510" s="83" t="str">
        <f>VLOOKUP(G510,[1]ListLoaded!$E$6:$S$645,15,0)</f>
        <v>1110094</v>
      </c>
      <c r="M510" s="86" t="str">
        <f>VLOOKUP(G510,[1]ListLoaded!$E$6:$T$674,16,0)</f>
        <v>OP26052515</v>
      </c>
      <c r="N510" s="86">
        <f>VLOOKUP(G510,[1]ListLoaded!$E$6:$N$545,10,0)</f>
        <v>0</v>
      </c>
      <c r="O510" s="141" t="s">
        <v>1231</v>
      </c>
      <c r="P510" s="72">
        <f>VLOOKUP(G510,[1]ListLoaded!$E$6:$O$638,11,0)</f>
        <v>0</v>
      </c>
      <c r="Q510" s="84" t="str">
        <f t="shared" si="38"/>
        <v>F20DC</v>
      </c>
      <c r="R510" s="84" t="str">
        <f>VLOOKUP(G510,[1]ListLoaded!$E$6:$P$604,12,0)</f>
        <v>HASGN26060001EX</v>
      </c>
      <c r="S510" s="15" t="e">
        <f>I510&amp;J510&amp;#REF!</f>
        <v>#REF!</v>
      </c>
      <c r="T510" s="84"/>
      <c r="U510" s="84"/>
      <c r="V510" s="84"/>
    </row>
    <row r="511" spans="1:22">
      <c r="A511" s="23">
        <v>501</v>
      </c>
      <c r="B511" s="24" t="s">
        <v>50</v>
      </c>
      <c r="C511" s="173" t="s">
        <v>173</v>
      </c>
      <c r="D511" s="24" t="s">
        <v>83</v>
      </c>
      <c r="E511" s="74" t="s">
        <v>52</v>
      </c>
      <c r="F511" s="24" t="s">
        <v>52</v>
      </c>
      <c r="G511" s="83" t="s">
        <v>1173</v>
      </c>
      <c r="H511" s="83" t="str">
        <f>VLOOKUP(G511,[1]ListLoaded!$E$6:$F$544,2,0)</f>
        <v>210304</v>
      </c>
      <c r="I511" s="72" t="str">
        <f>VLOOKUP(G511,[1]ListLoaded!$E$6:$M$550,9,0)</f>
        <v>F</v>
      </c>
      <c r="J511" s="72" t="s">
        <v>31</v>
      </c>
      <c r="K511" s="140">
        <f>VLOOKUP(G511,[1]ListLoaded!$E$6:$K$539,7,0)</f>
        <v>27</v>
      </c>
      <c r="L511" s="83" t="str">
        <f>VLOOKUP(G511,[1]ListLoaded!$E$6:$S$645,15,0)</f>
        <v>1110082</v>
      </c>
      <c r="M511" s="86" t="str">
        <f>VLOOKUP(G511,[1]ListLoaded!$E$6:$T$674,16,0)</f>
        <v>OP26052515</v>
      </c>
      <c r="N511" s="86">
        <f>VLOOKUP(G511,[1]ListLoaded!$E$6:$N$545,10,0)</f>
        <v>0</v>
      </c>
      <c r="O511" s="141" t="s">
        <v>1231</v>
      </c>
      <c r="P511" s="72">
        <f>VLOOKUP(G511,[1]ListLoaded!$E$6:$O$638,11,0)</f>
        <v>0</v>
      </c>
      <c r="Q511" s="84" t="str">
        <f t="shared" si="38"/>
        <v>F20DC</v>
      </c>
      <c r="R511" s="84" t="str">
        <f>VLOOKUP(G511,[1]ListLoaded!$E$6:$P$604,12,0)</f>
        <v>HASGN26060001EX</v>
      </c>
      <c r="S511" s="15" t="e">
        <f>I511&amp;J511&amp;#REF!</f>
        <v>#REF!</v>
      </c>
      <c r="T511" s="84"/>
      <c r="U511" s="84"/>
      <c r="V511" s="84"/>
    </row>
    <row r="512" spans="1:22">
      <c r="A512" s="23">
        <v>502</v>
      </c>
      <c r="B512" s="24" t="s">
        <v>50</v>
      </c>
      <c r="C512" s="173" t="s">
        <v>173</v>
      </c>
      <c r="D512" s="24" t="s">
        <v>83</v>
      </c>
      <c r="E512" s="74" t="s">
        <v>52</v>
      </c>
      <c r="F512" s="24" t="s">
        <v>52</v>
      </c>
      <c r="G512" s="83" t="s">
        <v>1174</v>
      </c>
      <c r="H512" s="83" t="str">
        <f>VLOOKUP(G512,[1]ListLoaded!$E$6:$F$544,2,0)</f>
        <v>230706</v>
      </c>
      <c r="I512" s="72" t="str">
        <f>VLOOKUP(G512,[1]ListLoaded!$E$6:$M$550,9,0)</f>
        <v>F</v>
      </c>
      <c r="J512" s="72" t="s">
        <v>31</v>
      </c>
      <c r="K512" s="140">
        <f>VLOOKUP(G512,[1]ListLoaded!$E$6:$K$539,7,0)</f>
        <v>27</v>
      </c>
      <c r="L512" s="83" t="str">
        <f>VLOOKUP(G512,[1]ListLoaded!$E$6:$S$645,15,0)</f>
        <v>1110065</v>
      </c>
      <c r="M512" s="86" t="str">
        <f>VLOOKUP(G512,[1]ListLoaded!$E$6:$T$674,16,0)</f>
        <v>OP26052515</v>
      </c>
      <c r="N512" s="86">
        <f>VLOOKUP(G512,[1]ListLoaded!$E$6:$N$545,10,0)</f>
        <v>0</v>
      </c>
      <c r="O512" s="141" t="s">
        <v>1231</v>
      </c>
      <c r="P512" s="72">
        <f>VLOOKUP(G512,[1]ListLoaded!$E$6:$O$638,11,0)</f>
        <v>0</v>
      </c>
      <c r="Q512" s="84" t="str">
        <f t="shared" si="38"/>
        <v>F20DC</v>
      </c>
      <c r="R512" s="84" t="str">
        <f>VLOOKUP(G512,[1]ListLoaded!$E$6:$P$604,12,0)</f>
        <v>HASGN26060001EX</v>
      </c>
      <c r="S512" s="15" t="e">
        <f>I512&amp;J512&amp;#REF!</f>
        <v>#REF!</v>
      </c>
      <c r="T512" s="84"/>
      <c r="U512" s="84"/>
      <c r="V512" s="84"/>
    </row>
    <row r="513" spans="1:22">
      <c r="A513" s="23">
        <v>503</v>
      </c>
      <c r="B513" s="24" t="s">
        <v>50</v>
      </c>
      <c r="C513" s="173" t="s">
        <v>173</v>
      </c>
      <c r="D513" s="24" t="s">
        <v>83</v>
      </c>
      <c r="E513" s="74" t="s">
        <v>52</v>
      </c>
      <c r="F513" s="24" t="s">
        <v>52</v>
      </c>
      <c r="G513" s="83" t="s">
        <v>1175</v>
      </c>
      <c r="H513" s="83" t="str">
        <f>VLOOKUP(G513,[1]ListLoaded!$E$6:$F$544,2,0)</f>
        <v>210504</v>
      </c>
      <c r="I513" s="72" t="str">
        <f>VLOOKUP(G513,[1]ListLoaded!$E$6:$M$550,9,0)</f>
        <v>F</v>
      </c>
      <c r="J513" s="72" t="s">
        <v>31</v>
      </c>
      <c r="K513" s="140">
        <f>VLOOKUP(G513,[1]ListLoaded!$E$6:$K$539,7,0)</f>
        <v>27</v>
      </c>
      <c r="L513" s="83" t="str">
        <f>VLOOKUP(G513,[1]ListLoaded!$E$6:$S$645,15,0)</f>
        <v>1110089</v>
      </c>
      <c r="M513" s="86" t="str">
        <f>VLOOKUP(G513,[1]ListLoaded!$E$6:$T$674,16,0)</f>
        <v>OP26052515</v>
      </c>
      <c r="N513" s="86">
        <f>VLOOKUP(G513,[1]ListLoaded!$E$6:$N$545,10,0)</f>
        <v>0</v>
      </c>
      <c r="O513" s="141" t="s">
        <v>1231</v>
      </c>
      <c r="P513" s="72">
        <f>VLOOKUP(G513,[1]ListLoaded!$E$6:$O$638,11,0)</f>
        <v>0</v>
      </c>
      <c r="Q513" s="84" t="str">
        <f t="shared" si="38"/>
        <v>F20DC</v>
      </c>
      <c r="R513" s="84" t="str">
        <f>VLOOKUP(G513,[1]ListLoaded!$E$6:$P$604,12,0)</f>
        <v>HASGN26060001EX</v>
      </c>
      <c r="S513" s="15" t="e">
        <f>I513&amp;J513&amp;#REF!</f>
        <v>#REF!</v>
      </c>
      <c r="T513" s="84"/>
      <c r="U513" s="84"/>
      <c r="V513" s="84"/>
    </row>
    <row r="514" spans="1:22">
      <c r="A514" s="23">
        <v>504</v>
      </c>
      <c r="B514" s="24" t="s">
        <v>50</v>
      </c>
      <c r="C514" s="173" t="s">
        <v>173</v>
      </c>
      <c r="D514" s="24" t="s">
        <v>83</v>
      </c>
      <c r="E514" s="74" t="s">
        <v>52</v>
      </c>
      <c r="F514" s="24" t="s">
        <v>52</v>
      </c>
      <c r="G514" s="83" t="s">
        <v>1176</v>
      </c>
      <c r="H514" s="83" t="str">
        <f>VLOOKUP(G514,[1]ListLoaded!$E$6:$F$544,2,0)</f>
        <v>210506</v>
      </c>
      <c r="I514" s="72" t="str">
        <f>VLOOKUP(G514,[1]ListLoaded!$E$6:$M$550,9,0)</f>
        <v>F</v>
      </c>
      <c r="J514" s="72" t="s">
        <v>31</v>
      </c>
      <c r="K514" s="140">
        <f>VLOOKUP(G514,[1]ListLoaded!$E$6:$K$539,7,0)</f>
        <v>27</v>
      </c>
      <c r="L514" s="83" t="str">
        <f>VLOOKUP(G514,[1]ListLoaded!$E$6:$S$645,15,0)</f>
        <v>1110091</v>
      </c>
      <c r="M514" s="86" t="str">
        <f>VLOOKUP(G514,[1]ListLoaded!$E$6:$T$674,16,0)</f>
        <v>OP26052515</v>
      </c>
      <c r="N514" s="86">
        <f>VLOOKUP(G514,[1]ListLoaded!$E$6:$N$545,10,0)</f>
        <v>0</v>
      </c>
      <c r="O514" s="141" t="s">
        <v>1231</v>
      </c>
      <c r="P514" s="72">
        <f>VLOOKUP(G514,[1]ListLoaded!$E$6:$O$638,11,0)</f>
        <v>0</v>
      </c>
      <c r="Q514" s="84" t="str">
        <f t="shared" si="38"/>
        <v>F20DC</v>
      </c>
      <c r="R514" s="84" t="str">
        <f>VLOOKUP(G514,[1]ListLoaded!$E$6:$P$604,12,0)</f>
        <v>HASGN26060001EX</v>
      </c>
      <c r="S514" s="15" t="e">
        <f>I514&amp;J514&amp;#REF!</f>
        <v>#REF!</v>
      </c>
      <c r="T514" s="84"/>
      <c r="U514" s="84"/>
      <c r="V514" s="84"/>
    </row>
    <row r="515" spans="1:22">
      <c r="A515" s="23">
        <v>505</v>
      </c>
      <c r="B515" s="24" t="s">
        <v>50</v>
      </c>
      <c r="C515" s="173" t="s">
        <v>173</v>
      </c>
      <c r="D515" s="24" t="s">
        <v>83</v>
      </c>
      <c r="E515" s="74" t="s">
        <v>52</v>
      </c>
      <c r="F515" s="24" t="s">
        <v>52</v>
      </c>
      <c r="G515" s="83" t="s">
        <v>1177</v>
      </c>
      <c r="H515" s="83" t="str">
        <f>VLOOKUP(G515,[1]ListLoaded!$E$6:$F$544,2,0)</f>
        <v>230304</v>
      </c>
      <c r="I515" s="72" t="str">
        <f>VLOOKUP(G515,[1]ListLoaded!$E$6:$M$550,9,0)</f>
        <v>F</v>
      </c>
      <c r="J515" s="72" t="s">
        <v>31</v>
      </c>
      <c r="K515" s="140">
        <f>VLOOKUP(G515,[1]ListLoaded!$E$6:$K$539,7,0)</f>
        <v>27</v>
      </c>
      <c r="L515" s="83" t="str">
        <f>VLOOKUP(G515,[1]ListLoaded!$E$6:$S$645,15,0)</f>
        <v>1110090</v>
      </c>
      <c r="M515" s="86" t="str">
        <f>VLOOKUP(G515,[1]ListLoaded!$E$6:$T$674,16,0)</f>
        <v>OP26052515</v>
      </c>
      <c r="N515" s="86">
        <f>VLOOKUP(G515,[1]ListLoaded!$E$6:$N$545,10,0)</f>
        <v>0</v>
      </c>
      <c r="O515" s="141" t="s">
        <v>1231</v>
      </c>
      <c r="P515" s="72">
        <f>VLOOKUP(G515,[1]ListLoaded!$E$6:$O$638,11,0)</f>
        <v>0</v>
      </c>
      <c r="Q515" s="84" t="str">
        <f t="shared" si="38"/>
        <v>F20DC</v>
      </c>
      <c r="R515" s="84" t="str">
        <f>VLOOKUP(G515,[1]ListLoaded!$E$6:$P$604,12,0)</f>
        <v>HASGN26060001EX</v>
      </c>
      <c r="S515" s="15" t="e">
        <f>I515&amp;J515&amp;#REF!</f>
        <v>#REF!</v>
      </c>
      <c r="T515" s="84"/>
      <c r="U515" s="84"/>
      <c r="V515" s="84"/>
    </row>
    <row r="516" spans="1:22">
      <c r="A516" s="23">
        <v>506</v>
      </c>
      <c r="B516" s="24" t="s">
        <v>50</v>
      </c>
      <c r="C516" s="173" t="s">
        <v>173</v>
      </c>
      <c r="D516" s="24" t="s">
        <v>83</v>
      </c>
      <c r="E516" s="74" t="s">
        <v>52</v>
      </c>
      <c r="F516" s="24" t="s">
        <v>52</v>
      </c>
      <c r="G516" s="83" t="s">
        <v>1178</v>
      </c>
      <c r="H516" s="83" t="str">
        <f>VLOOKUP(G516,[1]ListLoaded!$E$6:$F$544,2,0)</f>
        <v>230606</v>
      </c>
      <c r="I516" s="72" t="str">
        <f>VLOOKUP(G516,[1]ListLoaded!$E$6:$M$550,9,0)</f>
        <v>F</v>
      </c>
      <c r="J516" s="72" t="s">
        <v>31</v>
      </c>
      <c r="K516" s="140">
        <f>VLOOKUP(G516,[1]ListLoaded!$E$6:$K$539,7,0)</f>
        <v>27</v>
      </c>
      <c r="L516" s="83" t="str">
        <f>VLOOKUP(G516,[1]ListLoaded!$E$6:$S$645,15,0)</f>
        <v>1110081</v>
      </c>
      <c r="M516" s="86" t="str">
        <f>VLOOKUP(G516,[1]ListLoaded!$E$6:$T$674,16,0)</f>
        <v>OP26052515</v>
      </c>
      <c r="N516" s="86">
        <f>VLOOKUP(G516,[1]ListLoaded!$E$6:$N$545,10,0)</f>
        <v>0</v>
      </c>
      <c r="O516" s="141" t="s">
        <v>1231</v>
      </c>
      <c r="P516" s="72">
        <f>VLOOKUP(G516,[1]ListLoaded!$E$6:$O$638,11,0)</f>
        <v>0</v>
      </c>
      <c r="Q516" s="84" t="str">
        <f t="shared" si="38"/>
        <v>F20DC</v>
      </c>
      <c r="R516" s="84" t="str">
        <f>VLOOKUP(G516,[1]ListLoaded!$E$6:$P$604,12,0)</f>
        <v>HASGN26060001EX</v>
      </c>
      <c r="S516" s="15" t="e">
        <f>I516&amp;J516&amp;#REF!</f>
        <v>#REF!</v>
      </c>
      <c r="T516" s="84"/>
      <c r="U516" s="84"/>
      <c r="V516" s="84"/>
    </row>
    <row r="517" spans="1:22">
      <c r="A517" s="23">
        <v>507</v>
      </c>
      <c r="B517" s="24" t="s">
        <v>50</v>
      </c>
      <c r="C517" s="173" t="s">
        <v>173</v>
      </c>
      <c r="D517" s="24" t="s">
        <v>83</v>
      </c>
      <c r="E517" s="74" t="s">
        <v>52</v>
      </c>
      <c r="F517" s="24" t="s">
        <v>52</v>
      </c>
      <c r="G517" s="83" t="s">
        <v>1179</v>
      </c>
      <c r="H517" s="83" t="str">
        <f>VLOOKUP(G517,[1]ListLoaded!$E$6:$F$544,2,0)</f>
        <v>210308</v>
      </c>
      <c r="I517" s="72" t="str">
        <f>VLOOKUP(G517,[1]ListLoaded!$E$6:$M$550,9,0)</f>
        <v>F</v>
      </c>
      <c r="J517" s="72" t="s">
        <v>31</v>
      </c>
      <c r="K517" s="140">
        <f>VLOOKUP(G517,[1]ListLoaded!$E$6:$K$539,7,0)</f>
        <v>27</v>
      </c>
      <c r="L517" s="83" t="str">
        <f>VLOOKUP(G517,[1]ListLoaded!$E$6:$S$645,15,0)</f>
        <v>1110086</v>
      </c>
      <c r="M517" s="86" t="str">
        <f>VLOOKUP(G517,[1]ListLoaded!$E$6:$T$674,16,0)</f>
        <v>OP26052515</v>
      </c>
      <c r="N517" s="86">
        <f>VLOOKUP(G517,[1]ListLoaded!$E$6:$N$545,10,0)</f>
        <v>0</v>
      </c>
      <c r="O517" s="141" t="s">
        <v>1231</v>
      </c>
      <c r="P517" s="72">
        <f>VLOOKUP(G517,[1]ListLoaded!$E$6:$O$638,11,0)</f>
        <v>0</v>
      </c>
      <c r="Q517" s="84" t="str">
        <f t="shared" si="38"/>
        <v>F20DC</v>
      </c>
      <c r="R517" s="84" t="str">
        <f>VLOOKUP(G517,[1]ListLoaded!$E$6:$P$604,12,0)</f>
        <v>HASGN26060001EX</v>
      </c>
      <c r="S517" s="15" t="e">
        <f>I517&amp;J517&amp;#REF!</f>
        <v>#REF!</v>
      </c>
      <c r="T517" s="84"/>
      <c r="U517" s="84"/>
      <c r="V517" s="84"/>
    </row>
    <row r="518" spans="1:22">
      <c r="A518" s="23">
        <v>508</v>
      </c>
      <c r="B518" s="24" t="s">
        <v>50</v>
      </c>
      <c r="C518" s="173" t="s">
        <v>173</v>
      </c>
      <c r="D518" s="24" t="s">
        <v>83</v>
      </c>
      <c r="E518" s="74" t="s">
        <v>52</v>
      </c>
      <c r="F518" s="24" t="s">
        <v>52</v>
      </c>
      <c r="G518" s="83" t="s">
        <v>1180</v>
      </c>
      <c r="H518" s="83" t="str">
        <f>VLOOKUP(G518,[1]ListLoaded!$E$6:$F$544,2,0)</f>
        <v>230704</v>
      </c>
      <c r="I518" s="72" t="str">
        <f>VLOOKUP(G518,[1]ListLoaded!$E$6:$M$550,9,0)</f>
        <v>F</v>
      </c>
      <c r="J518" s="72" t="s">
        <v>31</v>
      </c>
      <c r="K518" s="140">
        <f>VLOOKUP(G518,[1]ListLoaded!$E$6:$K$539,7,0)</f>
        <v>27</v>
      </c>
      <c r="L518" s="83" t="str">
        <f>VLOOKUP(G518,[1]ListLoaded!$E$6:$S$645,15,0)</f>
        <v>1110085</v>
      </c>
      <c r="M518" s="86" t="str">
        <f>VLOOKUP(G518,[1]ListLoaded!$E$6:$T$674,16,0)</f>
        <v>OP26052515</v>
      </c>
      <c r="N518" s="86">
        <f>VLOOKUP(G518,[1]ListLoaded!$E$6:$N$545,10,0)</f>
        <v>0</v>
      </c>
      <c r="O518" s="141" t="s">
        <v>1231</v>
      </c>
      <c r="P518" s="72">
        <f>VLOOKUP(G518,[1]ListLoaded!$E$6:$O$638,11,0)</f>
        <v>0</v>
      </c>
      <c r="Q518" s="84" t="str">
        <f t="shared" si="38"/>
        <v>F20DC</v>
      </c>
      <c r="R518" s="84" t="str">
        <f>VLOOKUP(G518,[1]ListLoaded!$E$6:$P$604,12,0)</f>
        <v>HASGN26060001EX</v>
      </c>
      <c r="S518" s="15" t="e">
        <f>I518&amp;J518&amp;#REF!</f>
        <v>#REF!</v>
      </c>
      <c r="T518" s="84"/>
      <c r="U518" s="84"/>
      <c r="V518" s="84"/>
    </row>
    <row r="519" spans="1:22">
      <c r="A519" s="23">
        <v>509</v>
      </c>
      <c r="B519" s="24" t="s">
        <v>50</v>
      </c>
      <c r="C519" s="173" t="s">
        <v>173</v>
      </c>
      <c r="D519" s="24" t="s">
        <v>83</v>
      </c>
      <c r="E519" s="74" t="s">
        <v>52</v>
      </c>
      <c r="F519" s="24" t="s">
        <v>52</v>
      </c>
      <c r="G519" s="83" t="s">
        <v>1181</v>
      </c>
      <c r="H519" s="83" t="str">
        <f>VLOOKUP(G519,[1]ListLoaded!$E$6:$F$544,2,0)</f>
        <v>210804</v>
      </c>
      <c r="I519" s="72" t="str">
        <f>VLOOKUP(G519,[1]ListLoaded!$E$6:$M$550,9,0)</f>
        <v>F</v>
      </c>
      <c r="J519" s="72" t="s">
        <v>31</v>
      </c>
      <c r="K519" s="140">
        <f>VLOOKUP(G519,[1]ListLoaded!$E$6:$K$539,7,0)</f>
        <v>27</v>
      </c>
      <c r="L519" s="83" t="str">
        <f>VLOOKUP(G519,[1]ListLoaded!$E$6:$S$645,15,0)</f>
        <v>1110097</v>
      </c>
      <c r="M519" s="86" t="str">
        <f>VLOOKUP(G519,[1]ListLoaded!$E$6:$T$674,16,0)</f>
        <v>OP26052515</v>
      </c>
      <c r="N519" s="86">
        <f>VLOOKUP(G519,[1]ListLoaded!$E$6:$N$545,10,0)</f>
        <v>0</v>
      </c>
      <c r="O519" s="141" t="s">
        <v>1231</v>
      </c>
      <c r="P519" s="72">
        <f>VLOOKUP(G519,[1]ListLoaded!$E$6:$O$638,11,0)</f>
        <v>0</v>
      </c>
      <c r="Q519" s="84" t="str">
        <f t="shared" si="38"/>
        <v>F20DC</v>
      </c>
      <c r="R519" s="84" t="str">
        <f>VLOOKUP(G519,[1]ListLoaded!$E$6:$P$604,12,0)</f>
        <v>HASGN26060001EX</v>
      </c>
      <c r="S519" s="15" t="e">
        <f>I519&amp;J519&amp;#REF!</f>
        <v>#REF!</v>
      </c>
      <c r="T519" s="84"/>
      <c r="U519" s="84"/>
      <c r="V519" s="84"/>
    </row>
    <row r="520" spans="1:22">
      <c r="A520" s="23">
        <v>510</v>
      </c>
      <c r="B520" s="24" t="s">
        <v>50</v>
      </c>
      <c r="C520" s="173" t="s">
        <v>173</v>
      </c>
      <c r="D520" s="24" t="s">
        <v>83</v>
      </c>
      <c r="E520" s="74" t="s">
        <v>52</v>
      </c>
      <c r="F520" s="24" t="s">
        <v>52</v>
      </c>
      <c r="G520" s="83" t="s">
        <v>1182</v>
      </c>
      <c r="H520" s="83" t="str">
        <f>VLOOKUP(G520,[1]ListLoaded!$E$6:$F$544,2,0)</f>
        <v>210806</v>
      </c>
      <c r="I520" s="72" t="str">
        <f>VLOOKUP(G520,[1]ListLoaded!$E$6:$M$550,9,0)</f>
        <v>F</v>
      </c>
      <c r="J520" s="72" t="s">
        <v>31</v>
      </c>
      <c r="K520" s="140">
        <f>VLOOKUP(G520,[1]ListLoaded!$E$6:$K$539,7,0)</f>
        <v>27</v>
      </c>
      <c r="L520" s="83" t="str">
        <f>VLOOKUP(G520,[1]ListLoaded!$E$6:$S$645,15,0)</f>
        <v>1110100</v>
      </c>
      <c r="M520" s="86" t="str">
        <f>VLOOKUP(G520,[1]ListLoaded!$E$6:$T$674,16,0)</f>
        <v>OP26052515</v>
      </c>
      <c r="N520" s="86">
        <f>VLOOKUP(G520,[1]ListLoaded!$E$6:$N$545,10,0)</f>
        <v>0</v>
      </c>
      <c r="O520" s="141" t="s">
        <v>1231</v>
      </c>
      <c r="P520" s="72">
        <f>VLOOKUP(G520,[1]ListLoaded!$E$6:$O$638,11,0)</f>
        <v>0</v>
      </c>
      <c r="Q520" s="84" t="str">
        <f t="shared" si="38"/>
        <v>F20DC</v>
      </c>
      <c r="R520" s="84" t="str">
        <f>VLOOKUP(G520,[1]ListLoaded!$E$6:$P$604,12,0)</f>
        <v>HASGN26060001EX</v>
      </c>
      <c r="S520" s="15" t="e">
        <f>I520&amp;J520&amp;#REF!</f>
        <v>#REF!</v>
      </c>
      <c r="T520" s="84"/>
      <c r="U520" s="84"/>
      <c r="V520" s="84"/>
    </row>
    <row r="521" spans="1:22">
      <c r="A521" s="23">
        <v>511</v>
      </c>
      <c r="B521" s="24" t="s">
        <v>50</v>
      </c>
      <c r="C521" s="173" t="s">
        <v>173</v>
      </c>
      <c r="D521" s="24" t="s">
        <v>83</v>
      </c>
      <c r="E521" s="74" t="s">
        <v>52</v>
      </c>
      <c r="F521" s="24" t="s">
        <v>52</v>
      </c>
      <c r="G521" s="83" t="s">
        <v>1183</v>
      </c>
      <c r="H521" s="83" t="str">
        <f>VLOOKUP(G521,[1]ListLoaded!$E$6:$F$544,2,0)</f>
        <v>210306</v>
      </c>
      <c r="I521" s="72" t="str">
        <f>VLOOKUP(G521,[1]ListLoaded!$E$6:$M$550,9,0)</f>
        <v>F</v>
      </c>
      <c r="J521" s="72" t="s">
        <v>31</v>
      </c>
      <c r="K521" s="140">
        <f>VLOOKUP(G521,[1]ListLoaded!$E$6:$K$539,7,0)</f>
        <v>27</v>
      </c>
      <c r="L521" s="83" t="str">
        <f>VLOOKUP(G521,[1]ListLoaded!$E$6:$S$645,15,0)</f>
        <v>1110099</v>
      </c>
      <c r="M521" s="86" t="str">
        <f>VLOOKUP(G521,[1]ListLoaded!$E$6:$T$674,16,0)</f>
        <v>OP26052515</v>
      </c>
      <c r="N521" s="86">
        <f>VLOOKUP(G521,[1]ListLoaded!$E$6:$N$545,10,0)</f>
        <v>0</v>
      </c>
      <c r="O521" s="141" t="s">
        <v>1231</v>
      </c>
      <c r="P521" s="72">
        <f>VLOOKUP(G521,[1]ListLoaded!$E$6:$O$638,11,0)</f>
        <v>0</v>
      </c>
      <c r="Q521" s="84" t="str">
        <f t="shared" si="38"/>
        <v>F20DC</v>
      </c>
      <c r="R521" s="84" t="str">
        <f>VLOOKUP(G521,[1]ListLoaded!$E$6:$P$604,12,0)</f>
        <v>HASGN26060001EX</v>
      </c>
      <c r="S521" s="15" t="e">
        <f>I521&amp;J521&amp;#REF!</f>
        <v>#REF!</v>
      </c>
      <c r="T521" s="84"/>
      <c r="U521" s="84"/>
      <c r="V521" s="84"/>
    </row>
    <row r="522" spans="1:22">
      <c r="A522" s="23">
        <v>512</v>
      </c>
      <c r="B522" s="24" t="s">
        <v>50</v>
      </c>
      <c r="C522" s="173" t="s">
        <v>173</v>
      </c>
      <c r="D522" s="24" t="s">
        <v>83</v>
      </c>
      <c r="E522" s="74" t="s">
        <v>52</v>
      </c>
      <c r="F522" s="24" t="s">
        <v>52</v>
      </c>
      <c r="G522" s="83" t="s">
        <v>1184</v>
      </c>
      <c r="H522" s="83" t="str">
        <f>VLOOKUP(G522,[1]ListLoaded!$E$6:$F$544,2,0)</f>
        <v>230804</v>
      </c>
      <c r="I522" s="72" t="str">
        <f>VLOOKUP(G522,[1]ListLoaded!$E$6:$M$550,9,0)</f>
        <v>F</v>
      </c>
      <c r="J522" s="72" t="s">
        <v>31</v>
      </c>
      <c r="K522" s="140">
        <f>VLOOKUP(G522,[1]ListLoaded!$E$6:$K$539,7,0)</f>
        <v>27</v>
      </c>
      <c r="L522" s="83" t="str">
        <f>VLOOKUP(G522,[1]ListLoaded!$E$6:$S$645,15,0)</f>
        <v>1110063</v>
      </c>
      <c r="M522" s="86" t="str">
        <f>VLOOKUP(G522,[1]ListLoaded!$E$6:$T$674,16,0)</f>
        <v>OP26052515</v>
      </c>
      <c r="N522" s="86">
        <f>VLOOKUP(G522,[1]ListLoaded!$E$6:$N$545,10,0)</f>
        <v>0</v>
      </c>
      <c r="O522" s="141" t="s">
        <v>1231</v>
      </c>
      <c r="P522" s="72">
        <f>VLOOKUP(G522,[1]ListLoaded!$E$6:$O$638,11,0)</f>
        <v>0</v>
      </c>
      <c r="Q522" s="84" t="str">
        <f t="shared" si="38"/>
        <v>F20DC</v>
      </c>
      <c r="R522" s="84" t="str">
        <f>VLOOKUP(G522,[1]ListLoaded!$E$6:$P$604,12,0)</f>
        <v>HASGN26060001EX</v>
      </c>
      <c r="S522" s="15" t="e">
        <f>I522&amp;J522&amp;#REF!</f>
        <v>#REF!</v>
      </c>
      <c r="T522" s="84"/>
      <c r="U522" s="84"/>
      <c r="V522" s="84"/>
    </row>
    <row r="523" spans="1:22">
      <c r="A523" s="23">
        <v>513</v>
      </c>
      <c r="B523" s="24" t="s">
        <v>50</v>
      </c>
      <c r="C523" s="173" t="s">
        <v>173</v>
      </c>
      <c r="D523" s="24" t="s">
        <v>83</v>
      </c>
      <c r="E523" s="74" t="s">
        <v>52</v>
      </c>
      <c r="F523" s="24" t="s">
        <v>52</v>
      </c>
      <c r="G523" s="83" t="s">
        <v>1185</v>
      </c>
      <c r="H523" s="83" t="str">
        <f>VLOOKUP(G523,[1]ListLoaded!$E$6:$F$544,2,0)</f>
        <v>230608</v>
      </c>
      <c r="I523" s="72" t="str">
        <f>VLOOKUP(G523,[1]ListLoaded!$E$6:$M$550,9,0)</f>
        <v>F</v>
      </c>
      <c r="J523" s="72" t="s">
        <v>31</v>
      </c>
      <c r="K523" s="140">
        <f>VLOOKUP(G523,[1]ListLoaded!$E$6:$K$539,7,0)</f>
        <v>27</v>
      </c>
      <c r="L523" s="83" t="str">
        <f>VLOOKUP(G523,[1]ListLoaded!$E$6:$S$645,15,0)</f>
        <v>1110095</v>
      </c>
      <c r="M523" s="86" t="str">
        <f>VLOOKUP(G523,[1]ListLoaded!$E$6:$T$674,16,0)</f>
        <v>OP26052515</v>
      </c>
      <c r="N523" s="86">
        <f>VLOOKUP(G523,[1]ListLoaded!$E$6:$N$545,10,0)</f>
        <v>0</v>
      </c>
      <c r="O523" s="141" t="s">
        <v>1231</v>
      </c>
      <c r="P523" s="72">
        <f>VLOOKUP(G523,[1]ListLoaded!$E$6:$O$638,11,0)</f>
        <v>0</v>
      </c>
      <c r="Q523" s="84" t="str">
        <f t="shared" si="38"/>
        <v>F20DC</v>
      </c>
      <c r="R523" s="84" t="str">
        <f>VLOOKUP(G523,[1]ListLoaded!$E$6:$P$604,12,0)</f>
        <v>HASGN26060001EX</v>
      </c>
      <c r="S523" s="15" t="e">
        <f>I523&amp;J523&amp;#REF!</f>
        <v>#REF!</v>
      </c>
      <c r="T523" s="84"/>
      <c r="U523" s="84"/>
      <c r="V523" s="84"/>
    </row>
    <row r="524" spans="1:22">
      <c r="A524" s="23">
        <v>514</v>
      </c>
      <c r="B524" s="24" t="s">
        <v>50</v>
      </c>
      <c r="C524" s="173" t="s">
        <v>173</v>
      </c>
      <c r="D524" s="24" t="s">
        <v>83</v>
      </c>
      <c r="E524" s="74" t="s">
        <v>52</v>
      </c>
      <c r="F524" s="24" t="s">
        <v>52</v>
      </c>
      <c r="G524" s="83" t="s">
        <v>1186</v>
      </c>
      <c r="H524" s="83" t="str">
        <f>VLOOKUP(G524,[1]ListLoaded!$E$6:$F$544,2,0)</f>
        <v>230808</v>
      </c>
      <c r="I524" s="72" t="str">
        <f>VLOOKUP(G524,[1]ListLoaded!$E$6:$M$550,9,0)</f>
        <v>F</v>
      </c>
      <c r="J524" s="72" t="s">
        <v>31</v>
      </c>
      <c r="K524" s="140">
        <f>VLOOKUP(G524,[1]ListLoaded!$E$6:$K$539,7,0)</f>
        <v>27</v>
      </c>
      <c r="L524" s="83" t="str">
        <f>VLOOKUP(G524,[1]ListLoaded!$E$6:$S$645,15,0)</f>
        <v>1110093</v>
      </c>
      <c r="M524" s="86" t="str">
        <f>VLOOKUP(G524,[1]ListLoaded!$E$6:$T$674,16,0)</f>
        <v>OP26052515</v>
      </c>
      <c r="N524" s="86">
        <f>VLOOKUP(G524,[1]ListLoaded!$E$6:$N$545,10,0)</f>
        <v>0</v>
      </c>
      <c r="O524" s="141" t="s">
        <v>1231</v>
      </c>
      <c r="P524" s="72">
        <f>VLOOKUP(G524,[1]ListLoaded!$E$6:$O$638,11,0)</f>
        <v>0</v>
      </c>
      <c r="Q524" s="84" t="str">
        <f t="shared" ref="Q524:Q580" si="39">I524&amp;J524</f>
        <v>F20DC</v>
      </c>
      <c r="R524" s="84" t="str">
        <f>VLOOKUP(G524,[1]ListLoaded!$E$6:$P$604,12,0)</f>
        <v>HASGN26060001EX</v>
      </c>
      <c r="S524" s="15" t="e">
        <f>I524&amp;J524&amp;#REF!</f>
        <v>#REF!</v>
      </c>
      <c r="T524" s="84"/>
      <c r="U524" s="84"/>
      <c r="V524" s="84"/>
    </row>
    <row r="525" spans="1:22">
      <c r="A525" s="23">
        <v>515</v>
      </c>
      <c r="B525" s="24" t="s">
        <v>50</v>
      </c>
      <c r="C525" s="173" t="s">
        <v>173</v>
      </c>
      <c r="D525" s="24" t="s">
        <v>83</v>
      </c>
      <c r="E525" s="74" t="s">
        <v>52</v>
      </c>
      <c r="F525" s="24" t="s">
        <v>52</v>
      </c>
      <c r="G525" s="83" t="s">
        <v>1187</v>
      </c>
      <c r="H525" s="83" t="str">
        <f>VLOOKUP(G525,[1]ListLoaded!$E$6:$F$544,2,0)</f>
        <v>230604</v>
      </c>
      <c r="I525" s="72" t="str">
        <f>VLOOKUP(G525,[1]ListLoaded!$E$6:$M$550,9,0)</f>
        <v>F</v>
      </c>
      <c r="J525" s="72" t="s">
        <v>31</v>
      </c>
      <c r="K525" s="140">
        <f>VLOOKUP(G525,[1]ListLoaded!$E$6:$K$539,7,0)</f>
        <v>27</v>
      </c>
      <c r="L525" s="83" t="str">
        <f>VLOOKUP(G525,[1]ListLoaded!$E$6:$S$645,15,0)</f>
        <v>1110064</v>
      </c>
      <c r="M525" s="86" t="str">
        <f>VLOOKUP(G525,[1]ListLoaded!$E$6:$T$674,16,0)</f>
        <v>OP26052515</v>
      </c>
      <c r="N525" s="86">
        <f>VLOOKUP(G525,[1]ListLoaded!$E$6:$N$545,10,0)</f>
        <v>0</v>
      </c>
      <c r="O525" s="141" t="s">
        <v>1231</v>
      </c>
      <c r="P525" s="72">
        <f>VLOOKUP(G525,[1]ListLoaded!$E$6:$O$638,11,0)</f>
        <v>0</v>
      </c>
      <c r="Q525" s="84" t="str">
        <f t="shared" si="39"/>
        <v>F20DC</v>
      </c>
      <c r="R525" s="84" t="str">
        <f>VLOOKUP(G525,[1]ListLoaded!$E$6:$P$604,12,0)</f>
        <v>HASGN26060001EX</v>
      </c>
      <c r="S525" s="15" t="e">
        <f>I525&amp;J525&amp;#REF!</f>
        <v>#REF!</v>
      </c>
      <c r="T525" s="84"/>
      <c r="U525" s="84"/>
      <c r="V525" s="84"/>
    </row>
    <row r="526" spans="1:22">
      <c r="A526" s="23">
        <v>516</v>
      </c>
      <c r="B526" s="24" t="s">
        <v>50</v>
      </c>
      <c r="C526" s="173" t="s">
        <v>173</v>
      </c>
      <c r="D526" s="24" t="s">
        <v>83</v>
      </c>
      <c r="E526" s="74" t="s">
        <v>52</v>
      </c>
      <c r="F526" s="24" t="s">
        <v>52</v>
      </c>
      <c r="G526" s="83" t="s">
        <v>1188</v>
      </c>
      <c r="H526" s="83" t="str">
        <f>VLOOKUP(G526,[1]ListLoaded!$E$6:$F$544,2,0)</f>
        <v>210602</v>
      </c>
      <c r="I526" s="72" t="str">
        <f>VLOOKUP(G526,[1]ListLoaded!$E$6:$M$550,9,0)</f>
        <v>F</v>
      </c>
      <c r="J526" s="72" t="s">
        <v>31</v>
      </c>
      <c r="K526" s="140">
        <f>VLOOKUP(G526,[1]ListLoaded!$E$6:$K$539,7,0)</f>
        <v>27</v>
      </c>
      <c r="L526" s="83" t="str">
        <f>VLOOKUP(G526,[1]ListLoaded!$E$6:$S$645,15,0)</f>
        <v>1110068</v>
      </c>
      <c r="M526" s="86" t="str">
        <f>VLOOKUP(G526,[1]ListLoaded!$E$6:$T$674,16,0)</f>
        <v>OP26052515</v>
      </c>
      <c r="N526" s="86">
        <f>VLOOKUP(G526,[1]ListLoaded!$E$6:$N$545,10,0)</f>
        <v>0</v>
      </c>
      <c r="O526" s="141" t="s">
        <v>1231</v>
      </c>
      <c r="P526" s="72">
        <f>VLOOKUP(G526,[1]ListLoaded!$E$6:$O$638,11,0)</f>
        <v>0</v>
      </c>
      <c r="Q526" s="84" t="str">
        <f t="shared" si="39"/>
        <v>F20DC</v>
      </c>
      <c r="R526" s="84" t="str">
        <f>VLOOKUP(G526,[1]ListLoaded!$E$6:$P$604,12,0)</f>
        <v>HASGN26060001EX</v>
      </c>
      <c r="S526" s="15" t="e">
        <f>I526&amp;J526&amp;#REF!</f>
        <v>#REF!</v>
      </c>
      <c r="T526" s="84"/>
      <c r="U526" s="84"/>
      <c r="V526" s="84"/>
    </row>
    <row r="527" spans="1:22">
      <c r="A527" s="23">
        <v>517</v>
      </c>
      <c r="B527" s="24" t="s">
        <v>50</v>
      </c>
      <c r="C527" s="173" t="s">
        <v>173</v>
      </c>
      <c r="D527" s="24" t="s">
        <v>83</v>
      </c>
      <c r="E527" s="74" t="s">
        <v>52</v>
      </c>
      <c r="F527" s="24" t="s">
        <v>52</v>
      </c>
      <c r="G527" s="83" t="s">
        <v>1189</v>
      </c>
      <c r="H527" s="83" t="str">
        <f>VLOOKUP(G527,[1]ListLoaded!$E$6:$F$544,2,0)</f>
        <v>210606</v>
      </c>
      <c r="I527" s="72" t="str">
        <f>VLOOKUP(G527,[1]ListLoaded!$E$6:$M$550,9,0)</f>
        <v>F</v>
      </c>
      <c r="J527" s="72" t="s">
        <v>31</v>
      </c>
      <c r="K527" s="140">
        <f>VLOOKUP(G527,[1]ListLoaded!$E$6:$K$539,7,0)</f>
        <v>27</v>
      </c>
      <c r="L527" s="83" t="str">
        <f>VLOOKUP(G527,[1]ListLoaded!$E$6:$S$645,15,0)</f>
        <v>1110098</v>
      </c>
      <c r="M527" s="86" t="str">
        <f>VLOOKUP(G527,[1]ListLoaded!$E$6:$T$674,16,0)</f>
        <v>OP26052515</v>
      </c>
      <c r="N527" s="86">
        <f>VLOOKUP(G527,[1]ListLoaded!$E$6:$N$545,10,0)</f>
        <v>0</v>
      </c>
      <c r="O527" s="141" t="s">
        <v>1231</v>
      </c>
      <c r="P527" s="72">
        <f>VLOOKUP(G527,[1]ListLoaded!$E$6:$O$638,11,0)</f>
        <v>0</v>
      </c>
      <c r="Q527" s="84" t="str">
        <f t="shared" si="39"/>
        <v>F20DC</v>
      </c>
      <c r="R527" s="84" t="str">
        <f>VLOOKUP(G527,[1]ListLoaded!$E$6:$P$604,12,0)</f>
        <v>HASGN26060001EX</v>
      </c>
      <c r="S527" s="15" t="e">
        <f>I527&amp;J527&amp;#REF!</f>
        <v>#REF!</v>
      </c>
      <c r="T527" s="84"/>
      <c r="U527" s="84"/>
      <c r="V527" s="84"/>
    </row>
    <row r="528" spans="1:22">
      <c r="A528" s="23">
        <v>518</v>
      </c>
      <c r="B528" s="24" t="s">
        <v>50</v>
      </c>
      <c r="C528" s="173" t="s">
        <v>173</v>
      </c>
      <c r="D528" s="24" t="s">
        <v>83</v>
      </c>
      <c r="E528" s="74" t="s">
        <v>52</v>
      </c>
      <c r="F528" s="24" t="s">
        <v>52</v>
      </c>
      <c r="G528" s="83" t="s">
        <v>1190</v>
      </c>
      <c r="H528" s="83" t="str">
        <f>VLOOKUP(G528,[1]ListLoaded!$E$6:$F$544,2,0)</f>
        <v>230504</v>
      </c>
      <c r="I528" s="72" t="str">
        <f>VLOOKUP(G528,[1]ListLoaded!$E$6:$M$550,9,0)</f>
        <v>F</v>
      </c>
      <c r="J528" s="72" t="s">
        <v>31</v>
      </c>
      <c r="K528" s="140">
        <f>VLOOKUP(G528,[1]ListLoaded!$E$6:$K$539,7,0)</f>
        <v>27</v>
      </c>
      <c r="L528" s="83" t="str">
        <f>VLOOKUP(G528,[1]ListLoaded!$E$6:$S$645,15,0)</f>
        <v>1110084</v>
      </c>
      <c r="M528" s="86" t="str">
        <f>VLOOKUP(G528,[1]ListLoaded!$E$6:$T$674,16,0)</f>
        <v>OP26052515</v>
      </c>
      <c r="N528" s="86">
        <f>VLOOKUP(G528,[1]ListLoaded!$E$6:$N$545,10,0)</f>
        <v>0</v>
      </c>
      <c r="O528" s="141" t="s">
        <v>1231</v>
      </c>
      <c r="P528" s="72">
        <f>VLOOKUP(G528,[1]ListLoaded!$E$6:$O$638,11,0)</f>
        <v>0</v>
      </c>
      <c r="Q528" s="84" t="str">
        <f t="shared" si="39"/>
        <v>F20DC</v>
      </c>
      <c r="R528" s="84" t="str">
        <f>VLOOKUP(G528,[1]ListLoaded!$E$6:$P$604,12,0)</f>
        <v>HASGN26060001EX</v>
      </c>
      <c r="S528" s="15" t="e">
        <f>I528&amp;J528&amp;#REF!</f>
        <v>#REF!</v>
      </c>
      <c r="T528" s="84"/>
      <c r="U528" s="84"/>
      <c r="V528" s="84"/>
    </row>
    <row r="529" spans="1:22">
      <c r="A529" s="23">
        <v>519</v>
      </c>
      <c r="B529" s="24" t="s">
        <v>50</v>
      </c>
      <c r="C529" s="24" t="s">
        <v>1489</v>
      </c>
      <c r="D529" s="24" t="s">
        <v>83</v>
      </c>
      <c r="E529" s="143" t="s">
        <v>1488</v>
      </c>
      <c r="F529" s="24" t="s">
        <v>52</v>
      </c>
      <c r="G529" s="83" t="s">
        <v>1191</v>
      </c>
      <c r="H529" s="83" t="str">
        <f>VLOOKUP(G529,[1]ListLoaded!$E$6:$F$544,2,0)</f>
        <v>260286</v>
      </c>
      <c r="I529" s="72" t="str">
        <f>VLOOKUP(G529,[1]ListLoaded!$E$6:$M$550,9,0)</f>
        <v>E</v>
      </c>
      <c r="J529" s="72" t="str">
        <f>VLOOKUP(G529,[1]ListLoaded!$E$6:$I$537,5,0)</f>
        <v>40HC</v>
      </c>
      <c r="K529" s="140">
        <f>VLOOKUP(G529,[1]ListLoaded!$E$6:$L$537,8,0)</f>
        <v>3.8</v>
      </c>
      <c r="L529" s="83" t="str">
        <f>VLOOKUP(G529,[1]ListLoaded!$E$6:$S$645,15,0)</f>
        <v/>
      </c>
      <c r="M529" s="86" t="s">
        <v>56</v>
      </c>
      <c r="N529" s="86">
        <f>VLOOKUP(G529,[1]ListLoaded!$E$6:$N$545,10,0)</f>
        <v>0</v>
      </c>
      <c r="O529" s="72" t="s">
        <v>1232</v>
      </c>
      <c r="P529" s="72">
        <f>VLOOKUP(G529,[1]ListLoaded!$E$6:$O$638,11,0)</f>
        <v>0</v>
      </c>
      <c r="Q529" s="84" t="str">
        <f t="shared" si="39"/>
        <v>E40HC</v>
      </c>
      <c r="R529" s="84" t="str">
        <f>VLOOKUP(G529,[1]ListLoaded!$E$6:$P$604,12,0)</f>
        <v>N</v>
      </c>
      <c r="S529" s="15" t="e">
        <f>I529&amp;J529&amp;#REF!</f>
        <v>#REF!</v>
      </c>
      <c r="T529" s="84"/>
      <c r="U529" s="84"/>
      <c r="V529" s="84"/>
    </row>
    <row r="530" spans="1:22">
      <c r="A530" s="23">
        <v>520</v>
      </c>
      <c r="B530" s="24" t="s">
        <v>50</v>
      </c>
      <c r="C530" s="24" t="s">
        <v>1489</v>
      </c>
      <c r="D530" s="24" t="s">
        <v>83</v>
      </c>
      <c r="E530" s="143" t="s">
        <v>1488</v>
      </c>
      <c r="F530" s="24" t="s">
        <v>52</v>
      </c>
      <c r="G530" s="83" t="s">
        <v>1192</v>
      </c>
      <c r="H530" s="83" t="str">
        <f>VLOOKUP(G530,[1]ListLoaded!$E$6:$F$544,2,0)</f>
        <v>260986</v>
      </c>
      <c r="I530" s="72" t="str">
        <f>VLOOKUP(G530,[1]ListLoaded!$E$6:$M$550,9,0)</f>
        <v>E</v>
      </c>
      <c r="J530" s="72" t="str">
        <f>VLOOKUP(G530,[1]ListLoaded!$E$6:$I$537,5,0)</f>
        <v>40HC</v>
      </c>
      <c r="K530" s="140">
        <f>VLOOKUP(G530,[1]ListLoaded!$E$6:$L$537,8,0)</f>
        <v>3.8</v>
      </c>
      <c r="L530" s="83" t="str">
        <f>VLOOKUP(G530,[1]ListLoaded!$E$6:$S$645,15,0)</f>
        <v/>
      </c>
      <c r="M530" s="86" t="s">
        <v>56</v>
      </c>
      <c r="N530" s="86">
        <f>VLOOKUP(G530,[1]ListLoaded!$E$6:$N$545,10,0)</f>
        <v>0</v>
      </c>
      <c r="O530" s="72" t="s">
        <v>1232</v>
      </c>
      <c r="P530" s="72">
        <f>VLOOKUP(G530,[1]ListLoaded!$E$6:$O$638,11,0)</f>
        <v>0</v>
      </c>
      <c r="Q530" s="84" t="str">
        <f t="shared" si="39"/>
        <v>E40HC</v>
      </c>
      <c r="R530" s="84" t="str">
        <f>VLOOKUP(G530,[1]ListLoaded!$E$6:$P$604,12,0)</f>
        <v>N</v>
      </c>
      <c r="S530" s="15" t="e">
        <f>I530&amp;J530&amp;#REF!</f>
        <v>#REF!</v>
      </c>
      <c r="T530" s="84"/>
      <c r="U530" s="84"/>
      <c r="V530" s="84"/>
    </row>
    <row r="531" spans="1:22">
      <c r="A531" s="23">
        <v>521</v>
      </c>
      <c r="B531" s="24" t="s">
        <v>50</v>
      </c>
      <c r="C531" s="24" t="s">
        <v>1489</v>
      </c>
      <c r="D531" s="24" t="s">
        <v>83</v>
      </c>
      <c r="E531" s="143" t="s">
        <v>1488</v>
      </c>
      <c r="F531" s="24" t="s">
        <v>52</v>
      </c>
      <c r="G531" s="83" t="s">
        <v>1193</v>
      </c>
      <c r="H531" s="83" t="str">
        <f>VLOOKUP(G531,[1]ListLoaded!$E$6:$F$544,2,0)</f>
        <v>260186</v>
      </c>
      <c r="I531" s="72" t="str">
        <f>VLOOKUP(G531,[1]ListLoaded!$E$6:$M$550,9,0)</f>
        <v>E</v>
      </c>
      <c r="J531" s="72" t="str">
        <f>VLOOKUP(G531,[1]ListLoaded!$E$6:$I$537,5,0)</f>
        <v>40HC</v>
      </c>
      <c r="K531" s="140">
        <f>VLOOKUP(G531,[1]ListLoaded!$E$6:$L$537,8,0)</f>
        <v>3.8</v>
      </c>
      <c r="L531" s="83" t="str">
        <f>VLOOKUP(G531,[1]ListLoaded!$E$6:$S$645,15,0)</f>
        <v/>
      </c>
      <c r="M531" s="86" t="s">
        <v>56</v>
      </c>
      <c r="N531" s="86">
        <f>VLOOKUP(G531,[1]ListLoaded!$E$6:$N$545,10,0)</f>
        <v>0</v>
      </c>
      <c r="O531" s="72" t="s">
        <v>1232</v>
      </c>
      <c r="P531" s="72">
        <f>VLOOKUP(G531,[1]ListLoaded!$E$6:$O$638,11,0)</f>
        <v>0</v>
      </c>
      <c r="Q531" s="84" t="str">
        <f t="shared" si="39"/>
        <v>E40HC</v>
      </c>
      <c r="R531" s="84" t="str">
        <f>VLOOKUP(G531,[1]ListLoaded!$E$6:$P$604,12,0)</f>
        <v>N</v>
      </c>
      <c r="S531" s="15" t="e">
        <f>I531&amp;J531&amp;#REF!</f>
        <v>#REF!</v>
      </c>
      <c r="T531" s="84"/>
      <c r="U531" s="84"/>
      <c r="V531" s="84"/>
    </row>
    <row r="532" spans="1:22">
      <c r="A532" s="23">
        <v>522</v>
      </c>
      <c r="B532" s="24" t="s">
        <v>50</v>
      </c>
      <c r="C532" s="24" t="s">
        <v>1489</v>
      </c>
      <c r="D532" s="24" t="s">
        <v>83</v>
      </c>
      <c r="E532" s="143" t="s">
        <v>1488</v>
      </c>
      <c r="F532" s="24" t="s">
        <v>52</v>
      </c>
      <c r="G532" s="83" t="s">
        <v>1194</v>
      </c>
      <c r="H532" s="83" t="str">
        <f>VLOOKUP(G532,[1]ListLoaded!$E$6:$F$544,2,0)</f>
        <v>300388</v>
      </c>
      <c r="I532" s="72" t="str">
        <f>VLOOKUP(G532,[1]ListLoaded!$E$6:$M$550,9,0)</f>
        <v>E</v>
      </c>
      <c r="J532" s="72" t="str">
        <f>VLOOKUP(G532,[1]ListLoaded!$E$6:$I$537,5,0)</f>
        <v>40HC</v>
      </c>
      <c r="K532" s="140">
        <f>VLOOKUP(G532,[1]ListLoaded!$E$6:$L$537,8,0)</f>
        <v>3.8</v>
      </c>
      <c r="L532" s="83" t="str">
        <f>VLOOKUP(G532,[1]ListLoaded!$E$6:$S$645,15,0)</f>
        <v/>
      </c>
      <c r="M532" s="86" t="s">
        <v>56</v>
      </c>
      <c r="N532" s="86">
        <f>VLOOKUP(G532,[1]ListLoaded!$E$6:$N$545,10,0)</f>
        <v>0</v>
      </c>
      <c r="O532" s="72" t="s">
        <v>1232</v>
      </c>
      <c r="P532" s="72">
        <f>VLOOKUP(G532,[1]ListLoaded!$E$6:$O$638,11,0)</f>
        <v>0</v>
      </c>
      <c r="Q532" s="84" t="str">
        <f t="shared" si="39"/>
        <v>E40HC</v>
      </c>
      <c r="R532" s="84" t="str">
        <f>VLOOKUP(G532,[1]ListLoaded!$E$6:$P$604,12,0)</f>
        <v>N</v>
      </c>
      <c r="S532" s="15" t="e">
        <f>I532&amp;J532&amp;#REF!</f>
        <v>#REF!</v>
      </c>
      <c r="T532" s="84"/>
      <c r="U532" s="84"/>
      <c r="V532" s="84"/>
    </row>
    <row r="533" spans="1:22">
      <c r="A533" s="23">
        <v>523</v>
      </c>
      <c r="B533" s="24" t="s">
        <v>50</v>
      </c>
      <c r="C533" s="24" t="s">
        <v>1489</v>
      </c>
      <c r="D533" s="24" t="s">
        <v>83</v>
      </c>
      <c r="E533" s="143" t="s">
        <v>1488</v>
      </c>
      <c r="F533" s="24" t="s">
        <v>52</v>
      </c>
      <c r="G533" s="83" t="s">
        <v>1195</v>
      </c>
      <c r="H533" s="83" t="str">
        <f>VLOOKUP(G533,[1]ListLoaded!$E$6:$F$544,2,0)</f>
        <v>301086</v>
      </c>
      <c r="I533" s="72" t="str">
        <f>VLOOKUP(G533,[1]ListLoaded!$E$6:$M$550,9,0)</f>
        <v>E</v>
      </c>
      <c r="J533" s="72" t="str">
        <f>VLOOKUP(G533,[1]ListLoaded!$E$6:$I$537,5,0)</f>
        <v>40HC</v>
      </c>
      <c r="K533" s="140">
        <f>VLOOKUP(G533,[1]ListLoaded!$E$6:$L$537,8,0)</f>
        <v>3.8</v>
      </c>
      <c r="L533" s="83" t="str">
        <f>VLOOKUP(G533,[1]ListLoaded!$E$6:$S$645,15,0)</f>
        <v/>
      </c>
      <c r="M533" s="86" t="s">
        <v>56</v>
      </c>
      <c r="N533" s="86">
        <f>VLOOKUP(G533,[1]ListLoaded!$E$6:$N$545,10,0)</f>
        <v>0</v>
      </c>
      <c r="O533" s="72" t="s">
        <v>1232</v>
      </c>
      <c r="P533" s="72">
        <f>VLOOKUP(G533,[1]ListLoaded!$E$6:$O$638,11,0)</f>
        <v>0</v>
      </c>
      <c r="Q533" s="84" t="str">
        <f t="shared" si="39"/>
        <v>E40HC</v>
      </c>
      <c r="R533" s="84" t="str">
        <f>VLOOKUP(G533,[1]ListLoaded!$E$6:$P$604,12,0)</f>
        <v>N</v>
      </c>
      <c r="S533" s="15" t="e">
        <f>I533&amp;J533&amp;#REF!</f>
        <v>#REF!</v>
      </c>
      <c r="T533" s="84"/>
      <c r="U533" s="84"/>
      <c r="V533" s="84"/>
    </row>
    <row r="534" spans="1:22">
      <c r="A534" s="23">
        <v>524</v>
      </c>
      <c r="B534" s="24" t="s">
        <v>50</v>
      </c>
      <c r="C534" s="24" t="s">
        <v>1489</v>
      </c>
      <c r="D534" s="24" t="s">
        <v>83</v>
      </c>
      <c r="E534" s="143" t="s">
        <v>1488</v>
      </c>
      <c r="F534" s="24" t="s">
        <v>52</v>
      </c>
      <c r="G534" s="83" t="s">
        <v>1196</v>
      </c>
      <c r="H534" s="83" t="str">
        <f>VLOOKUP(G534,[1]ListLoaded!$E$6:$F$544,2,0)</f>
        <v>300986</v>
      </c>
      <c r="I534" s="72" t="str">
        <f>VLOOKUP(G534,[1]ListLoaded!$E$6:$M$550,9,0)</f>
        <v>E</v>
      </c>
      <c r="J534" s="72" t="str">
        <f>VLOOKUP(G534,[1]ListLoaded!$E$6:$I$537,5,0)</f>
        <v>40HC</v>
      </c>
      <c r="K534" s="140">
        <f>VLOOKUP(G534,[1]ListLoaded!$E$6:$L$537,8,0)</f>
        <v>3.8</v>
      </c>
      <c r="L534" s="83" t="str">
        <f>VLOOKUP(G534,[1]ListLoaded!$E$6:$S$645,15,0)</f>
        <v/>
      </c>
      <c r="M534" s="86" t="s">
        <v>56</v>
      </c>
      <c r="N534" s="86">
        <f>VLOOKUP(G534,[1]ListLoaded!$E$6:$N$545,10,0)</f>
        <v>0</v>
      </c>
      <c r="O534" s="72" t="s">
        <v>1232</v>
      </c>
      <c r="P534" s="72">
        <f>VLOOKUP(G534,[1]ListLoaded!$E$6:$O$638,11,0)</f>
        <v>0</v>
      </c>
      <c r="Q534" s="84" t="str">
        <f t="shared" si="39"/>
        <v>E40HC</v>
      </c>
      <c r="R534" s="84" t="str">
        <f>VLOOKUP(G534,[1]ListLoaded!$E$6:$P$604,12,0)</f>
        <v>N</v>
      </c>
      <c r="S534" s="15" t="e">
        <f>I534&amp;J534&amp;#REF!</f>
        <v>#REF!</v>
      </c>
      <c r="T534" s="84"/>
      <c r="U534" s="84"/>
      <c r="V534" s="84"/>
    </row>
    <row r="535" spans="1:22">
      <c r="A535" s="23">
        <v>525</v>
      </c>
      <c r="B535" s="24" t="s">
        <v>50</v>
      </c>
      <c r="C535" s="24" t="s">
        <v>1489</v>
      </c>
      <c r="D535" s="24" t="s">
        <v>83</v>
      </c>
      <c r="E535" s="143" t="s">
        <v>1488</v>
      </c>
      <c r="F535" s="24" t="s">
        <v>52</v>
      </c>
      <c r="G535" s="83" t="s">
        <v>1197</v>
      </c>
      <c r="H535" s="83" t="str">
        <f>VLOOKUP(G535,[1]ListLoaded!$E$6:$F$544,2,0)</f>
        <v>260586</v>
      </c>
      <c r="I535" s="72" t="str">
        <f>VLOOKUP(G535,[1]ListLoaded!$E$6:$M$550,9,0)</f>
        <v>E</v>
      </c>
      <c r="J535" s="72" t="str">
        <f>VLOOKUP(G535,[1]ListLoaded!$E$6:$I$537,5,0)</f>
        <v>40HC</v>
      </c>
      <c r="K535" s="140">
        <f>VLOOKUP(G535,[1]ListLoaded!$E$6:$L$537,8,0)</f>
        <v>3.8</v>
      </c>
      <c r="L535" s="83" t="str">
        <f>VLOOKUP(G535,[1]ListLoaded!$E$6:$S$645,15,0)</f>
        <v/>
      </c>
      <c r="M535" s="86" t="s">
        <v>56</v>
      </c>
      <c r="N535" s="86">
        <f>VLOOKUP(G535,[1]ListLoaded!$E$6:$N$545,10,0)</f>
        <v>0</v>
      </c>
      <c r="O535" s="72" t="s">
        <v>1232</v>
      </c>
      <c r="P535" s="72">
        <f>VLOOKUP(G535,[1]ListLoaded!$E$6:$O$638,11,0)</f>
        <v>0</v>
      </c>
      <c r="Q535" s="84" t="str">
        <f t="shared" si="39"/>
        <v>E40HC</v>
      </c>
      <c r="R535" s="84" t="str">
        <f>VLOOKUP(G535,[1]ListLoaded!$E$6:$P$604,12,0)</f>
        <v>N</v>
      </c>
      <c r="S535" s="15" t="e">
        <f>I535&amp;J535&amp;#REF!</f>
        <v>#REF!</v>
      </c>
      <c r="T535" s="84"/>
      <c r="U535" s="84"/>
      <c r="V535" s="84"/>
    </row>
    <row r="536" spans="1:22">
      <c r="A536" s="23">
        <v>526</v>
      </c>
      <c r="B536" s="24" t="s">
        <v>50</v>
      </c>
      <c r="C536" s="24" t="s">
        <v>1489</v>
      </c>
      <c r="D536" s="24" t="s">
        <v>83</v>
      </c>
      <c r="E536" s="143" t="s">
        <v>1488</v>
      </c>
      <c r="F536" s="24" t="s">
        <v>52</v>
      </c>
      <c r="G536" s="83" t="s">
        <v>1198</v>
      </c>
      <c r="H536" s="83" t="str">
        <f>VLOOKUP(G536,[1]ListLoaded!$E$6:$F$544,2,0)</f>
        <v>260786</v>
      </c>
      <c r="I536" s="72" t="str">
        <f>VLOOKUP(G536,[1]ListLoaded!$E$6:$M$550,9,0)</f>
        <v>E</v>
      </c>
      <c r="J536" s="72" t="str">
        <f>VLOOKUP(G536,[1]ListLoaded!$E$6:$I$537,5,0)</f>
        <v>40HC</v>
      </c>
      <c r="K536" s="140">
        <f>VLOOKUP(G536,[1]ListLoaded!$E$6:$L$537,8,0)</f>
        <v>3.8</v>
      </c>
      <c r="L536" s="83" t="str">
        <f>VLOOKUP(G536,[1]ListLoaded!$E$6:$S$645,15,0)</f>
        <v/>
      </c>
      <c r="M536" s="86" t="s">
        <v>56</v>
      </c>
      <c r="N536" s="86">
        <f>VLOOKUP(G536,[1]ListLoaded!$E$6:$N$545,10,0)</f>
        <v>0</v>
      </c>
      <c r="O536" s="72" t="s">
        <v>1232</v>
      </c>
      <c r="P536" s="72">
        <f>VLOOKUP(G536,[1]ListLoaded!$E$6:$O$638,11,0)</f>
        <v>0</v>
      </c>
      <c r="Q536" s="84" t="str">
        <f t="shared" si="39"/>
        <v>E40HC</v>
      </c>
      <c r="R536" s="84" t="str">
        <f>VLOOKUP(G536,[1]ListLoaded!$E$6:$P$604,12,0)</f>
        <v>N</v>
      </c>
      <c r="S536" s="15" t="e">
        <f>I536&amp;J536&amp;#REF!</f>
        <v>#REF!</v>
      </c>
      <c r="T536" s="84"/>
      <c r="U536" s="84"/>
      <c r="V536" s="84"/>
    </row>
    <row r="537" spans="1:22">
      <c r="A537" s="23">
        <v>527</v>
      </c>
      <c r="B537" s="24" t="s">
        <v>50</v>
      </c>
      <c r="C537" s="24" t="s">
        <v>1489</v>
      </c>
      <c r="D537" s="24" t="s">
        <v>83</v>
      </c>
      <c r="E537" s="143" t="s">
        <v>1488</v>
      </c>
      <c r="F537" s="24" t="s">
        <v>52</v>
      </c>
      <c r="G537" s="83" t="s">
        <v>1199</v>
      </c>
      <c r="H537" s="83" t="str">
        <f>VLOOKUP(G537,[1]ListLoaded!$E$6:$F$544,2,0)</f>
        <v>260486</v>
      </c>
      <c r="I537" s="72" t="str">
        <f>VLOOKUP(G537,[1]ListLoaded!$E$6:$M$550,9,0)</f>
        <v>E</v>
      </c>
      <c r="J537" s="72" t="str">
        <f>VLOOKUP(G537,[1]ListLoaded!$E$6:$I$537,5,0)</f>
        <v>40HC</v>
      </c>
      <c r="K537" s="140">
        <f>VLOOKUP(G537,[1]ListLoaded!$E$6:$L$537,8,0)</f>
        <v>3.8</v>
      </c>
      <c r="L537" s="83" t="str">
        <f>VLOOKUP(G537,[1]ListLoaded!$E$6:$S$645,15,0)</f>
        <v/>
      </c>
      <c r="M537" s="86" t="s">
        <v>56</v>
      </c>
      <c r="N537" s="86">
        <f>VLOOKUP(G537,[1]ListLoaded!$E$6:$N$545,10,0)</f>
        <v>0</v>
      </c>
      <c r="O537" s="72" t="s">
        <v>1232</v>
      </c>
      <c r="P537" s="72">
        <f>VLOOKUP(G537,[1]ListLoaded!$E$6:$O$638,11,0)</f>
        <v>0</v>
      </c>
      <c r="Q537" s="84" t="str">
        <f t="shared" si="39"/>
        <v>E40HC</v>
      </c>
      <c r="R537" s="84" t="str">
        <f>VLOOKUP(G537,[1]ListLoaded!$E$6:$P$604,12,0)</f>
        <v>N</v>
      </c>
      <c r="S537" s="15" t="e">
        <f>I537&amp;J537&amp;#REF!</f>
        <v>#REF!</v>
      </c>
      <c r="T537" s="84"/>
      <c r="U537" s="84"/>
      <c r="V537" s="84"/>
    </row>
    <row r="538" spans="1:22">
      <c r="A538" s="23">
        <v>528</v>
      </c>
      <c r="B538" s="24" t="s">
        <v>50</v>
      </c>
      <c r="C538" s="24" t="s">
        <v>1489</v>
      </c>
      <c r="D538" s="24" t="s">
        <v>83</v>
      </c>
      <c r="E538" s="143" t="s">
        <v>1488</v>
      </c>
      <c r="F538" s="24" t="s">
        <v>52</v>
      </c>
      <c r="G538" s="83" t="s">
        <v>1200</v>
      </c>
      <c r="H538" s="83" t="str">
        <f>VLOOKUP(G538,[1]ListLoaded!$E$6:$F$544,2,0)</f>
        <v>260886</v>
      </c>
      <c r="I538" s="72" t="str">
        <f>VLOOKUP(G538,[1]ListLoaded!$E$6:$M$550,9,0)</f>
        <v>E</v>
      </c>
      <c r="J538" s="72" t="str">
        <f>VLOOKUP(G538,[1]ListLoaded!$E$6:$I$537,5,0)</f>
        <v>40HC</v>
      </c>
      <c r="K538" s="140">
        <f>VLOOKUP(G538,[1]ListLoaded!$E$6:$L$537,8,0)</f>
        <v>3.8</v>
      </c>
      <c r="L538" s="83" t="str">
        <f>VLOOKUP(G538,[1]ListLoaded!$E$6:$S$645,15,0)</f>
        <v/>
      </c>
      <c r="M538" s="86" t="s">
        <v>56</v>
      </c>
      <c r="N538" s="86">
        <f>VLOOKUP(G538,[1]ListLoaded!$E$6:$N$545,10,0)</f>
        <v>0</v>
      </c>
      <c r="O538" s="72" t="s">
        <v>1232</v>
      </c>
      <c r="P538" s="72">
        <f>VLOOKUP(G538,[1]ListLoaded!$E$6:$O$638,11,0)</f>
        <v>0</v>
      </c>
      <c r="Q538" s="84" t="str">
        <f t="shared" si="39"/>
        <v>E40HC</v>
      </c>
      <c r="R538" s="84" t="str">
        <f>VLOOKUP(G538,[1]ListLoaded!$E$6:$P$604,12,0)</f>
        <v>N</v>
      </c>
      <c r="S538" s="15" t="e">
        <f>I538&amp;J538&amp;#REF!</f>
        <v>#REF!</v>
      </c>
      <c r="T538" s="84"/>
      <c r="U538" s="84"/>
      <c r="V538" s="84"/>
    </row>
    <row r="539" spans="1:22">
      <c r="A539" s="23">
        <v>529</v>
      </c>
      <c r="B539" s="24" t="s">
        <v>50</v>
      </c>
      <c r="C539" s="24" t="s">
        <v>1489</v>
      </c>
      <c r="D539" s="24" t="s">
        <v>83</v>
      </c>
      <c r="E539" s="143" t="s">
        <v>1488</v>
      </c>
      <c r="F539" s="24" t="s">
        <v>52</v>
      </c>
      <c r="G539" s="83" t="s">
        <v>1201</v>
      </c>
      <c r="H539" s="83" t="str">
        <f>VLOOKUP(G539,[1]ListLoaded!$E$6:$F$544,2,0)</f>
        <v>260686</v>
      </c>
      <c r="I539" s="72" t="str">
        <f>VLOOKUP(G539,[1]ListLoaded!$E$6:$M$550,9,0)</f>
        <v>E</v>
      </c>
      <c r="J539" s="72" t="str">
        <f>VLOOKUP(G539,[1]ListLoaded!$E$6:$I$537,5,0)</f>
        <v>40HC</v>
      </c>
      <c r="K539" s="140">
        <f>VLOOKUP(G539,[1]ListLoaded!$E$6:$L$537,8,0)</f>
        <v>3.8</v>
      </c>
      <c r="L539" s="83" t="str">
        <f>VLOOKUP(G539,[1]ListLoaded!$E$6:$S$645,15,0)</f>
        <v/>
      </c>
      <c r="M539" s="86" t="s">
        <v>56</v>
      </c>
      <c r="N539" s="86">
        <f>VLOOKUP(G539,[1]ListLoaded!$E$6:$N$545,10,0)</f>
        <v>0</v>
      </c>
      <c r="O539" s="72" t="s">
        <v>1232</v>
      </c>
      <c r="P539" s="72">
        <f>VLOOKUP(G539,[1]ListLoaded!$E$6:$O$638,11,0)</f>
        <v>0</v>
      </c>
      <c r="Q539" s="84" t="str">
        <f t="shared" si="39"/>
        <v>E40HC</v>
      </c>
      <c r="R539" s="84" t="str">
        <f>VLOOKUP(G539,[1]ListLoaded!$E$6:$P$604,12,0)</f>
        <v>N</v>
      </c>
      <c r="S539" s="15" t="e">
        <f>I539&amp;J539&amp;#REF!</f>
        <v>#REF!</v>
      </c>
      <c r="T539" s="84"/>
      <c r="U539" s="84"/>
      <c r="V539" s="84"/>
    </row>
    <row r="540" spans="1:22">
      <c r="A540" s="23">
        <v>530</v>
      </c>
      <c r="B540" s="24" t="s">
        <v>50</v>
      </c>
      <c r="C540" s="24" t="s">
        <v>1489</v>
      </c>
      <c r="D540" s="24" t="s">
        <v>83</v>
      </c>
      <c r="E540" s="143" t="s">
        <v>1488</v>
      </c>
      <c r="F540" s="24" t="s">
        <v>52</v>
      </c>
      <c r="G540" s="83" t="s">
        <v>1202</v>
      </c>
      <c r="H540" s="83" t="str">
        <f>VLOOKUP(G540,[1]ListLoaded!$E$6:$F$544,2,0)</f>
        <v>260386</v>
      </c>
      <c r="I540" s="72" t="str">
        <f>VLOOKUP(G540,[1]ListLoaded!$E$6:$M$550,9,0)</f>
        <v>E</v>
      </c>
      <c r="J540" s="72" t="str">
        <f>VLOOKUP(G540,[1]ListLoaded!$E$6:$I$537,5,0)</f>
        <v>40HC</v>
      </c>
      <c r="K540" s="140">
        <f>VLOOKUP(G540,[1]ListLoaded!$E$6:$L$537,8,0)</f>
        <v>3.8</v>
      </c>
      <c r="L540" s="83" t="str">
        <f>VLOOKUP(G540,[1]ListLoaded!$E$6:$S$645,15,0)</f>
        <v/>
      </c>
      <c r="M540" s="86" t="s">
        <v>56</v>
      </c>
      <c r="N540" s="86">
        <f>VLOOKUP(G540,[1]ListLoaded!$E$6:$N$545,10,0)</f>
        <v>0</v>
      </c>
      <c r="O540" s="72" t="s">
        <v>1232</v>
      </c>
      <c r="P540" s="72">
        <f>VLOOKUP(G540,[1]ListLoaded!$E$6:$O$638,11,0)</f>
        <v>0</v>
      </c>
      <c r="Q540" s="84" t="str">
        <f t="shared" si="39"/>
        <v>E40HC</v>
      </c>
      <c r="R540" s="84" t="str">
        <f>VLOOKUP(G540,[1]ListLoaded!$E$6:$P$604,12,0)</f>
        <v>N</v>
      </c>
      <c r="S540" s="15" t="e">
        <f>I540&amp;J540&amp;#REF!</f>
        <v>#REF!</v>
      </c>
      <c r="T540" s="84"/>
      <c r="U540" s="84"/>
      <c r="V540" s="84"/>
    </row>
    <row r="541" spans="1:22">
      <c r="A541" s="23">
        <v>531</v>
      </c>
      <c r="B541" s="24" t="s">
        <v>50</v>
      </c>
      <c r="C541" s="24" t="s">
        <v>1489</v>
      </c>
      <c r="D541" s="24" t="s">
        <v>86</v>
      </c>
      <c r="E541" s="74" t="s">
        <v>52</v>
      </c>
      <c r="F541" s="24" t="s">
        <v>52</v>
      </c>
      <c r="G541" s="83" t="s">
        <v>1485</v>
      </c>
      <c r="H541" s="83" t="s">
        <v>1486</v>
      </c>
      <c r="I541" s="72" t="s">
        <v>116</v>
      </c>
      <c r="J541" s="72" t="s">
        <v>31</v>
      </c>
      <c r="K541" s="140">
        <v>22</v>
      </c>
      <c r="L541" s="83" t="s">
        <v>1487</v>
      </c>
      <c r="M541" s="86" t="s">
        <v>716</v>
      </c>
      <c r="N541" s="86"/>
      <c r="O541" s="72"/>
      <c r="P541" s="72"/>
      <c r="Q541" s="84" t="str">
        <f t="shared" si="39"/>
        <v>F20DC</v>
      </c>
      <c r="R541" s="84" t="s">
        <v>1343</v>
      </c>
      <c r="T541" s="84"/>
      <c r="U541" s="84"/>
      <c r="V541" s="84"/>
    </row>
    <row r="542" spans="1:22">
      <c r="A542" s="23"/>
      <c r="B542" s="24"/>
      <c r="C542" s="24"/>
      <c r="D542" s="24"/>
      <c r="E542" s="74"/>
      <c r="F542" s="24"/>
      <c r="G542" s="83"/>
      <c r="H542" s="83"/>
      <c r="I542" s="72"/>
      <c r="J542" s="72"/>
      <c r="K542" s="140"/>
      <c r="L542" s="83"/>
      <c r="M542" s="86"/>
      <c r="N542" s="86"/>
      <c r="O542" s="72"/>
      <c r="P542" s="72"/>
      <c r="Q542" s="84" t="str">
        <f t="shared" si="39"/>
        <v/>
      </c>
      <c r="R542" s="84"/>
      <c r="T542" s="84"/>
      <c r="U542" s="84"/>
      <c r="V542" s="84"/>
    </row>
    <row r="543" spans="1:22">
      <c r="A543" s="23"/>
      <c r="B543" s="24"/>
      <c r="C543" s="24"/>
      <c r="D543" s="24"/>
      <c r="E543" s="74"/>
      <c r="F543" s="24"/>
      <c r="G543" s="83"/>
      <c r="H543" s="83"/>
      <c r="I543" s="72"/>
      <c r="J543" s="72"/>
      <c r="K543" s="140"/>
      <c r="L543" s="83"/>
      <c r="M543" s="86"/>
      <c r="N543" s="86"/>
      <c r="O543" s="72"/>
      <c r="P543" s="72"/>
      <c r="Q543" s="84" t="str">
        <f t="shared" si="39"/>
        <v/>
      </c>
      <c r="R543" s="84"/>
      <c r="T543" s="84"/>
      <c r="U543" s="84"/>
      <c r="V543" s="84"/>
    </row>
    <row r="544" spans="1:22">
      <c r="A544" s="23"/>
      <c r="B544" s="24"/>
      <c r="C544" s="24"/>
      <c r="D544" s="24"/>
      <c r="E544" s="74"/>
      <c r="F544" s="24"/>
      <c r="G544" s="83"/>
      <c r="H544" s="83"/>
      <c r="I544" s="72"/>
      <c r="J544" s="72"/>
      <c r="K544" s="140"/>
      <c r="L544" s="83"/>
      <c r="M544" s="86"/>
      <c r="N544" s="86"/>
      <c r="O544" s="72"/>
      <c r="P544" s="72"/>
      <c r="Q544" s="84" t="str">
        <f t="shared" si="39"/>
        <v/>
      </c>
      <c r="R544" s="84"/>
      <c r="T544" s="84"/>
      <c r="U544" s="84"/>
      <c r="V544" s="84"/>
    </row>
    <row r="545" spans="1:22">
      <c r="A545" s="23"/>
      <c r="B545" s="24"/>
      <c r="C545" s="24"/>
      <c r="D545" s="24"/>
      <c r="E545" s="74"/>
      <c r="F545" s="24"/>
      <c r="G545" s="83"/>
      <c r="H545" s="83"/>
      <c r="I545" s="72"/>
      <c r="J545" s="72"/>
      <c r="K545" s="140"/>
      <c r="L545" s="83"/>
      <c r="M545" s="86"/>
      <c r="N545" s="86"/>
      <c r="O545" s="72"/>
      <c r="P545" s="72"/>
      <c r="Q545" s="84" t="str">
        <f t="shared" si="39"/>
        <v/>
      </c>
      <c r="R545" s="84"/>
      <c r="T545" s="84"/>
      <c r="U545" s="84"/>
      <c r="V545" s="84"/>
    </row>
    <row r="546" spans="1:22">
      <c r="A546" s="23"/>
      <c r="B546" s="24"/>
      <c r="C546" s="24"/>
      <c r="D546" s="24"/>
      <c r="E546" s="74"/>
      <c r="F546" s="24"/>
      <c r="G546" s="83"/>
      <c r="H546" s="83"/>
      <c r="I546" s="72"/>
      <c r="J546" s="72"/>
      <c r="K546" s="140"/>
      <c r="L546" s="83"/>
      <c r="M546" s="86"/>
      <c r="N546" s="86"/>
      <c r="O546" s="72"/>
      <c r="P546" s="72"/>
      <c r="Q546" s="84" t="str">
        <f t="shared" si="39"/>
        <v/>
      </c>
      <c r="R546" s="84"/>
      <c r="T546" s="84"/>
      <c r="U546" s="84"/>
      <c r="V546" s="84"/>
    </row>
    <row r="547" spans="1:22">
      <c r="A547" s="23"/>
      <c r="B547" s="24"/>
      <c r="C547" s="24"/>
      <c r="D547" s="24"/>
      <c r="E547" s="74"/>
      <c r="F547" s="24"/>
      <c r="G547" s="83"/>
      <c r="H547" s="83"/>
      <c r="I547" s="72"/>
      <c r="J547" s="72"/>
      <c r="K547" s="140"/>
      <c r="L547" s="83"/>
      <c r="M547" s="86"/>
      <c r="N547" s="86"/>
      <c r="O547" s="72"/>
      <c r="P547" s="72"/>
      <c r="Q547" s="84" t="str">
        <f t="shared" si="39"/>
        <v/>
      </c>
      <c r="R547" s="84"/>
      <c r="T547" s="84"/>
      <c r="U547" s="84"/>
      <c r="V547" s="84"/>
    </row>
    <row r="548" spans="1:22">
      <c r="A548" s="23"/>
      <c r="B548" s="24"/>
      <c r="C548" s="24"/>
      <c r="D548" s="24"/>
      <c r="E548" s="74"/>
      <c r="F548" s="24"/>
      <c r="G548" s="83"/>
      <c r="H548" s="83"/>
      <c r="I548" s="72"/>
      <c r="J548" s="72"/>
      <c r="K548" s="140"/>
      <c r="L548" s="83"/>
      <c r="M548" s="86"/>
      <c r="N548" s="86"/>
      <c r="O548" s="72"/>
      <c r="P548" s="72"/>
      <c r="Q548" s="84" t="str">
        <f t="shared" si="39"/>
        <v/>
      </c>
      <c r="R548" s="84"/>
      <c r="T548" s="84"/>
      <c r="U548" s="84"/>
      <c r="V548" s="84"/>
    </row>
    <row r="549" spans="1:22">
      <c r="A549" s="23"/>
      <c r="B549" s="24"/>
      <c r="C549" s="24"/>
      <c r="D549" s="24"/>
      <c r="E549" s="74"/>
      <c r="F549" s="24"/>
      <c r="G549" s="83"/>
      <c r="H549" s="83"/>
      <c r="I549" s="72"/>
      <c r="J549" s="72"/>
      <c r="K549" s="140"/>
      <c r="L549" s="83"/>
      <c r="M549" s="86"/>
      <c r="N549" s="86"/>
      <c r="O549" s="72"/>
      <c r="P549" s="72"/>
      <c r="Q549" s="84" t="str">
        <f t="shared" si="39"/>
        <v/>
      </c>
      <c r="R549" s="84"/>
      <c r="T549" s="84"/>
      <c r="U549" s="84"/>
      <c r="V549" s="84"/>
    </row>
    <row r="550" spans="1:22">
      <c r="A550" s="23"/>
      <c r="B550" s="24"/>
      <c r="C550" s="24"/>
      <c r="D550" s="24"/>
      <c r="E550" s="74"/>
      <c r="F550" s="24"/>
      <c r="G550" s="83"/>
      <c r="H550" s="83"/>
      <c r="I550" s="72"/>
      <c r="J550" s="72"/>
      <c r="K550" s="140"/>
      <c r="L550" s="83"/>
      <c r="M550" s="86"/>
      <c r="N550" s="86"/>
      <c r="O550" s="72"/>
      <c r="P550" s="72"/>
      <c r="Q550" s="84" t="str">
        <f t="shared" si="39"/>
        <v/>
      </c>
      <c r="R550" s="84"/>
      <c r="T550" s="84"/>
      <c r="U550" s="84"/>
      <c r="V550" s="84"/>
    </row>
    <row r="551" spans="1:22">
      <c r="A551" s="23"/>
      <c r="B551" s="24"/>
      <c r="C551" s="24"/>
      <c r="D551" s="24"/>
      <c r="E551" s="74"/>
      <c r="F551" s="24"/>
      <c r="G551" s="83"/>
      <c r="H551" s="83"/>
      <c r="I551" s="72"/>
      <c r="J551" s="72"/>
      <c r="K551" s="140"/>
      <c r="L551" s="83"/>
      <c r="M551" s="86"/>
      <c r="N551" s="86"/>
      <c r="O551" s="72"/>
      <c r="P551" s="72"/>
      <c r="Q551" s="84" t="str">
        <f t="shared" si="39"/>
        <v/>
      </c>
      <c r="R551" s="84"/>
      <c r="T551" s="84"/>
      <c r="U551" s="84"/>
      <c r="V551" s="84"/>
    </row>
    <row r="552" spans="1:22">
      <c r="A552" s="23"/>
      <c r="B552" s="24"/>
      <c r="C552" s="24"/>
      <c r="D552" s="24"/>
      <c r="E552" s="74"/>
      <c r="F552" s="24"/>
      <c r="G552" s="83"/>
      <c r="H552" s="83"/>
      <c r="I552" s="72"/>
      <c r="J552" s="72"/>
      <c r="K552" s="140"/>
      <c r="L552" s="83"/>
      <c r="M552" s="86"/>
      <c r="N552" s="86"/>
      <c r="O552" s="72"/>
      <c r="P552" s="72"/>
      <c r="Q552" s="84" t="str">
        <f t="shared" si="39"/>
        <v/>
      </c>
      <c r="R552" s="84"/>
      <c r="T552" s="84"/>
      <c r="U552" s="84"/>
      <c r="V552" s="84"/>
    </row>
    <row r="553" spans="1:22">
      <c r="A553" s="23"/>
      <c r="B553" s="24"/>
      <c r="C553" s="24"/>
      <c r="D553" s="24"/>
      <c r="E553" s="74"/>
      <c r="F553" s="24"/>
      <c r="G553" s="83"/>
      <c r="H553" s="83"/>
      <c r="I553" s="72"/>
      <c r="J553" s="72"/>
      <c r="K553" s="140"/>
      <c r="L553" s="83"/>
      <c r="M553" s="86"/>
      <c r="N553" s="86"/>
      <c r="O553" s="72"/>
      <c r="P553" s="72"/>
      <c r="Q553" s="84" t="str">
        <f t="shared" si="39"/>
        <v/>
      </c>
      <c r="R553" s="84"/>
      <c r="T553" s="84"/>
      <c r="U553" s="84"/>
      <c r="V553" s="84"/>
    </row>
    <row r="554" spans="1:22">
      <c r="A554" s="23"/>
      <c r="B554" s="24"/>
      <c r="C554" s="24"/>
      <c r="D554" s="24"/>
      <c r="E554" s="74"/>
      <c r="F554" s="24"/>
      <c r="G554" s="83"/>
      <c r="H554" s="83"/>
      <c r="I554" s="72"/>
      <c r="J554" s="72"/>
      <c r="K554" s="140"/>
      <c r="L554" s="83"/>
      <c r="M554" s="86"/>
      <c r="N554" s="86"/>
      <c r="O554" s="72"/>
      <c r="P554" s="72"/>
      <c r="Q554" s="84" t="str">
        <f t="shared" si="39"/>
        <v/>
      </c>
      <c r="R554" s="84"/>
      <c r="T554" s="84"/>
      <c r="U554" s="84"/>
      <c r="V554" s="84"/>
    </row>
    <row r="555" spans="1:22">
      <c r="A555" s="23"/>
      <c r="B555" s="24"/>
      <c r="C555" s="24"/>
      <c r="D555" s="24"/>
      <c r="E555" s="74"/>
      <c r="F555" s="24"/>
      <c r="G555" s="83"/>
      <c r="H555" s="83"/>
      <c r="I555" s="72"/>
      <c r="J555" s="72"/>
      <c r="K555" s="140"/>
      <c r="L555" s="83"/>
      <c r="M555" s="86"/>
      <c r="N555" s="86"/>
      <c r="O555" s="72"/>
      <c r="P555" s="72"/>
      <c r="Q555" s="84" t="str">
        <f t="shared" si="39"/>
        <v/>
      </c>
      <c r="R555" s="84"/>
      <c r="T555" s="84"/>
      <c r="U555" s="84"/>
      <c r="V555" s="84"/>
    </row>
    <row r="556" spans="1:22">
      <c r="A556" s="23"/>
      <c r="B556" s="24"/>
      <c r="C556" s="24"/>
      <c r="D556" s="24"/>
      <c r="E556" s="74"/>
      <c r="F556" s="24"/>
      <c r="G556" s="83"/>
      <c r="H556" s="83"/>
      <c r="I556" s="72"/>
      <c r="J556" s="72"/>
      <c r="K556" s="140"/>
      <c r="L556" s="83"/>
      <c r="M556" s="86"/>
      <c r="N556" s="86"/>
      <c r="O556" s="72"/>
      <c r="P556" s="72"/>
      <c r="Q556" s="84" t="str">
        <f t="shared" si="39"/>
        <v/>
      </c>
      <c r="R556" s="84"/>
      <c r="T556" s="84"/>
      <c r="U556" s="84"/>
      <c r="V556" s="84"/>
    </row>
    <row r="557" spans="1:22">
      <c r="A557" s="23"/>
      <c r="B557" s="24"/>
      <c r="C557" s="24"/>
      <c r="D557" s="24"/>
      <c r="E557" s="74"/>
      <c r="F557" s="24"/>
      <c r="G557" s="83"/>
      <c r="H557" s="83"/>
      <c r="I557" s="72"/>
      <c r="J557" s="72"/>
      <c r="K557" s="140"/>
      <c r="L557" s="83"/>
      <c r="M557" s="86"/>
      <c r="N557" s="86"/>
      <c r="O557" s="72"/>
      <c r="P557" s="72"/>
      <c r="Q557" s="84" t="str">
        <f t="shared" si="39"/>
        <v/>
      </c>
      <c r="R557" s="84"/>
      <c r="T557" s="84"/>
      <c r="U557" s="84"/>
      <c r="V557" s="84"/>
    </row>
    <row r="558" spans="1:22">
      <c r="A558" s="23"/>
      <c r="B558" s="24"/>
      <c r="C558" s="24"/>
      <c r="D558" s="24"/>
      <c r="E558" s="74"/>
      <c r="F558" s="24"/>
      <c r="G558" s="83"/>
      <c r="H558" s="83"/>
      <c r="I558" s="72"/>
      <c r="J558" s="72"/>
      <c r="K558" s="140"/>
      <c r="L558" s="83"/>
      <c r="M558" s="86"/>
      <c r="N558" s="86"/>
      <c r="O558" s="72"/>
      <c r="P558" s="72"/>
      <c r="Q558" s="84" t="str">
        <f t="shared" si="39"/>
        <v/>
      </c>
      <c r="R558" s="84"/>
      <c r="T558" s="84"/>
      <c r="U558" s="84"/>
      <c r="V558" s="84"/>
    </row>
    <row r="559" spans="1:22">
      <c r="A559" s="23"/>
      <c r="B559" s="24"/>
      <c r="C559" s="24"/>
      <c r="D559" s="24"/>
      <c r="E559" s="74"/>
      <c r="F559" s="24"/>
      <c r="G559" s="83"/>
      <c r="H559" s="83"/>
      <c r="I559" s="72"/>
      <c r="J559" s="72"/>
      <c r="K559" s="140"/>
      <c r="L559" s="83"/>
      <c r="M559" s="86"/>
      <c r="N559" s="86"/>
      <c r="O559" s="72"/>
      <c r="P559" s="72"/>
      <c r="Q559" s="84" t="str">
        <f t="shared" si="39"/>
        <v/>
      </c>
      <c r="R559" s="84"/>
      <c r="T559" s="84"/>
      <c r="U559" s="84"/>
      <c r="V559" s="84"/>
    </row>
    <row r="560" spans="1:22">
      <c r="A560" s="23"/>
      <c r="B560" s="24"/>
      <c r="C560" s="24"/>
      <c r="D560" s="24"/>
      <c r="E560" s="74"/>
      <c r="F560" s="24"/>
      <c r="G560" s="83"/>
      <c r="H560" s="83"/>
      <c r="I560" s="72"/>
      <c r="J560" s="72"/>
      <c r="K560" s="140"/>
      <c r="L560" s="83"/>
      <c r="M560" s="86"/>
      <c r="N560" s="86"/>
      <c r="O560" s="72"/>
      <c r="P560" s="72"/>
      <c r="Q560" s="84" t="str">
        <f t="shared" si="39"/>
        <v/>
      </c>
      <c r="R560" s="84"/>
      <c r="T560" s="84"/>
      <c r="U560" s="84"/>
      <c r="V560" s="84"/>
    </row>
    <row r="561" spans="1:22">
      <c r="A561" s="23"/>
      <c r="B561" s="24"/>
      <c r="C561" s="24"/>
      <c r="D561" s="24"/>
      <c r="E561" s="74"/>
      <c r="F561" s="24"/>
      <c r="G561" s="83"/>
      <c r="H561" s="83"/>
      <c r="I561" s="72"/>
      <c r="J561" s="72"/>
      <c r="K561" s="140"/>
      <c r="L561" s="83"/>
      <c r="M561" s="86"/>
      <c r="N561" s="86"/>
      <c r="O561" s="72"/>
      <c r="P561" s="72"/>
      <c r="Q561" s="84" t="str">
        <f t="shared" si="39"/>
        <v/>
      </c>
      <c r="R561" s="84"/>
      <c r="T561" s="84"/>
      <c r="U561" s="84"/>
      <c r="V561" s="84"/>
    </row>
    <row r="562" spans="1:22">
      <c r="A562" s="23"/>
      <c r="B562" s="24"/>
      <c r="C562" s="24"/>
      <c r="D562" s="24"/>
      <c r="E562" s="74"/>
      <c r="F562" s="24"/>
      <c r="G562" s="83"/>
      <c r="H562" s="83"/>
      <c r="I562" s="72"/>
      <c r="J562" s="72"/>
      <c r="K562" s="140"/>
      <c r="L562" s="83"/>
      <c r="M562" s="86"/>
      <c r="N562" s="86"/>
      <c r="O562" s="72"/>
      <c r="P562" s="72"/>
      <c r="Q562" s="84" t="str">
        <f t="shared" si="39"/>
        <v/>
      </c>
      <c r="R562" s="84"/>
      <c r="T562" s="84"/>
      <c r="U562" s="84"/>
      <c r="V562" s="84"/>
    </row>
    <row r="563" spans="1:22">
      <c r="A563" s="23"/>
      <c r="B563" s="24"/>
      <c r="C563" s="24"/>
      <c r="D563" s="24"/>
      <c r="E563" s="74"/>
      <c r="F563" s="24"/>
      <c r="G563" s="83"/>
      <c r="H563" s="83"/>
      <c r="I563" s="72"/>
      <c r="J563" s="72"/>
      <c r="K563" s="140"/>
      <c r="L563" s="83"/>
      <c r="M563" s="86"/>
      <c r="N563" s="86"/>
      <c r="O563" s="72"/>
      <c r="P563" s="72"/>
      <c r="Q563" s="84" t="str">
        <f t="shared" si="39"/>
        <v/>
      </c>
      <c r="R563" s="84"/>
      <c r="T563" s="84"/>
      <c r="U563" s="84"/>
      <c r="V563" s="84"/>
    </row>
    <row r="564" spans="1:22">
      <c r="A564" s="23"/>
      <c r="B564" s="24"/>
      <c r="C564" s="24"/>
      <c r="D564" s="24"/>
      <c r="E564" s="74"/>
      <c r="F564" s="24"/>
      <c r="G564" s="83"/>
      <c r="H564" s="83"/>
      <c r="I564" s="72"/>
      <c r="J564" s="72"/>
      <c r="K564" s="140"/>
      <c r="L564" s="83"/>
      <c r="M564" s="86"/>
      <c r="N564" s="86"/>
      <c r="O564" s="72"/>
      <c r="P564" s="72"/>
      <c r="Q564" s="84" t="str">
        <f t="shared" si="39"/>
        <v/>
      </c>
      <c r="R564" s="84"/>
      <c r="T564" s="84"/>
      <c r="U564" s="84"/>
      <c r="V564" s="84"/>
    </row>
    <row r="565" spans="1:22">
      <c r="A565" s="23"/>
      <c r="B565" s="24"/>
      <c r="C565" s="24"/>
      <c r="D565" s="24"/>
      <c r="E565" s="74"/>
      <c r="F565" s="24"/>
      <c r="G565" s="83"/>
      <c r="H565" s="83"/>
      <c r="I565" s="72"/>
      <c r="J565" s="72"/>
      <c r="K565" s="140"/>
      <c r="L565" s="83"/>
      <c r="M565" s="86"/>
      <c r="N565" s="86"/>
      <c r="O565" s="72"/>
      <c r="P565" s="72"/>
      <c r="Q565" s="84" t="str">
        <f t="shared" si="39"/>
        <v/>
      </c>
      <c r="R565" s="84"/>
      <c r="T565" s="84"/>
      <c r="U565" s="84"/>
      <c r="V565" s="84"/>
    </row>
    <row r="566" spans="1:22">
      <c r="A566" s="23"/>
      <c r="B566" s="24"/>
      <c r="C566" s="24"/>
      <c r="D566" s="24"/>
      <c r="E566" s="74"/>
      <c r="F566" s="24"/>
      <c r="G566" s="83"/>
      <c r="H566" s="83"/>
      <c r="I566" s="72"/>
      <c r="J566" s="72"/>
      <c r="K566" s="140"/>
      <c r="L566" s="83"/>
      <c r="M566" s="86"/>
      <c r="N566" s="86"/>
      <c r="O566" s="72"/>
      <c r="P566" s="72"/>
      <c r="Q566" s="84" t="str">
        <f t="shared" si="39"/>
        <v/>
      </c>
      <c r="R566" s="84"/>
      <c r="T566" s="84"/>
      <c r="U566" s="84"/>
      <c r="V566" s="84"/>
    </row>
    <row r="567" spans="1:22">
      <c r="A567" s="23"/>
      <c r="B567" s="24"/>
      <c r="C567" s="24"/>
      <c r="D567" s="24"/>
      <c r="E567" s="74"/>
      <c r="F567" s="24"/>
      <c r="G567" s="83"/>
      <c r="H567" s="83"/>
      <c r="I567" s="72"/>
      <c r="J567" s="72"/>
      <c r="K567" s="140"/>
      <c r="L567" s="83"/>
      <c r="M567" s="86"/>
      <c r="N567" s="86"/>
      <c r="O567" s="72"/>
      <c r="P567" s="72"/>
      <c r="Q567" s="84" t="str">
        <f t="shared" si="39"/>
        <v/>
      </c>
      <c r="R567" s="84"/>
      <c r="T567" s="84"/>
      <c r="U567" s="84"/>
      <c r="V567" s="84"/>
    </row>
    <row r="568" spans="1:22">
      <c r="A568" s="23"/>
      <c r="B568" s="24"/>
      <c r="C568" s="24"/>
      <c r="D568" s="24"/>
      <c r="E568" s="74"/>
      <c r="F568" s="24"/>
      <c r="G568" s="83"/>
      <c r="H568" s="83"/>
      <c r="I568" s="72"/>
      <c r="J568" s="72"/>
      <c r="K568" s="140"/>
      <c r="L568" s="83"/>
      <c r="M568" s="86"/>
      <c r="N568" s="86"/>
      <c r="O568" s="72"/>
      <c r="P568" s="72"/>
      <c r="Q568" s="84" t="str">
        <f t="shared" si="39"/>
        <v/>
      </c>
      <c r="R568" s="84"/>
      <c r="T568" s="84"/>
      <c r="U568" s="84"/>
      <c r="V568" s="84"/>
    </row>
    <row r="569" spans="1:22">
      <c r="A569" s="23"/>
      <c r="B569" s="24"/>
      <c r="C569" s="24"/>
      <c r="D569" s="24"/>
      <c r="E569" s="74"/>
      <c r="F569" s="24"/>
      <c r="G569" s="83"/>
      <c r="H569" s="83"/>
      <c r="I569" s="72"/>
      <c r="J569" s="72"/>
      <c r="K569" s="140"/>
      <c r="L569" s="83"/>
      <c r="M569" s="86"/>
      <c r="N569" s="86"/>
      <c r="O569" s="72"/>
      <c r="P569" s="72"/>
      <c r="Q569" s="84" t="str">
        <f t="shared" si="39"/>
        <v/>
      </c>
      <c r="R569" s="84"/>
      <c r="T569" s="84"/>
      <c r="U569" s="84"/>
      <c r="V569" s="84"/>
    </row>
    <row r="570" spans="1:22">
      <c r="A570" s="23"/>
      <c r="B570" s="24"/>
      <c r="C570" s="24"/>
      <c r="D570" s="24"/>
      <c r="E570" s="74"/>
      <c r="F570" s="24"/>
      <c r="G570" s="83"/>
      <c r="H570" s="83"/>
      <c r="I570" s="72"/>
      <c r="J570" s="72"/>
      <c r="K570" s="140"/>
      <c r="L570" s="83"/>
      <c r="M570" s="86"/>
      <c r="N570" s="86"/>
      <c r="O570" s="72"/>
      <c r="P570" s="72"/>
      <c r="Q570" s="84" t="str">
        <f t="shared" si="39"/>
        <v/>
      </c>
      <c r="R570" s="84"/>
      <c r="T570" s="84"/>
      <c r="U570" s="84"/>
      <c r="V570" s="84"/>
    </row>
    <row r="571" spans="1:22">
      <c r="A571" s="23"/>
      <c r="B571" s="24"/>
      <c r="C571" s="24"/>
      <c r="D571" s="24"/>
      <c r="E571" s="74"/>
      <c r="F571" s="24"/>
      <c r="G571" s="83"/>
      <c r="H571" s="83"/>
      <c r="I571" s="72"/>
      <c r="J571" s="72"/>
      <c r="K571" s="140"/>
      <c r="L571" s="83"/>
      <c r="M571" s="86"/>
      <c r="N571" s="86"/>
      <c r="O571" s="72"/>
      <c r="P571" s="72"/>
      <c r="Q571" s="84" t="str">
        <f t="shared" si="39"/>
        <v/>
      </c>
      <c r="R571" s="84"/>
      <c r="T571" s="84"/>
      <c r="U571" s="84"/>
      <c r="V571" s="84"/>
    </row>
    <row r="572" spans="1:22">
      <c r="A572" s="23"/>
      <c r="B572" s="24"/>
      <c r="C572" s="24"/>
      <c r="D572" s="24"/>
      <c r="E572" s="74"/>
      <c r="F572" s="24"/>
      <c r="G572" s="83"/>
      <c r="H572" s="83"/>
      <c r="I572" s="72"/>
      <c r="J572" s="72"/>
      <c r="K572" s="140"/>
      <c r="L572" s="83"/>
      <c r="M572" s="86"/>
      <c r="N572" s="86"/>
      <c r="O572" s="72"/>
      <c r="P572" s="72"/>
      <c r="Q572" s="84" t="str">
        <f t="shared" si="39"/>
        <v/>
      </c>
      <c r="R572" s="84"/>
      <c r="T572" s="84"/>
      <c r="U572" s="84"/>
      <c r="V572" s="84"/>
    </row>
    <row r="573" spans="1:22">
      <c r="A573" s="23"/>
      <c r="B573" s="24"/>
      <c r="C573" s="24"/>
      <c r="D573" s="24"/>
      <c r="E573" s="74"/>
      <c r="F573" s="24"/>
      <c r="G573" s="83"/>
      <c r="H573" s="83"/>
      <c r="I573" s="72"/>
      <c r="J573" s="72"/>
      <c r="K573" s="140"/>
      <c r="L573" s="83"/>
      <c r="M573" s="86"/>
      <c r="N573" s="86"/>
      <c r="O573" s="72"/>
      <c r="P573" s="72"/>
      <c r="Q573" s="84" t="str">
        <f t="shared" si="39"/>
        <v/>
      </c>
      <c r="R573" s="84"/>
      <c r="T573" s="84"/>
      <c r="U573" s="84"/>
      <c r="V573" s="84"/>
    </row>
    <row r="574" spans="1:22">
      <c r="A574" s="23"/>
      <c r="B574" s="24"/>
      <c r="C574" s="24"/>
      <c r="D574" s="24"/>
      <c r="E574" s="74"/>
      <c r="F574" s="24"/>
      <c r="G574" s="83"/>
      <c r="H574" s="83"/>
      <c r="I574" s="72"/>
      <c r="J574" s="72"/>
      <c r="K574" s="140"/>
      <c r="L574" s="83"/>
      <c r="M574" s="86"/>
      <c r="N574" s="86"/>
      <c r="O574" s="72"/>
      <c r="P574" s="72"/>
      <c r="Q574" s="84" t="str">
        <f t="shared" si="39"/>
        <v/>
      </c>
      <c r="R574" s="84"/>
      <c r="T574" s="84"/>
      <c r="U574" s="84"/>
      <c r="V574" s="84"/>
    </row>
    <row r="575" spans="1:22">
      <c r="A575" s="23"/>
      <c r="B575" s="24"/>
      <c r="C575" s="24"/>
      <c r="D575" s="24"/>
      <c r="E575" s="74"/>
      <c r="F575" s="24"/>
      <c r="G575" s="83"/>
      <c r="H575" s="83"/>
      <c r="I575" s="72"/>
      <c r="J575" s="72"/>
      <c r="K575" s="140"/>
      <c r="L575" s="83"/>
      <c r="M575" s="86"/>
      <c r="N575" s="86"/>
      <c r="O575" s="72"/>
      <c r="P575" s="72"/>
      <c r="Q575" s="84" t="str">
        <f t="shared" si="39"/>
        <v/>
      </c>
      <c r="R575" s="84"/>
      <c r="T575" s="84"/>
      <c r="U575" s="84"/>
      <c r="V575" s="84"/>
    </row>
    <row r="576" spans="1:22">
      <c r="A576" s="23"/>
      <c r="B576" s="24"/>
      <c r="C576" s="24"/>
      <c r="D576" s="24"/>
      <c r="E576" s="74"/>
      <c r="F576" s="24"/>
      <c r="G576" s="83"/>
      <c r="H576" s="83"/>
      <c r="I576" s="72"/>
      <c r="J576" s="72"/>
      <c r="K576" s="140"/>
      <c r="L576" s="83"/>
      <c r="M576" s="86"/>
      <c r="N576" s="86"/>
      <c r="O576" s="72"/>
      <c r="P576" s="72"/>
      <c r="Q576" s="84" t="str">
        <f t="shared" si="39"/>
        <v/>
      </c>
      <c r="R576" s="84"/>
      <c r="T576" s="84"/>
      <c r="U576" s="84"/>
      <c r="V576" s="84"/>
    </row>
    <row r="577" spans="1:22">
      <c r="A577" s="23"/>
      <c r="B577" s="24"/>
      <c r="C577" s="24"/>
      <c r="D577" s="24"/>
      <c r="E577" s="74"/>
      <c r="F577" s="24"/>
      <c r="G577" s="83"/>
      <c r="H577" s="83"/>
      <c r="I577" s="72"/>
      <c r="J577" s="72"/>
      <c r="K577" s="140"/>
      <c r="L577" s="83"/>
      <c r="M577" s="86"/>
      <c r="N577" s="86"/>
      <c r="O577" s="72"/>
      <c r="P577" s="72"/>
      <c r="Q577" s="84" t="str">
        <f t="shared" si="39"/>
        <v/>
      </c>
      <c r="R577" s="84"/>
      <c r="T577" s="84"/>
      <c r="U577" s="84"/>
      <c r="V577" s="84"/>
    </row>
    <row r="578" spans="1:22">
      <c r="A578" s="23"/>
      <c r="B578" s="24"/>
      <c r="C578" s="24"/>
      <c r="D578" s="24"/>
      <c r="E578" s="74"/>
      <c r="F578" s="24"/>
      <c r="G578" s="83"/>
      <c r="H578" s="83"/>
      <c r="I578" s="72"/>
      <c r="J578" s="72"/>
      <c r="K578" s="140"/>
      <c r="L578" s="83"/>
      <c r="M578" s="86"/>
      <c r="N578" s="86"/>
      <c r="O578" s="72"/>
      <c r="P578" s="72"/>
      <c r="Q578" s="84" t="str">
        <f t="shared" si="39"/>
        <v/>
      </c>
      <c r="R578" s="84"/>
      <c r="T578" s="84"/>
      <c r="U578" s="84"/>
      <c r="V578" s="84"/>
    </row>
    <row r="579" spans="1:22">
      <c r="A579" s="23"/>
      <c r="B579" s="24"/>
      <c r="C579" s="24"/>
      <c r="D579" s="24"/>
      <c r="E579" s="74"/>
      <c r="F579" s="24"/>
      <c r="G579" s="83"/>
      <c r="H579" s="83"/>
      <c r="I579" s="72"/>
      <c r="J579" s="72"/>
      <c r="K579" s="140"/>
      <c r="L579" s="83"/>
      <c r="M579" s="86"/>
      <c r="N579" s="86"/>
      <c r="O579" s="72"/>
      <c r="P579" s="72"/>
      <c r="Q579" s="84" t="str">
        <f t="shared" si="39"/>
        <v/>
      </c>
      <c r="R579" s="84"/>
      <c r="T579" s="84"/>
      <c r="U579" s="84"/>
      <c r="V579" s="84"/>
    </row>
    <row r="580" spans="1:22">
      <c r="A580" s="23"/>
      <c r="B580" s="24"/>
      <c r="C580" s="24"/>
      <c r="D580" s="24"/>
      <c r="E580" s="74"/>
      <c r="F580" s="24"/>
      <c r="G580" s="83"/>
      <c r="H580" s="83"/>
      <c r="I580" s="72"/>
      <c r="J580" s="72"/>
      <c r="K580" s="140"/>
      <c r="L580" s="83"/>
      <c r="M580" s="86"/>
      <c r="N580" s="86"/>
      <c r="O580" s="72"/>
      <c r="P580" s="72"/>
      <c r="Q580" s="84" t="str">
        <f t="shared" si="39"/>
        <v/>
      </c>
      <c r="R580" s="84"/>
      <c r="T580" s="84"/>
      <c r="U580" s="84"/>
      <c r="V580" s="84"/>
    </row>
    <row r="581" spans="1:22">
      <c r="A581" s="23"/>
      <c r="B581" s="24"/>
      <c r="C581" s="24"/>
      <c r="D581" s="24"/>
      <c r="E581" s="74"/>
      <c r="F581" s="24"/>
      <c r="G581" s="83"/>
      <c r="H581" s="83"/>
      <c r="I581" s="72"/>
      <c r="J581" s="72"/>
      <c r="K581" s="140"/>
      <c r="L581" s="83"/>
      <c r="M581" s="86"/>
      <c r="N581" s="86"/>
      <c r="O581" s="72"/>
      <c r="P581" s="72"/>
      <c r="Q581" s="84"/>
      <c r="R581" s="84"/>
      <c r="T581" s="84"/>
      <c r="U581" s="84"/>
      <c r="V581" s="84"/>
    </row>
    <row r="582" spans="1:22">
      <c r="A582" s="23"/>
      <c r="B582" s="24"/>
      <c r="C582" s="24"/>
      <c r="D582" s="24"/>
      <c r="E582" s="74"/>
      <c r="F582" s="24"/>
      <c r="G582" s="83"/>
      <c r="H582" s="83"/>
      <c r="I582" s="72"/>
      <c r="J582" s="72"/>
      <c r="K582" s="140"/>
      <c r="L582" s="83"/>
      <c r="M582" s="86"/>
      <c r="N582" s="86"/>
      <c r="O582" s="72"/>
      <c r="P582" s="72"/>
      <c r="Q582" s="84"/>
      <c r="R582" s="84"/>
      <c r="T582" s="84"/>
      <c r="U582" s="84"/>
      <c r="V582" s="84"/>
    </row>
    <row r="583" spans="1:22">
      <c r="A583" s="23"/>
      <c r="B583" s="24"/>
      <c r="C583" s="24"/>
      <c r="D583" s="24"/>
      <c r="E583" s="74"/>
      <c r="F583" s="24"/>
      <c r="G583" s="83"/>
      <c r="H583" s="83"/>
      <c r="I583" s="72"/>
      <c r="J583" s="72"/>
      <c r="K583" s="140"/>
      <c r="L583" s="83"/>
      <c r="M583" s="86"/>
      <c r="N583" s="86"/>
      <c r="O583" s="72"/>
      <c r="P583" s="72"/>
      <c r="Q583" s="84"/>
      <c r="R583" s="84"/>
      <c r="T583" s="84"/>
      <c r="U583" s="84"/>
      <c r="V583" s="84"/>
    </row>
    <row r="584" spans="1:22">
      <c r="A584" s="23"/>
      <c r="B584" s="24"/>
      <c r="C584" s="24"/>
      <c r="D584" s="24"/>
      <c r="E584" s="74"/>
      <c r="F584" s="24"/>
      <c r="G584" s="83"/>
      <c r="H584" s="83"/>
      <c r="I584" s="72"/>
      <c r="J584" s="72"/>
      <c r="K584" s="140"/>
      <c r="L584" s="83"/>
      <c r="M584" s="86"/>
      <c r="N584" s="86"/>
      <c r="O584" s="72"/>
      <c r="P584" s="72"/>
      <c r="Q584" s="84"/>
      <c r="R584" s="84"/>
      <c r="T584" s="84"/>
      <c r="U584" s="84"/>
      <c r="V584" s="84"/>
    </row>
    <row r="585" spans="1:22">
      <c r="A585" s="23"/>
      <c r="B585" s="24"/>
      <c r="C585" s="24"/>
      <c r="D585" s="24"/>
      <c r="E585" s="74"/>
      <c r="F585" s="24"/>
      <c r="G585" s="83"/>
      <c r="H585" s="83"/>
      <c r="I585" s="72"/>
      <c r="J585" s="72"/>
      <c r="K585" s="140"/>
      <c r="L585" s="83"/>
      <c r="M585" s="86"/>
      <c r="N585" s="86"/>
      <c r="O585" s="72"/>
      <c r="P585" s="72"/>
      <c r="Q585" s="84"/>
      <c r="R585" s="84"/>
      <c r="T585" s="84"/>
      <c r="U585" s="84"/>
      <c r="V585" s="84"/>
    </row>
    <row r="586" spans="1:22">
      <c r="A586" s="23"/>
      <c r="B586" s="24"/>
      <c r="C586" s="24"/>
      <c r="D586" s="24"/>
      <c r="E586" s="74"/>
      <c r="F586" s="24"/>
      <c r="G586" s="83"/>
      <c r="H586" s="83"/>
      <c r="I586" s="72"/>
      <c r="J586" s="72"/>
      <c r="K586" s="140"/>
      <c r="L586" s="83"/>
      <c r="M586" s="86"/>
      <c r="N586" s="86"/>
      <c r="O586" s="72"/>
      <c r="P586" s="72"/>
      <c r="Q586" s="84"/>
      <c r="R586" s="84"/>
      <c r="T586" s="84"/>
      <c r="U586" s="84"/>
      <c r="V586" s="84"/>
    </row>
    <row r="587" spans="1:22">
      <c r="A587" s="23"/>
      <c r="B587" s="24"/>
      <c r="C587" s="24"/>
      <c r="D587" s="24"/>
      <c r="E587" s="74"/>
      <c r="F587" s="24"/>
      <c r="G587" s="83"/>
      <c r="H587" s="83"/>
      <c r="I587" s="72"/>
      <c r="J587" s="72"/>
      <c r="K587" s="140"/>
      <c r="L587" s="83"/>
      <c r="M587" s="86"/>
      <c r="N587" s="86"/>
      <c r="O587" s="72"/>
      <c r="P587" s="72"/>
      <c r="Q587" s="84"/>
      <c r="R587" s="84"/>
      <c r="T587" s="84"/>
      <c r="U587" s="84"/>
      <c r="V587" s="84"/>
    </row>
    <row r="588" spans="1:22">
      <c r="A588" s="23"/>
      <c r="B588" s="24"/>
      <c r="C588" s="24"/>
      <c r="D588" s="24"/>
      <c r="E588" s="74"/>
      <c r="F588" s="24"/>
      <c r="G588" s="83"/>
      <c r="H588" s="83"/>
      <c r="I588" s="72"/>
      <c r="J588" s="72"/>
      <c r="K588" s="140"/>
      <c r="L588" s="83"/>
      <c r="M588" s="86"/>
      <c r="N588" s="86"/>
      <c r="O588" s="72"/>
      <c r="P588" s="72"/>
      <c r="Q588" s="84"/>
      <c r="R588" s="84"/>
      <c r="T588" s="84"/>
      <c r="U588" s="84"/>
      <c r="V588" s="84"/>
    </row>
    <row r="589" spans="1:22">
      <c r="A589" s="23"/>
      <c r="B589" s="24"/>
      <c r="C589" s="24"/>
      <c r="D589" s="24"/>
      <c r="E589" s="74"/>
      <c r="F589" s="24"/>
      <c r="G589" s="83"/>
      <c r="H589" s="83"/>
      <c r="I589" s="72"/>
      <c r="J589" s="72"/>
      <c r="K589" s="140"/>
      <c r="L589" s="83"/>
      <c r="M589" s="86"/>
      <c r="N589" s="86"/>
      <c r="O589" s="72"/>
      <c r="P589" s="72"/>
      <c r="Q589" s="84"/>
      <c r="R589" s="84"/>
      <c r="T589" s="84"/>
      <c r="U589" s="84"/>
      <c r="V589" s="84"/>
    </row>
    <row r="590" spans="1:22">
      <c r="A590" s="23"/>
      <c r="B590" s="24"/>
      <c r="C590" s="24"/>
      <c r="D590" s="24"/>
      <c r="E590" s="74"/>
      <c r="F590" s="24"/>
      <c r="G590" s="83"/>
      <c r="H590" s="83"/>
      <c r="I590" s="72"/>
      <c r="J590" s="72"/>
      <c r="K590" s="140"/>
      <c r="L590" s="83"/>
      <c r="M590" s="86"/>
      <c r="N590" s="86"/>
      <c r="O590" s="72"/>
      <c r="P590" s="72"/>
      <c r="Q590" s="84"/>
      <c r="R590" s="84"/>
      <c r="T590" s="84"/>
      <c r="U590" s="84"/>
      <c r="V590" s="84"/>
    </row>
    <row r="591" spans="1:22">
      <c r="A591" s="23"/>
      <c r="B591" s="24"/>
      <c r="C591" s="24"/>
      <c r="D591" s="24"/>
      <c r="E591" s="74"/>
      <c r="F591" s="24"/>
      <c r="G591" s="83"/>
      <c r="H591" s="83"/>
      <c r="I591" s="72"/>
      <c r="J591" s="72"/>
      <c r="K591" s="140"/>
      <c r="L591" s="83"/>
      <c r="M591" s="86"/>
      <c r="N591" s="86"/>
      <c r="O591" s="72"/>
      <c r="P591" s="72"/>
      <c r="Q591" s="84"/>
      <c r="R591" s="84"/>
      <c r="T591" s="84"/>
      <c r="U591" s="84"/>
      <c r="V591" s="84"/>
    </row>
    <row r="592" spans="1:22">
      <c r="A592" s="23"/>
      <c r="B592" s="24"/>
      <c r="C592" s="24"/>
      <c r="D592" s="24"/>
      <c r="E592" s="74"/>
      <c r="F592" s="24"/>
      <c r="G592" s="83"/>
      <c r="H592" s="83"/>
      <c r="I592" s="72"/>
      <c r="J592" s="72"/>
      <c r="K592" s="140"/>
      <c r="L592" s="83"/>
      <c r="M592" s="86"/>
      <c r="N592" s="86"/>
      <c r="O592" s="72"/>
      <c r="P592" s="72"/>
      <c r="Q592" s="84"/>
      <c r="R592" s="84"/>
      <c r="T592" s="84"/>
      <c r="U592" s="84"/>
      <c r="V592" s="84"/>
    </row>
    <row r="593" spans="1:22">
      <c r="A593" s="23"/>
      <c r="B593" s="24"/>
      <c r="C593" s="24"/>
      <c r="D593" s="24"/>
      <c r="E593" s="74"/>
      <c r="F593" s="24"/>
      <c r="G593" s="83"/>
      <c r="H593" s="83"/>
      <c r="I593" s="72"/>
      <c r="J593" s="72"/>
      <c r="K593" s="140"/>
      <c r="L593" s="83"/>
      <c r="M593" s="86"/>
      <c r="N593" s="86"/>
      <c r="O593" s="72"/>
      <c r="P593" s="72"/>
      <c r="Q593" s="84"/>
      <c r="R593" s="84"/>
      <c r="T593" s="84"/>
      <c r="U593" s="84"/>
      <c r="V593" s="84"/>
    </row>
    <row r="594" spans="1:22">
      <c r="A594" s="23"/>
      <c r="B594" s="24"/>
      <c r="C594" s="24"/>
      <c r="D594" s="24"/>
      <c r="E594" s="74"/>
      <c r="F594" s="24"/>
      <c r="G594" s="83"/>
      <c r="H594" s="83"/>
      <c r="I594" s="72"/>
      <c r="J594" s="72"/>
      <c r="K594" s="140"/>
      <c r="L594" s="83"/>
      <c r="M594" s="86"/>
      <c r="N594" s="86"/>
      <c r="O594" s="72"/>
      <c r="P594" s="72"/>
      <c r="Q594" s="84"/>
      <c r="R594" s="84"/>
      <c r="T594" s="84"/>
      <c r="U594" s="84"/>
      <c r="V594" s="84"/>
    </row>
    <row r="595" spans="1:22">
      <c r="A595" s="23"/>
      <c r="B595" s="24"/>
      <c r="C595" s="24"/>
      <c r="D595" s="24"/>
      <c r="E595" s="74"/>
      <c r="F595" s="24"/>
      <c r="G595" s="83"/>
      <c r="H595" s="83"/>
      <c r="I595" s="72"/>
      <c r="J595" s="72"/>
      <c r="K595" s="140"/>
      <c r="L595" s="83"/>
      <c r="M595" s="86"/>
      <c r="N595" s="86"/>
      <c r="O595" s="72"/>
      <c r="P595" s="72"/>
      <c r="Q595" s="84"/>
      <c r="R595" s="84"/>
      <c r="T595" s="84"/>
      <c r="U595" s="84"/>
      <c r="V595" s="84"/>
    </row>
    <row r="596" spans="1:22">
      <c r="A596" s="23"/>
      <c r="B596" s="24"/>
      <c r="C596" s="24"/>
      <c r="D596" s="24"/>
      <c r="E596" s="74"/>
      <c r="F596" s="24"/>
      <c r="G596" s="83"/>
      <c r="H596" s="83"/>
      <c r="I596" s="72"/>
      <c r="J596" s="72"/>
      <c r="K596" s="140"/>
      <c r="L596" s="83"/>
      <c r="M596" s="86"/>
      <c r="N596" s="86"/>
      <c r="O596" s="72"/>
      <c r="P596" s="72"/>
      <c r="Q596" s="84"/>
      <c r="R596" s="84"/>
      <c r="T596" s="84"/>
      <c r="U596" s="84"/>
      <c r="V596" s="84"/>
    </row>
    <row r="597" spans="1:22">
      <c r="A597" s="23"/>
      <c r="B597" s="24"/>
      <c r="C597" s="24"/>
      <c r="D597" s="24"/>
      <c r="E597" s="74"/>
      <c r="F597" s="24"/>
      <c r="G597" s="83"/>
      <c r="H597" s="83"/>
      <c r="I597" s="72"/>
      <c r="J597" s="72"/>
      <c r="K597" s="140"/>
      <c r="L597" s="83"/>
      <c r="M597" s="86"/>
      <c r="N597" s="86"/>
      <c r="O597" s="72"/>
      <c r="P597" s="72"/>
      <c r="Q597" s="84"/>
      <c r="R597" s="84"/>
      <c r="T597" s="84"/>
      <c r="U597" s="84"/>
      <c r="V597" s="84"/>
    </row>
    <row r="598" spans="1:22">
      <c r="A598" s="23"/>
      <c r="B598" s="24"/>
      <c r="C598" s="24"/>
      <c r="D598" s="24"/>
      <c r="E598" s="74"/>
      <c r="F598" s="24"/>
      <c r="G598" s="83"/>
      <c r="H598" s="83"/>
      <c r="I598" s="72"/>
      <c r="J598" s="72"/>
      <c r="K598" s="140"/>
      <c r="L598" s="83"/>
      <c r="M598" s="86"/>
      <c r="N598" s="86"/>
      <c r="O598" s="72"/>
      <c r="P598" s="72"/>
      <c r="Q598" s="84"/>
      <c r="R598" s="84"/>
      <c r="T598" s="84"/>
      <c r="U598" s="84"/>
      <c r="V598" s="84"/>
    </row>
    <row r="599" spans="1:22">
      <c r="A599" s="23"/>
      <c r="B599" s="24"/>
      <c r="C599" s="24"/>
      <c r="D599" s="24"/>
      <c r="E599" s="74"/>
      <c r="F599" s="24"/>
      <c r="G599" s="83"/>
      <c r="H599" s="83"/>
      <c r="I599" s="72"/>
      <c r="J599" s="72"/>
      <c r="K599" s="140"/>
      <c r="L599" s="83"/>
      <c r="M599" s="86"/>
      <c r="N599" s="86"/>
      <c r="O599" s="72"/>
      <c r="P599" s="72"/>
      <c r="Q599" s="84"/>
      <c r="R599" s="84"/>
      <c r="T599" s="84"/>
      <c r="U599" s="84"/>
      <c r="V599" s="84"/>
    </row>
    <row r="600" spans="1:22">
      <c r="A600" s="23"/>
      <c r="B600" s="24"/>
      <c r="C600" s="24"/>
      <c r="D600" s="24"/>
      <c r="E600" s="74"/>
      <c r="F600" s="24"/>
      <c r="G600" s="83"/>
      <c r="H600" s="83"/>
      <c r="I600" s="72"/>
      <c r="J600" s="72"/>
      <c r="K600" s="140"/>
      <c r="L600" s="83"/>
      <c r="M600" s="86"/>
      <c r="N600" s="86"/>
      <c r="O600" s="72"/>
      <c r="P600" s="72"/>
      <c r="Q600" s="84"/>
      <c r="R600" s="84"/>
      <c r="T600" s="84"/>
      <c r="U600" s="84"/>
      <c r="V600" s="84"/>
    </row>
    <row r="601" spans="1:22">
      <c r="A601" s="23"/>
      <c r="B601" s="24"/>
      <c r="C601" s="24"/>
      <c r="D601" s="24"/>
      <c r="E601" s="74"/>
      <c r="F601" s="24"/>
      <c r="G601" s="83"/>
      <c r="H601" s="83"/>
      <c r="I601" s="72"/>
      <c r="J601" s="72"/>
      <c r="K601" s="140"/>
      <c r="L601" s="83"/>
      <c r="M601" s="86"/>
      <c r="N601" s="86"/>
      <c r="O601" s="72"/>
      <c r="P601" s="72"/>
      <c r="Q601" s="84"/>
      <c r="R601" s="84"/>
      <c r="T601" s="84"/>
      <c r="U601" s="84"/>
      <c r="V601" s="84"/>
    </row>
    <row r="602" spans="1:22">
      <c r="A602" s="23"/>
      <c r="B602" s="24"/>
      <c r="C602" s="24"/>
      <c r="D602" s="24"/>
      <c r="E602" s="74"/>
      <c r="F602" s="24"/>
      <c r="G602" s="83"/>
      <c r="H602" s="83"/>
      <c r="I602" s="72"/>
      <c r="J602" s="72"/>
      <c r="K602" s="140"/>
      <c r="L602" s="83"/>
      <c r="M602" s="86"/>
      <c r="N602" s="86"/>
      <c r="O602" s="72"/>
      <c r="P602" s="72"/>
      <c r="Q602" s="84"/>
      <c r="R602" s="84"/>
      <c r="T602" s="84"/>
      <c r="U602" s="84"/>
      <c r="V602" s="84"/>
    </row>
    <row r="603" spans="1:22">
      <c r="A603" s="23"/>
      <c r="B603" s="24"/>
      <c r="C603" s="24"/>
      <c r="D603" s="24"/>
      <c r="E603" s="74"/>
      <c r="F603" s="24"/>
      <c r="G603" s="83"/>
      <c r="H603" s="83"/>
      <c r="I603" s="72"/>
      <c r="J603" s="72"/>
      <c r="K603" s="140"/>
      <c r="L603" s="83"/>
      <c r="M603" s="86"/>
      <c r="N603" s="86"/>
      <c r="O603" s="72"/>
      <c r="P603" s="72"/>
      <c r="Q603" s="84"/>
      <c r="R603" s="84"/>
      <c r="T603" s="84"/>
      <c r="U603" s="84"/>
      <c r="V603" s="84"/>
    </row>
    <row r="604" spans="1:22">
      <c r="A604" s="23"/>
      <c r="B604" s="24"/>
      <c r="C604" s="24"/>
      <c r="D604" s="24"/>
      <c r="E604" s="74"/>
      <c r="F604" s="24"/>
      <c r="G604" s="83"/>
      <c r="H604" s="83"/>
      <c r="I604" s="72"/>
      <c r="J604" s="72"/>
      <c r="K604" s="140"/>
      <c r="L604" s="83"/>
      <c r="M604" s="86"/>
      <c r="N604" s="86"/>
      <c r="O604" s="72"/>
      <c r="P604" s="72"/>
      <c r="Q604" s="84"/>
      <c r="R604" s="84"/>
      <c r="T604" s="84"/>
      <c r="U604" s="84"/>
      <c r="V604" s="84"/>
    </row>
    <row r="605" spans="1:22">
      <c r="A605" s="23"/>
      <c r="B605" s="24"/>
      <c r="C605" s="24"/>
      <c r="D605" s="24"/>
      <c r="E605" s="74"/>
      <c r="F605" s="24"/>
      <c r="G605" s="83"/>
      <c r="H605" s="83"/>
      <c r="I605" s="72"/>
      <c r="J605" s="72"/>
      <c r="K605" s="140"/>
      <c r="L605" s="83"/>
      <c r="M605" s="86"/>
      <c r="N605" s="86"/>
      <c r="O605" s="72"/>
      <c r="P605" s="72"/>
      <c r="Q605" s="84"/>
      <c r="R605" s="84"/>
      <c r="T605" s="84"/>
      <c r="U605" s="84"/>
      <c r="V605" s="84"/>
    </row>
    <row r="606" spans="1:22">
      <c r="A606" s="23"/>
      <c r="B606" s="24"/>
      <c r="C606" s="24"/>
      <c r="D606" s="24"/>
      <c r="E606" s="74"/>
      <c r="F606" s="24"/>
      <c r="G606" s="83"/>
      <c r="H606" s="83"/>
      <c r="I606" s="72"/>
      <c r="J606" s="72"/>
      <c r="K606" s="140"/>
      <c r="L606" s="83"/>
      <c r="M606" s="86"/>
      <c r="N606" s="86"/>
      <c r="O606" s="72"/>
      <c r="P606" s="72"/>
      <c r="Q606" s="84"/>
      <c r="R606" s="84"/>
      <c r="T606" s="84"/>
      <c r="U606" s="84"/>
      <c r="V606" s="84"/>
    </row>
    <row r="607" spans="1:22">
      <c r="A607" s="23"/>
      <c r="B607" s="24"/>
      <c r="C607" s="24"/>
      <c r="D607" s="24"/>
      <c r="E607" s="74"/>
      <c r="F607" s="24"/>
      <c r="G607" s="83"/>
      <c r="H607" s="83"/>
      <c r="I607" s="72"/>
      <c r="J607" s="72"/>
      <c r="K607" s="140"/>
      <c r="L607" s="83"/>
      <c r="M607" s="86"/>
      <c r="N607" s="86"/>
      <c r="O607" s="72"/>
      <c r="P607" s="72"/>
      <c r="Q607" s="84"/>
      <c r="R607" s="84"/>
      <c r="T607" s="84"/>
      <c r="U607" s="84"/>
      <c r="V607" s="84"/>
    </row>
    <row r="608" spans="1:22">
      <c r="A608" s="23"/>
      <c r="B608" s="24"/>
      <c r="C608" s="24"/>
      <c r="D608" s="24"/>
      <c r="E608" s="74"/>
      <c r="F608" s="24"/>
      <c r="G608" s="83"/>
      <c r="H608" s="83"/>
      <c r="I608" s="72"/>
      <c r="J608" s="72"/>
      <c r="K608" s="140"/>
      <c r="L608" s="83"/>
      <c r="M608" s="86"/>
      <c r="N608" s="86"/>
      <c r="O608" s="72"/>
      <c r="P608" s="72"/>
      <c r="Q608" s="84"/>
      <c r="R608" s="84"/>
      <c r="T608" s="84"/>
      <c r="U608" s="84"/>
      <c r="V608" s="84"/>
    </row>
    <row r="609" spans="1:22">
      <c r="A609" s="23"/>
      <c r="B609" s="24"/>
      <c r="C609" s="24"/>
      <c r="D609" s="24"/>
      <c r="E609" s="74"/>
      <c r="F609" s="24"/>
      <c r="G609" s="83"/>
      <c r="H609" s="83"/>
      <c r="I609" s="72"/>
      <c r="J609" s="72"/>
      <c r="K609" s="140"/>
      <c r="L609" s="83"/>
      <c r="M609" s="86"/>
      <c r="N609" s="86"/>
      <c r="O609" s="72"/>
      <c r="P609" s="72"/>
      <c r="Q609" s="84"/>
      <c r="R609" s="84"/>
      <c r="T609" s="84"/>
      <c r="U609" s="84"/>
      <c r="V609" s="84"/>
    </row>
    <row r="610" spans="1:22">
      <c r="A610" s="23"/>
      <c r="B610" s="24"/>
      <c r="C610" s="24"/>
      <c r="D610" s="24"/>
      <c r="E610" s="74"/>
      <c r="F610" s="24"/>
      <c r="G610" s="83"/>
      <c r="H610" s="83"/>
      <c r="I610" s="72"/>
      <c r="J610" s="72"/>
      <c r="K610" s="140"/>
      <c r="L610" s="83"/>
      <c r="M610" s="86"/>
      <c r="N610" s="86"/>
      <c r="O610" s="72"/>
      <c r="P610" s="72"/>
      <c r="Q610" s="84"/>
      <c r="R610" s="84"/>
      <c r="T610" s="84"/>
      <c r="U610" s="84"/>
      <c r="V610" s="84"/>
    </row>
    <row r="611" spans="1:22">
      <c r="A611" s="23"/>
      <c r="B611" s="24"/>
      <c r="C611" s="24"/>
      <c r="D611" s="24"/>
      <c r="E611" s="74"/>
      <c r="F611" s="24"/>
      <c r="G611" s="83"/>
      <c r="H611" s="83"/>
      <c r="I611" s="72"/>
      <c r="J611" s="72"/>
      <c r="K611" s="140"/>
      <c r="L611" s="83"/>
      <c r="M611" s="86"/>
      <c r="N611" s="86"/>
      <c r="O611" s="72"/>
      <c r="P611" s="72"/>
      <c r="Q611" s="84"/>
      <c r="R611" s="84"/>
      <c r="T611" s="84"/>
      <c r="U611" s="84"/>
      <c r="V611" s="84"/>
    </row>
    <row r="612" spans="1:22">
      <c r="A612" s="23"/>
      <c r="B612" s="24"/>
      <c r="C612" s="24"/>
      <c r="D612" s="24"/>
      <c r="E612" s="74"/>
      <c r="F612" s="24"/>
      <c r="G612" s="83"/>
      <c r="H612" s="83"/>
      <c r="I612" s="72"/>
      <c r="J612" s="72"/>
      <c r="K612" s="140"/>
      <c r="L612" s="83"/>
      <c r="M612" s="86"/>
      <c r="N612" s="86"/>
      <c r="O612" s="72"/>
      <c r="P612" s="72"/>
      <c r="Q612" s="84"/>
      <c r="R612" s="84"/>
      <c r="T612" s="84"/>
      <c r="U612" s="84"/>
      <c r="V612" s="84"/>
    </row>
    <row r="613" spans="1:22">
      <c r="A613" s="23"/>
      <c r="B613" s="24"/>
      <c r="C613" s="24"/>
      <c r="D613" s="24"/>
      <c r="E613" s="74"/>
      <c r="F613" s="24"/>
      <c r="G613" s="83"/>
      <c r="H613" s="83"/>
      <c r="I613" s="72"/>
      <c r="J613" s="72"/>
      <c r="K613" s="140"/>
      <c r="L613" s="83"/>
      <c r="M613" s="86"/>
      <c r="N613" s="86"/>
      <c r="O613" s="72"/>
      <c r="P613" s="72"/>
      <c r="Q613" s="84"/>
      <c r="R613" s="84"/>
      <c r="T613" s="84"/>
      <c r="U613" s="84"/>
      <c r="V613" s="84"/>
    </row>
    <row r="614" spans="1:22">
      <c r="A614" s="23"/>
      <c r="B614" s="24"/>
      <c r="C614" s="24"/>
      <c r="D614" s="24"/>
      <c r="E614" s="74"/>
      <c r="F614" s="24"/>
      <c r="G614" s="83"/>
      <c r="H614" s="83"/>
      <c r="I614" s="72"/>
      <c r="J614" s="72"/>
      <c r="K614" s="140"/>
      <c r="L614" s="83"/>
      <c r="M614" s="86"/>
      <c r="N614" s="86"/>
      <c r="O614" s="72"/>
      <c r="P614" s="72"/>
      <c r="Q614" s="84"/>
      <c r="R614" s="84"/>
      <c r="T614" s="84"/>
      <c r="U614" s="84"/>
      <c r="V614" s="84"/>
    </row>
    <row r="615" spans="1:22">
      <c r="A615" s="23"/>
      <c r="B615" s="24"/>
      <c r="C615" s="24"/>
      <c r="D615" s="24"/>
      <c r="E615" s="74"/>
      <c r="F615" s="24"/>
      <c r="G615" s="83"/>
      <c r="H615" s="83"/>
      <c r="I615" s="72"/>
      <c r="J615" s="72"/>
      <c r="K615" s="140"/>
      <c r="L615" s="83"/>
      <c r="M615" s="86"/>
      <c r="N615" s="86"/>
      <c r="O615" s="72"/>
      <c r="P615" s="72"/>
      <c r="Q615" s="84"/>
      <c r="R615" s="84"/>
      <c r="T615" s="84"/>
      <c r="U615" s="84"/>
      <c r="V615" s="84"/>
    </row>
    <row r="616" spans="1:22">
      <c r="A616" s="23"/>
      <c r="B616" s="24"/>
      <c r="C616" s="24"/>
      <c r="D616" s="24"/>
      <c r="E616" s="74"/>
      <c r="F616" s="24"/>
      <c r="G616" s="83"/>
      <c r="H616" s="83"/>
      <c r="I616" s="72"/>
      <c r="J616" s="72"/>
      <c r="K616" s="140"/>
      <c r="L616" s="83"/>
      <c r="M616" s="86"/>
      <c r="N616" s="86"/>
      <c r="O616" s="72"/>
      <c r="P616" s="72"/>
      <c r="Q616" s="84"/>
      <c r="R616" s="84"/>
      <c r="T616" s="84"/>
      <c r="U616" s="84"/>
      <c r="V616" s="84"/>
    </row>
    <row r="617" spans="1:22">
      <c r="A617" s="23"/>
      <c r="B617" s="24"/>
      <c r="C617" s="24"/>
      <c r="D617" s="24"/>
      <c r="E617" s="74"/>
      <c r="F617" s="24"/>
      <c r="G617" s="83"/>
      <c r="H617" s="83"/>
      <c r="I617" s="72"/>
      <c r="J617" s="72"/>
      <c r="K617" s="140"/>
      <c r="L617" s="83"/>
      <c r="M617" s="86"/>
      <c r="N617" s="86"/>
      <c r="O617" s="72"/>
      <c r="P617" s="72"/>
      <c r="Q617" s="84"/>
      <c r="R617" s="84"/>
      <c r="T617" s="84"/>
      <c r="U617" s="84"/>
      <c r="V617" s="84"/>
    </row>
    <row r="618" spans="1:22">
      <c r="A618" s="23"/>
      <c r="B618" s="24"/>
      <c r="C618" s="24"/>
      <c r="D618" s="24"/>
      <c r="E618" s="74"/>
      <c r="F618" s="24"/>
      <c r="G618" s="83"/>
      <c r="H618" s="83"/>
      <c r="I618" s="72"/>
      <c r="J618" s="72"/>
      <c r="K618" s="140"/>
      <c r="L618" s="83"/>
      <c r="M618" s="86"/>
      <c r="N618" s="86"/>
      <c r="O618" s="72"/>
      <c r="P618" s="72"/>
      <c r="Q618" s="84"/>
      <c r="R618" s="84"/>
      <c r="T618" s="84"/>
      <c r="U618" s="84"/>
      <c r="V618" s="84"/>
    </row>
    <row r="619" spans="1:22">
      <c r="A619" s="23"/>
      <c r="B619" s="24"/>
      <c r="C619" s="24"/>
      <c r="D619" s="24"/>
      <c r="E619" s="74"/>
      <c r="F619" s="24"/>
      <c r="G619" s="83"/>
      <c r="H619" s="83"/>
      <c r="I619" s="72"/>
      <c r="J619" s="72"/>
      <c r="K619" s="140"/>
      <c r="L619" s="83"/>
      <c r="M619" s="86"/>
      <c r="N619" s="86"/>
      <c r="O619" s="72"/>
      <c r="P619" s="72"/>
      <c r="Q619" s="84"/>
      <c r="R619" s="84"/>
      <c r="T619" s="84"/>
      <c r="U619" s="84"/>
      <c r="V619" s="84"/>
    </row>
    <row r="620" spans="1:22">
      <c r="A620" s="23"/>
      <c r="B620" s="24"/>
      <c r="C620" s="24"/>
      <c r="D620" s="24"/>
      <c r="E620" s="74"/>
      <c r="F620" s="24"/>
      <c r="G620" s="83"/>
      <c r="H620" s="83"/>
      <c r="I620" s="72"/>
      <c r="J620" s="72"/>
      <c r="K620" s="140"/>
      <c r="L620" s="83"/>
      <c r="M620" s="86"/>
      <c r="N620" s="86"/>
      <c r="O620" s="72"/>
      <c r="P620" s="72"/>
      <c r="Q620" s="84"/>
      <c r="R620" s="84"/>
      <c r="T620" s="84"/>
      <c r="U620" s="84"/>
      <c r="V620" s="84"/>
    </row>
    <row r="621" spans="1:22">
      <c r="A621" s="23"/>
      <c r="B621" s="24"/>
      <c r="C621" s="24"/>
      <c r="D621" s="24"/>
      <c r="E621" s="74"/>
      <c r="F621" s="24"/>
      <c r="G621" s="83"/>
      <c r="H621" s="83"/>
      <c r="I621" s="72"/>
      <c r="J621" s="72"/>
      <c r="K621" s="140"/>
      <c r="L621" s="83"/>
      <c r="M621" s="86"/>
      <c r="N621" s="86"/>
      <c r="O621" s="72"/>
      <c r="P621" s="72"/>
      <c r="Q621" s="84"/>
      <c r="R621" s="84"/>
      <c r="T621" s="84"/>
      <c r="U621" s="84"/>
      <c r="V621" s="84"/>
    </row>
    <row r="622" spans="1:22">
      <c r="A622" s="23"/>
      <c r="B622" s="24"/>
      <c r="C622" s="24"/>
      <c r="D622" s="24"/>
      <c r="E622" s="74"/>
      <c r="F622" s="24"/>
      <c r="G622" s="83"/>
      <c r="H622" s="83"/>
      <c r="I622" s="72"/>
      <c r="J622" s="72"/>
      <c r="K622" s="140"/>
      <c r="L622" s="83"/>
      <c r="M622" s="86"/>
      <c r="N622" s="86"/>
      <c r="O622" s="72"/>
      <c r="P622" s="72"/>
      <c r="Q622" s="84"/>
      <c r="R622" s="84"/>
      <c r="T622" s="84"/>
      <c r="U622" s="84"/>
      <c r="V622" s="84"/>
    </row>
    <row r="623" spans="1:22">
      <c r="A623" s="23"/>
      <c r="B623" s="24"/>
      <c r="C623" s="24"/>
      <c r="D623" s="24"/>
      <c r="E623" s="74"/>
      <c r="F623" s="24"/>
      <c r="G623" s="83"/>
      <c r="H623" s="83"/>
      <c r="I623" s="72"/>
      <c r="J623" s="72"/>
      <c r="K623" s="140"/>
      <c r="L623" s="83"/>
      <c r="M623" s="86"/>
      <c r="N623" s="86"/>
      <c r="O623" s="72"/>
      <c r="P623" s="72"/>
      <c r="Q623" s="84"/>
      <c r="R623" s="84"/>
      <c r="T623" s="84"/>
      <c r="U623" s="84"/>
      <c r="V623" s="84"/>
    </row>
    <row r="624" spans="1:22">
      <c r="A624" s="23"/>
      <c r="B624" s="24"/>
      <c r="C624" s="24"/>
      <c r="D624" s="24"/>
      <c r="E624" s="74"/>
      <c r="F624" s="24"/>
      <c r="G624" s="83"/>
      <c r="H624" s="83"/>
      <c r="I624" s="72"/>
      <c r="J624" s="72"/>
      <c r="K624" s="140"/>
      <c r="L624" s="83"/>
      <c r="M624" s="86"/>
      <c r="N624" s="86"/>
      <c r="O624" s="72"/>
      <c r="P624" s="72"/>
      <c r="Q624" s="84"/>
      <c r="R624" s="84"/>
      <c r="T624" s="84"/>
      <c r="U624" s="84"/>
      <c r="V624" s="84"/>
    </row>
    <row r="625" spans="1:22">
      <c r="A625" s="23"/>
      <c r="B625" s="24"/>
      <c r="C625" s="24"/>
      <c r="D625" s="24"/>
      <c r="E625" s="74"/>
      <c r="F625" s="24"/>
      <c r="G625" s="83"/>
      <c r="H625" s="83"/>
      <c r="I625" s="72"/>
      <c r="J625" s="72"/>
      <c r="K625" s="140"/>
      <c r="L625" s="83"/>
      <c r="M625" s="86"/>
      <c r="N625" s="86"/>
      <c r="O625" s="72"/>
      <c r="P625" s="72"/>
      <c r="Q625" s="84"/>
      <c r="R625" s="84"/>
      <c r="T625" s="84"/>
      <c r="U625" s="84"/>
      <c r="V625" s="84"/>
    </row>
    <row r="626" spans="1:22">
      <c r="A626" s="23"/>
      <c r="B626" s="24"/>
      <c r="C626" s="24"/>
      <c r="D626" s="24"/>
      <c r="E626" s="74"/>
      <c r="F626" s="24"/>
      <c r="G626" s="83"/>
      <c r="H626" s="83"/>
      <c r="I626" s="72"/>
      <c r="J626" s="72"/>
      <c r="K626" s="140"/>
      <c r="L626" s="83"/>
      <c r="M626" s="86"/>
      <c r="N626" s="86"/>
      <c r="O626" s="72"/>
      <c r="P626" s="72"/>
      <c r="Q626" s="84"/>
      <c r="R626" s="84"/>
      <c r="T626" s="84"/>
      <c r="U626" s="84"/>
      <c r="V626" s="84"/>
    </row>
    <row r="627" spans="1:22">
      <c r="A627" s="23"/>
      <c r="B627" s="24"/>
      <c r="C627" s="24"/>
      <c r="D627" s="24"/>
      <c r="E627" s="74"/>
      <c r="F627" s="24"/>
      <c r="G627" s="83"/>
      <c r="H627" s="83"/>
      <c r="I627" s="72"/>
      <c r="J627" s="72"/>
      <c r="K627" s="140"/>
      <c r="L627" s="83"/>
      <c r="M627" s="86"/>
      <c r="N627" s="86"/>
      <c r="O627" s="72"/>
      <c r="P627" s="72"/>
      <c r="Q627" s="84"/>
      <c r="R627" s="84"/>
      <c r="T627" s="84"/>
      <c r="U627" s="84"/>
      <c r="V627" s="84"/>
    </row>
    <row r="628" spans="1:22">
      <c r="A628" s="23"/>
      <c r="B628" s="24"/>
      <c r="C628" s="24"/>
      <c r="D628" s="24"/>
      <c r="E628" s="74"/>
      <c r="F628" s="24"/>
      <c r="G628" s="83"/>
      <c r="H628" s="83"/>
      <c r="I628" s="72"/>
      <c r="J628" s="72"/>
      <c r="K628" s="140"/>
      <c r="L628" s="83"/>
      <c r="M628" s="86"/>
      <c r="N628" s="86"/>
      <c r="O628" s="72"/>
      <c r="P628" s="72"/>
      <c r="Q628" s="84"/>
      <c r="R628" s="84"/>
      <c r="T628" s="84"/>
      <c r="U628" s="84"/>
      <c r="V628" s="84"/>
    </row>
    <row r="629" spans="1:22">
      <c r="A629" s="23"/>
      <c r="B629" s="24"/>
      <c r="C629" s="24"/>
      <c r="D629" s="24"/>
      <c r="E629" s="74"/>
      <c r="F629" s="24"/>
      <c r="G629" s="83"/>
      <c r="H629" s="83"/>
      <c r="I629" s="72"/>
      <c r="J629" s="72"/>
      <c r="K629" s="140"/>
      <c r="L629" s="83"/>
      <c r="M629" s="86"/>
      <c r="N629" s="86"/>
      <c r="O629" s="72"/>
      <c r="P629" s="72"/>
      <c r="Q629" s="84"/>
      <c r="R629" s="84"/>
      <c r="T629" s="84"/>
      <c r="U629" s="84"/>
      <c r="V629" s="84"/>
    </row>
    <row r="630" spans="1:22">
      <c r="A630" s="23"/>
      <c r="B630" s="24"/>
      <c r="C630" s="24"/>
      <c r="D630" s="24"/>
      <c r="E630" s="74"/>
      <c r="F630" s="24"/>
      <c r="G630" s="83"/>
      <c r="H630" s="83"/>
      <c r="I630" s="72"/>
      <c r="J630" s="72"/>
      <c r="K630" s="140"/>
      <c r="L630" s="83"/>
      <c r="M630" s="86"/>
      <c r="N630" s="86"/>
      <c r="O630" s="72"/>
      <c r="P630" s="72"/>
      <c r="Q630" s="84"/>
      <c r="R630" s="84"/>
      <c r="T630" s="84"/>
      <c r="U630" s="84"/>
      <c r="V630" s="84"/>
    </row>
    <row r="631" spans="1:22">
      <c r="A631" s="23"/>
      <c r="B631" s="24"/>
      <c r="C631" s="24"/>
      <c r="D631" s="24"/>
      <c r="E631" s="74"/>
      <c r="F631" s="24"/>
      <c r="G631" s="83"/>
      <c r="H631" s="83"/>
      <c r="I631" s="72"/>
      <c r="J631" s="72"/>
      <c r="K631" s="140"/>
      <c r="L631" s="83"/>
      <c r="M631" s="86"/>
      <c r="N631" s="86"/>
      <c r="O631" s="72"/>
      <c r="P631" s="72"/>
      <c r="Q631" s="84"/>
      <c r="R631" s="84"/>
      <c r="T631" s="84"/>
      <c r="U631" s="84"/>
      <c r="V631" s="84"/>
    </row>
    <row r="632" spans="1:22">
      <c r="A632" s="23"/>
      <c r="B632" s="24"/>
      <c r="C632" s="24"/>
      <c r="D632" s="24"/>
      <c r="E632" s="74"/>
      <c r="F632" s="24"/>
      <c r="G632" s="83"/>
      <c r="H632" s="83"/>
      <c r="I632" s="72"/>
      <c r="J632" s="72"/>
      <c r="K632" s="140"/>
      <c r="L632" s="83"/>
      <c r="M632" s="86"/>
      <c r="N632" s="86"/>
      <c r="O632" s="72"/>
      <c r="P632" s="72"/>
      <c r="Q632" s="84"/>
      <c r="R632" s="84"/>
      <c r="T632" s="84"/>
      <c r="U632" s="84"/>
      <c r="V632" s="84"/>
    </row>
    <row r="633" spans="1:22">
      <c r="A633" s="23"/>
      <c r="B633" s="24"/>
      <c r="C633" s="24"/>
      <c r="D633" s="24"/>
      <c r="E633" s="74"/>
      <c r="F633" s="24"/>
      <c r="G633" s="83"/>
      <c r="H633" s="83"/>
      <c r="I633" s="72"/>
      <c r="J633" s="72"/>
      <c r="K633" s="140"/>
      <c r="L633" s="83"/>
      <c r="M633" s="86"/>
      <c r="N633" s="86"/>
      <c r="O633" s="72"/>
      <c r="P633" s="72"/>
      <c r="Q633" s="84"/>
      <c r="R633" s="84"/>
      <c r="T633" s="84"/>
      <c r="U633" s="84"/>
      <c r="V633" s="84"/>
    </row>
    <row r="634" spans="1:22">
      <c r="A634" s="23"/>
      <c r="B634" s="24"/>
      <c r="C634" s="24"/>
      <c r="D634" s="24"/>
      <c r="E634" s="74"/>
      <c r="F634" s="24"/>
      <c r="G634" s="83"/>
      <c r="H634" s="83"/>
      <c r="I634" s="72"/>
      <c r="J634" s="72"/>
      <c r="K634" s="140"/>
      <c r="L634" s="83"/>
      <c r="M634" s="86"/>
      <c r="N634" s="86"/>
      <c r="O634" s="72"/>
      <c r="P634" s="72"/>
      <c r="Q634" s="84"/>
      <c r="R634" s="84"/>
      <c r="T634" s="84"/>
      <c r="U634" s="84"/>
      <c r="V634" s="84"/>
    </row>
    <row r="635" spans="1:22">
      <c r="A635" s="23"/>
      <c r="B635" s="24"/>
      <c r="C635" s="24"/>
      <c r="D635" s="24"/>
      <c r="E635" s="74"/>
      <c r="F635" s="24"/>
      <c r="G635" s="83"/>
      <c r="H635" s="83"/>
      <c r="I635" s="72"/>
      <c r="J635" s="72"/>
      <c r="K635" s="140"/>
      <c r="L635" s="83"/>
      <c r="M635" s="86"/>
      <c r="N635" s="86"/>
      <c r="O635" s="72"/>
      <c r="P635" s="72"/>
      <c r="Q635" s="84"/>
      <c r="R635" s="84"/>
      <c r="T635" s="84"/>
      <c r="U635" s="84"/>
      <c r="V635" s="84"/>
    </row>
    <row r="636" spans="1:22">
      <c r="A636" s="23"/>
      <c r="B636" s="24"/>
      <c r="C636" s="24"/>
      <c r="D636" s="24"/>
      <c r="E636" s="74"/>
      <c r="F636" s="24"/>
      <c r="G636" s="83"/>
      <c r="H636" s="83"/>
      <c r="I636" s="72"/>
      <c r="J636" s="72"/>
      <c r="K636" s="140"/>
      <c r="L636" s="83"/>
      <c r="M636" s="86"/>
      <c r="N636" s="86"/>
      <c r="O636" s="72"/>
      <c r="P636" s="72"/>
      <c r="Q636" s="84"/>
      <c r="R636" s="84"/>
      <c r="T636" s="84"/>
      <c r="U636" s="84"/>
      <c r="V636" s="84"/>
    </row>
    <row r="637" spans="1:22">
      <c r="A637" s="23"/>
      <c r="B637" s="24"/>
      <c r="C637" s="24"/>
      <c r="D637" s="24"/>
      <c r="E637" s="74"/>
      <c r="F637" s="24"/>
      <c r="G637" s="83"/>
      <c r="H637" s="83"/>
      <c r="I637" s="72"/>
      <c r="J637" s="72"/>
      <c r="K637" s="140"/>
      <c r="L637" s="83"/>
      <c r="M637" s="86"/>
      <c r="N637" s="86"/>
      <c r="O637" s="72"/>
      <c r="P637" s="72"/>
      <c r="Q637" s="84"/>
      <c r="R637" s="84"/>
      <c r="T637" s="84"/>
      <c r="U637" s="84"/>
      <c r="V637" s="84"/>
    </row>
    <row r="638" spans="1:22">
      <c r="A638" s="23"/>
      <c r="B638" s="24"/>
      <c r="C638" s="24"/>
      <c r="D638" s="24"/>
      <c r="E638" s="74"/>
      <c r="F638" s="24"/>
      <c r="G638" s="83"/>
      <c r="H638" s="83"/>
      <c r="I638" s="72"/>
      <c r="J638" s="72"/>
      <c r="K638" s="140"/>
      <c r="L638" s="83"/>
      <c r="M638" s="86"/>
      <c r="N638" s="86"/>
      <c r="O638" s="72"/>
      <c r="P638" s="72"/>
      <c r="Q638" s="84"/>
      <c r="R638" s="84"/>
      <c r="T638" s="84"/>
      <c r="U638" s="84"/>
      <c r="V638" s="84"/>
    </row>
    <row r="639" spans="1:22">
      <c r="A639" s="23"/>
      <c r="B639" s="24"/>
      <c r="C639" s="24"/>
      <c r="D639" s="24"/>
      <c r="E639" s="74"/>
      <c r="F639" s="24"/>
      <c r="G639" s="83"/>
      <c r="H639" s="83"/>
      <c r="I639" s="72"/>
      <c r="J639" s="72"/>
      <c r="K639" s="140"/>
      <c r="L639" s="83"/>
      <c r="M639" s="86"/>
      <c r="N639" s="86"/>
      <c r="O639" s="72"/>
      <c r="P639" s="72"/>
      <c r="Q639" s="84"/>
      <c r="R639" s="84"/>
      <c r="T639" s="84"/>
      <c r="U639" s="84"/>
      <c r="V639" s="84"/>
    </row>
    <row r="640" spans="1:22">
      <c r="A640" s="23"/>
      <c r="B640" s="24"/>
      <c r="C640" s="24"/>
      <c r="D640" s="24"/>
      <c r="E640" s="74"/>
      <c r="F640" s="24"/>
      <c r="G640" s="83"/>
      <c r="H640" s="83"/>
      <c r="I640" s="72"/>
      <c r="J640" s="72"/>
      <c r="K640" s="140"/>
      <c r="L640" s="83"/>
      <c r="M640" s="86"/>
      <c r="N640" s="86"/>
      <c r="O640" s="72"/>
      <c r="P640" s="72"/>
      <c r="Q640" s="84"/>
      <c r="R640" s="84"/>
      <c r="T640" s="84"/>
      <c r="U640" s="84"/>
      <c r="V640" s="84"/>
    </row>
    <row r="641" spans="1:22">
      <c r="A641" s="23"/>
      <c r="B641" s="24"/>
      <c r="C641" s="24"/>
      <c r="D641" s="24"/>
      <c r="E641" s="74"/>
      <c r="F641" s="24"/>
      <c r="G641" s="83"/>
      <c r="H641" s="83"/>
      <c r="I641" s="72"/>
      <c r="J641" s="72"/>
      <c r="K641" s="140"/>
      <c r="L641" s="83"/>
      <c r="M641" s="86"/>
      <c r="N641" s="86"/>
      <c r="O641" s="72"/>
      <c r="P641" s="72"/>
      <c r="Q641" s="84"/>
      <c r="R641" s="84"/>
      <c r="T641" s="84"/>
      <c r="U641" s="84"/>
      <c r="V641" s="84"/>
    </row>
    <row r="642" spans="1:22">
      <c r="A642" s="23"/>
      <c r="B642" s="24"/>
      <c r="C642" s="24"/>
      <c r="D642" s="24"/>
      <c r="E642" s="74"/>
      <c r="F642" s="24"/>
      <c r="G642" s="83"/>
      <c r="H642" s="83"/>
      <c r="I642" s="72"/>
      <c r="J642" s="72"/>
      <c r="K642" s="140"/>
      <c r="L642" s="83"/>
      <c r="M642" s="86"/>
      <c r="N642" s="86"/>
      <c r="O642" s="72"/>
      <c r="P642" s="72"/>
      <c r="Q642" s="84"/>
      <c r="R642" s="84"/>
      <c r="T642" s="84"/>
      <c r="U642" s="84"/>
      <c r="V642" s="84"/>
    </row>
    <row r="643" spans="1:22">
      <c r="A643" s="23"/>
      <c r="B643" s="24"/>
      <c r="C643" s="24"/>
      <c r="D643" s="24"/>
      <c r="E643" s="74"/>
      <c r="F643" s="24"/>
      <c r="G643" s="83"/>
      <c r="H643" s="83"/>
      <c r="I643" s="72"/>
      <c r="J643" s="72"/>
      <c r="K643" s="140"/>
      <c r="L643" s="83"/>
      <c r="M643" s="86"/>
      <c r="N643" s="86"/>
      <c r="O643" s="72"/>
      <c r="P643" s="72"/>
      <c r="Q643" s="84"/>
      <c r="R643" s="84"/>
      <c r="T643" s="84"/>
      <c r="U643" s="84"/>
      <c r="V643" s="84"/>
    </row>
    <row r="644" spans="1:22">
      <c r="A644" s="23"/>
      <c r="B644" s="24"/>
      <c r="C644" s="24"/>
      <c r="D644" s="24"/>
      <c r="E644" s="74"/>
      <c r="F644" s="24"/>
      <c r="G644" s="83"/>
      <c r="H644" s="83"/>
      <c r="I644" s="72"/>
      <c r="J644" s="72"/>
      <c r="K644" s="140"/>
      <c r="L644" s="83"/>
      <c r="M644" s="86"/>
      <c r="N644" s="86"/>
      <c r="O644" s="72"/>
      <c r="P644" s="72"/>
      <c r="Q644" s="84"/>
      <c r="R644" s="84"/>
      <c r="T644" s="84"/>
      <c r="U644" s="84"/>
      <c r="V644" s="84"/>
    </row>
    <row r="645" spans="1:22">
      <c r="A645" s="23"/>
      <c r="B645" s="24"/>
      <c r="C645" s="24"/>
      <c r="D645" s="24"/>
      <c r="E645" s="74"/>
      <c r="F645" s="24"/>
      <c r="G645" s="83"/>
      <c r="H645" s="83"/>
      <c r="I645" s="72"/>
      <c r="J645" s="72"/>
      <c r="K645" s="140"/>
      <c r="L645" s="83"/>
      <c r="M645" s="86"/>
      <c r="N645" s="86"/>
      <c r="O645" s="72"/>
      <c r="P645" s="72"/>
      <c r="Q645" s="84"/>
      <c r="R645" s="84"/>
      <c r="T645" s="84"/>
      <c r="U645" s="84"/>
      <c r="V645" s="84"/>
    </row>
    <row r="646" spans="1:22">
      <c r="A646" s="23"/>
      <c r="B646" s="24"/>
      <c r="C646" s="24"/>
      <c r="D646" s="24"/>
      <c r="E646" s="74"/>
      <c r="F646" s="24"/>
      <c r="G646" s="83"/>
      <c r="H646" s="83"/>
      <c r="I646" s="72"/>
      <c r="J646" s="72"/>
      <c r="K646" s="109"/>
      <c r="L646" s="83"/>
      <c r="M646" s="86"/>
      <c r="N646" s="86"/>
      <c r="O646" s="72"/>
      <c r="P646" s="72"/>
      <c r="Q646" s="84"/>
      <c r="R646" s="84"/>
      <c r="T646" s="84"/>
      <c r="U646" s="84"/>
      <c r="V646" s="84"/>
    </row>
    <row r="647" spans="1:22">
      <c r="A647" s="23"/>
      <c r="B647" s="24"/>
      <c r="C647" s="24"/>
      <c r="D647" s="24"/>
      <c r="E647" s="74"/>
      <c r="F647" s="24"/>
      <c r="G647" s="83"/>
      <c r="H647" s="83"/>
      <c r="I647" s="72"/>
      <c r="J647" s="72"/>
      <c r="K647" s="109"/>
      <c r="L647" s="83"/>
      <c r="M647" s="86"/>
      <c r="N647" s="86"/>
      <c r="O647" s="72"/>
      <c r="P647" s="72"/>
      <c r="Q647" s="84"/>
      <c r="R647" s="84"/>
      <c r="T647" s="84"/>
      <c r="U647" s="84"/>
      <c r="V647" s="84"/>
    </row>
    <row r="648" spans="1:22">
      <c r="A648" s="23"/>
      <c r="B648" s="24"/>
      <c r="C648" s="24"/>
      <c r="D648" s="24"/>
      <c r="E648" s="74"/>
      <c r="F648" s="24"/>
      <c r="G648" s="83"/>
      <c r="H648" s="83"/>
      <c r="I648" s="72"/>
      <c r="J648" s="72"/>
      <c r="K648" s="109"/>
      <c r="L648" s="83"/>
      <c r="M648" s="86"/>
      <c r="N648" s="86"/>
      <c r="O648" s="72"/>
      <c r="P648" s="72"/>
      <c r="Q648" s="84"/>
      <c r="R648" s="84"/>
      <c r="S648" s="15" t="e">
        <f>I648&amp;J648&amp;#REF!</f>
        <v>#REF!</v>
      </c>
      <c r="T648" s="84"/>
      <c r="U648" s="84"/>
      <c r="V648" s="84"/>
    </row>
    <row r="649" spans="1:22">
      <c r="A649" s="23"/>
      <c r="B649" s="24"/>
      <c r="C649" s="24"/>
      <c r="D649" s="24"/>
      <c r="E649" s="74"/>
      <c r="F649" s="24"/>
      <c r="G649" s="83"/>
      <c r="H649" s="83"/>
      <c r="I649" s="72"/>
      <c r="J649" s="72"/>
      <c r="K649" s="109"/>
      <c r="L649" s="83"/>
      <c r="M649" s="86"/>
      <c r="N649" s="86"/>
      <c r="O649" s="72"/>
      <c r="P649" s="72"/>
      <c r="Q649" s="84"/>
      <c r="R649" s="84"/>
      <c r="S649" s="15" t="e">
        <f>I649&amp;J649&amp;#REF!</f>
        <v>#REF!</v>
      </c>
      <c r="T649" s="84"/>
      <c r="U649" s="84"/>
      <c r="V649" s="84"/>
    </row>
    <row r="650" spans="1:22">
      <c r="A650" s="23"/>
      <c r="B650" s="24"/>
      <c r="C650" s="24"/>
      <c r="D650" s="24"/>
      <c r="E650" s="74"/>
      <c r="F650" s="24"/>
      <c r="G650" s="83"/>
      <c r="H650" s="83"/>
      <c r="I650" s="72"/>
      <c r="J650" s="72"/>
      <c r="K650" s="109"/>
      <c r="L650" s="83"/>
      <c r="M650" s="86"/>
      <c r="N650" s="86"/>
      <c r="O650" s="72"/>
      <c r="P650" s="72"/>
      <c r="Q650" s="84"/>
      <c r="R650" s="84"/>
      <c r="S650" s="15" t="e">
        <f>I650&amp;J650&amp;#REF!</f>
        <v>#REF!</v>
      </c>
      <c r="T650" s="84"/>
      <c r="U650" s="84"/>
      <c r="V650" s="84"/>
    </row>
    <row r="651" spans="1:22">
      <c r="A651" s="23"/>
      <c r="B651" s="24"/>
      <c r="C651" s="24"/>
      <c r="D651" s="24"/>
      <c r="E651" s="74"/>
      <c r="F651" s="24"/>
      <c r="G651" s="83"/>
      <c r="H651" s="83"/>
      <c r="I651" s="72"/>
      <c r="J651" s="72"/>
      <c r="K651" s="109"/>
      <c r="L651" s="83"/>
      <c r="M651" s="86"/>
      <c r="N651" s="86"/>
      <c r="O651" s="72"/>
      <c r="P651" s="72"/>
      <c r="Q651" s="84"/>
      <c r="R651" s="84"/>
      <c r="S651" s="15" t="e">
        <f>I651&amp;J651&amp;#REF!</f>
        <v>#REF!</v>
      </c>
      <c r="T651" s="84"/>
      <c r="U651" s="84"/>
      <c r="V651" s="84"/>
    </row>
    <row r="652" spans="1:22">
      <c r="A652" s="23"/>
      <c r="B652" s="24"/>
      <c r="C652" s="24"/>
      <c r="D652" s="24"/>
      <c r="E652" s="74"/>
      <c r="F652" s="24"/>
      <c r="G652" s="83"/>
      <c r="H652" s="83"/>
      <c r="I652" s="72"/>
      <c r="J652" s="72"/>
      <c r="K652" s="109"/>
      <c r="L652" s="83"/>
      <c r="M652" s="86"/>
      <c r="N652" s="86"/>
      <c r="O652" s="72"/>
      <c r="P652" s="72"/>
      <c r="Q652" s="84"/>
      <c r="R652" s="84"/>
      <c r="S652" s="15" t="e">
        <f>I652&amp;J652&amp;#REF!</f>
        <v>#REF!</v>
      </c>
      <c r="T652" s="84"/>
      <c r="U652" s="84"/>
      <c r="V652" s="84"/>
    </row>
    <row r="653" spans="1:22">
      <c r="A653" s="23"/>
      <c r="B653" s="24"/>
      <c r="C653" s="24"/>
      <c r="D653" s="24"/>
      <c r="E653" s="74"/>
      <c r="F653" s="24"/>
      <c r="G653" s="83"/>
      <c r="H653" s="83"/>
      <c r="I653" s="72"/>
      <c r="J653" s="72"/>
      <c r="K653" s="109"/>
      <c r="L653" s="83"/>
      <c r="M653" s="86"/>
      <c r="N653" s="86"/>
      <c r="O653" s="72"/>
      <c r="P653" s="72"/>
      <c r="Q653" s="84"/>
      <c r="R653" s="84"/>
      <c r="S653" s="15" t="e">
        <f>I653&amp;J653&amp;#REF!</f>
        <v>#REF!</v>
      </c>
      <c r="T653" s="84"/>
      <c r="U653" s="84"/>
      <c r="V653" s="84"/>
    </row>
    <row r="654" spans="1:22">
      <c r="A654" s="23"/>
      <c r="B654" s="24"/>
      <c r="C654" s="24"/>
      <c r="D654" s="24"/>
      <c r="E654" s="74"/>
      <c r="F654" s="24"/>
      <c r="G654" s="83"/>
      <c r="H654" s="83"/>
      <c r="I654" s="72"/>
      <c r="J654" s="72"/>
      <c r="K654" s="109"/>
      <c r="L654" s="83"/>
      <c r="M654" s="86"/>
      <c r="N654" s="86"/>
      <c r="O654" s="72"/>
      <c r="P654" s="72"/>
      <c r="Q654" s="84"/>
      <c r="R654" s="84"/>
      <c r="S654" s="15" t="e">
        <f>I654&amp;J654&amp;#REF!</f>
        <v>#REF!</v>
      </c>
      <c r="T654" s="84"/>
      <c r="U654" s="84"/>
      <c r="V654" s="84"/>
    </row>
    <row r="655" spans="1:22">
      <c r="A655" s="23"/>
      <c r="B655" s="24"/>
      <c r="C655" s="24"/>
      <c r="D655" s="24"/>
      <c r="E655" s="74"/>
      <c r="F655" s="24"/>
      <c r="G655" s="83"/>
      <c r="H655" s="83"/>
      <c r="I655" s="72"/>
      <c r="J655" s="72"/>
      <c r="K655" s="109"/>
      <c r="L655" s="83"/>
      <c r="M655" s="86"/>
      <c r="N655" s="86"/>
      <c r="O655" s="72"/>
      <c r="P655" s="72"/>
      <c r="Q655" s="84"/>
      <c r="R655" s="84"/>
      <c r="S655" s="15" t="e">
        <f>I655&amp;J655&amp;#REF!</f>
        <v>#REF!</v>
      </c>
      <c r="T655" s="84"/>
      <c r="U655" s="84"/>
      <c r="V655" s="84"/>
    </row>
    <row r="656" spans="1:22">
      <c r="A656" s="23"/>
      <c r="B656" s="24"/>
      <c r="C656" s="24"/>
      <c r="D656" s="24"/>
      <c r="E656" s="74"/>
      <c r="F656" s="24"/>
      <c r="G656" s="83"/>
      <c r="H656" s="83"/>
      <c r="I656" s="72"/>
      <c r="J656" s="72"/>
      <c r="K656" s="109"/>
      <c r="L656" s="83"/>
      <c r="M656" s="86"/>
      <c r="N656" s="86"/>
      <c r="O656" s="72"/>
      <c r="P656" s="72"/>
      <c r="Q656" s="84"/>
      <c r="R656" s="84"/>
      <c r="S656" s="15" t="e">
        <f>I656&amp;J656&amp;#REF!</f>
        <v>#REF!</v>
      </c>
      <c r="T656" s="84"/>
      <c r="U656" s="84"/>
      <c r="V656" s="84"/>
    </row>
    <row r="657" spans="1:22">
      <c r="A657" s="23"/>
      <c r="B657" s="24"/>
      <c r="C657" s="24"/>
      <c r="D657" s="24"/>
      <c r="E657" s="74"/>
      <c r="F657" s="24"/>
      <c r="G657" s="83"/>
      <c r="H657" s="83"/>
      <c r="I657" s="72"/>
      <c r="J657" s="72"/>
      <c r="K657" s="109"/>
      <c r="L657" s="83"/>
      <c r="M657" s="86"/>
      <c r="N657" s="86"/>
      <c r="O657" s="72"/>
      <c r="P657" s="72"/>
      <c r="Q657" s="84"/>
      <c r="R657" s="84"/>
      <c r="S657" s="15" t="e">
        <f>I657&amp;J657&amp;#REF!</f>
        <v>#REF!</v>
      </c>
      <c r="T657" s="84"/>
      <c r="U657" s="84"/>
      <c r="V657" s="84"/>
    </row>
    <row r="658" spans="1:22">
      <c r="A658" s="23"/>
      <c r="B658" s="24"/>
      <c r="C658" s="24"/>
      <c r="D658" s="24"/>
      <c r="E658" s="74"/>
      <c r="F658" s="24"/>
      <c r="G658" s="83"/>
      <c r="H658" s="83"/>
      <c r="I658" s="72"/>
      <c r="J658" s="72"/>
      <c r="K658" s="109"/>
      <c r="L658" s="83"/>
      <c r="M658" s="86"/>
      <c r="N658" s="86"/>
      <c r="O658" s="72"/>
      <c r="P658" s="72"/>
      <c r="Q658" s="84"/>
      <c r="R658" s="84"/>
      <c r="S658" s="15" t="e">
        <f>I658&amp;J658&amp;#REF!</f>
        <v>#REF!</v>
      </c>
      <c r="T658" s="84"/>
      <c r="U658" s="84"/>
      <c r="V658" s="84"/>
    </row>
    <row r="659" spans="1:22">
      <c r="A659" s="23"/>
      <c r="B659" s="24"/>
      <c r="C659" s="24"/>
      <c r="D659" s="24"/>
      <c r="E659" s="74"/>
      <c r="F659" s="24"/>
      <c r="G659" s="83"/>
      <c r="H659" s="83"/>
      <c r="I659" s="72"/>
      <c r="J659" s="72"/>
      <c r="K659" s="109"/>
      <c r="L659" s="83"/>
      <c r="M659" s="86"/>
      <c r="N659" s="86"/>
      <c r="O659" s="72"/>
      <c r="P659" s="72"/>
      <c r="Q659" s="84"/>
      <c r="R659" s="84"/>
      <c r="S659" s="15" t="e">
        <f>I659&amp;J659&amp;#REF!</f>
        <v>#REF!</v>
      </c>
      <c r="T659" s="84"/>
      <c r="U659" s="84"/>
      <c r="V659" s="84"/>
    </row>
    <row r="660" spans="1:22">
      <c r="A660" s="23"/>
      <c r="B660" s="24"/>
      <c r="C660" s="24"/>
      <c r="D660" s="24"/>
      <c r="E660" s="74"/>
      <c r="F660" s="24"/>
      <c r="G660" s="83"/>
      <c r="H660" s="83"/>
      <c r="I660" s="72"/>
      <c r="J660" s="72"/>
      <c r="K660" s="109"/>
      <c r="L660" s="83"/>
      <c r="M660" s="86"/>
      <c r="N660" s="86"/>
      <c r="O660" s="72"/>
      <c r="P660" s="72"/>
      <c r="Q660" s="84"/>
      <c r="R660" s="84"/>
      <c r="S660" s="15" t="e">
        <f>I660&amp;J660&amp;#REF!</f>
        <v>#REF!</v>
      </c>
      <c r="T660" s="84"/>
      <c r="U660" s="84"/>
      <c r="V660" s="84"/>
    </row>
    <row r="661" spans="1:22">
      <c r="A661" s="23"/>
      <c r="B661" s="24"/>
      <c r="C661" s="24"/>
      <c r="D661" s="24"/>
      <c r="E661" s="74"/>
      <c r="F661" s="24"/>
      <c r="G661" s="83"/>
      <c r="H661" s="83"/>
      <c r="I661" s="72"/>
      <c r="J661" s="72"/>
      <c r="K661" s="109"/>
      <c r="L661" s="83"/>
      <c r="M661" s="86"/>
      <c r="N661" s="86"/>
      <c r="O661" s="72"/>
      <c r="P661" s="72"/>
      <c r="Q661" s="84"/>
      <c r="R661" s="84"/>
      <c r="S661" s="15" t="e">
        <f>I661&amp;J661&amp;#REF!</f>
        <v>#REF!</v>
      </c>
      <c r="T661" s="84"/>
      <c r="U661" s="84"/>
      <c r="V661" s="84"/>
    </row>
    <row r="662" spans="1:22">
      <c r="A662" s="23"/>
      <c r="B662" s="24"/>
      <c r="C662" s="24"/>
      <c r="D662" s="24"/>
      <c r="E662" s="74"/>
      <c r="F662" s="24"/>
      <c r="G662" s="83"/>
      <c r="H662" s="83"/>
      <c r="I662" s="72"/>
      <c r="J662" s="72"/>
      <c r="K662" s="109"/>
      <c r="L662" s="83"/>
      <c r="M662" s="86"/>
      <c r="N662" s="86"/>
      <c r="O662" s="72"/>
      <c r="P662" s="72"/>
      <c r="Q662" s="84"/>
      <c r="R662" s="84"/>
      <c r="S662" s="15" t="e">
        <f>I662&amp;J662&amp;#REF!</f>
        <v>#REF!</v>
      </c>
      <c r="T662" s="84"/>
      <c r="U662" s="84"/>
      <c r="V662" s="84"/>
    </row>
    <row r="663" spans="1:22">
      <c r="A663" s="23"/>
      <c r="B663" s="24"/>
      <c r="C663" s="24"/>
      <c r="D663" s="24"/>
      <c r="E663" s="74"/>
      <c r="F663" s="24"/>
      <c r="G663" s="83"/>
      <c r="H663" s="83"/>
      <c r="I663" s="72"/>
      <c r="J663" s="72"/>
      <c r="K663" s="109"/>
      <c r="L663" s="83"/>
      <c r="M663" s="86"/>
      <c r="N663" s="86"/>
      <c r="O663" s="72"/>
      <c r="P663" s="72"/>
      <c r="Q663" s="84"/>
      <c r="R663" s="84"/>
      <c r="S663" s="15" t="e">
        <f>I663&amp;J663&amp;#REF!</f>
        <v>#REF!</v>
      </c>
      <c r="T663" s="84"/>
      <c r="U663" s="84"/>
      <c r="V663" s="84"/>
    </row>
    <row r="664" spans="1:22">
      <c r="A664" s="23"/>
      <c r="B664" s="24"/>
      <c r="C664" s="24"/>
      <c r="D664" s="24"/>
      <c r="E664" s="74"/>
      <c r="F664" s="24"/>
      <c r="G664" s="83"/>
      <c r="H664" s="83"/>
      <c r="I664" s="72"/>
      <c r="J664" s="72"/>
      <c r="K664" s="109"/>
      <c r="L664" s="83"/>
      <c r="M664" s="86"/>
      <c r="N664" s="86"/>
      <c r="O664" s="72"/>
      <c r="P664" s="72"/>
      <c r="Q664" s="84"/>
      <c r="R664" s="84"/>
      <c r="S664" s="15" t="e">
        <f>I664&amp;J664&amp;#REF!</f>
        <v>#REF!</v>
      </c>
      <c r="T664" s="84"/>
      <c r="U664" s="84"/>
      <c r="V664" s="84"/>
    </row>
    <row r="665" spans="1:22">
      <c r="A665" s="23"/>
      <c r="B665" s="24"/>
      <c r="C665" s="24"/>
      <c r="D665" s="24"/>
      <c r="E665" s="74"/>
      <c r="F665" s="24"/>
      <c r="G665" s="83"/>
      <c r="H665" s="83"/>
      <c r="I665" s="72"/>
      <c r="J665" s="72"/>
      <c r="K665" s="109"/>
      <c r="L665" s="83"/>
      <c r="M665" s="86"/>
      <c r="N665" s="86"/>
      <c r="O665" s="72"/>
      <c r="P665" s="72"/>
      <c r="Q665" s="84"/>
      <c r="R665" s="84"/>
      <c r="S665" s="15" t="e">
        <f>I665&amp;J665&amp;#REF!</f>
        <v>#REF!</v>
      </c>
      <c r="T665" s="84"/>
      <c r="U665" s="84"/>
      <c r="V665" s="84"/>
    </row>
    <row r="666" spans="1:22">
      <c r="A666" s="23"/>
      <c r="B666" s="24"/>
      <c r="C666" s="24"/>
      <c r="D666" s="24"/>
      <c r="E666" s="74"/>
      <c r="F666" s="24"/>
      <c r="G666" s="83"/>
      <c r="H666" s="83"/>
      <c r="I666" s="72"/>
      <c r="J666" s="72"/>
      <c r="K666" s="109"/>
      <c r="L666" s="83"/>
      <c r="M666" s="86"/>
      <c r="N666" s="86"/>
      <c r="O666" s="72"/>
      <c r="P666" s="72"/>
      <c r="Q666" s="84"/>
      <c r="R666" s="84"/>
      <c r="S666" s="15" t="e">
        <f>I666&amp;J666&amp;#REF!</f>
        <v>#REF!</v>
      </c>
      <c r="T666" s="84"/>
      <c r="U666" s="84"/>
      <c r="V666" s="84"/>
    </row>
    <row r="667" spans="1:22">
      <c r="A667" s="23"/>
      <c r="B667" s="24"/>
      <c r="C667" s="24"/>
      <c r="D667" s="24"/>
      <c r="E667" s="74"/>
      <c r="F667" s="24"/>
      <c r="G667" s="83"/>
      <c r="H667" s="83"/>
      <c r="I667" s="72"/>
      <c r="J667" s="72"/>
      <c r="K667" s="109"/>
      <c r="L667" s="83"/>
      <c r="M667" s="86"/>
      <c r="N667" s="86"/>
      <c r="O667" s="72"/>
      <c r="P667" s="72"/>
      <c r="Q667" s="84"/>
      <c r="R667" s="84"/>
      <c r="S667" s="15" t="e">
        <f>I667&amp;J667&amp;#REF!</f>
        <v>#REF!</v>
      </c>
      <c r="T667" s="84"/>
      <c r="U667" s="84"/>
      <c r="V667" s="84"/>
    </row>
    <row r="668" spans="1:22">
      <c r="A668" s="23"/>
      <c r="B668" s="24"/>
      <c r="C668" s="24"/>
      <c r="D668" s="24"/>
      <c r="E668" s="74"/>
      <c r="F668" s="24"/>
      <c r="G668" s="83"/>
      <c r="H668" s="83"/>
      <c r="I668" s="72"/>
      <c r="J668" s="72"/>
      <c r="K668" s="109"/>
      <c r="L668" s="83"/>
      <c r="M668" s="86"/>
      <c r="N668" s="86"/>
      <c r="O668" s="72"/>
      <c r="P668" s="72"/>
      <c r="Q668" s="84"/>
      <c r="R668" s="84"/>
      <c r="S668" s="15" t="e">
        <f>I668&amp;J668&amp;#REF!</f>
        <v>#REF!</v>
      </c>
      <c r="T668" s="84"/>
      <c r="U668" s="84"/>
      <c r="V668" s="84"/>
    </row>
    <row r="669" spans="1:22">
      <c r="A669" s="23"/>
      <c r="B669" s="24"/>
      <c r="C669" s="24"/>
      <c r="D669" s="24"/>
      <c r="E669" s="74"/>
      <c r="F669" s="24"/>
      <c r="G669" s="83"/>
      <c r="H669" s="83"/>
      <c r="I669" s="72"/>
      <c r="J669" s="72"/>
      <c r="K669" s="109"/>
      <c r="L669" s="83"/>
      <c r="M669" s="86"/>
      <c r="N669" s="86"/>
      <c r="O669" s="72"/>
      <c r="P669" s="72"/>
      <c r="Q669" s="84"/>
      <c r="R669" s="84"/>
      <c r="S669" s="15" t="e">
        <f>I669&amp;J669&amp;#REF!</f>
        <v>#REF!</v>
      </c>
      <c r="T669" s="84"/>
      <c r="U669" s="84"/>
      <c r="V669" s="84"/>
    </row>
    <row r="670" spans="1:22">
      <c r="A670" s="23"/>
      <c r="B670" s="24"/>
      <c r="C670" s="24"/>
      <c r="D670" s="24"/>
      <c r="E670" s="74"/>
      <c r="F670" s="24"/>
      <c r="G670" s="83"/>
      <c r="H670" s="83"/>
      <c r="I670" s="72"/>
      <c r="J670" s="72"/>
      <c r="K670" s="109"/>
      <c r="L670" s="83"/>
      <c r="M670" s="86"/>
      <c r="N670" s="86"/>
      <c r="O670" s="72"/>
      <c r="P670" s="72"/>
      <c r="Q670" s="84"/>
      <c r="R670" s="84"/>
      <c r="S670" s="15" t="e">
        <f>I670&amp;J670&amp;#REF!</f>
        <v>#REF!</v>
      </c>
      <c r="T670" s="84"/>
      <c r="U670" s="84"/>
      <c r="V670" s="84"/>
    </row>
    <row r="671" spans="1:22">
      <c r="A671" s="23"/>
      <c r="B671" s="24"/>
      <c r="C671" s="24"/>
      <c r="D671" s="24"/>
      <c r="E671" s="74"/>
      <c r="F671" s="24"/>
      <c r="G671" s="83"/>
      <c r="H671" s="83"/>
      <c r="I671" s="72"/>
      <c r="J671" s="72"/>
      <c r="K671" s="109"/>
      <c r="L671" s="83"/>
      <c r="M671" s="86"/>
      <c r="N671" s="86"/>
      <c r="O671" s="72"/>
      <c r="P671" s="72"/>
      <c r="Q671" s="84"/>
      <c r="R671" s="84"/>
      <c r="S671" s="15" t="e">
        <f>I671&amp;J671&amp;#REF!</f>
        <v>#REF!</v>
      </c>
      <c r="T671" s="84"/>
      <c r="U671" s="84"/>
      <c r="V671" s="84"/>
    </row>
    <row r="672" spans="1:22">
      <c r="A672" s="23"/>
      <c r="B672" s="24"/>
      <c r="C672" s="24"/>
      <c r="D672" s="24"/>
      <c r="E672" s="74"/>
      <c r="F672" s="24"/>
      <c r="G672" s="83"/>
      <c r="H672" s="83"/>
      <c r="I672" s="72"/>
      <c r="J672" s="72"/>
      <c r="K672" s="109"/>
      <c r="L672" s="83"/>
      <c r="M672" s="86"/>
      <c r="N672" s="86"/>
      <c r="O672" s="72"/>
      <c r="P672" s="72"/>
      <c r="Q672" s="84"/>
      <c r="R672" s="84"/>
      <c r="S672" s="15" t="e">
        <f>I672&amp;J672&amp;#REF!</f>
        <v>#REF!</v>
      </c>
      <c r="T672" s="84"/>
      <c r="U672" s="84"/>
      <c r="V672" s="84"/>
    </row>
    <row r="673" spans="1:22">
      <c r="A673" s="23"/>
      <c r="B673" s="24"/>
      <c r="C673" s="24"/>
      <c r="D673" s="24"/>
      <c r="E673" s="74"/>
      <c r="F673" s="24"/>
      <c r="G673" s="83"/>
      <c r="H673" s="83"/>
      <c r="I673" s="72"/>
      <c r="J673" s="72"/>
      <c r="K673" s="109"/>
      <c r="L673" s="83"/>
      <c r="M673" s="86"/>
      <c r="N673" s="86"/>
      <c r="O673" s="72"/>
      <c r="P673" s="72"/>
      <c r="Q673" s="84"/>
      <c r="R673" s="84"/>
      <c r="S673" s="15" t="e">
        <f>I673&amp;J673&amp;#REF!</f>
        <v>#REF!</v>
      </c>
      <c r="T673" s="84"/>
      <c r="U673" s="84"/>
      <c r="V673" s="84"/>
    </row>
    <row r="674" spans="1:22">
      <c r="A674" s="23"/>
      <c r="B674" s="24"/>
      <c r="C674" s="24"/>
      <c r="D674" s="24"/>
      <c r="E674" s="74"/>
      <c r="F674" s="24"/>
      <c r="G674" s="83"/>
      <c r="H674" s="83"/>
      <c r="I674" s="72"/>
      <c r="J674" s="72"/>
      <c r="K674" s="109"/>
      <c r="L674" s="83"/>
      <c r="M674" s="86"/>
      <c r="N674" s="86"/>
      <c r="O674" s="72"/>
      <c r="P674" s="72"/>
      <c r="Q674" s="84"/>
      <c r="R674" s="84"/>
      <c r="S674" s="15" t="e">
        <f>I674&amp;J674&amp;#REF!</f>
        <v>#REF!</v>
      </c>
      <c r="T674" s="84"/>
      <c r="U674" s="84"/>
      <c r="V674" s="84"/>
    </row>
    <row r="675" spans="1:22">
      <c r="A675" s="23"/>
      <c r="B675" s="24"/>
      <c r="C675" s="24"/>
      <c r="D675" s="24"/>
      <c r="E675" s="74"/>
      <c r="F675" s="24"/>
      <c r="G675" s="83"/>
      <c r="H675" s="83"/>
      <c r="I675" s="72"/>
      <c r="J675" s="72"/>
      <c r="K675" s="109"/>
      <c r="L675" s="83"/>
      <c r="M675" s="86"/>
      <c r="N675" s="86"/>
      <c r="O675" s="72"/>
      <c r="P675" s="72"/>
      <c r="Q675" s="84"/>
      <c r="R675" s="84"/>
      <c r="S675" s="15" t="e">
        <f>I675&amp;J675&amp;#REF!</f>
        <v>#REF!</v>
      </c>
      <c r="T675" s="84"/>
      <c r="U675" s="84"/>
      <c r="V675" s="84"/>
    </row>
    <row r="676" spans="1:22">
      <c r="A676" s="23"/>
      <c r="B676" s="24"/>
      <c r="C676" s="24"/>
      <c r="D676" s="24"/>
      <c r="E676" s="74"/>
      <c r="F676" s="24"/>
      <c r="G676" s="83"/>
      <c r="H676" s="83"/>
      <c r="I676" s="72"/>
      <c r="J676" s="72"/>
      <c r="K676" s="109"/>
      <c r="L676" s="83"/>
      <c r="M676" s="86"/>
      <c r="N676" s="86"/>
      <c r="O676" s="72"/>
      <c r="P676" s="72"/>
      <c r="Q676" s="84"/>
      <c r="R676" s="84"/>
      <c r="S676" s="15" t="e">
        <f>I676&amp;J676&amp;#REF!</f>
        <v>#REF!</v>
      </c>
      <c r="T676" s="84"/>
      <c r="U676" s="84"/>
      <c r="V676" s="84"/>
    </row>
    <row r="677" spans="1:22">
      <c r="A677" s="23"/>
      <c r="B677" s="24"/>
      <c r="C677" s="24"/>
      <c r="D677" s="24"/>
      <c r="E677" s="74"/>
      <c r="F677" s="24"/>
      <c r="G677" s="83"/>
      <c r="H677" s="83"/>
      <c r="I677" s="72"/>
      <c r="J677" s="72"/>
      <c r="K677" s="109"/>
      <c r="L677" s="83"/>
      <c r="M677" s="86"/>
      <c r="N677" s="86"/>
      <c r="O677" s="72"/>
      <c r="P677" s="72"/>
      <c r="Q677" s="84"/>
      <c r="R677" s="84"/>
      <c r="S677" s="15" t="e">
        <f>I677&amp;J677&amp;#REF!</f>
        <v>#REF!</v>
      </c>
      <c r="T677" s="84"/>
      <c r="U677" s="84"/>
      <c r="V677" s="84"/>
    </row>
    <row r="678" spans="1:22">
      <c r="A678" s="23"/>
      <c r="B678" s="24"/>
      <c r="C678" s="24"/>
      <c r="D678" s="24"/>
      <c r="E678" s="74"/>
      <c r="F678" s="24"/>
      <c r="G678" s="83"/>
      <c r="H678" s="83"/>
      <c r="I678" s="72"/>
      <c r="J678" s="72"/>
      <c r="K678" s="109"/>
      <c r="L678" s="83"/>
      <c r="M678" s="86"/>
      <c r="N678" s="86"/>
      <c r="O678" s="72"/>
      <c r="P678" s="72"/>
      <c r="Q678" s="84"/>
      <c r="R678" s="84"/>
      <c r="S678" s="15" t="e">
        <f>I678&amp;J678&amp;#REF!</f>
        <v>#REF!</v>
      </c>
      <c r="T678" s="84"/>
      <c r="U678" s="84"/>
      <c r="V678" s="84"/>
    </row>
    <row r="679" spans="1:22">
      <c r="A679" s="23"/>
      <c r="B679" s="24"/>
      <c r="C679" s="24"/>
      <c r="D679" s="24"/>
      <c r="E679" s="74"/>
      <c r="F679" s="24"/>
      <c r="G679" s="83"/>
      <c r="H679" s="83"/>
      <c r="I679" s="72"/>
      <c r="J679" s="72"/>
      <c r="K679" s="109"/>
      <c r="L679" s="83"/>
      <c r="M679" s="86"/>
      <c r="N679" s="86"/>
      <c r="O679" s="72"/>
      <c r="P679" s="72"/>
      <c r="Q679" s="84"/>
      <c r="R679" s="84"/>
      <c r="S679" s="15" t="e">
        <f>I679&amp;J679&amp;#REF!</f>
        <v>#REF!</v>
      </c>
      <c r="T679" s="84"/>
      <c r="U679" s="84"/>
      <c r="V679" s="84"/>
    </row>
    <row r="680" spans="1:22">
      <c r="A680" s="23"/>
      <c r="B680" s="24"/>
      <c r="C680" s="24"/>
      <c r="D680" s="24"/>
      <c r="E680" s="74"/>
      <c r="F680" s="24"/>
      <c r="G680" s="83"/>
      <c r="H680" s="83"/>
      <c r="I680" s="72"/>
      <c r="J680" s="72"/>
      <c r="K680" s="109"/>
      <c r="L680" s="83"/>
      <c r="M680" s="86"/>
      <c r="N680" s="86"/>
      <c r="O680" s="72"/>
      <c r="P680" s="72"/>
      <c r="Q680" s="84"/>
      <c r="R680" s="84"/>
      <c r="S680" s="15" t="e">
        <f>I680&amp;J680&amp;#REF!</f>
        <v>#REF!</v>
      </c>
      <c r="T680" s="84"/>
      <c r="U680" s="84"/>
      <c r="V680" s="84"/>
    </row>
    <row r="681" spans="1:22">
      <c r="A681" s="23"/>
      <c r="B681" s="24"/>
      <c r="C681" s="24"/>
      <c r="D681" s="24"/>
      <c r="E681" s="74"/>
      <c r="F681" s="24"/>
      <c r="G681" s="83"/>
      <c r="H681" s="83"/>
      <c r="I681" s="72"/>
      <c r="J681" s="72"/>
      <c r="K681" s="109"/>
      <c r="L681" s="83"/>
      <c r="M681" s="86"/>
      <c r="N681" s="86"/>
      <c r="O681" s="72"/>
      <c r="P681" s="72"/>
      <c r="Q681" s="84"/>
      <c r="R681" s="84"/>
      <c r="S681" s="15" t="e">
        <f>I681&amp;J681&amp;#REF!</f>
        <v>#REF!</v>
      </c>
      <c r="T681" s="84"/>
      <c r="U681" s="84"/>
      <c r="V681" s="84"/>
    </row>
    <row r="682" spans="1:22">
      <c r="A682" s="23"/>
      <c r="B682" s="24"/>
      <c r="C682" s="24"/>
      <c r="D682" s="24"/>
      <c r="E682" s="74"/>
      <c r="F682" s="24"/>
      <c r="G682" s="83"/>
      <c r="H682" s="83"/>
      <c r="I682" s="72"/>
      <c r="J682" s="72"/>
      <c r="K682" s="109"/>
      <c r="L682" s="83"/>
      <c r="M682" s="86"/>
      <c r="N682" s="86"/>
      <c r="O682" s="72"/>
      <c r="P682" s="72"/>
      <c r="Q682" s="84"/>
      <c r="R682" s="84"/>
      <c r="S682" s="15" t="e">
        <f>I682&amp;J682&amp;#REF!</f>
        <v>#REF!</v>
      </c>
      <c r="T682" s="84"/>
      <c r="U682" s="84"/>
      <c r="V682" s="84"/>
    </row>
    <row r="683" spans="1:22">
      <c r="A683" s="23"/>
      <c r="B683" s="24"/>
      <c r="C683" s="24"/>
      <c r="D683" s="24"/>
      <c r="E683" s="74"/>
      <c r="F683" s="24"/>
      <c r="G683" s="83"/>
      <c r="H683" s="83"/>
      <c r="I683" s="72"/>
      <c r="J683" s="72"/>
      <c r="K683" s="109"/>
      <c r="L683" s="83"/>
      <c r="M683" s="86"/>
      <c r="N683" s="86"/>
      <c r="O683" s="72"/>
      <c r="P683" s="72"/>
      <c r="Q683" s="84"/>
      <c r="R683" s="84"/>
      <c r="S683" s="15" t="e">
        <f>I683&amp;J683&amp;#REF!</f>
        <v>#REF!</v>
      </c>
      <c r="T683" s="84"/>
      <c r="U683" s="84"/>
      <c r="V683" s="84"/>
    </row>
    <row r="684" spans="1:22">
      <c r="A684" s="23"/>
      <c r="B684" s="24"/>
      <c r="C684" s="24"/>
      <c r="D684" s="24"/>
      <c r="E684" s="74"/>
      <c r="F684" s="24"/>
      <c r="G684" s="83"/>
      <c r="H684" s="83"/>
      <c r="I684" s="72"/>
      <c r="J684" s="72"/>
      <c r="K684" s="109"/>
      <c r="L684" s="83"/>
      <c r="M684" s="86"/>
      <c r="N684" s="86"/>
      <c r="O684" s="72"/>
      <c r="P684" s="72"/>
      <c r="Q684" s="84"/>
      <c r="R684" s="84"/>
      <c r="S684" s="15" t="e">
        <f>I684&amp;J684&amp;#REF!</f>
        <v>#REF!</v>
      </c>
      <c r="T684" s="84"/>
      <c r="U684" s="84"/>
      <c r="V684" s="84"/>
    </row>
    <row r="685" spans="1:22">
      <c r="A685" s="23"/>
      <c r="B685" s="24"/>
      <c r="C685" s="24"/>
      <c r="D685" s="24"/>
      <c r="E685" s="74"/>
      <c r="F685" s="24"/>
      <c r="G685" s="83"/>
      <c r="H685" s="83"/>
      <c r="I685" s="72"/>
      <c r="J685" s="72"/>
      <c r="K685" s="109"/>
      <c r="L685" s="83"/>
      <c r="M685" s="86"/>
      <c r="N685" s="86"/>
      <c r="O685" s="72"/>
      <c r="P685" s="72"/>
      <c r="Q685" s="84"/>
      <c r="R685" s="84"/>
      <c r="S685" s="15" t="e">
        <f>I685&amp;J685&amp;#REF!</f>
        <v>#REF!</v>
      </c>
      <c r="T685" s="84"/>
      <c r="U685" s="84"/>
      <c r="V685" s="84"/>
    </row>
    <row r="686" spans="1:22">
      <c r="A686" s="23"/>
      <c r="B686" s="24"/>
      <c r="C686" s="24"/>
      <c r="D686" s="24"/>
      <c r="E686" s="74"/>
      <c r="F686" s="24"/>
      <c r="G686" s="83"/>
      <c r="H686" s="83"/>
      <c r="I686" s="72"/>
      <c r="J686" s="72"/>
      <c r="K686" s="109"/>
      <c r="L686" s="83"/>
      <c r="M686" s="86"/>
      <c r="N686" s="86"/>
      <c r="O686" s="72"/>
      <c r="P686" s="72"/>
      <c r="Q686" s="84"/>
      <c r="R686" s="84"/>
      <c r="S686" s="15" t="e">
        <f>I686&amp;J686&amp;#REF!</f>
        <v>#REF!</v>
      </c>
      <c r="T686" s="84"/>
      <c r="U686" s="84"/>
      <c r="V686" s="84"/>
    </row>
    <row r="687" spans="1:22">
      <c r="A687" s="23"/>
      <c r="B687" s="24"/>
      <c r="C687" s="24"/>
      <c r="D687" s="24"/>
      <c r="E687" s="74"/>
      <c r="F687" s="24"/>
      <c r="G687" s="83"/>
      <c r="H687" s="83"/>
      <c r="I687" s="72"/>
      <c r="J687" s="72"/>
      <c r="K687" s="109"/>
      <c r="L687" s="83"/>
      <c r="M687" s="86"/>
      <c r="N687" s="86"/>
      <c r="O687" s="72"/>
      <c r="P687" s="72"/>
      <c r="Q687" s="84" t="str">
        <f t="shared" ref="Q687:Q705" si="40">I687&amp;J687</f>
        <v/>
      </c>
      <c r="R687" s="84"/>
      <c r="S687" s="15" t="e">
        <f>I687&amp;J687&amp;#REF!</f>
        <v>#REF!</v>
      </c>
      <c r="T687" s="84"/>
      <c r="U687" s="84"/>
      <c r="V687" s="84"/>
    </row>
    <row r="688" spans="1:22">
      <c r="A688" s="23"/>
      <c r="B688" s="24"/>
      <c r="C688" s="24"/>
      <c r="D688" s="24"/>
      <c r="E688" s="74"/>
      <c r="F688" s="24"/>
      <c r="G688" s="83"/>
      <c r="H688" s="83"/>
      <c r="I688" s="72"/>
      <c r="J688" s="72"/>
      <c r="K688" s="109"/>
      <c r="L688" s="83"/>
      <c r="M688" s="86"/>
      <c r="N688" s="86"/>
      <c r="O688" s="72"/>
      <c r="P688" s="72"/>
      <c r="Q688" s="84" t="str">
        <f t="shared" si="40"/>
        <v/>
      </c>
      <c r="R688" s="84"/>
      <c r="S688" s="15" t="e">
        <f>I688&amp;J688&amp;#REF!</f>
        <v>#REF!</v>
      </c>
      <c r="T688" s="84"/>
      <c r="U688" s="84"/>
      <c r="V688" s="84"/>
    </row>
    <row r="689" spans="1:22">
      <c r="A689" s="23"/>
      <c r="B689" s="24"/>
      <c r="C689" s="24"/>
      <c r="D689" s="24"/>
      <c r="E689" s="74"/>
      <c r="F689" s="24"/>
      <c r="G689" s="83"/>
      <c r="H689" s="83"/>
      <c r="I689" s="72"/>
      <c r="J689" s="72"/>
      <c r="K689" s="109"/>
      <c r="L689" s="83"/>
      <c r="M689" s="86"/>
      <c r="N689" s="86"/>
      <c r="O689" s="72"/>
      <c r="P689" s="72"/>
      <c r="Q689" s="84" t="str">
        <f t="shared" si="40"/>
        <v/>
      </c>
      <c r="R689" s="84"/>
      <c r="S689" s="15" t="e">
        <f>I689&amp;J689&amp;#REF!</f>
        <v>#REF!</v>
      </c>
      <c r="T689" s="84"/>
      <c r="U689" s="84"/>
      <c r="V689" s="84"/>
    </row>
    <row r="690" spans="1:22">
      <c r="A690" s="23"/>
      <c r="B690" s="24"/>
      <c r="C690" s="24"/>
      <c r="D690" s="24"/>
      <c r="E690" s="74"/>
      <c r="F690" s="24"/>
      <c r="G690" s="83"/>
      <c r="H690" s="83"/>
      <c r="I690" s="72"/>
      <c r="J690" s="72"/>
      <c r="K690" s="109"/>
      <c r="L690" s="83"/>
      <c r="M690" s="86"/>
      <c r="N690" s="86"/>
      <c r="O690" s="72"/>
      <c r="P690" s="72"/>
      <c r="Q690" s="84" t="str">
        <f t="shared" si="40"/>
        <v/>
      </c>
      <c r="R690" s="84"/>
      <c r="S690" s="15" t="e">
        <f>I690&amp;J690&amp;#REF!</f>
        <v>#REF!</v>
      </c>
      <c r="T690" s="84"/>
      <c r="U690" s="84"/>
      <c r="V690" s="84"/>
    </row>
    <row r="691" spans="1:22">
      <c r="A691" s="23"/>
      <c r="B691" s="24"/>
      <c r="C691" s="24"/>
      <c r="D691" s="24"/>
      <c r="E691" s="74"/>
      <c r="F691" s="24"/>
      <c r="G691" s="83"/>
      <c r="H691" s="83"/>
      <c r="I691" s="72"/>
      <c r="J691" s="72"/>
      <c r="K691" s="109"/>
      <c r="L691" s="83"/>
      <c r="M691" s="86"/>
      <c r="N691" s="86"/>
      <c r="O691" s="72"/>
      <c r="P691" s="72"/>
      <c r="Q691" s="84" t="str">
        <f t="shared" si="40"/>
        <v/>
      </c>
      <c r="R691" s="84"/>
      <c r="S691" s="15" t="e">
        <f>I691&amp;J691&amp;#REF!</f>
        <v>#REF!</v>
      </c>
      <c r="T691" s="84"/>
      <c r="U691" s="84"/>
      <c r="V691" s="84"/>
    </row>
    <row r="692" spans="1:22">
      <c r="A692" s="23"/>
      <c r="B692" s="24"/>
      <c r="C692" s="24"/>
      <c r="D692" s="24"/>
      <c r="E692" s="74"/>
      <c r="F692" s="24"/>
      <c r="G692" s="83"/>
      <c r="H692" s="83"/>
      <c r="I692" s="72"/>
      <c r="J692" s="72"/>
      <c r="K692" s="109"/>
      <c r="L692" s="83"/>
      <c r="M692" s="86"/>
      <c r="N692" s="86"/>
      <c r="O692" s="72"/>
      <c r="P692" s="72"/>
      <c r="Q692" s="84" t="str">
        <f t="shared" si="40"/>
        <v/>
      </c>
      <c r="R692" s="84"/>
      <c r="S692" s="15" t="e">
        <f>I692&amp;J692&amp;#REF!</f>
        <v>#REF!</v>
      </c>
      <c r="T692" s="84"/>
      <c r="U692" s="84"/>
      <c r="V692" s="84"/>
    </row>
    <row r="693" spans="1:22">
      <c r="A693" s="23"/>
      <c r="B693" s="24"/>
      <c r="C693" s="24"/>
      <c r="D693" s="24"/>
      <c r="E693" s="74"/>
      <c r="F693" s="24"/>
      <c r="G693" s="83"/>
      <c r="H693" s="83"/>
      <c r="I693" s="72"/>
      <c r="J693" s="72"/>
      <c r="K693" s="109"/>
      <c r="L693" s="83"/>
      <c r="M693" s="86"/>
      <c r="N693" s="86"/>
      <c r="O693" s="72"/>
      <c r="P693" s="72"/>
      <c r="Q693" s="84" t="str">
        <f t="shared" si="40"/>
        <v/>
      </c>
      <c r="R693" s="84"/>
      <c r="S693" s="15" t="e">
        <f>I693&amp;J693&amp;#REF!</f>
        <v>#REF!</v>
      </c>
      <c r="T693" s="84"/>
      <c r="U693" s="84"/>
      <c r="V693" s="84"/>
    </row>
    <row r="694" spans="1:22">
      <c r="A694" s="23"/>
      <c r="B694" s="24"/>
      <c r="C694" s="24"/>
      <c r="D694" s="24"/>
      <c r="E694" s="74"/>
      <c r="F694" s="24"/>
      <c r="G694" s="83"/>
      <c r="H694" s="83"/>
      <c r="I694" s="72"/>
      <c r="J694" s="72"/>
      <c r="K694" s="109"/>
      <c r="L694" s="83"/>
      <c r="M694" s="86"/>
      <c r="N694" s="86"/>
      <c r="O694" s="72"/>
      <c r="P694" s="72"/>
      <c r="Q694" s="84" t="str">
        <f t="shared" si="40"/>
        <v/>
      </c>
      <c r="R694" s="84"/>
      <c r="S694" s="15" t="e">
        <f>I694&amp;J694&amp;#REF!</f>
        <v>#REF!</v>
      </c>
      <c r="T694" s="84"/>
      <c r="U694" s="84"/>
      <c r="V694" s="84"/>
    </row>
    <row r="695" spans="1:22">
      <c r="A695" s="23"/>
      <c r="B695" s="24"/>
      <c r="C695" s="24"/>
      <c r="D695" s="24"/>
      <c r="E695" s="74"/>
      <c r="F695" s="24"/>
      <c r="G695" s="83"/>
      <c r="H695" s="83"/>
      <c r="I695" s="72"/>
      <c r="J695" s="72"/>
      <c r="K695" s="109"/>
      <c r="L695" s="83"/>
      <c r="M695" s="86"/>
      <c r="N695" s="86"/>
      <c r="O695" s="72"/>
      <c r="P695" s="72"/>
      <c r="Q695" s="84" t="str">
        <f t="shared" si="40"/>
        <v/>
      </c>
      <c r="R695" s="84"/>
      <c r="S695" s="15" t="e">
        <f>I695&amp;J695&amp;#REF!</f>
        <v>#REF!</v>
      </c>
      <c r="T695" s="84"/>
      <c r="U695" s="84"/>
      <c r="V695" s="84"/>
    </row>
    <row r="696" spans="1:22">
      <c r="A696" s="23"/>
      <c r="B696" s="24"/>
      <c r="C696" s="24"/>
      <c r="D696" s="24"/>
      <c r="E696" s="74"/>
      <c r="F696" s="24"/>
      <c r="G696" s="83"/>
      <c r="H696" s="83"/>
      <c r="I696" s="72"/>
      <c r="J696" s="72"/>
      <c r="K696" s="109"/>
      <c r="L696" s="83"/>
      <c r="M696" s="86"/>
      <c r="N696" s="86"/>
      <c r="O696" s="72"/>
      <c r="P696" s="72"/>
      <c r="Q696" s="84" t="str">
        <f t="shared" si="40"/>
        <v/>
      </c>
      <c r="R696" s="84"/>
      <c r="S696" s="15" t="e">
        <f>I696&amp;J696&amp;#REF!</f>
        <v>#REF!</v>
      </c>
      <c r="T696" s="84"/>
      <c r="U696" s="84"/>
      <c r="V696" s="84"/>
    </row>
    <row r="697" spans="1:22">
      <c r="A697" s="23"/>
      <c r="B697" s="24"/>
      <c r="C697" s="24"/>
      <c r="D697" s="24"/>
      <c r="E697" s="74"/>
      <c r="F697" s="24"/>
      <c r="G697" s="83"/>
      <c r="H697" s="83"/>
      <c r="I697" s="72"/>
      <c r="J697" s="72"/>
      <c r="K697" s="109"/>
      <c r="L697" s="83"/>
      <c r="M697" s="86"/>
      <c r="N697" s="86"/>
      <c r="O697" s="72"/>
      <c r="P697" s="72"/>
      <c r="Q697" s="84" t="str">
        <f t="shared" si="40"/>
        <v/>
      </c>
      <c r="R697" s="84"/>
      <c r="S697" s="15" t="e">
        <f>I697&amp;J697&amp;#REF!</f>
        <v>#REF!</v>
      </c>
      <c r="T697" s="84"/>
      <c r="U697" s="84"/>
      <c r="V697" s="84"/>
    </row>
    <row r="698" spans="1:22">
      <c r="A698" s="23"/>
      <c r="B698" s="24"/>
      <c r="C698" s="24"/>
      <c r="D698" s="24"/>
      <c r="E698" s="74"/>
      <c r="F698" s="24"/>
      <c r="G698" s="83"/>
      <c r="H698" s="83"/>
      <c r="I698" s="72"/>
      <c r="J698" s="72"/>
      <c r="K698" s="109"/>
      <c r="L698" s="83"/>
      <c r="M698" s="86"/>
      <c r="N698" s="86"/>
      <c r="O698" s="72"/>
      <c r="P698" s="72"/>
      <c r="Q698" s="84" t="str">
        <f t="shared" si="40"/>
        <v/>
      </c>
      <c r="R698" s="84"/>
      <c r="S698" s="15" t="e">
        <f>I698&amp;J698&amp;#REF!</f>
        <v>#REF!</v>
      </c>
      <c r="T698" s="84"/>
      <c r="U698" s="84"/>
      <c r="V698" s="84"/>
    </row>
    <row r="699" spans="1:22">
      <c r="A699" s="23"/>
      <c r="B699" s="24"/>
      <c r="C699" s="24"/>
      <c r="D699" s="24"/>
      <c r="E699" s="74"/>
      <c r="F699" s="24"/>
      <c r="G699" s="83"/>
      <c r="H699" s="83"/>
      <c r="I699" s="72"/>
      <c r="J699" s="72"/>
      <c r="K699" s="109"/>
      <c r="L699" s="83"/>
      <c r="M699" s="86"/>
      <c r="N699" s="86"/>
      <c r="O699" s="72"/>
      <c r="P699" s="72"/>
      <c r="Q699" s="84" t="str">
        <f t="shared" si="40"/>
        <v/>
      </c>
      <c r="R699" s="84"/>
      <c r="S699" s="15" t="e">
        <f>I699&amp;J699&amp;#REF!</f>
        <v>#REF!</v>
      </c>
      <c r="T699" s="84"/>
      <c r="U699" s="84"/>
      <c r="V699" s="84"/>
    </row>
    <row r="700" spans="1:22">
      <c r="A700" s="23"/>
      <c r="B700" s="24"/>
      <c r="C700" s="24"/>
      <c r="D700" s="24"/>
      <c r="E700" s="74"/>
      <c r="F700" s="24"/>
      <c r="G700" s="83"/>
      <c r="H700" s="83"/>
      <c r="I700" s="72"/>
      <c r="J700" s="72"/>
      <c r="K700" s="109"/>
      <c r="L700" s="83"/>
      <c r="M700" s="86"/>
      <c r="N700" s="86"/>
      <c r="O700" s="72"/>
      <c r="P700" s="72"/>
      <c r="Q700" s="84" t="str">
        <f t="shared" si="40"/>
        <v/>
      </c>
      <c r="R700" s="84"/>
      <c r="S700" s="15" t="e">
        <f>I700&amp;J700&amp;#REF!</f>
        <v>#REF!</v>
      </c>
      <c r="T700" s="84"/>
      <c r="U700" s="84"/>
      <c r="V700" s="84"/>
    </row>
    <row r="701" spans="1:22">
      <c r="A701" s="23"/>
      <c r="B701" s="24"/>
      <c r="C701" s="24"/>
      <c r="D701" s="24"/>
      <c r="E701" s="74"/>
      <c r="F701" s="24"/>
      <c r="G701" s="83"/>
      <c r="H701" s="83"/>
      <c r="I701" s="72"/>
      <c r="J701" s="72"/>
      <c r="K701" s="109"/>
      <c r="L701" s="83"/>
      <c r="M701" s="86"/>
      <c r="N701" s="86"/>
      <c r="O701" s="72"/>
      <c r="P701" s="72"/>
      <c r="Q701" s="84" t="str">
        <f t="shared" si="40"/>
        <v/>
      </c>
      <c r="R701" s="84"/>
      <c r="S701" s="15" t="e">
        <f>I701&amp;J701&amp;#REF!</f>
        <v>#REF!</v>
      </c>
      <c r="T701" s="84"/>
      <c r="U701" s="84"/>
      <c r="V701" s="84"/>
    </row>
    <row r="702" spans="1:22">
      <c r="A702" s="23"/>
      <c r="B702" s="24"/>
      <c r="C702" s="24"/>
      <c r="D702" s="24"/>
      <c r="E702" s="74"/>
      <c r="F702" s="24"/>
      <c r="G702" s="83"/>
      <c r="H702" s="83"/>
      <c r="I702" s="72"/>
      <c r="J702" s="72"/>
      <c r="K702" s="109"/>
      <c r="L702" s="83"/>
      <c r="M702" s="86"/>
      <c r="N702" s="86"/>
      <c r="O702" s="72"/>
      <c r="P702" s="72"/>
      <c r="Q702" s="84" t="str">
        <f t="shared" si="40"/>
        <v/>
      </c>
      <c r="R702" s="84"/>
      <c r="S702" s="15" t="e">
        <f>I702&amp;J702&amp;#REF!</f>
        <v>#REF!</v>
      </c>
      <c r="T702" s="84"/>
      <c r="U702" s="84"/>
      <c r="V702" s="84"/>
    </row>
    <row r="703" spans="1:22">
      <c r="A703" s="23"/>
      <c r="B703" s="24"/>
      <c r="C703" s="24"/>
      <c r="D703" s="24"/>
      <c r="E703" s="74"/>
      <c r="F703" s="24"/>
      <c r="G703" s="83"/>
      <c r="H703" s="83"/>
      <c r="I703" s="72"/>
      <c r="J703" s="72"/>
      <c r="K703" s="109"/>
      <c r="L703" s="83"/>
      <c r="M703" s="86"/>
      <c r="N703" s="86"/>
      <c r="O703" s="72"/>
      <c r="P703" s="72"/>
      <c r="Q703" s="84" t="str">
        <f t="shared" si="40"/>
        <v/>
      </c>
      <c r="R703" s="84"/>
      <c r="S703" s="15" t="e">
        <f>I703&amp;J703&amp;#REF!</f>
        <v>#REF!</v>
      </c>
      <c r="T703" s="84"/>
      <c r="U703" s="84"/>
      <c r="V703" s="84"/>
    </row>
    <row r="704" spans="1:22">
      <c r="A704" s="23"/>
      <c r="B704" s="24"/>
      <c r="C704" s="24"/>
      <c r="D704" s="24"/>
      <c r="E704" s="74"/>
      <c r="F704" s="24"/>
      <c r="G704" s="83"/>
      <c r="H704" s="83"/>
      <c r="I704" s="72"/>
      <c r="J704" s="72"/>
      <c r="K704" s="109"/>
      <c r="L704" s="83"/>
      <c r="M704" s="86"/>
      <c r="N704" s="86"/>
      <c r="O704" s="72"/>
      <c r="P704" s="72"/>
      <c r="Q704" s="84" t="str">
        <f t="shared" si="40"/>
        <v/>
      </c>
      <c r="R704" s="84"/>
      <c r="S704" s="15" t="e">
        <f>I704&amp;J704&amp;#REF!</f>
        <v>#REF!</v>
      </c>
      <c r="T704" s="84"/>
      <c r="U704" s="84"/>
      <c r="V704" s="84"/>
    </row>
    <row r="705" spans="1:22">
      <c r="A705" s="23"/>
      <c r="B705" s="24"/>
      <c r="C705" s="24"/>
      <c r="D705" s="24"/>
      <c r="E705" s="74"/>
      <c r="F705" s="24"/>
      <c r="G705" s="83"/>
      <c r="H705" s="83"/>
      <c r="I705" s="72"/>
      <c r="J705" s="72"/>
      <c r="K705" s="109"/>
      <c r="L705" s="83"/>
      <c r="M705" s="86"/>
      <c r="N705" s="86"/>
      <c r="O705" s="72"/>
      <c r="P705" s="72"/>
      <c r="Q705" s="84" t="str">
        <f t="shared" si="40"/>
        <v/>
      </c>
      <c r="R705" s="84"/>
      <c r="S705" s="15" t="e">
        <f>I705&amp;J705&amp;#REF!</f>
        <v>#REF!</v>
      </c>
      <c r="T705" s="84"/>
      <c r="U705" s="84"/>
      <c r="V705" s="84"/>
    </row>
    <row r="706" spans="1:22">
      <c r="A706" s="23"/>
      <c r="B706" s="24"/>
      <c r="C706" s="24"/>
      <c r="D706" s="24"/>
      <c r="E706" s="74"/>
      <c r="F706" s="24"/>
      <c r="G706" s="83"/>
      <c r="H706" s="83"/>
      <c r="I706" s="72"/>
      <c r="J706" s="72"/>
      <c r="K706" s="109"/>
      <c r="L706" s="83"/>
      <c r="M706" s="86"/>
      <c r="N706" s="86"/>
      <c r="O706" s="72"/>
      <c r="P706" s="72"/>
      <c r="Q706" s="84" t="str">
        <f t="shared" ref="Q706:Q707" si="41">I706&amp;J706</f>
        <v/>
      </c>
      <c r="R706" s="84"/>
      <c r="S706" s="15" t="e">
        <f>I706&amp;J706&amp;#REF!</f>
        <v>#REF!</v>
      </c>
      <c r="T706" s="84"/>
      <c r="U706" s="84"/>
      <c r="V706" s="84"/>
    </row>
    <row r="707" spans="1:22">
      <c r="A707" s="23"/>
      <c r="B707" s="24"/>
      <c r="C707" s="24"/>
      <c r="D707" s="24"/>
      <c r="E707" s="74"/>
      <c r="F707" s="24"/>
      <c r="G707" s="83"/>
      <c r="H707" s="83"/>
      <c r="I707" s="72"/>
      <c r="J707" s="72"/>
      <c r="K707" s="109"/>
      <c r="L707" s="83"/>
      <c r="M707" s="86"/>
      <c r="N707" s="86"/>
      <c r="O707" s="72"/>
      <c r="P707" s="72"/>
      <c r="Q707" s="84" t="str">
        <f t="shared" si="41"/>
        <v/>
      </c>
      <c r="R707" s="84"/>
      <c r="S707" s="15" t="e">
        <f>I707&amp;J707&amp;#REF!</f>
        <v>#REF!</v>
      </c>
      <c r="T707" s="84"/>
      <c r="U707" s="84"/>
      <c r="V707" s="84"/>
    </row>
    <row r="708" spans="1:22">
      <c r="A708" s="23"/>
      <c r="B708" s="24"/>
      <c r="C708" s="24"/>
      <c r="D708" s="24"/>
      <c r="E708" s="74"/>
      <c r="F708" s="24"/>
      <c r="G708" s="83"/>
      <c r="H708" s="83"/>
      <c r="I708" s="72"/>
      <c r="J708" s="72"/>
      <c r="K708" s="109"/>
      <c r="L708" s="83"/>
      <c r="M708" s="86"/>
      <c r="N708" s="86"/>
      <c r="O708" s="72"/>
      <c r="P708" s="72"/>
      <c r="Q708" s="84" t="str">
        <f t="shared" ref="Q708:Q740" si="42">I708&amp;J708</f>
        <v/>
      </c>
      <c r="R708" s="84"/>
      <c r="S708" s="15" t="e">
        <f>I708&amp;J708&amp;#REF!</f>
        <v>#REF!</v>
      </c>
      <c r="T708" s="84"/>
      <c r="U708" s="84"/>
      <c r="V708" s="84"/>
    </row>
    <row r="709" spans="1:22">
      <c r="A709" s="23"/>
      <c r="B709" s="24"/>
      <c r="C709" s="24"/>
      <c r="D709" s="24"/>
      <c r="E709" s="74"/>
      <c r="F709" s="24"/>
      <c r="G709" s="83"/>
      <c r="H709" s="83"/>
      <c r="I709" s="72"/>
      <c r="J709" s="72"/>
      <c r="K709" s="109"/>
      <c r="L709" s="83"/>
      <c r="M709" s="86"/>
      <c r="N709" s="86"/>
      <c r="O709" s="72"/>
      <c r="P709" s="72"/>
      <c r="Q709" s="84" t="str">
        <f t="shared" si="42"/>
        <v/>
      </c>
      <c r="R709" s="84"/>
      <c r="S709" s="15" t="e">
        <f>I709&amp;J709&amp;#REF!</f>
        <v>#REF!</v>
      </c>
      <c r="T709" s="84"/>
      <c r="U709" s="84"/>
      <c r="V709" s="84"/>
    </row>
    <row r="710" spans="1:22">
      <c r="A710" s="23"/>
      <c r="B710" s="24"/>
      <c r="C710" s="24"/>
      <c r="D710" s="24"/>
      <c r="E710" s="74"/>
      <c r="F710" s="24"/>
      <c r="G710" s="83"/>
      <c r="H710" s="83"/>
      <c r="I710" s="72"/>
      <c r="J710" s="72"/>
      <c r="K710" s="109"/>
      <c r="L710" s="83"/>
      <c r="M710" s="86"/>
      <c r="N710" s="86"/>
      <c r="O710" s="72"/>
      <c r="P710" s="72"/>
      <c r="Q710" s="84" t="str">
        <f t="shared" si="42"/>
        <v/>
      </c>
      <c r="R710" s="84"/>
      <c r="S710" s="15" t="e">
        <f>I710&amp;J710&amp;#REF!</f>
        <v>#REF!</v>
      </c>
      <c r="T710" s="84"/>
      <c r="U710" s="84"/>
      <c r="V710" s="84"/>
    </row>
    <row r="711" spans="1:22">
      <c r="A711" s="23"/>
      <c r="B711" s="24"/>
      <c r="C711" s="24"/>
      <c r="D711" s="24"/>
      <c r="E711" s="74"/>
      <c r="F711" s="24"/>
      <c r="G711" s="83"/>
      <c r="H711" s="83"/>
      <c r="I711" s="72"/>
      <c r="J711" s="72"/>
      <c r="K711" s="109"/>
      <c r="L711" s="83"/>
      <c r="M711" s="86"/>
      <c r="N711" s="86"/>
      <c r="O711" s="72"/>
      <c r="P711" s="72"/>
      <c r="Q711" s="84" t="str">
        <f t="shared" si="42"/>
        <v/>
      </c>
      <c r="R711" s="84"/>
      <c r="S711" s="15" t="e">
        <f>I711&amp;J711&amp;#REF!</f>
        <v>#REF!</v>
      </c>
      <c r="T711" s="84"/>
      <c r="U711" s="84"/>
      <c r="V711" s="84"/>
    </row>
    <row r="712" spans="1:22">
      <c r="A712" s="23"/>
      <c r="B712" s="24"/>
      <c r="C712" s="24"/>
      <c r="D712" s="24"/>
      <c r="E712" s="74"/>
      <c r="F712" s="24"/>
      <c r="G712" s="83"/>
      <c r="H712" s="83"/>
      <c r="I712" s="72"/>
      <c r="J712" s="72"/>
      <c r="K712" s="109"/>
      <c r="L712" s="83"/>
      <c r="M712" s="86"/>
      <c r="N712" s="86"/>
      <c r="O712" s="72"/>
      <c r="P712" s="72"/>
      <c r="Q712" s="84" t="str">
        <f t="shared" si="42"/>
        <v/>
      </c>
      <c r="R712" s="84"/>
      <c r="S712" s="15" t="e">
        <f>I712&amp;J712&amp;#REF!</f>
        <v>#REF!</v>
      </c>
      <c r="T712" s="84"/>
      <c r="U712" s="84"/>
      <c r="V712" s="84"/>
    </row>
    <row r="713" spans="1:22">
      <c r="A713" s="23"/>
      <c r="B713" s="24"/>
      <c r="C713" s="24"/>
      <c r="D713" s="24"/>
      <c r="E713" s="74"/>
      <c r="F713" s="24"/>
      <c r="G713" s="83"/>
      <c r="H713" s="83"/>
      <c r="I713" s="72"/>
      <c r="J713" s="72"/>
      <c r="K713" s="109"/>
      <c r="L713" s="83"/>
      <c r="M713" s="86"/>
      <c r="N713" s="86"/>
      <c r="O713" s="72"/>
      <c r="P713" s="72"/>
      <c r="Q713" s="84" t="str">
        <f t="shared" si="42"/>
        <v/>
      </c>
      <c r="R713" s="84"/>
      <c r="S713" s="15" t="e">
        <f>I713&amp;J713&amp;#REF!</f>
        <v>#REF!</v>
      </c>
      <c r="T713" s="84"/>
      <c r="U713" s="84"/>
      <c r="V713" s="84"/>
    </row>
    <row r="714" spans="1:22">
      <c r="A714" s="23"/>
      <c r="B714" s="24"/>
      <c r="C714" s="24"/>
      <c r="D714" s="24"/>
      <c r="E714" s="74"/>
      <c r="F714" s="24"/>
      <c r="G714" s="83"/>
      <c r="H714" s="83"/>
      <c r="I714" s="72"/>
      <c r="J714" s="72"/>
      <c r="K714" s="109"/>
      <c r="L714" s="83"/>
      <c r="M714" s="86"/>
      <c r="N714" s="86"/>
      <c r="O714" s="72"/>
      <c r="P714" s="72"/>
      <c r="Q714" s="84" t="str">
        <f t="shared" si="42"/>
        <v/>
      </c>
      <c r="R714" s="84"/>
      <c r="S714" s="15" t="e">
        <f>I714&amp;J714&amp;#REF!</f>
        <v>#REF!</v>
      </c>
      <c r="T714" s="84"/>
      <c r="U714" s="84"/>
      <c r="V714" s="84"/>
    </row>
    <row r="715" spans="1:22">
      <c r="A715" s="23"/>
      <c r="B715" s="24"/>
      <c r="C715" s="24"/>
      <c r="D715" s="24"/>
      <c r="E715" s="74"/>
      <c r="F715" s="24"/>
      <c r="G715" s="83"/>
      <c r="H715" s="83"/>
      <c r="I715" s="72"/>
      <c r="J715" s="72"/>
      <c r="K715" s="109"/>
      <c r="L715" s="83"/>
      <c r="M715" s="86"/>
      <c r="N715" s="86"/>
      <c r="O715" s="72"/>
      <c r="P715" s="72"/>
      <c r="Q715" s="84" t="str">
        <f t="shared" si="42"/>
        <v/>
      </c>
      <c r="R715" s="84"/>
      <c r="S715" s="15" t="e">
        <f>I715&amp;J715&amp;#REF!</f>
        <v>#REF!</v>
      </c>
      <c r="T715" s="84"/>
      <c r="U715" s="84"/>
      <c r="V715" s="84"/>
    </row>
    <row r="716" spans="1:22">
      <c r="A716" s="23"/>
      <c r="B716" s="24"/>
      <c r="C716" s="24"/>
      <c r="D716" s="24"/>
      <c r="E716" s="74"/>
      <c r="F716" s="24"/>
      <c r="G716" s="83"/>
      <c r="H716" s="83"/>
      <c r="I716" s="72"/>
      <c r="J716" s="72"/>
      <c r="K716" s="109"/>
      <c r="L716" s="83"/>
      <c r="M716" s="86"/>
      <c r="N716" s="86"/>
      <c r="O716" s="72"/>
      <c r="P716" s="72"/>
      <c r="Q716" s="84" t="str">
        <f t="shared" si="42"/>
        <v/>
      </c>
      <c r="R716" s="84"/>
      <c r="S716" s="15" t="e">
        <f>I716&amp;J716&amp;#REF!</f>
        <v>#REF!</v>
      </c>
      <c r="T716" s="84"/>
      <c r="U716" s="84"/>
      <c r="V716" s="84"/>
    </row>
    <row r="717" spans="1:22">
      <c r="A717" s="23"/>
      <c r="B717" s="24"/>
      <c r="C717" s="24"/>
      <c r="D717" s="24"/>
      <c r="E717" s="74"/>
      <c r="F717" s="24"/>
      <c r="G717" s="83"/>
      <c r="H717" s="83"/>
      <c r="I717" s="72"/>
      <c r="J717" s="72"/>
      <c r="K717" s="109"/>
      <c r="L717" s="83"/>
      <c r="M717" s="86"/>
      <c r="N717" s="86"/>
      <c r="O717" s="72"/>
      <c r="P717" s="72"/>
      <c r="Q717" s="84" t="str">
        <f t="shared" si="42"/>
        <v/>
      </c>
      <c r="R717" s="84"/>
      <c r="S717" s="15" t="e">
        <f>I717&amp;J717&amp;#REF!</f>
        <v>#REF!</v>
      </c>
      <c r="T717" s="84"/>
      <c r="U717" s="84"/>
      <c r="V717" s="84"/>
    </row>
    <row r="718" spans="1:22">
      <c r="A718" s="23"/>
      <c r="B718" s="24"/>
      <c r="C718" s="24"/>
      <c r="D718" s="24"/>
      <c r="E718" s="74"/>
      <c r="F718" s="24"/>
      <c r="G718" s="83"/>
      <c r="H718" s="83"/>
      <c r="I718" s="72"/>
      <c r="J718" s="72"/>
      <c r="K718" s="109"/>
      <c r="L718" s="83"/>
      <c r="M718" s="86"/>
      <c r="N718" s="86"/>
      <c r="O718" s="72"/>
      <c r="P718" s="72"/>
      <c r="Q718" s="84" t="str">
        <f t="shared" si="42"/>
        <v/>
      </c>
      <c r="R718" s="84"/>
      <c r="S718" s="15" t="e">
        <f>I718&amp;J718&amp;#REF!</f>
        <v>#REF!</v>
      </c>
      <c r="T718" s="84"/>
      <c r="U718" s="84"/>
      <c r="V718" s="84"/>
    </row>
    <row r="719" spans="1:22">
      <c r="A719" s="23"/>
      <c r="B719" s="24"/>
      <c r="C719" s="24"/>
      <c r="D719" s="24"/>
      <c r="E719" s="74"/>
      <c r="F719" s="24"/>
      <c r="G719" s="83"/>
      <c r="H719" s="83"/>
      <c r="I719" s="72"/>
      <c r="J719" s="72"/>
      <c r="K719" s="109"/>
      <c r="L719" s="83"/>
      <c r="M719" s="86"/>
      <c r="N719" s="86"/>
      <c r="O719" s="72"/>
      <c r="P719" s="72"/>
      <c r="Q719" s="84" t="str">
        <f t="shared" si="42"/>
        <v/>
      </c>
      <c r="R719" s="84"/>
      <c r="S719" s="15" t="e">
        <f>I719&amp;J719&amp;#REF!</f>
        <v>#REF!</v>
      </c>
      <c r="T719" s="84"/>
      <c r="U719" s="84"/>
      <c r="V719" s="84"/>
    </row>
    <row r="720" spans="1:22">
      <c r="A720" s="23"/>
      <c r="B720" s="24"/>
      <c r="C720" s="24"/>
      <c r="D720" s="24"/>
      <c r="E720" s="74"/>
      <c r="F720" s="24"/>
      <c r="G720" s="83"/>
      <c r="H720" s="83"/>
      <c r="I720" s="72"/>
      <c r="J720" s="72"/>
      <c r="K720" s="109"/>
      <c r="L720" s="83"/>
      <c r="M720" s="86"/>
      <c r="N720" s="86"/>
      <c r="O720" s="72"/>
      <c r="P720" s="72"/>
      <c r="Q720" s="84" t="str">
        <f t="shared" si="42"/>
        <v/>
      </c>
      <c r="R720" s="84"/>
      <c r="S720" s="15" t="e">
        <f>I720&amp;J720&amp;#REF!</f>
        <v>#REF!</v>
      </c>
      <c r="T720" s="84"/>
      <c r="U720" s="84"/>
      <c r="V720" s="84"/>
    </row>
    <row r="721" spans="1:22">
      <c r="A721" s="23"/>
      <c r="B721" s="24"/>
      <c r="C721" s="24"/>
      <c r="D721" s="24"/>
      <c r="E721" s="74"/>
      <c r="F721" s="24"/>
      <c r="G721" s="83"/>
      <c r="H721" s="83"/>
      <c r="I721" s="72"/>
      <c r="J721" s="72"/>
      <c r="K721" s="109"/>
      <c r="L721" s="83"/>
      <c r="M721" s="86"/>
      <c r="N721" s="86"/>
      <c r="O721" s="72"/>
      <c r="P721" s="72"/>
      <c r="Q721" s="84" t="str">
        <f t="shared" si="42"/>
        <v/>
      </c>
      <c r="R721" s="84"/>
      <c r="S721" s="15" t="e">
        <f>I721&amp;J721&amp;#REF!</f>
        <v>#REF!</v>
      </c>
      <c r="T721" s="84"/>
      <c r="U721" s="84"/>
      <c r="V721" s="84"/>
    </row>
    <row r="722" spans="1:22">
      <c r="A722" s="23"/>
      <c r="B722" s="24"/>
      <c r="C722" s="24"/>
      <c r="D722" s="24"/>
      <c r="E722" s="74"/>
      <c r="F722" s="24"/>
      <c r="G722" s="83"/>
      <c r="H722" s="83"/>
      <c r="I722" s="72"/>
      <c r="J722" s="72"/>
      <c r="K722" s="109"/>
      <c r="L722" s="83"/>
      <c r="M722" s="86"/>
      <c r="N722" s="86"/>
      <c r="O722" s="72"/>
      <c r="P722" s="72"/>
      <c r="Q722" s="84" t="str">
        <f t="shared" si="42"/>
        <v/>
      </c>
      <c r="R722" s="84"/>
      <c r="S722" s="15" t="e">
        <f>I722&amp;J722&amp;#REF!</f>
        <v>#REF!</v>
      </c>
      <c r="T722" s="84"/>
      <c r="U722" s="84"/>
      <c r="V722" s="84"/>
    </row>
    <row r="723" spans="1:22">
      <c r="A723" s="23"/>
      <c r="B723" s="24"/>
      <c r="C723" s="24"/>
      <c r="D723" s="24"/>
      <c r="E723" s="74"/>
      <c r="F723" s="24"/>
      <c r="G723" s="83"/>
      <c r="H723" s="83"/>
      <c r="I723" s="72"/>
      <c r="J723" s="72"/>
      <c r="K723" s="109"/>
      <c r="L723" s="83"/>
      <c r="M723" s="86"/>
      <c r="N723" s="86"/>
      <c r="O723" s="72"/>
      <c r="P723" s="72"/>
      <c r="Q723" s="84" t="str">
        <f t="shared" si="42"/>
        <v/>
      </c>
      <c r="R723" s="84"/>
      <c r="S723" s="15" t="e">
        <f>I723&amp;J723&amp;#REF!</f>
        <v>#REF!</v>
      </c>
      <c r="T723" s="84"/>
      <c r="U723" s="84"/>
      <c r="V723" s="84"/>
    </row>
    <row r="724" spans="1:22">
      <c r="A724" s="23"/>
      <c r="B724" s="24"/>
      <c r="C724" s="24"/>
      <c r="D724" s="24"/>
      <c r="E724" s="74"/>
      <c r="F724" s="24"/>
      <c r="G724" s="83"/>
      <c r="H724" s="83"/>
      <c r="I724" s="72"/>
      <c r="J724" s="72"/>
      <c r="K724" s="109"/>
      <c r="L724" s="83"/>
      <c r="M724" s="86"/>
      <c r="N724" s="86"/>
      <c r="O724" s="72"/>
      <c r="P724" s="72"/>
      <c r="Q724" s="84" t="str">
        <f t="shared" si="42"/>
        <v/>
      </c>
      <c r="R724" s="84"/>
      <c r="S724" s="15" t="e">
        <f>I724&amp;J724&amp;#REF!</f>
        <v>#REF!</v>
      </c>
      <c r="T724" s="84"/>
      <c r="U724" s="84"/>
      <c r="V724" s="84"/>
    </row>
    <row r="725" spans="1:22">
      <c r="A725" s="23"/>
      <c r="B725" s="24"/>
      <c r="C725" s="24"/>
      <c r="D725" s="24"/>
      <c r="E725" s="74"/>
      <c r="F725" s="24"/>
      <c r="G725" s="83"/>
      <c r="H725" s="83"/>
      <c r="I725" s="72"/>
      <c r="J725" s="72"/>
      <c r="K725" s="109"/>
      <c r="L725" s="83"/>
      <c r="M725" s="86"/>
      <c r="N725" s="86"/>
      <c r="O725" s="72"/>
      <c r="P725" s="72"/>
      <c r="Q725" s="84" t="str">
        <f t="shared" si="42"/>
        <v/>
      </c>
      <c r="R725" s="84"/>
      <c r="S725" s="15" t="e">
        <f>I725&amp;J725&amp;#REF!</f>
        <v>#REF!</v>
      </c>
      <c r="T725" s="84"/>
      <c r="U725" s="84"/>
      <c r="V725" s="84"/>
    </row>
    <row r="726" spans="1:22">
      <c r="A726" s="23"/>
      <c r="B726" s="24"/>
      <c r="C726" s="24"/>
      <c r="D726" s="24"/>
      <c r="E726" s="74"/>
      <c r="F726" s="24"/>
      <c r="G726" s="83"/>
      <c r="H726" s="83"/>
      <c r="I726" s="72"/>
      <c r="J726" s="72"/>
      <c r="K726" s="109"/>
      <c r="L726" s="83"/>
      <c r="M726" s="86"/>
      <c r="N726" s="86"/>
      <c r="O726" s="72"/>
      <c r="P726" s="72"/>
      <c r="Q726" s="84" t="str">
        <f t="shared" si="42"/>
        <v/>
      </c>
      <c r="R726" s="84"/>
      <c r="S726" s="15" t="e">
        <f>I726&amp;J726&amp;#REF!</f>
        <v>#REF!</v>
      </c>
      <c r="T726" s="84"/>
      <c r="U726" s="84"/>
      <c r="V726" s="84"/>
    </row>
    <row r="727" spans="1:22">
      <c r="A727" s="23"/>
      <c r="B727" s="24"/>
      <c r="C727" s="24"/>
      <c r="D727" s="24"/>
      <c r="E727" s="74"/>
      <c r="F727" s="24"/>
      <c r="G727" s="83"/>
      <c r="H727" s="83"/>
      <c r="I727" s="72"/>
      <c r="J727" s="72"/>
      <c r="K727" s="109"/>
      <c r="L727" s="83"/>
      <c r="M727" s="86"/>
      <c r="N727" s="86"/>
      <c r="O727" s="72"/>
      <c r="P727" s="72"/>
      <c r="Q727" s="84" t="str">
        <f t="shared" si="42"/>
        <v/>
      </c>
      <c r="R727" s="84"/>
      <c r="S727" s="15" t="e">
        <f>I727&amp;J727&amp;#REF!</f>
        <v>#REF!</v>
      </c>
      <c r="T727" s="84"/>
      <c r="U727" s="84"/>
      <c r="V727" s="84"/>
    </row>
    <row r="728" spans="1:22">
      <c r="A728" s="23"/>
      <c r="B728" s="24"/>
      <c r="C728" s="24"/>
      <c r="D728" s="24"/>
      <c r="E728" s="74"/>
      <c r="F728" s="24"/>
      <c r="G728" s="83"/>
      <c r="H728" s="83"/>
      <c r="I728" s="72"/>
      <c r="J728" s="72"/>
      <c r="K728" s="109"/>
      <c r="L728" s="83"/>
      <c r="M728" s="86"/>
      <c r="N728" s="86"/>
      <c r="O728" s="72"/>
      <c r="P728" s="72"/>
      <c r="Q728" s="84" t="str">
        <f t="shared" si="42"/>
        <v/>
      </c>
      <c r="R728" s="84"/>
      <c r="S728" s="15" t="e">
        <f>I728&amp;J728&amp;#REF!</f>
        <v>#REF!</v>
      </c>
      <c r="T728" s="84"/>
      <c r="U728" s="84"/>
      <c r="V728" s="84"/>
    </row>
    <row r="729" spans="1:22">
      <c r="A729" s="23"/>
      <c r="B729" s="24"/>
      <c r="C729" s="24"/>
      <c r="D729" s="24"/>
      <c r="E729" s="74"/>
      <c r="F729" s="24"/>
      <c r="G729" s="83"/>
      <c r="H729" s="83"/>
      <c r="I729" s="72"/>
      <c r="J729" s="72"/>
      <c r="K729" s="109"/>
      <c r="L729" s="83"/>
      <c r="M729" s="86"/>
      <c r="N729" s="86"/>
      <c r="O729" s="72"/>
      <c r="P729" s="72"/>
      <c r="Q729" s="84" t="str">
        <f t="shared" si="42"/>
        <v/>
      </c>
      <c r="R729" s="84"/>
      <c r="S729" s="15" t="e">
        <f>I729&amp;J729&amp;#REF!</f>
        <v>#REF!</v>
      </c>
      <c r="T729" s="84"/>
      <c r="U729" s="84"/>
      <c r="V729" s="84"/>
    </row>
    <row r="730" spans="1:22">
      <c r="A730" s="23"/>
      <c r="B730" s="24"/>
      <c r="C730" s="24"/>
      <c r="D730" s="24"/>
      <c r="E730" s="74"/>
      <c r="F730" s="24"/>
      <c r="G730" s="83"/>
      <c r="H730" s="83"/>
      <c r="I730" s="72"/>
      <c r="J730" s="72"/>
      <c r="K730" s="109"/>
      <c r="L730" s="83"/>
      <c r="M730" s="86"/>
      <c r="N730" s="86"/>
      <c r="O730" s="72"/>
      <c r="P730" s="72"/>
      <c r="Q730" s="84" t="str">
        <f t="shared" si="42"/>
        <v/>
      </c>
      <c r="R730" s="84"/>
      <c r="S730" s="15" t="e">
        <f>I730&amp;J730&amp;#REF!</f>
        <v>#REF!</v>
      </c>
      <c r="T730" s="84"/>
      <c r="U730" s="84"/>
      <c r="V730" s="84"/>
    </row>
    <row r="731" spans="1:22">
      <c r="A731" s="23"/>
      <c r="B731" s="24"/>
      <c r="C731" s="24"/>
      <c r="D731" s="24"/>
      <c r="E731" s="74"/>
      <c r="F731" s="24"/>
      <c r="G731" s="83"/>
      <c r="H731" s="83"/>
      <c r="I731" s="72"/>
      <c r="J731" s="72"/>
      <c r="K731" s="109"/>
      <c r="L731" s="83"/>
      <c r="M731" s="86"/>
      <c r="N731" s="86"/>
      <c r="O731" s="72"/>
      <c r="P731" s="72"/>
      <c r="Q731" s="84" t="str">
        <f t="shared" si="42"/>
        <v/>
      </c>
      <c r="R731" s="84"/>
      <c r="S731" s="15" t="e">
        <f>I731&amp;J731&amp;#REF!</f>
        <v>#REF!</v>
      </c>
      <c r="T731" s="84"/>
      <c r="U731" s="84"/>
      <c r="V731" s="84"/>
    </row>
    <row r="732" spans="1:22">
      <c r="A732" s="23"/>
      <c r="B732" s="24"/>
      <c r="C732" s="24"/>
      <c r="D732" s="24"/>
      <c r="E732" s="74"/>
      <c r="F732" s="24"/>
      <c r="G732" s="83"/>
      <c r="H732" s="83"/>
      <c r="I732" s="72"/>
      <c r="J732" s="72"/>
      <c r="K732" s="109"/>
      <c r="L732" s="83"/>
      <c r="M732" s="86"/>
      <c r="N732" s="86"/>
      <c r="O732" s="72"/>
      <c r="P732" s="72"/>
      <c r="Q732" s="84" t="str">
        <f t="shared" si="42"/>
        <v/>
      </c>
      <c r="R732" s="84"/>
      <c r="S732" s="15" t="e">
        <f>I732&amp;J732&amp;#REF!</f>
        <v>#REF!</v>
      </c>
      <c r="T732" s="84"/>
      <c r="U732" s="84"/>
      <c r="V732" s="84"/>
    </row>
    <row r="733" spans="1:22">
      <c r="A733" s="23"/>
      <c r="B733" s="24"/>
      <c r="C733" s="24"/>
      <c r="D733" s="24"/>
      <c r="E733" s="74"/>
      <c r="F733" s="24"/>
      <c r="G733" s="83"/>
      <c r="H733" s="83"/>
      <c r="I733" s="85"/>
      <c r="J733" s="85"/>
      <c r="K733" s="111"/>
      <c r="L733" s="83"/>
      <c r="M733" s="112"/>
      <c r="N733" s="110"/>
      <c r="O733" s="108"/>
      <c r="P733" s="108"/>
      <c r="Q733" s="84" t="str">
        <f t="shared" si="42"/>
        <v/>
      </c>
      <c r="R733" s="84"/>
      <c r="S733" s="15" t="e">
        <f>I733&amp;J733&amp;#REF!</f>
        <v>#REF!</v>
      </c>
      <c r="T733" s="84"/>
      <c r="U733" s="84"/>
      <c r="V733" s="84"/>
    </row>
    <row r="734" spans="1:22">
      <c r="A734" s="23"/>
      <c r="B734" s="24"/>
      <c r="C734" s="24"/>
      <c r="D734" s="24"/>
      <c r="E734" s="74"/>
      <c r="F734" s="24"/>
      <c r="G734" s="83"/>
      <c r="H734" s="113"/>
      <c r="I734" s="85"/>
      <c r="J734" s="85"/>
      <c r="K734" s="111"/>
      <c r="L734" s="83"/>
      <c r="M734" s="114"/>
      <c r="N734" s="113"/>
      <c r="O734" s="85"/>
      <c r="P734" s="85"/>
      <c r="Q734" s="84" t="str">
        <f t="shared" si="42"/>
        <v/>
      </c>
      <c r="R734" s="84"/>
      <c r="S734" s="15" t="e">
        <f>I734&amp;J734&amp;#REF!</f>
        <v>#REF!</v>
      </c>
      <c r="T734" s="84"/>
      <c r="U734" s="84"/>
      <c r="V734" s="84"/>
    </row>
    <row r="735" spans="1:22">
      <c r="A735" s="23"/>
      <c r="B735" s="24"/>
      <c r="C735" s="24"/>
      <c r="D735" s="24"/>
      <c r="E735" s="74"/>
      <c r="F735" s="24"/>
      <c r="G735" s="83"/>
      <c r="H735" s="113"/>
      <c r="I735" s="85"/>
      <c r="J735" s="85"/>
      <c r="K735" s="111"/>
      <c r="L735" s="83"/>
      <c r="M735" s="114"/>
      <c r="N735" s="113"/>
      <c r="O735" s="85"/>
      <c r="P735" s="85"/>
      <c r="Q735" s="84" t="str">
        <f t="shared" si="42"/>
        <v/>
      </c>
      <c r="R735" s="84"/>
      <c r="S735" s="15" t="e">
        <f>I735&amp;J735&amp;#REF!</f>
        <v>#REF!</v>
      </c>
      <c r="T735" s="84"/>
      <c r="U735" s="84"/>
      <c r="V735" s="84"/>
    </row>
    <row r="736" spans="1:22">
      <c r="A736" s="23"/>
      <c r="B736" s="24"/>
      <c r="C736" s="24"/>
      <c r="D736" s="24"/>
      <c r="E736" s="74"/>
      <c r="F736" s="24"/>
      <c r="G736" s="83"/>
      <c r="H736" s="113"/>
      <c r="I736" s="85"/>
      <c r="J736" s="85"/>
      <c r="K736" s="111"/>
      <c r="L736" s="83"/>
      <c r="M736" s="114"/>
      <c r="N736" s="113"/>
      <c r="O736" s="85"/>
      <c r="P736" s="85"/>
      <c r="Q736" s="84" t="str">
        <f t="shared" si="42"/>
        <v/>
      </c>
      <c r="R736" s="84"/>
      <c r="S736" s="15" t="e">
        <f>I736&amp;J736&amp;#REF!</f>
        <v>#REF!</v>
      </c>
      <c r="T736" s="84"/>
      <c r="U736" s="84"/>
      <c r="V736" s="84"/>
    </row>
    <row r="737" spans="1:22">
      <c r="A737" s="23"/>
      <c r="B737" s="24"/>
      <c r="C737" s="24"/>
      <c r="D737" s="24"/>
      <c r="E737" s="74"/>
      <c r="F737" s="24"/>
      <c r="G737" s="83"/>
      <c r="H737" s="113"/>
      <c r="I737" s="85"/>
      <c r="J737" s="85"/>
      <c r="K737" s="111"/>
      <c r="L737" s="83"/>
      <c r="M737" s="114"/>
      <c r="N737" s="113"/>
      <c r="O737" s="85"/>
      <c r="P737" s="85"/>
      <c r="Q737" s="84" t="str">
        <f t="shared" si="42"/>
        <v/>
      </c>
      <c r="R737" s="84"/>
      <c r="S737" s="15" t="e">
        <f>I737&amp;J737&amp;#REF!</f>
        <v>#REF!</v>
      </c>
      <c r="T737" s="84"/>
      <c r="U737" s="84"/>
      <c r="V737" s="84"/>
    </row>
    <row r="738" spans="1:22">
      <c r="A738" s="23"/>
      <c r="B738" s="24"/>
      <c r="C738" s="24"/>
      <c r="D738" s="24"/>
      <c r="E738" s="74"/>
      <c r="F738" s="24"/>
      <c r="G738" s="83"/>
      <c r="H738" s="113"/>
      <c r="I738" s="85"/>
      <c r="J738" s="85"/>
      <c r="K738" s="111"/>
      <c r="L738" s="83"/>
      <c r="M738" s="114"/>
      <c r="N738" s="113"/>
      <c r="O738" s="85"/>
      <c r="P738" s="85"/>
      <c r="Q738" s="84" t="str">
        <f t="shared" si="42"/>
        <v/>
      </c>
      <c r="R738" s="84"/>
      <c r="S738" s="15" t="e">
        <f>I738&amp;J738&amp;#REF!</f>
        <v>#REF!</v>
      </c>
      <c r="T738" s="84"/>
      <c r="U738" s="84"/>
      <c r="V738" s="84"/>
    </row>
    <row r="739" spans="1:22">
      <c r="A739" s="23"/>
      <c r="B739" s="24"/>
      <c r="C739" s="24"/>
      <c r="D739" s="24"/>
      <c r="E739" s="74"/>
      <c r="F739" s="24"/>
      <c r="G739" s="83"/>
      <c r="H739" s="113"/>
      <c r="I739" s="85"/>
      <c r="J739" s="85"/>
      <c r="K739" s="111"/>
      <c r="L739" s="83"/>
      <c r="M739" s="114"/>
      <c r="N739" s="113"/>
      <c r="O739" s="85"/>
      <c r="P739" s="85"/>
      <c r="Q739" s="84" t="str">
        <f t="shared" si="42"/>
        <v/>
      </c>
      <c r="R739" s="84"/>
      <c r="S739" s="15" t="e">
        <f>I739&amp;J739&amp;#REF!</f>
        <v>#REF!</v>
      </c>
      <c r="T739" s="84"/>
      <c r="U739" s="84"/>
      <c r="V739" s="84"/>
    </row>
    <row r="740" spans="1:22">
      <c r="A740" s="23"/>
      <c r="B740" s="24"/>
      <c r="C740" s="24"/>
      <c r="D740" s="24"/>
      <c r="E740" s="74"/>
      <c r="F740" s="24"/>
      <c r="G740" s="83"/>
      <c r="H740" s="113"/>
      <c r="I740" s="85"/>
      <c r="J740" s="85"/>
      <c r="K740" s="111"/>
      <c r="L740" s="83"/>
      <c r="M740" s="114"/>
      <c r="N740" s="113"/>
      <c r="O740" s="85"/>
      <c r="P740" s="85"/>
      <c r="Q740" s="84" t="str">
        <f t="shared" si="42"/>
        <v/>
      </c>
      <c r="R740" s="84"/>
      <c r="S740" s="15" t="e">
        <f>I740&amp;J740&amp;#REF!</f>
        <v>#REF!</v>
      </c>
      <c r="T740" s="84"/>
      <c r="U740" s="84"/>
      <c r="V740" s="84"/>
    </row>
    <row r="741" spans="1:22">
      <c r="A741" s="23"/>
      <c r="B741" s="24"/>
      <c r="C741" s="24"/>
      <c r="D741" s="24"/>
      <c r="E741" s="74"/>
      <c r="F741" s="24"/>
      <c r="G741" s="83"/>
      <c r="H741" s="113"/>
      <c r="I741" s="85"/>
      <c r="J741" s="85"/>
      <c r="K741" s="111"/>
      <c r="L741" s="83"/>
      <c r="M741" s="114"/>
      <c r="N741" s="113"/>
      <c r="O741" s="85"/>
      <c r="P741" s="85"/>
      <c r="Q741" s="84"/>
      <c r="R741" s="84"/>
      <c r="S741" s="15" t="e">
        <f>I741&amp;J741&amp;#REF!</f>
        <v>#REF!</v>
      </c>
      <c r="T741" s="84"/>
      <c r="U741" s="84"/>
      <c r="V741" s="84"/>
    </row>
    <row r="742" spans="1:22">
      <c r="A742" s="23"/>
      <c r="B742" s="24"/>
      <c r="C742" s="24"/>
      <c r="D742" s="24"/>
      <c r="E742" s="74"/>
      <c r="F742" s="24"/>
      <c r="G742" s="83"/>
      <c r="H742" s="113"/>
      <c r="I742" s="85"/>
      <c r="J742" s="85"/>
      <c r="K742" s="111"/>
      <c r="L742" s="83"/>
      <c r="M742" s="114"/>
      <c r="N742" s="113"/>
      <c r="O742" s="85"/>
      <c r="P742" s="85"/>
      <c r="Q742" s="84"/>
      <c r="R742" s="84"/>
      <c r="S742" s="15" t="e">
        <f>I742&amp;J742&amp;#REF!</f>
        <v>#REF!</v>
      </c>
      <c r="T742" s="84"/>
      <c r="U742" s="84"/>
      <c r="V742" s="84"/>
    </row>
    <row r="743" spans="1:22">
      <c r="A743" s="23"/>
      <c r="B743" s="24"/>
      <c r="C743" s="24"/>
      <c r="D743" s="24"/>
      <c r="E743" s="74"/>
      <c r="F743" s="24"/>
      <c r="G743" s="83"/>
      <c r="H743" s="113"/>
      <c r="I743" s="85"/>
      <c r="J743" s="85"/>
      <c r="K743" s="111"/>
      <c r="L743" s="83"/>
      <c r="M743" s="114"/>
      <c r="N743" s="113"/>
      <c r="O743" s="85"/>
      <c r="P743" s="85"/>
      <c r="Q743" s="84"/>
      <c r="R743" s="84"/>
      <c r="S743" s="15" t="e">
        <f>I743&amp;J743&amp;#REF!</f>
        <v>#REF!</v>
      </c>
      <c r="T743" s="84"/>
      <c r="U743" s="84"/>
      <c r="V743" s="84"/>
    </row>
    <row r="744" spans="1:22">
      <c r="A744" s="23"/>
      <c r="B744" s="24"/>
      <c r="C744" s="24"/>
      <c r="D744" s="24"/>
      <c r="E744" s="74"/>
      <c r="F744" s="24"/>
      <c r="G744" s="83"/>
      <c r="H744" s="113"/>
      <c r="I744" s="85"/>
      <c r="J744" s="85"/>
      <c r="K744" s="111"/>
      <c r="L744" s="83"/>
      <c r="M744" s="114"/>
      <c r="N744" s="113"/>
      <c r="O744" s="85"/>
      <c r="P744" s="85"/>
      <c r="Q744" s="84"/>
      <c r="R744" s="84"/>
      <c r="S744" s="15" t="e">
        <f>I744&amp;J744&amp;#REF!</f>
        <v>#REF!</v>
      </c>
      <c r="T744" s="84"/>
      <c r="U744" s="84"/>
      <c r="V744" s="84"/>
    </row>
    <row r="745" spans="1:22">
      <c r="A745" s="23"/>
      <c r="B745" s="24"/>
      <c r="C745" s="24"/>
      <c r="D745" s="24"/>
      <c r="E745" s="74"/>
      <c r="F745" s="24"/>
      <c r="G745" s="83"/>
      <c r="H745" s="113"/>
      <c r="I745" s="85"/>
      <c r="J745" s="85"/>
      <c r="K745" s="111"/>
      <c r="L745" s="83"/>
      <c r="M745" s="114"/>
      <c r="N745" s="113"/>
      <c r="O745" s="85"/>
      <c r="P745" s="85"/>
      <c r="Q745" s="84"/>
      <c r="R745" s="84"/>
      <c r="S745" s="15" t="e">
        <f>I745&amp;J745&amp;#REF!</f>
        <v>#REF!</v>
      </c>
      <c r="T745" s="84"/>
      <c r="U745" s="84"/>
      <c r="V745" s="84"/>
    </row>
    <row r="746" spans="1:22">
      <c r="A746" s="23"/>
      <c r="B746" s="24"/>
      <c r="C746" s="24"/>
      <c r="D746" s="24"/>
      <c r="E746" s="74"/>
      <c r="F746" s="24"/>
      <c r="G746" s="83"/>
      <c r="H746" s="113"/>
      <c r="I746" s="85"/>
      <c r="J746" s="85"/>
      <c r="K746" s="111"/>
      <c r="L746" s="83"/>
      <c r="M746" s="114"/>
      <c r="N746" s="113"/>
      <c r="O746" s="85"/>
      <c r="P746" s="85"/>
      <c r="Q746" s="84"/>
      <c r="R746" s="84"/>
      <c r="S746" s="15" t="e">
        <f>I746&amp;J746&amp;#REF!</f>
        <v>#REF!</v>
      </c>
      <c r="T746" s="84"/>
      <c r="U746" s="84"/>
      <c r="V746" s="84"/>
    </row>
    <row r="747" spans="1:22">
      <c r="A747" s="23"/>
      <c r="B747" s="24"/>
      <c r="C747" s="24"/>
      <c r="D747" s="24"/>
      <c r="E747" s="74"/>
      <c r="F747" s="24"/>
      <c r="G747" s="83"/>
      <c r="H747" s="113"/>
      <c r="I747" s="85"/>
      <c r="J747" s="85"/>
      <c r="K747" s="111"/>
      <c r="L747" s="83"/>
      <c r="M747" s="114"/>
      <c r="N747" s="113"/>
      <c r="O747" s="85"/>
      <c r="P747" s="85"/>
      <c r="Q747" s="84"/>
      <c r="R747" s="84"/>
      <c r="S747" s="15" t="e">
        <f>I747&amp;J747&amp;#REF!</f>
        <v>#REF!</v>
      </c>
      <c r="T747" s="84"/>
      <c r="U747" s="84"/>
      <c r="V747" s="84"/>
    </row>
    <row r="748" spans="1:22">
      <c r="A748" s="23"/>
      <c r="B748" s="24"/>
      <c r="C748" s="24"/>
      <c r="D748" s="24"/>
      <c r="E748" s="74"/>
      <c r="F748" s="24"/>
      <c r="G748" s="83"/>
      <c r="H748" s="113"/>
      <c r="I748" s="85"/>
      <c r="J748" s="85"/>
      <c r="K748" s="111"/>
      <c r="L748" s="83"/>
      <c r="M748" s="114"/>
      <c r="N748" s="113"/>
      <c r="O748" s="85"/>
      <c r="P748" s="85"/>
      <c r="Q748" s="84"/>
      <c r="R748" s="84"/>
      <c r="S748" s="15" t="e">
        <f>I748&amp;J748&amp;#REF!</f>
        <v>#REF!</v>
      </c>
      <c r="T748" s="84"/>
      <c r="U748" s="84"/>
      <c r="V748" s="84"/>
    </row>
    <row r="749" spans="1:22">
      <c r="A749" s="23"/>
      <c r="B749" s="24"/>
      <c r="C749" s="24"/>
      <c r="D749" s="24"/>
      <c r="E749" s="74"/>
      <c r="F749" s="24"/>
      <c r="G749" s="83"/>
      <c r="H749" s="113"/>
      <c r="I749" s="85"/>
      <c r="J749" s="85"/>
      <c r="K749" s="111"/>
      <c r="L749" s="83"/>
      <c r="M749" s="114"/>
      <c r="N749" s="113"/>
      <c r="O749" s="85"/>
      <c r="P749" s="85"/>
      <c r="Q749" s="84"/>
      <c r="R749" s="84"/>
      <c r="S749" s="15" t="e">
        <f>I749&amp;J749&amp;#REF!</f>
        <v>#REF!</v>
      </c>
      <c r="T749" s="84"/>
      <c r="U749" s="84"/>
      <c r="V749" s="84"/>
    </row>
    <row r="750" spans="1:22">
      <c r="A750" s="23"/>
      <c r="B750" s="24"/>
      <c r="C750" s="24"/>
      <c r="D750" s="24"/>
      <c r="E750" s="74"/>
      <c r="F750" s="24"/>
      <c r="G750" s="83"/>
      <c r="H750" s="113"/>
      <c r="I750" s="85"/>
      <c r="J750" s="85"/>
      <c r="K750" s="111"/>
      <c r="L750" s="83"/>
      <c r="M750" s="114"/>
      <c r="N750" s="113"/>
      <c r="O750" s="85"/>
      <c r="P750" s="85"/>
      <c r="Q750" s="84"/>
      <c r="R750" s="84"/>
      <c r="S750" s="15" t="e">
        <f>I750&amp;J750&amp;#REF!</f>
        <v>#REF!</v>
      </c>
      <c r="T750" s="84"/>
      <c r="U750" s="84"/>
      <c r="V750" s="84"/>
    </row>
    <row r="751" spans="1:22">
      <c r="A751" s="23"/>
      <c r="B751" s="24"/>
      <c r="C751" s="24"/>
      <c r="D751" s="24"/>
      <c r="E751" s="74"/>
      <c r="F751" s="24"/>
      <c r="G751" s="83"/>
      <c r="H751" s="113"/>
      <c r="I751" s="85"/>
      <c r="J751" s="85"/>
      <c r="K751" s="111"/>
      <c r="L751" s="83"/>
      <c r="M751" s="114"/>
      <c r="N751" s="113"/>
      <c r="O751" s="85"/>
      <c r="P751" s="85"/>
      <c r="Q751" s="84"/>
      <c r="R751" s="84"/>
      <c r="S751" s="15" t="e">
        <f>I751&amp;J751&amp;#REF!</f>
        <v>#REF!</v>
      </c>
      <c r="T751" s="84"/>
      <c r="U751" s="84"/>
      <c r="V751" s="84"/>
    </row>
    <row r="752" spans="1:22">
      <c r="A752" s="23"/>
      <c r="B752" s="24"/>
      <c r="C752" s="24"/>
      <c r="D752" s="24"/>
      <c r="E752" s="74"/>
      <c r="F752" s="24"/>
      <c r="G752" s="83"/>
      <c r="H752" s="113"/>
      <c r="I752" s="85"/>
      <c r="J752" s="85"/>
      <c r="K752" s="111"/>
      <c r="L752" s="83"/>
      <c r="M752" s="114"/>
      <c r="N752" s="113"/>
      <c r="O752" s="85"/>
      <c r="P752" s="85"/>
      <c r="Q752" s="84"/>
      <c r="R752" s="84"/>
      <c r="S752" s="15" t="e">
        <f>I752&amp;J752&amp;#REF!</f>
        <v>#REF!</v>
      </c>
      <c r="T752" s="84"/>
      <c r="U752" s="84"/>
      <c r="V752" s="84"/>
    </row>
    <row r="753" spans="1:22">
      <c r="A753" s="23"/>
      <c r="B753" s="24"/>
      <c r="C753" s="24"/>
      <c r="D753" s="24"/>
      <c r="E753" s="74"/>
      <c r="F753" s="24"/>
      <c r="G753" s="83"/>
      <c r="H753" s="113"/>
      <c r="I753" s="85"/>
      <c r="J753" s="85"/>
      <c r="K753" s="111"/>
      <c r="L753" s="83"/>
      <c r="M753" s="114"/>
      <c r="N753" s="113"/>
      <c r="O753" s="85"/>
      <c r="P753" s="85"/>
      <c r="Q753" s="84"/>
      <c r="R753" s="84"/>
      <c r="S753" s="15" t="e">
        <f>I753&amp;J753&amp;#REF!</f>
        <v>#REF!</v>
      </c>
      <c r="T753" s="84"/>
      <c r="U753" s="84"/>
      <c r="V753" s="84"/>
    </row>
    <row r="754" spans="1:22">
      <c r="A754" s="23"/>
      <c r="B754" s="24"/>
      <c r="C754" s="24"/>
      <c r="D754" s="24"/>
      <c r="E754" s="74"/>
      <c r="F754" s="24"/>
      <c r="G754" s="83"/>
      <c r="H754" s="113"/>
      <c r="I754" s="85"/>
      <c r="J754" s="85"/>
      <c r="K754" s="111"/>
      <c r="L754" s="83"/>
      <c r="M754" s="114"/>
      <c r="N754" s="113"/>
      <c r="O754" s="85"/>
      <c r="P754" s="85"/>
      <c r="Q754" s="84"/>
      <c r="R754" s="84"/>
      <c r="S754" s="15" t="e">
        <f>I754&amp;J754&amp;#REF!</f>
        <v>#REF!</v>
      </c>
      <c r="T754" s="84"/>
      <c r="U754" s="84"/>
      <c r="V754" s="84"/>
    </row>
    <row r="755" spans="1:22">
      <c r="A755" s="23"/>
      <c r="B755" s="24"/>
      <c r="C755" s="24"/>
      <c r="D755" s="24"/>
      <c r="E755" s="74"/>
      <c r="F755" s="24"/>
      <c r="G755" s="83"/>
      <c r="H755" s="113"/>
      <c r="I755" s="85"/>
      <c r="J755" s="85"/>
      <c r="K755" s="111"/>
      <c r="L755" s="83"/>
      <c r="M755" s="114"/>
      <c r="N755" s="113"/>
      <c r="O755" s="85"/>
      <c r="P755" s="85"/>
      <c r="Q755" s="84"/>
      <c r="R755" s="84"/>
      <c r="S755" s="15" t="e">
        <f>I755&amp;J755&amp;#REF!</f>
        <v>#REF!</v>
      </c>
      <c r="T755" s="84"/>
      <c r="U755" s="84"/>
      <c r="V755" s="84"/>
    </row>
    <row r="756" spans="1:22">
      <c r="A756" s="23"/>
      <c r="B756" s="24"/>
      <c r="C756" s="24"/>
      <c r="D756" s="24"/>
      <c r="E756" s="74"/>
      <c r="F756" s="24"/>
      <c r="G756" s="83"/>
      <c r="H756" s="113"/>
      <c r="I756" s="85"/>
      <c r="J756" s="85"/>
      <c r="K756" s="111"/>
      <c r="L756" s="83"/>
      <c r="M756" s="114"/>
      <c r="N756" s="113"/>
      <c r="O756" s="85"/>
      <c r="P756" s="85"/>
      <c r="Q756" s="84"/>
      <c r="R756" s="84"/>
      <c r="S756" s="15" t="e">
        <f>I756&amp;J756&amp;#REF!</f>
        <v>#REF!</v>
      </c>
      <c r="T756" s="84"/>
      <c r="U756" s="84"/>
      <c r="V756" s="84"/>
    </row>
    <row r="757" spans="1:22">
      <c r="A757" s="23"/>
      <c r="B757" s="24"/>
      <c r="C757" s="24"/>
      <c r="D757" s="24"/>
      <c r="E757" s="74"/>
      <c r="F757" s="24"/>
      <c r="G757" s="83"/>
      <c r="H757" s="113"/>
      <c r="I757" s="85"/>
      <c r="J757" s="85"/>
      <c r="K757" s="111"/>
      <c r="L757" s="83"/>
      <c r="M757" s="114"/>
      <c r="N757" s="113"/>
      <c r="O757" s="85"/>
      <c r="P757" s="85"/>
      <c r="Q757" s="84"/>
      <c r="R757" s="84"/>
      <c r="S757" s="15" t="e">
        <f>I757&amp;J757&amp;#REF!</f>
        <v>#REF!</v>
      </c>
      <c r="T757" s="84"/>
      <c r="U757" s="84"/>
      <c r="V757" s="84"/>
    </row>
    <row r="758" spans="1:22" ht="23.25">
      <c r="A758" s="23"/>
      <c r="B758" s="24"/>
      <c r="C758" s="24"/>
      <c r="D758" s="24"/>
      <c r="E758" s="74"/>
      <c r="F758" s="24"/>
      <c r="G758" s="83"/>
      <c r="H758" s="113"/>
      <c r="I758" s="85"/>
      <c r="J758" s="85"/>
      <c r="K758" s="111"/>
      <c r="L758" s="83"/>
      <c r="M758" s="114"/>
      <c r="N758" s="115"/>
      <c r="O758" s="85"/>
      <c r="P758" s="116"/>
      <c r="Q758" s="84"/>
      <c r="R758" s="84"/>
      <c r="S758" s="15" t="e">
        <f>I758&amp;J758&amp;#REF!</f>
        <v>#REF!</v>
      </c>
      <c r="T758" s="84"/>
      <c r="U758" s="84"/>
      <c r="V758" s="84"/>
    </row>
    <row r="759" spans="1:22">
      <c r="A759" s="23"/>
      <c r="B759" s="24"/>
      <c r="C759" s="24"/>
      <c r="D759" s="24"/>
      <c r="E759" s="74"/>
      <c r="F759" s="24"/>
      <c r="G759" s="83"/>
      <c r="H759" s="113"/>
      <c r="I759" s="85"/>
      <c r="J759" s="85"/>
      <c r="K759" s="111"/>
      <c r="L759" s="83"/>
      <c r="M759" s="114"/>
      <c r="N759" s="110"/>
      <c r="O759" s="85"/>
      <c r="P759" s="108"/>
      <c r="Q759" s="84"/>
      <c r="R759" s="84"/>
      <c r="S759" s="15" t="e">
        <f>I759&amp;J759&amp;#REF!</f>
        <v>#REF!</v>
      </c>
      <c r="T759" s="84"/>
      <c r="U759" s="84"/>
      <c r="V759" s="84"/>
    </row>
    <row r="760" spans="1:22">
      <c r="A760" s="23"/>
      <c r="B760" s="24"/>
      <c r="C760" s="24"/>
      <c r="D760" s="24"/>
      <c r="E760" s="74"/>
      <c r="F760" s="24"/>
      <c r="G760" s="83"/>
      <c r="H760" s="113"/>
      <c r="I760" s="85"/>
      <c r="J760" s="85"/>
      <c r="K760" s="111"/>
      <c r="L760" s="83"/>
      <c r="M760" s="114"/>
      <c r="N760" s="110"/>
      <c r="O760" s="85"/>
      <c r="P760" s="108"/>
      <c r="Q760" s="84"/>
      <c r="R760" s="84"/>
      <c r="S760" s="15" t="e">
        <f>I760&amp;J760&amp;#REF!</f>
        <v>#REF!</v>
      </c>
      <c r="T760" s="84"/>
      <c r="U760" s="84"/>
      <c r="V760" s="84"/>
    </row>
    <row r="761" spans="1:22">
      <c r="A761" s="23"/>
      <c r="B761" s="24"/>
      <c r="C761" s="24"/>
      <c r="D761" s="24"/>
      <c r="E761" s="74"/>
      <c r="F761" s="24"/>
      <c r="G761" s="83"/>
      <c r="H761" s="113"/>
      <c r="I761" s="85"/>
      <c r="J761" s="85"/>
      <c r="K761" s="111"/>
      <c r="L761" s="83"/>
      <c r="M761" s="114"/>
      <c r="N761" s="110"/>
      <c r="O761" s="85"/>
      <c r="P761" s="108"/>
      <c r="Q761" s="84"/>
      <c r="R761" s="84"/>
      <c r="S761" s="15" t="e">
        <f>I761&amp;J761&amp;#REF!</f>
        <v>#REF!</v>
      </c>
      <c r="T761" s="84"/>
      <c r="U761" s="84"/>
      <c r="V761" s="84"/>
    </row>
    <row r="762" spans="1:22">
      <c r="A762" s="23"/>
      <c r="B762" s="24"/>
      <c r="C762" s="24"/>
      <c r="D762" s="24"/>
      <c r="E762" s="74"/>
      <c r="F762" s="24"/>
      <c r="G762" s="83"/>
      <c r="H762" s="113"/>
      <c r="I762" s="85"/>
      <c r="J762" s="85"/>
      <c r="K762" s="111"/>
      <c r="L762" s="83"/>
      <c r="M762" s="114"/>
      <c r="N762" s="110"/>
      <c r="O762" s="85"/>
      <c r="P762" s="108"/>
      <c r="Q762" s="84"/>
      <c r="R762" s="84"/>
      <c r="S762" s="15" t="e">
        <f>I762&amp;J762&amp;#REF!</f>
        <v>#REF!</v>
      </c>
      <c r="T762" s="84"/>
      <c r="U762" s="84"/>
      <c r="V762" s="84"/>
    </row>
    <row r="763" spans="1:22">
      <c r="A763" s="23"/>
      <c r="B763" s="24"/>
      <c r="C763" s="24"/>
      <c r="D763" s="24"/>
      <c r="E763" s="74"/>
      <c r="F763" s="24"/>
      <c r="G763" s="83"/>
      <c r="H763" s="113"/>
      <c r="I763" s="85"/>
      <c r="J763" s="85"/>
      <c r="K763" s="111"/>
      <c r="L763" s="83"/>
      <c r="M763" s="114"/>
      <c r="N763" s="110"/>
      <c r="O763" s="85"/>
      <c r="P763" s="108"/>
      <c r="Q763" s="84"/>
      <c r="R763" s="84"/>
      <c r="S763" s="15" t="e">
        <f>I763&amp;J763&amp;#REF!</f>
        <v>#REF!</v>
      </c>
      <c r="T763" s="84"/>
      <c r="U763" s="84"/>
      <c r="V763" s="84"/>
    </row>
    <row r="764" spans="1:22">
      <c r="A764" s="23"/>
      <c r="B764" s="24"/>
      <c r="C764" s="24"/>
      <c r="D764" s="24"/>
      <c r="E764" s="74"/>
      <c r="F764" s="24"/>
      <c r="G764" s="83"/>
      <c r="H764" s="113"/>
      <c r="I764" s="85"/>
      <c r="J764" s="85"/>
      <c r="K764" s="111"/>
      <c r="L764" s="83"/>
      <c r="M764" s="114"/>
      <c r="N764" s="110"/>
      <c r="O764" s="85"/>
      <c r="P764" s="108"/>
      <c r="Q764" s="84"/>
      <c r="R764" s="84"/>
      <c r="S764" s="15" t="e">
        <f>I764&amp;J764&amp;#REF!</f>
        <v>#REF!</v>
      </c>
      <c r="T764" s="84"/>
      <c r="U764" s="84"/>
      <c r="V764" s="84"/>
    </row>
    <row r="765" spans="1:22">
      <c r="A765" s="23"/>
      <c r="B765" s="24"/>
      <c r="C765" s="24"/>
      <c r="D765" s="24"/>
      <c r="E765" s="74"/>
      <c r="F765" s="24"/>
      <c r="G765" s="83"/>
      <c r="H765" s="113"/>
      <c r="I765" s="85"/>
      <c r="J765" s="85"/>
      <c r="K765" s="111"/>
      <c r="L765" s="83"/>
      <c r="M765" s="114"/>
      <c r="N765" s="110"/>
      <c r="O765" s="85"/>
      <c r="P765" s="108"/>
      <c r="Q765" s="84"/>
      <c r="R765" s="84"/>
      <c r="S765" s="15" t="e">
        <f>I765&amp;J765&amp;#REF!</f>
        <v>#REF!</v>
      </c>
      <c r="T765" s="84"/>
      <c r="U765" s="84"/>
      <c r="V765" s="84"/>
    </row>
    <row r="766" spans="1:22">
      <c r="A766" s="23"/>
      <c r="B766" s="24"/>
      <c r="C766" s="24"/>
      <c r="D766" s="24"/>
      <c r="E766" s="74"/>
      <c r="F766" s="24"/>
      <c r="G766" s="83"/>
      <c r="H766" s="113"/>
      <c r="I766" s="85"/>
      <c r="J766" s="85"/>
      <c r="K766" s="111"/>
      <c r="L766" s="83"/>
      <c r="M766" s="114"/>
      <c r="N766" s="110"/>
      <c r="O766" s="85"/>
      <c r="P766" s="108"/>
      <c r="Q766" s="84"/>
      <c r="R766" s="84"/>
      <c r="S766" s="15" t="e">
        <f>I766&amp;J766&amp;#REF!</f>
        <v>#REF!</v>
      </c>
      <c r="T766" s="84"/>
      <c r="U766" s="84"/>
      <c r="V766" s="84"/>
    </row>
    <row r="767" spans="1:22">
      <c r="A767" s="23"/>
      <c r="B767" s="24"/>
      <c r="C767" s="24"/>
      <c r="D767" s="24"/>
      <c r="E767" s="74"/>
      <c r="F767" s="24"/>
      <c r="G767" s="83"/>
      <c r="H767" s="113"/>
      <c r="I767" s="85"/>
      <c r="J767" s="85"/>
      <c r="K767" s="111"/>
      <c r="L767" s="83"/>
      <c r="M767" s="114"/>
      <c r="N767" s="110"/>
      <c r="O767" s="85"/>
      <c r="P767" s="108"/>
      <c r="Q767" s="84"/>
      <c r="R767" s="84"/>
      <c r="S767" s="15" t="e">
        <f>I767&amp;J767&amp;#REF!</f>
        <v>#REF!</v>
      </c>
      <c r="T767" s="84"/>
      <c r="U767" s="84"/>
      <c r="V767" s="84"/>
    </row>
    <row r="768" spans="1:22">
      <c r="A768" s="23"/>
      <c r="B768" s="24"/>
      <c r="C768" s="24"/>
      <c r="D768" s="24"/>
      <c r="E768" s="74"/>
      <c r="F768" s="24"/>
      <c r="G768" s="83"/>
      <c r="H768" s="113"/>
      <c r="I768" s="85"/>
      <c r="J768" s="85"/>
      <c r="K768" s="111"/>
      <c r="L768" s="83"/>
      <c r="M768" s="114"/>
      <c r="N768" s="110"/>
      <c r="O768" s="85"/>
      <c r="P768" s="108"/>
      <c r="Q768" s="84"/>
      <c r="R768" s="84"/>
      <c r="S768" s="15" t="e">
        <f>I768&amp;J768&amp;#REF!</f>
        <v>#REF!</v>
      </c>
      <c r="T768" s="84"/>
      <c r="U768" s="84"/>
      <c r="V768" s="84"/>
    </row>
    <row r="769" spans="1:22">
      <c r="A769" s="23"/>
      <c r="B769" s="24"/>
      <c r="C769" s="24"/>
      <c r="D769" s="24"/>
      <c r="E769" s="74"/>
      <c r="F769" s="24"/>
      <c r="G769" s="83"/>
      <c r="H769" s="113"/>
      <c r="I769" s="85"/>
      <c r="J769" s="85"/>
      <c r="K769" s="111"/>
      <c r="L769" s="83"/>
      <c r="M769" s="114"/>
      <c r="N769" s="110"/>
      <c r="O769" s="85"/>
      <c r="P769" s="108"/>
      <c r="Q769" s="84"/>
      <c r="R769" s="84"/>
      <c r="S769" s="15" t="e">
        <f>I769&amp;J769&amp;#REF!</f>
        <v>#REF!</v>
      </c>
      <c r="T769" s="84"/>
      <c r="U769" s="84"/>
      <c r="V769" s="84"/>
    </row>
    <row r="770" spans="1:22">
      <c r="A770" s="23"/>
      <c r="B770" s="24"/>
      <c r="C770" s="24"/>
      <c r="D770" s="24"/>
      <c r="E770" s="74"/>
      <c r="F770" s="24"/>
      <c r="G770" s="83"/>
      <c r="H770" s="113"/>
      <c r="I770" s="85"/>
      <c r="J770" s="85"/>
      <c r="K770" s="111"/>
      <c r="L770" s="83"/>
      <c r="M770" s="114"/>
      <c r="N770" s="110"/>
      <c r="O770" s="85"/>
      <c r="P770" s="108"/>
      <c r="Q770" s="84"/>
      <c r="R770" s="84"/>
      <c r="S770" s="15" t="e">
        <f>I770&amp;J770&amp;#REF!</f>
        <v>#REF!</v>
      </c>
      <c r="T770" s="84"/>
      <c r="U770" s="84"/>
      <c r="V770" s="84"/>
    </row>
    <row r="771" spans="1:22">
      <c r="A771" s="23"/>
      <c r="B771" s="24"/>
      <c r="C771" s="24"/>
      <c r="D771" s="24"/>
      <c r="E771" s="74"/>
      <c r="F771" s="24"/>
      <c r="G771" s="83"/>
      <c r="H771" s="113"/>
      <c r="I771" s="85"/>
      <c r="J771" s="85"/>
      <c r="K771" s="111"/>
      <c r="L771" s="83"/>
      <c r="M771" s="114"/>
      <c r="N771" s="110"/>
      <c r="O771" s="85"/>
      <c r="P771" s="108"/>
      <c r="Q771" s="84"/>
      <c r="R771" s="84"/>
      <c r="S771" s="15" t="e">
        <f>I771&amp;J771&amp;#REF!</f>
        <v>#REF!</v>
      </c>
      <c r="T771" s="84"/>
      <c r="U771" s="84"/>
      <c r="V771" s="84"/>
    </row>
    <row r="772" spans="1:22">
      <c r="A772" s="23"/>
      <c r="B772" s="24"/>
      <c r="C772" s="24"/>
      <c r="D772" s="24"/>
      <c r="E772" s="74"/>
      <c r="F772" s="24"/>
      <c r="G772" s="83"/>
      <c r="H772" s="113"/>
      <c r="I772" s="85"/>
      <c r="J772" s="85"/>
      <c r="K772" s="111"/>
      <c r="L772" s="83"/>
      <c r="M772" s="114"/>
      <c r="N772" s="110"/>
      <c r="O772" s="85"/>
      <c r="P772" s="108"/>
      <c r="Q772" s="84"/>
      <c r="R772" s="84"/>
      <c r="S772" s="15" t="e">
        <f>I772&amp;J772&amp;#REF!</f>
        <v>#REF!</v>
      </c>
      <c r="T772" s="84"/>
      <c r="U772" s="84"/>
      <c r="V772" s="84"/>
    </row>
    <row r="773" spans="1:22">
      <c r="A773" s="23"/>
      <c r="B773" s="24"/>
      <c r="C773" s="24"/>
      <c r="D773" s="24"/>
      <c r="E773" s="74"/>
      <c r="F773" s="24"/>
      <c r="G773" s="83"/>
      <c r="H773" s="113"/>
      <c r="I773" s="85"/>
      <c r="J773" s="85"/>
      <c r="K773" s="111"/>
      <c r="L773" s="83"/>
      <c r="M773" s="114"/>
      <c r="N773" s="110"/>
      <c r="O773" s="85"/>
      <c r="P773" s="108"/>
      <c r="Q773" s="84"/>
      <c r="R773" s="84"/>
      <c r="S773" s="15" t="e">
        <f>I773&amp;J773&amp;#REF!</f>
        <v>#REF!</v>
      </c>
      <c r="T773" s="84"/>
      <c r="U773" s="84"/>
      <c r="V773" s="84"/>
    </row>
    <row r="774" spans="1:22">
      <c r="A774" s="23"/>
      <c r="B774" s="24"/>
      <c r="C774" s="24"/>
      <c r="D774" s="24"/>
      <c r="E774" s="74"/>
      <c r="F774" s="24"/>
      <c r="G774" s="83"/>
      <c r="H774" s="113"/>
      <c r="I774" s="85"/>
      <c r="J774" s="85"/>
      <c r="K774" s="111"/>
      <c r="L774" s="83"/>
      <c r="M774" s="114"/>
      <c r="N774" s="110"/>
      <c r="O774" s="85"/>
      <c r="P774" s="108"/>
      <c r="Q774" s="84"/>
      <c r="R774" s="84"/>
      <c r="S774" s="15" t="e">
        <f>I774&amp;J774&amp;#REF!</f>
        <v>#REF!</v>
      </c>
      <c r="T774" s="84"/>
      <c r="U774" s="84"/>
      <c r="V774" s="84"/>
    </row>
    <row r="775" spans="1:22">
      <c r="A775" s="23"/>
      <c r="B775" s="24"/>
      <c r="C775" s="24"/>
      <c r="D775" s="24"/>
      <c r="E775" s="74"/>
      <c r="F775" s="24"/>
      <c r="G775" s="83"/>
      <c r="H775" s="113"/>
      <c r="I775" s="85"/>
      <c r="J775" s="85"/>
      <c r="K775" s="111"/>
      <c r="L775" s="83"/>
      <c r="M775" s="114"/>
      <c r="N775" s="110"/>
      <c r="O775" s="85"/>
      <c r="P775" s="108"/>
      <c r="Q775" s="84"/>
      <c r="R775" s="84"/>
      <c r="S775" s="15" t="e">
        <f>I775&amp;J775&amp;#REF!</f>
        <v>#REF!</v>
      </c>
      <c r="T775" s="84"/>
      <c r="U775" s="84"/>
      <c r="V775" s="84"/>
    </row>
    <row r="776" spans="1:22">
      <c r="A776" s="23"/>
      <c r="B776" s="24"/>
      <c r="C776" s="24"/>
      <c r="D776" s="24"/>
      <c r="E776" s="74"/>
      <c r="F776" s="24"/>
      <c r="G776" s="83"/>
      <c r="H776" s="113"/>
      <c r="I776" s="85"/>
      <c r="J776" s="85"/>
      <c r="K776" s="111"/>
      <c r="L776" s="83"/>
      <c r="M776" s="114"/>
      <c r="N776" s="110"/>
      <c r="O776" s="85"/>
      <c r="P776" s="108"/>
      <c r="Q776" s="84"/>
      <c r="R776" s="84"/>
      <c r="S776" s="15" t="e">
        <f>I776&amp;J776&amp;#REF!</f>
        <v>#REF!</v>
      </c>
      <c r="T776" s="84"/>
      <c r="U776" s="84"/>
      <c r="V776" s="84"/>
    </row>
    <row r="777" spans="1:22">
      <c r="A777" s="23"/>
      <c r="B777" s="24"/>
      <c r="C777" s="24"/>
      <c r="D777" s="24"/>
      <c r="E777" s="74"/>
      <c r="F777" s="24"/>
      <c r="G777" s="83"/>
      <c r="H777" s="113"/>
      <c r="I777" s="85"/>
      <c r="J777" s="85"/>
      <c r="K777" s="111"/>
      <c r="L777" s="83"/>
      <c r="M777" s="114"/>
      <c r="N777" s="110"/>
      <c r="O777" s="85"/>
      <c r="P777" s="108"/>
      <c r="Q777" s="84"/>
      <c r="R777" s="84"/>
      <c r="S777" s="15" t="e">
        <f>I777&amp;J777&amp;#REF!</f>
        <v>#REF!</v>
      </c>
      <c r="T777" s="84"/>
      <c r="U777" s="84"/>
      <c r="V777" s="84"/>
    </row>
    <row r="778" spans="1:22">
      <c r="A778" s="23"/>
      <c r="B778" s="24"/>
      <c r="C778" s="24"/>
      <c r="D778" s="24"/>
      <c r="E778" s="74"/>
      <c r="F778" s="24"/>
      <c r="G778" s="83"/>
      <c r="H778" s="113"/>
      <c r="I778" s="85"/>
      <c r="J778" s="85"/>
      <c r="K778" s="111"/>
      <c r="L778" s="83"/>
      <c r="M778" s="114"/>
      <c r="N778" s="110"/>
      <c r="O778" s="85"/>
      <c r="P778" s="108"/>
      <c r="Q778" s="84"/>
      <c r="R778" s="84"/>
      <c r="S778" s="15" t="e">
        <f>I778&amp;J778&amp;#REF!</f>
        <v>#REF!</v>
      </c>
      <c r="T778" s="84"/>
      <c r="U778" s="84"/>
      <c r="V778" s="84"/>
    </row>
    <row r="779" spans="1:22">
      <c r="A779" s="23"/>
      <c r="B779" s="24"/>
      <c r="C779" s="24"/>
      <c r="D779" s="24"/>
      <c r="E779" s="74"/>
      <c r="F779" s="24"/>
      <c r="G779" s="83"/>
      <c r="H779" s="113"/>
      <c r="I779" s="85"/>
      <c r="J779" s="85"/>
      <c r="K779" s="111"/>
      <c r="L779" s="83"/>
      <c r="M779" s="114"/>
      <c r="N779" s="110"/>
      <c r="O779" s="85"/>
      <c r="P779" s="108"/>
      <c r="Q779" s="84"/>
      <c r="R779" s="84"/>
      <c r="S779" s="15" t="e">
        <f>I779&amp;J779&amp;#REF!</f>
        <v>#REF!</v>
      </c>
      <c r="T779" s="84"/>
      <c r="U779" s="84"/>
      <c r="V779" s="84"/>
    </row>
    <row r="780" spans="1:22">
      <c r="A780" s="23"/>
      <c r="B780" s="24"/>
      <c r="C780" s="24"/>
      <c r="D780" s="24"/>
      <c r="E780" s="74"/>
      <c r="F780" s="24"/>
      <c r="G780" s="83"/>
      <c r="H780" s="113"/>
      <c r="I780" s="85"/>
      <c r="J780" s="85"/>
      <c r="K780" s="111"/>
      <c r="L780" s="83"/>
      <c r="M780" s="114"/>
      <c r="N780" s="110"/>
      <c r="O780" s="85"/>
      <c r="P780" s="108"/>
      <c r="Q780" s="84"/>
      <c r="R780" s="84"/>
      <c r="S780" s="15" t="e">
        <f>I780&amp;J780&amp;#REF!</f>
        <v>#REF!</v>
      </c>
      <c r="T780" s="84"/>
      <c r="U780" s="84"/>
      <c r="V780" s="84"/>
    </row>
    <row r="781" spans="1:22">
      <c r="A781" s="23"/>
      <c r="B781" s="24"/>
      <c r="C781" s="24"/>
      <c r="D781" s="24"/>
      <c r="E781" s="74"/>
      <c r="F781" s="24"/>
      <c r="G781" s="83"/>
      <c r="H781" s="113"/>
      <c r="I781" s="85"/>
      <c r="J781" s="85"/>
      <c r="K781" s="111"/>
      <c r="L781" s="83"/>
      <c r="M781" s="114"/>
      <c r="N781" s="110"/>
      <c r="O781" s="85"/>
      <c r="P781" s="108"/>
      <c r="Q781" s="84"/>
      <c r="R781" s="84"/>
      <c r="S781" s="15" t="e">
        <f>I781&amp;J781&amp;#REF!</f>
        <v>#REF!</v>
      </c>
      <c r="T781" s="84"/>
      <c r="U781" s="84"/>
      <c r="V781" s="84"/>
    </row>
    <row r="782" spans="1:22">
      <c r="A782" s="23"/>
      <c r="B782" s="24"/>
      <c r="C782" s="24"/>
      <c r="D782" s="24"/>
      <c r="E782" s="74"/>
      <c r="F782" s="24"/>
      <c r="G782" s="83"/>
      <c r="H782" s="113"/>
      <c r="I782" s="85"/>
      <c r="J782" s="85"/>
      <c r="K782" s="111"/>
      <c r="L782" s="83"/>
      <c r="M782" s="114"/>
      <c r="N782" s="110"/>
      <c r="O782" s="85"/>
      <c r="P782" s="108"/>
      <c r="Q782" s="84"/>
      <c r="R782" s="84"/>
      <c r="S782" s="15" t="e">
        <f>I782&amp;J782&amp;#REF!</f>
        <v>#REF!</v>
      </c>
      <c r="T782" s="84"/>
      <c r="U782" s="84"/>
      <c r="V782" s="84"/>
    </row>
    <row r="783" spans="1:22">
      <c r="A783" s="23"/>
      <c r="B783" s="24"/>
      <c r="C783" s="24"/>
      <c r="D783" s="24"/>
      <c r="E783" s="74"/>
      <c r="F783" s="24"/>
      <c r="G783" s="83"/>
      <c r="H783" s="113"/>
      <c r="I783" s="85"/>
      <c r="J783" s="85"/>
      <c r="K783" s="111"/>
      <c r="L783" s="83"/>
      <c r="M783" s="114"/>
      <c r="N783" s="110"/>
      <c r="O783" s="85"/>
      <c r="P783" s="108"/>
      <c r="Q783" s="84"/>
      <c r="R783" s="84"/>
      <c r="S783" s="15" t="e">
        <f>I783&amp;J783&amp;#REF!</f>
        <v>#REF!</v>
      </c>
      <c r="T783" s="84"/>
      <c r="U783" s="84"/>
      <c r="V783" s="84"/>
    </row>
    <row r="784" spans="1:22">
      <c r="A784" s="23"/>
      <c r="B784" s="24"/>
      <c r="C784" s="24"/>
      <c r="D784" s="24"/>
      <c r="E784" s="74"/>
      <c r="F784" s="24"/>
      <c r="G784" s="83"/>
      <c r="H784" s="113"/>
      <c r="I784" s="85"/>
      <c r="J784" s="85"/>
      <c r="K784" s="111"/>
      <c r="L784" s="83"/>
      <c r="M784" s="114"/>
      <c r="N784" s="110"/>
      <c r="O784" s="85"/>
      <c r="P784" s="108"/>
      <c r="Q784" s="84"/>
      <c r="R784" s="84"/>
      <c r="S784" s="15" t="e">
        <f>I784&amp;J784&amp;#REF!</f>
        <v>#REF!</v>
      </c>
      <c r="T784" s="84"/>
      <c r="U784" s="84"/>
      <c r="V784" s="84"/>
    </row>
    <row r="785" spans="1:22">
      <c r="A785" s="23"/>
      <c r="B785" s="24"/>
      <c r="C785" s="24"/>
      <c r="D785" s="24"/>
      <c r="E785" s="74"/>
      <c r="F785" s="24"/>
      <c r="G785" s="83"/>
      <c r="H785" s="113"/>
      <c r="I785" s="85"/>
      <c r="J785" s="85"/>
      <c r="K785" s="111"/>
      <c r="L785" s="83"/>
      <c r="M785" s="114"/>
      <c r="N785" s="110"/>
      <c r="O785" s="85"/>
      <c r="P785" s="108"/>
      <c r="Q785" s="84"/>
      <c r="R785" s="84"/>
      <c r="S785" s="15" t="e">
        <f>I785&amp;J785&amp;#REF!</f>
        <v>#REF!</v>
      </c>
      <c r="T785" s="84"/>
      <c r="U785" s="84"/>
      <c r="V785" s="84"/>
    </row>
    <row r="786" spans="1:22">
      <c r="A786" s="23"/>
      <c r="B786" s="24"/>
      <c r="C786" s="24"/>
      <c r="D786" s="24"/>
      <c r="E786" s="74"/>
      <c r="F786" s="24"/>
      <c r="G786" s="83"/>
      <c r="H786" s="113"/>
      <c r="I786" s="85"/>
      <c r="J786" s="85"/>
      <c r="K786" s="111"/>
      <c r="L786" s="83"/>
      <c r="M786" s="114"/>
      <c r="N786" s="110"/>
      <c r="O786" s="85"/>
      <c r="P786" s="108"/>
      <c r="Q786" s="84"/>
      <c r="R786" s="84"/>
      <c r="S786" s="15" t="e">
        <f>I786&amp;J786&amp;#REF!</f>
        <v>#REF!</v>
      </c>
      <c r="T786" s="84"/>
      <c r="U786" s="84"/>
      <c r="V786" s="84"/>
    </row>
    <row r="787" spans="1:22">
      <c r="A787" s="23"/>
      <c r="B787" s="24"/>
      <c r="C787" s="24"/>
      <c r="D787" s="24"/>
      <c r="E787" s="74"/>
      <c r="F787" s="24"/>
      <c r="G787" s="83"/>
      <c r="H787" s="113"/>
      <c r="I787" s="85"/>
      <c r="J787" s="85"/>
      <c r="K787" s="111"/>
      <c r="L787" s="83"/>
      <c r="M787" s="114"/>
      <c r="N787" s="110"/>
      <c r="O787" s="85"/>
      <c r="P787" s="108"/>
      <c r="Q787" s="84"/>
      <c r="R787" s="84"/>
      <c r="S787" s="15" t="e">
        <f>I787&amp;J787&amp;#REF!</f>
        <v>#REF!</v>
      </c>
      <c r="T787" s="84"/>
      <c r="U787" s="84"/>
      <c r="V787" s="84"/>
    </row>
    <row r="788" spans="1:22">
      <c r="A788" s="23"/>
      <c r="B788" s="24"/>
      <c r="C788" s="24"/>
      <c r="D788" s="24"/>
      <c r="E788" s="74"/>
      <c r="F788" s="24"/>
      <c r="G788" s="83"/>
      <c r="H788" s="113"/>
      <c r="I788" s="85"/>
      <c r="J788" s="85"/>
      <c r="K788" s="111"/>
      <c r="L788" s="83"/>
      <c r="M788" s="114"/>
      <c r="N788" s="110"/>
      <c r="O788" s="85"/>
      <c r="P788" s="108"/>
      <c r="Q788" s="84"/>
      <c r="R788" s="84"/>
      <c r="S788" s="15" t="e">
        <f>I788&amp;J788&amp;#REF!</f>
        <v>#REF!</v>
      </c>
      <c r="T788" s="84"/>
      <c r="U788" s="84"/>
      <c r="V788" s="84"/>
    </row>
    <row r="789" spans="1:22">
      <c r="A789" s="23"/>
      <c r="B789" s="24"/>
      <c r="C789" s="24"/>
      <c r="D789" s="24"/>
      <c r="E789" s="74"/>
      <c r="F789" s="24"/>
      <c r="G789" s="83"/>
      <c r="H789" s="113"/>
      <c r="I789" s="85"/>
      <c r="J789" s="85"/>
      <c r="K789" s="111"/>
      <c r="L789" s="83"/>
      <c r="M789" s="114"/>
      <c r="N789" s="110"/>
      <c r="O789" s="85"/>
      <c r="P789" s="108"/>
      <c r="Q789" s="84"/>
      <c r="R789" s="84"/>
      <c r="S789" s="15" t="e">
        <f>I789&amp;J789&amp;#REF!</f>
        <v>#REF!</v>
      </c>
      <c r="T789" s="84"/>
      <c r="U789" s="84"/>
      <c r="V789" s="84"/>
    </row>
    <row r="790" spans="1:22">
      <c r="A790" s="23"/>
      <c r="B790" s="24"/>
      <c r="C790" s="24"/>
      <c r="D790" s="24"/>
      <c r="E790" s="74"/>
      <c r="F790" s="24"/>
      <c r="G790" s="83"/>
      <c r="H790" s="113"/>
      <c r="I790" s="85"/>
      <c r="J790" s="85"/>
      <c r="K790" s="111"/>
      <c r="L790" s="83"/>
      <c r="M790" s="114"/>
      <c r="N790" s="110"/>
      <c r="O790" s="85"/>
      <c r="P790" s="108"/>
      <c r="Q790" s="84"/>
      <c r="R790" s="84"/>
      <c r="S790" s="15" t="e">
        <f>I790&amp;J790&amp;#REF!</f>
        <v>#REF!</v>
      </c>
      <c r="T790" s="84"/>
      <c r="U790" s="84"/>
      <c r="V790" s="84"/>
    </row>
    <row r="791" spans="1:22">
      <c r="A791" s="23"/>
      <c r="B791" s="24"/>
      <c r="C791" s="24"/>
      <c r="D791" s="24"/>
      <c r="E791" s="74"/>
      <c r="F791" s="24"/>
      <c r="G791" s="83"/>
      <c r="H791" s="113"/>
      <c r="I791" s="85"/>
      <c r="J791" s="85"/>
      <c r="K791" s="111"/>
      <c r="L791" s="83"/>
      <c r="M791" s="114"/>
      <c r="N791" s="110"/>
      <c r="O791" s="85"/>
      <c r="P791" s="108"/>
      <c r="Q791" s="84"/>
      <c r="R791" s="84"/>
      <c r="S791" s="15" t="e">
        <f>I791&amp;J791&amp;#REF!</f>
        <v>#REF!</v>
      </c>
      <c r="T791" s="84"/>
      <c r="U791" s="84"/>
      <c r="V791" s="84"/>
    </row>
    <row r="792" spans="1:22">
      <c r="A792" s="23"/>
      <c r="B792" s="24"/>
      <c r="C792" s="24"/>
      <c r="D792" s="24"/>
      <c r="E792" s="74"/>
      <c r="F792" s="24"/>
      <c r="G792" s="83"/>
      <c r="H792" s="113"/>
      <c r="I792" s="85"/>
      <c r="J792" s="85"/>
      <c r="K792" s="111"/>
      <c r="L792" s="83"/>
      <c r="M792" s="114"/>
      <c r="N792" s="110"/>
      <c r="O792" s="85"/>
      <c r="P792" s="108"/>
      <c r="Q792" s="84"/>
      <c r="R792" s="84"/>
      <c r="S792" s="15" t="e">
        <f>I792&amp;J792&amp;#REF!</f>
        <v>#REF!</v>
      </c>
      <c r="T792" s="84"/>
      <c r="U792" s="84"/>
      <c r="V792" s="84"/>
    </row>
    <row r="793" spans="1:22">
      <c r="A793" s="23"/>
      <c r="B793" s="24"/>
      <c r="C793" s="24"/>
      <c r="D793" s="24"/>
      <c r="E793" s="74"/>
      <c r="F793" s="24"/>
      <c r="G793" s="83"/>
      <c r="H793" s="113"/>
      <c r="I793" s="85"/>
      <c r="J793" s="85"/>
      <c r="K793" s="111"/>
      <c r="L793" s="83"/>
      <c r="M793" s="114"/>
      <c r="N793" s="110"/>
      <c r="O793" s="85"/>
      <c r="P793" s="108"/>
      <c r="Q793" s="84"/>
      <c r="R793" s="84"/>
      <c r="S793" s="15" t="e">
        <f>I793&amp;J793&amp;#REF!</f>
        <v>#REF!</v>
      </c>
      <c r="T793" s="84"/>
      <c r="U793" s="84"/>
      <c r="V793" s="84"/>
    </row>
    <row r="794" spans="1:22">
      <c r="A794" s="23"/>
      <c r="B794" s="24"/>
      <c r="C794" s="24"/>
      <c r="D794" s="24"/>
      <c r="E794" s="74"/>
      <c r="F794" s="24"/>
      <c r="G794" s="83"/>
      <c r="H794" s="113"/>
      <c r="I794" s="85"/>
      <c r="J794" s="85"/>
      <c r="K794" s="111"/>
      <c r="L794" s="83"/>
      <c r="M794" s="114"/>
      <c r="N794" s="110"/>
      <c r="O794" s="85"/>
      <c r="P794" s="108"/>
      <c r="Q794" s="84"/>
      <c r="R794" s="84"/>
      <c r="S794" s="15" t="e">
        <f>I794&amp;J794&amp;#REF!</f>
        <v>#REF!</v>
      </c>
      <c r="T794" s="84"/>
      <c r="U794" s="84"/>
      <c r="V794" s="84"/>
    </row>
    <row r="795" spans="1:22">
      <c r="A795" s="23"/>
      <c r="B795" s="24"/>
      <c r="C795" s="24"/>
      <c r="D795" s="24"/>
      <c r="E795" s="74"/>
      <c r="F795" s="24"/>
      <c r="G795" s="83"/>
      <c r="H795" s="113"/>
      <c r="I795" s="85"/>
      <c r="J795" s="85"/>
      <c r="K795" s="111"/>
      <c r="L795" s="83"/>
      <c r="M795" s="114"/>
      <c r="N795" s="110"/>
      <c r="O795" s="85"/>
      <c r="P795" s="108"/>
      <c r="Q795" s="84"/>
      <c r="R795" s="84"/>
      <c r="S795" s="15" t="e">
        <f>I795&amp;J795&amp;#REF!</f>
        <v>#REF!</v>
      </c>
      <c r="T795" s="84"/>
      <c r="U795" s="84"/>
      <c r="V795" s="84"/>
    </row>
    <row r="796" spans="1:22">
      <c r="A796" s="23"/>
      <c r="B796" s="24"/>
      <c r="C796" s="24"/>
      <c r="D796" s="24"/>
      <c r="E796" s="74"/>
      <c r="F796" s="24"/>
      <c r="G796" s="83"/>
      <c r="H796" s="113"/>
      <c r="I796" s="85"/>
      <c r="J796" s="85"/>
      <c r="K796" s="111"/>
      <c r="L796" s="83"/>
      <c r="M796" s="114"/>
      <c r="N796" s="110"/>
      <c r="O796" s="85"/>
      <c r="P796" s="108"/>
      <c r="Q796" s="84"/>
      <c r="R796" s="84"/>
      <c r="S796" s="15" t="e">
        <f>I796&amp;J796&amp;#REF!</f>
        <v>#REF!</v>
      </c>
      <c r="T796" s="84"/>
      <c r="U796" s="84"/>
      <c r="V796" s="84"/>
    </row>
    <row r="797" spans="1:22">
      <c r="A797" s="23"/>
      <c r="B797" s="24"/>
      <c r="C797" s="24"/>
      <c r="D797" s="24"/>
      <c r="E797" s="74"/>
      <c r="F797" s="24"/>
      <c r="G797" s="83"/>
      <c r="H797" s="113"/>
      <c r="I797" s="85"/>
      <c r="J797" s="85"/>
      <c r="K797" s="111"/>
      <c r="L797" s="83"/>
      <c r="M797" s="114"/>
      <c r="N797" s="110"/>
      <c r="O797" s="85"/>
      <c r="P797" s="108"/>
      <c r="Q797" s="84"/>
      <c r="R797" s="84"/>
      <c r="S797" s="15" t="e">
        <f>I797&amp;J797&amp;#REF!</f>
        <v>#REF!</v>
      </c>
      <c r="T797" s="84"/>
      <c r="U797" s="84"/>
      <c r="V797" s="84"/>
    </row>
    <row r="798" spans="1:22">
      <c r="A798" s="23"/>
      <c r="B798" s="24"/>
      <c r="C798" s="24"/>
      <c r="D798" s="24"/>
      <c r="E798" s="74"/>
      <c r="F798" s="24"/>
      <c r="G798" s="83"/>
      <c r="H798" s="113"/>
      <c r="I798" s="85"/>
      <c r="J798" s="85"/>
      <c r="K798" s="111"/>
      <c r="L798" s="83"/>
      <c r="M798" s="114"/>
      <c r="N798" s="110"/>
      <c r="O798" s="85"/>
      <c r="P798" s="108"/>
      <c r="Q798" s="84"/>
      <c r="R798" s="84"/>
      <c r="S798" s="15" t="e">
        <f>I798&amp;J798&amp;#REF!</f>
        <v>#REF!</v>
      </c>
      <c r="T798" s="84"/>
      <c r="U798" s="84"/>
      <c r="V798" s="84"/>
    </row>
    <row r="799" spans="1:22">
      <c r="A799" s="23"/>
      <c r="B799" s="24"/>
      <c r="C799" s="24"/>
      <c r="D799" s="24"/>
      <c r="E799" s="74"/>
      <c r="F799" s="24"/>
      <c r="G799" s="83"/>
      <c r="H799" s="113"/>
      <c r="I799" s="85"/>
      <c r="J799" s="85"/>
      <c r="K799" s="111"/>
      <c r="L799" s="83"/>
      <c r="M799" s="114"/>
      <c r="N799" s="110"/>
      <c r="O799" s="85"/>
      <c r="P799" s="108"/>
      <c r="Q799" s="84"/>
      <c r="R799" s="84"/>
      <c r="S799" s="15" t="e">
        <f>I799&amp;J799&amp;#REF!</f>
        <v>#REF!</v>
      </c>
      <c r="T799" s="84"/>
      <c r="U799" s="84"/>
      <c r="V799" s="84"/>
    </row>
    <row r="800" spans="1:22">
      <c r="A800" s="23"/>
      <c r="B800" s="24"/>
      <c r="C800" s="24"/>
      <c r="D800" s="24"/>
      <c r="E800" s="74"/>
      <c r="F800" s="24"/>
      <c r="G800" s="83"/>
      <c r="H800" s="113"/>
      <c r="I800" s="85"/>
      <c r="J800" s="85"/>
      <c r="K800" s="111"/>
      <c r="L800" s="83"/>
      <c r="M800" s="114"/>
      <c r="N800" s="110"/>
      <c r="O800" s="85"/>
      <c r="P800" s="108"/>
      <c r="Q800" s="84"/>
      <c r="R800" s="84"/>
      <c r="S800" s="15" t="e">
        <f>I800&amp;J800&amp;#REF!</f>
        <v>#REF!</v>
      </c>
      <c r="T800" s="84"/>
      <c r="U800" s="84"/>
      <c r="V800" s="84"/>
    </row>
    <row r="801" spans="1:22">
      <c r="A801" s="23"/>
      <c r="B801" s="24"/>
      <c r="C801" s="24"/>
      <c r="D801" s="24"/>
      <c r="E801" s="74"/>
      <c r="F801" s="24"/>
      <c r="G801" s="83"/>
      <c r="H801" s="113"/>
      <c r="I801" s="85"/>
      <c r="J801" s="85"/>
      <c r="K801" s="111"/>
      <c r="L801" s="83"/>
      <c r="M801" s="114"/>
      <c r="N801" s="110"/>
      <c r="O801" s="85"/>
      <c r="P801" s="108"/>
      <c r="Q801" s="84"/>
      <c r="R801" s="84"/>
      <c r="S801" s="15" t="e">
        <f>I801&amp;J801&amp;#REF!</f>
        <v>#REF!</v>
      </c>
      <c r="T801" s="84"/>
      <c r="U801" s="84"/>
      <c r="V801" s="84"/>
    </row>
    <row r="802" spans="1:22">
      <c r="A802" s="23"/>
      <c r="B802" s="24"/>
      <c r="C802" s="24"/>
      <c r="D802" s="24"/>
      <c r="E802" s="74"/>
      <c r="F802" s="24"/>
      <c r="G802" s="83"/>
      <c r="H802" s="113"/>
      <c r="I802" s="85"/>
      <c r="J802" s="85"/>
      <c r="K802" s="111"/>
      <c r="L802" s="83"/>
      <c r="M802" s="114"/>
      <c r="N802" s="110"/>
      <c r="O802" s="85"/>
      <c r="P802" s="108"/>
      <c r="Q802" s="84"/>
      <c r="R802" s="84"/>
      <c r="S802" s="15" t="e">
        <f>I802&amp;J802&amp;#REF!</f>
        <v>#REF!</v>
      </c>
      <c r="T802" s="84"/>
      <c r="U802" s="84"/>
      <c r="V802" s="84"/>
    </row>
    <row r="803" spans="1:22">
      <c r="A803" s="23"/>
      <c r="B803" s="24"/>
      <c r="C803" s="24"/>
      <c r="D803" s="24"/>
      <c r="E803" s="74"/>
      <c r="F803" s="24"/>
      <c r="G803" s="83"/>
      <c r="H803" s="113"/>
      <c r="I803" s="85"/>
      <c r="J803" s="85"/>
      <c r="K803" s="111"/>
      <c r="L803" s="83"/>
      <c r="M803" s="114"/>
      <c r="N803" s="110"/>
      <c r="O803" s="85"/>
      <c r="P803" s="108"/>
      <c r="Q803" s="84"/>
      <c r="R803" s="84"/>
      <c r="S803" s="15" t="e">
        <f>I803&amp;J803&amp;#REF!</f>
        <v>#REF!</v>
      </c>
      <c r="T803" s="84"/>
      <c r="U803" s="84"/>
      <c r="V803" s="84"/>
    </row>
    <row r="804" spans="1:22">
      <c r="A804" s="23"/>
      <c r="B804" s="24"/>
      <c r="C804" s="24"/>
      <c r="D804" s="24"/>
      <c r="E804" s="74"/>
      <c r="F804" s="24"/>
      <c r="G804" s="83"/>
      <c r="H804" s="113"/>
      <c r="I804" s="85"/>
      <c r="J804" s="85"/>
      <c r="K804" s="111"/>
      <c r="L804" s="83"/>
      <c r="M804" s="114"/>
      <c r="N804" s="110"/>
      <c r="O804" s="85"/>
      <c r="P804" s="108"/>
      <c r="Q804" s="84"/>
      <c r="R804" s="84"/>
      <c r="S804" s="15" t="e">
        <f>I804&amp;J804&amp;#REF!</f>
        <v>#REF!</v>
      </c>
      <c r="T804" s="84"/>
      <c r="U804" s="84"/>
      <c r="V804" s="84"/>
    </row>
    <row r="805" spans="1:22">
      <c r="A805" s="23"/>
      <c r="B805" s="24"/>
      <c r="C805" s="24"/>
      <c r="D805" s="24"/>
      <c r="E805" s="74"/>
      <c r="F805" s="24"/>
      <c r="G805" s="83"/>
      <c r="H805" s="113"/>
      <c r="I805" s="85"/>
      <c r="J805" s="85"/>
      <c r="K805" s="111"/>
      <c r="L805" s="83"/>
      <c r="M805" s="114"/>
      <c r="N805" s="110"/>
      <c r="O805" s="85"/>
      <c r="P805" s="108"/>
      <c r="Q805" s="84"/>
      <c r="R805" s="84"/>
      <c r="S805" s="15" t="e">
        <f>I805&amp;J805&amp;#REF!</f>
        <v>#REF!</v>
      </c>
      <c r="T805" s="84"/>
      <c r="U805" s="84"/>
      <c r="V805" s="84"/>
    </row>
    <row r="806" spans="1:22">
      <c r="A806" s="23"/>
      <c r="B806" s="24"/>
      <c r="C806" s="24"/>
      <c r="D806" s="24"/>
      <c r="E806" s="74"/>
      <c r="F806" s="24"/>
      <c r="G806" s="83"/>
      <c r="H806" s="113"/>
      <c r="I806" s="85"/>
      <c r="J806" s="85"/>
      <c r="K806" s="111"/>
      <c r="L806" s="83"/>
      <c r="M806" s="114"/>
      <c r="N806" s="110"/>
      <c r="O806" s="85"/>
      <c r="P806" s="108"/>
      <c r="Q806" s="84"/>
      <c r="R806" s="84"/>
      <c r="S806" s="15" t="e">
        <f>I806&amp;J806&amp;#REF!</f>
        <v>#REF!</v>
      </c>
      <c r="T806" s="84"/>
      <c r="U806" s="84"/>
      <c r="V806" s="84"/>
    </row>
    <row r="807" spans="1:22">
      <c r="A807" s="23"/>
      <c r="B807" s="24"/>
      <c r="C807" s="24"/>
      <c r="D807" s="24"/>
      <c r="E807" s="74"/>
      <c r="F807" s="24"/>
      <c r="G807" s="83"/>
      <c r="H807" s="113"/>
      <c r="I807" s="85"/>
      <c r="J807" s="85"/>
      <c r="K807" s="111"/>
      <c r="L807" s="83"/>
      <c r="M807" s="114"/>
      <c r="N807" s="110"/>
      <c r="O807" s="85"/>
      <c r="P807" s="108"/>
      <c r="Q807" s="84"/>
      <c r="R807" s="84"/>
      <c r="S807" s="15" t="e">
        <f>I807&amp;J807&amp;#REF!</f>
        <v>#REF!</v>
      </c>
      <c r="T807" s="84"/>
      <c r="U807" s="84"/>
      <c r="V807" s="84"/>
    </row>
    <row r="808" spans="1:22">
      <c r="A808" s="23"/>
      <c r="B808" s="24"/>
      <c r="C808" s="24"/>
      <c r="D808" s="24"/>
      <c r="E808" s="74"/>
      <c r="F808" s="24"/>
      <c r="G808" s="83"/>
      <c r="H808" s="113"/>
      <c r="I808" s="85"/>
      <c r="J808" s="85"/>
      <c r="K808" s="111"/>
      <c r="L808" s="83"/>
      <c r="M808" s="114"/>
      <c r="N808" s="110"/>
      <c r="O808" s="85"/>
      <c r="P808" s="108"/>
      <c r="Q808" s="84"/>
      <c r="R808" s="84"/>
      <c r="S808" s="15" t="e">
        <f>I808&amp;J808&amp;#REF!</f>
        <v>#REF!</v>
      </c>
      <c r="T808" s="84"/>
      <c r="U808" s="84"/>
      <c r="V808" s="84"/>
    </row>
    <row r="809" spans="1:22">
      <c r="A809" s="23"/>
      <c r="B809" s="24"/>
      <c r="C809" s="24"/>
      <c r="D809" s="24"/>
      <c r="E809" s="74"/>
      <c r="F809" s="24"/>
      <c r="G809" s="83"/>
      <c r="H809" s="113"/>
      <c r="I809" s="85"/>
      <c r="J809" s="85"/>
      <c r="K809" s="111"/>
      <c r="L809" s="83"/>
      <c r="M809" s="114"/>
      <c r="N809" s="110"/>
      <c r="O809" s="85"/>
      <c r="P809" s="108"/>
      <c r="Q809" s="84"/>
      <c r="R809" s="84"/>
      <c r="S809" s="15" t="e">
        <f>I809&amp;J809&amp;#REF!</f>
        <v>#REF!</v>
      </c>
      <c r="T809" s="84"/>
      <c r="U809" s="84"/>
      <c r="V809" s="84"/>
    </row>
    <row r="810" spans="1:22">
      <c r="A810" s="23"/>
      <c r="B810" s="24"/>
      <c r="C810" s="24"/>
      <c r="D810" s="24"/>
      <c r="E810" s="74"/>
      <c r="F810" s="24"/>
      <c r="G810" s="83"/>
      <c r="H810" s="113"/>
      <c r="I810" s="85"/>
      <c r="J810" s="85"/>
      <c r="K810" s="111"/>
      <c r="L810" s="83"/>
      <c r="M810" s="114"/>
      <c r="N810" s="110"/>
      <c r="O810" s="85"/>
      <c r="P810" s="108"/>
      <c r="Q810" s="84"/>
      <c r="R810" s="84"/>
      <c r="S810" s="15" t="e">
        <f>I810&amp;J810&amp;#REF!</f>
        <v>#REF!</v>
      </c>
      <c r="T810" s="84"/>
      <c r="U810" s="84"/>
      <c r="V810" s="84"/>
    </row>
    <row r="811" spans="1:22">
      <c r="A811" s="23"/>
      <c r="B811" s="24"/>
      <c r="C811" s="24"/>
      <c r="D811" s="24"/>
      <c r="E811" s="74"/>
      <c r="F811" s="24"/>
      <c r="G811" s="83"/>
      <c r="H811" s="113"/>
      <c r="I811" s="85"/>
      <c r="J811" s="85"/>
      <c r="K811" s="111"/>
      <c r="L811" s="83"/>
      <c r="M811" s="114"/>
      <c r="N811" s="110"/>
      <c r="O811" s="85"/>
      <c r="P811" s="108"/>
      <c r="Q811" s="84"/>
      <c r="R811" s="84"/>
      <c r="S811" s="15" t="e">
        <f>I811&amp;J811&amp;#REF!</f>
        <v>#REF!</v>
      </c>
      <c r="T811" s="84"/>
      <c r="U811" s="84"/>
      <c r="V811" s="84"/>
    </row>
    <row r="812" spans="1:22">
      <c r="A812" s="23"/>
      <c r="B812" s="24"/>
      <c r="C812" s="24"/>
      <c r="D812" s="24"/>
      <c r="E812" s="74"/>
      <c r="F812" s="24"/>
      <c r="G812" s="83"/>
      <c r="H812" s="113"/>
      <c r="I812" s="85"/>
      <c r="J812" s="85"/>
      <c r="K812" s="111"/>
      <c r="L812" s="83"/>
      <c r="M812" s="114"/>
      <c r="N812" s="110"/>
      <c r="O812" s="85"/>
      <c r="P812" s="108"/>
      <c r="Q812" s="84"/>
      <c r="R812" s="84"/>
      <c r="S812" s="15" t="e">
        <f>I812&amp;J812&amp;#REF!</f>
        <v>#REF!</v>
      </c>
      <c r="T812" s="84"/>
      <c r="U812" s="84"/>
      <c r="V812" s="84"/>
    </row>
    <row r="813" spans="1:22">
      <c r="A813" s="23"/>
      <c r="B813" s="24"/>
      <c r="C813" s="24"/>
      <c r="D813" s="24"/>
      <c r="E813" s="74"/>
      <c r="F813" s="24"/>
      <c r="G813" s="83"/>
      <c r="H813" s="113"/>
      <c r="I813" s="85"/>
      <c r="J813" s="85"/>
      <c r="K813" s="111"/>
      <c r="L813" s="83"/>
      <c r="M813" s="114"/>
      <c r="N813" s="110"/>
      <c r="O813" s="85"/>
      <c r="P813" s="108"/>
      <c r="Q813" s="84"/>
      <c r="R813" s="84"/>
      <c r="S813" s="15" t="e">
        <f>I813&amp;J813&amp;#REF!</f>
        <v>#REF!</v>
      </c>
      <c r="T813" s="84"/>
      <c r="U813" s="84"/>
      <c r="V813" s="84"/>
    </row>
    <row r="814" spans="1:22">
      <c r="A814" s="23"/>
      <c r="B814" s="24"/>
      <c r="C814" s="24"/>
      <c r="D814" s="24"/>
      <c r="E814" s="74"/>
      <c r="F814" s="24"/>
      <c r="G814" s="83"/>
      <c r="H814" s="113"/>
      <c r="I814" s="85"/>
      <c r="J814" s="85"/>
      <c r="K814" s="111"/>
      <c r="L814" s="83"/>
      <c r="M814" s="114"/>
      <c r="N814" s="110"/>
      <c r="O814" s="85"/>
      <c r="P814" s="108"/>
      <c r="Q814" s="84"/>
      <c r="R814" s="84"/>
      <c r="S814" s="15" t="e">
        <f>I814&amp;J814&amp;#REF!</f>
        <v>#REF!</v>
      </c>
      <c r="T814" s="84"/>
      <c r="U814" s="84"/>
      <c r="V814" s="84"/>
    </row>
    <row r="815" spans="1:22">
      <c r="A815" s="23"/>
      <c r="B815" s="24"/>
      <c r="C815" s="24"/>
      <c r="D815" s="24"/>
      <c r="E815" s="74"/>
      <c r="F815" s="24"/>
      <c r="G815" s="83"/>
      <c r="H815" s="113"/>
      <c r="I815" s="85"/>
      <c r="J815" s="85"/>
      <c r="K815" s="111"/>
      <c r="L815" s="83"/>
      <c r="M815" s="114"/>
      <c r="N815" s="110"/>
      <c r="O815" s="85"/>
      <c r="P815" s="108"/>
      <c r="Q815" s="84"/>
      <c r="R815" s="84"/>
      <c r="S815" s="15" t="e">
        <f>I815&amp;J815&amp;#REF!</f>
        <v>#REF!</v>
      </c>
      <c r="T815" s="84"/>
      <c r="U815" s="84"/>
      <c r="V815" s="84"/>
    </row>
    <row r="816" spans="1:22">
      <c r="A816" s="23"/>
      <c r="B816" s="24"/>
      <c r="C816" s="24"/>
      <c r="D816" s="24"/>
      <c r="E816" s="74"/>
      <c r="F816" s="24"/>
      <c r="G816" s="83"/>
      <c r="H816" s="113"/>
      <c r="I816" s="85"/>
      <c r="J816" s="85"/>
      <c r="K816" s="111"/>
      <c r="L816" s="83"/>
      <c r="M816" s="114"/>
      <c r="N816" s="110"/>
      <c r="O816" s="85"/>
      <c r="P816" s="108"/>
      <c r="Q816" s="84"/>
      <c r="R816" s="84"/>
      <c r="S816" s="15" t="e">
        <f>I816&amp;J816&amp;#REF!</f>
        <v>#REF!</v>
      </c>
      <c r="T816" s="84"/>
      <c r="U816" s="84"/>
      <c r="V816" s="84"/>
    </row>
    <row r="817" spans="1:22">
      <c r="A817" s="23"/>
      <c r="B817" s="24"/>
      <c r="C817" s="24"/>
      <c r="D817" s="24"/>
      <c r="E817" s="74"/>
      <c r="F817" s="24"/>
      <c r="G817" s="83"/>
      <c r="H817" s="113"/>
      <c r="I817" s="85"/>
      <c r="J817" s="85"/>
      <c r="K817" s="111"/>
      <c r="L817" s="83"/>
      <c r="M817" s="114"/>
      <c r="N817" s="110"/>
      <c r="O817" s="85"/>
      <c r="P817" s="108"/>
      <c r="Q817" s="84"/>
      <c r="R817" s="84"/>
      <c r="S817" s="15" t="e">
        <f>I817&amp;J817&amp;#REF!</f>
        <v>#REF!</v>
      </c>
      <c r="T817" s="84"/>
      <c r="U817" s="84"/>
      <c r="V817" s="84"/>
    </row>
    <row r="818" spans="1:22">
      <c r="A818" s="23"/>
      <c r="B818" s="24"/>
      <c r="C818" s="24"/>
      <c r="D818" s="24"/>
      <c r="E818" s="74"/>
      <c r="F818" s="24"/>
      <c r="G818" s="83"/>
      <c r="H818" s="113"/>
      <c r="I818" s="85"/>
      <c r="J818" s="85"/>
      <c r="K818" s="111"/>
      <c r="L818" s="83"/>
      <c r="M818" s="114"/>
      <c r="N818" s="110"/>
      <c r="O818" s="85"/>
      <c r="P818" s="108"/>
      <c r="Q818" s="84"/>
      <c r="R818" s="84"/>
      <c r="S818" s="15" t="e">
        <f>I818&amp;J818&amp;#REF!</f>
        <v>#REF!</v>
      </c>
      <c r="T818" s="84"/>
      <c r="U818" s="84"/>
      <c r="V818" s="84"/>
    </row>
    <row r="819" spans="1:22">
      <c r="A819" s="23"/>
      <c r="B819" s="24"/>
      <c r="C819" s="24"/>
      <c r="D819" s="24"/>
      <c r="E819" s="74"/>
      <c r="F819" s="24"/>
      <c r="G819" s="83"/>
      <c r="H819" s="113"/>
      <c r="I819" s="85"/>
      <c r="J819" s="85"/>
      <c r="K819" s="111"/>
      <c r="L819" s="83"/>
      <c r="M819" s="114"/>
      <c r="N819" s="110"/>
      <c r="O819" s="85"/>
      <c r="P819" s="108"/>
      <c r="Q819" s="84"/>
      <c r="R819" s="84"/>
      <c r="S819" s="15" t="e">
        <f>I819&amp;J819&amp;#REF!</f>
        <v>#REF!</v>
      </c>
      <c r="T819" s="84"/>
      <c r="U819" s="84"/>
      <c r="V819" s="84"/>
    </row>
    <row r="820" spans="1:22">
      <c r="A820" s="23"/>
      <c r="B820" s="24"/>
      <c r="C820" s="24"/>
      <c r="D820" s="24"/>
      <c r="E820" s="74"/>
      <c r="F820" s="24"/>
      <c r="G820" s="83"/>
      <c r="H820" s="113"/>
      <c r="I820" s="85"/>
      <c r="J820" s="85"/>
      <c r="K820" s="111"/>
      <c r="L820" s="83"/>
      <c r="M820" s="114"/>
      <c r="N820" s="110"/>
      <c r="O820" s="85"/>
      <c r="P820" s="108"/>
      <c r="Q820" s="84"/>
      <c r="R820" s="84"/>
      <c r="S820" s="15" t="e">
        <f>I820&amp;J820&amp;#REF!</f>
        <v>#REF!</v>
      </c>
      <c r="T820" s="84"/>
      <c r="U820" s="84"/>
      <c r="V820" s="84"/>
    </row>
    <row r="821" spans="1:22">
      <c r="A821" s="23"/>
      <c r="B821" s="24"/>
      <c r="C821" s="24"/>
      <c r="D821" s="24"/>
      <c r="E821" s="74"/>
      <c r="F821" s="24"/>
      <c r="G821" s="83"/>
      <c r="H821" s="113"/>
      <c r="I821" s="85"/>
      <c r="J821" s="85"/>
      <c r="K821" s="111"/>
      <c r="L821" s="83"/>
      <c r="M821" s="114"/>
      <c r="N821" s="110"/>
      <c r="O821" s="85"/>
      <c r="P821" s="108"/>
      <c r="Q821" s="84"/>
      <c r="R821" s="84"/>
      <c r="S821" s="15" t="e">
        <f>I821&amp;J821&amp;#REF!</f>
        <v>#REF!</v>
      </c>
      <c r="T821" s="84"/>
      <c r="U821" s="84"/>
      <c r="V821" s="84"/>
    </row>
    <row r="822" spans="1:22">
      <c r="A822" s="23"/>
      <c r="B822" s="24"/>
      <c r="C822" s="24"/>
      <c r="D822" s="24"/>
      <c r="E822" s="74"/>
      <c r="F822" s="24"/>
      <c r="G822" s="83"/>
      <c r="H822" s="113"/>
      <c r="I822" s="85"/>
      <c r="J822" s="85"/>
      <c r="K822" s="111"/>
      <c r="L822" s="83"/>
      <c r="M822" s="114"/>
      <c r="N822" s="110"/>
      <c r="O822" s="85"/>
      <c r="P822" s="108"/>
      <c r="Q822" s="84" t="s">
        <v>69</v>
      </c>
      <c r="R822" s="84"/>
      <c r="T822" s="84"/>
      <c r="U822" s="84"/>
      <c r="V822" s="84"/>
    </row>
    <row r="823" spans="1:22">
      <c r="A823" s="23"/>
      <c r="B823" s="24"/>
      <c r="C823" s="24"/>
      <c r="D823" s="24"/>
      <c r="E823" s="74"/>
      <c r="F823" s="24"/>
      <c r="G823" s="83"/>
      <c r="H823" s="113"/>
      <c r="I823" s="85"/>
      <c r="J823" s="85"/>
      <c r="K823" s="111"/>
      <c r="L823" s="83"/>
      <c r="M823" s="114"/>
      <c r="N823" s="110"/>
      <c r="O823" s="85"/>
      <c r="P823" s="108"/>
      <c r="Q823" s="84" t="s">
        <v>69</v>
      </c>
      <c r="R823" s="84"/>
      <c r="T823" s="84"/>
      <c r="U823" s="84"/>
      <c r="V823" s="84"/>
    </row>
    <row r="824" spans="1:22">
      <c r="A824" s="23"/>
      <c r="B824" s="24"/>
      <c r="C824" s="24"/>
      <c r="D824" s="24"/>
      <c r="E824" s="74"/>
      <c r="F824" s="24"/>
      <c r="G824" s="83"/>
      <c r="H824" s="113"/>
      <c r="I824" s="85"/>
      <c r="J824" s="85"/>
      <c r="K824" s="111"/>
      <c r="L824" s="83"/>
      <c r="M824" s="114"/>
      <c r="N824" s="110"/>
      <c r="O824" s="85"/>
      <c r="P824" s="108"/>
      <c r="Q824" s="84" t="s">
        <v>69</v>
      </c>
      <c r="R824" s="84"/>
      <c r="T824" s="84"/>
      <c r="U824" s="84"/>
      <c r="V824" s="84"/>
    </row>
    <row r="825" spans="1:22">
      <c r="A825" s="23"/>
      <c r="B825" s="24"/>
      <c r="C825" s="24"/>
      <c r="D825" s="24"/>
      <c r="E825" s="74"/>
      <c r="F825" s="24"/>
      <c r="G825" s="83"/>
      <c r="H825" s="113"/>
      <c r="I825" s="85"/>
      <c r="J825" s="85"/>
      <c r="K825" s="111"/>
      <c r="L825" s="83"/>
      <c r="M825" s="114"/>
      <c r="N825" s="110"/>
      <c r="O825" s="85"/>
      <c r="P825" s="108"/>
      <c r="Q825" s="84" t="s">
        <v>69</v>
      </c>
      <c r="R825" s="84"/>
      <c r="T825" s="84"/>
      <c r="U825" s="84"/>
      <c r="V825" s="84"/>
    </row>
    <row r="826" spans="1:22">
      <c r="A826" s="23"/>
      <c r="B826" s="24"/>
      <c r="C826" s="24"/>
      <c r="D826" s="24"/>
      <c r="E826" s="74"/>
      <c r="F826" s="24"/>
      <c r="G826" s="83"/>
      <c r="H826" s="113"/>
      <c r="I826" s="85"/>
      <c r="J826" s="85"/>
      <c r="K826" s="111"/>
      <c r="L826" s="83"/>
      <c r="M826" s="114"/>
      <c r="N826" s="110"/>
      <c r="O826" s="85"/>
      <c r="P826" s="108"/>
      <c r="Q826" s="84" t="s">
        <v>69</v>
      </c>
      <c r="R826" s="84"/>
      <c r="T826" s="84"/>
      <c r="U826" s="84"/>
      <c r="V826" s="84"/>
    </row>
    <row r="827" spans="1:22">
      <c r="A827" s="23"/>
      <c r="B827" s="24"/>
      <c r="C827" s="24"/>
      <c r="D827" s="24"/>
      <c r="E827" s="74"/>
      <c r="F827" s="24"/>
      <c r="G827" s="83"/>
      <c r="H827" s="113"/>
      <c r="I827" s="85"/>
      <c r="J827" s="85"/>
      <c r="K827" s="111"/>
      <c r="L827" s="83"/>
      <c r="M827" s="114"/>
      <c r="N827" s="110"/>
      <c r="O827" s="85"/>
      <c r="P827" s="108"/>
      <c r="Q827" s="84" t="s">
        <v>69</v>
      </c>
      <c r="R827" s="84"/>
      <c r="T827" s="84"/>
      <c r="U827" s="84"/>
      <c r="V827" s="84"/>
    </row>
    <row r="828" spans="1:22">
      <c r="A828" s="23"/>
      <c r="B828" s="24"/>
      <c r="C828" s="24"/>
      <c r="D828" s="24"/>
      <c r="E828" s="74"/>
      <c r="F828" s="24"/>
      <c r="G828" s="83"/>
      <c r="H828" s="113"/>
      <c r="I828" s="85"/>
      <c r="J828" s="85"/>
      <c r="K828" s="111"/>
      <c r="L828" s="83"/>
      <c r="M828" s="114"/>
      <c r="N828" s="110"/>
      <c r="O828" s="85"/>
      <c r="P828" s="108"/>
      <c r="Q828" s="84" t="s">
        <v>69</v>
      </c>
      <c r="R828" s="84"/>
      <c r="T828" s="84"/>
      <c r="U828" s="84"/>
      <c r="V828" s="84"/>
    </row>
    <row r="829" spans="1:22">
      <c r="A829" s="23"/>
      <c r="B829" s="24"/>
      <c r="C829" s="24"/>
      <c r="D829" s="24"/>
      <c r="E829" s="74"/>
      <c r="F829" s="24"/>
      <c r="G829" s="83"/>
      <c r="H829" s="113"/>
      <c r="I829" s="85"/>
      <c r="J829" s="85"/>
      <c r="K829" s="111"/>
      <c r="L829" s="83"/>
      <c r="M829" s="114"/>
      <c r="N829" s="110"/>
      <c r="O829" s="85"/>
      <c r="P829" s="108"/>
      <c r="Q829" s="84" t="s">
        <v>69</v>
      </c>
      <c r="R829" s="84"/>
      <c r="T829" s="84"/>
      <c r="U829" s="84"/>
      <c r="V829" s="84"/>
    </row>
    <row r="830" spans="1:22">
      <c r="A830" s="23"/>
      <c r="B830" s="24"/>
      <c r="C830" s="24"/>
      <c r="D830" s="24"/>
      <c r="E830" s="74"/>
      <c r="F830" s="24"/>
      <c r="G830" s="83"/>
      <c r="H830" s="113"/>
      <c r="I830" s="85"/>
      <c r="J830" s="85"/>
      <c r="K830" s="111"/>
      <c r="L830" s="83"/>
      <c r="M830" s="114"/>
      <c r="N830" s="110"/>
      <c r="O830" s="85"/>
      <c r="P830" s="108"/>
      <c r="Q830" s="84" t="s">
        <v>69</v>
      </c>
      <c r="R830" s="84"/>
      <c r="T830" s="84"/>
      <c r="U830" s="84"/>
      <c r="V830" s="84"/>
    </row>
    <row r="831" spans="1:22">
      <c r="A831" s="23"/>
      <c r="B831" s="24"/>
      <c r="C831" s="24"/>
      <c r="D831" s="24"/>
      <c r="E831" s="74"/>
      <c r="F831" s="24"/>
      <c r="G831" s="83"/>
      <c r="H831" s="113"/>
      <c r="I831" s="85"/>
      <c r="J831" s="85"/>
      <c r="K831" s="111"/>
      <c r="L831" s="83"/>
      <c r="M831" s="114"/>
      <c r="N831" s="110"/>
      <c r="O831" s="85"/>
      <c r="P831" s="108"/>
      <c r="Q831" s="84" t="s">
        <v>69</v>
      </c>
      <c r="R831" s="84"/>
      <c r="T831" s="84"/>
      <c r="U831" s="84"/>
      <c r="V831" s="84"/>
    </row>
    <row r="832" spans="1:22">
      <c r="A832" s="23"/>
      <c r="B832" s="24"/>
      <c r="C832" s="24"/>
      <c r="D832" s="24"/>
      <c r="E832" s="74"/>
      <c r="F832" s="24"/>
      <c r="G832" s="83"/>
      <c r="H832" s="113"/>
      <c r="I832" s="85"/>
      <c r="J832" s="85"/>
      <c r="K832" s="111"/>
      <c r="L832" s="83"/>
      <c r="M832" s="114"/>
      <c r="N832" s="110"/>
      <c r="O832" s="85"/>
      <c r="P832" s="108"/>
      <c r="Q832" s="84" t="s">
        <v>69</v>
      </c>
      <c r="R832" s="84"/>
      <c r="T832" s="84"/>
      <c r="U832" s="84"/>
      <c r="V832" s="84"/>
    </row>
    <row r="833" spans="1:22">
      <c r="A833" s="23"/>
      <c r="B833" s="24"/>
      <c r="C833" s="24"/>
      <c r="D833" s="24"/>
      <c r="E833" s="74"/>
      <c r="F833" s="24"/>
      <c r="G833" s="83"/>
      <c r="H833" s="113"/>
      <c r="I833" s="85"/>
      <c r="J833" s="85"/>
      <c r="K833" s="111"/>
      <c r="L833" s="83"/>
      <c r="M833" s="114"/>
      <c r="N833" s="110"/>
      <c r="O833" s="85"/>
      <c r="P833" s="108"/>
      <c r="Q833" s="84" t="s">
        <v>69</v>
      </c>
      <c r="R833" s="84"/>
      <c r="T833" s="84"/>
      <c r="U833" s="84"/>
      <c r="V833" s="84"/>
    </row>
    <row r="834" spans="1:22">
      <c r="A834" s="23"/>
      <c r="B834" s="24"/>
      <c r="C834" s="24"/>
      <c r="D834" s="24"/>
      <c r="E834" s="74"/>
      <c r="F834" s="24"/>
      <c r="G834" s="83"/>
      <c r="H834" s="113"/>
      <c r="I834" s="85"/>
      <c r="J834" s="85"/>
      <c r="K834" s="111"/>
      <c r="L834" s="83"/>
      <c r="M834" s="114"/>
      <c r="N834" s="110"/>
      <c r="O834" s="85"/>
      <c r="P834" s="108"/>
      <c r="Q834" s="84" t="s">
        <v>69</v>
      </c>
      <c r="R834" s="84"/>
      <c r="T834" s="84"/>
      <c r="U834" s="84"/>
      <c r="V834" s="84"/>
    </row>
    <row r="835" spans="1:22">
      <c r="A835" s="23"/>
      <c r="B835" s="24"/>
      <c r="C835" s="24"/>
      <c r="D835" s="24"/>
      <c r="E835" s="74"/>
      <c r="F835" s="24"/>
      <c r="G835" s="83"/>
      <c r="H835" s="113"/>
      <c r="I835" s="85"/>
      <c r="J835" s="85"/>
      <c r="K835" s="111"/>
      <c r="L835" s="83"/>
      <c r="M835" s="114"/>
      <c r="N835" s="110"/>
      <c r="O835" s="85"/>
      <c r="P835" s="108"/>
      <c r="Q835" s="84" t="s">
        <v>69</v>
      </c>
      <c r="R835" s="84"/>
      <c r="T835" s="84"/>
      <c r="U835" s="84"/>
      <c r="V835" s="84"/>
    </row>
    <row r="836" spans="1:22">
      <c r="A836" s="23"/>
      <c r="B836" s="24"/>
      <c r="C836" s="24"/>
      <c r="D836" s="24"/>
      <c r="E836" s="74"/>
      <c r="F836" s="24"/>
      <c r="G836" s="83"/>
      <c r="H836" s="113"/>
      <c r="I836" s="85"/>
      <c r="J836" s="85"/>
      <c r="K836" s="111"/>
      <c r="L836" s="83"/>
      <c r="M836" s="114"/>
      <c r="N836" s="110"/>
      <c r="O836" s="85"/>
      <c r="P836" s="108"/>
      <c r="Q836" s="84" t="s">
        <v>69</v>
      </c>
      <c r="R836" s="84"/>
      <c r="T836" s="84"/>
      <c r="U836" s="84"/>
      <c r="V836" s="84"/>
    </row>
    <row r="837" spans="1:22">
      <c r="A837" s="23"/>
      <c r="B837" s="24"/>
      <c r="C837" s="24"/>
      <c r="D837" s="24"/>
      <c r="E837" s="74"/>
      <c r="F837" s="24"/>
      <c r="G837" s="83"/>
      <c r="H837" s="113"/>
      <c r="I837" s="85"/>
      <c r="J837" s="85"/>
      <c r="K837" s="111"/>
      <c r="L837" s="83"/>
      <c r="M837" s="114"/>
      <c r="N837" s="110"/>
      <c r="O837" s="85"/>
      <c r="P837" s="108"/>
      <c r="Q837" s="84" t="s">
        <v>69</v>
      </c>
      <c r="R837" s="84"/>
      <c r="T837" s="84"/>
      <c r="U837" s="84"/>
      <c r="V837" s="84"/>
    </row>
    <row r="838" spans="1:22">
      <c r="A838" s="23"/>
      <c r="B838" s="24"/>
      <c r="C838" s="24"/>
      <c r="D838" s="24"/>
      <c r="E838" s="74"/>
      <c r="F838" s="24"/>
      <c r="G838" s="83"/>
      <c r="H838" s="113"/>
      <c r="I838" s="85"/>
      <c r="J838" s="85"/>
      <c r="K838" s="111"/>
      <c r="L838" s="83"/>
      <c r="M838" s="114"/>
      <c r="N838" s="110"/>
      <c r="O838" s="85"/>
      <c r="P838" s="108"/>
      <c r="Q838" s="84" t="s">
        <v>69</v>
      </c>
      <c r="R838" s="84"/>
      <c r="T838" s="84"/>
      <c r="U838" s="84"/>
      <c r="V838" s="84"/>
    </row>
    <row r="839" spans="1:22">
      <c r="A839" s="23"/>
      <c r="B839" s="24"/>
      <c r="C839" s="24"/>
      <c r="D839" s="24"/>
      <c r="E839" s="74"/>
      <c r="F839" s="24"/>
      <c r="G839" s="83"/>
      <c r="H839" s="113"/>
      <c r="I839" s="85"/>
      <c r="J839" s="85"/>
      <c r="K839" s="111"/>
      <c r="L839" s="83"/>
      <c r="M839" s="114"/>
      <c r="N839" s="110"/>
      <c r="O839" s="85"/>
      <c r="P839" s="108"/>
      <c r="Q839" s="84" t="s">
        <v>69</v>
      </c>
      <c r="R839" s="84"/>
      <c r="T839" s="84"/>
      <c r="U839" s="84"/>
      <c r="V839" s="84"/>
    </row>
    <row r="840" spans="1:22">
      <c r="A840" s="23"/>
      <c r="B840" s="24"/>
      <c r="C840" s="24"/>
      <c r="D840" s="24"/>
      <c r="E840" s="74"/>
      <c r="F840" s="24"/>
      <c r="G840" s="83"/>
      <c r="H840" s="113"/>
      <c r="I840" s="85"/>
      <c r="J840" s="85"/>
      <c r="K840" s="111"/>
      <c r="L840" s="83"/>
      <c r="M840" s="114"/>
      <c r="N840" s="110"/>
      <c r="O840" s="85"/>
      <c r="P840" s="108"/>
      <c r="Q840" s="84" t="s">
        <v>69</v>
      </c>
      <c r="R840" s="84"/>
      <c r="T840" s="84"/>
      <c r="U840" s="84"/>
      <c r="V840" s="84"/>
    </row>
    <row r="841" spans="1:22">
      <c r="A841" s="23"/>
      <c r="B841" s="24"/>
      <c r="C841" s="24"/>
      <c r="D841" s="24"/>
      <c r="E841" s="74"/>
      <c r="F841" s="24"/>
      <c r="G841" s="83"/>
      <c r="H841" s="113"/>
      <c r="I841" s="85"/>
      <c r="J841" s="85"/>
      <c r="K841" s="111"/>
      <c r="L841" s="83"/>
      <c r="M841" s="114"/>
      <c r="N841" s="110"/>
      <c r="O841" s="85"/>
      <c r="P841" s="108"/>
      <c r="Q841" s="84" t="s">
        <v>69</v>
      </c>
      <c r="R841" s="84"/>
      <c r="T841" s="84"/>
      <c r="U841" s="84"/>
      <c r="V841" s="84"/>
    </row>
    <row r="842" spans="1:22">
      <c r="A842" s="23"/>
      <c r="B842" s="24"/>
      <c r="C842" s="24"/>
      <c r="D842" s="24"/>
      <c r="E842" s="74"/>
      <c r="F842" s="24"/>
      <c r="G842" s="83"/>
      <c r="H842" s="113"/>
      <c r="I842" s="85"/>
      <c r="J842" s="85"/>
      <c r="K842" s="111"/>
      <c r="L842" s="83"/>
      <c r="M842" s="114"/>
      <c r="N842" s="110"/>
      <c r="O842" s="85"/>
      <c r="P842" s="108"/>
      <c r="Q842" s="84" t="s">
        <v>69</v>
      </c>
      <c r="R842" s="84"/>
      <c r="T842" s="84"/>
      <c r="U842" s="84"/>
      <c r="V842" s="84"/>
    </row>
    <row r="843" spans="1:22">
      <c r="A843" s="23"/>
      <c r="B843" s="24"/>
      <c r="C843" s="24"/>
      <c r="D843" s="24"/>
      <c r="E843" s="74"/>
      <c r="F843" s="24"/>
      <c r="G843" s="83"/>
      <c r="H843" s="113"/>
      <c r="I843" s="85"/>
      <c r="J843" s="85"/>
      <c r="K843" s="111"/>
      <c r="L843" s="83"/>
      <c r="M843" s="114"/>
      <c r="N843" s="110"/>
      <c r="O843" s="85"/>
      <c r="P843" s="108"/>
      <c r="Q843" s="84" t="s">
        <v>69</v>
      </c>
      <c r="R843" s="84"/>
      <c r="T843" s="84"/>
      <c r="U843" s="84"/>
      <c r="V843" s="84"/>
    </row>
    <row r="844" spans="1:22">
      <c r="A844" s="23"/>
      <c r="B844" s="24"/>
      <c r="C844" s="24"/>
      <c r="D844" s="24"/>
      <c r="E844" s="74"/>
      <c r="F844" s="24"/>
      <c r="G844" s="83"/>
      <c r="H844" s="113"/>
      <c r="I844" s="85"/>
      <c r="J844" s="85"/>
      <c r="K844" s="111"/>
      <c r="L844" s="83"/>
      <c r="M844" s="114"/>
      <c r="N844" s="110"/>
      <c r="O844" s="85"/>
      <c r="P844" s="108"/>
      <c r="Q844" s="84" t="s">
        <v>69</v>
      </c>
      <c r="R844" s="84"/>
      <c r="T844" s="84"/>
      <c r="U844" s="84"/>
      <c r="V844" s="84"/>
    </row>
    <row r="845" spans="1:22">
      <c r="A845" s="23"/>
      <c r="B845" s="24"/>
      <c r="C845" s="24"/>
      <c r="D845" s="24"/>
      <c r="E845" s="74"/>
      <c r="F845" s="24"/>
      <c r="G845" s="83"/>
      <c r="H845" s="113"/>
      <c r="I845" s="85"/>
      <c r="J845" s="85"/>
      <c r="K845" s="111"/>
      <c r="L845" s="83"/>
      <c r="M845" s="114"/>
      <c r="N845" s="110"/>
      <c r="O845" s="85"/>
      <c r="P845" s="108"/>
      <c r="Q845" s="84" t="s">
        <v>69</v>
      </c>
      <c r="R845" s="84"/>
      <c r="T845" s="84"/>
      <c r="U845" s="84"/>
      <c r="V845" s="84"/>
    </row>
    <row r="846" spans="1:22">
      <c r="A846" s="23"/>
      <c r="B846" s="24"/>
      <c r="C846" s="24"/>
      <c r="D846" s="24"/>
      <c r="E846" s="74"/>
      <c r="F846" s="24"/>
      <c r="G846" s="83"/>
      <c r="H846" s="113"/>
      <c r="I846" s="85"/>
      <c r="J846" s="85"/>
      <c r="K846" s="111"/>
      <c r="L846" s="83"/>
      <c r="M846" s="114"/>
      <c r="N846" s="110"/>
      <c r="O846" s="85"/>
      <c r="P846" s="108"/>
      <c r="Q846" s="84" t="s">
        <v>69</v>
      </c>
      <c r="R846" s="84"/>
      <c r="T846" s="84"/>
      <c r="U846" s="84"/>
      <c r="V846" s="84"/>
    </row>
    <row r="847" spans="1:22">
      <c r="A847" s="23"/>
      <c r="B847" s="24"/>
      <c r="C847" s="24"/>
      <c r="D847" s="24"/>
      <c r="E847" s="74"/>
      <c r="F847" s="24"/>
      <c r="G847" s="83"/>
      <c r="H847" s="113"/>
      <c r="I847" s="85"/>
      <c r="J847" s="85"/>
      <c r="K847" s="111"/>
      <c r="L847" s="83"/>
      <c r="M847" s="114"/>
      <c r="N847" s="110"/>
      <c r="O847" s="85"/>
      <c r="P847" s="108"/>
      <c r="Q847" s="84" t="s">
        <v>69</v>
      </c>
      <c r="R847" s="84"/>
      <c r="T847" s="84"/>
      <c r="U847" s="84"/>
      <c r="V847" s="84"/>
    </row>
    <row r="848" spans="1:22">
      <c r="A848" s="23"/>
      <c r="B848" s="24"/>
      <c r="C848" s="24"/>
      <c r="D848" s="24"/>
      <c r="E848" s="74"/>
      <c r="F848" s="24"/>
      <c r="G848" s="83"/>
      <c r="H848" s="113"/>
      <c r="I848" s="85"/>
      <c r="J848" s="85"/>
      <c r="K848" s="111"/>
      <c r="L848" s="83"/>
      <c r="M848" s="114"/>
      <c r="N848" s="110"/>
      <c r="O848" s="85"/>
      <c r="P848" s="108"/>
      <c r="Q848" s="84" t="s">
        <v>69</v>
      </c>
      <c r="R848" s="84"/>
      <c r="T848" s="84"/>
      <c r="U848" s="84"/>
      <c r="V848" s="84"/>
    </row>
    <row r="849" spans="1:22">
      <c r="A849" s="23"/>
      <c r="B849" s="24"/>
      <c r="C849" s="24"/>
      <c r="D849" s="24"/>
      <c r="E849" s="74"/>
      <c r="F849" s="24"/>
      <c r="G849" s="83"/>
      <c r="H849" s="113"/>
      <c r="I849" s="85"/>
      <c r="J849" s="85"/>
      <c r="K849" s="111"/>
      <c r="L849" s="83"/>
      <c r="M849" s="114"/>
      <c r="N849" s="110"/>
      <c r="O849" s="85"/>
      <c r="P849" s="108"/>
      <c r="Q849" s="84" t="s">
        <v>69</v>
      </c>
      <c r="R849" s="84"/>
      <c r="T849" s="84"/>
      <c r="U849" s="84"/>
      <c r="V849" s="84"/>
    </row>
    <row r="850" spans="1:22">
      <c r="A850" s="23"/>
      <c r="B850" s="24"/>
      <c r="C850" s="24"/>
      <c r="D850" s="24"/>
      <c r="E850" s="74"/>
      <c r="F850" s="24"/>
      <c r="G850" s="83"/>
      <c r="H850" s="113"/>
      <c r="I850" s="85"/>
      <c r="J850" s="85"/>
      <c r="K850" s="111"/>
      <c r="L850" s="83"/>
      <c r="M850" s="114"/>
      <c r="N850" s="110"/>
      <c r="O850" s="85"/>
      <c r="P850" s="108"/>
      <c r="Q850" s="84" t="s">
        <v>69</v>
      </c>
      <c r="R850" s="84"/>
      <c r="T850" s="84"/>
      <c r="U850" s="84"/>
      <c r="V850" s="84"/>
    </row>
    <row r="851" spans="1:22">
      <c r="A851" s="23"/>
      <c r="B851" s="24"/>
      <c r="C851" s="24"/>
      <c r="D851" s="24"/>
      <c r="E851" s="74"/>
      <c r="F851" s="24"/>
      <c r="G851" s="83"/>
      <c r="H851" s="113"/>
      <c r="I851" s="85"/>
      <c r="J851" s="85"/>
      <c r="K851" s="111"/>
      <c r="L851" s="83"/>
      <c r="M851" s="114"/>
      <c r="N851" s="110"/>
      <c r="O851" s="85"/>
      <c r="P851" s="108"/>
      <c r="Q851" s="84" t="s">
        <v>69</v>
      </c>
      <c r="R851" s="84"/>
      <c r="T851" s="84"/>
      <c r="U851" s="84"/>
      <c r="V851" s="84"/>
    </row>
    <row r="852" spans="1:22">
      <c r="A852" s="23"/>
      <c r="B852" s="24"/>
      <c r="C852" s="24"/>
      <c r="D852" s="24"/>
      <c r="E852" s="74"/>
      <c r="F852" s="24"/>
      <c r="G852" s="83"/>
      <c r="H852" s="113"/>
      <c r="I852" s="85"/>
      <c r="J852" s="85"/>
      <c r="K852" s="111"/>
      <c r="L852" s="83"/>
      <c r="M852" s="114"/>
      <c r="N852" s="110"/>
      <c r="O852" s="85"/>
      <c r="P852" s="108"/>
      <c r="Q852" s="84" t="s">
        <v>69</v>
      </c>
      <c r="R852" s="84"/>
      <c r="T852" s="84"/>
      <c r="U852" s="84"/>
      <c r="V852" s="84"/>
    </row>
    <row r="853" spans="1:22">
      <c r="A853" s="23"/>
      <c r="B853" s="24"/>
      <c r="C853" s="24"/>
      <c r="D853" s="24"/>
      <c r="E853" s="74"/>
      <c r="F853" s="24"/>
      <c r="G853" s="83"/>
      <c r="H853" s="113"/>
      <c r="I853" s="85"/>
      <c r="J853" s="85"/>
      <c r="K853" s="111"/>
      <c r="L853" s="83"/>
      <c r="M853" s="114"/>
      <c r="N853" s="110"/>
      <c r="O853" s="85"/>
      <c r="P853" s="108"/>
      <c r="Q853" s="84" t="s">
        <v>69</v>
      </c>
      <c r="R853" s="84"/>
      <c r="T853" s="84"/>
      <c r="U853" s="84"/>
      <c r="V853" s="84"/>
    </row>
    <row r="854" spans="1:22">
      <c r="A854" s="23"/>
      <c r="B854" s="24"/>
      <c r="C854" s="24"/>
      <c r="D854" s="24"/>
      <c r="E854" s="74"/>
      <c r="F854" s="24"/>
      <c r="G854" s="83"/>
      <c r="H854" s="113"/>
      <c r="I854" s="85"/>
      <c r="J854" s="85"/>
      <c r="K854" s="111"/>
      <c r="L854" s="83"/>
      <c r="M854" s="114"/>
      <c r="N854" s="110"/>
      <c r="O854" s="85"/>
      <c r="P854" s="108"/>
      <c r="Q854" s="84" t="s">
        <v>69</v>
      </c>
      <c r="R854" s="84"/>
      <c r="T854" s="84"/>
      <c r="U854" s="84"/>
      <c r="V854" s="84"/>
    </row>
    <row r="855" spans="1:22">
      <c r="A855" s="23"/>
      <c r="B855" s="24"/>
      <c r="C855" s="24"/>
      <c r="D855" s="24"/>
      <c r="E855" s="74"/>
      <c r="F855" s="24"/>
      <c r="G855" s="83"/>
      <c r="H855" s="113"/>
      <c r="I855" s="85"/>
      <c r="J855" s="85"/>
      <c r="K855" s="111"/>
      <c r="L855" s="83"/>
      <c r="M855" s="114"/>
      <c r="N855" s="110"/>
      <c r="O855" s="85"/>
      <c r="P855" s="108"/>
      <c r="Q855" s="84" t="s">
        <v>69</v>
      </c>
      <c r="R855" s="84"/>
      <c r="T855" s="84"/>
      <c r="U855" s="84"/>
      <c r="V855" s="84"/>
    </row>
    <row r="856" spans="1:22">
      <c r="A856" s="23"/>
      <c r="B856" s="24"/>
      <c r="C856" s="24"/>
      <c r="D856" s="24"/>
      <c r="E856" s="74"/>
      <c r="F856" s="24"/>
      <c r="G856" s="83"/>
      <c r="H856" s="113"/>
      <c r="I856" s="85"/>
      <c r="J856" s="85"/>
      <c r="K856" s="111"/>
      <c r="L856" s="83"/>
      <c r="M856" s="114"/>
      <c r="N856" s="110"/>
      <c r="O856" s="85"/>
      <c r="P856" s="108"/>
      <c r="Q856" s="84" t="s">
        <v>69</v>
      </c>
      <c r="R856" s="84"/>
      <c r="T856" s="84"/>
      <c r="U856" s="84"/>
      <c r="V856" s="84"/>
    </row>
    <row r="857" spans="1:22">
      <c r="A857" s="23"/>
      <c r="B857" s="24"/>
      <c r="C857" s="24"/>
      <c r="D857" s="24"/>
      <c r="E857" s="74"/>
      <c r="F857" s="24"/>
      <c r="G857" s="83"/>
      <c r="H857" s="113"/>
      <c r="I857" s="85"/>
      <c r="J857" s="85"/>
      <c r="K857" s="111"/>
      <c r="L857" s="83"/>
      <c r="M857" s="114"/>
      <c r="N857" s="110"/>
      <c r="O857" s="85"/>
      <c r="P857" s="108"/>
      <c r="Q857" s="84" t="s">
        <v>69</v>
      </c>
      <c r="R857" s="84"/>
      <c r="T857" s="84"/>
      <c r="U857" s="84"/>
      <c r="V857" s="84"/>
    </row>
    <row r="858" spans="1:22">
      <c r="A858" s="23"/>
      <c r="B858" s="24"/>
      <c r="C858" s="24"/>
      <c r="D858" s="24"/>
      <c r="E858" s="74"/>
      <c r="F858" s="24"/>
      <c r="G858" s="83"/>
      <c r="H858" s="113"/>
      <c r="I858" s="85"/>
      <c r="J858" s="85"/>
      <c r="K858" s="111"/>
      <c r="L858" s="83"/>
      <c r="M858" s="114"/>
      <c r="N858" s="110"/>
      <c r="O858" s="85"/>
      <c r="P858" s="108"/>
      <c r="Q858" s="84" t="s">
        <v>69</v>
      </c>
      <c r="R858" s="84"/>
      <c r="T858" s="84"/>
      <c r="U858" s="84"/>
      <c r="V858" s="84"/>
    </row>
    <row r="859" spans="1:22">
      <c r="A859" s="23"/>
      <c r="B859" s="24"/>
      <c r="C859" s="24"/>
      <c r="D859" s="24"/>
      <c r="E859" s="74"/>
      <c r="F859" s="24"/>
      <c r="G859" s="83"/>
      <c r="H859" s="113"/>
      <c r="I859" s="85"/>
      <c r="J859" s="85"/>
      <c r="K859" s="111"/>
      <c r="L859" s="83"/>
      <c r="M859" s="114"/>
      <c r="N859" s="110"/>
      <c r="O859" s="85"/>
      <c r="P859" s="108"/>
      <c r="Q859" s="84" t="s">
        <v>69</v>
      </c>
      <c r="R859" s="84"/>
      <c r="T859" s="84"/>
      <c r="U859" s="84"/>
      <c r="V859" s="84"/>
    </row>
    <row r="860" spans="1:22">
      <c r="A860" s="23"/>
      <c r="B860" s="24"/>
      <c r="C860" s="24"/>
      <c r="D860" s="24"/>
      <c r="E860" s="74"/>
      <c r="F860" s="24"/>
      <c r="G860" s="83"/>
      <c r="H860" s="113"/>
      <c r="I860" s="85"/>
      <c r="J860" s="85"/>
      <c r="K860" s="111"/>
      <c r="L860" s="83"/>
      <c r="M860" s="114"/>
      <c r="N860" s="110"/>
      <c r="O860" s="85"/>
      <c r="P860" s="108"/>
      <c r="Q860" s="84" t="s">
        <v>69</v>
      </c>
      <c r="R860" s="84"/>
      <c r="T860" s="84"/>
      <c r="U860" s="84"/>
      <c r="V860" s="84"/>
    </row>
    <row r="861" spans="1:22">
      <c r="A861" s="23"/>
      <c r="B861" s="24"/>
      <c r="C861" s="24"/>
      <c r="D861" s="24"/>
      <c r="E861" s="74"/>
      <c r="F861" s="24"/>
      <c r="G861" s="83"/>
      <c r="H861" s="113"/>
      <c r="I861" s="85"/>
      <c r="J861" s="85"/>
      <c r="K861" s="111"/>
      <c r="L861" s="83"/>
      <c r="M861" s="114"/>
      <c r="N861" s="110"/>
      <c r="O861" s="85"/>
      <c r="P861" s="108"/>
      <c r="Q861" s="84" t="s">
        <v>69</v>
      </c>
      <c r="R861" s="84"/>
      <c r="T861" s="84"/>
      <c r="U861" s="84"/>
      <c r="V861" s="84"/>
    </row>
    <row r="862" spans="1:22">
      <c r="A862" s="23"/>
      <c r="B862" s="24"/>
      <c r="C862" s="24"/>
      <c r="D862" s="24"/>
      <c r="E862" s="74"/>
      <c r="F862" s="24"/>
      <c r="G862" s="83"/>
      <c r="H862" s="113"/>
      <c r="I862" s="85"/>
      <c r="J862" s="85"/>
      <c r="K862" s="111"/>
      <c r="L862" s="83"/>
      <c r="M862" s="114"/>
      <c r="N862" s="110"/>
      <c r="O862" s="85"/>
      <c r="P862" s="108"/>
      <c r="Q862" s="84" t="s">
        <v>69</v>
      </c>
      <c r="R862" s="84"/>
      <c r="T862" s="84"/>
      <c r="U862" s="84"/>
      <c r="V862" s="84"/>
    </row>
    <row r="863" spans="1:22">
      <c r="A863" s="23"/>
      <c r="B863" s="24"/>
      <c r="C863" s="24"/>
      <c r="D863" s="24"/>
      <c r="E863" s="74"/>
      <c r="F863" s="24"/>
      <c r="G863" s="83"/>
      <c r="H863" s="113"/>
      <c r="I863" s="85"/>
      <c r="J863" s="85"/>
      <c r="K863" s="111"/>
      <c r="L863" s="83"/>
      <c r="M863" s="114"/>
      <c r="N863" s="110"/>
      <c r="O863" s="85"/>
      <c r="P863" s="108"/>
      <c r="Q863" s="84" t="s">
        <v>69</v>
      </c>
      <c r="R863" s="84"/>
      <c r="T863" s="84"/>
      <c r="U863" s="84"/>
      <c r="V863" s="84"/>
    </row>
    <row r="864" spans="1:22">
      <c r="G864" s="68"/>
    </row>
  </sheetData>
  <autoFilter ref="A10:BE580" xr:uid="{00000000-0001-0000-0000-000000000000}"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1" showButton="0"/>
    <filterColumn colId="52" showButton="0"/>
    <filterColumn colId="53" showButton="0"/>
    <filterColumn colId="55" showButton="0"/>
  </autoFilter>
  <mergeCells count="20">
    <mergeCell ref="A2:O2"/>
    <mergeCell ref="M3:N3"/>
    <mergeCell ref="M4:N4"/>
    <mergeCell ref="AK10:AK11"/>
    <mergeCell ref="W14:W15"/>
    <mergeCell ref="AK14:AK70"/>
    <mergeCell ref="X15:Z15"/>
    <mergeCell ref="AB15:AD15"/>
    <mergeCell ref="AF15:AH15"/>
    <mergeCell ref="I4:J4"/>
    <mergeCell ref="I3:J3"/>
    <mergeCell ref="I5:J5"/>
    <mergeCell ref="AK72:AK116"/>
    <mergeCell ref="AK118:AK128"/>
    <mergeCell ref="AN10:AY10"/>
    <mergeCell ref="AZ10:BC10"/>
    <mergeCell ref="BD10:BE10"/>
    <mergeCell ref="AK12:BE12"/>
    <mergeCell ref="AL10:AL11"/>
    <mergeCell ref="AM10:AM11"/>
  </mergeCells>
  <conditionalFormatting sqref="G1:G1048576">
    <cfRule type="duplicateValues" dxfId="13" priority="20" stopIfTrue="1"/>
    <cfRule type="duplicateValues" dxfId="12" priority="21" stopIfTrue="1"/>
    <cfRule type="duplicateValues" priority="22" stopIfTrue="1"/>
    <cfRule type="duplicateValues" dxfId="11" priority="24" stopIfTrue="1"/>
    <cfRule type="duplicateValues" dxfId="10" priority="25" stopIfTrue="1"/>
    <cfRule type="duplicateValues" dxfId="9" priority="26" stopIfTrue="1"/>
    <cfRule type="duplicateValues" dxfId="8" priority="27" stopIfTrue="1"/>
    <cfRule type="duplicateValues" dxfId="7" priority="28" stopIfTrue="1"/>
    <cfRule type="duplicateValues" dxfId="6" priority="30" stopIfTrue="1"/>
    <cfRule type="duplicateValues" dxfId="5" priority="31" stopIfTrue="1"/>
  </conditionalFormatting>
  <conditionalFormatting sqref="G11:G65434">
    <cfRule type="expression" dxfId="4" priority="33" stopIfTrue="1">
      <formula>IF(COUNTIF($G$11:$G$14,G11)&gt;1,TRUE,FALSE)</formula>
    </cfRule>
    <cfRule type="expression" dxfId="3" priority="34" stopIfTrue="1">
      <formula>IF(AND(LEN(G11)&lt;&gt;0,LEN(G11)&lt;&gt;11),TRUE,FALSE)</formula>
    </cfRule>
  </conditionalFormatting>
  <conditionalFormatting sqref="S10:V10">
    <cfRule type="duplicateValues" dxfId="2" priority="32" stopIfTrue="1"/>
  </conditionalFormatting>
  <conditionalFormatting sqref="AM1:AM1048576">
    <cfRule type="duplicateValues" dxfId="1" priority="23" stopIfTrue="1"/>
  </conditionalFormatting>
  <conditionalFormatting sqref="AM261:AM65434 AM149:AM248 X236:X246 AM1:AM147">
    <cfRule type="duplicateValues" dxfId="0" priority="706" stopIfTrue="1"/>
  </conditionalFormatting>
  <printOptions horizontalCentered="1"/>
  <pageMargins left="0.25" right="0.25" top="0.75" bottom="0.75" header="0.3" footer="0.3"/>
  <pageSetup paperSize="9" scale="10" orientation="portrait" r:id="rId1"/>
  <headerFooter alignWithMargins="0">
    <oddFooter>&amp;CPage &amp;P&amp;R&amp;D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5:O100"/>
  <sheetViews>
    <sheetView workbookViewId="0">
      <selection activeCell="L45" sqref="L45"/>
    </sheetView>
  </sheetViews>
  <sheetFormatPr defaultRowHeight="16.5"/>
  <cols>
    <col min="6" max="6" width="10.5" customWidth="1"/>
    <col min="14" max="14" width="13.625" customWidth="1"/>
  </cols>
  <sheetData>
    <row r="5" spans="5:8">
      <c r="F5" t="s">
        <v>606</v>
      </c>
      <c r="G5" t="s">
        <v>78</v>
      </c>
      <c r="H5" t="s">
        <v>607</v>
      </c>
    </row>
    <row r="6" spans="5:8">
      <c r="E6" t="s">
        <v>83</v>
      </c>
      <c r="F6">
        <v>219</v>
      </c>
      <c r="G6">
        <v>224</v>
      </c>
      <c r="H6">
        <f>G6-F6</f>
        <v>5</v>
      </c>
    </row>
    <row r="7" spans="5:8">
      <c r="E7" t="s">
        <v>57</v>
      </c>
      <c r="F7">
        <v>201</v>
      </c>
      <c r="G7">
        <v>232</v>
      </c>
      <c r="H7">
        <f t="shared" ref="H7:H12" si="0">G7-F7</f>
        <v>31</v>
      </c>
    </row>
    <row r="8" spans="5:8">
      <c r="E8" t="s">
        <v>86</v>
      </c>
      <c r="F8">
        <v>63</v>
      </c>
      <c r="G8">
        <v>67</v>
      </c>
      <c r="H8">
        <f t="shared" si="0"/>
        <v>4</v>
      </c>
    </row>
    <row r="9" spans="5:8">
      <c r="E9" t="s">
        <v>62</v>
      </c>
      <c r="F9">
        <v>60</v>
      </c>
      <c r="G9">
        <v>40</v>
      </c>
      <c r="H9">
        <f t="shared" si="0"/>
        <v>-20</v>
      </c>
    </row>
    <row r="10" spans="5:8">
      <c r="E10" t="s">
        <v>88</v>
      </c>
      <c r="F10">
        <v>148</v>
      </c>
      <c r="G10">
        <v>6</v>
      </c>
      <c r="H10">
        <f t="shared" si="0"/>
        <v>-142</v>
      </c>
    </row>
    <row r="11" spans="5:8">
      <c r="E11" t="s">
        <v>106</v>
      </c>
      <c r="F11">
        <v>129</v>
      </c>
      <c r="G11">
        <v>3</v>
      </c>
      <c r="H11">
        <f t="shared" si="0"/>
        <v>-126</v>
      </c>
    </row>
    <row r="12" spans="5:8">
      <c r="E12" t="s">
        <v>541</v>
      </c>
      <c r="H12">
        <f t="shared" si="0"/>
        <v>0</v>
      </c>
    </row>
    <row r="13" spans="5:8">
      <c r="G13">
        <v>335</v>
      </c>
    </row>
    <row r="98" spans="14:15">
      <c r="N98" s="142"/>
      <c r="O98" s="142"/>
    </row>
    <row r="99" spans="14:15">
      <c r="N99" s="142"/>
      <c r="O99" s="142"/>
    </row>
    <row r="100" spans="14:15">
      <c r="N100" s="142"/>
      <c r="O100" s="1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2"/>
  <sheetViews>
    <sheetView workbookViewId="0">
      <selection activeCell="F9" sqref="F9"/>
    </sheetView>
  </sheetViews>
  <sheetFormatPr defaultRowHeight="16.5"/>
  <cols>
    <col min="1" max="1" width="10.625" customWidth="1"/>
    <col min="12" max="12" width="0" hidden="1" customWidth="1"/>
    <col min="14" max="14" width="10.375" customWidth="1"/>
    <col min="18" max="18" width="0" hidden="1" customWidth="1"/>
    <col min="20" max="20" width="8" customWidth="1"/>
    <col min="21" max="21" width="9.625" customWidth="1"/>
  </cols>
  <sheetData>
    <row r="1" spans="1:25">
      <c r="N1">
        <v>180</v>
      </c>
    </row>
    <row r="2" spans="1:25">
      <c r="C2">
        <v>240</v>
      </c>
      <c r="D2">
        <v>284</v>
      </c>
      <c r="N2">
        <v>165</v>
      </c>
      <c r="O2">
        <v>212</v>
      </c>
      <c r="U2" s="117"/>
      <c r="V2" s="117"/>
      <c r="W2" s="117"/>
      <c r="X2" s="117"/>
      <c r="Y2" s="117"/>
    </row>
    <row r="3" spans="1:25">
      <c r="A3" s="132" t="s">
        <v>524</v>
      </c>
      <c r="B3" s="118" t="s">
        <v>70</v>
      </c>
      <c r="C3" s="119" t="s">
        <v>71</v>
      </c>
      <c r="D3" s="119" t="s">
        <v>72</v>
      </c>
      <c r="E3" s="118" t="s">
        <v>73</v>
      </c>
      <c r="F3" s="118" t="s">
        <v>74</v>
      </c>
      <c r="N3">
        <v>80</v>
      </c>
      <c r="U3" s="117"/>
      <c r="V3" s="117"/>
      <c r="W3" s="117"/>
      <c r="X3" s="117"/>
      <c r="Y3" s="117"/>
    </row>
    <row r="4" spans="1:25">
      <c r="A4" s="118" t="s">
        <v>75</v>
      </c>
      <c r="B4" s="120">
        <f>SUM(B6,B8,B10)</f>
        <v>520</v>
      </c>
      <c r="C4" s="117">
        <f>SUM(C6,C8,C10)</f>
        <v>243</v>
      </c>
      <c r="D4" s="117">
        <f>SUM(D6,D8,D10)</f>
        <v>277</v>
      </c>
      <c r="E4" s="117">
        <f>SUM(E6,E8,E10)</f>
        <v>797</v>
      </c>
      <c r="F4" s="117">
        <f>SUM(F6,F8,F10)</f>
        <v>11294</v>
      </c>
      <c r="U4" s="122"/>
      <c r="V4" s="136"/>
      <c r="W4" s="136"/>
      <c r="X4" s="122"/>
      <c r="Y4" s="122"/>
    </row>
    <row r="5" spans="1:25">
      <c r="A5" s="117"/>
      <c r="B5" s="120"/>
      <c r="C5" s="117"/>
      <c r="D5" s="117"/>
      <c r="E5" s="117"/>
      <c r="F5" s="117"/>
      <c r="I5" s="170" t="s">
        <v>76</v>
      </c>
      <c r="J5" s="171"/>
      <c r="K5" s="171"/>
      <c r="L5" s="171"/>
      <c r="M5" s="171"/>
      <c r="N5" s="172"/>
      <c r="O5" s="170" t="s">
        <v>73</v>
      </c>
      <c r="P5" s="171"/>
      <c r="Q5" s="171"/>
      <c r="R5" s="171"/>
      <c r="S5" s="172"/>
      <c r="U5" s="122"/>
      <c r="V5" s="135"/>
      <c r="W5" s="135"/>
      <c r="X5" s="136"/>
      <c r="Y5" s="122"/>
    </row>
    <row r="6" spans="1:25">
      <c r="A6" s="121" t="s">
        <v>51</v>
      </c>
      <c r="B6" s="120">
        <f>SUM(C6,D6)</f>
        <v>520</v>
      </c>
      <c r="C6" s="117">
        <v>243</v>
      </c>
      <c r="D6" s="117">
        <v>277</v>
      </c>
      <c r="E6" s="117">
        <f>SUM(D6*2)+C6</f>
        <v>797</v>
      </c>
      <c r="F6" s="117">
        <v>11294</v>
      </c>
      <c r="I6" s="117"/>
      <c r="J6" s="132" t="s">
        <v>77</v>
      </c>
      <c r="K6" s="132" t="s">
        <v>78</v>
      </c>
      <c r="L6" s="134" t="s">
        <v>79</v>
      </c>
      <c r="M6" s="132" t="s">
        <v>80</v>
      </c>
      <c r="N6" s="117"/>
      <c r="O6" s="117"/>
      <c r="P6" s="132" t="s">
        <v>77</v>
      </c>
      <c r="Q6" s="132" t="s">
        <v>78</v>
      </c>
      <c r="R6" s="134" t="s">
        <v>79</v>
      </c>
      <c r="S6" s="132" t="s">
        <v>81</v>
      </c>
      <c r="U6" s="137" t="s">
        <v>82</v>
      </c>
      <c r="V6" s="135" t="s">
        <v>71</v>
      </c>
      <c r="W6" s="135" t="s">
        <v>72</v>
      </c>
      <c r="X6" s="136"/>
      <c r="Y6" s="122"/>
    </row>
    <row r="7" spans="1:25">
      <c r="A7" s="117"/>
      <c r="B7" s="120"/>
      <c r="C7" s="117"/>
      <c r="D7" s="117"/>
      <c r="E7" s="117"/>
      <c r="F7" s="117"/>
      <c r="I7" s="117" t="s">
        <v>83</v>
      </c>
      <c r="J7" s="117">
        <v>4474</v>
      </c>
      <c r="K7" s="117">
        <v>4530</v>
      </c>
      <c r="L7" s="117"/>
      <c r="M7" s="117">
        <f>K7-J7</f>
        <v>56</v>
      </c>
      <c r="N7" s="117"/>
      <c r="O7" s="117" t="s">
        <v>83</v>
      </c>
      <c r="P7" s="117"/>
      <c r="Q7" s="117"/>
      <c r="R7" s="117"/>
      <c r="S7" s="117">
        <f>Q7-P7</f>
        <v>0</v>
      </c>
      <c r="U7" s="122" t="s">
        <v>83</v>
      </c>
      <c r="V7" s="135"/>
      <c r="W7" s="135"/>
      <c r="X7" s="136"/>
      <c r="Y7" s="122"/>
    </row>
    <row r="8" spans="1:25">
      <c r="A8" s="123" t="s">
        <v>84</v>
      </c>
      <c r="B8" s="120">
        <f t="shared" ref="B8" si="0">SUM(C8,D8)</f>
        <v>0</v>
      </c>
      <c r="C8" s="117"/>
      <c r="D8" s="117"/>
      <c r="E8" s="117">
        <f t="shared" ref="E8" si="1">SUM(D8*2)+C8</f>
        <v>0</v>
      </c>
      <c r="F8" s="117"/>
      <c r="I8" s="117" t="s">
        <v>85</v>
      </c>
      <c r="J8" s="117">
        <v>4479</v>
      </c>
      <c r="K8" s="117">
        <v>4677</v>
      </c>
      <c r="L8" s="117"/>
      <c r="M8" s="117">
        <f t="shared" ref="M8:M13" si="2">K8-J8</f>
        <v>198</v>
      </c>
      <c r="N8" s="117"/>
      <c r="O8" s="117" t="s">
        <v>85</v>
      </c>
      <c r="P8" s="117"/>
      <c r="Q8" s="117"/>
      <c r="R8" s="117"/>
      <c r="S8" s="117">
        <f t="shared" ref="S8:S17" si="3">Q8-P8</f>
        <v>0</v>
      </c>
      <c r="U8" s="122" t="s">
        <v>57</v>
      </c>
      <c r="V8" s="135"/>
      <c r="W8" s="135"/>
      <c r="X8" s="136"/>
      <c r="Y8" s="122"/>
    </row>
    <row r="9" spans="1:25">
      <c r="A9" s="117"/>
      <c r="B9" s="120"/>
      <c r="C9" s="117"/>
      <c r="D9" s="117"/>
      <c r="E9" s="117"/>
      <c r="F9" s="117"/>
      <c r="I9" s="117" t="s">
        <v>62</v>
      </c>
      <c r="J9" s="117">
        <v>722</v>
      </c>
      <c r="K9" s="117">
        <v>722</v>
      </c>
      <c r="L9" s="117"/>
      <c r="M9" s="117">
        <f t="shared" si="2"/>
        <v>0</v>
      </c>
      <c r="N9" s="117"/>
      <c r="O9" s="117" t="s">
        <v>62</v>
      </c>
      <c r="P9" s="117"/>
      <c r="Q9" s="117"/>
      <c r="R9" s="117"/>
      <c r="S9" s="117">
        <f t="shared" si="3"/>
        <v>0</v>
      </c>
      <c r="U9" s="122" t="s">
        <v>62</v>
      </c>
      <c r="V9" s="135"/>
      <c r="W9" s="135"/>
      <c r="X9" s="136"/>
      <c r="Y9" s="122"/>
    </row>
    <row r="10" spans="1:25">
      <c r="A10" s="133"/>
      <c r="B10" s="120"/>
      <c r="C10" s="117"/>
      <c r="D10" s="117"/>
      <c r="E10" s="117"/>
      <c r="F10" s="117"/>
      <c r="I10" s="117" t="s">
        <v>86</v>
      </c>
      <c r="J10" s="117">
        <v>992</v>
      </c>
      <c r="K10" s="117">
        <v>1037</v>
      </c>
      <c r="L10" s="117"/>
      <c r="M10" s="117">
        <f t="shared" si="2"/>
        <v>45</v>
      </c>
      <c r="N10" s="117"/>
      <c r="O10" s="117" t="s">
        <v>86</v>
      </c>
      <c r="P10" s="117"/>
      <c r="Q10" s="117"/>
      <c r="R10" s="117"/>
      <c r="S10" s="117">
        <f t="shared" si="3"/>
        <v>0</v>
      </c>
      <c r="U10" s="122" t="s">
        <v>86</v>
      </c>
      <c r="V10" s="135"/>
      <c r="W10" s="135"/>
      <c r="X10" s="136"/>
      <c r="Y10" s="122"/>
    </row>
    <row r="11" spans="1:25">
      <c r="I11" s="117" t="s">
        <v>87</v>
      </c>
      <c r="J11" s="117">
        <v>60</v>
      </c>
      <c r="K11" s="117">
        <v>60</v>
      </c>
      <c r="L11" s="117"/>
      <c r="M11" s="117">
        <f t="shared" si="2"/>
        <v>0</v>
      </c>
      <c r="N11" s="117"/>
      <c r="O11" s="117" t="s">
        <v>88</v>
      </c>
      <c r="P11" s="117"/>
      <c r="Q11" s="117"/>
      <c r="R11" s="117"/>
      <c r="S11" s="117">
        <f t="shared" si="3"/>
        <v>0</v>
      </c>
      <c r="U11" s="122" t="s">
        <v>88</v>
      </c>
      <c r="V11" s="135"/>
      <c r="W11" s="135"/>
      <c r="X11" s="136"/>
      <c r="Y11" s="122"/>
    </row>
    <row r="12" spans="1:25">
      <c r="I12" s="117" t="s">
        <v>106</v>
      </c>
      <c r="J12" s="117">
        <v>0</v>
      </c>
      <c r="K12" s="117">
        <v>0</v>
      </c>
      <c r="L12" s="117"/>
      <c r="M12" s="117">
        <f t="shared" si="2"/>
        <v>0</v>
      </c>
      <c r="N12" s="117"/>
      <c r="O12" s="117" t="s">
        <v>89</v>
      </c>
      <c r="P12" s="117"/>
      <c r="Q12" s="117"/>
      <c r="R12" s="117"/>
      <c r="S12" s="117">
        <f t="shared" si="3"/>
        <v>0</v>
      </c>
      <c r="U12" s="122" t="s">
        <v>89</v>
      </c>
      <c r="V12" s="135"/>
      <c r="W12" s="135"/>
      <c r="X12" s="136"/>
      <c r="Y12" s="122"/>
    </row>
    <row r="13" spans="1:25">
      <c r="I13" s="117" t="s">
        <v>541</v>
      </c>
      <c r="J13" s="117">
        <v>280</v>
      </c>
      <c r="K13" s="117">
        <v>280</v>
      </c>
      <c r="L13" s="117"/>
      <c r="M13" s="117">
        <f t="shared" si="2"/>
        <v>0</v>
      </c>
      <c r="N13" s="117"/>
      <c r="O13" s="117" t="s">
        <v>90</v>
      </c>
      <c r="P13" s="117"/>
      <c r="Q13" s="117"/>
      <c r="R13" s="117"/>
      <c r="S13" s="117">
        <f t="shared" si="3"/>
        <v>0</v>
      </c>
      <c r="U13" s="122" t="s">
        <v>90</v>
      </c>
      <c r="V13" s="135"/>
      <c r="W13" s="135"/>
      <c r="X13" s="136"/>
      <c r="Y13" s="122"/>
    </row>
    <row r="14" spans="1:25">
      <c r="A14" s="132" t="s">
        <v>91</v>
      </c>
      <c r="B14" s="118" t="s">
        <v>70</v>
      </c>
      <c r="C14" s="119" t="s">
        <v>71</v>
      </c>
      <c r="D14" s="119" t="s">
        <v>72</v>
      </c>
      <c r="E14" s="118" t="s">
        <v>73</v>
      </c>
      <c r="F14" s="118" t="s">
        <v>92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>
        <f t="shared" si="3"/>
        <v>0</v>
      </c>
      <c r="U14" s="122"/>
      <c r="V14" s="135"/>
      <c r="W14" s="135"/>
      <c r="X14" s="136"/>
      <c r="Y14" s="122"/>
    </row>
    <row r="15" spans="1:25">
      <c r="A15" s="118"/>
      <c r="B15" s="117">
        <f t="shared" ref="B15:E15" si="4">SUM(B17,B20)</f>
        <v>0</v>
      </c>
      <c r="C15" s="117">
        <f t="shared" si="4"/>
        <v>0</v>
      </c>
      <c r="D15" s="117">
        <f t="shared" si="4"/>
        <v>0</v>
      </c>
      <c r="E15" s="117">
        <f t="shared" si="4"/>
        <v>0</v>
      </c>
      <c r="F15" s="117">
        <f>SUM(F17,F20)</f>
        <v>0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>
        <f t="shared" si="3"/>
        <v>0</v>
      </c>
      <c r="U15" s="122"/>
      <c r="V15" s="135"/>
      <c r="W15" s="135"/>
      <c r="X15" s="136"/>
      <c r="Y15" s="122"/>
    </row>
    <row r="16" spans="1:25">
      <c r="A16" s="117"/>
      <c r="B16" s="120"/>
      <c r="C16" s="117"/>
      <c r="D16" s="117"/>
      <c r="E16" s="117"/>
      <c r="F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>
        <f t="shared" si="3"/>
        <v>0</v>
      </c>
      <c r="U16" s="122"/>
      <c r="V16" s="135"/>
      <c r="W16" s="135"/>
      <c r="X16" s="136"/>
      <c r="Y16" s="122"/>
    </row>
    <row r="17" spans="1:25">
      <c r="A17" s="117" t="s">
        <v>84</v>
      </c>
      <c r="B17" s="120">
        <f>SUM(C17,D17)</f>
        <v>0</v>
      </c>
      <c r="C17" s="117"/>
      <c r="D17" s="117"/>
      <c r="E17" s="117">
        <f>SUM(D17*2)+C17</f>
        <v>0</v>
      </c>
      <c r="F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>
        <f t="shared" si="3"/>
        <v>0</v>
      </c>
      <c r="U17" s="122"/>
      <c r="V17" s="136"/>
      <c r="W17" s="136"/>
      <c r="X17" s="136"/>
      <c r="Y17" s="122"/>
    </row>
    <row r="18" spans="1:25">
      <c r="A18" s="117"/>
      <c r="B18" s="120"/>
      <c r="C18" s="117"/>
      <c r="D18" s="117"/>
      <c r="E18" s="117"/>
      <c r="F18" s="117"/>
      <c r="I18" s="132" t="s">
        <v>58</v>
      </c>
      <c r="J18" s="117">
        <f>SUM(J7:J17)</f>
        <v>11007</v>
      </c>
      <c r="K18" s="117">
        <f>SUM(K7:K17)</f>
        <v>11306</v>
      </c>
      <c r="L18" s="117"/>
      <c r="M18" s="117">
        <f>SUM(M7:M17)</f>
        <v>299</v>
      </c>
      <c r="N18" s="117"/>
      <c r="O18" s="132" t="s">
        <v>58</v>
      </c>
      <c r="P18" s="117">
        <f>SUM(P7:P17)</f>
        <v>0</v>
      </c>
      <c r="Q18" s="117">
        <f>SUM(Q7:Q17)</f>
        <v>0</v>
      </c>
      <c r="R18" s="117"/>
      <c r="S18" s="117">
        <f>SUM(S7:S17)</f>
        <v>0</v>
      </c>
      <c r="U18" s="122"/>
      <c r="V18" s="122"/>
      <c r="W18" s="122"/>
      <c r="X18" s="122"/>
      <c r="Y18" s="122"/>
    </row>
    <row r="19" spans="1:25">
      <c r="A19" s="117"/>
      <c r="B19" s="120"/>
      <c r="C19" s="117"/>
      <c r="D19" s="117"/>
      <c r="E19" s="117"/>
      <c r="F19" s="117"/>
      <c r="U19" s="122"/>
      <c r="V19" s="122"/>
      <c r="W19" s="122"/>
      <c r="X19" s="122"/>
      <c r="Y19" s="122"/>
    </row>
    <row r="20" spans="1:25">
      <c r="A20" s="122" t="s">
        <v>51</v>
      </c>
      <c r="B20" s="120">
        <f t="shared" ref="B20" si="5">SUM(C20,D20)</f>
        <v>0</v>
      </c>
      <c r="C20" s="117"/>
      <c r="D20" s="117"/>
      <c r="E20" s="117">
        <f t="shared" ref="E20" si="6">SUM(D20*2)+C20</f>
        <v>0</v>
      </c>
      <c r="F20" s="117"/>
      <c r="U20" s="122"/>
      <c r="V20" s="122"/>
      <c r="W20" s="122"/>
      <c r="X20" s="122"/>
      <c r="Y20" s="122"/>
    </row>
    <row r="21" spans="1:25">
      <c r="A21" s="122"/>
      <c r="B21" s="120"/>
      <c r="C21" s="117"/>
      <c r="D21" s="117"/>
      <c r="E21" s="117"/>
      <c r="F21" s="117"/>
      <c r="U21" s="122"/>
      <c r="V21" s="122"/>
      <c r="W21" s="122"/>
      <c r="X21" s="122"/>
      <c r="Y21" s="122"/>
    </row>
    <row r="22" spans="1:25">
      <c r="A22" s="122"/>
      <c r="B22" s="120"/>
      <c r="C22" s="117"/>
      <c r="D22" s="117"/>
      <c r="E22" s="117"/>
      <c r="F22" s="117"/>
    </row>
    <row r="23" spans="1:25">
      <c r="A23" s="122"/>
      <c r="B23" s="120"/>
      <c r="C23" s="117"/>
      <c r="D23" s="117"/>
      <c r="E23" s="117"/>
      <c r="F23" s="117"/>
      <c r="H23" s="124"/>
      <c r="I23" s="125"/>
      <c r="J23" s="125"/>
      <c r="K23" s="125"/>
      <c r="L23" s="125"/>
      <c r="M23" s="125"/>
      <c r="N23" s="126"/>
      <c r="O23" s="124"/>
      <c r="P23" s="125"/>
      <c r="Q23" s="126"/>
    </row>
    <row r="24" spans="1:25">
      <c r="A24" s="132" t="s">
        <v>58</v>
      </c>
      <c r="B24" s="132">
        <f>SUM(B4,B15)</f>
        <v>520</v>
      </c>
      <c r="C24" s="132">
        <f>SUM(C4,C15)</f>
        <v>243</v>
      </c>
      <c r="D24" s="132">
        <f>SUM(D4,D15)</f>
        <v>277</v>
      </c>
      <c r="E24" s="132">
        <f>SUM(E4,E15)</f>
        <v>797</v>
      </c>
      <c r="F24" s="132">
        <f>SUM(F4,F15)</f>
        <v>11294</v>
      </c>
      <c r="H24" s="127"/>
      <c r="N24" s="128"/>
      <c r="O24" s="127"/>
      <c r="Q24" s="128"/>
    </row>
    <row r="25" spans="1:25">
      <c r="H25" s="127"/>
      <c r="N25" s="128"/>
      <c r="O25" s="127"/>
      <c r="Q25" s="128"/>
    </row>
    <row r="26" spans="1:25">
      <c r="H26" s="127"/>
      <c r="N26" s="128"/>
      <c r="O26" s="127"/>
      <c r="Q26" s="128"/>
    </row>
    <row r="27" spans="1:25">
      <c r="H27" s="127"/>
      <c r="N27" s="128"/>
      <c r="O27" s="127"/>
      <c r="Q27" s="128"/>
    </row>
    <row r="28" spans="1:25">
      <c r="A28" s="132" t="s">
        <v>525</v>
      </c>
      <c r="B28" s="118" t="s">
        <v>70</v>
      </c>
      <c r="C28" s="119" t="s">
        <v>71</v>
      </c>
      <c r="D28" s="119" t="s">
        <v>72</v>
      </c>
      <c r="E28" s="118" t="s">
        <v>73</v>
      </c>
      <c r="F28" s="118" t="s">
        <v>92</v>
      </c>
      <c r="H28" s="127"/>
      <c r="N28" s="128"/>
      <c r="O28" s="127"/>
      <c r="Q28" s="128"/>
    </row>
    <row r="29" spans="1:25">
      <c r="A29" s="118"/>
      <c r="B29" s="117">
        <f t="shared" ref="B29:E29" si="7">SUM(B31,B34)</f>
        <v>0</v>
      </c>
      <c r="C29" s="117">
        <f t="shared" si="7"/>
        <v>0</v>
      </c>
      <c r="D29" s="117">
        <f t="shared" si="7"/>
        <v>0</v>
      </c>
      <c r="E29" s="117">
        <f t="shared" si="7"/>
        <v>0</v>
      </c>
      <c r="F29" s="117">
        <f>SUM(F31,F34)</f>
        <v>0</v>
      </c>
      <c r="H29" s="127"/>
      <c r="N29" s="128"/>
      <c r="O29" s="127"/>
      <c r="Q29" s="128"/>
    </row>
    <row r="30" spans="1:25">
      <c r="A30" s="117"/>
      <c r="B30" s="120"/>
      <c r="C30" s="117"/>
      <c r="D30" s="117"/>
      <c r="E30" s="117"/>
      <c r="F30" s="117"/>
      <c r="H30" s="127"/>
      <c r="N30" s="128"/>
      <c r="O30" s="127"/>
      <c r="Q30" s="128"/>
    </row>
    <row r="31" spans="1:25">
      <c r="A31" s="117" t="s">
        <v>84</v>
      </c>
      <c r="B31" s="120">
        <f>SUM(C31,D31)</f>
        <v>0</v>
      </c>
      <c r="C31" s="117"/>
      <c r="D31" s="117"/>
      <c r="E31" s="117">
        <f>SUM(D31*2)+C31</f>
        <v>0</v>
      </c>
      <c r="F31" s="117"/>
      <c r="H31" s="127"/>
      <c r="N31" s="128"/>
      <c r="O31" s="127"/>
      <c r="Q31" s="128"/>
    </row>
    <row r="32" spans="1:25">
      <c r="A32" s="117"/>
      <c r="B32" s="120"/>
      <c r="C32" s="117"/>
      <c r="D32" s="117"/>
      <c r="E32" s="117"/>
      <c r="F32" s="117"/>
      <c r="H32" s="127"/>
      <c r="N32" s="128"/>
      <c r="O32" s="127"/>
      <c r="Q32" s="128"/>
    </row>
    <row r="33" spans="1:17">
      <c r="A33" s="117"/>
      <c r="B33" s="120"/>
      <c r="C33" s="117"/>
      <c r="D33" s="117"/>
      <c r="E33" s="117"/>
      <c r="F33" s="117"/>
      <c r="H33" s="127"/>
      <c r="N33" s="128"/>
      <c r="O33" s="127"/>
      <c r="Q33" s="128"/>
    </row>
    <row r="34" spans="1:17">
      <c r="A34" s="122" t="s">
        <v>51</v>
      </c>
      <c r="B34" s="120">
        <f t="shared" ref="B34" si="8">SUM(C34,D34)</f>
        <v>0</v>
      </c>
      <c r="C34" s="117"/>
      <c r="D34" s="117"/>
      <c r="E34" s="117">
        <f t="shared" ref="E34" si="9">SUM(D34*2)+C34</f>
        <v>0</v>
      </c>
      <c r="F34" s="117"/>
      <c r="H34" s="129"/>
      <c r="I34" s="130"/>
      <c r="J34" s="130"/>
      <c r="K34" s="130"/>
      <c r="L34" s="130"/>
      <c r="M34" s="130"/>
      <c r="N34" s="131"/>
      <c r="O34" s="129"/>
      <c r="P34" s="130"/>
      <c r="Q34" s="131"/>
    </row>
    <row r="35" spans="1:17">
      <c r="A35" s="122"/>
      <c r="B35" s="120"/>
      <c r="C35" s="117"/>
      <c r="D35" s="117"/>
      <c r="E35" s="117"/>
      <c r="F35" s="117"/>
    </row>
    <row r="36" spans="1:17">
      <c r="A36" s="122"/>
      <c r="B36" s="120"/>
      <c r="C36" s="117"/>
      <c r="D36" s="117"/>
      <c r="E36" s="117"/>
      <c r="F36" s="117"/>
    </row>
    <row r="37" spans="1:17">
      <c r="A37" s="122"/>
      <c r="B37" s="120"/>
      <c r="C37" s="117"/>
      <c r="D37" s="117"/>
      <c r="E37" s="117"/>
      <c r="F37" s="117"/>
    </row>
    <row r="38" spans="1:17">
      <c r="A38" s="132" t="s">
        <v>58</v>
      </c>
      <c r="B38" s="132">
        <f>SUM(B18,B29)</f>
        <v>0</v>
      </c>
      <c r="C38" s="132">
        <f>SUM(C18,C29)</f>
        <v>0</v>
      </c>
      <c r="D38" s="132">
        <f>SUM(D18,D29)</f>
        <v>0</v>
      </c>
      <c r="E38" s="132">
        <f>SUM(E18,E29)</f>
        <v>0</v>
      </c>
      <c r="F38" s="132">
        <f>SUM(F18,F29)</f>
        <v>0</v>
      </c>
    </row>
    <row r="40" spans="1:17">
      <c r="A40" s="132" t="s">
        <v>523</v>
      </c>
      <c r="B40" s="118" t="s">
        <v>70</v>
      </c>
      <c r="C40" s="119" t="s">
        <v>71</v>
      </c>
      <c r="D40" s="119" t="s">
        <v>72</v>
      </c>
      <c r="E40" s="118" t="s">
        <v>73</v>
      </c>
      <c r="F40" s="118" t="s">
        <v>92</v>
      </c>
    </row>
    <row r="41" spans="1:17">
      <c r="A41" s="118"/>
      <c r="B41" s="117">
        <f t="shared" ref="B41:E41" si="10">SUM(B43,B46)</f>
        <v>0</v>
      </c>
      <c r="C41" s="117">
        <f t="shared" si="10"/>
        <v>0</v>
      </c>
      <c r="D41" s="117">
        <f t="shared" si="10"/>
        <v>0</v>
      </c>
      <c r="E41" s="117">
        <f t="shared" si="10"/>
        <v>0</v>
      </c>
      <c r="F41" s="117">
        <f>SUM(F43,F46)</f>
        <v>0</v>
      </c>
      <c r="I41" s="117"/>
      <c r="J41" s="138" t="s">
        <v>71</v>
      </c>
      <c r="K41" s="138" t="s">
        <v>72</v>
      </c>
      <c r="L41" s="138" t="s">
        <v>73</v>
      </c>
      <c r="M41" s="138" t="s">
        <v>61</v>
      </c>
    </row>
    <row r="42" spans="1:17">
      <c r="A42" s="117"/>
      <c r="B42" s="120"/>
      <c r="C42" s="117"/>
      <c r="D42" s="117"/>
      <c r="E42" s="117"/>
      <c r="F42" s="117"/>
      <c r="I42" s="118" t="s">
        <v>93</v>
      </c>
      <c r="J42" s="118"/>
      <c r="K42" s="118"/>
      <c r="L42" s="118">
        <v>612</v>
      </c>
      <c r="M42" s="118"/>
    </row>
    <row r="43" spans="1:17">
      <c r="A43" s="117" t="s">
        <v>84</v>
      </c>
      <c r="B43" s="120">
        <f>SUM(C43,D43)</f>
        <v>0</v>
      </c>
      <c r="C43" s="117">
        <f>SUM(C17,C31)</f>
        <v>0</v>
      </c>
      <c r="D43" s="117">
        <f>SUM(D17,D31)</f>
        <v>0</v>
      </c>
      <c r="E43" s="117">
        <f>SUM(D43*2)+C43</f>
        <v>0</v>
      </c>
      <c r="F43" s="117">
        <f>SUM(F17,F31)</f>
        <v>0</v>
      </c>
      <c r="I43" s="117"/>
      <c r="J43" s="117"/>
      <c r="K43" s="117"/>
      <c r="L43" s="117"/>
      <c r="M43" s="117"/>
    </row>
    <row r="44" spans="1:17">
      <c r="A44" s="117"/>
      <c r="B44" s="120"/>
      <c r="C44" s="117"/>
      <c r="D44" s="117"/>
      <c r="E44" s="117"/>
      <c r="F44" s="117"/>
      <c r="I44" s="117"/>
      <c r="J44" s="117"/>
      <c r="K44" s="117"/>
      <c r="L44" s="117"/>
      <c r="M44" s="117"/>
    </row>
    <row r="45" spans="1:17">
      <c r="A45" s="117"/>
      <c r="B45" s="120"/>
      <c r="C45" s="117"/>
      <c r="D45" s="117"/>
      <c r="E45" s="117"/>
      <c r="F45" s="117"/>
      <c r="I45" s="118" t="s">
        <v>94</v>
      </c>
      <c r="J45" s="118"/>
      <c r="K45" s="118"/>
      <c r="L45" s="118">
        <v>480</v>
      </c>
      <c r="M45" s="118"/>
    </row>
    <row r="46" spans="1:17">
      <c r="A46" s="122" t="s">
        <v>51</v>
      </c>
      <c r="B46" s="120">
        <f t="shared" ref="B46" si="11">SUM(C46,D46)</f>
        <v>0</v>
      </c>
      <c r="C46" s="117">
        <f t="shared" ref="C46:D46" si="12">SUM(C20,C34)</f>
        <v>0</v>
      </c>
      <c r="D46" s="117">
        <f t="shared" si="12"/>
        <v>0</v>
      </c>
      <c r="E46" s="117">
        <f t="shared" ref="E46" si="13">SUM(D46*2)+C46</f>
        <v>0</v>
      </c>
      <c r="F46" s="117">
        <f t="shared" ref="F46" si="14">SUM(F20,F34)</f>
        <v>0</v>
      </c>
      <c r="I46" s="117"/>
      <c r="J46" s="117"/>
      <c r="K46" s="117"/>
      <c r="L46" s="117"/>
      <c r="M46" s="117"/>
    </row>
    <row r="47" spans="1:17">
      <c r="A47" s="122"/>
      <c r="B47" s="120"/>
      <c r="C47" s="117"/>
      <c r="D47" s="117"/>
      <c r="E47" s="117"/>
      <c r="F47" s="117"/>
      <c r="I47" s="117"/>
      <c r="J47" s="117"/>
      <c r="K47" s="117"/>
      <c r="L47" s="117"/>
      <c r="M47" s="117"/>
    </row>
    <row r="48" spans="1:17">
      <c r="A48" s="122"/>
      <c r="B48" s="120"/>
      <c r="C48" s="117"/>
      <c r="D48" s="117"/>
      <c r="E48" s="117"/>
      <c r="F48" s="117"/>
      <c r="I48" s="118" t="s">
        <v>95</v>
      </c>
      <c r="J48" s="118"/>
      <c r="K48" s="118"/>
      <c r="L48" s="118">
        <v>286</v>
      </c>
      <c r="M48" s="118"/>
    </row>
    <row r="49" spans="1:13">
      <c r="A49" s="122"/>
      <c r="B49" s="120"/>
      <c r="C49" s="117"/>
      <c r="D49" s="117"/>
      <c r="E49" s="117"/>
      <c r="F49" s="117"/>
      <c r="I49" s="117"/>
      <c r="J49" s="117"/>
      <c r="K49" s="117"/>
      <c r="L49" s="117"/>
      <c r="M49" s="117"/>
    </row>
    <row r="50" spans="1:13">
      <c r="A50" s="132" t="s">
        <v>58</v>
      </c>
      <c r="B50" s="132">
        <f>SUM(B30,B41)</f>
        <v>0</v>
      </c>
      <c r="C50" s="132">
        <f>SUM(C30,C41)</f>
        <v>0</v>
      </c>
      <c r="D50" s="132">
        <f>SUM(D30,D41)</f>
        <v>0</v>
      </c>
      <c r="E50" s="132">
        <f>SUM(E30,E41)</f>
        <v>0</v>
      </c>
      <c r="F50" s="132">
        <f>SUM(F30,F41)</f>
        <v>0</v>
      </c>
      <c r="I50" s="117"/>
      <c r="J50" s="117"/>
      <c r="K50" s="117"/>
      <c r="L50" s="117"/>
      <c r="M50" s="117"/>
    </row>
    <row r="51" spans="1:13">
      <c r="I51" s="117"/>
      <c r="J51" s="117"/>
      <c r="K51" s="117"/>
      <c r="L51" s="117"/>
      <c r="M51" s="117"/>
    </row>
    <row r="52" spans="1:13">
      <c r="I52" s="132" t="s">
        <v>58</v>
      </c>
      <c r="J52" s="132">
        <f>SUM(J34,J42,J48)</f>
        <v>0</v>
      </c>
      <c r="K52" s="132">
        <f t="shared" ref="K52:M52" si="15">SUM(K34,K42,K48)</f>
        <v>0</v>
      </c>
      <c r="L52" s="132">
        <f t="shared" si="15"/>
        <v>898</v>
      </c>
      <c r="M52" s="132">
        <f t="shared" si="15"/>
        <v>0</v>
      </c>
    </row>
  </sheetData>
  <mergeCells count="2">
    <mergeCell ref="I5:N5"/>
    <mergeCell ref="O5:S5"/>
  </mergeCells>
  <phoneticPr fontId="5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14:K82"/>
  <sheetViews>
    <sheetView topLeftCell="A65" workbookViewId="0">
      <selection activeCell="G79" sqref="G79:I82"/>
    </sheetView>
  </sheetViews>
  <sheetFormatPr defaultRowHeight="16.5"/>
  <sheetData>
    <row r="14" spans="6:11">
      <c r="F14" t="s">
        <v>542</v>
      </c>
      <c r="G14" t="s">
        <v>116</v>
      </c>
      <c r="H14" t="s">
        <v>37</v>
      </c>
      <c r="I14">
        <v>19</v>
      </c>
      <c r="K14" t="s">
        <v>210</v>
      </c>
    </row>
    <row r="15" spans="6:11">
      <c r="F15" t="s">
        <v>543</v>
      </c>
      <c r="G15" t="s">
        <v>116</v>
      </c>
      <c r="H15" t="s">
        <v>37</v>
      </c>
      <c r="I15">
        <v>25</v>
      </c>
      <c r="K15" t="s">
        <v>534</v>
      </c>
    </row>
    <row r="16" spans="6:11">
      <c r="F16" t="s">
        <v>544</v>
      </c>
      <c r="G16" t="s">
        <v>116</v>
      </c>
      <c r="H16" t="s">
        <v>37</v>
      </c>
      <c r="I16">
        <v>25</v>
      </c>
      <c r="K16" t="s">
        <v>534</v>
      </c>
    </row>
    <row r="17" spans="6:11">
      <c r="F17" t="s">
        <v>545</v>
      </c>
      <c r="G17" t="s">
        <v>116</v>
      </c>
      <c r="H17" t="s">
        <v>31</v>
      </c>
      <c r="I17">
        <v>26</v>
      </c>
      <c r="K17" t="s">
        <v>535</v>
      </c>
    </row>
    <row r="18" spans="6:11">
      <c r="F18" t="s">
        <v>546</v>
      </c>
      <c r="G18" t="s">
        <v>116</v>
      </c>
      <c r="H18" t="s">
        <v>31</v>
      </c>
      <c r="I18">
        <v>26</v>
      </c>
      <c r="K18" t="s">
        <v>535</v>
      </c>
    </row>
    <row r="19" spans="6:11">
      <c r="F19" t="s">
        <v>547</v>
      </c>
      <c r="G19" t="s">
        <v>116</v>
      </c>
      <c r="H19" t="s">
        <v>31</v>
      </c>
      <c r="I19">
        <v>24</v>
      </c>
      <c r="K19" t="s">
        <v>538</v>
      </c>
    </row>
    <row r="20" spans="6:11">
      <c r="F20" t="s">
        <v>548</v>
      </c>
      <c r="G20" t="s">
        <v>116</v>
      </c>
      <c r="H20" t="s">
        <v>31</v>
      </c>
      <c r="I20">
        <v>24</v>
      </c>
      <c r="K20" t="s">
        <v>538</v>
      </c>
    </row>
    <row r="21" spans="6:11">
      <c r="F21" t="s">
        <v>549</v>
      </c>
      <c r="G21" t="s">
        <v>116</v>
      </c>
      <c r="H21" t="s">
        <v>31</v>
      </c>
      <c r="I21">
        <v>24</v>
      </c>
      <c r="K21" t="s">
        <v>538</v>
      </c>
    </row>
    <row r="22" spans="6:11">
      <c r="F22" t="s">
        <v>550</v>
      </c>
      <c r="G22" t="s">
        <v>116</v>
      </c>
      <c r="H22" t="s">
        <v>31</v>
      </c>
      <c r="I22">
        <v>24</v>
      </c>
      <c r="K22" t="s">
        <v>538</v>
      </c>
    </row>
    <row r="23" spans="6:11">
      <c r="F23" t="s">
        <v>551</v>
      </c>
      <c r="G23" t="s">
        <v>116</v>
      </c>
      <c r="H23" t="s">
        <v>31</v>
      </c>
      <c r="I23">
        <v>24</v>
      </c>
      <c r="K23" t="s">
        <v>538</v>
      </c>
    </row>
    <row r="24" spans="6:11">
      <c r="F24" t="s">
        <v>552</v>
      </c>
      <c r="G24" t="s">
        <v>116</v>
      </c>
      <c r="H24" t="s">
        <v>31</v>
      </c>
      <c r="I24">
        <v>24</v>
      </c>
      <c r="K24" t="s">
        <v>538</v>
      </c>
    </row>
    <row r="25" spans="6:11">
      <c r="F25" t="s">
        <v>553</v>
      </c>
      <c r="G25" t="s">
        <v>116</v>
      </c>
      <c r="H25" t="s">
        <v>31</v>
      </c>
      <c r="I25">
        <v>24</v>
      </c>
      <c r="K25" t="s">
        <v>538</v>
      </c>
    </row>
    <row r="26" spans="6:11">
      <c r="F26" t="s">
        <v>554</v>
      </c>
      <c r="G26" t="s">
        <v>116</v>
      </c>
      <c r="H26" t="s">
        <v>31</v>
      </c>
      <c r="I26">
        <v>24</v>
      </c>
      <c r="K26" t="s">
        <v>538</v>
      </c>
    </row>
    <row r="27" spans="6:11">
      <c r="F27" t="s">
        <v>555</v>
      </c>
      <c r="G27" t="s">
        <v>116</v>
      </c>
      <c r="H27" t="s">
        <v>37</v>
      </c>
      <c r="I27">
        <v>24</v>
      </c>
      <c r="K27" t="s">
        <v>538</v>
      </c>
    </row>
    <row r="28" spans="6:11">
      <c r="F28" t="s">
        <v>556</v>
      </c>
      <c r="G28" t="s">
        <v>116</v>
      </c>
      <c r="H28" t="s">
        <v>31</v>
      </c>
      <c r="I28">
        <v>28</v>
      </c>
      <c r="K28" t="s">
        <v>540</v>
      </c>
    </row>
    <row r="29" spans="6:11">
      <c r="F29" t="s">
        <v>557</v>
      </c>
      <c r="G29" t="s">
        <v>116</v>
      </c>
      <c r="H29" t="s">
        <v>31</v>
      </c>
      <c r="I29">
        <v>28</v>
      </c>
      <c r="K29" t="s">
        <v>540</v>
      </c>
    </row>
    <row r="30" spans="6:11">
      <c r="F30" t="s">
        <v>558</v>
      </c>
      <c r="G30" t="s">
        <v>116</v>
      </c>
      <c r="H30" t="s">
        <v>31</v>
      </c>
      <c r="I30">
        <v>28</v>
      </c>
      <c r="K30" t="s">
        <v>540</v>
      </c>
    </row>
    <row r="36" spans="6:11">
      <c r="F36" t="s">
        <v>559</v>
      </c>
      <c r="G36" t="s">
        <v>116</v>
      </c>
      <c r="H36" t="s">
        <v>31</v>
      </c>
      <c r="I36" t="s">
        <v>560</v>
      </c>
      <c r="K36" t="s">
        <v>527</v>
      </c>
    </row>
    <row r="37" spans="6:11">
      <c r="F37" t="s">
        <v>561</v>
      </c>
      <c r="G37" t="s">
        <v>116</v>
      </c>
      <c r="H37" t="s">
        <v>31</v>
      </c>
      <c r="I37" t="s">
        <v>560</v>
      </c>
      <c r="K37" t="s">
        <v>527</v>
      </c>
    </row>
    <row r="38" spans="6:11">
      <c r="F38" t="s">
        <v>562</v>
      </c>
      <c r="G38" t="s">
        <v>116</v>
      </c>
      <c r="H38" t="s">
        <v>31</v>
      </c>
      <c r="I38" t="s">
        <v>560</v>
      </c>
      <c r="K38" t="s">
        <v>527</v>
      </c>
    </row>
    <row r="39" spans="6:11">
      <c r="F39" t="s">
        <v>563</v>
      </c>
      <c r="G39" t="s">
        <v>116</v>
      </c>
      <c r="H39" t="s">
        <v>31</v>
      </c>
      <c r="I39" t="s">
        <v>560</v>
      </c>
      <c r="K39" t="s">
        <v>527</v>
      </c>
    </row>
    <row r="40" spans="6:11">
      <c r="F40" t="s">
        <v>564</v>
      </c>
      <c r="G40" t="s">
        <v>116</v>
      </c>
      <c r="H40" t="s">
        <v>31</v>
      </c>
      <c r="I40" t="s">
        <v>560</v>
      </c>
      <c r="K40" t="s">
        <v>527</v>
      </c>
    </row>
    <row r="41" spans="6:11">
      <c r="F41" t="s">
        <v>565</v>
      </c>
      <c r="G41" t="s">
        <v>116</v>
      </c>
      <c r="H41" t="s">
        <v>31</v>
      </c>
      <c r="I41" t="s">
        <v>560</v>
      </c>
      <c r="K41" t="s">
        <v>527</v>
      </c>
    </row>
    <row r="44" spans="6:11">
      <c r="F44" t="s">
        <v>566</v>
      </c>
      <c r="G44" t="s">
        <v>116</v>
      </c>
      <c r="H44" t="s">
        <v>38</v>
      </c>
      <c r="I44" t="s">
        <v>150</v>
      </c>
      <c r="J44" t="s">
        <v>526</v>
      </c>
      <c r="K44" t="s">
        <v>528</v>
      </c>
    </row>
    <row r="45" spans="6:11">
      <c r="F45" t="s">
        <v>567</v>
      </c>
      <c r="G45" t="s">
        <v>116</v>
      </c>
      <c r="H45" t="s">
        <v>38</v>
      </c>
      <c r="I45" t="s">
        <v>150</v>
      </c>
      <c r="J45" t="s">
        <v>526</v>
      </c>
      <c r="K45" t="s">
        <v>528</v>
      </c>
    </row>
    <row r="46" spans="6:11">
      <c r="F46" t="s">
        <v>568</v>
      </c>
      <c r="G46" t="s">
        <v>116</v>
      </c>
      <c r="H46" t="s">
        <v>38</v>
      </c>
      <c r="I46" t="s">
        <v>150</v>
      </c>
      <c r="J46" t="s">
        <v>526</v>
      </c>
      <c r="K46" t="s">
        <v>528</v>
      </c>
    </row>
    <row r="47" spans="6:11">
      <c r="F47" t="s">
        <v>569</v>
      </c>
      <c r="G47" t="s">
        <v>116</v>
      </c>
      <c r="H47" t="s">
        <v>38</v>
      </c>
      <c r="I47" t="s">
        <v>150</v>
      </c>
      <c r="J47" t="s">
        <v>526</v>
      </c>
      <c r="K47" t="s">
        <v>528</v>
      </c>
    </row>
    <row r="51" spans="6:11">
      <c r="F51" t="s">
        <v>570</v>
      </c>
      <c r="G51" t="s">
        <v>116</v>
      </c>
      <c r="H51" t="s">
        <v>31</v>
      </c>
      <c r="I51">
        <v>26</v>
      </c>
      <c r="K51" t="s">
        <v>215</v>
      </c>
    </row>
    <row r="52" spans="6:11">
      <c r="F52" t="s">
        <v>571</v>
      </c>
      <c r="G52" t="s">
        <v>116</v>
      </c>
      <c r="H52" t="s">
        <v>37</v>
      </c>
      <c r="I52">
        <v>26</v>
      </c>
      <c r="K52" t="s">
        <v>215</v>
      </c>
    </row>
    <row r="53" spans="6:11">
      <c r="F53" t="s">
        <v>572</v>
      </c>
      <c r="G53" t="s">
        <v>116</v>
      </c>
      <c r="H53" t="s">
        <v>37</v>
      </c>
      <c r="I53">
        <v>26</v>
      </c>
      <c r="K53" t="s">
        <v>215</v>
      </c>
    </row>
    <row r="54" spans="6:11">
      <c r="F54" t="s">
        <v>573</v>
      </c>
      <c r="G54" t="s">
        <v>116</v>
      </c>
      <c r="H54" t="s">
        <v>37</v>
      </c>
      <c r="I54">
        <v>26</v>
      </c>
      <c r="K54" t="s">
        <v>215</v>
      </c>
    </row>
    <row r="55" spans="6:11">
      <c r="F55" t="s">
        <v>574</v>
      </c>
      <c r="G55" t="s">
        <v>116</v>
      </c>
      <c r="H55" t="s">
        <v>37</v>
      </c>
      <c r="I55">
        <v>26</v>
      </c>
      <c r="K55" t="s">
        <v>215</v>
      </c>
    </row>
    <row r="56" spans="6:11">
      <c r="F56" t="s">
        <v>575</v>
      </c>
      <c r="G56" t="s">
        <v>116</v>
      </c>
      <c r="H56" t="s">
        <v>31</v>
      </c>
      <c r="I56">
        <v>28</v>
      </c>
      <c r="K56" t="s">
        <v>217</v>
      </c>
    </row>
    <row r="57" spans="6:11">
      <c r="F57" t="s">
        <v>576</v>
      </c>
      <c r="G57" t="s">
        <v>116</v>
      </c>
      <c r="H57" t="s">
        <v>31</v>
      </c>
      <c r="I57">
        <v>28</v>
      </c>
      <c r="K57" t="s">
        <v>217</v>
      </c>
    </row>
    <row r="58" spans="6:11">
      <c r="F58" t="s">
        <v>577</v>
      </c>
      <c r="G58" t="s">
        <v>116</v>
      </c>
      <c r="H58" t="s">
        <v>37</v>
      </c>
      <c r="I58">
        <v>12</v>
      </c>
      <c r="K58" t="s">
        <v>324</v>
      </c>
    </row>
    <row r="59" spans="6:11">
      <c r="F59" t="s">
        <v>578</v>
      </c>
      <c r="G59" t="s">
        <v>116</v>
      </c>
      <c r="H59" t="s">
        <v>37</v>
      </c>
      <c r="I59">
        <v>12</v>
      </c>
      <c r="K59" t="s">
        <v>324</v>
      </c>
    </row>
    <row r="60" spans="6:11">
      <c r="F60" t="s">
        <v>579</v>
      </c>
      <c r="G60" t="s">
        <v>116</v>
      </c>
      <c r="H60" t="s">
        <v>37</v>
      </c>
      <c r="I60">
        <v>12</v>
      </c>
      <c r="K60" t="s">
        <v>324</v>
      </c>
    </row>
    <row r="61" spans="6:11">
      <c r="F61" t="s">
        <v>580</v>
      </c>
      <c r="G61" t="s">
        <v>116</v>
      </c>
      <c r="H61" t="s">
        <v>37</v>
      </c>
      <c r="I61">
        <v>25</v>
      </c>
      <c r="K61" t="s">
        <v>220</v>
      </c>
    </row>
    <row r="62" spans="6:11">
      <c r="F62" t="s">
        <v>581</v>
      </c>
      <c r="G62" t="s">
        <v>116</v>
      </c>
      <c r="H62" t="s">
        <v>38</v>
      </c>
      <c r="I62">
        <v>28</v>
      </c>
      <c r="J62" t="s">
        <v>532</v>
      </c>
      <c r="K62" t="s">
        <v>533</v>
      </c>
    </row>
    <row r="63" spans="6:11">
      <c r="F63" t="s">
        <v>582</v>
      </c>
      <c r="G63" t="s">
        <v>116</v>
      </c>
      <c r="H63" t="s">
        <v>31</v>
      </c>
      <c r="I63">
        <v>6</v>
      </c>
      <c r="K63" t="s">
        <v>536</v>
      </c>
    </row>
    <row r="64" spans="6:11">
      <c r="F64" t="s">
        <v>583</v>
      </c>
      <c r="G64" t="s">
        <v>116</v>
      </c>
      <c r="H64" t="s">
        <v>31</v>
      </c>
      <c r="I64">
        <v>6</v>
      </c>
      <c r="K64" t="s">
        <v>536</v>
      </c>
    </row>
    <row r="65" spans="6:11">
      <c r="F65" t="s">
        <v>584</v>
      </c>
      <c r="G65" t="s">
        <v>116</v>
      </c>
      <c r="H65" t="s">
        <v>38</v>
      </c>
      <c r="I65">
        <v>28</v>
      </c>
      <c r="J65" t="s">
        <v>585</v>
      </c>
      <c r="K65" t="s">
        <v>537</v>
      </c>
    </row>
    <row r="66" spans="6:11">
      <c r="F66" t="s">
        <v>586</v>
      </c>
      <c r="G66" t="s">
        <v>116</v>
      </c>
      <c r="H66" t="s">
        <v>38</v>
      </c>
      <c r="I66">
        <v>28</v>
      </c>
      <c r="J66" t="s">
        <v>585</v>
      </c>
      <c r="K66" t="s">
        <v>537</v>
      </c>
    </row>
    <row r="67" spans="6:11">
      <c r="F67" t="s">
        <v>587</v>
      </c>
      <c r="G67" t="s">
        <v>116</v>
      </c>
      <c r="H67" t="s">
        <v>35</v>
      </c>
      <c r="I67">
        <v>25</v>
      </c>
      <c r="K67" t="s">
        <v>539</v>
      </c>
    </row>
    <row r="68" spans="6:11">
      <c r="F68" t="s">
        <v>588</v>
      </c>
      <c r="G68" t="s">
        <v>116</v>
      </c>
      <c r="H68" t="s">
        <v>31</v>
      </c>
      <c r="I68">
        <v>25</v>
      </c>
      <c r="K68" t="s">
        <v>539</v>
      </c>
    </row>
    <row r="69" spans="6:11">
      <c r="F69" t="s">
        <v>589</v>
      </c>
      <c r="G69" t="s">
        <v>116</v>
      </c>
      <c r="H69" t="s">
        <v>31</v>
      </c>
      <c r="I69">
        <v>25</v>
      </c>
      <c r="K69" t="s">
        <v>539</v>
      </c>
    </row>
    <row r="70" spans="6:11">
      <c r="F70" t="s">
        <v>590</v>
      </c>
      <c r="G70" t="s">
        <v>531</v>
      </c>
      <c r="H70" t="s">
        <v>35</v>
      </c>
      <c r="I70">
        <v>3</v>
      </c>
      <c r="K70" t="s">
        <v>539</v>
      </c>
    </row>
    <row r="71" spans="6:11">
      <c r="F71" t="s">
        <v>591</v>
      </c>
      <c r="G71" t="s">
        <v>116</v>
      </c>
      <c r="H71" t="s">
        <v>37</v>
      </c>
      <c r="I71">
        <v>25</v>
      </c>
      <c r="K71" t="s">
        <v>57</v>
      </c>
    </row>
    <row r="72" spans="6:11">
      <c r="F72" t="s">
        <v>592</v>
      </c>
      <c r="G72" t="s">
        <v>116</v>
      </c>
      <c r="H72" t="s">
        <v>37</v>
      </c>
      <c r="I72">
        <v>25</v>
      </c>
      <c r="K72" t="s">
        <v>57</v>
      </c>
    </row>
    <row r="73" spans="6:11">
      <c r="F73" t="s">
        <v>593</v>
      </c>
      <c r="G73" t="s">
        <v>116</v>
      </c>
      <c r="H73" t="s">
        <v>37</v>
      </c>
      <c r="I73">
        <v>25</v>
      </c>
      <c r="K73" t="s">
        <v>57</v>
      </c>
    </row>
    <row r="74" spans="6:11">
      <c r="F74" t="s">
        <v>594</v>
      </c>
      <c r="G74" t="s">
        <v>116</v>
      </c>
      <c r="H74" t="s">
        <v>31</v>
      </c>
      <c r="I74">
        <v>10</v>
      </c>
      <c r="K74" t="s">
        <v>57</v>
      </c>
    </row>
    <row r="75" spans="6:11">
      <c r="F75" t="s">
        <v>595</v>
      </c>
      <c r="G75" t="s">
        <v>116</v>
      </c>
      <c r="H75" t="s">
        <v>37</v>
      </c>
      <c r="I75">
        <v>25</v>
      </c>
      <c r="K75" t="s">
        <v>57</v>
      </c>
    </row>
    <row r="79" spans="6:11">
      <c r="F79" t="s">
        <v>596</v>
      </c>
      <c r="G79" t="s">
        <v>116</v>
      </c>
      <c r="H79" t="s">
        <v>31</v>
      </c>
      <c r="I79">
        <v>28</v>
      </c>
      <c r="K79" t="s">
        <v>228</v>
      </c>
    </row>
    <row r="80" spans="6:11">
      <c r="F80" t="s">
        <v>597</v>
      </c>
      <c r="G80" t="s">
        <v>116</v>
      </c>
      <c r="H80" t="s">
        <v>31</v>
      </c>
      <c r="I80">
        <v>28</v>
      </c>
      <c r="K80" t="s">
        <v>228</v>
      </c>
    </row>
    <row r="81" spans="6:11">
      <c r="F81" t="s">
        <v>530</v>
      </c>
      <c r="G81" t="s">
        <v>116</v>
      </c>
      <c r="H81" t="s">
        <v>31</v>
      </c>
      <c r="I81">
        <v>28</v>
      </c>
      <c r="K81" t="s">
        <v>228</v>
      </c>
    </row>
    <row r="82" spans="6:11">
      <c r="F82" t="s">
        <v>529</v>
      </c>
      <c r="G82" t="s">
        <v>116</v>
      </c>
      <c r="H82" t="s">
        <v>31</v>
      </c>
      <c r="I82">
        <v>28</v>
      </c>
      <c r="K82" t="s">
        <v>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D33" sqref="D33"/>
    </sheetView>
  </sheetViews>
  <sheetFormatPr defaultRowHeight="16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F4"/>
  <sheetViews>
    <sheetView workbookViewId="0">
      <selection activeCell="F4" sqref="F4"/>
    </sheetView>
  </sheetViews>
  <sheetFormatPr defaultRowHeight="16.5"/>
  <sheetData>
    <row r="4" spans="6:6">
      <c r="F4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6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F6"/>
  <sheetViews>
    <sheetView workbookViewId="0">
      <selection activeCell="F6" sqref="F6"/>
    </sheetView>
  </sheetViews>
  <sheetFormatPr defaultRowHeight="16.5"/>
  <sheetData>
    <row r="6" spans="6:6">
      <c r="F6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5:D8"/>
  <sheetViews>
    <sheetView workbookViewId="0">
      <selection activeCell="E20" sqref="E20"/>
    </sheetView>
  </sheetViews>
  <sheetFormatPr defaultRowHeight="16.5"/>
  <sheetData>
    <row r="5" spans="4:4">
      <c r="D5" t="s">
        <v>83</v>
      </c>
    </row>
    <row r="6" spans="4:4">
      <c r="D6" t="s">
        <v>57</v>
      </c>
    </row>
    <row r="7" spans="4:4">
      <c r="D7" t="s">
        <v>86</v>
      </c>
    </row>
    <row r="8" spans="4:4">
      <c r="D8" t="s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F7:F9"/>
  <sheetViews>
    <sheetView workbookViewId="0">
      <selection activeCell="J14" sqref="J14"/>
    </sheetView>
  </sheetViews>
  <sheetFormatPr defaultRowHeight="16.5"/>
  <sheetData>
    <row r="7" spans="6:6">
      <c r="F7" t="s">
        <v>99</v>
      </c>
    </row>
    <row r="9" spans="6:6">
      <c r="F9" t="s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E5"/>
  <sheetViews>
    <sheetView workbookViewId="0">
      <selection activeCell="E5" sqref="E5"/>
    </sheetView>
  </sheetViews>
  <sheetFormatPr defaultRowHeight="16.5"/>
  <sheetData>
    <row r="5" spans="5:5">
      <c r="E5" t="s">
        <v>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6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E3:I9"/>
  <sheetViews>
    <sheetView workbookViewId="0">
      <selection activeCell="E3" sqref="E3:I9"/>
    </sheetView>
  </sheetViews>
  <sheetFormatPr defaultRowHeight="16.5"/>
  <cols>
    <col min="6" max="6" width="10.875" customWidth="1"/>
    <col min="7" max="7" width="11.875" customWidth="1"/>
    <col min="8" max="8" width="11.625" customWidth="1"/>
    <col min="9" max="9" width="15.25" customWidth="1"/>
  </cols>
  <sheetData>
    <row r="3" spans="5:9">
      <c r="F3" t="s">
        <v>102</v>
      </c>
      <c r="G3" t="s">
        <v>103</v>
      </c>
      <c r="H3" t="s">
        <v>104</v>
      </c>
      <c r="I3" t="s">
        <v>105</v>
      </c>
    </row>
    <row r="4" spans="5:9">
      <c r="E4" t="s">
        <v>86</v>
      </c>
      <c r="F4">
        <v>1111</v>
      </c>
      <c r="G4" s="107">
        <v>93</v>
      </c>
      <c r="I4" s="107"/>
    </row>
    <row r="5" spans="5:9">
      <c r="E5" t="s">
        <v>62</v>
      </c>
      <c r="F5">
        <v>550</v>
      </c>
      <c r="G5" s="107">
        <v>50</v>
      </c>
      <c r="I5" s="107"/>
    </row>
    <row r="6" spans="5:9">
      <c r="E6" t="s">
        <v>88</v>
      </c>
      <c r="F6">
        <v>1372</v>
      </c>
      <c r="G6" s="107">
        <v>97</v>
      </c>
      <c r="I6" s="107"/>
    </row>
    <row r="7" spans="5:9">
      <c r="E7" t="s">
        <v>83</v>
      </c>
      <c r="F7">
        <v>3399</v>
      </c>
      <c r="G7" s="107">
        <v>225</v>
      </c>
      <c r="I7" s="107"/>
    </row>
    <row r="8" spans="5:9">
      <c r="E8" t="s">
        <v>85</v>
      </c>
      <c r="F8">
        <v>3399</v>
      </c>
      <c r="G8" s="107">
        <v>225</v>
      </c>
      <c r="H8">
        <v>3522</v>
      </c>
      <c r="I8" s="107"/>
    </row>
    <row r="9" spans="5:9">
      <c r="E9" t="s">
        <v>106</v>
      </c>
      <c r="F9" s="107">
        <v>2644</v>
      </c>
      <c r="G9" s="107">
        <v>370</v>
      </c>
      <c r="I9" s="107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F5:J10"/>
  <sheetViews>
    <sheetView workbookViewId="0">
      <selection activeCell="G13" sqref="G13"/>
    </sheetView>
  </sheetViews>
  <sheetFormatPr defaultRowHeight="16.5"/>
  <cols>
    <col min="7" max="7" width="12.375" customWidth="1"/>
    <col min="8" max="8" width="14.625" customWidth="1"/>
    <col min="9" max="9" width="14" customWidth="1"/>
    <col min="10" max="10" width="15.375" customWidth="1"/>
  </cols>
  <sheetData>
    <row r="5" spans="6:10">
      <c r="G5" t="s">
        <v>107</v>
      </c>
      <c r="H5" t="s">
        <v>105</v>
      </c>
      <c r="I5" t="s">
        <v>108</v>
      </c>
      <c r="J5" t="s">
        <v>103</v>
      </c>
    </row>
    <row r="6" spans="6:10">
      <c r="F6" t="s">
        <v>86</v>
      </c>
      <c r="G6">
        <v>870</v>
      </c>
      <c r="H6">
        <v>70</v>
      </c>
      <c r="I6">
        <v>1000</v>
      </c>
      <c r="J6">
        <v>70</v>
      </c>
    </row>
    <row r="7" spans="6:10">
      <c r="F7" t="s">
        <v>109</v>
      </c>
      <c r="G7">
        <v>400</v>
      </c>
      <c r="H7">
        <v>23</v>
      </c>
      <c r="I7">
        <v>2250</v>
      </c>
      <c r="J7">
        <v>120</v>
      </c>
    </row>
    <row r="8" spans="6:10">
      <c r="F8" t="s">
        <v>62</v>
      </c>
      <c r="G8">
        <v>420</v>
      </c>
      <c r="H8">
        <v>41</v>
      </c>
      <c r="I8">
        <v>450</v>
      </c>
      <c r="J8">
        <v>40</v>
      </c>
    </row>
    <row r="9" spans="6:10">
      <c r="F9" t="s">
        <v>57</v>
      </c>
      <c r="G9">
        <v>4700</v>
      </c>
      <c r="H9">
        <v>314</v>
      </c>
      <c r="I9">
        <v>4621</v>
      </c>
      <c r="J9">
        <v>302</v>
      </c>
    </row>
    <row r="10" spans="6:10">
      <c r="F10" t="s">
        <v>83</v>
      </c>
      <c r="G10">
        <v>4926</v>
      </c>
      <c r="H10">
        <v>319</v>
      </c>
      <c r="I10">
        <v>4861</v>
      </c>
      <c r="J10">
        <v>315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F6:K16"/>
  <sheetViews>
    <sheetView workbookViewId="0">
      <selection activeCell="H11" sqref="H11"/>
    </sheetView>
  </sheetViews>
  <sheetFormatPr defaultRowHeight="16.5"/>
  <cols>
    <col min="7" max="7" width="10.625" customWidth="1"/>
    <col min="8" max="8" width="11.125" customWidth="1"/>
    <col min="9" max="9" width="13.5" customWidth="1"/>
    <col min="10" max="10" width="15.125" customWidth="1"/>
    <col min="11" max="11" width="11.125" customWidth="1"/>
  </cols>
  <sheetData>
    <row r="6" spans="6:11">
      <c r="G6" s="71" t="s">
        <v>107</v>
      </c>
      <c r="H6" s="71" t="s">
        <v>105</v>
      </c>
      <c r="I6" t="s">
        <v>108</v>
      </c>
      <c r="J6" t="s">
        <v>103</v>
      </c>
    </row>
    <row r="7" spans="6:11">
      <c r="F7" t="s">
        <v>86</v>
      </c>
      <c r="G7" s="64">
        <v>1393</v>
      </c>
      <c r="H7" s="64">
        <v>110</v>
      </c>
      <c r="I7" s="105">
        <v>1400</v>
      </c>
      <c r="J7" s="105">
        <v>100</v>
      </c>
      <c r="K7" s="105" t="s">
        <v>110</v>
      </c>
    </row>
    <row r="8" spans="6:11">
      <c r="F8" t="s">
        <v>88</v>
      </c>
      <c r="G8" s="105">
        <v>780</v>
      </c>
      <c r="H8" s="105">
        <v>40</v>
      </c>
      <c r="I8" s="105">
        <v>2997</v>
      </c>
      <c r="J8" s="105">
        <v>151</v>
      </c>
      <c r="K8" s="105"/>
    </row>
    <row r="9" spans="6:11">
      <c r="F9" t="s">
        <v>57</v>
      </c>
      <c r="G9" s="105">
        <v>4950</v>
      </c>
      <c r="H9" s="105">
        <v>321</v>
      </c>
      <c r="I9" s="105">
        <v>4850</v>
      </c>
      <c r="J9" s="105">
        <v>328</v>
      </c>
      <c r="K9" s="105" t="s">
        <v>111</v>
      </c>
    </row>
    <row r="10" spans="6:11">
      <c r="F10" t="s">
        <v>83</v>
      </c>
      <c r="G10" s="105">
        <v>5200</v>
      </c>
      <c r="H10" s="105">
        <v>347</v>
      </c>
      <c r="I10" s="105">
        <v>5157</v>
      </c>
      <c r="J10" s="105">
        <v>345</v>
      </c>
      <c r="K10" s="105"/>
    </row>
    <row r="11" spans="6:11">
      <c r="F11" t="s">
        <v>62</v>
      </c>
      <c r="G11" s="105">
        <v>545</v>
      </c>
      <c r="H11" s="105">
        <v>46</v>
      </c>
      <c r="I11" s="105">
        <v>500</v>
      </c>
      <c r="J11" s="105">
        <v>50</v>
      </c>
      <c r="K11" s="105" t="s">
        <v>112</v>
      </c>
    </row>
    <row r="12" spans="6:11">
      <c r="F12" t="s">
        <v>106</v>
      </c>
      <c r="G12" s="105">
        <v>40</v>
      </c>
      <c r="H12" s="105">
        <v>16</v>
      </c>
      <c r="I12" s="105">
        <v>2100</v>
      </c>
      <c r="J12" s="105">
        <v>326</v>
      </c>
      <c r="K12" s="105" t="s">
        <v>113</v>
      </c>
    </row>
    <row r="16" spans="6:11">
      <c r="G16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F5:J11"/>
  <sheetViews>
    <sheetView workbookViewId="0">
      <selection activeCell="H13" sqref="H13"/>
    </sheetView>
  </sheetViews>
  <sheetFormatPr defaultRowHeight="16.5"/>
  <cols>
    <col min="7" max="7" width="12.25" customWidth="1"/>
    <col min="8" max="8" width="12.125" customWidth="1"/>
    <col min="9" max="9" width="14.625" customWidth="1"/>
    <col min="10" max="10" width="14.5" customWidth="1"/>
  </cols>
  <sheetData>
    <row r="5" spans="6:10">
      <c r="G5" s="105" t="s">
        <v>107</v>
      </c>
      <c r="H5" s="105" t="s">
        <v>105</v>
      </c>
      <c r="I5" s="105" t="s">
        <v>108</v>
      </c>
      <c r="J5" s="105" t="s">
        <v>103</v>
      </c>
    </row>
    <row r="6" spans="6:10">
      <c r="F6" t="s">
        <v>57</v>
      </c>
      <c r="G6" s="105">
        <v>2435</v>
      </c>
      <c r="H6" s="105">
        <v>157</v>
      </c>
      <c r="I6" s="105">
        <v>2188</v>
      </c>
      <c r="J6" s="105">
        <v>148</v>
      </c>
    </row>
    <row r="7" spans="6:10">
      <c r="F7" t="s">
        <v>83</v>
      </c>
      <c r="G7" s="105">
        <v>2645</v>
      </c>
      <c r="H7" s="105">
        <v>140</v>
      </c>
      <c r="I7" s="105">
        <v>2518</v>
      </c>
      <c r="J7" s="105">
        <v>163</v>
      </c>
    </row>
    <row r="8" spans="6:10">
      <c r="F8" t="s">
        <v>88</v>
      </c>
      <c r="G8" s="105">
        <v>112</v>
      </c>
      <c r="H8" s="105">
        <v>6</v>
      </c>
      <c r="I8" s="105">
        <v>1339</v>
      </c>
      <c r="J8" s="105">
        <v>70</v>
      </c>
    </row>
    <row r="9" spans="6:10">
      <c r="F9" t="s">
        <v>86</v>
      </c>
      <c r="G9" s="105">
        <v>625</v>
      </c>
      <c r="H9" s="105">
        <v>45</v>
      </c>
      <c r="I9" s="105">
        <v>650</v>
      </c>
      <c r="J9" s="105">
        <v>45</v>
      </c>
    </row>
    <row r="10" spans="6:10">
      <c r="F10" t="s">
        <v>62</v>
      </c>
      <c r="G10" s="105">
        <v>300</v>
      </c>
      <c r="H10" s="105">
        <v>22</v>
      </c>
      <c r="I10" s="105">
        <v>300</v>
      </c>
      <c r="J10" s="105">
        <v>24</v>
      </c>
    </row>
    <row r="11" spans="6:10">
      <c r="F11" t="s">
        <v>106</v>
      </c>
      <c r="G11" s="105">
        <v>27</v>
      </c>
      <c r="H11" s="105">
        <v>14</v>
      </c>
      <c r="I11" s="105">
        <v>2505</v>
      </c>
      <c r="J11" s="105">
        <v>260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G5:N20"/>
  <sheetViews>
    <sheetView topLeftCell="A7" workbookViewId="0">
      <selection activeCell="N5" sqref="N5:N20"/>
    </sheetView>
  </sheetViews>
  <sheetFormatPr defaultRowHeight="16.5"/>
  <cols>
    <col min="7" max="7" width="10.625" customWidth="1"/>
    <col min="8" max="8" width="15.875" customWidth="1"/>
    <col min="10" max="10" width="19" customWidth="1"/>
    <col min="11" max="11" width="6.5" customWidth="1"/>
  </cols>
  <sheetData>
    <row r="5" spans="7:14">
      <c r="G5" t="s">
        <v>84</v>
      </c>
      <c r="H5" t="s">
        <v>115</v>
      </c>
      <c r="I5" t="s">
        <v>116</v>
      </c>
      <c r="J5" t="s">
        <v>37</v>
      </c>
      <c r="K5">
        <v>29</v>
      </c>
      <c r="L5" t="s">
        <v>117</v>
      </c>
      <c r="N5" t="s">
        <v>118</v>
      </c>
    </row>
    <row r="6" spans="7:14">
      <c r="G6" t="s">
        <v>84</v>
      </c>
      <c r="H6" t="s">
        <v>119</v>
      </c>
      <c r="I6" t="s">
        <v>116</v>
      </c>
      <c r="J6" t="s">
        <v>37</v>
      </c>
      <c r="K6">
        <v>29</v>
      </c>
      <c r="L6" t="s">
        <v>117</v>
      </c>
      <c r="N6" t="s">
        <v>118</v>
      </c>
    </row>
    <row r="7" spans="7:14">
      <c r="G7" t="s">
        <v>84</v>
      </c>
      <c r="H7" t="s">
        <v>120</v>
      </c>
      <c r="I7" t="s">
        <v>116</v>
      </c>
      <c r="J7" t="s">
        <v>37</v>
      </c>
      <c r="K7">
        <v>29</v>
      </c>
      <c r="L7" t="s">
        <v>117</v>
      </c>
      <c r="N7" t="s">
        <v>118</v>
      </c>
    </row>
    <row r="8" spans="7:14">
      <c r="G8" t="s">
        <v>84</v>
      </c>
      <c r="H8" t="s">
        <v>121</v>
      </c>
      <c r="I8" t="s">
        <v>116</v>
      </c>
      <c r="J8" t="s">
        <v>37</v>
      </c>
      <c r="K8">
        <v>29</v>
      </c>
      <c r="L8" t="s">
        <v>117</v>
      </c>
      <c r="N8" t="s">
        <v>118</v>
      </c>
    </row>
    <row r="9" spans="7:14">
      <c r="G9" t="s">
        <v>84</v>
      </c>
      <c r="H9" t="s">
        <v>122</v>
      </c>
      <c r="I9" t="s">
        <v>116</v>
      </c>
      <c r="J9" t="s">
        <v>37</v>
      </c>
      <c r="K9">
        <v>29</v>
      </c>
      <c r="L9" t="s">
        <v>117</v>
      </c>
      <c r="N9" t="s">
        <v>118</v>
      </c>
    </row>
    <row r="10" spans="7:14">
      <c r="G10" t="s">
        <v>84</v>
      </c>
      <c r="H10" t="s">
        <v>123</v>
      </c>
      <c r="I10" t="s">
        <v>116</v>
      </c>
      <c r="J10" t="s">
        <v>37</v>
      </c>
      <c r="K10">
        <v>29</v>
      </c>
      <c r="L10" t="s">
        <v>117</v>
      </c>
      <c r="N10" t="s">
        <v>118</v>
      </c>
    </row>
    <row r="11" spans="7:14">
      <c r="G11" t="s">
        <v>84</v>
      </c>
      <c r="H11" t="s">
        <v>124</v>
      </c>
      <c r="I11" t="s">
        <v>116</v>
      </c>
      <c r="J11" t="s">
        <v>37</v>
      </c>
      <c r="K11">
        <v>29</v>
      </c>
      <c r="L11" t="s">
        <v>117</v>
      </c>
      <c r="N11" t="s">
        <v>118</v>
      </c>
    </row>
    <row r="12" spans="7:14">
      <c r="G12" t="s">
        <v>84</v>
      </c>
      <c r="H12" t="s">
        <v>125</v>
      </c>
      <c r="I12" t="s">
        <v>116</v>
      </c>
      <c r="J12" t="s">
        <v>37</v>
      </c>
      <c r="K12">
        <v>29</v>
      </c>
      <c r="L12" t="s">
        <v>117</v>
      </c>
      <c r="N12" t="s">
        <v>118</v>
      </c>
    </row>
    <row r="13" spans="7:14">
      <c r="G13" t="s">
        <v>84</v>
      </c>
      <c r="H13" t="s">
        <v>126</v>
      </c>
      <c r="I13" t="s">
        <v>116</v>
      </c>
      <c r="J13" t="s">
        <v>37</v>
      </c>
      <c r="K13">
        <v>29</v>
      </c>
      <c r="L13" t="s">
        <v>117</v>
      </c>
      <c r="N13" t="s">
        <v>118</v>
      </c>
    </row>
    <row r="14" spans="7:14">
      <c r="G14" t="s">
        <v>84</v>
      </c>
      <c r="H14" t="s">
        <v>127</v>
      </c>
      <c r="I14" t="s">
        <v>116</v>
      </c>
      <c r="J14" t="s">
        <v>37</v>
      </c>
      <c r="K14">
        <v>29</v>
      </c>
      <c r="L14" t="s">
        <v>117</v>
      </c>
      <c r="N14" t="s">
        <v>118</v>
      </c>
    </row>
    <row r="15" spans="7:14">
      <c r="G15" t="s">
        <v>84</v>
      </c>
      <c r="H15" t="s">
        <v>128</v>
      </c>
      <c r="I15" t="s">
        <v>116</v>
      </c>
      <c r="J15" t="s">
        <v>37</v>
      </c>
      <c r="K15">
        <v>29</v>
      </c>
      <c r="L15" t="s">
        <v>117</v>
      </c>
      <c r="N15" t="s">
        <v>118</v>
      </c>
    </row>
    <row r="16" spans="7:14">
      <c r="G16" t="s">
        <v>84</v>
      </c>
      <c r="H16" t="s">
        <v>129</v>
      </c>
      <c r="I16" t="s">
        <v>116</v>
      </c>
      <c r="J16" t="s">
        <v>37</v>
      </c>
      <c r="K16">
        <v>29</v>
      </c>
      <c r="L16" t="s">
        <v>117</v>
      </c>
      <c r="N16" t="s">
        <v>118</v>
      </c>
    </row>
    <row r="17" spans="7:14">
      <c r="G17" t="s">
        <v>84</v>
      </c>
      <c r="H17" t="s">
        <v>130</v>
      </c>
      <c r="I17" t="s">
        <v>116</v>
      </c>
      <c r="J17" t="s">
        <v>31</v>
      </c>
      <c r="K17">
        <v>17</v>
      </c>
      <c r="L17" t="s">
        <v>117</v>
      </c>
      <c r="N17" t="s">
        <v>118</v>
      </c>
    </row>
    <row r="18" spans="7:14">
      <c r="G18" t="s">
        <v>84</v>
      </c>
      <c r="H18" t="s">
        <v>131</v>
      </c>
      <c r="I18" t="s">
        <v>116</v>
      </c>
      <c r="J18" t="s">
        <v>37</v>
      </c>
      <c r="K18">
        <v>29</v>
      </c>
      <c r="L18" t="s">
        <v>117</v>
      </c>
      <c r="N18" t="s">
        <v>118</v>
      </c>
    </row>
    <row r="19" spans="7:14">
      <c r="G19" t="s">
        <v>84</v>
      </c>
      <c r="H19" t="s">
        <v>132</v>
      </c>
      <c r="I19" t="s">
        <v>116</v>
      </c>
      <c r="J19" t="s">
        <v>37</v>
      </c>
      <c r="K19">
        <v>29</v>
      </c>
      <c r="L19" t="s">
        <v>117</v>
      </c>
      <c r="N19" t="s">
        <v>118</v>
      </c>
    </row>
    <row r="20" spans="7:14">
      <c r="G20" t="s">
        <v>84</v>
      </c>
      <c r="H20" t="s">
        <v>133</v>
      </c>
      <c r="I20" t="s">
        <v>116</v>
      </c>
      <c r="J20" t="s">
        <v>37</v>
      </c>
      <c r="K20">
        <v>29</v>
      </c>
      <c r="L20" t="s">
        <v>117</v>
      </c>
      <c r="N20" t="s">
        <v>118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E6:E7"/>
  <sheetViews>
    <sheetView workbookViewId="0">
      <selection activeCell="G8" sqref="G8"/>
    </sheetView>
  </sheetViews>
  <sheetFormatPr defaultRowHeight="16.5"/>
  <cols>
    <col min="5" max="5" width="13.875" customWidth="1"/>
    <col min="6" max="7" width="15.125" customWidth="1"/>
  </cols>
  <sheetData>
    <row r="6" spans="5:5">
      <c r="E6" t="s">
        <v>134</v>
      </c>
    </row>
    <row r="7" spans="5:5">
      <c r="E7" t="s">
        <v>135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E2:I18"/>
  <sheetViews>
    <sheetView workbookViewId="0">
      <selection activeCell="H7" sqref="H7"/>
    </sheetView>
  </sheetViews>
  <sheetFormatPr defaultRowHeight="16.5"/>
  <cols>
    <col min="6" max="6" width="31.625" customWidth="1"/>
    <col min="7" max="7" width="20.5" customWidth="1"/>
    <col min="8" max="8" width="12.625" customWidth="1"/>
    <col min="9" max="9" width="14.875" customWidth="1"/>
    <col min="10" max="10" width="17.5" customWidth="1"/>
  </cols>
  <sheetData>
    <row r="2" spans="5:9">
      <c r="E2" s="105"/>
      <c r="F2" s="105" t="s">
        <v>108</v>
      </c>
      <c r="G2" s="105" t="s">
        <v>103</v>
      </c>
      <c r="H2" s="105" t="s">
        <v>107</v>
      </c>
      <c r="I2" s="105" t="s">
        <v>105</v>
      </c>
    </row>
    <row r="3" spans="5:9">
      <c r="E3" s="64" t="s">
        <v>57</v>
      </c>
      <c r="F3" s="105">
        <v>5130</v>
      </c>
      <c r="G3" s="105">
        <v>324</v>
      </c>
      <c r="H3" s="105">
        <v>5255</v>
      </c>
      <c r="I3" s="105">
        <v>329</v>
      </c>
    </row>
    <row r="4" spans="5:9">
      <c r="E4" s="64" t="s">
        <v>83</v>
      </c>
      <c r="F4" s="105">
        <v>4930</v>
      </c>
      <c r="G4" s="105">
        <v>324</v>
      </c>
      <c r="H4" s="105"/>
      <c r="I4" s="105">
        <v>334</v>
      </c>
    </row>
    <row r="5" spans="5:9">
      <c r="E5" s="64" t="s">
        <v>62</v>
      </c>
      <c r="F5" s="105">
        <v>500</v>
      </c>
      <c r="G5" s="105">
        <v>40</v>
      </c>
      <c r="H5" s="105">
        <v>520</v>
      </c>
      <c r="I5" s="105">
        <v>37</v>
      </c>
    </row>
    <row r="6" spans="5:9">
      <c r="E6" s="64" t="s">
        <v>86</v>
      </c>
      <c r="F6" s="105">
        <v>1200</v>
      </c>
      <c r="G6" s="105">
        <v>72</v>
      </c>
      <c r="H6" s="105">
        <v>1227</v>
      </c>
      <c r="I6" s="105">
        <v>80</v>
      </c>
    </row>
    <row r="7" spans="5:9">
      <c r="E7" s="64" t="s">
        <v>88</v>
      </c>
      <c r="F7" s="105">
        <v>2454</v>
      </c>
      <c r="G7" s="105">
        <v>126</v>
      </c>
      <c r="H7" s="105">
        <v>610</v>
      </c>
      <c r="I7" s="105">
        <v>45</v>
      </c>
    </row>
    <row r="8" spans="5:9">
      <c r="E8" s="64" t="s">
        <v>106</v>
      </c>
      <c r="F8" s="105">
        <v>1886</v>
      </c>
      <c r="G8" s="105">
        <v>415</v>
      </c>
      <c r="H8" s="105">
        <v>57</v>
      </c>
      <c r="I8" s="105">
        <v>30</v>
      </c>
    </row>
    <row r="9" spans="5:9">
      <c r="E9" s="71"/>
    </row>
    <row r="12" spans="5:9">
      <c r="F12" s="71" t="s">
        <v>136</v>
      </c>
    </row>
    <row r="18" spans="7:7">
      <c r="G18">
        <v>4540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G8:G11"/>
  <sheetViews>
    <sheetView workbookViewId="0">
      <selection activeCell="G12" sqref="G12"/>
    </sheetView>
  </sheetViews>
  <sheetFormatPr defaultRowHeight="16.5"/>
  <cols>
    <col min="7" max="7" width="45.625" customWidth="1"/>
    <col min="9" max="9" width="27.25" customWidth="1"/>
  </cols>
  <sheetData>
    <row r="8" spans="7:7">
      <c r="G8" t="s">
        <v>137</v>
      </c>
    </row>
    <row r="11" spans="7:7">
      <c r="G11" t="s">
        <v>138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F7"/>
  <sheetViews>
    <sheetView workbookViewId="0">
      <selection activeCell="F7" sqref="F7"/>
    </sheetView>
  </sheetViews>
  <sheetFormatPr defaultRowHeight="16.5"/>
  <sheetData>
    <row r="7" spans="6:6">
      <c r="F7" t="s">
        <v>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G4:L15"/>
  <sheetViews>
    <sheetView workbookViewId="0">
      <selection activeCell="D12" sqref="D12"/>
    </sheetView>
  </sheetViews>
  <sheetFormatPr defaultRowHeight="16.5"/>
  <cols>
    <col min="7" max="7" width="21" customWidth="1"/>
  </cols>
  <sheetData>
    <row r="4" spans="7:12">
      <c r="G4" t="s">
        <v>139</v>
      </c>
      <c r="H4" t="s">
        <v>116</v>
      </c>
      <c r="I4" t="s">
        <v>31</v>
      </c>
      <c r="J4" t="s">
        <v>140</v>
      </c>
      <c r="L4" t="s">
        <v>141</v>
      </c>
    </row>
    <row r="5" spans="7:12">
      <c r="G5" t="s">
        <v>142</v>
      </c>
      <c r="H5" t="s">
        <v>31</v>
      </c>
      <c r="I5" t="s">
        <v>143</v>
      </c>
      <c r="K5" t="s">
        <v>141</v>
      </c>
    </row>
    <row r="6" spans="7:12">
      <c r="G6" t="s">
        <v>144</v>
      </c>
      <c r="H6" t="s">
        <v>116</v>
      </c>
      <c r="I6" t="s">
        <v>37</v>
      </c>
      <c r="J6" t="s">
        <v>145</v>
      </c>
      <c r="L6" t="s">
        <v>141</v>
      </c>
    </row>
    <row r="7" spans="7:12">
      <c r="G7" t="s">
        <v>146</v>
      </c>
      <c r="H7" t="s">
        <v>116</v>
      </c>
      <c r="I7" t="s">
        <v>37</v>
      </c>
      <c r="J7" t="s">
        <v>147</v>
      </c>
      <c r="L7" t="s">
        <v>148</v>
      </c>
    </row>
    <row r="8" spans="7:12">
      <c r="G8" t="s">
        <v>149</v>
      </c>
      <c r="H8" t="s">
        <v>116</v>
      </c>
      <c r="I8" t="s">
        <v>37</v>
      </c>
      <c r="J8" t="s">
        <v>150</v>
      </c>
      <c r="L8" t="s">
        <v>151</v>
      </c>
    </row>
    <row r="9" spans="7:12">
      <c r="G9" t="s">
        <v>152</v>
      </c>
      <c r="H9" t="s">
        <v>116</v>
      </c>
      <c r="I9" t="s">
        <v>37</v>
      </c>
      <c r="J9" t="s">
        <v>153</v>
      </c>
      <c r="L9" t="s">
        <v>154</v>
      </c>
    </row>
    <row r="10" spans="7:12">
      <c r="G10" t="s">
        <v>155</v>
      </c>
      <c r="H10" t="s">
        <v>116</v>
      </c>
      <c r="I10" t="s">
        <v>37</v>
      </c>
      <c r="J10" t="s">
        <v>156</v>
      </c>
      <c r="L10" t="s">
        <v>157</v>
      </c>
    </row>
    <row r="11" spans="7:12">
      <c r="G11" t="s">
        <v>158</v>
      </c>
      <c r="H11" t="s">
        <v>116</v>
      </c>
      <c r="I11" t="s">
        <v>31</v>
      </c>
      <c r="J11" t="s">
        <v>159</v>
      </c>
      <c r="L11" t="s">
        <v>160</v>
      </c>
    </row>
    <row r="12" spans="7:12">
      <c r="G12" t="s">
        <v>161</v>
      </c>
      <c r="H12" t="s">
        <v>116</v>
      </c>
      <c r="I12" t="s">
        <v>31</v>
      </c>
      <c r="J12" t="s">
        <v>162</v>
      </c>
      <c r="L12" t="s">
        <v>163</v>
      </c>
    </row>
    <row r="13" spans="7:12">
      <c r="G13" t="s">
        <v>164</v>
      </c>
      <c r="H13" t="s">
        <v>116</v>
      </c>
      <c r="I13" t="s">
        <v>31</v>
      </c>
      <c r="J13" t="s">
        <v>165</v>
      </c>
      <c r="L13" t="s">
        <v>166</v>
      </c>
    </row>
    <row r="14" spans="7:12">
      <c r="G14" t="s">
        <v>167</v>
      </c>
      <c r="H14" t="s">
        <v>116</v>
      </c>
      <c r="I14" t="s">
        <v>31</v>
      </c>
      <c r="J14" t="s">
        <v>168</v>
      </c>
      <c r="L14" t="s">
        <v>169</v>
      </c>
    </row>
    <row r="15" spans="7:12">
      <c r="G15" t="s">
        <v>170</v>
      </c>
      <c r="H15" t="s">
        <v>37</v>
      </c>
      <c r="I15" t="s">
        <v>171</v>
      </c>
      <c r="K15" t="s">
        <v>172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D3:D136"/>
  <sheetViews>
    <sheetView topLeftCell="A119" workbookViewId="0">
      <selection activeCell="D3" sqref="D3:D136"/>
    </sheetView>
  </sheetViews>
  <sheetFormatPr defaultRowHeight="16.5"/>
  <sheetData>
    <row r="3" spans="4:4">
      <c r="D3" t="s">
        <v>173</v>
      </c>
    </row>
    <row r="4" spans="4:4">
      <c r="D4" t="s">
        <v>174</v>
      </c>
    </row>
    <row r="5" spans="4:4">
      <c r="D5" t="s">
        <v>175</v>
      </c>
    </row>
    <row r="6" spans="4:4">
      <c r="D6" t="s">
        <v>176</v>
      </c>
    </row>
    <row r="7" spans="4:4">
      <c r="D7" t="s">
        <v>177</v>
      </c>
    </row>
    <row r="8" spans="4:4">
      <c r="D8" t="s">
        <v>178</v>
      </c>
    </row>
    <row r="9" spans="4:4">
      <c r="D9" t="s">
        <v>169</v>
      </c>
    </row>
    <row r="10" spans="4:4">
      <c r="D10" t="s">
        <v>179</v>
      </c>
    </row>
    <row r="11" spans="4:4">
      <c r="D11" t="s">
        <v>180</v>
      </c>
    </row>
    <row r="12" spans="4:4">
      <c r="D12" t="s">
        <v>181</v>
      </c>
    </row>
    <row r="13" spans="4:4">
      <c r="D13" t="s">
        <v>182</v>
      </c>
    </row>
    <row r="14" spans="4:4">
      <c r="D14" t="s">
        <v>151</v>
      </c>
    </row>
    <row r="15" spans="4:4">
      <c r="D15" t="s">
        <v>183</v>
      </c>
    </row>
    <row r="16" spans="4:4">
      <c r="D16" t="s">
        <v>154</v>
      </c>
    </row>
    <row r="17" spans="4:4">
      <c r="D17" t="s">
        <v>184</v>
      </c>
    </row>
    <row r="18" spans="4:4">
      <c r="D18" t="s">
        <v>185</v>
      </c>
    </row>
    <row r="19" spans="4:4">
      <c r="D19" t="s">
        <v>186</v>
      </c>
    </row>
    <row r="20" spans="4:4">
      <c r="D20" t="s">
        <v>172</v>
      </c>
    </row>
    <row r="21" spans="4:4">
      <c r="D21" t="s">
        <v>187</v>
      </c>
    </row>
    <row r="22" spans="4:4">
      <c r="D22" t="s">
        <v>188</v>
      </c>
    </row>
    <row r="23" spans="4:4">
      <c r="D23" t="s">
        <v>189</v>
      </c>
    </row>
    <row r="24" spans="4:4">
      <c r="D24" t="s">
        <v>141</v>
      </c>
    </row>
    <row r="25" spans="4:4">
      <c r="D25" t="s">
        <v>157</v>
      </c>
    </row>
    <row r="26" spans="4:4">
      <c r="D26" t="s">
        <v>190</v>
      </c>
    </row>
    <row r="27" spans="4:4">
      <c r="D27" t="s">
        <v>191</v>
      </c>
    </row>
    <row r="28" spans="4:4">
      <c r="D28" t="s">
        <v>192</v>
      </c>
    </row>
    <row r="29" spans="4:4">
      <c r="D29" t="s">
        <v>193</v>
      </c>
    </row>
    <row r="30" spans="4:4">
      <c r="D30" t="s">
        <v>194</v>
      </c>
    </row>
    <row r="31" spans="4:4">
      <c r="D31" t="s">
        <v>195</v>
      </c>
    </row>
    <row r="32" spans="4:4">
      <c r="D32" t="s">
        <v>196</v>
      </c>
    </row>
    <row r="33" spans="4:4">
      <c r="D33" t="s">
        <v>166</v>
      </c>
    </row>
    <row r="34" spans="4:4">
      <c r="D34" t="s">
        <v>197</v>
      </c>
    </row>
    <row r="35" spans="4:4">
      <c r="D35" t="s">
        <v>198</v>
      </c>
    </row>
    <row r="36" spans="4:4">
      <c r="D36" t="s">
        <v>199</v>
      </c>
    </row>
    <row r="37" spans="4:4">
      <c r="D37" t="s">
        <v>200</v>
      </c>
    </row>
    <row r="38" spans="4:4">
      <c r="D38" t="s">
        <v>201</v>
      </c>
    </row>
    <row r="39" spans="4:4">
      <c r="D39" t="s">
        <v>163</v>
      </c>
    </row>
    <row r="40" spans="4:4">
      <c r="D40" t="s">
        <v>160</v>
      </c>
    </row>
    <row r="41" spans="4:4">
      <c r="D41" t="s">
        <v>202</v>
      </c>
    </row>
    <row r="42" spans="4:4">
      <c r="D42" t="s">
        <v>203</v>
      </c>
    </row>
    <row r="43" spans="4:4">
      <c r="D43" t="s">
        <v>204</v>
      </c>
    </row>
    <row r="44" spans="4:4">
      <c r="D44" t="s">
        <v>205</v>
      </c>
    </row>
    <row r="45" spans="4:4">
      <c r="D45" t="s">
        <v>206</v>
      </c>
    </row>
    <row r="46" spans="4:4">
      <c r="D46" t="s">
        <v>207</v>
      </c>
    </row>
    <row r="47" spans="4:4">
      <c r="D47" t="s">
        <v>208</v>
      </c>
    </row>
    <row r="48" spans="4:4">
      <c r="D48" t="s">
        <v>209</v>
      </c>
    </row>
    <row r="49" spans="4:4">
      <c r="D49" t="s">
        <v>210</v>
      </c>
    </row>
    <row r="50" spans="4:4">
      <c r="D50" t="s">
        <v>211</v>
      </c>
    </row>
    <row r="51" spans="4:4">
      <c r="D51" t="s">
        <v>212</v>
      </c>
    </row>
    <row r="52" spans="4:4">
      <c r="D52" t="s">
        <v>213</v>
      </c>
    </row>
    <row r="53" spans="4:4">
      <c r="D53" t="s">
        <v>214</v>
      </c>
    </row>
    <row r="54" spans="4:4">
      <c r="D54" t="s">
        <v>215</v>
      </c>
    </row>
    <row r="55" spans="4:4">
      <c r="D55" t="s">
        <v>216</v>
      </c>
    </row>
    <row r="56" spans="4:4">
      <c r="D56" t="s">
        <v>217</v>
      </c>
    </row>
    <row r="57" spans="4:4">
      <c r="D57" t="s">
        <v>218</v>
      </c>
    </row>
    <row r="58" spans="4:4">
      <c r="D58" t="s">
        <v>219</v>
      </c>
    </row>
    <row r="59" spans="4:4">
      <c r="D59" t="s">
        <v>220</v>
      </c>
    </row>
    <row r="60" spans="4:4">
      <c r="D60" t="s">
        <v>221</v>
      </c>
    </row>
    <row r="61" spans="4:4">
      <c r="D61" t="s">
        <v>222</v>
      </c>
    </row>
    <row r="62" spans="4:4">
      <c r="D62" t="s">
        <v>223</v>
      </c>
    </row>
    <row r="63" spans="4:4">
      <c r="D63" t="s">
        <v>224</v>
      </c>
    </row>
    <row r="64" spans="4:4">
      <c r="D64" t="s">
        <v>225</v>
      </c>
    </row>
    <row r="65" spans="4:4">
      <c r="D65" t="s">
        <v>226</v>
      </c>
    </row>
    <row r="66" spans="4:4">
      <c r="D66" t="s">
        <v>227</v>
      </c>
    </row>
    <row r="67" spans="4:4">
      <c r="D67" t="s">
        <v>228</v>
      </c>
    </row>
    <row r="68" spans="4:4">
      <c r="D68" t="s">
        <v>229</v>
      </c>
    </row>
    <row r="69" spans="4:4">
      <c r="D69" t="s">
        <v>230</v>
      </c>
    </row>
    <row r="70" spans="4:4">
      <c r="D70" t="s">
        <v>231</v>
      </c>
    </row>
    <row r="71" spans="4:4">
      <c r="D71" t="s">
        <v>232</v>
      </c>
    </row>
    <row r="72" spans="4:4">
      <c r="D72" t="s">
        <v>233</v>
      </c>
    </row>
    <row r="73" spans="4:4">
      <c r="D73" t="s">
        <v>234</v>
      </c>
    </row>
    <row r="74" spans="4:4">
      <c r="D74" t="s">
        <v>235</v>
      </c>
    </row>
    <row r="75" spans="4:4">
      <c r="D75" t="s">
        <v>236</v>
      </c>
    </row>
    <row r="76" spans="4:4">
      <c r="D76" t="s">
        <v>237</v>
      </c>
    </row>
    <row r="77" spans="4:4">
      <c r="D77" t="s">
        <v>238</v>
      </c>
    </row>
    <row r="78" spans="4:4">
      <c r="D78" t="s">
        <v>239</v>
      </c>
    </row>
    <row r="79" spans="4:4">
      <c r="D79" t="s">
        <v>240</v>
      </c>
    </row>
    <row r="80" spans="4:4">
      <c r="D80" t="s">
        <v>241</v>
      </c>
    </row>
    <row r="81" spans="4:4">
      <c r="D81" t="s">
        <v>242</v>
      </c>
    </row>
    <row r="82" spans="4:4">
      <c r="D82" t="s">
        <v>243</v>
      </c>
    </row>
    <row r="83" spans="4:4">
      <c r="D83" t="s">
        <v>244</v>
      </c>
    </row>
    <row r="84" spans="4:4">
      <c r="D84" t="s">
        <v>245</v>
      </c>
    </row>
    <row r="85" spans="4:4">
      <c r="D85" t="s">
        <v>246</v>
      </c>
    </row>
    <row r="86" spans="4:4">
      <c r="D86" t="s">
        <v>247</v>
      </c>
    </row>
    <row r="87" spans="4:4">
      <c r="D87" t="s">
        <v>248</v>
      </c>
    </row>
    <row r="88" spans="4:4">
      <c r="D88" t="s">
        <v>249</v>
      </c>
    </row>
    <row r="89" spans="4:4">
      <c r="D89" t="s">
        <v>250</v>
      </c>
    </row>
    <row r="90" spans="4:4">
      <c r="D90" t="s">
        <v>251</v>
      </c>
    </row>
    <row r="91" spans="4:4">
      <c r="D91" t="s">
        <v>252</v>
      </c>
    </row>
    <row r="92" spans="4:4">
      <c r="D92" t="s">
        <v>253</v>
      </c>
    </row>
    <row r="93" spans="4:4">
      <c r="D93" t="s">
        <v>254</v>
      </c>
    </row>
    <row r="94" spans="4:4">
      <c r="D94" t="s">
        <v>255</v>
      </c>
    </row>
    <row r="95" spans="4:4">
      <c r="D95" t="s">
        <v>256</v>
      </c>
    </row>
    <row r="96" spans="4:4">
      <c r="D96" t="s">
        <v>257</v>
      </c>
    </row>
    <row r="97" spans="4:4">
      <c r="D97" t="s">
        <v>258</v>
      </c>
    </row>
    <row r="98" spans="4:4">
      <c r="D98" t="s">
        <v>259</v>
      </c>
    </row>
    <row r="99" spans="4:4">
      <c r="D99" t="s">
        <v>260</v>
      </c>
    </row>
    <row r="100" spans="4:4">
      <c r="D100" t="s">
        <v>261</v>
      </c>
    </row>
    <row r="101" spans="4:4">
      <c r="D101" t="s">
        <v>262</v>
      </c>
    </row>
    <row r="102" spans="4:4">
      <c r="D102" t="s">
        <v>263</v>
      </c>
    </row>
    <row r="103" spans="4:4">
      <c r="D103" t="s">
        <v>264</v>
      </c>
    </row>
    <row r="104" spans="4:4">
      <c r="D104" t="s">
        <v>265</v>
      </c>
    </row>
    <row r="105" spans="4:4">
      <c r="D105" t="s">
        <v>266</v>
      </c>
    </row>
    <row r="106" spans="4:4">
      <c r="D106" t="s">
        <v>267</v>
      </c>
    </row>
    <row r="107" spans="4:4">
      <c r="D107" t="s">
        <v>268</v>
      </c>
    </row>
    <row r="108" spans="4:4">
      <c r="D108" t="s">
        <v>269</v>
      </c>
    </row>
    <row r="109" spans="4:4">
      <c r="D109" t="s">
        <v>270</v>
      </c>
    </row>
    <row r="110" spans="4:4">
      <c r="D110" t="s">
        <v>271</v>
      </c>
    </row>
    <row r="111" spans="4:4">
      <c r="D111" t="s">
        <v>272</v>
      </c>
    </row>
    <row r="112" spans="4:4">
      <c r="D112" t="s">
        <v>273</v>
      </c>
    </row>
    <row r="113" spans="4:4">
      <c r="D113" t="s">
        <v>274</v>
      </c>
    </row>
    <row r="114" spans="4:4">
      <c r="D114" t="s">
        <v>275</v>
      </c>
    </row>
    <row r="115" spans="4:4">
      <c r="D115" t="s">
        <v>276</v>
      </c>
    </row>
    <row r="116" spans="4:4">
      <c r="D116" t="s">
        <v>277</v>
      </c>
    </row>
    <row r="117" spans="4:4">
      <c r="D117" t="s">
        <v>278</v>
      </c>
    </row>
    <row r="118" spans="4:4">
      <c r="D118" t="s">
        <v>279</v>
      </c>
    </row>
    <row r="119" spans="4:4">
      <c r="D119" t="s">
        <v>280</v>
      </c>
    </row>
    <row r="120" spans="4:4">
      <c r="D120" t="s">
        <v>281</v>
      </c>
    </row>
    <row r="121" spans="4:4">
      <c r="D121" t="s">
        <v>282</v>
      </c>
    </row>
    <row r="122" spans="4:4">
      <c r="D122" t="s">
        <v>283</v>
      </c>
    </row>
    <row r="123" spans="4:4">
      <c r="D123" t="s">
        <v>284</v>
      </c>
    </row>
    <row r="124" spans="4:4">
      <c r="D124" t="s">
        <v>285</v>
      </c>
    </row>
    <row r="125" spans="4:4">
      <c r="D125" t="s">
        <v>286</v>
      </c>
    </row>
    <row r="126" spans="4:4">
      <c r="D126" t="s">
        <v>287</v>
      </c>
    </row>
    <row r="127" spans="4:4">
      <c r="D127" t="s">
        <v>288</v>
      </c>
    </row>
    <row r="128" spans="4:4">
      <c r="D128" t="s">
        <v>289</v>
      </c>
    </row>
    <row r="129" spans="4:4">
      <c r="D129" t="s">
        <v>290</v>
      </c>
    </row>
    <row r="130" spans="4:4">
      <c r="D130" t="s">
        <v>291</v>
      </c>
    </row>
    <row r="131" spans="4:4">
      <c r="D131" t="s">
        <v>292</v>
      </c>
    </row>
    <row r="132" spans="4:4">
      <c r="D132" t="s">
        <v>293</v>
      </c>
    </row>
    <row r="133" spans="4:4">
      <c r="D133" t="s">
        <v>294</v>
      </c>
    </row>
    <row r="134" spans="4:4">
      <c r="D134" t="s">
        <v>295</v>
      </c>
    </row>
    <row r="135" spans="4:4">
      <c r="D135" t="s">
        <v>296</v>
      </c>
    </row>
    <row r="136" spans="4:4">
      <c r="D136" t="s">
        <v>297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D2:N151"/>
  <sheetViews>
    <sheetView topLeftCell="A124" workbookViewId="0">
      <selection activeCell="N118" sqref="N118:N136"/>
    </sheetView>
  </sheetViews>
  <sheetFormatPr defaultRowHeight="16.5"/>
  <sheetData>
    <row r="2" spans="4:4">
      <c r="D2" t="s">
        <v>169</v>
      </c>
    </row>
    <row r="3" spans="4:4">
      <c r="D3" t="s">
        <v>178</v>
      </c>
    </row>
    <row r="4" spans="4:4">
      <c r="D4" t="s">
        <v>141</v>
      </c>
    </row>
    <row r="5" spans="4:4">
      <c r="D5" t="s">
        <v>181</v>
      </c>
    </row>
    <row r="6" spans="4:4">
      <c r="D6" t="s">
        <v>298</v>
      </c>
    </row>
    <row r="7" spans="4:4">
      <c r="D7" t="s">
        <v>299</v>
      </c>
    </row>
    <row r="8" spans="4:4">
      <c r="D8" t="s">
        <v>212</v>
      </c>
    </row>
    <row r="9" spans="4:4">
      <c r="D9" t="s">
        <v>154</v>
      </c>
    </row>
    <row r="10" spans="4:4">
      <c r="D10" t="s">
        <v>148</v>
      </c>
    </row>
    <row r="11" spans="4:4">
      <c r="D11" t="s">
        <v>188</v>
      </c>
    </row>
    <row r="12" spans="4:4">
      <c r="D12" t="s">
        <v>300</v>
      </c>
    </row>
    <row r="13" spans="4:4">
      <c r="D13" t="s">
        <v>187</v>
      </c>
    </row>
    <row r="14" spans="4:4">
      <c r="D14" t="s">
        <v>192</v>
      </c>
    </row>
    <row r="15" spans="4:4">
      <c r="D15" t="s">
        <v>191</v>
      </c>
    </row>
    <row r="16" spans="4:4">
      <c r="D16" t="s">
        <v>301</v>
      </c>
    </row>
    <row r="17" spans="4:4">
      <c r="D17" t="s">
        <v>157</v>
      </c>
    </row>
    <row r="18" spans="4:4">
      <c r="D18" t="s">
        <v>302</v>
      </c>
    </row>
    <row r="19" spans="4:4">
      <c r="D19" t="s">
        <v>197</v>
      </c>
    </row>
    <row r="20" spans="4:4">
      <c r="D20" t="s">
        <v>166</v>
      </c>
    </row>
    <row r="21" spans="4:4">
      <c r="D21" t="s">
        <v>199</v>
      </c>
    </row>
    <row r="22" spans="4:4">
      <c r="D22" t="s">
        <v>245</v>
      </c>
    </row>
    <row r="23" spans="4:4">
      <c r="D23" t="s">
        <v>303</v>
      </c>
    </row>
    <row r="24" spans="4:4">
      <c r="D24" t="s">
        <v>304</v>
      </c>
    </row>
    <row r="25" spans="4:4">
      <c r="D25" t="s">
        <v>160</v>
      </c>
    </row>
    <row r="26" spans="4:4">
      <c r="D26" t="s">
        <v>242</v>
      </c>
    </row>
    <row r="27" spans="4:4">
      <c r="D27" t="s">
        <v>305</v>
      </c>
    </row>
    <row r="28" spans="4:4">
      <c r="D28" t="s">
        <v>306</v>
      </c>
    </row>
    <row r="29" spans="4:4">
      <c r="D29" t="s">
        <v>307</v>
      </c>
    </row>
    <row r="30" spans="4:4">
      <c r="D30" t="s">
        <v>308</v>
      </c>
    </row>
    <row r="31" spans="4:4">
      <c r="D31" t="s">
        <v>309</v>
      </c>
    </row>
    <row r="32" spans="4:4">
      <c r="D32" t="s">
        <v>310</v>
      </c>
    </row>
    <row r="33" spans="4:4">
      <c r="D33" t="s">
        <v>311</v>
      </c>
    </row>
    <row r="34" spans="4:4">
      <c r="D34" t="s">
        <v>312</v>
      </c>
    </row>
    <row r="35" spans="4:4">
      <c r="D35" t="s">
        <v>313</v>
      </c>
    </row>
    <row r="36" spans="4:4">
      <c r="D36" t="s">
        <v>201</v>
      </c>
    </row>
    <row r="37" spans="4:4">
      <c r="D37" t="s">
        <v>314</v>
      </c>
    </row>
    <row r="38" spans="4:4">
      <c r="D38" t="s">
        <v>208</v>
      </c>
    </row>
    <row r="39" spans="4:4">
      <c r="D39" t="s">
        <v>315</v>
      </c>
    </row>
    <row r="40" spans="4:4">
      <c r="D40" t="s">
        <v>316</v>
      </c>
    </row>
    <row r="41" spans="4:4">
      <c r="D41" t="s">
        <v>317</v>
      </c>
    </row>
    <row r="42" spans="4:4">
      <c r="D42" t="s">
        <v>318</v>
      </c>
    </row>
    <row r="43" spans="4:4">
      <c r="D43" t="s">
        <v>210</v>
      </c>
    </row>
    <row r="44" spans="4:4">
      <c r="D44" t="s">
        <v>211</v>
      </c>
    </row>
    <row r="45" spans="4:4">
      <c r="D45" t="s">
        <v>213</v>
      </c>
    </row>
    <row r="46" spans="4:4">
      <c r="D46" t="s">
        <v>215</v>
      </c>
    </row>
    <row r="47" spans="4:4">
      <c r="D47" t="s">
        <v>319</v>
      </c>
    </row>
    <row r="48" spans="4:4">
      <c r="D48" t="s">
        <v>219</v>
      </c>
    </row>
    <row r="49" spans="4:4">
      <c r="D49" t="s">
        <v>218</v>
      </c>
    </row>
    <row r="50" spans="4:4">
      <c r="D50" t="s">
        <v>220</v>
      </c>
    </row>
    <row r="51" spans="4:4">
      <c r="D51" t="s">
        <v>320</v>
      </c>
    </row>
    <row r="52" spans="4:4">
      <c r="D52" t="s">
        <v>233</v>
      </c>
    </row>
    <row r="53" spans="4:4">
      <c r="D53" t="s">
        <v>321</v>
      </c>
    </row>
    <row r="54" spans="4:4">
      <c r="D54" t="s">
        <v>234</v>
      </c>
    </row>
    <row r="55" spans="4:4">
      <c r="D55" t="s">
        <v>322</v>
      </c>
    </row>
    <row r="56" spans="4:4">
      <c r="D56" t="s">
        <v>323</v>
      </c>
    </row>
    <row r="57" spans="4:4">
      <c r="D57" t="s">
        <v>324</v>
      </c>
    </row>
    <row r="58" spans="4:4">
      <c r="D58" t="s">
        <v>325</v>
      </c>
    </row>
    <row r="59" spans="4:4">
      <c r="D59" t="s">
        <v>326</v>
      </c>
    </row>
    <row r="60" spans="4:4">
      <c r="D60" t="s">
        <v>327</v>
      </c>
    </row>
    <row r="61" spans="4:4">
      <c r="D61" t="s">
        <v>328</v>
      </c>
    </row>
    <row r="62" spans="4:4">
      <c r="D62" t="s">
        <v>329</v>
      </c>
    </row>
    <row r="63" spans="4:4">
      <c r="D63" t="s">
        <v>330</v>
      </c>
    </row>
    <row r="64" spans="4:4">
      <c r="D64" t="s">
        <v>232</v>
      </c>
    </row>
    <row r="65" spans="4:4">
      <c r="D65" t="s">
        <v>217</v>
      </c>
    </row>
    <row r="66" spans="4:4">
      <c r="D66" t="s">
        <v>331</v>
      </c>
    </row>
    <row r="67" spans="4:4">
      <c r="D67" t="s">
        <v>332</v>
      </c>
    </row>
    <row r="68" spans="4:4">
      <c r="D68" t="s">
        <v>333</v>
      </c>
    </row>
    <row r="69" spans="4:4">
      <c r="D69" t="s">
        <v>334</v>
      </c>
    </row>
    <row r="70" spans="4:4">
      <c r="D70" t="s">
        <v>235</v>
      </c>
    </row>
    <row r="71" spans="4:4">
      <c r="D71" t="s">
        <v>335</v>
      </c>
    </row>
    <row r="72" spans="4:4">
      <c r="D72" t="s">
        <v>222</v>
      </c>
    </row>
    <row r="73" spans="4:4">
      <c r="D73" t="s">
        <v>230</v>
      </c>
    </row>
    <row r="74" spans="4:4">
      <c r="D74" t="s">
        <v>229</v>
      </c>
    </row>
    <row r="75" spans="4:4">
      <c r="D75" t="s">
        <v>228</v>
      </c>
    </row>
    <row r="76" spans="4:4">
      <c r="D76" t="s">
        <v>231</v>
      </c>
    </row>
    <row r="77" spans="4:4">
      <c r="D77" t="s">
        <v>336</v>
      </c>
    </row>
    <row r="78" spans="4:4">
      <c r="D78" t="s">
        <v>62</v>
      </c>
    </row>
    <row r="79" spans="4:4">
      <c r="D79" t="s">
        <v>200</v>
      </c>
    </row>
    <row r="80" spans="4:4">
      <c r="D80" t="s">
        <v>198</v>
      </c>
    </row>
    <row r="81" spans="4:4">
      <c r="D81" t="s">
        <v>337</v>
      </c>
    </row>
    <row r="82" spans="4:4">
      <c r="D82" t="s">
        <v>338</v>
      </c>
    </row>
    <row r="83" spans="4:4">
      <c r="D83" t="s">
        <v>339</v>
      </c>
    </row>
    <row r="84" spans="4:4">
      <c r="D84" t="s">
        <v>340</v>
      </c>
    </row>
    <row r="85" spans="4:4">
      <c r="D85" t="s">
        <v>341</v>
      </c>
    </row>
    <row r="86" spans="4:4">
      <c r="D86" t="s">
        <v>177</v>
      </c>
    </row>
    <row r="87" spans="4:4">
      <c r="D87" t="s">
        <v>224</v>
      </c>
    </row>
    <row r="88" spans="4:4">
      <c r="D88" t="s">
        <v>225</v>
      </c>
    </row>
    <row r="89" spans="4:4">
      <c r="D89" t="s">
        <v>342</v>
      </c>
    </row>
    <row r="90" spans="4:4">
      <c r="D90" t="s">
        <v>343</v>
      </c>
    </row>
    <row r="91" spans="4:4">
      <c r="D91" t="s">
        <v>344</v>
      </c>
    </row>
    <row r="92" spans="4:4">
      <c r="D92" t="s">
        <v>227</v>
      </c>
    </row>
    <row r="93" spans="4:4">
      <c r="D93" t="s">
        <v>345</v>
      </c>
    </row>
    <row r="94" spans="4:4">
      <c r="D94" t="s">
        <v>238</v>
      </c>
    </row>
    <row r="95" spans="4:4">
      <c r="D95" t="s">
        <v>346</v>
      </c>
    </row>
    <row r="96" spans="4:4">
      <c r="D96" t="s">
        <v>240</v>
      </c>
    </row>
    <row r="97" spans="4:4">
      <c r="D97" t="s">
        <v>241</v>
      </c>
    </row>
    <row r="98" spans="4:4">
      <c r="D98" t="s">
        <v>243</v>
      </c>
    </row>
    <row r="99" spans="4:4">
      <c r="D99" t="s">
        <v>244</v>
      </c>
    </row>
    <row r="100" spans="4:4">
      <c r="D100" t="s">
        <v>347</v>
      </c>
    </row>
    <row r="101" spans="4:4">
      <c r="D101" t="s">
        <v>348</v>
      </c>
    </row>
    <row r="102" spans="4:4">
      <c r="D102" t="s">
        <v>247</v>
      </c>
    </row>
    <row r="103" spans="4:4">
      <c r="D103" t="s">
        <v>250</v>
      </c>
    </row>
    <row r="104" spans="4:4">
      <c r="D104" t="s">
        <v>349</v>
      </c>
    </row>
    <row r="105" spans="4:4">
      <c r="D105" t="s">
        <v>350</v>
      </c>
    </row>
    <row r="106" spans="4:4">
      <c r="D106" t="s">
        <v>351</v>
      </c>
    </row>
    <row r="107" spans="4:4">
      <c r="D107" t="s">
        <v>214</v>
      </c>
    </row>
    <row r="108" spans="4:4">
      <c r="D108" t="s">
        <v>173</v>
      </c>
    </row>
    <row r="109" spans="4:4">
      <c r="D109" t="s">
        <v>352</v>
      </c>
    </row>
    <row r="110" spans="4:4">
      <c r="D110" t="s">
        <v>353</v>
      </c>
    </row>
    <row r="111" spans="4:4">
      <c r="D111" t="s">
        <v>354</v>
      </c>
    </row>
    <row r="112" spans="4:4">
      <c r="D112" t="s">
        <v>281</v>
      </c>
    </row>
    <row r="113" spans="4:14">
      <c r="D113" t="s">
        <v>282</v>
      </c>
    </row>
    <row r="114" spans="4:14">
      <c r="D114" t="s">
        <v>355</v>
      </c>
    </row>
    <row r="115" spans="4:14">
      <c r="D115" t="s">
        <v>287</v>
      </c>
    </row>
    <row r="116" spans="4:14">
      <c r="D116" t="s">
        <v>283</v>
      </c>
    </row>
    <row r="117" spans="4:14">
      <c r="D117" t="s">
        <v>356</v>
      </c>
    </row>
    <row r="118" spans="4:14">
      <c r="D118" t="s">
        <v>285</v>
      </c>
      <c r="N118" t="s">
        <v>357</v>
      </c>
    </row>
    <row r="119" spans="4:14">
      <c r="D119" t="s">
        <v>288</v>
      </c>
      <c r="N119" t="s">
        <v>358</v>
      </c>
    </row>
    <row r="120" spans="4:14">
      <c r="D120" t="s">
        <v>289</v>
      </c>
      <c r="N120" t="s">
        <v>359</v>
      </c>
    </row>
    <row r="121" spans="4:14">
      <c r="D121" t="s">
        <v>290</v>
      </c>
      <c r="N121" t="s">
        <v>360</v>
      </c>
    </row>
    <row r="122" spans="4:14">
      <c r="D122" t="s">
        <v>291</v>
      </c>
      <c r="N122" t="s">
        <v>361</v>
      </c>
    </row>
    <row r="123" spans="4:14">
      <c r="D123" t="s">
        <v>362</v>
      </c>
      <c r="N123" t="s">
        <v>363</v>
      </c>
    </row>
    <row r="124" spans="4:14">
      <c r="D124" t="s">
        <v>364</v>
      </c>
      <c r="N124" t="s">
        <v>365</v>
      </c>
    </row>
    <row r="125" spans="4:14">
      <c r="D125" t="s">
        <v>253</v>
      </c>
      <c r="N125" t="s">
        <v>366</v>
      </c>
    </row>
    <row r="126" spans="4:14">
      <c r="D126" t="s">
        <v>367</v>
      </c>
      <c r="N126" t="s">
        <v>368</v>
      </c>
    </row>
    <row r="127" spans="4:14">
      <c r="D127" t="s">
        <v>268</v>
      </c>
      <c r="N127" t="s">
        <v>369</v>
      </c>
    </row>
    <row r="128" spans="4:14">
      <c r="D128" t="s">
        <v>270</v>
      </c>
      <c r="N128" t="s">
        <v>370</v>
      </c>
    </row>
    <row r="129" spans="4:14">
      <c r="D129" t="s">
        <v>277</v>
      </c>
      <c r="N129" t="s">
        <v>371</v>
      </c>
    </row>
    <row r="130" spans="4:14">
      <c r="D130" t="s">
        <v>271</v>
      </c>
      <c r="N130" t="s">
        <v>372</v>
      </c>
    </row>
    <row r="131" spans="4:14">
      <c r="D131" t="s">
        <v>279</v>
      </c>
      <c r="N131" t="s">
        <v>373</v>
      </c>
    </row>
    <row r="132" spans="4:14">
      <c r="D132" t="s">
        <v>273</v>
      </c>
      <c r="N132" t="s">
        <v>57</v>
      </c>
    </row>
    <row r="133" spans="4:14">
      <c r="D133" t="s">
        <v>374</v>
      </c>
      <c r="J133" t="s">
        <v>357</v>
      </c>
      <c r="N133" t="s">
        <v>375</v>
      </c>
    </row>
    <row r="134" spans="4:14">
      <c r="D134" t="s">
        <v>274</v>
      </c>
      <c r="J134" t="s">
        <v>358</v>
      </c>
      <c r="N134" t="s">
        <v>376</v>
      </c>
    </row>
    <row r="135" spans="4:14">
      <c r="D135" t="s">
        <v>278</v>
      </c>
      <c r="J135" t="s">
        <v>312</v>
      </c>
      <c r="N135" t="s">
        <v>377</v>
      </c>
    </row>
    <row r="136" spans="4:14">
      <c r="D136" t="s">
        <v>378</v>
      </c>
      <c r="J136" t="s">
        <v>360</v>
      </c>
      <c r="N136" t="s">
        <v>379</v>
      </c>
    </row>
    <row r="137" spans="4:14">
      <c r="D137" t="s">
        <v>380</v>
      </c>
      <c r="J137" t="s">
        <v>361</v>
      </c>
    </row>
    <row r="138" spans="4:14">
      <c r="D138" t="s">
        <v>272</v>
      </c>
      <c r="J138" t="s">
        <v>363</v>
      </c>
    </row>
    <row r="139" spans="4:14">
      <c r="D139" t="s">
        <v>381</v>
      </c>
      <c r="J139" t="s">
        <v>365</v>
      </c>
    </row>
    <row r="140" spans="4:14">
      <c r="D140" t="s">
        <v>382</v>
      </c>
      <c r="J140" t="s">
        <v>366</v>
      </c>
    </row>
    <row r="141" spans="4:14">
      <c r="D141" t="s">
        <v>174</v>
      </c>
      <c r="J141" t="s">
        <v>317</v>
      </c>
    </row>
    <row r="142" spans="4:14">
      <c r="D142" t="s">
        <v>269</v>
      </c>
      <c r="J142" t="s">
        <v>369</v>
      </c>
    </row>
    <row r="143" spans="4:14">
      <c r="D143" t="s">
        <v>383</v>
      </c>
      <c r="J143" t="s">
        <v>370</v>
      </c>
    </row>
    <row r="144" spans="4:14">
      <c r="D144" t="s">
        <v>256</v>
      </c>
      <c r="J144" t="s">
        <v>371</v>
      </c>
    </row>
    <row r="145" spans="4:10">
      <c r="D145" t="s">
        <v>258</v>
      </c>
      <c r="J145" t="s">
        <v>372</v>
      </c>
    </row>
    <row r="146" spans="4:10">
      <c r="D146" t="s">
        <v>259</v>
      </c>
      <c r="J146" t="s">
        <v>373</v>
      </c>
    </row>
    <row r="147" spans="4:10">
      <c r="D147" t="s">
        <v>267</v>
      </c>
      <c r="J147" t="s">
        <v>57</v>
      </c>
    </row>
    <row r="148" spans="4:10">
      <c r="D148" t="s">
        <v>261</v>
      </c>
      <c r="J148" t="s">
        <v>316</v>
      </c>
    </row>
    <row r="149" spans="4:10">
      <c r="J149" t="s">
        <v>376</v>
      </c>
    </row>
    <row r="150" spans="4:10">
      <c r="J150" t="s">
        <v>377</v>
      </c>
    </row>
    <row r="151" spans="4:10">
      <c r="J151" t="s">
        <v>379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F4:Q28"/>
  <sheetViews>
    <sheetView topLeftCell="A7" workbookViewId="0">
      <selection activeCell="F5" sqref="F5:Q28"/>
    </sheetView>
  </sheetViews>
  <sheetFormatPr defaultRowHeight="16.5"/>
  <cols>
    <col min="8" max="8" width="15.375" customWidth="1"/>
    <col min="13" max="15" width="0" hidden="1" customWidth="1"/>
  </cols>
  <sheetData>
    <row r="4" spans="6:17" ht="17.25" thickBot="1"/>
    <row r="5" spans="6:17" ht="17.25" thickBot="1">
      <c r="F5" s="92" t="s">
        <v>384</v>
      </c>
      <c r="G5" s="93" t="s">
        <v>385</v>
      </c>
      <c r="H5" s="93" t="s">
        <v>386</v>
      </c>
      <c r="I5" s="94" t="s">
        <v>387</v>
      </c>
      <c r="J5" s="93" t="s">
        <v>388</v>
      </c>
      <c r="K5" s="93" t="s">
        <v>16</v>
      </c>
      <c r="L5" s="93" t="s">
        <v>389</v>
      </c>
      <c r="M5" s="95" t="s">
        <v>390</v>
      </c>
      <c r="N5" s="95" t="s">
        <v>391</v>
      </c>
      <c r="O5" s="95" t="s">
        <v>392</v>
      </c>
      <c r="P5" s="95" t="s">
        <v>393</v>
      </c>
      <c r="Q5" s="93"/>
    </row>
    <row r="6" spans="6:17" ht="17.25" thickBot="1">
      <c r="F6" s="96">
        <v>1</v>
      </c>
      <c r="G6" s="97" t="s">
        <v>52</v>
      </c>
      <c r="H6" s="98" t="s">
        <v>394</v>
      </c>
      <c r="I6" s="97">
        <v>20</v>
      </c>
      <c r="J6" s="97" t="s">
        <v>395</v>
      </c>
      <c r="K6" s="99" t="s">
        <v>84</v>
      </c>
      <c r="L6" s="97" t="s">
        <v>396</v>
      </c>
      <c r="M6" s="100"/>
      <c r="N6" s="101" t="s">
        <v>397</v>
      </c>
      <c r="O6" s="101" t="s">
        <v>397</v>
      </c>
      <c r="P6" s="101" t="s">
        <v>116</v>
      </c>
      <c r="Q6" s="102">
        <v>650</v>
      </c>
    </row>
    <row r="7" spans="6:17" ht="17.25" thickBot="1">
      <c r="F7" s="96">
        <v>2</v>
      </c>
      <c r="G7" s="97" t="s">
        <v>52</v>
      </c>
      <c r="H7" s="98" t="s">
        <v>398</v>
      </c>
      <c r="I7" s="97">
        <v>20</v>
      </c>
      <c r="J7" s="97" t="s">
        <v>395</v>
      </c>
      <c r="K7" s="99" t="s">
        <v>84</v>
      </c>
      <c r="L7" s="97" t="s">
        <v>396</v>
      </c>
      <c r="M7" s="100"/>
      <c r="N7" s="101" t="s">
        <v>399</v>
      </c>
      <c r="O7" s="101" t="s">
        <v>399</v>
      </c>
      <c r="P7" s="101" t="s">
        <v>116</v>
      </c>
      <c r="Q7" s="102">
        <v>1000</v>
      </c>
    </row>
    <row r="8" spans="6:17" ht="17.25" thickBot="1">
      <c r="F8" s="96">
        <v>3</v>
      </c>
      <c r="G8" s="97" t="s">
        <v>52</v>
      </c>
      <c r="H8" s="98" t="s">
        <v>400</v>
      </c>
      <c r="I8" s="97">
        <v>20</v>
      </c>
      <c r="J8" s="97" t="s">
        <v>395</v>
      </c>
      <c r="K8" s="99" t="s">
        <v>84</v>
      </c>
      <c r="L8" s="97" t="s">
        <v>396</v>
      </c>
      <c r="M8" s="100"/>
      <c r="N8" s="101" t="s">
        <v>401</v>
      </c>
      <c r="O8" s="101" t="s">
        <v>401</v>
      </c>
      <c r="P8" s="101" t="s">
        <v>116</v>
      </c>
      <c r="Q8" s="102">
        <v>380</v>
      </c>
    </row>
    <row r="9" spans="6:17" ht="17.25" thickBot="1">
      <c r="F9" s="96">
        <v>4</v>
      </c>
      <c r="G9" s="97" t="s">
        <v>52</v>
      </c>
      <c r="H9" s="98" t="s">
        <v>402</v>
      </c>
      <c r="I9" s="97">
        <v>20</v>
      </c>
      <c r="J9" s="97" t="s">
        <v>395</v>
      </c>
      <c r="K9" s="99" t="s">
        <v>84</v>
      </c>
      <c r="L9" s="97" t="s">
        <v>396</v>
      </c>
      <c r="M9" s="100"/>
      <c r="N9" s="101" t="s">
        <v>403</v>
      </c>
      <c r="O9" s="101" t="s">
        <v>403</v>
      </c>
      <c r="P9" s="101" t="s">
        <v>116</v>
      </c>
      <c r="Q9" s="102">
        <v>790</v>
      </c>
    </row>
    <row r="10" spans="6:17" ht="17.25" thickBot="1">
      <c r="F10" s="96">
        <v>5</v>
      </c>
      <c r="G10" s="97" t="s">
        <v>52</v>
      </c>
      <c r="H10" s="98" t="s">
        <v>404</v>
      </c>
      <c r="I10" s="97">
        <v>40</v>
      </c>
      <c r="J10" s="97" t="s">
        <v>405</v>
      </c>
      <c r="K10" s="99" t="s">
        <v>84</v>
      </c>
      <c r="L10" s="97" t="s">
        <v>396</v>
      </c>
      <c r="M10" s="100"/>
      <c r="N10" s="101" t="s">
        <v>406</v>
      </c>
      <c r="O10" s="101" t="s">
        <v>406</v>
      </c>
      <c r="P10" s="101" t="s">
        <v>116</v>
      </c>
      <c r="Q10" s="102">
        <v>1450</v>
      </c>
    </row>
    <row r="11" spans="6:17" ht="17.25" thickBot="1">
      <c r="F11" s="96">
        <v>6</v>
      </c>
      <c r="G11" s="97" t="s">
        <v>52</v>
      </c>
      <c r="H11" s="98" t="s">
        <v>407</v>
      </c>
      <c r="I11" s="97">
        <v>40</v>
      </c>
      <c r="J11" s="97" t="s">
        <v>405</v>
      </c>
      <c r="K11" s="99" t="s">
        <v>84</v>
      </c>
      <c r="L11" s="97" t="s">
        <v>396</v>
      </c>
      <c r="M11" s="100"/>
      <c r="N11" s="101" t="s">
        <v>408</v>
      </c>
      <c r="O11" s="101" t="s">
        <v>408</v>
      </c>
      <c r="P11" s="101" t="s">
        <v>116</v>
      </c>
      <c r="Q11" s="102">
        <v>910</v>
      </c>
    </row>
    <row r="12" spans="6:17" ht="17.25" thickBot="1">
      <c r="F12" s="96">
        <v>7</v>
      </c>
      <c r="G12" s="97" t="s">
        <v>52</v>
      </c>
      <c r="H12" s="98" t="s">
        <v>409</v>
      </c>
      <c r="I12" s="97">
        <v>20</v>
      </c>
      <c r="J12" s="97" t="s">
        <v>395</v>
      </c>
      <c r="K12" s="99" t="s">
        <v>51</v>
      </c>
      <c r="L12" s="97" t="s">
        <v>410</v>
      </c>
      <c r="M12" s="100"/>
      <c r="N12" s="101" t="s">
        <v>403</v>
      </c>
      <c r="O12" s="101" t="s">
        <v>403</v>
      </c>
      <c r="P12" s="101" t="s">
        <v>116</v>
      </c>
      <c r="Q12" s="102">
        <v>790</v>
      </c>
    </row>
    <row r="13" spans="6:17" ht="17.25" thickBot="1">
      <c r="F13" s="96">
        <v>8</v>
      </c>
      <c r="G13" s="97" t="s">
        <v>52</v>
      </c>
      <c r="H13" s="98" t="s">
        <v>411</v>
      </c>
      <c r="I13" s="97">
        <v>20</v>
      </c>
      <c r="J13" s="97" t="s">
        <v>395</v>
      </c>
      <c r="K13" s="99" t="s">
        <v>51</v>
      </c>
      <c r="L13" s="97" t="s">
        <v>412</v>
      </c>
      <c r="M13" s="100"/>
      <c r="N13" s="101" t="s">
        <v>397</v>
      </c>
      <c r="O13" s="101" t="s">
        <v>397</v>
      </c>
      <c r="P13" s="101" t="s">
        <v>116</v>
      </c>
      <c r="Q13" s="102">
        <v>620</v>
      </c>
    </row>
    <row r="14" spans="6:17" ht="17.25" thickBot="1">
      <c r="F14" s="96">
        <v>9</v>
      </c>
      <c r="G14" s="97" t="s">
        <v>52</v>
      </c>
      <c r="H14" s="98" t="s">
        <v>413</v>
      </c>
      <c r="I14" s="97">
        <v>20</v>
      </c>
      <c r="J14" s="97" t="s">
        <v>395</v>
      </c>
      <c r="K14" s="99" t="s">
        <v>51</v>
      </c>
      <c r="L14" s="97" t="s">
        <v>410</v>
      </c>
      <c r="M14" s="100"/>
      <c r="N14" s="101" t="s">
        <v>403</v>
      </c>
      <c r="O14" s="101" t="s">
        <v>403</v>
      </c>
      <c r="P14" s="101" t="s">
        <v>116</v>
      </c>
      <c r="Q14" s="102">
        <v>830</v>
      </c>
    </row>
    <row r="15" spans="6:17" ht="17.25" thickBot="1">
      <c r="F15" s="96">
        <v>10</v>
      </c>
      <c r="G15" s="97" t="s">
        <v>52</v>
      </c>
      <c r="H15" s="98" t="s">
        <v>414</v>
      </c>
      <c r="I15" s="97">
        <v>20</v>
      </c>
      <c r="J15" s="97" t="s">
        <v>395</v>
      </c>
      <c r="K15" s="99" t="s">
        <v>51</v>
      </c>
      <c r="L15" s="97" t="s">
        <v>412</v>
      </c>
      <c r="M15" s="100"/>
      <c r="N15" s="101" t="s">
        <v>415</v>
      </c>
      <c r="O15" s="101" t="s">
        <v>415</v>
      </c>
      <c r="P15" s="101" t="s">
        <v>116</v>
      </c>
      <c r="Q15" s="102">
        <v>760</v>
      </c>
    </row>
    <row r="16" spans="6:17" ht="17.25" thickBot="1">
      <c r="F16" s="96">
        <v>11</v>
      </c>
      <c r="G16" s="97" t="s">
        <v>52</v>
      </c>
      <c r="H16" s="98" t="s">
        <v>416</v>
      </c>
      <c r="I16" s="97">
        <v>40</v>
      </c>
      <c r="J16" s="97" t="s">
        <v>405</v>
      </c>
      <c r="K16" s="99" t="s">
        <v>51</v>
      </c>
      <c r="L16" s="97" t="s">
        <v>410</v>
      </c>
      <c r="M16" s="100"/>
      <c r="N16" s="101" t="s">
        <v>417</v>
      </c>
      <c r="O16" s="101" t="s">
        <v>417</v>
      </c>
      <c r="P16" s="101" t="s">
        <v>116</v>
      </c>
      <c r="Q16" s="102">
        <v>190</v>
      </c>
    </row>
    <row r="17" spans="6:17" ht="17.25" thickBot="1">
      <c r="F17" s="96">
        <v>12</v>
      </c>
      <c r="G17" s="97" t="s">
        <v>52</v>
      </c>
      <c r="H17" s="98" t="s">
        <v>418</v>
      </c>
      <c r="I17" s="97">
        <v>40</v>
      </c>
      <c r="J17" s="97" t="s">
        <v>419</v>
      </c>
      <c r="K17" s="99" t="s">
        <v>51</v>
      </c>
      <c r="L17" s="97" t="s">
        <v>410</v>
      </c>
      <c r="M17" s="100"/>
      <c r="N17" s="101" t="s">
        <v>406</v>
      </c>
      <c r="O17" s="101" t="s">
        <v>406</v>
      </c>
      <c r="P17" s="101" t="s">
        <v>116</v>
      </c>
      <c r="Q17" s="102">
        <v>40</v>
      </c>
    </row>
    <row r="18" spans="6:17" ht="17.25" thickBot="1">
      <c r="F18" s="96">
        <v>13</v>
      </c>
      <c r="G18" s="97" t="s">
        <v>52</v>
      </c>
      <c r="H18" s="98" t="s">
        <v>420</v>
      </c>
      <c r="I18" s="97">
        <v>40</v>
      </c>
      <c r="J18" s="97" t="s">
        <v>405</v>
      </c>
      <c r="K18" s="99" t="s">
        <v>51</v>
      </c>
      <c r="L18" s="97" t="s">
        <v>410</v>
      </c>
      <c r="M18" s="100"/>
      <c r="N18" s="101" t="s">
        <v>408</v>
      </c>
      <c r="O18" s="101" t="s">
        <v>408</v>
      </c>
      <c r="P18" s="101" t="s">
        <v>116</v>
      </c>
      <c r="Q18" s="102">
        <v>890</v>
      </c>
    </row>
    <row r="19" spans="6:17" ht="17.25" thickBot="1">
      <c r="F19" s="96">
        <v>14</v>
      </c>
      <c r="G19" s="97" t="s">
        <v>52</v>
      </c>
      <c r="H19" s="98" t="s">
        <v>421</v>
      </c>
      <c r="I19" s="97">
        <v>40</v>
      </c>
      <c r="J19" s="97" t="s">
        <v>405</v>
      </c>
      <c r="K19" s="99" t="s">
        <v>51</v>
      </c>
      <c r="L19" s="97" t="s">
        <v>410</v>
      </c>
      <c r="M19" s="100"/>
      <c r="N19" s="101" t="s">
        <v>399</v>
      </c>
      <c r="O19" s="101" t="s">
        <v>399</v>
      </c>
      <c r="P19" s="101" t="s">
        <v>116</v>
      </c>
      <c r="Q19" s="102">
        <v>990</v>
      </c>
    </row>
    <row r="20" spans="6:17" ht="17.25" thickBot="1">
      <c r="F20" s="96">
        <v>15</v>
      </c>
      <c r="G20" s="97" t="s">
        <v>52</v>
      </c>
      <c r="H20" s="98" t="s">
        <v>422</v>
      </c>
      <c r="I20" s="97">
        <v>40</v>
      </c>
      <c r="J20" s="97" t="s">
        <v>405</v>
      </c>
      <c r="K20" s="99" t="s">
        <v>51</v>
      </c>
      <c r="L20" s="97" t="s">
        <v>410</v>
      </c>
      <c r="M20" s="100"/>
      <c r="N20" s="101" t="s">
        <v>408</v>
      </c>
      <c r="O20" s="101" t="s">
        <v>408</v>
      </c>
      <c r="P20" s="101" t="s">
        <v>116</v>
      </c>
      <c r="Q20" s="102">
        <v>930</v>
      </c>
    </row>
    <row r="21" spans="6:17" ht="17.25" thickBot="1">
      <c r="F21" s="96">
        <v>16</v>
      </c>
      <c r="G21" s="97" t="s">
        <v>52</v>
      </c>
      <c r="H21" s="98" t="s">
        <v>423</v>
      </c>
      <c r="I21" s="97">
        <v>40</v>
      </c>
      <c r="J21" s="97" t="s">
        <v>405</v>
      </c>
      <c r="K21" s="99" t="s">
        <v>51</v>
      </c>
      <c r="L21" s="97" t="s">
        <v>410</v>
      </c>
      <c r="M21" s="100"/>
      <c r="N21" s="101" t="s">
        <v>424</v>
      </c>
      <c r="O21" s="101" t="s">
        <v>424</v>
      </c>
      <c r="P21" s="101" t="s">
        <v>116</v>
      </c>
      <c r="Q21" s="102">
        <v>330</v>
      </c>
    </row>
    <row r="22" spans="6:17" ht="17.25" thickBot="1">
      <c r="F22" s="96">
        <v>17</v>
      </c>
      <c r="G22" s="97" t="s">
        <v>52</v>
      </c>
      <c r="H22" s="98" t="s">
        <v>425</v>
      </c>
      <c r="I22" s="97">
        <v>40</v>
      </c>
      <c r="J22" s="97" t="s">
        <v>405</v>
      </c>
      <c r="K22" s="99" t="s">
        <v>51</v>
      </c>
      <c r="L22" s="97" t="s">
        <v>410</v>
      </c>
      <c r="M22" s="100"/>
      <c r="N22" s="101" t="s">
        <v>426</v>
      </c>
      <c r="O22" s="101" t="s">
        <v>426</v>
      </c>
      <c r="P22" s="101" t="s">
        <v>116</v>
      </c>
      <c r="Q22" s="102">
        <v>100</v>
      </c>
    </row>
    <row r="23" spans="6:17" ht="17.25" thickBot="1">
      <c r="F23" s="96">
        <v>18</v>
      </c>
      <c r="G23" s="97" t="s">
        <v>52</v>
      </c>
      <c r="H23" s="98" t="s">
        <v>427</v>
      </c>
      <c r="I23" s="97">
        <v>40</v>
      </c>
      <c r="J23" s="97" t="s">
        <v>405</v>
      </c>
      <c r="K23" s="99" t="s">
        <v>51</v>
      </c>
      <c r="L23" s="97" t="s">
        <v>410</v>
      </c>
      <c r="M23" s="100"/>
      <c r="N23" s="101" t="s">
        <v>428</v>
      </c>
      <c r="O23" s="101" t="s">
        <v>428</v>
      </c>
      <c r="P23" s="101" t="s">
        <v>116</v>
      </c>
      <c r="Q23" s="102">
        <v>460</v>
      </c>
    </row>
    <row r="24" spans="6:17" ht="17.25" thickBot="1">
      <c r="F24" s="96">
        <v>19</v>
      </c>
      <c r="G24" s="97" t="s">
        <v>52</v>
      </c>
      <c r="H24" s="98" t="s">
        <v>429</v>
      </c>
      <c r="I24" s="97">
        <v>40</v>
      </c>
      <c r="J24" s="97" t="s">
        <v>405</v>
      </c>
      <c r="K24" s="99" t="s">
        <v>51</v>
      </c>
      <c r="L24" s="97" t="s">
        <v>412</v>
      </c>
      <c r="M24" s="100"/>
      <c r="N24" s="101" t="s">
        <v>428</v>
      </c>
      <c r="O24" s="101" t="s">
        <v>428</v>
      </c>
      <c r="P24" s="101" t="s">
        <v>116</v>
      </c>
      <c r="Q24" s="102">
        <v>450</v>
      </c>
    </row>
    <row r="25" spans="6:17" ht="17.25" thickBot="1">
      <c r="F25" s="96">
        <v>20</v>
      </c>
      <c r="G25" s="97" t="s">
        <v>52</v>
      </c>
      <c r="H25" s="98" t="s">
        <v>430</v>
      </c>
      <c r="I25" s="97">
        <v>40</v>
      </c>
      <c r="J25" s="97" t="s">
        <v>405</v>
      </c>
      <c r="K25" s="99" t="s">
        <v>51</v>
      </c>
      <c r="L25" s="97" t="s">
        <v>410</v>
      </c>
      <c r="M25" s="100"/>
      <c r="N25" s="101" t="s">
        <v>431</v>
      </c>
      <c r="O25" s="101" t="s">
        <v>431</v>
      </c>
      <c r="P25" s="101" t="s">
        <v>116</v>
      </c>
      <c r="Q25" s="102">
        <v>1120</v>
      </c>
    </row>
    <row r="26" spans="6:17" ht="17.25" thickBot="1">
      <c r="F26" s="96">
        <v>21</v>
      </c>
      <c r="G26" s="97" t="s">
        <v>52</v>
      </c>
      <c r="H26" s="98" t="s">
        <v>432</v>
      </c>
      <c r="I26" s="97">
        <v>40</v>
      </c>
      <c r="J26" s="97" t="s">
        <v>405</v>
      </c>
      <c r="K26" s="99" t="s">
        <v>51</v>
      </c>
      <c r="L26" s="97" t="s">
        <v>410</v>
      </c>
      <c r="M26" s="100"/>
      <c r="N26" s="101" t="s">
        <v>433</v>
      </c>
      <c r="O26" s="101" t="s">
        <v>433</v>
      </c>
      <c r="P26" s="101" t="s">
        <v>116</v>
      </c>
      <c r="Q26" s="102">
        <v>180</v>
      </c>
    </row>
    <row r="27" spans="6:17" ht="17.25" thickBot="1">
      <c r="F27" s="96">
        <v>22</v>
      </c>
      <c r="G27" s="97" t="s">
        <v>52</v>
      </c>
      <c r="H27" s="98" t="s">
        <v>434</v>
      </c>
      <c r="I27" s="97">
        <v>40</v>
      </c>
      <c r="J27" s="97" t="s">
        <v>405</v>
      </c>
      <c r="K27" s="99" t="s">
        <v>51</v>
      </c>
      <c r="L27" s="97" t="s">
        <v>410</v>
      </c>
      <c r="M27" s="100"/>
      <c r="N27" s="101" t="s">
        <v>435</v>
      </c>
      <c r="O27" s="101" t="s">
        <v>435</v>
      </c>
      <c r="P27" s="101" t="s">
        <v>116</v>
      </c>
      <c r="Q27" s="102">
        <v>280</v>
      </c>
    </row>
    <row r="28" spans="6:17" ht="17.25" thickBot="1">
      <c r="F28" s="96">
        <v>23</v>
      </c>
      <c r="G28" s="97" t="s">
        <v>52</v>
      </c>
      <c r="H28" s="98" t="s">
        <v>436</v>
      </c>
      <c r="I28" s="97">
        <v>40</v>
      </c>
      <c r="J28" s="97" t="s">
        <v>405</v>
      </c>
      <c r="K28" s="99" t="s">
        <v>51</v>
      </c>
      <c r="L28" s="97" t="s">
        <v>410</v>
      </c>
      <c r="M28" s="100"/>
      <c r="N28" s="101" t="s">
        <v>415</v>
      </c>
      <c r="O28" s="101" t="s">
        <v>415</v>
      </c>
      <c r="P28" s="101" t="s">
        <v>116</v>
      </c>
      <c r="Q28" s="102">
        <v>690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D3:D131"/>
  <sheetViews>
    <sheetView topLeftCell="A115" workbookViewId="0">
      <selection activeCell="H131" sqref="H131"/>
    </sheetView>
  </sheetViews>
  <sheetFormatPr defaultRowHeight="16.5"/>
  <sheetData>
    <row r="3" spans="4:4">
      <c r="D3" t="s">
        <v>210</v>
      </c>
    </row>
    <row r="4" spans="4:4">
      <c r="D4" t="s">
        <v>219</v>
      </c>
    </row>
    <row r="5" spans="4:4">
      <c r="D5" t="s">
        <v>218</v>
      </c>
    </row>
    <row r="6" spans="4:4">
      <c r="D6" t="s">
        <v>437</v>
      </c>
    </row>
    <row r="7" spans="4:4">
      <c r="D7" t="s">
        <v>235</v>
      </c>
    </row>
    <row r="8" spans="4:4">
      <c r="D8" t="s">
        <v>438</v>
      </c>
    </row>
    <row r="9" spans="4:4">
      <c r="D9" t="s">
        <v>228</v>
      </c>
    </row>
    <row r="10" spans="4:4">
      <c r="D10" t="s">
        <v>231</v>
      </c>
    </row>
    <row r="11" spans="4:4">
      <c r="D11" t="s">
        <v>439</v>
      </c>
    </row>
    <row r="12" spans="4:4">
      <c r="D12" t="s">
        <v>233</v>
      </c>
    </row>
    <row r="13" spans="4:4">
      <c r="D13" t="s">
        <v>217</v>
      </c>
    </row>
    <row r="14" spans="4:4">
      <c r="D14" t="s">
        <v>440</v>
      </c>
    </row>
    <row r="15" spans="4:4">
      <c r="D15" t="s">
        <v>441</v>
      </c>
    </row>
    <row r="16" spans="4:4">
      <c r="D16" t="s">
        <v>442</v>
      </c>
    </row>
    <row r="17" spans="4:4">
      <c r="D17" t="s">
        <v>331</v>
      </c>
    </row>
    <row r="18" spans="4:4">
      <c r="D18" t="s">
        <v>214</v>
      </c>
    </row>
    <row r="19" spans="4:4">
      <c r="D19" t="s">
        <v>443</v>
      </c>
    </row>
    <row r="20" spans="4:4">
      <c r="D20" t="s">
        <v>444</v>
      </c>
    </row>
    <row r="21" spans="4:4">
      <c r="D21" t="s">
        <v>213</v>
      </c>
    </row>
    <row r="22" spans="4:4">
      <c r="D22" t="s">
        <v>445</v>
      </c>
    </row>
    <row r="23" spans="4:4">
      <c r="D23" t="s">
        <v>249</v>
      </c>
    </row>
    <row r="24" spans="4:4">
      <c r="D24" t="s">
        <v>211</v>
      </c>
    </row>
    <row r="25" spans="4:4">
      <c r="D25" t="s">
        <v>212</v>
      </c>
    </row>
    <row r="26" spans="4:4">
      <c r="D26" t="s">
        <v>446</v>
      </c>
    </row>
    <row r="27" spans="4:4">
      <c r="D27" t="s">
        <v>447</v>
      </c>
    </row>
    <row r="28" spans="4:4">
      <c r="D28" t="s">
        <v>448</v>
      </c>
    </row>
    <row r="29" spans="4:4">
      <c r="D29" t="s">
        <v>215</v>
      </c>
    </row>
    <row r="30" spans="4:4">
      <c r="D30" t="s">
        <v>247</v>
      </c>
    </row>
    <row r="31" spans="4:4">
      <c r="D31" t="s">
        <v>245</v>
      </c>
    </row>
    <row r="32" spans="4:4">
      <c r="D32" t="s">
        <v>319</v>
      </c>
    </row>
    <row r="33" spans="4:4">
      <c r="D33" t="s">
        <v>220</v>
      </c>
    </row>
    <row r="34" spans="4:4">
      <c r="D34" t="s">
        <v>347</v>
      </c>
    </row>
    <row r="35" spans="4:4">
      <c r="D35" t="s">
        <v>449</v>
      </c>
    </row>
    <row r="36" spans="4:4">
      <c r="D36" t="s">
        <v>244</v>
      </c>
    </row>
    <row r="37" spans="4:4">
      <c r="D37" t="s">
        <v>221</v>
      </c>
    </row>
    <row r="38" spans="4:4">
      <c r="D38" t="s">
        <v>241</v>
      </c>
    </row>
    <row r="39" spans="4:4">
      <c r="D39" t="s">
        <v>232</v>
      </c>
    </row>
    <row r="40" spans="4:4">
      <c r="D40" t="s">
        <v>234</v>
      </c>
    </row>
    <row r="41" spans="4:4">
      <c r="D41" t="s">
        <v>222</v>
      </c>
    </row>
    <row r="42" spans="4:4">
      <c r="D42" t="s">
        <v>230</v>
      </c>
    </row>
    <row r="43" spans="4:4">
      <c r="D43" t="s">
        <v>216</v>
      </c>
    </row>
    <row r="44" spans="4:4">
      <c r="D44" t="s">
        <v>240</v>
      </c>
    </row>
    <row r="45" spans="4:4">
      <c r="D45" t="s">
        <v>450</v>
      </c>
    </row>
    <row r="46" spans="4:4">
      <c r="D46" t="s">
        <v>451</v>
      </c>
    </row>
    <row r="47" spans="4:4">
      <c r="D47" t="s">
        <v>452</v>
      </c>
    </row>
    <row r="48" spans="4:4">
      <c r="D48" t="s">
        <v>453</v>
      </c>
    </row>
    <row r="49" spans="4:4">
      <c r="D49" t="s">
        <v>224</v>
      </c>
    </row>
    <row r="50" spans="4:4">
      <c r="D50" t="s">
        <v>454</v>
      </c>
    </row>
    <row r="51" spans="4:4">
      <c r="D51" t="s">
        <v>455</v>
      </c>
    </row>
    <row r="52" spans="4:4">
      <c r="D52" t="s">
        <v>456</v>
      </c>
    </row>
    <row r="53" spans="4:4">
      <c r="D53" t="s">
        <v>457</v>
      </c>
    </row>
    <row r="54" spans="4:4">
      <c r="D54" t="s">
        <v>458</v>
      </c>
    </row>
    <row r="55" spans="4:4">
      <c r="D55" t="s">
        <v>459</v>
      </c>
    </row>
    <row r="56" spans="4:4">
      <c r="D56" t="s">
        <v>197</v>
      </c>
    </row>
    <row r="57" spans="4:4">
      <c r="D57" t="s">
        <v>460</v>
      </c>
    </row>
    <row r="58" spans="4:4">
      <c r="D58" t="s">
        <v>461</v>
      </c>
    </row>
    <row r="59" spans="4:4">
      <c r="D59" t="s">
        <v>462</v>
      </c>
    </row>
    <row r="60" spans="4:4">
      <c r="D60" t="s">
        <v>169</v>
      </c>
    </row>
    <row r="61" spans="4:4">
      <c r="D61" t="s">
        <v>208</v>
      </c>
    </row>
    <row r="62" spans="4:4">
      <c r="D62" t="s">
        <v>209</v>
      </c>
    </row>
    <row r="63" spans="4:4">
      <c r="D63" t="s">
        <v>178</v>
      </c>
    </row>
    <row r="64" spans="4:4">
      <c r="D64" t="s">
        <v>305</v>
      </c>
    </row>
    <row r="65" spans="4:4">
      <c r="D65" t="s">
        <v>205</v>
      </c>
    </row>
    <row r="66" spans="4:4">
      <c r="D66" t="s">
        <v>463</v>
      </c>
    </row>
    <row r="67" spans="4:4">
      <c r="D67" t="s">
        <v>160</v>
      </c>
    </row>
    <row r="68" spans="4:4">
      <c r="D68" t="s">
        <v>141</v>
      </c>
    </row>
    <row r="69" spans="4:4">
      <c r="D69" t="s">
        <v>304</v>
      </c>
    </row>
    <row r="70" spans="4:4">
      <c r="D70" t="s">
        <v>464</v>
      </c>
    </row>
    <row r="71" spans="4:4">
      <c r="D71" t="s">
        <v>151</v>
      </c>
    </row>
    <row r="72" spans="4:4">
      <c r="D72" t="s">
        <v>186</v>
      </c>
    </row>
    <row r="73" spans="4:4">
      <c r="D73" t="s">
        <v>298</v>
      </c>
    </row>
    <row r="74" spans="4:4">
      <c r="D74" t="s">
        <v>154</v>
      </c>
    </row>
    <row r="75" spans="4:4">
      <c r="D75" t="s">
        <v>148</v>
      </c>
    </row>
    <row r="76" spans="4:4">
      <c r="D76" t="s">
        <v>181</v>
      </c>
    </row>
    <row r="77" spans="4:4">
      <c r="D77" t="s">
        <v>184</v>
      </c>
    </row>
    <row r="78" spans="4:4">
      <c r="D78" t="s">
        <v>188</v>
      </c>
    </row>
    <row r="79" spans="4:4">
      <c r="D79" t="s">
        <v>465</v>
      </c>
    </row>
    <row r="80" spans="4:4">
      <c r="D80" t="s">
        <v>199</v>
      </c>
    </row>
    <row r="81" spans="4:4">
      <c r="D81" t="s">
        <v>180</v>
      </c>
    </row>
    <row r="82" spans="4:4">
      <c r="D82" t="s">
        <v>187</v>
      </c>
    </row>
    <row r="83" spans="4:4">
      <c r="D83" t="s">
        <v>166</v>
      </c>
    </row>
    <row r="84" spans="4:4">
      <c r="D84" t="s">
        <v>466</v>
      </c>
    </row>
    <row r="85" spans="4:4">
      <c r="D85" t="s">
        <v>467</v>
      </c>
    </row>
    <row r="86" spans="4:4">
      <c r="D86" t="s">
        <v>157</v>
      </c>
    </row>
    <row r="87" spans="4:4">
      <c r="D87" t="s">
        <v>196</v>
      </c>
    </row>
    <row r="88" spans="4:4">
      <c r="D88" t="s">
        <v>468</v>
      </c>
    </row>
    <row r="89" spans="4:4">
      <c r="D89" t="s">
        <v>277</v>
      </c>
    </row>
    <row r="90" spans="4:4">
      <c r="D90" t="s">
        <v>469</v>
      </c>
    </row>
    <row r="91" spans="4:4">
      <c r="D91" t="s">
        <v>470</v>
      </c>
    </row>
    <row r="92" spans="4:4">
      <c r="D92" t="s">
        <v>471</v>
      </c>
    </row>
    <row r="93" spans="4:4">
      <c r="D93" t="s">
        <v>472</v>
      </c>
    </row>
    <row r="94" spans="4:4">
      <c r="D94" t="s">
        <v>273</v>
      </c>
    </row>
    <row r="95" spans="4:4">
      <c r="D95" t="s">
        <v>473</v>
      </c>
    </row>
    <row r="96" spans="4:4">
      <c r="D96" t="s">
        <v>474</v>
      </c>
    </row>
    <row r="97" spans="4:4">
      <c r="D97" t="s">
        <v>475</v>
      </c>
    </row>
    <row r="98" spans="4:4">
      <c r="D98" t="s">
        <v>269</v>
      </c>
    </row>
    <row r="99" spans="4:4">
      <c r="D99" t="s">
        <v>476</v>
      </c>
    </row>
    <row r="100" spans="4:4">
      <c r="D100" t="s">
        <v>477</v>
      </c>
    </row>
    <row r="101" spans="4:4">
      <c r="D101" t="s">
        <v>268</v>
      </c>
    </row>
    <row r="102" spans="4:4">
      <c r="D102" t="s">
        <v>281</v>
      </c>
    </row>
    <row r="103" spans="4:4">
      <c r="D103" t="s">
        <v>478</v>
      </c>
    </row>
    <row r="104" spans="4:4">
      <c r="D104" t="s">
        <v>263</v>
      </c>
    </row>
    <row r="105" spans="4:4">
      <c r="D105" t="s">
        <v>262</v>
      </c>
    </row>
    <row r="106" spans="4:4">
      <c r="D106" t="s">
        <v>479</v>
      </c>
    </row>
    <row r="107" spans="4:4">
      <c r="D107" t="s">
        <v>282</v>
      </c>
    </row>
    <row r="108" spans="4:4">
      <c r="D108" t="s">
        <v>261</v>
      </c>
    </row>
    <row r="109" spans="4:4">
      <c r="D109" t="s">
        <v>267</v>
      </c>
    </row>
    <row r="110" spans="4:4">
      <c r="D110" t="s">
        <v>259</v>
      </c>
    </row>
    <row r="111" spans="4:4">
      <c r="D111" t="s">
        <v>287</v>
      </c>
    </row>
    <row r="112" spans="4:4">
      <c r="D112" t="s">
        <v>480</v>
      </c>
    </row>
    <row r="113" spans="4:4">
      <c r="D113" t="s">
        <v>356</v>
      </c>
    </row>
    <row r="114" spans="4:4">
      <c r="D114" t="s">
        <v>481</v>
      </c>
    </row>
    <row r="115" spans="4:4">
      <c r="D115" t="s">
        <v>482</v>
      </c>
    </row>
    <row r="116" spans="4:4">
      <c r="D116" t="s">
        <v>288</v>
      </c>
    </row>
    <row r="117" spans="4:4">
      <c r="D117" t="s">
        <v>289</v>
      </c>
    </row>
    <row r="118" spans="4:4">
      <c r="D118" t="s">
        <v>291</v>
      </c>
    </row>
    <row r="119" spans="4:4">
      <c r="D119" t="s">
        <v>364</v>
      </c>
    </row>
    <row r="120" spans="4:4">
      <c r="D120" t="s">
        <v>258</v>
      </c>
    </row>
    <row r="121" spans="4:4">
      <c r="D121" t="s">
        <v>295</v>
      </c>
    </row>
    <row r="122" spans="4:4">
      <c r="D122" t="s">
        <v>256</v>
      </c>
    </row>
    <row r="123" spans="4:4">
      <c r="D123" t="s">
        <v>264</v>
      </c>
    </row>
    <row r="124" spans="4:4">
      <c r="D124" t="s">
        <v>367</v>
      </c>
    </row>
    <row r="125" spans="4:4">
      <c r="D125" t="s">
        <v>483</v>
      </c>
    </row>
    <row r="126" spans="4:4">
      <c r="D126" t="s">
        <v>285</v>
      </c>
    </row>
    <row r="127" spans="4:4">
      <c r="D127" t="s">
        <v>383</v>
      </c>
    </row>
    <row r="128" spans="4:4">
      <c r="D128" t="s">
        <v>484</v>
      </c>
    </row>
    <row r="129" spans="4:4">
      <c r="D129" t="s">
        <v>271</v>
      </c>
    </row>
    <row r="130" spans="4:4">
      <c r="D130" t="s">
        <v>485</v>
      </c>
    </row>
    <row r="131" spans="4:4">
      <c r="D131" t="s">
        <v>270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D1:O12"/>
  <sheetViews>
    <sheetView workbookViewId="0">
      <selection activeCell="D2" sqref="D2:O12"/>
    </sheetView>
  </sheetViews>
  <sheetFormatPr defaultRowHeight="16.5"/>
  <cols>
    <col min="4" max="4" width="6.125" customWidth="1"/>
    <col min="5" max="5" width="8.625" customWidth="1"/>
    <col min="6" max="6" width="16.5" customWidth="1"/>
    <col min="7" max="7" width="7.375" customWidth="1"/>
    <col min="9" max="9" width="7.5" customWidth="1"/>
    <col min="11" max="14" width="0" hidden="1" customWidth="1"/>
  </cols>
  <sheetData>
    <row r="1" spans="4:15" ht="17.25" thickBot="1"/>
    <row r="2" spans="4:15" ht="17.25" thickBot="1">
      <c r="D2" s="90" t="s">
        <v>384</v>
      </c>
      <c r="E2" s="87" t="s">
        <v>385</v>
      </c>
      <c r="F2" s="87" t="s">
        <v>386</v>
      </c>
      <c r="G2" s="87" t="s">
        <v>387</v>
      </c>
      <c r="H2" s="87" t="s">
        <v>388</v>
      </c>
      <c r="I2" s="87" t="s">
        <v>16</v>
      </c>
      <c r="J2" s="87" t="s">
        <v>389</v>
      </c>
      <c r="K2" s="87" t="s">
        <v>390</v>
      </c>
      <c r="L2" s="87" t="s">
        <v>391</v>
      </c>
      <c r="M2" s="87" t="s">
        <v>392</v>
      </c>
      <c r="N2" s="87" t="s">
        <v>393</v>
      </c>
      <c r="O2" s="87"/>
    </row>
    <row r="3" spans="4:15" ht="17.25" thickBot="1">
      <c r="D3" s="88">
        <v>1</v>
      </c>
      <c r="E3" s="89" t="s">
        <v>52</v>
      </c>
      <c r="F3" s="89" t="s">
        <v>486</v>
      </c>
      <c r="G3" s="89">
        <v>40</v>
      </c>
      <c r="H3" s="89" t="s">
        <v>405</v>
      </c>
      <c r="I3" s="89" t="s">
        <v>84</v>
      </c>
      <c r="J3" s="89" t="s">
        <v>396</v>
      </c>
      <c r="K3" s="89"/>
      <c r="L3" s="89" t="s">
        <v>487</v>
      </c>
      <c r="M3" s="89" t="s">
        <v>487</v>
      </c>
      <c r="N3" s="89" t="s">
        <v>116</v>
      </c>
      <c r="O3" s="89">
        <v>1330</v>
      </c>
    </row>
    <row r="4" spans="4:15" ht="17.25" thickBot="1">
      <c r="D4" s="88">
        <v>2</v>
      </c>
      <c r="E4" s="89" t="s">
        <v>52</v>
      </c>
      <c r="F4" s="89" t="s">
        <v>488</v>
      </c>
      <c r="G4" s="89">
        <v>20</v>
      </c>
      <c r="H4" s="89" t="s">
        <v>395</v>
      </c>
      <c r="I4" s="89" t="s">
        <v>51</v>
      </c>
      <c r="J4" s="89" t="s">
        <v>412</v>
      </c>
      <c r="K4" s="89"/>
      <c r="L4" s="89" t="s">
        <v>401</v>
      </c>
      <c r="M4" s="89" t="s">
        <v>401</v>
      </c>
      <c r="N4" s="89" t="s">
        <v>116</v>
      </c>
      <c r="O4" s="89">
        <v>400</v>
      </c>
    </row>
    <row r="5" spans="4:15" ht="17.25" thickBot="1">
      <c r="D5" s="88">
        <v>3</v>
      </c>
      <c r="E5" s="89" t="s">
        <v>52</v>
      </c>
      <c r="F5" s="89" t="s">
        <v>489</v>
      </c>
      <c r="G5" s="89">
        <v>20</v>
      </c>
      <c r="H5" s="89" t="s">
        <v>395</v>
      </c>
      <c r="I5" s="89" t="s">
        <v>51</v>
      </c>
      <c r="J5" s="89" t="s">
        <v>410</v>
      </c>
      <c r="K5" s="89"/>
      <c r="L5" s="89" t="s">
        <v>403</v>
      </c>
      <c r="M5" s="89" t="s">
        <v>403</v>
      </c>
      <c r="N5" s="89" t="s">
        <v>116</v>
      </c>
      <c r="O5" s="89">
        <v>780</v>
      </c>
    </row>
    <row r="6" spans="4:15" ht="17.25" thickBot="1">
      <c r="D6" s="88">
        <v>4</v>
      </c>
      <c r="E6" s="89" t="s">
        <v>52</v>
      </c>
      <c r="F6" s="89" t="s">
        <v>490</v>
      </c>
      <c r="G6" s="89">
        <v>20</v>
      </c>
      <c r="H6" s="89" t="s">
        <v>395</v>
      </c>
      <c r="I6" s="89" t="s">
        <v>51</v>
      </c>
      <c r="J6" s="89" t="s">
        <v>412</v>
      </c>
      <c r="K6" s="89"/>
      <c r="L6" s="89" t="s">
        <v>491</v>
      </c>
      <c r="M6" s="89" t="s">
        <v>491</v>
      </c>
      <c r="N6" s="89" t="s">
        <v>116</v>
      </c>
      <c r="O6" s="89">
        <v>520</v>
      </c>
    </row>
    <row r="7" spans="4:15" ht="17.25" thickBot="1">
      <c r="D7" s="88">
        <v>5</v>
      </c>
      <c r="E7" s="89" t="s">
        <v>52</v>
      </c>
      <c r="F7" s="89" t="s">
        <v>492</v>
      </c>
      <c r="G7" s="89">
        <v>40</v>
      </c>
      <c r="H7" s="89" t="s">
        <v>405</v>
      </c>
      <c r="I7" s="89" t="s">
        <v>51</v>
      </c>
      <c r="J7" s="89" t="s">
        <v>410</v>
      </c>
      <c r="K7" s="89"/>
      <c r="L7" s="89" t="s">
        <v>493</v>
      </c>
      <c r="M7" s="89" t="s">
        <v>493</v>
      </c>
      <c r="N7" s="89" t="s">
        <v>116</v>
      </c>
      <c r="O7" s="89">
        <v>550</v>
      </c>
    </row>
    <row r="8" spans="4:15" ht="17.25" thickBot="1">
      <c r="D8" s="88">
        <v>6</v>
      </c>
      <c r="E8" s="89" t="s">
        <v>52</v>
      </c>
      <c r="F8" s="89" t="s">
        <v>494</v>
      </c>
      <c r="G8" s="89">
        <v>40</v>
      </c>
      <c r="H8" s="89" t="s">
        <v>419</v>
      </c>
      <c r="I8" s="89" t="s">
        <v>51</v>
      </c>
      <c r="J8" s="89" t="s">
        <v>412</v>
      </c>
      <c r="K8" s="89"/>
      <c r="L8" s="89" t="s">
        <v>495</v>
      </c>
      <c r="M8" s="89" t="s">
        <v>495</v>
      </c>
      <c r="N8" s="89" t="s">
        <v>116</v>
      </c>
      <c r="O8" s="89">
        <v>1120</v>
      </c>
    </row>
    <row r="9" spans="4:15" ht="17.25" thickBot="1">
      <c r="D9" s="88">
        <v>7</v>
      </c>
      <c r="E9" s="89" t="s">
        <v>52</v>
      </c>
      <c r="F9" s="89" t="s">
        <v>496</v>
      </c>
      <c r="G9" s="89">
        <v>40</v>
      </c>
      <c r="H9" s="89" t="s">
        <v>405</v>
      </c>
      <c r="I9" s="89" t="s">
        <v>51</v>
      </c>
      <c r="J9" s="89" t="s">
        <v>410</v>
      </c>
      <c r="K9" s="89"/>
      <c r="L9" s="89" t="s">
        <v>497</v>
      </c>
      <c r="M9" s="89" t="s">
        <v>497</v>
      </c>
      <c r="N9" s="89" t="s">
        <v>116</v>
      </c>
      <c r="O9" s="89">
        <v>840</v>
      </c>
    </row>
    <row r="10" spans="4:15" ht="17.25" thickBot="1">
      <c r="D10" s="88">
        <v>8</v>
      </c>
      <c r="E10" s="89" t="s">
        <v>52</v>
      </c>
      <c r="F10" s="89" t="s">
        <v>498</v>
      </c>
      <c r="G10" s="89">
        <v>40</v>
      </c>
      <c r="H10" s="89" t="s">
        <v>405</v>
      </c>
      <c r="I10" s="89" t="s">
        <v>51</v>
      </c>
      <c r="J10" s="89" t="s">
        <v>410</v>
      </c>
      <c r="K10" s="89"/>
      <c r="L10" s="89" t="s">
        <v>499</v>
      </c>
      <c r="M10" s="89" t="s">
        <v>499</v>
      </c>
      <c r="N10" s="89" t="s">
        <v>116</v>
      </c>
      <c r="O10" s="89">
        <v>1270</v>
      </c>
    </row>
    <row r="11" spans="4:15" ht="17.25" thickBot="1">
      <c r="D11" s="88">
        <v>9</v>
      </c>
      <c r="E11" s="89" t="s">
        <v>52</v>
      </c>
      <c r="F11" s="89" t="s">
        <v>500</v>
      </c>
      <c r="G11" s="89">
        <v>40</v>
      </c>
      <c r="H11" s="89" t="s">
        <v>405</v>
      </c>
      <c r="I11" s="89" t="s">
        <v>51</v>
      </c>
      <c r="J11" s="89" t="s">
        <v>412</v>
      </c>
      <c r="K11" s="89"/>
      <c r="L11" s="89" t="s">
        <v>406</v>
      </c>
      <c r="M11" s="89" t="s">
        <v>406</v>
      </c>
      <c r="N11" s="89" t="s">
        <v>116</v>
      </c>
      <c r="O11" s="89">
        <v>1460</v>
      </c>
    </row>
    <row r="12" spans="4:15" ht="17.25" thickBot="1">
      <c r="D12" s="88">
        <v>10</v>
      </c>
      <c r="E12" s="89" t="s">
        <v>52</v>
      </c>
      <c r="F12" s="89" t="s">
        <v>501</v>
      </c>
      <c r="G12" s="89">
        <v>40</v>
      </c>
      <c r="H12" s="89" t="s">
        <v>405</v>
      </c>
      <c r="I12" s="89" t="s">
        <v>51</v>
      </c>
      <c r="J12" s="89" t="s">
        <v>410</v>
      </c>
      <c r="K12" s="89"/>
      <c r="L12" s="89" t="s">
        <v>502</v>
      </c>
      <c r="M12" s="89" t="s">
        <v>502</v>
      </c>
      <c r="N12" s="89" t="s">
        <v>116</v>
      </c>
      <c r="O12" s="89">
        <v>360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D4:M18"/>
  <sheetViews>
    <sheetView workbookViewId="0">
      <selection activeCell="I15" sqref="I15"/>
    </sheetView>
  </sheetViews>
  <sheetFormatPr defaultRowHeight="16.5"/>
  <cols>
    <col min="4" max="4" width="14.125" customWidth="1"/>
    <col min="10" max="10" width="15.625" customWidth="1"/>
  </cols>
  <sheetData>
    <row r="4" spans="4:13">
      <c r="D4" s="71" t="s">
        <v>503</v>
      </c>
      <c r="E4" s="71" t="s">
        <v>116</v>
      </c>
      <c r="F4" s="71" t="s">
        <v>37</v>
      </c>
      <c r="G4" s="71" t="s">
        <v>212</v>
      </c>
    </row>
    <row r="5" spans="4:13">
      <c r="D5" s="71" t="s">
        <v>504</v>
      </c>
      <c r="E5" s="71" t="s">
        <v>116</v>
      </c>
      <c r="F5" s="71" t="s">
        <v>43</v>
      </c>
      <c r="G5" s="71" t="s">
        <v>62</v>
      </c>
    </row>
    <row r="6" spans="4:13">
      <c r="D6" s="71" t="s">
        <v>505</v>
      </c>
      <c r="E6" s="71" t="s">
        <v>116</v>
      </c>
      <c r="F6" s="71" t="s">
        <v>43</v>
      </c>
      <c r="G6" s="71" t="s">
        <v>62</v>
      </c>
      <c r="J6" t="s">
        <v>506</v>
      </c>
      <c r="K6" t="s">
        <v>507</v>
      </c>
      <c r="L6" t="s">
        <v>116</v>
      </c>
      <c r="M6" t="s">
        <v>37</v>
      </c>
    </row>
    <row r="7" spans="4:13">
      <c r="D7" s="71" t="s">
        <v>508</v>
      </c>
      <c r="E7" s="71" t="s">
        <v>116</v>
      </c>
      <c r="F7" s="71" t="s">
        <v>37</v>
      </c>
      <c r="G7" s="71" t="s">
        <v>62</v>
      </c>
      <c r="J7" t="s">
        <v>509</v>
      </c>
      <c r="K7" t="s">
        <v>507</v>
      </c>
      <c r="L7" t="s">
        <v>116</v>
      </c>
      <c r="M7" t="s">
        <v>37</v>
      </c>
    </row>
    <row r="8" spans="4:13">
      <c r="D8" s="71" t="s">
        <v>510</v>
      </c>
      <c r="E8" s="71" t="s">
        <v>116</v>
      </c>
      <c r="F8" s="71" t="s">
        <v>31</v>
      </c>
      <c r="G8" s="71" t="s">
        <v>511</v>
      </c>
      <c r="J8" t="s">
        <v>512</v>
      </c>
      <c r="K8" t="s">
        <v>507</v>
      </c>
      <c r="L8" t="s">
        <v>116</v>
      </c>
      <c r="M8" t="s">
        <v>37</v>
      </c>
    </row>
    <row r="9" spans="4:13">
      <c r="J9" t="s">
        <v>513</v>
      </c>
      <c r="K9" t="s">
        <v>507</v>
      </c>
      <c r="L9" t="s">
        <v>116</v>
      </c>
      <c r="M9" t="s">
        <v>37</v>
      </c>
    </row>
    <row r="10" spans="4:13">
      <c r="J10" t="s">
        <v>514</v>
      </c>
      <c r="K10" t="s">
        <v>507</v>
      </c>
      <c r="L10" t="s">
        <v>116</v>
      </c>
      <c r="M10" t="s">
        <v>37</v>
      </c>
    </row>
    <row r="11" spans="4:13">
      <c r="J11" t="s">
        <v>515</v>
      </c>
      <c r="K11" t="s">
        <v>507</v>
      </c>
      <c r="L11" t="s">
        <v>116</v>
      </c>
      <c r="M11" t="s">
        <v>37</v>
      </c>
    </row>
    <row r="12" spans="4:13">
      <c r="J12" t="s">
        <v>516</v>
      </c>
      <c r="K12" t="s">
        <v>507</v>
      </c>
      <c r="L12" t="s">
        <v>116</v>
      </c>
      <c r="M12" t="s">
        <v>38</v>
      </c>
    </row>
    <row r="13" spans="4:13">
      <c r="J13" t="s">
        <v>517</v>
      </c>
      <c r="K13" t="s">
        <v>507</v>
      </c>
      <c r="L13" t="s">
        <v>116</v>
      </c>
      <c r="M13" t="s">
        <v>38</v>
      </c>
    </row>
    <row r="14" spans="4:13">
      <c r="J14" t="s">
        <v>518</v>
      </c>
      <c r="K14" t="s">
        <v>507</v>
      </c>
      <c r="L14" t="s">
        <v>116</v>
      </c>
      <c r="M14" t="s">
        <v>38</v>
      </c>
    </row>
    <row r="15" spans="4:13">
      <c r="J15" t="s">
        <v>519</v>
      </c>
      <c r="K15" t="s">
        <v>507</v>
      </c>
      <c r="L15" t="s">
        <v>116</v>
      </c>
      <c r="M15" t="s">
        <v>38</v>
      </c>
    </row>
    <row r="16" spans="4:13">
      <c r="J16" t="s">
        <v>520</v>
      </c>
      <c r="K16" t="s">
        <v>507</v>
      </c>
      <c r="L16" t="s">
        <v>116</v>
      </c>
      <c r="M16" t="s">
        <v>38</v>
      </c>
    </row>
    <row r="17" spans="10:13">
      <c r="J17" t="s">
        <v>521</v>
      </c>
      <c r="K17" t="s">
        <v>507</v>
      </c>
      <c r="L17" t="s">
        <v>116</v>
      </c>
      <c r="M17" t="s">
        <v>38</v>
      </c>
    </row>
    <row r="18" spans="10:13">
      <c r="J18" t="s">
        <v>522</v>
      </c>
      <c r="K18" t="s">
        <v>507</v>
      </c>
      <c r="L18" t="s">
        <v>116</v>
      </c>
      <c r="M18" t="s">
        <v>37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GỐC(427)</vt:lpstr>
      <vt:lpstr>Sheet24</vt:lpstr>
      <vt:lpstr>CHIA TAI</vt:lpstr>
      <vt:lpstr>Sheet23</vt:lpstr>
      <vt:lpstr>THONG TIN</vt:lpstr>
      <vt:lpstr>Sheet22</vt:lpstr>
      <vt:lpstr>Sheet21</vt:lpstr>
      <vt:lpstr>Sheet20</vt:lpstr>
      <vt:lpstr>Sheet19</vt:lpstr>
      <vt:lpstr>Sheet18</vt:lpstr>
      <vt:lpstr>Sheet17</vt:lpstr>
      <vt:lpstr>Sheet16</vt:lpstr>
      <vt:lpstr>Sheet15</vt:lpstr>
      <vt:lpstr>Sheet14</vt:lpstr>
      <vt:lpstr>Sheet13</vt:lpstr>
      <vt:lpstr>Sheet12</vt:lpstr>
      <vt:lpstr>Sheet11</vt:lpstr>
      <vt:lpstr>Sheet10</vt:lpstr>
      <vt:lpstr>Sheet9</vt:lpstr>
      <vt:lpstr>Sheet8</vt:lpstr>
      <vt:lpstr>Sheet7</vt:lpstr>
      <vt:lpstr>Sheet6</vt:lpstr>
      <vt:lpstr>Sheet5</vt:lpstr>
      <vt:lpstr>Sheet3</vt:lpstr>
      <vt:lpstr>Sheet4</vt:lpstr>
      <vt:lpstr>Sheet2</vt:lpstr>
      <vt:lpstr>Sheet1</vt:lpstr>
      <vt:lpstr>STAND BY</vt:lpstr>
      <vt:lpstr>'GỐC(427)'!Print_Titles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GMC</dc:creator>
  <cp:keywords/>
  <dc:description/>
  <cp:lastModifiedBy>Administrator</cp:lastModifiedBy>
  <cp:revision/>
  <cp:lastPrinted>2026-03-12T07:33:15Z</cp:lastPrinted>
  <dcterms:created xsi:type="dcterms:W3CDTF">2001-07-27T13:18:21Z</dcterms:created>
  <dcterms:modified xsi:type="dcterms:W3CDTF">2026-05-29T07:06:44Z</dcterms:modified>
  <cp:category/>
  <cp:contentStatus/>
</cp:coreProperties>
</file>