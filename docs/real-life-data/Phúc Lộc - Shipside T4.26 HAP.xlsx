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2026\THÁNG 4\ĐNTT\VẬN CHUYỂN T4.26\"/>
    </mc:Choice>
  </mc:AlternateContent>
  <xr:revisionPtr revIDLastSave="0" documentId="13_ncr:1_{1F0457CA-2721-4A42-B52D-C6BD6528CBC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Bảng kê SS" sheetId="3" r:id="rId1"/>
    <sheet name="Sheet2" sheetId="8" r:id="rId2"/>
    <sheet name="Sheet1" sheetId="7" r:id="rId3"/>
    <sheet name="CUOC" sheetId="4" r:id="rId4"/>
  </sheets>
  <definedNames>
    <definedName name="_xlnm._FilterDatabase" localSheetId="0" hidden="1">'Bảng kê SS'!$A$13:$T$362</definedName>
    <definedName name="_xlnm.Print_Area" localSheetId="0">'Bảng kê SS'!$A$1:$L$435</definedName>
    <definedName name="_xlnm.Print_Titles" localSheetId="0">'Bảng kê SS'!$13:$13</definedName>
  </definedNames>
  <calcPr calcId="191029" iterateCount="1"/>
  <pivotCaches>
    <pivotCache cacheId="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8" l="1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K430" i="3"/>
  <c r="L430" i="3"/>
  <c r="J430" i="3"/>
  <c r="J364" i="3" a="1"/>
  <c r="J364" i="3" s="1"/>
  <c r="K364" i="3" s="1"/>
  <c r="L364" i="3" s="1"/>
  <c r="J365" i="3" a="1"/>
  <c r="J365" i="3" s="1"/>
  <c r="K365" i="3" s="1"/>
  <c r="L365" i="3" s="1"/>
  <c r="J366" i="3" a="1"/>
  <c r="J366" i="3" s="1"/>
  <c r="K366" i="3" s="1"/>
  <c r="L366" i="3" s="1"/>
  <c r="J367" i="3" a="1"/>
  <c r="J367" i="3" s="1"/>
  <c r="K367" i="3" s="1"/>
  <c r="L367" i="3" s="1"/>
  <c r="J368" i="3" a="1"/>
  <c r="J368" i="3" s="1"/>
  <c r="K368" i="3" s="1"/>
  <c r="L368" i="3" s="1"/>
  <c r="J369" i="3" a="1"/>
  <c r="J369" i="3" s="1"/>
  <c r="K369" i="3" s="1"/>
  <c r="L369" i="3" s="1"/>
  <c r="J370" i="3" a="1"/>
  <c r="J370" i="3" s="1"/>
  <c r="K370" i="3" s="1"/>
  <c r="L370" i="3" s="1"/>
  <c r="J371" i="3" a="1"/>
  <c r="J371" i="3" s="1"/>
  <c r="K371" i="3" s="1"/>
  <c r="L371" i="3" s="1"/>
  <c r="J372" i="3" a="1"/>
  <c r="J372" i="3" s="1"/>
  <c r="K372" i="3" s="1"/>
  <c r="L372" i="3" s="1"/>
  <c r="J373" i="3" a="1"/>
  <c r="J373" i="3" s="1"/>
  <c r="K373" i="3" s="1"/>
  <c r="L373" i="3" s="1"/>
  <c r="J374" i="3" a="1"/>
  <c r="J374" i="3" s="1"/>
  <c r="K374" i="3" s="1"/>
  <c r="L374" i="3" s="1"/>
  <c r="J375" i="3" a="1"/>
  <c r="J375" i="3" s="1"/>
  <c r="K375" i="3" s="1"/>
  <c r="L375" i="3" s="1"/>
  <c r="J376" i="3" a="1"/>
  <c r="J376" i="3" s="1"/>
  <c r="K376" i="3" s="1"/>
  <c r="L376" i="3" s="1"/>
  <c r="J377" i="3" a="1"/>
  <c r="J377" i="3" s="1"/>
  <c r="K377" i="3" s="1"/>
  <c r="L377" i="3" s="1"/>
  <c r="J378" i="3" a="1"/>
  <c r="J378" i="3" s="1"/>
  <c r="K378" i="3" s="1"/>
  <c r="L378" i="3" s="1"/>
  <c r="J379" i="3" a="1"/>
  <c r="J379" i="3" s="1"/>
  <c r="K379" i="3" s="1"/>
  <c r="L379" i="3" s="1"/>
  <c r="J380" i="3" a="1"/>
  <c r="J380" i="3" s="1"/>
  <c r="K380" i="3" s="1"/>
  <c r="L380" i="3" s="1"/>
  <c r="J381" i="3" a="1"/>
  <c r="J381" i="3" s="1"/>
  <c r="K381" i="3" s="1"/>
  <c r="L381" i="3" s="1"/>
  <c r="J382" i="3" a="1"/>
  <c r="J382" i="3" s="1"/>
  <c r="K382" i="3" s="1"/>
  <c r="L382" i="3" s="1"/>
  <c r="J383" i="3" a="1"/>
  <c r="J383" i="3" s="1"/>
  <c r="K383" i="3" s="1"/>
  <c r="L383" i="3" s="1"/>
  <c r="J384" i="3" a="1"/>
  <c r="J384" i="3" s="1"/>
  <c r="K384" i="3" s="1"/>
  <c r="L384" i="3" s="1"/>
  <c r="J385" i="3" a="1"/>
  <c r="J385" i="3" s="1"/>
  <c r="K385" i="3" s="1"/>
  <c r="L385" i="3" s="1"/>
  <c r="J386" i="3" a="1"/>
  <c r="J386" i="3" s="1"/>
  <c r="K386" i="3" s="1"/>
  <c r="L386" i="3" s="1"/>
  <c r="J387" i="3" a="1"/>
  <c r="J387" i="3" s="1"/>
  <c r="K387" i="3" s="1"/>
  <c r="L387" i="3" s="1"/>
  <c r="J388" i="3" a="1"/>
  <c r="J388" i="3" s="1"/>
  <c r="K388" i="3" s="1"/>
  <c r="L388" i="3" s="1"/>
  <c r="J389" i="3" a="1"/>
  <c r="J389" i="3" s="1"/>
  <c r="K389" i="3" s="1"/>
  <c r="L389" i="3" s="1"/>
  <c r="J390" i="3" a="1"/>
  <c r="J390" i="3" s="1"/>
  <c r="K390" i="3" s="1"/>
  <c r="L390" i="3" s="1"/>
  <c r="J391" i="3" a="1"/>
  <c r="J391" i="3" s="1"/>
  <c r="K391" i="3" s="1"/>
  <c r="L391" i="3" s="1"/>
  <c r="J392" i="3" a="1"/>
  <c r="J392" i="3" s="1"/>
  <c r="K392" i="3" s="1"/>
  <c r="L392" i="3" s="1"/>
  <c r="J393" i="3" a="1"/>
  <c r="J393" i="3" s="1"/>
  <c r="K393" i="3" s="1"/>
  <c r="L393" i="3" s="1"/>
  <c r="J394" i="3" a="1"/>
  <c r="J394" i="3" s="1"/>
  <c r="K394" i="3" s="1"/>
  <c r="L394" i="3" s="1"/>
  <c r="J395" i="3" a="1"/>
  <c r="J395" i="3" s="1"/>
  <c r="K395" i="3" s="1"/>
  <c r="L395" i="3" s="1"/>
  <c r="J396" i="3" a="1"/>
  <c r="J396" i="3" s="1"/>
  <c r="K396" i="3" s="1"/>
  <c r="L396" i="3" s="1"/>
  <c r="J397" i="3" a="1"/>
  <c r="J397" i="3" s="1"/>
  <c r="K397" i="3" s="1"/>
  <c r="L397" i="3" s="1"/>
  <c r="J398" i="3" a="1"/>
  <c r="J398" i="3" s="1"/>
  <c r="K398" i="3" s="1"/>
  <c r="L398" i="3" s="1"/>
  <c r="J399" i="3" a="1"/>
  <c r="J399" i="3" s="1"/>
  <c r="K399" i="3" s="1"/>
  <c r="L399" i="3" s="1"/>
  <c r="J400" i="3" a="1"/>
  <c r="J400" i="3" s="1"/>
  <c r="K400" i="3" s="1"/>
  <c r="L400" i="3" s="1"/>
  <c r="J401" i="3" a="1"/>
  <c r="J401" i="3" s="1"/>
  <c r="K401" i="3" s="1"/>
  <c r="L401" i="3" s="1"/>
  <c r="J402" i="3" a="1"/>
  <c r="J402" i="3" s="1"/>
  <c r="K402" i="3" s="1"/>
  <c r="L402" i="3" s="1"/>
  <c r="J403" i="3" a="1"/>
  <c r="J403" i="3" s="1"/>
  <c r="K403" i="3" s="1"/>
  <c r="L403" i="3" s="1"/>
  <c r="J404" i="3" a="1"/>
  <c r="J404" i="3" s="1"/>
  <c r="K404" i="3" s="1"/>
  <c r="L404" i="3" s="1"/>
  <c r="J405" i="3" a="1"/>
  <c r="J405" i="3" s="1"/>
  <c r="K405" i="3" s="1"/>
  <c r="L405" i="3" s="1"/>
  <c r="J406" i="3" a="1"/>
  <c r="J406" i="3" s="1"/>
  <c r="K406" i="3" s="1"/>
  <c r="L406" i="3" s="1"/>
  <c r="J407" i="3" a="1"/>
  <c r="J407" i="3" s="1"/>
  <c r="K407" i="3" s="1"/>
  <c r="L407" i="3" s="1"/>
  <c r="J408" i="3" a="1"/>
  <c r="J408" i="3" s="1"/>
  <c r="K408" i="3" s="1"/>
  <c r="L408" i="3" s="1"/>
  <c r="J409" i="3" a="1"/>
  <c r="J409" i="3" s="1"/>
  <c r="K409" i="3" s="1"/>
  <c r="L409" i="3" s="1"/>
  <c r="J410" i="3" a="1"/>
  <c r="J410" i="3" s="1"/>
  <c r="K410" i="3" s="1"/>
  <c r="L410" i="3" s="1"/>
  <c r="J411" i="3" a="1"/>
  <c r="J411" i="3" s="1"/>
  <c r="K411" i="3" s="1"/>
  <c r="L411" i="3" s="1"/>
  <c r="J412" i="3" a="1"/>
  <c r="J412" i="3" s="1"/>
  <c r="K412" i="3" s="1"/>
  <c r="L412" i="3" s="1"/>
  <c r="J413" i="3" a="1"/>
  <c r="J413" i="3" s="1"/>
  <c r="K413" i="3" s="1"/>
  <c r="L413" i="3" s="1"/>
  <c r="J414" i="3" a="1"/>
  <c r="J414" i="3" s="1"/>
  <c r="K414" i="3" s="1"/>
  <c r="L414" i="3" s="1"/>
  <c r="J415" i="3" a="1"/>
  <c r="J415" i="3" s="1"/>
  <c r="K415" i="3" s="1"/>
  <c r="L415" i="3" s="1"/>
  <c r="J416" i="3" a="1"/>
  <c r="J416" i="3" s="1"/>
  <c r="K416" i="3" s="1"/>
  <c r="L416" i="3" s="1"/>
  <c r="J417" i="3" a="1"/>
  <c r="J417" i="3" s="1"/>
  <c r="K417" i="3" s="1"/>
  <c r="L417" i="3" s="1"/>
  <c r="J418" i="3" a="1"/>
  <c r="J418" i="3" s="1"/>
  <c r="K418" i="3" s="1"/>
  <c r="L418" i="3" s="1"/>
  <c r="J419" i="3" a="1"/>
  <c r="J419" i="3" s="1"/>
  <c r="K419" i="3" s="1"/>
  <c r="L419" i="3" s="1"/>
  <c r="J420" i="3" a="1"/>
  <c r="J420" i="3" s="1"/>
  <c r="K420" i="3" s="1"/>
  <c r="L420" i="3" s="1"/>
  <c r="J421" i="3" a="1"/>
  <c r="J421" i="3" s="1"/>
  <c r="K421" i="3" s="1"/>
  <c r="L421" i="3" s="1"/>
  <c r="J422" i="3" a="1"/>
  <c r="J422" i="3" s="1"/>
  <c r="K422" i="3" s="1"/>
  <c r="L422" i="3" s="1"/>
  <c r="J423" i="3" a="1"/>
  <c r="J423" i="3" s="1"/>
  <c r="K423" i="3" s="1"/>
  <c r="L423" i="3" s="1"/>
  <c r="J424" i="3" a="1"/>
  <c r="J424" i="3" s="1"/>
  <c r="K424" i="3" s="1"/>
  <c r="L424" i="3" s="1"/>
  <c r="J425" i="3" a="1"/>
  <c r="J425" i="3" s="1"/>
  <c r="K425" i="3" s="1"/>
  <c r="L425" i="3" s="1"/>
  <c r="J426" i="3" a="1"/>
  <c r="J426" i="3" s="1"/>
  <c r="K426" i="3" s="1"/>
  <c r="L426" i="3" s="1"/>
  <c r="J427" i="3" a="1"/>
  <c r="J427" i="3" s="1"/>
  <c r="K427" i="3" s="1"/>
  <c r="L427" i="3" s="1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J363" i="3" l="1" a="1"/>
  <c r="J363" i="3" s="1"/>
  <c r="K363" i="3" s="1"/>
  <c r="L363" i="3" s="1"/>
  <c r="J15" i="3" l="1" a="1"/>
  <c r="J15" i="3" s="1"/>
  <c r="K15" i="3" s="1"/>
  <c r="L15" i="3" s="1"/>
  <c r="J16" i="3" a="1"/>
  <c r="J16" i="3" s="1"/>
  <c r="K16" i="3" s="1"/>
  <c r="L16" i="3" s="1"/>
  <c r="J17" i="3" a="1"/>
  <c r="J17" i="3" s="1"/>
  <c r="K17" i="3" s="1"/>
  <c r="L17" i="3" s="1"/>
  <c r="J18" i="3" a="1"/>
  <c r="J18" i="3" s="1"/>
  <c r="K18" i="3" s="1"/>
  <c r="L18" i="3" s="1"/>
  <c r="J19" i="3" a="1"/>
  <c r="J19" i="3" s="1"/>
  <c r="K19" i="3" s="1"/>
  <c r="L19" i="3" s="1"/>
  <c r="J20" i="3" a="1"/>
  <c r="J20" i="3" s="1"/>
  <c r="K20" i="3" s="1"/>
  <c r="L20" i="3" s="1"/>
  <c r="J21" i="3" a="1"/>
  <c r="J21" i="3" s="1"/>
  <c r="K21" i="3" s="1"/>
  <c r="L21" i="3" s="1"/>
  <c r="J22" i="3" a="1"/>
  <c r="J22" i="3" s="1"/>
  <c r="K22" i="3" s="1"/>
  <c r="L22" i="3" s="1"/>
  <c r="J23" i="3" a="1"/>
  <c r="J23" i="3" s="1"/>
  <c r="K23" i="3" s="1"/>
  <c r="L23" i="3" s="1"/>
  <c r="J24" i="3" a="1"/>
  <c r="J24" i="3" s="1"/>
  <c r="K24" i="3" s="1"/>
  <c r="L24" i="3" s="1"/>
  <c r="J25" i="3" a="1"/>
  <c r="J25" i="3" s="1"/>
  <c r="K25" i="3" s="1"/>
  <c r="L25" i="3" s="1"/>
  <c r="J26" i="3" a="1"/>
  <c r="J26" i="3" s="1"/>
  <c r="K26" i="3" s="1"/>
  <c r="L26" i="3" s="1"/>
  <c r="J27" i="3" a="1"/>
  <c r="J27" i="3" s="1"/>
  <c r="K27" i="3" s="1"/>
  <c r="L27" i="3" s="1"/>
  <c r="J28" i="3" a="1"/>
  <c r="J28" i="3" s="1"/>
  <c r="K28" i="3" s="1"/>
  <c r="L28" i="3" s="1"/>
  <c r="J29" i="3" a="1"/>
  <c r="J29" i="3" s="1"/>
  <c r="K29" i="3" s="1"/>
  <c r="L29" i="3" s="1"/>
  <c r="J30" i="3" a="1"/>
  <c r="J30" i="3" s="1"/>
  <c r="K30" i="3" s="1"/>
  <c r="L30" i="3" s="1"/>
  <c r="J31" i="3" a="1"/>
  <c r="J31" i="3" s="1"/>
  <c r="K31" i="3" s="1"/>
  <c r="L31" i="3" s="1"/>
  <c r="J32" i="3" a="1"/>
  <c r="J32" i="3" s="1"/>
  <c r="K32" i="3" s="1"/>
  <c r="L32" i="3" s="1"/>
  <c r="J33" i="3" a="1"/>
  <c r="J33" i="3" s="1"/>
  <c r="K33" i="3" s="1"/>
  <c r="L33" i="3" s="1"/>
  <c r="J34" i="3" a="1"/>
  <c r="J34" i="3" s="1"/>
  <c r="K34" i="3" s="1"/>
  <c r="L34" i="3" s="1"/>
  <c r="J35" i="3" a="1"/>
  <c r="J35" i="3" s="1"/>
  <c r="K35" i="3" s="1"/>
  <c r="L35" i="3" s="1"/>
  <c r="J36" i="3" a="1"/>
  <c r="J36" i="3" s="1"/>
  <c r="K36" i="3" s="1"/>
  <c r="L36" i="3" s="1"/>
  <c r="J37" i="3" a="1"/>
  <c r="J37" i="3" s="1"/>
  <c r="K37" i="3" s="1"/>
  <c r="L37" i="3" s="1"/>
  <c r="J38" i="3" a="1"/>
  <c r="J38" i="3" s="1"/>
  <c r="K38" i="3" s="1"/>
  <c r="L38" i="3" s="1"/>
  <c r="J39" i="3" a="1"/>
  <c r="J39" i="3" s="1"/>
  <c r="J40" i="3" a="1"/>
  <c r="J40" i="3" s="1"/>
  <c r="K40" i="3" s="1"/>
  <c r="L40" i="3" s="1"/>
  <c r="J41" i="3" a="1"/>
  <c r="J41" i="3" s="1"/>
  <c r="K41" i="3" s="1"/>
  <c r="L41" i="3" s="1"/>
  <c r="J42" i="3" a="1"/>
  <c r="J42" i="3" s="1"/>
  <c r="K42" i="3" s="1"/>
  <c r="L42" i="3" s="1"/>
  <c r="J43" i="3" a="1"/>
  <c r="J43" i="3" s="1"/>
  <c r="K43" i="3" s="1"/>
  <c r="L43" i="3" s="1"/>
  <c r="J44" i="3" a="1"/>
  <c r="J44" i="3" s="1"/>
  <c r="K44" i="3" s="1"/>
  <c r="L44" i="3" s="1"/>
  <c r="J45" i="3" a="1"/>
  <c r="J45" i="3" s="1"/>
  <c r="K45" i="3" s="1"/>
  <c r="L45" i="3" s="1"/>
  <c r="J46" i="3" a="1"/>
  <c r="J46" i="3" s="1"/>
  <c r="K46" i="3" s="1"/>
  <c r="L46" i="3" s="1"/>
  <c r="J47" i="3" a="1"/>
  <c r="J47" i="3" s="1"/>
  <c r="K47" i="3" s="1"/>
  <c r="L47" i="3" s="1"/>
  <c r="J48" i="3" a="1"/>
  <c r="J48" i="3" s="1"/>
  <c r="J49" i="3" a="1"/>
  <c r="J49" i="3" s="1"/>
  <c r="K49" i="3" s="1"/>
  <c r="L49" i="3" s="1"/>
  <c r="J50" i="3" a="1"/>
  <c r="J50" i="3" s="1"/>
  <c r="K50" i="3" s="1"/>
  <c r="L50" i="3" s="1"/>
  <c r="J51" i="3" a="1"/>
  <c r="J51" i="3" s="1"/>
  <c r="K51" i="3" s="1"/>
  <c r="L51" i="3" s="1"/>
  <c r="J52" i="3" a="1"/>
  <c r="J52" i="3" s="1"/>
  <c r="K52" i="3" s="1"/>
  <c r="L52" i="3" s="1"/>
  <c r="J53" i="3" a="1"/>
  <c r="J53" i="3" s="1"/>
  <c r="K53" i="3" s="1"/>
  <c r="L53" i="3" s="1"/>
  <c r="J54" i="3" a="1"/>
  <c r="J54" i="3" s="1"/>
  <c r="K54" i="3" s="1"/>
  <c r="L54" i="3" s="1"/>
  <c r="J55" i="3" a="1"/>
  <c r="J55" i="3" s="1"/>
  <c r="K55" i="3" s="1"/>
  <c r="L55" i="3" s="1"/>
  <c r="J56" i="3" a="1"/>
  <c r="J56" i="3" s="1"/>
  <c r="K56" i="3" s="1"/>
  <c r="L56" i="3" s="1"/>
  <c r="J57" i="3" a="1"/>
  <c r="J57" i="3" s="1"/>
  <c r="K57" i="3" s="1"/>
  <c r="L57" i="3" s="1"/>
  <c r="J58" i="3" a="1"/>
  <c r="J58" i="3" s="1"/>
  <c r="K58" i="3" s="1"/>
  <c r="L58" i="3" s="1"/>
  <c r="J59" i="3" a="1"/>
  <c r="J59" i="3" s="1"/>
  <c r="K59" i="3" s="1"/>
  <c r="L59" i="3" s="1"/>
  <c r="J60" i="3" a="1"/>
  <c r="J60" i="3" s="1"/>
  <c r="K60" i="3" s="1"/>
  <c r="L60" i="3" s="1"/>
  <c r="J61" i="3" a="1"/>
  <c r="J61" i="3" s="1"/>
  <c r="K61" i="3" s="1"/>
  <c r="L61" i="3" s="1"/>
  <c r="J62" i="3" a="1"/>
  <c r="J62" i="3" s="1"/>
  <c r="K62" i="3" s="1"/>
  <c r="L62" i="3" s="1"/>
  <c r="J63" i="3" a="1"/>
  <c r="J63" i="3" s="1"/>
  <c r="K63" i="3" s="1"/>
  <c r="L63" i="3" s="1"/>
  <c r="J64" i="3" a="1"/>
  <c r="J64" i="3" s="1"/>
  <c r="K64" i="3" s="1"/>
  <c r="L64" i="3" s="1"/>
  <c r="J65" i="3" a="1"/>
  <c r="J65" i="3" s="1"/>
  <c r="K65" i="3" s="1"/>
  <c r="L65" i="3" s="1"/>
  <c r="J66" i="3" a="1"/>
  <c r="J66" i="3" s="1"/>
  <c r="K66" i="3" s="1"/>
  <c r="L66" i="3" s="1"/>
  <c r="J67" i="3" a="1"/>
  <c r="J67" i="3" s="1"/>
  <c r="K67" i="3" s="1"/>
  <c r="L67" i="3" s="1"/>
  <c r="J68" i="3" a="1"/>
  <c r="J68" i="3" s="1"/>
  <c r="K68" i="3" s="1"/>
  <c r="L68" i="3" s="1"/>
  <c r="J69" i="3" a="1"/>
  <c r="J69" i="3" s="1"/>
  <c r="K69" i="3" s="1"/>
  <c r="L69" i="3" s="1"/>
  <c r="J70" i="3" a="1"/>
  <c r="J70" i="3" s="1"/>
  <c r="K70" i="3" s="1"/>
  <c r="L70" i="3" s="1"/>
  <c r="J71" i="3" a="1"/>
  <c r="J71" i="3" s="1"/>
  <c r="K71" i="3" s="1"/>
  <c r="L71" i="3" s="1"/>
  <c r="J72" i="3" a="1"/>
  <c r="J72" i="3" s="1"/>
  <c r="K72" i="3" s="1"/>
  <c r="L72" i="3" s="1"/>
  <c r="J73" i="3" a="1"/>
  <c r="J73" i="3" s="1"/>
  <c r="K73" i="3" s="1"/>
  <c r="L73" i="3" s="1"/>
  <c r="J74" i="3" a="1"/>
  <c r="J74" i="3" s="1"/>
  <c r="K74" i="3" s="1"/>
  <c r="L74" i="3" s="1"/>
  <c r="J75" i="3" a="1"/>
  <c r="J75" i="3" s="1"/>
  <c r="K75" i="3" s="1"/>
  <c r="L75" i="3" s="1"/>
  <c r="J76" i="3" a="1"/>
  <c r="J76" i="3" s="1"/>
  <c r="K76" i="3" s="1"/>
  <c r="L76" i="3" s="1"/>
  <c r="J77" i="3" a="1"/>
  <c r="J77" i="3" s="1"/>
  <c r="K77" i="3" s="1"/>
  <c r="L77" i="3" s="1"/>
  <c r="J78" i="3" a="1"/>
  <c r="J78" i="3" s="1"/>
  <c r="K78" i="3" s="1"/>
  <c r="L78" i="3" s="1"/>
  <c r="J79" i="3" a="1"/>
  <c r="J79" i="3" s="1"/>
  <c r="J80" i="3" a="1"/>
  <c r="J80" i="3" s="1"/>
  <c r="K80" i="3" s="1"/>
  <c r="L80" i="3" s="1"/>
  <c r="J81" i="3" a="1"/>
  <c r="J81" i="3" s="1"/>
  <c r="K81" i="3" s="1"/>
  <c r="L81" i="3" s="1"/>
  <c r="J82" i="3" a="1"/>
  <c r="J82" i="3" s="1"/>
  <c r="K82" i="3" s="1"/>
  <c r="L82" i="3" s="1"/>
  <c r="J83" i="3" a="1"/>
  <c r="J83" i="3" s="1"/>
  <c r="K83" i="3" s="1"/>
  <c r="L83" i="3" s="1"/>
  <c r="J84" i="3" a="1"/>
  <c r="J84" i="3" s="1"/>
  <c r="K84" i="3" s="1"/>
  <c r="L84" i="3" s="1"/>
  <c r="J85" i="3" a="1"/>
  <c r="J85" i="3" s="1"/>
  <c r="K85" i="3" s="1"/>
  <c r="L85" i="3" s="1"/>
  <c r="J86" i="3" a="1"/>
  <c r="J86" i="3" s="1"/>
  <c r="K86" i="3" s="1"/>
  <c r="L86" i="3" s="1"/>
  <c r="J87" i="3" a="1"/>
  <c r="J87" i="3" s="1"/>
  <c r="K87" i="3" s="1"/>
  <c r="L87" i="3" s="1"/>
  <c r="J88" i="3" a="1"/>
  <c r="J88" i="3" s="1"/>
  <c r="K88" i="3" s="1"/>
  <c r="L88" i="3" s="1"/>
  <c r="J89" i="3" a="1"/>
  <c r="J89" i="3" s="1"/>
  <c r="K89" i="3" s="1"/>
  <c r="L89" i="3" s="1"/>
  <c r="J90" i="3" a="1"/>
  <c r="J90" i="3" s="1"/>
  <c r="K90" i="3" s="1"/>
  <c r="L90" i="3" s="1"/>
  <c r="J91" i="3" a="1"/>
  <c r="J91" i="3" s="1"/>
  <c r="K91" i="3" s="1"/>
  <c r="L91" i="3" s="1"/>
  <c r="J92" i="3" a="1"/>
  <c r="J92" i="3" s="1"/>
  <c r="K92" i="3" s="1"/>
  <c r="L92" i="3" s="1"/>
  <c r="J93" i="3" a="1"/>
  <c r="J93" i="3" s="1"/>
  <c r="K93" i="3" s="1"/>
  <c r="L93" i="3" s="1"/>
  <c r="J94" i="3" a="1"/>
  <c r="J94" i="3" s="1"/>
  <c r="K94" i="3" s="1"/>
  <c r="L94" i="3" s="1"/>
  <c r="J95" i="3" a="1"/>
  <c r="J95" i="3" s="1"/>
  <c r="K95" i="3" s="1"/>
  <c r="L95" i="3" s="1"/>
  <c r="J96" i="3" a="1"/>
  <c r="J96" i="3" s="1"/>
  <c r="K96" i="3" s="1"/>
  <c r="L96" i="3" s="1"/>
  <c r="J97" i="3" a="1"/>
  <c r="J97" i="3" s="1"/>
  <c r="K97" i="3" s="1"/>
  <c r="L97" i="3" s="1"/>
  <c r="J98" i="3" a="1"/>
  <c r="J98" i="3" s="1"/>
  <c r="K98" i="3" s="1"/>
  <c r="L98" i="3" s="1"/>
  <c r="J99" i="3" a="1"/>
  <c r="J99" i="3" s="1"/>
  <c r="K99" i="3" s="1"/>
  <c r="L99" i="3" s="1"/>
  <c r="J100" i="3" a="1"/>
  <c r="J100" i="3" s="1"/>
  <c r="K100" i="3" s="1"/>
  <c r="L100" i="3" s="1"/>
  <c r="J101" i="3" a="1"/>
  <c r="J101" i="3" s="1"/>
  <c r="K101" i="3" s="1"/>
  <c r="L101" i="3" s="1"/>
  <c r="J102" i="3" a="1"/>
  <c r="J102" i="3" s="1"/>
  <c r="K102" i="3" s="1"/>
  <c r="L102" i="3" s="1"/>
  <c r="J103" i="3" a="1"/>
  <c r="J103" i="3" s="1"/>
  <c r="K103" i="3" s="1"/>
  <c r="L103" i="3" s="1"/>
  <c r="J104" i="3" a="1"/>
  <c r="J104" i="3" s="1"/>
  <c r="K104" i="3" s="1"/>
  <c r="L104" i="3" s="1"/>
  <c r="J105" i="3" a="1"/>
  <c r="J105" i="3" s="1"/>
  <c r="K105" i="3" s="1"/>
  <c r="L105" i="3" s="1"/>
  <c r="J106" i="3" a="1"/>
  <c r="J106" i="3" s="1"/>
  <c r="K106" i="3" s="1"/>
  <c r="L106" i="3" s="1"/>
  <c r="J107" i="3" a="1"/>
  <c r="J107" i="3" s="1"/>
  <c r="K107" i="3" s="1"/>
  <c r="L107" i="3" s="1"/>
  <c r="J108" i="3" a="1"/>
  <c r="J108" i="3" s="1"/>
  <c r="K108" i="3" s="1"/>
  <c r="L108" i="3" s="1"/>
  <c r="J109" i="3" a="1"/>
  <c r="J109" i="3" s="1"/>
  <c r="K109" i="3" s="1"/>
  <c r="L109" i="3" s="1"/>
  <c r="J110" i="3" a="1"/>
  <c r="J110" i="3" s="1"/>
  <c r="K110" i="3" s="1"/>
  <c r="L110" i="3" s="1"/>
  <c r="J111" i="3" a="1"/>
  <c r="J111" i="3" s="1"/>
  <c r="K111" i="3" s="1"/>
  <c r="L111" i="3" s="1"/>
  <c r="J112" i="3" a="1"/>
  <c r="J112" i="3" s="1"/>
  <c r="K112" i="3" s="1"/>
  <c r="L112" i="3" s="1"/>
  <c r="J113" i="3" a="1"/>
  <c r="J113" i="3" s="1"/>
  <c r="K113" i="3" s="1"/>
  <c r="L113" i="3" s="1"/>
  <c r="J114" i="3" a="1"/>
  <c r="J114" i="3" s="1"/>
  <c r="K114" i="3" s="1"/>
  <c r="L114" i="3" s="1"/>
  <c r="J115" i="3" a="1"/>
  <c r="J115" i="3" s="1"/>
  <c r="K115" i="3" s="1"/>
  <c r="L115" i="3" s="1"/>
  <c r="J116" i="3" a="1"/>
  <c r="J116" i="3" s="1"/>
  <c r="K116" i="3" s="1"/>
  <c r="L116" i="3" s="1"/>
  <c r="J117" i="3" a="1"/>
  <c r="J117" i="3" s="1"/>
  <c r="K117" i="3" s="1"/>
  <c r="L117" i="3" s="1"/>
  <c r="J118" i="3" a="1"/>
  <c r="J118" i="3" s="1"/>
  <c r="K118" i="3" s="1"/>
  <c r="L118" i="3" s="1"/>
  <c r="J119" i="3" a="1"/>
  <c r="J119" i="3" s="1"/>
  <c r="K119" i="3" s="1"/>
  <c r="L119" i="3" s="1"/>
  <c r="J120" i="3" a="1"/>
  <c r="J120" i="3" s="1"/>
  <c r="K120" i="3" s="1"/>
  <c r="L120" i="3" s="1"/>
  <c r="J121" i="3" a="1"/>
  <c r="J121" i="3" s="1"/>
  <c r="K121" i="3" s="1"/>
  <c r="L121" i="3" s="1"/>
  <c r="J122" i="3" a="1"/>
  <c r="J122" i="3" s="1"/>
  <c r="K122" i="3" s="1"/>
  <c r="L122" i="3" s="1"/>
  <c r="J123" i="3" a="1"/>
  <c r="J123" i="3" s="1"/>
  <c r="K123" i="3" s="1"/>
  <c r="L123" i="3" s="1"/>
  <c r="J124" i="3" a="1"/>
  <c r="J124" i="3" s="1"/>
  <c r="K124" i="3" s="1"/>
  <c r="L124" i="3" s="1"/>
  <c r="J125" i="3" a="1"/>
  <c r="J125" i="3" s="1"/>
  <c r="K125" i="3" s="1"/>
  <c r="L125" i="3" s="1"/>
  <c r="J126" i="3" a="1"/>
  <c r="J126" i="3" s="1"/>
  <c r="K126" i="3" s="1"/>
  <c r="L126" i="3" s="1"/>
  <c r="J127" i="3" a="1"/>
  <c r="J127" i="3" s="1"/>
  <c r="K127" i="3" s="1"/>
  <c r="L127" i="3" s="1"/>
  <c r="J128" i="3" a="1"/>
  <c r="J128" i="3" s="1"/>
  <c r="K128" i="3" s="1"/>
  <c r="L128" i="3" s="1"/>
  <c r="J129" i="3" a="1"/>
  <c r="J129" i="3" s="1"/>
  <c r="K129" i="3" s="1"/>
  <c r="L129" i="3" s="1"/>
  <c r="J130" i="3" a="1"/>
  <c r="J130" i="3" s="1"/>
  <c r="K130" i="3" s="1"/>
  <c r="L130" i="3" s="1"/>
  <c r="J131" i="3" a="1"/>
  <c r="J131" i="3" s="1"/>
  <c r="K131" i="3" s="1"/>
  <c r="L131" i="3" s="1"/>
  <c r="J132" i="3" a="1"/>
  <c r="J132" i="3" s="1"/>
  <c r="K132" i="3" s="1"/>
  <c r="L132" i="3" s="1"/>
  <c r="J133" i="3" a="1"/>
  <c r="J133" i="3" s="1"/>
  <c r="K133" i="3" s="1"/>
  <c r="L133" i="3" s="1"/>
  <c r="J134" i="3" a="1"/>
  <c r="J134" i="3" s="1"/>
  <c r="K134" i="3" s="1"/>
  <c r="L134" i="3" s="1"/>
  <c r="J135" i="3" a="1"/>
  <c r="J135" i="3" s="1"/>
  <c r="K135" i="3" s="1"/>
  <c r="L135" i="3" s="1"/>
  <c r="J136" i="3" a="1"/>
  <c r="J136" i="3" s="1"/>
  <c r="K136" i="3" s="1"/>
  <c r="L136" i="3" s="1"/>
  <c r="J137" i="3" a="1"/>
  <c r="J137" i="3" s="1"/>
  <c r="K137" i="3" s="1"/>
  <c r="L137" i="3" s="1"/>
  <c r="J138" i="3" a="1"/>
  <c r="J138" i="3" s="1"/>
  <c r="K138" i="3" s="1"/>
  <c r="L138" i="3" s="1"/>
  <c r="J139" i="3" a="1"/>
  <c r="J139" i="3" s="1"/>
  <c r="K139" i="3" s="1"/>
  <c r="L139" i="3" s="1"/>
  <c r="J140" i="3" a="1"/>
  <c r="J140" i="3" s="1"/>
  <c r="K140" i="3" s="1"/>
  <c r="L140" i="3" s="1"/>
  <c r="J141" i="3" a="1"/>
  <c r="J141" i="3" s="1"/>
  <c r="K141" i="3" s="1"/>
  <c r="L141" i="3" s="1"/>
  <c r="J142" i="3" a="1"/>
  <c r="J142" i="3" s="1"/>
  <c r="K142" i="3" s="1"/>
  <c r="L142" i="3" s="1"/>
  <c r="J143" i="3" a="1"/>
  <c r="J143" i="3" s="1"/>
  <c r="K143" i="3" s="1"/>
  <c r="L143" i="3" s="1"/>
  <c r="J144" i="3" a="1"/>
  <c r="J144" i="3" s="1"/>
  <c r="K144" i="3" s="1"/>
  <c r="L144" i="3" s="1"/>
  <c r="J145" i="3" a="1"/>
  <c r="J145" i="3" s="1"/>
  <c r="K145" i="3" s="1"/>
  <c r="L145" i="3" s="1"/>
  <c r="J146" i="3" a="1"/>
  <c r="J146" i="3" s="1"/>
  <c r="K146" i="3" s="1"/>
  <c r="L146" i="3" s="1"/>
  <c r="J147" i="3" a="1"/>
  <c r="J147" i="3" s="1"/>
  <c r="K147" i="3" s="1"/>
  <c r="L147" i="3" s="1"/>
  <c r="J148" i="3" a="1"/>
  <c r="J148" i="3" s="1"/>
  <c r="K148" i="3" s="1"/>
  <c r="L148" i="3" s="1"/>
  <c r="J149" i="3" a="1"/>
  <c r="J149" i="3" s="1"/>
  <c r="K149" i="3" s="1"/>
  <c r="L149" i="3" s="1"/>
  <c r="J150" i="3" a="1"/>
  <c r="J150" i="3" s="1"/>
  <c r="K150" i="3" s="1"/>
  <c r="L150" i="3" s="1"/>
  <c r="J151" i="3" a="1"/>
  <c r="J151" i="3" s="1"/>
  <c r="K151" i="3" s="1"/>
  <c r="L151" i="3" s="1"/>
  <c r="J152" i="3" a="1"/>
  <c r="J152" i="3" s="1"/>
  <c r="K152" i="3" s="1"/>
  <c r="L152" i="3" s="1"/>
  <c r="J153" i="3" a="1"/>
  <c r="J153" i="3" s="1"/>
  <c r="K153" i="3" s="1"/>
  <c r="L153" i="3" s="1"/>
  <c r="J154" i="3" a="1"/>
  <c r="J154" i="3" s="1"/>
  <c r="K154" i="3" s="1"/>
  <c r="L154" i="3" s="1"/>
  <c r="J155" i="3" a="1"/>
  <c r="J155" i="3" s="1"/>
  <c r="K155" i="3" s="1"/>
  <c r="L155" i="3" s="1"/>
  <c r="J156" i="3" a="1"/>
  <c r="J156" i="3" s="1"/>
  <c r="K156" i="3" s="1"/>
  <c r="L156" i="3" s="1"/>
  <c r="J157" i="3" a="1"/>
  <c r="J157" i="3" s="1"/>
  <c r="K157" i="3" s="1"/>
  <c r="L157" i="3" s="1"/>
  <c r="J158" i="3" a="1"/>
  <c r="J158" i="3" s="1"/>
  <c r="K158" i="3" s="1"/>
  <c r="L158" i="3" s="1"/>
  <c r="J159" i="3" a="1"/>
  <c r="J159" i="3" s="1"/>
  <c r="K159" i="3" s="1"/>
  <c r="L159" i="3" s="1"/>
  <c r="J160" i="3" a="1"/>
  <c r="J160" i="3" s="1"/>
  <c r="K160" i="3" s="1"/>
  <c r="L160" i="3" s="1"/>
  <c r="J161" i="3" a="1"/>
  <c r="J161" i="3" s="1"/>
  <c r="K161" i="3" s="1"/>
  <c r="L161" i="3" s="1"/>
  <c r="J162" i="3" a="1"/>
  <c r="J162" i="3" s="1"/>
  <c r="K162" i="3" s="1"/>
  <c r="L162" i="3" s="1"/>
  <c r="J163" i="3" a="1"/>
  <c r="J163" i="3" s="1"/>
  <c r="K163" i="3" s="1"/>
  <c r="L163" i="3" s="1"/>
  <c r="J164" i="3" a="1"/>
  <c r="J164" i="3" s="1"/>
  <c r="K164" i="3" s="1"/>
  <c r="L164" i="3" s="1"/>
  <c r="J165" i="3" a="1"/>
  <c r="J165" i="3" s="1"/>
  <c r="K165" i="3" s="1"/>
  <c r="L165" i="3" s="1"/>
  <c r="J166" i="3" a="1"/>
  <c r="J166" i="3" s="1"/>
  <c r="K166" i="3" s="1"/>
  <c r="L166" i="3" s="1"/>
  <c r="J167" i="3" a="1"/>
  <c r="J167" i="3" s="1"/>
  <c r="K167" i="3" s="1"/>
  <c r="L167" i="3" s="1"/>
  <c r="J168" i="3" a="1"/>
  <c r="J168" i="3" s="1"/>
  <c r="K168" i="3" s="1"/>
  <c r="L168" i="3" s="1"/>
  <c r="J169" i="3" a="1"/>
  <c r="J169" i="3" s="1"/>
  <c r="K169" i="3" s="1"/>
  <c r="L169" i="3" s="1"/>
  <c r="J170" i="3" a="1"/>
  <c r="J170" i="3" s="1"/>
  <c r="K170" i="3" s="1"/>
  <c r="L170" i="3" s="1"/>
  <c r="J171" i="3" a="1"/>
  <c r="J171" i="3" s="1"/>
  <c r="K171" i="3" s="1"/>
  <c r="L171" i="3" s="1"/>
  <c r="J172" i="3" a="1"/>
  <c r="J172" i="3" s="1"/>
  <c r="K172" i="3" s="1"/>
  <c r="L172" i="3" s="1"/>
  <c r="J173" i="3" a="1"/>
  <c r="J173" i="3" s="1"/>
  <c r="K173" i="3" s="1"/>
  <c r="L173" i="3" s="1"/>
  <c r="J174" i="3" a="1"/>
  <c r="J174" i="3" s="1"/>
  <c r="K174" i="3" s="1"/>
  <c r="L174" i="3" s="1"/>
  <c r="J175" i="3" a="1"/>
  <c r="J175" i="3" s="1"/>
  <c r="K175" i="3" s="1"/>
  <c r="L175" i="3" s="1"/>
  <c r="J176" i="3" a="1"/>
  <c r="J176" i="3" s="1"/>
  <c r="K176" i="3" s="1"/>
  <c r="L176" i="3" s="1"/>
  <c r="J177" i="3" a="1"/>
  <c r="J177" i="3" s="1"/>
  <c r="K177" i="3" s="1"/>
  <c r="L177" i="3" s="1"/>
  <c r="J178" i="3" a="1"/>
  <c r="J178" i="3" s="1"/>
  <c r="K178" i="3" s="1"/>
  <c r="L178" i="3" s="1"/>
  <c r="J179" i="3" a="1"/>
  <c r="J179" i="3" s="1"/>
  <c r="K179" i="3" s="1"/>
  <c r="L179" i="3" s="1"/>
  <c r="J180" i="3" a="1"/>
  <c r="J180" i="3" s="1"/>
  <c r="K180" i="3" s="1"/>
  <c r="L180" i="3" s="1"/>
  <c r="J181" i="3" a="1"/>
  <c r="J181" i="3" s="1"/>
  <c r="K181" i="3" s="1"/>
  <c r="L181" i="3" s="1"/>
  <c r="J182" i="3" a="1"/>
  <c r="J182" i="3" s="1"/>
  <c r="K182" i="3" s="1"/>
  <c r="L182" i="3" s="1"/>
  <c r="J183" i="3" a="1"/>
  <c r="J183" i="3" s="1"/>
  <c r="K183" i="3" s="1"/>
  <c r="L183" i="3" s="1"/>
  <c r="J184" i="3" a="1"/>
  <c r="J184" i="3" s="1"/>
  <c r="K184" i="3" s="1"/>
  <c r="L184" i="3" s="1"/>
  <c r="J185" i="3" a="1"/>
  <c r="J185" i="3" s="1"/>
  <c r="K185" i="3" s="1"/>
  <c r="L185" i="3" s="1"/>
  <c r="J186" i="3" a="1"/>
  <c r="J186" i="3" s="1"/>
  <c r="K186" i="3" s="1"/>
  <c r="L186" i="3" s="1"/>
  <c r="J187" i="3" a="1"/>
  <c r="J187" i="3" s="1"/>
  <c r="K187" i="3" s="1"/>
  <c r="L187" i="3" s="1"/>
  <c r="J188" i="3" a="1"/>
  <c r="J188" i="3" s="1"/>
  <c r="K188" i="3" s="1"/>
  <c r="L188" i="3" s="1"/>
  <c r="J189" i="3" a="1"/>
  <c r="J189" i="3" s="1"/>
  <c r="K189" i="3" s="1"/>
  <c r="L189" i="3" s="1"/>
  <c r="J190" i="3" a="1"/>
  <c r="J190" i="3" s="1"/>
  <c r="K190" i="3" s="1"/>
  <c r="L190" i="3" s="1"/>
  <c r="J191" i="3" a="1"/>
  <c r="J191" i="3" s="1"/>
  <c r="K191" i="3" s="1"/>
  <c r="L191" i="3" s="1"/>
  <c r="J192" i="3" a="1"/>
  <c r="J192" i="3" s="1"/>
  <c r="K192" i="3" s="1"/>
  <c r="L192" i="3" s="1"/>
  <c r="J193" i="3" a="1"/>
  <c r="J193" i="3" s="1"/>
  <c r="K193" i="3" s="1"/>
  <c r="L193" i="3" s="1"/>
  <c r="J194" i="3" a="1"/>
  <c r="J194" i="3" s="1"/>
  <c r="K194" i="3" s="1"/>
  <c r="L194" i="3" s="1"/>
  <c r="J195" i="3" a="1"/>
  <c r="J195" i="3" s="1"/>
  <c r="K195" i="3" s="1"/>
  <c r="L195" i="3" s="1"/>
  <c r="J196" i="3" a="1"/>
  <c r="J196" i="3" s="1"/>
  <c r="K196" i="3" s="1"/>
  <c r="L196" i="3" s="1"/>
  <c r="J197" i="3" a="1"/>
  <c r="J197" i="3" s="1"/>
  <c r="K197" i="3" s="1"/>
  <c r="L197" i="3" s="1"/>
  <c r="J198" i="3" a="1"/>
  <c r="J198" i="3" s="1"/>
  <c r="K198" i="3" s="1"/>
  <c r="L198" i="3" s="1"/>
  <c r="J199" i="3" a="1"/>
  <c r="J199" i="3" s="1"/>
  <c r="K199" i="3" s="1"/>
  <c r="L199" i="3" s="1"/>
  <c r="J200" i="3" a="1"/>
  <c r="J200" i="3" s="1"/>
  <c r="K200" i="3" s="1"/>
  <c r="L200" i="3" s="1"/>
  <c r="J201" i="3" a="1"/>
  <c r="J201" i="3" s="1"/>
  <c r="K201" i="3" s="1"/>
  <c r="L201" i="3" s="1"/>
  <c r="J202" i="3" a="1"/>
  <c r="J202" i="3" s="1"/>
  <c r="K202" i="3" s="1"/>
  <c r="L202" i="3" s="1"/>
  <c r="J203" i="3" a="1"/>
  <c r="J203" i="3" s="1"/>
  <c r="K203" i="3" s="1"/>
  <c r="L203" i="3" s="1"/>
  <c r="J204" i="3" a="1"/>
  <c r="J204" i="3" s="1"/>
  <c r="K204" i="3" s="1"/>
  <c r="L204" i="3" s="1"/>
  <c r="J205" i="3" a="1"/>
  <c r="J205" i="3" s="1"/>
  <c r="K205" i="3" s="1"/>
  <c r="L205" i="3" s="1"/>
  <c r="J206" i="3" a="1"/>
  <c r="J206" i="3" s="1"/>
  <c r="K206" i="3" s="1"/>
  <c r="L206" i="3" s="1"/>
  <c r="J207" i="3" a="1"/>
  <c r="J207" i="3" s="1"/>
  <c r="K207" i="3" s="1"/>
  <c r="L207" i="3" s="1"/>
  <c r="J208" i="3" a="1"/>
  <c r="J208" i="3" s="1"/>
  <c r="K208" i="3" s="1"/>
  <c r="L208" i="3" s="1"/>
  <c r="J209" i="3" a="1"/>
  <c r="J209" i="3" s="1"/>
  <c r="K209" i="3" s="1"/>
  <c r="L209" i="3" s="1"/>
  <c r="J210" i="3" a="1"/>
  <c r="J210" i="3" s="1"/>
  <c r="K210" i="3" s="1"/>
  <c r="L210" i="3" s="1"/>
  <c r="J211" i="3" a="1"/>
  <c r="J211" i="3" s="1"/>
  <c r="K211" i="3" s="1"/>
  <c r="L211" i="3" s="1"/>
  <c r="J212" i="3" a="1"/>
  <c r="J212" i="3" s="1"/>
  <c r="K212" i="3" s="1"/>
  <c r="L212" i="3" s="1"/>
  <c r="J213" i="3" a="1"/>
  <c r="J213" i="3" s="1"/>
  <c r="K213" i="3" s="1"/>
  <c r="L213" i="3" s="1"/>
  <c r="J214" i="3" a="1"/>
  <c r="J214" i="3" s="1"/>
  <c r="K214" i="3" s="1"/>
  <c r="L214" i="3" s="1"/>
  <c r="J215" i="3" a="1"/>
  <c r="J215" i="3" s="1"/>
  <c r="K215" i="3" s="1"/>
  <c r="L215" i="3" s="1"/>
  <c r="J216" i="3" a="1"/>
  <c r="J216" i="3" s="1"/>
  <c r="K216" i="3" s="1"/>
  <c r="L216" i="3" s="1"/>
  <c r="J217" i="3" a="1"/>
  <c r="J217" i="3" s="1"/>
  <c r="K217" i="3" s="1"/>
  <c r="L217" i="3" s="1"/>
  <c r="J218" i="3" a="1"/>
  <c r="J218" i="3" s="1"/>
  <c r="K218" i="3" s="1"/>
  <c r="L218" i="3" s="1"/>
  <c r="J219" i="3" a="1"/>
  <c r="J219" i="3" s="1"/>
  <c r="K219" i="3" s="1"/>
  <c r="L219" i="3" s="1"/>
  <c r="J220" i="3" a="1"/>
  <c r="J220" i="3" s="1"/>
  <c r="K220" i="3" s="1"/>
  <c r="L220" i="3" s="1"/>
  <c r="J221" i="3" a="1"/>
  <c r="J221" i="3" s="1"/>
  <c r="K221" i="3" s="1"/>
  <c r="L221" i="3" s="1"/>
  <c r="J222" i="3" a="1"/>
  <c r="J222" i="3" s="1"/>
  <c r="K222" i="3" s="1"/>
  <c r="L222" i="3" s="1"/>
  <c r="J223" i="3" a="1"/>
  <c r="J223" i="3" s="1"/>
  <c r="K223" i="3" s="1"/>
  <c r="L223" i="3" s="1"/>
  <c r="J224" i="3" a="1"/>
  <c r="J224" i="3" s="1"/>
  <c r="K224" i="3" s="1"/>
  <c r="L224" i="3" s="1"/>
  <c r="J225" i="3" a="1"/>
  <c r="J225" i="3" s="1"/>
  <c r="K225" i="3" s="1"/>
  <c r="L225" i="3" s="1"/>
  <c r="J226" i="3" a="1"/>
  <c r="J226" i="3" s="1"/>
  <c r="K226" i="3" s="1"/>
  <c r="L226" i="3" s="1"/>
  <c r="J227" i="3" a="1"/>
  <c r="J227" i="3" s="1"/>
  <c r="K227" i="3" s="1"/>
  <c r="L227" i="3" s="1"/>
  <c r="J228" i="3" a="1"/>
  <c r="J228" i="3" s="1"/>
  <c r="K228" i="3" s="1"/>
  <c r="L228" i="3" s="1"/>
  <c r="J229" i="3" a="1"/>
  <c r="J229" i="3" s="1"/>
  <c r="K229" i="3" s="1"/>
  <c r="L229" i="3" s="1"/>
  <c r="J230" i="3" a="1"/>
  <c r="J230" i="3" s="1"/>
  <c r="K230" i="3" s="1"/>
  <c r="L230" i="3" s="1"/>
  <c r="J231" i="3" a="1"/>
  <c r="J231" i="3" s="1"/>
  <c r="K231" i="3" s="1"/>
  <c r="L231" i="3" s="1"/>
  <c r="J232" i="3" a="1"/>
  <c r="J232" i="3" s="1"/>
  <c r="K232" i="3" s="1"/>
  <c r="L232" i="3" s="1"/>
  <c r="J233" i="3" a="1"/>
  <c r="J233" i="3" s="1"/>
  <c r="K233" i="3" s="1"/>
  <c r="L233" i="3" s="1"/>
  <c r="J234" i="3" a="1"/>
  <c r="J234" i="3" s="1"/>
  <c r="K234" i="3" s="1"/>
  <c r="L234" i="3" s="1"/>
  <c r="J235" i="3" a="1"/>
  <c r="J235" i="3" s="1"/>
  <c r="K235" i="3" s="1"/>
  <c r="L235" i="3" s="1"/>
  <c r="J236" i="3" a="1"/>
  <c r="J236" i="3" s="1"/>
  <c r="K236" i="3" s="1"/>
  <c r="L236" i="3" s="1"/>
  <c r="J237" i="3" a="1"/>
  <c r="J237" i="3" s="1"/>
  <c r="K237" i="3" s="1"/>
  <c r="L237" i="3" s="1"/>
  <c r="J238" i="3" a="1"/>
  <c r="J238" i="3" s="1"/>
  <c r="K238" i="3" s="1"/>
  <c r="L238" i="3" s="1"/>
  <c r="J239" i="3" a="1"/>
  <c r="J239" i="3" s="1"/>
  <c r="K239" i="3" s="1"/>
  <c r="L239" i="3" s="1"/>
  <c r="J240" i="3" a="1"/>
  <c r="J240" i="3" s="1"/>
  <c r="K240" i="3" s="1"/>
  <c r="L240" i="3" s="1"/>
  <c r="J241" i="3" a="1"/>
  <c r="J241" i="3" s="1"/>
  <c r="K241" i="3" s="1"/>
  <c r="L241" i="3" s="1"/>
  <c r="J242" i="3" a="1"/>
  <c r="J242" i="3" s="1"/>
  <c r="K242" i="3" s="1"/>
  <c r="L242" i="3" s="1"/>
  <c r="J243" i="3" a="1"/>
  <c r="J243" i="3" s="1"/>
  <c r="K243" i="3" s="1"/>
  <c r="L243" i="3" s="1"/>
  <c r="J244" i="3" a="1"/>
  <c r="J244" i="3" s="1"/>
  <c r="K244" i="3" s="1"/>
  <c r="L244" i="3" s="1"/>
  <c r="J245" i="3" a="1"/>
  <c r="J245" i="3" s="1"/>
  <c r="K245" i="3" s="1"/>
  <c r="L245" i="3" s="1"/>
  <c r="J246" i="3" a="1"/>
  <c r="J246" i="3" s="1"/>
  <c r="K246" i="3" s="1"/>
  <c r="L246" i="3" s="1"/>
  <c r="J247" i="3" a="1"/>
  <c r="J247" i="3" s="1"/>
  <c r="K247" i="3" s="1"/>
  <c r="L247" i="3" s="1"/>
  <c r="J248" i="3" a="1"/>
  <c r="J248" i="3" s="1"/>
  <c r="K248" i="3" s="1"/>
  <c r="L248" i="3" s="1"/>
  <c r="J249" i="3" a="1"/>
  <c r="J249" i="3" s="1"/>
  <c r="K249" i="3" s="1"/>
  <c r="L249" i="3" s="1"/>
  <c r="J250" i="3" a="1"/>
  <c r="J250" i="3" s="1"/>
  <c r="K250" i="3" s="1"/>
  <c r="L250" i="3" s="1"/>
  <c r="J251" i="3" a="1"/>
  <c r="J251" i="3" s="1"/>
  <c r="K251" i="3" s="1"/>
  <c r="L251" i="3" s="1"/>
  <c r="J252" i="3" a="1"/>
  <c r="J252" i="3" s="1"/>
  <c r="K252" i="3" s="1"/>
  <c r="L252" i="3" s="1"/>
  <c r="J253" i="3" a="1"/>
  <c r="J253" i="3" s="1"/>
  <c r="K253" i="3" s="1"/>
  <c r="L253" i="3" s="1"/>
  <c r="J254" i="3" a="1"/>
  <c r="J254" i="3" s="1"/>
  <c r="K254" i="3" s="1"/>
  <c r="L254" i="3" s="1"/>
  <c r="J255" i="3" a="1"/>
  <c r="J255" i="3" s="1"/>
  <c r="K255" i="3" s="1"/>
  <c r="L255" i="3" s="1"/>
  <c r="J256" i="3" a="1"/>
  <c r="J256" i="3" s="1"/>
  <c r="K256" i="3" s="1"/>
  <c r="L256" i="3" s="1"/>
  <c r="J257" i="3" a="1"/>
  <c r="J257" i="3" s="1"/>
  <c r="K257" i="3" s="1"/>
  <c r="L257" i="3" s="1"/>
  <c r="J258" i="3" a="1"/>
  <c r="J258" i="3" s="1"/>
  <c r="K258" i="3" s="1"/>
  <c r="L258" i="3" s="1"/>
  <c r="J259" i="3" a="1"/>
  <c r="J259" i="3" s="1"/>
  <c r="K259" i="3" s="1"/>
  <c r="L259" i="3" s="1"/>
  <c r="J260" i="3" a="1"/>
  <c r="J260" i="3" s="1"/>
  <c r="K260" i="3" s="1"/>
  <c r="L260" i="3" s="1"/>
  <c r="J261" i="3" a="1"/>
  <c r="J261" i="3" s="1"/>
  <c r="K261" i="3" s="1"/>
  <c r="L261" i="3" s="1"/>
  <c r="J262" i="3" a="1"/>
  <c r="J262" i="3" s="1"/>
  <c r="K262" i="3" s="1"/>
  <c r="L262" i="3" s="1"/>
  <c r="J263" i="3" a="1"/>
  <c r="J263" i="3" s="1"/>
  <c r="K263" i="3" s="1"/>
  <c r="L263" i="3" s="1"/>
  <c r="J264" i="3" a="1"/>
  <c r="J264" i="3" s="1"/>
  <c r="K264" i="3" s="1"/>
  <c r="L264" i="3" s="1"/>
  <c r="J265" i="3" a="1"/>
  <c r="J265" i="3" s="1"/>
  <c r="K265" i="3" s="1"/>
  <c r="L265" i="3" s="1"/>
  <c r="J266" i="3" a="1"/>
  <c r="J266" i="3" s="1"/>
  <c r="K266" i="3" s="1"/>
  <c r="L266" i="3" s="1"/>
  <c r="J267" i="3" a="1"/>
  <c r="J267" i="3" s="1"/>
  <c r="K267" i="3" s="1"/>
  <c r="L267" i="3" s="1"/>
  <c r="J268" i="3" a="1"/>
  <c r="J268" i="3" s="1"/>
  <c r="K268" i="3" s="1"/>
  <c r="L268" i="3" s="1"/>
  <c r="J269" i="3" a="1"/>
  <c r="J269" i="3" s="1"/>
  <c r="K269" i="3" s="1"/>
  <c r="L269" i="3" s="1"/>
  <c r="J270" i="3" a="1"/>
  <c r="J270" i="3" s="1"/>
  <c r="K270" i="3" s="1"/>
  <c r="L270" i="3" s="1"/>
  <c r="J271" i="3" a="1"/>
  <c r="J271" i="3" s="1"/>
  <c r="K271" i="3" s="1"/>
  <c r="L271" i="3" s="1"/>
  <c r="J272" i="3" a="1"/>
  <c r="J272" i="3" s="1"/>
  <c r="K272" i="3" s="1"/>
  <c r="L272" i="3" s="1"/>
  <c r="J273" i="3" a="1"/>
  <c r="J273" i="3" s="1"/>
  <c r="K273" i="3" s="1"/>
  <c r="L273" i="3" s="1"/>
  <c r="J274" i="3" a="1"/>
  <c r="J274" i="3" s="1"/>
  <c r="K274" i="3" s="1"/>
  <c r="L274" i="3" s="1"/>
  <c r="J275" i="3" a="1"/>
  <c r="J275" i="3" s="1"/>
  <c r="K275" i="3" s="1"/>
  <c r="L275" i="3" s="1"/>
  <c r="J276" i="3" a="1"/>
  <c r="J276" i="3" s="1"/>
  <c r="K276" i="3" s="1"/>
  <c r="L276" i="3" s="1"/>
  <c r="J277" i="3" a="1"/>
  <c r="J277" i="3" s="1"/>
  <c r="K277" i="3" s="1"/>
  <c r="L277" i="3" s="1"/>
  <c r="J278" i="3" a="1"/>
  <c r="J278" i="3" s="1"/>
  <c r="K278" i="3" s="1"/>
  <c r="L278" i="3" s="1"/>
  <c r="J279" i="3" a="1"/>
  <c r="J279" i="3" s="1"/>
  <c r="K279" i="3" s="1"/>
  <c r="L279" i="3" s="1"/>
  <c r="J280" i="3" a="1"/>
  <c r="J280" i="3" s="1"/>
  <c r="K280" i="3" s="1"/>
  <c r="L280" i="3" s="1"/>
  <c r="J281" i="3" a="1"/>
  <c r="J281" i="3" s="1"/>
  <c r="K281" i="3" s="1"/>
  <c r="L281" i="3" s="1"/>
  <c r="J282" i="3" a="1"/>
  <c r="J282" i="3" s="1"/>
  <c r="K282" i="3" s="1"/>
  <c r="L282" i="3" s="1"/>
  <c r="J283" i="3" a="1"/>
  <c r="J283" i="3" s="1"/>
  <c r="K283" i="3" s="1"/>
  <c r="L283" i="3" s="1"/>
  <c r="J284" i="3" a="1"/>
  <c r="J284" i="3" s="1"/>
  <c r="K284" i="3" s="1"/>
  <c r="L284" i="3" s="1"/>
  <c r="J285" i="3" a="1"/>
  <c r="J285" i="3" s="1"/>
  <c r="K285" i="3" s="1"/>
  <c r="L285" i="3" s="1"/>
  <c r="J286" i="3" a="1"/>
  <c r="J286" i="3" s="1"/>
  <c r="K286" i="3" s="1"/>
  <c r="L286" i="3" s="1"/>
  <c r="J287" i="3" a="1"/>
  <c r="J287" i="3" s="1"/>
  <c r="K287" i="3" s="1"/>
  <c r="L287" i="3" s="1"/>
  <c r="J288" i="3" a="1"/>
  <c r="J288" i="3" s="1"/>
  <c r="K288" i="3" s="1"/>
  <c r="L288" i="3" s="1"/>
  <c r="J289" i="3" a="1"/>
  <c r="J289" i="3" s="1"/>
  <c r="K289" i="3" s="1"/>
  <c r="L289" i="3" s="1"/>
  <c r="J290" i="3" a="1"/>
  <c r="J290" i="3" s="1"/>
  <c r="K290" i="3" s="1"/>
  <c r="L290" i="3" s="1"/>
  <c r="J291" i="3" a="1"/>
  <c r="J291" i="3" s="1"/>
  <c r="K291" i="3" s="1"/>
  <c r="L291" i="3" s="1"/>
  <c r="J292" i="3" a="1"/>
  <c r="J292" i="3" s="1"/>
  <c r="K292" i="3" s="1"/>
  <c r="L292" i="3" s="1"/>
  <c r="J293" i="3" a="1"/>
  <c r="J293" i="3" s="1"/>
  <c r="K293" i="3" s="1"/>
  <c r="L293" i="3" s="1"/>
  <c r="J294" i="3" a="1"/>
  <c r="J294" i="3" s="1"/>
  <c r="K294" i="3" s="1"/>
  <c r="L294" i="3" s="1"/>
  <c r="J295" i="3" a="1"/>
  <c r="J295" i="3" s="1"/>
  <c r="K295" i="3" s="1"/>
  <c r="L295" i="3" s="1"/>
  <c r="J296" i="3" a="1"/>
  <c r="J296" i="3" s="1"/>
  <c r="K296" i="3" s="1"/>
  <c r="L296" i="3" s="1"/>
  <c r="J297" i="3" a="1"/>
  <c r="J297" i="3" s="1"/>
  <c r="K297" i="3" s="1"/>
  <c r="L297" i="3" s="1"/>
  <c r="J298" i="3" a="1"/>
  <c r="J298" i="3" s="1"/>
  <c r="K298" i="3" s="1"/>
  <c r="L298" i="3" s="1"/>
  <c r="J299" i="3" a="1"/>
  <c r="J299" i="3" s="1"/>
  <c r="K299" i="3" s="1"/>
  <c r="L299" i="3" s="1"/>
  <c r="J300" i="3" a="1"/>
  <c r="J300" i="3" s="1"/>
  <c r="K300" i="3" s="1"/>
  <c r="L300" i="3" s="1"/>
  <c r="J301" i="3" a="1"/>
  <c r="J301" i="3" s="1"/>
  <c r="K301" i="3" s="1"/>
  <c r="L301" i="3" s="1"/>
  <c r="J302" i="3" a="1"/>
  <c r="J302" i="3" s="1"/>
  <c r="K302" i="3" s="1"/>
  <c r="L302" i="3" s="1"/>
  <c r="J303" i="3" a="1"/>
  <c r="J303" i="3" s="1"/>
  <c r="K303" i="3" s="1"/>
  <c r="L303" i="3" s="1"/>
  <c r="J304" i="3" a="1"/>
  <c r="J304" i="3" s="1"/>
  <c r="K304" i="3" s="1"/>
  <c r="L304" i="3" s="1"/>
  <c r="J305" i="3" a="1"/>
  <c r="J305" i="3" s="1"/>
  <c r="K305" i="3" s="1"/>
  <c r="L305" i="3" s="1"/>
  <c r="J306" i="3" a="1"/>
  <c r="J306" i="3" s="1"/>
  <c r="K306" i="3" s="1"/>
  <c r="L306" i="3" s="1"/>
  <c r="J307" i="3" a="1"/>
  <c r="J307" i="3" s="1"/>
  <c r="K307" i="3" s="1"/>
  <c r="L307" i="3" s="1"/>
  <c r="J308" i="3" a="1"/>
  <c r="J308" i="3" s="1"/>
  <c r="K308" i="3" s="1"/>
  <c r="L308" i="3" s="1"/>
  <c r="J309" i="3" a="1"/>
  <c r="J309" i="3" s="1"/>
  <c r="K309" i="3" s="1"/>
  <c r="L309" i="3" s="1"/>
  <c r="J310" i="3" a="1"/>
  <c r="J310" i="3" s="1"/>
  <c r="K310" i="3" s="1"/>
  <c r="L310" i="3" s="1"/>
  <c r="J311" i="3" a="1"/>
  <c r="J311" i="3" s="1"/>
  <c r="K311" i="3" s="1"/>
  <c r="L311" i="3" s="1"/>
  <c r="J312" i="3" a="1"/>
  <c r="J312" i="3" s="1"/>
  <c r="K312" i="3" s="1"/>
  <c r="L312" i="3" s="1"/>
  <c r="J313" i="3" a="1"/>
  <c r="J313" i="3" s="1"/>
  <c r="K313" i="3" s="1"/>
  <c r="L313" i="3" s="1"/>
  <c r="J314" i="3" a="1"/>
  <c r="J314" i="3" s="1"/>
  <c r="K314" i="3" s="1"/>
  <c r="L314" i="3" s="1"/>
  <c r="J315" i="3" a="1"/>
  <c r="J315" i="3" s="1"/>
  <c r="K315" i="3" s="1"/>
  <c r="L315" i="3" s="1"/>
  <c r="J316" i="3" a="1"/>
  <c r="J316" i="3" s="1"/>
  <c r="K316" i="3" s="1"/>
  <c r="L316" i="3" s="1"/>
  <c r="J317" i="3" a="1"/>
  <c r="J317" i="3" s="1"/>
  <c r="K317" i="3" s="1"/>
  <c r="L317" i="3" s="1"/>
  <c r="J318" i="3" a="1"/>
  <c r="J318" i="3" s="1"/>
  <c r="K318" i="3" s="1"/>
  <c r="L318" i="3" s="1"/>
  <c r="J319" i="3" a="1"/>
  <c r="J319" i="3" s="1"/>
  <c r="K319" i="3" s="1"/>
  <c r="L319" i="3" s="1"/>
  <c r="J320" i="3" a="1"/>
  <c r="J320" i="3" s="1"/>
  <c r="K320" i="3" s="1"/>
  <c r="L320" i="3" s="1"/>
  <c r="J321" i="3" a="1"/>
  <c r="J321" i="3" s="1"/>
  <c r="K321" i="3" s="1"/>
  <c r="L321" i="3" s="1"/>
  <c r="J322" i="3" a="1"/>
  <c r="J322" i="3" s="1"/>
  <c r="K322" i="3" s="1"/>
  <c r="L322" i="3" s="1"/>
  <c r="J323" i="3" a="1"/>
  <c r="J323" i="3" s="1"/>
  <c r="K323" i="3" s="1"/>
  <c r="L323" i="3" s="1"/>
  <c r="J324" i="3" a="1"/>
  <c r="J324" i="3" s="1"/>
  <c r="K324" i="3" s="1"/>
  <c r="L324" i="3" s="1"/>
  <c r="J325" i="3" a="1"/>
  <c r="J325" i="3" s="1"/>
  <c r="K325" i="3" s="1"/>
  <c r="L325" i="3" s="1"/>
  <c r="J326" i="3" a="1"/>
  <c r="J326" i="3" s="1"/>
  <c r="K326" i="3" s="1"/>
  <c r="L326" i="3" s="1"/>
  <c r="J327" i="3" a="1"/>
  <c r="J327" i="3" s="1"/>
  <c r="K327" i="3" s="1"/>
  <c r="L327" i="3" s="1"/>
  <c r="J328" i="3" a="1"/>
  <c r="J328" i="3" s="1"/>
  <c r="K328" i="3" s="1"/>
  <c r="L328" i="3" s="1"/>
  <c r="J329" i="3" a="1"/>
  <c r="J329" i="3" s="1"/>
  <c r="K329" i="3" s="1"/>
  <c r="L329" i="3" s="1"/>
  <c r="J330" i="3" a="1"/>
  <c r="J330" i="3" s="1"/>
  <c r="K330" i="3" s="1"/>
  <c r="L330" i="3" s="1"/>
  <c r="J331" i="3" a="1"/>
  <c r="J331" i="3" s="1"/>
  <c r="K331" i="3" s="1"/>
  <c r="L331" i="3" s="1"/>
  <c r="J332" i="3" a="1"/>
  <c r="J332" i="3" s="1"/>
  <c r="K332" i="3" s="1"/>
  <c r="L332" i="3" s="1"/>
  <c r="J333" i="3" a="1"/>
  <c r="J333" i="3" s="1"/>
  <c r="K333" i="3" s="1"/>
  <c r="L333" i="3" s="1"/>
  <c r="J334" i="3" a="1"/>
  <c r="J334" i="3" s="1"/>
  <c r="K334" i="3" s="1"/>
  <c r="L334" i="3" s="1"/>
  <c r="J335" i="3" a="1"/>
  <c r="J335" i="3" s="1"/>
  <c r="K335" i="3" s="1"/>
  <c r="L335" i="3" s="1"/>
  <c r="J336" i="3" a="1"/>
  <c r="J336" i="3" s="1"/>
  <c r="K336" i="3" s="1"/>
  <c r="L336" i="3" s="1"/>
  <c r="J337" i="3" a="1"/>
  <c r="J337" i="3" s="1"/>
  <c r="K337" i="3" s="1"/>
  <c r="L337" i="3" s="1"/>
  <c r="J338" i="3" a="1"/>
  <c r="J338" i="3" s="1"/>
  <c r="K338" i="3" s="1"/>
  <c r="L338" i="3" s="1"/>
  <c r="J339" i="3" a="1"/>
  <c r="J339" i="3" s="1"/>
  <c r="K339" i="3" s="1"/>
  <c r="L339" i="3" s="1"/>
  <c r="J340" i="3" a="1"/>
  <c r="J340" i="3" s="1"/>
  <c r="K340" i="3" s="1"/>
  <c r="L340" i="3" s="1"/>
  <c r="J341" i="3" a="1"/>
  <c r="J341" i="3" s="1"/>
  <c r="K341" i="3" s="1"/>
  <c r="L341" i="3" s="1"/>
  <c r="J342" i="3" a="1"/>
  <c r="J342" i="3" s="1"/>
  <c r="K342" i="3" s="1"/>
  <c r="L342" i="3" s="1"/>
  <c r="J343" i="3" a="1"/>
  <c r="J343" i="3" s="1"/>
  <c r="K343" i="3" s="1"/>
  <c r="L343" i="3" s="1"/>
  <c r="J344" i="3" a="1"/>
  <c r="J344" i="3" s="1"/>
  <c r="K344" i="3" s="1"/>
  <c r="L344" i="3" s="1"/>
  <c r="J345" i="3" a="1"/>
  <c r="J345" i="3" s="1"/>
  <c r="K345" i="3" s="1"/>
  <c r="L345" i="3" s="1"/>
  <c r="J346" i="3" a="1"/>
  <c r="J346" i="3" s="1"/>
  <c r="K346" i="3" s="1"/>
  <c r="L346" i="3" s="1"/>
  <c r="J347" i="3" a="1"/>
  <c r="J347" i="3" s="1"/>
  <c r="K347" i="3" s="1"/>
  <c r="L347" i="3" s="1"/>
  <c r="J348" i="3" a="1"/>
  <c r="J348" i="3" s="1"/>
  <c r="K348" i="3" s="1"/>
  <c r="L348" i="3" s="1"/>
  <c r="J349" i="3" a="1"/>
  <c r="J349" i="3" s="1"/>
  <c r="K349" i="3" s="1"/>
  <c r="L349" i="3" s="1"/>
  <c r="J350" i="3" a="1"/>
  <c r="J350" i="3" s="1"/>
  <c r="K350" i="3" s="1"/>
  <c r="L350" i="3" s="1"/>
  <c r="J351" i="3" a="1"/>
  <c r="J351" i="3" s="1"/>
  <c r="K351" i="3" s="1"/>
  <c r="L351" i="3" s="1"/>
  <c r="J352" i="3" a="1"/>
  <c r="J352" i="3" s="1"/>
  <c r="K352" i="3" s="1"/>
  <c r="L352" i="3" s="1"/>
  <c r="J353" i="3" a="1"/>
  <c r="J353" i="3" s="1"/>
  <c r="K353" i="3" s="1"/>
  <c r="L353" i="3" s="1"/>
  <c r="J354" i="3" a="1"/>
  <c r="J354" i="3" s="1"/>
  <c r="K354" i="3" s="1"/>
  <c r="L354" i="3" s="1"/>
  <c r="J355" i="3" a="1"/>
  <c r="J355" i="3" s="1"/>
  <c r="K355" i="3" s="1"/>
  <c r="L355" i="3" s="1"/>
  <c r="J356" i="3" a="1"/>
  <c r="J356" i="3" s="1"/>
  <c r="K356" i="3" s="1"/>
  <c r="L356" i="3" s="1"/>
  <c r="J357" i="3" a="1"/>
  <c r="J357" i="3" s="1"/>
  <c r="K357" i="3" s="1"/>
  <c r="L357" i="3" s="1"/>
  <c r="J358" i="3" a="1"/>
  <c r="J358" i="3" s="1"/>
  <c r="K358" i="3" s="1"/>
  <c r="L358" i="3" s="1"/>
  <c r="J359" i="3" a="1"/>
  <c r="J359" i="3" s="1"/>
  <c r="K359" i="3" s="1"/>
  <c r="L359" i="3" s="1"/>
  <c r="J360" i="3" a="1"/>
  <c r="J360" i="3" s="1"/>
  <c r="K360" i="3" s="1"/>
  <c r="L360" i="3" s="1"/>
  <c r="J361" i="3" a="1"/>
  <c r="J361" i="3" s="1"/>
  <c r="K361" i="3" s="1"/>
  <c r="L361" i="3" s="1"/>
  <c r="J362" i="3" a="1"/>
  <c r="J362" i="3" s="1"/>
  <c r="K362" i="3" s="1"/>
  <c r="L362" i="3" s="1"/>
  <c r="J14" i="3" a="1"/>
  <c r="J14" i="3" s="1"/>
  <c r="K39" i="3"/>
  <c r="L39" i="3" s="1"/>
  <c r="K48" i="3"/>
  <c r="L48" i="3" s="1"/>
  <c r="K79" i="3"/>
  <c r="L79" i="3" s="1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G30" i="8"/>
  <c r="G31" i="8"/>
  <c r="K14" i="3" l="1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L14" i="3" l="1"/>
  <c r="P359" i="3"/>
  <c r="P355" i="3"/>
  <c r="P351" i="3"/>
  <c r="P347" i="3"/>
  <c r="P343" i="3"/>
  <c r="P339" i="3"/>
  <c r="P335" i="3"/>
  <c r="P14" i="3"/>
  <c r="P361" i="3"/>
  <c r="P357" i="3"/>
  <c r="P353" i="3"/>
  <c r="P349" i="3"/>
  <c r="P345" i="3"/>
  <c r="P341" i="3"/>
  <c r="P337" i="3"/>
  <c r="P333" i="3"/>
  <c r="P362" i="3"/>
  <c r="P360" i="3"/>
  <c r="P358" i="3"/>
  <c r="P356" i="3"/>
  <c r="P354" i="3"/>
  <c r="P352" i="3"/>
  <c r="P350" i="3"/>
  <c r="P348" i="3"/>
  <c r="P346" i="3"/>
  <c r="P344" i="3"/>
  <c r="P342" i="3"/>
  <c r="P340" i="3"/>
  <c r="P338" i="3"/>
  <c r="P336" i="3"/>
  <c r="P334" i="3"/>
  <c r="F16" i="4" l="1"/>
  <c r="G4" i="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<sst xmlns="http://schemas.openxmlformats.org/spreadsheetml/2006/main" count="3534" uniqueCount="607">
  <si>
    <t>TT</t>
  </si>
  <si>
    <t>SỐCONT</t>
  </si>
  <si>
    <t>LOẠI</t>
  </si>
  <si>
    <t>H/R</t>
  </si>
  <si>
    <t>TÀU</t>
  </si>
  <si>
    <t>CHUYẾN</t>
  </si>
  <si>
    <t>NƠI TRẢ 
CONTAINER</t>
  </si>
  <si>
    <t>NƠI LẤY 
CONTAINER</t>
  </si>
  <si>
    <t>SỐ XE VC</t>
  </si>
  <si>
    <t>THÀNH TIỀN</t>
  </si>
  <si>
    <t>Phòng Kinh doanh</t>
  </si>
  <si>
    <t>Phòng Khai thác tàu</t>
  </si>
  <si>
    <t>ĐƠN GIÁ</t>
  </si>
  <si>
    <t>THUẾ GTGT 
(8%)</t>
  </si>
  <si>
    <t>TÔNG CỘNG</t>
  </si>
  <si>
    <t>HẢI AN</t>
  </si>
  <si>
    <t>ĐỊA ĐIỂM VẬN CHUYỂN</t>
  </si>
  <si>
    <t>CƯỚC VÂN CHUYỂN HÀNG (VNĐ)</t>
  </si>
  <si>
    <t>CƯỚC VẬN CHUYỂN VỎ (VNĐ)</t>
  </si>
  <si>
    <t>STT</t>
  </si>
  <si>
    <t>20’</t>
  </si>
  <si>
    <t>40’</t>
  </si>
  <si>
    <t>Hải An – Nam Hải,Đoạn Xá, TVN</t>
  </si>
  <si>
    <t>Hải An – Nam Hải Đình Vũ, Vip Greenport</t>
  </si>
  <si>
    <t>Hải An – Chùa vẽ, Greenport</t>
  </si>
  <si>
    <t>Hải An – Cảng 128, Cảng 189, PTSC</t>
  </si>
  <si>
    <t>Hải An – Cảng Đình Vũ, Tân Vũ</t>
  </si>
  <si>
    <t>Hải An – G.Forune 2, Sao Á DC, Yusen, SITC.</t>
  </si>
  <si>
    <t>Hải An - PANHAIAN</t>
  </si>
  <si>
    <t>Hải An- Nam Phát, Vietfracht, Northfreight, Sao Đỏ</t>
  </si>
  <si>
    <t>Hải An – ECS, Phương Đông, Tasa Minh Thành</t>
  </si>
  <si>
    <t>Hải An – MIPEC (MPC)</t>
  </si>
  <si>
    <t>PTSC – Bãi Pan Hải An</t>
  </si>
  <si>
    <t>ĐỊA ĐIỂM VẬN CHUYỂN ĐG NGẮN</t>
  </si>
  <si>
    <t>Cước vận chuyển lượt đi và lượt về Hàng 20, 40feet</t>
  </si>
  <si>
    <t>Hải An – Tasa ( Máy soi cố định)</t>
  </si>
  <si>
    <t>Hải An – Cảng Tân Vũ, Đình Vũ</t>
  </si>
  <si>
    <t>( Máy soi di động )</t>
  </si>
  <si>
    <t>NGƯỜI BÁN: CÔNG TY TNHH AMT PHÚC LỘC</t>
  </si>
  <si>
    <t>Địa chỉ: Số 56B/97 đường Đoàn Kết, Phường Hải An, Thành Phố Hải Phòng, Việt Nam</t>
  </si>
  <si>
    <t>MST: 0201965047</t>
  </si>
  <si>
    <t>CÔNG TY TNHH AMT PHÚC LỘC</t>
  </si>
  <si>
    <t xml:space="preserve">Cước vận chuyển cont Hàng </t>
  </si>
  <si>
    <t xml:space="preserve"> tuyến đường </t>
  </si>
  <si>
    <t xml:space="preserve">. Số xe: </t>
  </si>
  <si>
    <t xml:space="preserve">. Số cont: </t>
  </si>
  <si>
    <t>Nội dung HĐ</t>
  </si>
  <si>
    <t xml:space="preserve"> - </t>
  </si>
  <si>
    <t>SỐ CHUYẾN</t>
  </si>
  <si>
    <t>Row Labels</t>
  </si>
  <si>
    <t>Grand Total</t>
  </si>
  <si>
    <t>Sum of SỐ CHUYẾN</t>
  </si>
  <si>
    <t>Sum of ĐƠN GIÁ</t>
  </si>
  <si>
    <t>NHĐV</t>
  </si>
  <si>
    <t>Ký hiệu cước</t>
  </si>
  <si>
    <t>Ngày</t>
  </si>
  <si>
    <t>Cước vận chuyển cont Hàng 20 tuyến đường HẢI AN - NHĐV. Số xe: 15H07135</t>
  </si>
  <si>
    <t>Cước vận chuyển cont Hàng 20 tuyến đường HẢI AN - NHĐV. Số xe: 15C15033</t>
  </si>
  <si>
    <t>Cước vận chuyển cont Hàng 20 tuyến đường HẢI AN - NHĐV. Số xe: 15H06892</t>
  </si>
  <si>
    <t>Cước vận chuyển cont Hàng 20 tuyến đường HẢI AN - NHĐV. Số xe: 15H07788</t>
  </si>
  <si>
    <t>Cước vận chuyển cont Hàng 20 tuyến đường HẢI AN - NHĐV. Số xe: 15C17442</t>
  </si>
  <si>
    <t>Cước vận chuyển cont Hàng 20 tuyến đường HẢI AN - NHĐV. Số xe: 15H08574</t>
  </si>
  <si>
    <t>Cước vận chuyển cont Hàng 40 tuyến đường HẢI AN - NHĐV. Số xe: 15H08574</t>
  </si>
  <si>
    <t>Cước vận chuyển cont Hàng 20 tuyến đường HẢI AN - NHĐV. Số xe: 15H07644</t>
  </si>
  <si>
    <t>15C09877</t>
  </si>
  <si>
    <t>15H15378</t>
  </si>
  <si>
    <t>15H07135</t>
  </si>
  <si>
    <t>15H08574</t>
  </si>
  <si>
    <t>15C17442</t>
  </si>
  <si>
    <t>15C15033</t>
  </si>
  <si>
    <t>15H07524</t>
  </si>
  <si>
    <t>15H12925</t>
  </si>
  <si>
    <t>15C30649</t>
  </si>
  <si>
    <t>15H07644</t>
  </si>
  <si>
    <t>15H07788</t>
  </si>
  <si>
    <t>Hải An – Lạch Huyện</t>
  </si>
  <si>
    <t>Hải An – Lạch Huyện (5 cont vỏ/ 1 chuyến)</t>
  </si>
  <si>
    <t>15H06892</t>
  </si>
  <si>
    <t>Cước vận chuyển cont Hàng 20 tuyến đường HẢI AN - NHĐV. Số xe: 15C09877</t>
  </si>
  <si>
    <t xml:space="preserve">Cước vận chuyển cont Vỏ </t>
  </si>
  <si>
    <t>Cước vận chuyển cont Hàng 40 tuyến đường HẢI AN - NHĐV. Số xe: 15H07135</t>
  </si>
  <si>
    <t>F20</t>
  </si>
  <si>
    <t>F40</t>
  </si>
  <si>
    <t>E20</t>
  </si>
  <si>
    <t>E40</t>
  </si>
  <si>
    <t>Cước vận chuyển cont Hàng 40 tuyến đường HẢI AN - NHĐV. Số xe: 15H12925</t>
  </si>
  <si>
    <t>15H18552</t>
  </si>
  <si>
    <t>Cước vận chuyển cont Hàng 40 tuyến đường HẢI AN - NHĐV. Số xe: 15H18552</t>
  </si>
  <si>
    <t>Cước vận chuyển cont Hàng 40 tuyến đường HẢI AN - NHĐV. Số xe: 15C17442</t>
  </si>
  <si>
    <t>Cước vận chuyển cont Hàng 40 tuyến đường HẢI AN - NHĐV. Số xe: 15C09877</t>
  </si>
  <si>
    <t>Cước vận chuyển cont Hàng 40 tuyến đường HẢI AN - NHĐV. Số xe: 15C15033</t>
  </si>
  <si>
    <t>(blank)</t>
  </si>
  <si>
    <t>FCIU5607390</t>
  </si>
  <si>
    <t>TCKU2126920</t>
  </si>
  <si>
    <t>TGCU0167358</t>
  </si>
  <si>
    <t>HAIAN VIEW</t>
  </si>
  <si>
    <t>HAIAN ALFA</t>
  </si>
  <si>
    <t>15H18753</t>
  </si>
  <si>
    <t>15C17301</t>
  </si>
  <si>
    <t>15H20645</t>
  </si>
  <si>
    <t>H</t>
  </si>
  <si>
    <t>NGƯỜI MUA: CÔNG TY TNHH CẢNG HẢI AN</t>
  </si>
  <si>
    <t>Địa chỉ: Tầng 1, Tòa nhà Hải An, Km 2 đường Đình Vũ, P. Đông Hải, TP. Hải Phòng, Việt Nam</t>
  </si>
  <si>
    <t>MST: 0201126468</t>
  </si>
  <si>
    <t>Cước vận chuyển cont Hàng 40 tuyến đường HẢI AN - NHĐV. Số xe: 15H18753</t>
  </si>
  <si>
    <t>Cước vận chuyển cont Hàng 20 tuyến đường HẢI AN - NHĐV. Số xe: 15C30649</t>
  </si>
  <si>
    <t>Cước vận chuyển cont Hàng 20 tuyến đường HẢI AN - NHĐV. Số xe: 15C17301</t>
  </si>
  <si>
    <t>Cước vận chuyển cont Hàng 40 tuyến đường HẢI AN - NHĐV. Số xe: 15H20645</t>
  </si>
  <si>
    <t>Cước vận chuyển cont Hàng 40 tuyến đường HẢI AN - NHĐV. Số xe: 15H07524</t>
  </si>
  <si>
    <t>Cước vận chuyển cont Hàng 40 tuyến đường HẢI AN - NHĐV. Số xe: 15H15378</t>
  </si>
  <si>
    <t>CÔNG TY TNHH CẢNG HẢI AN</t>
  </si>
  <si>
    <t>NSSU0221340</t>
  </si>
  <si>
    <t>073N</t>
  </si>
  <si>
    <t>HACU2162788</t>
  </si>
  <si>
    <t>HACU2214120</t>
  </si>
  <si>
    <t>HACU2211075</t>
  </si>
  <si>
    <t>HACU2244063</t>
  </si>
  <si>
    <t>CAIU6301385</t>
  </si>
  <si>
    <t>CAAU2139484</t>
  </si>
  <si>
    <t>SEGU3973336</t>
  </si>
  <si>
    <t>SEKU1802719</t>
  </si>
  <si>
    <t>HACU2212359</t>
  </si>
  <si>
    <t>SEKU1802724</t>
  </si>
  <si>
    <t>HACU2214958</t>
  </si>
  <si>
    <t>SEGU3882869</t>
  </si>
  <si>
    <t>HACU2241399</t>
  </si>
  <si>
    <t>CAAU2215687</t>
  </si>
  <si>
    <t>HACU2242610</t>
  </si>
  <si>
    <t>SEKU1808511</t>
  </si>
  <si>
    <t>CAAU2137060</t>
  </si>
  <si>
    <t>HACU2220375</t>
  </si>
  <si>
    <t>HACU2242775</t>
  </si>
  <si>
    <t>HACU2250256</t>
  </si>
  <si>
    <t>SEKU1785859</t>
  </si>
  <si>
    <t>SEGU3973655</t>
  </si>
  <si>
    <t>CAAU2134522</t>
  </si>
  <si>
    <t>HACU2245985</t>
  </si>
  <si>
    <t>CAAU2137671</t>
  </si>
  <si>
    <t>CAAU2135112</t>
  </si>
  <si>
    <t>FCIU5982750</t>
  </si>
  <si>
    <t>HACU2247864</t>
  </si>
  <si>
    <t>DFSU3051978</t>
  </si>
  <si>
    <t>CAAU9081194</t>
  </si>
  <si>
    <t>BEAU4455643</t>
  </si>
  <si>
    <t>HACU4160845</t>
  </si>
  <si>
    <t>SEKU5573204</t>
  </si>
  <si>
    <t>HACU4240046</t>
  </si>
  <si>
    <t>GAOU7900900</t>
  </si>
  <si>
    <t>SEKU6801058</t>
  </si>
  <si>
    <t>SEKU5583054</t>
  </si>
  <si>
    <t>HACU4222042</t>
  </si>
  <si>
    <t>HACU4221998</t>
  </si>
  <si>
    <t>GAOU7899624</t>
  </si>
  <si>
    <t>GAOU7902060</t>
  </si>
  <si>
    <t>GAOU7792699</t>
  </si>
  <si>
    <t>BEAU5405884</t>
  </si>
  <si>
    <t>HACU4215700</t>
  </si>
  <si>
    <t>SEKU6806872</t>
  </si>
  <si>
    <t>HACU4213734</t>
  </si>
  <si>
    <t>SEKU6804463</t>
  </si>
  <si>
    <t>HACU4245726</t>
  </si>
  <si>
    <t>CAAU5149249</t>
  </si>
  <si>
    <t>SEKU5583183</t>
  </si>
  <si>
    <t>CAAU9081580</t>
  </si>
  <si>
    <t>SEKU6800093</t>
  </si>
  <si>
    <t>HACU4180775</t>
  </si>
  <si>
    <t>GAOU7898042</t>
  </si>
  <si>
    <t>HACU4216034</t>
  </si>
  <si>
    <t>SEKU6804376</t>
  </si>
  <si>
    <t>HACU4160510</t>
  </si>
  <si>
    <t>GAOU7791985</t>
  </si>
  <si>
    <t>SEKU6804951</t>
  </si>
  <si>
    <t>GAOU7902076</t>
  </si>
  <si>
    <t>HACU4210756</t>
  </si>
  <si>
    <t>HACU4216667</t>
  </si>
  <si>
    <t>HACU4221621</t>
  </si>
  <si>
    <t>SELU4505347</t>
  </si>
  <si>
    <t>HACU4244231</t>
  </si>
  <si>
    <t>SELU4560581</t>
  </si>
  <si>
    <t>HACU4181914</t>
  </si>
  <si>
    <t>CAAU6413485</t>
  </si>
  <si>
    <t>HACU4212656</t>
  </si>
  <si>
    <t>SEKU5569673</t>
  </si>
  <si>
    <t>SEKU6807312</t>
  </si>
  <si>
    <t>CAIU9395578</t>
  </si>
  <si>
    <t>HACU2211795</t>
  </si>
  <si>
    <t>HAIAN DELL</t>
  </si>
  <si>
    <t>036S</t>
  </si>
  <si>
    <t>TRHU2115899</t>
  </si>
  <si>
    <t>GLDU5308682</t>
  </si>
  <si>
    <t>GLDU5468438</t>
  </si>
  <si>
    <t>TCKU3748152</t>
  </si>
  <si>
    <t>HACU2248095</t>
  </si>
  <si>
    <t>TCLU7239000</t>
  </si>
  <si>
    <t>TRHU1781988</t>
  </si>
  <si>
    <t>TRHU1872964</t>
  </si>
  <si>
    <t>DFSU1986880</t>
  </si>
  <si>
    <t>TCLU3289908</t>
  </si>
  <si>
    <t>PASU3190589</t>
  </si>
  <si>
    <t>TCLU2883807</t>
  </si>
  <si>
    <t>TGCU2022970</t>
  </si>
  <si>
    <t>TRHU1625239</t>
  </si>
  <si>
    <t>TCKU2085918</t>
  </si>
  <si>
    <t>TRHU1490982</t>
  </si>
  <si>
    <t>TCLU3988401</t>
  </si>
  <si>
    <t>HACU2160825</t>
  </si>
  <si>
    <t>CAIU3365811</t>
  </si>
  <si>
    <t>CAIU6545709</t>
  </si>
  <si>
    <t>HACU2246019</t>
  </si>
  <si>
    <t>GLDU9792764</t>
  </si>
  <si>
    <t>GLDU9610197</t>
  </si>
  <si>
    <t>GLDU5306674</t>
  </si>
  <si>
    <t>CAIU3349132</t>
  </si>
  <si>
    <t>HACU2162237</t>
  </si>
  <si>
    <t>CAIU3725820</t>
  </si>
  <si>
    <t>GLDU5283856</t>
  </si>
  <si>
    <t>GLDU5473780</t>
  </si>
  <si>
    <t>GLDU5349850</t>
  </si>
  <si>
    <t>HAHU8306509</t>
  </si>
  <si>
    <t>HACU4240880</t>
  </si>
  <si>
    <t>HAIAN BETA</t>
  </si>
  <si>
    <t>060S</t>
  </si>
  <si>
    <t>SEKU6807143</t>
  </si>
  <si>
    <t>SELU4502902</t>
  </si>
  <si>
    <t>HACU4211407</t>
  </si>
  <si>
    <t>SELU4554974</t>
  </si>
  <si>
    <t>TRHU2265292</t>
  </si>
  <si>
    <t>CAIU3340480</t>
  </si>
  <si>
    <t>HLXU8028428</t>
  </si>
  <si>
    <t>TCLU3005982</t>
  </si>
  <si>
    <t>CAAU2137100</t>
  </si>
  <si>
    <t>HACU4242012</t>
  </si>
  <si>
    <t>SEKU6807950</t>
  </si>
  <si>
    <t>TCLU4897230</t>
  </si>
  <si>
    <t>GAOU7900026</t>
  </si>
  <si>
    <t>CAAU6409700</t>
  </si>
  <si>
    <t>FCIU5647448</t>
  </si>
  <si>
    <t>TDRU3416499</t>
  </si>
  <si>
    <t>FCIU5392141</t>
  </si>
  <si>
    <t>FBIU0407442</t>
  </si>
  <si>
    <t>TCNU4356530</t>
  </si>
  <si>
    <t>GAOU7792024</t>
  </si>
  <si>
    <t>HACU4240935</t>
  </si>
  <si>
    <t>HACU4241335</t>
  </si>
  <si>
    <t>CAIU6495320</t>
  </si>
  <si>
    <t>HACU2213735</t>
  </si>
  <si>
    <t>TLLU8067183</t>
  </si>
  <si>
    <t>SEKU1470511</t>
  </si>
  <si>
    <t>SEGU3882241</t>
  </si>
  <si>
    <t>HACU2162221</t>
  </si>
  <si>
    <t>CAIU3323950</t>
  </si>
  <si>
    <t>GLDU5666789</t>
  </si>
  <si>
    <t>HACU4240684</t>
  </si>
  <si>
    <t>SEKU6807225</t>
  </si>
  <si>
    <t>HACU4241891</t>
  </si>
  <si>
    <t>SEKU5577473</t>
  </si>
  <si>
    <t>GAOU7900330</t>
  </si>
  <si>
    <t>HACU4243298</t>
  </si>
  <si>
    <t>HACU4211285</t>
  </si>
  <si>
    <t>HACU4212506</t>
  </si>
  <si>
    <t>GAOU7899922</t>
  </si>
  <si>
    <t>CAAU9099296</t>
  </si>
  <si>
    <t>TLLU5796258</t>
  </si>
  <si>
    <t>SEKU6805032</t>
  </si>
  <si>
    <t>SEKU5576245</t>
  </si>
  <si>
    <t>SELU4505481</t>
  </si>
  <si>
    <t>HACU4217663</t>
  </si>
  <si>
    <t>HACU4244118</t>
  </si>
  <si>
    <t>HACU4244289</t>
  </si>
  <si>
    <t>SELU4552760</t>
  </si>
  <si>
    <t>SEKU5572424</t>
  </si>
  <si>
    <t>ZIMU3193237</t>
  </si>
  <si>
    <t>JZPU4091861</t>
  </si>
  <si>
    <t>TCKU1758228</t>
  </si>
  <si>
    <t>TCLU3884496</t>
  </si>
  <si>
    <t>CAIU3545222</t>
  </si>
  <si>
    <t>GLDU9856935</t>
  </si>
  <si>
    <t>CAIU6971345</t>
  </si>
  <si>
    <t>DFSU3144622</t>
  </si>
  <si>
    <t>GLDU9921270</t>
  </si>
  <si>
    <t>HACU2210145</t>
  </si>
  <si>
    <t>TCLU3913721</t>
  </si>
  <si>
    <t>HACU2247592</t>
  </si>
  <si>
    <t>SEGU3972387</t>
  </si>
  <si>
    <t>FCIU5690465</t>
  </si>
  <si>
    <t>DFSU1699811</t>
  </si>
  <si>
    <t>TRHU2497575</t>
  </si>
  <si>
    <t>HACU4241150</t>
  </si>
  <si>
    <t>SELU4509487</t>
  </si>
  <si>
    <t>TIIU5071362</t>
  </si>
  <si>
    <t>PASU2200867</t>
  </si>
  <si>
    <t>BMOU1219340</t>
  </si>
  <si>
    <t>HACU4180158</t>
  </si>
  <si>
    <t>VRZU1248980</t>
  </si>
  <si>
    <t>HACU4216625</t>
  </si>
  <si>
    <t>TCLU2322160</t>
  </si>
  <si>
    <t>TGCU2010434</t>
  </si>
  <si>
    <t>HACU2160363</t>
  </si>
  <si>
    <t>TGCU0122939</t>
  </si>
  <si>
    <t>ZCSU6599088</t>
  </si>
  <si>
    <t>TCKU3701915</t>
  </si>
  <si>
    <t>SEGU3883470</t>
  </si>
  <si>
    <t>HACU2245012</t>
  </si>
  <si>
    <t>HACU2252120</t>
  </si>
  <si>
    <t>SEGU3972643</t>
  </si>
  <si>
    <t>HACU2221448</t>
  </si>
  <si>
    <t>SEKU1467400</t>
  </si>
  <si>
    <t>HACU2244103</t>
  </si>
  <si>
    <t>TCLU2802003</t>
  </si>
  <si>
    <t>HACU2240330</t>
  </si>
  <si>
    <t>TCLU5452167</t>
  </si>
  <si>
    <t>SELU4509390</t>
  </si>
  <si>
    <t>HACU4243805</t>
  </si>
  <si>
    <t>HACU4242521</t>
  </si>
  <si>
    <t>HACU2162730</t>
  </si>
  <si>
    <t>FBIU0262837</t>
  </si>
  <si>
    <t>HACU2241233</t>
  </si>
  <si>
    <t>TRHU2822171</t>
  </si>
  <si>
    <t>DFSU3024669</t>
  </si>
  <si>
    <t>TGCU0171424</t>
  </si>
  <si>
    <t>SEKU1467713</t>
  </si>
  <si>
    <t>HACU2252367</t>
  </si>
  <si>
    <t>ZCSU7325780</t>
  </si>
  <si>
    <t>CAAU8749458</t>
  </si>
  <si>
    <t>HACU2250317</t>
  </si>
  <si>
    <t>HACU2220781</t>
  </si>
  <si>
    <t>HMCU9142881</t>
  </si>
  <si>
    <t>SEKU6807098</t>
  </si>
  <si>
    <t>HACU2215980</t>
  </si>
  <si>
    <t>SEKU1806165</t>
  </si>
  <si>
    <t>TRHU2357146</t>
  </si>
  <si>
    <t>HACU2244757</t>
  </si>
  <si>
    <t>SEKU1942794</t>
  </si>
  <si>
    <t>DFSU1746343</t>
  </si>
  <si>
    <t>ZCSU7722134</t>
  </si>
  <si>
    <t>TLLU5214017</t>
  </si>
  <si>
    <t>HACU2243220</t>
  </si>
  <si>
    <t>HACU2212301</t>
  </si>
  <si>
    <t>BMOU1208726</t>
  </si>
  <si>
    <t>HACU2161863</t>
  </si>
  <si>
    <t>CAIU3345564</t>
  </si>
  <si>
    <t>SEKU1802508</t>
  </si>
  <si>
    <t>TCNU8680105</t>
  </si>
  <si>
    <t>DRYU9911572</t>
  </si>
  <si>
    <t>SEGU3881266</t>
  </si>
  <si>
    <t>GLDU9855374</t>
  </si>
  <si>
    <t>HACU2244551</t>
  </si>
  <si>
    <t>FCGU2956024</t>
  </si>
  <si>
    <t>BMOU1222241</t>
  </si>
  <si>
    <t>TCKU1477977</t>
  </si>
  <si>
    <t>HACU2215450</t>
  </si>
  <si>
    <t>HNSU2029007</t>
  </si>
  <si>
    <t>HACU2210084</t>
  </si>
  <si>
    <t>TRHU3306251</t>
  </si>
  <si>
    <t>TRHU8311190</t>
  </si>
  <si>
    <t>FCIU4127143</t>
  </si>
  <si>
    <t>ZIMU3178417</t>
  </si>
  <si>
    <t>TBJU2627783</t>
  </si>
  <si>
    <t>TBJU0236619</t>
  </si>
  <si>
    <t>HACU2210628</t>
  </si>
  <si>
    <t>TDRU3366417</t>
  </si>
  <si>
    <t>ZCSU6932265</t>
  </si>
  <si>
    <t>JXLU6296590</t>
  </si>
  <si>
    <t>CAAU6412529</t>
  </si>
  <si>
    <t>SEKU6806384</t>
  </si>
  <si>
    <t>CAIU7873533</t>
  </si>
  <si>
    <t>HACU4212609</t>
  </si>
  <si>
    <t>HACU4245259</t>
  </si>
  <si>
    <t>HACU4210611</t>
  </si>
  <si>
    <t>HACU4220857</t>
  </si>
  <si>
    <t>BMOU1221271</t>
  </si>
  <si>
    <t>GLDU5551590</t>
  </si>
  <si>
    <t>SEKU1810020</t>
  </si>
  <si>
    <t>TCKU2040132</t>
  </si>
  <si>
    <t>GAOU7791373</t>
  </si>
  <si>
    <t>TRHU2507668</t>
  </si>
  <si>
    <t>TCKU1465657</t>
  </si>
  <si>
    <t>TRHU2199098</t>
  </si>
  <si>
    <t>TCLU3101543</t>
  </si>
  <si>
    <t>HACU2213247</t>
  </si>
  <si>
    <t>HACU2240474</t>
  </si>
  <si>
    <t>CAAU2213200</t>
  </si>
  <si>
    <t>ZCSU6103330</t>
  </si>
  <si>
    <t>FBLU0101164</t>
  </si>
  <si>
    <t>TCLU1934710</t>
  </si>
  <si>
    <t>TRHU2529040</t>
  </si>
  <si>
    <t>166S</t>
  </si>
  <si>
    <t>TCLU2801136</t>
  </si>
  <si>
    <t>HACU2160044</t>
  </si>
  <si>
    <t>HACU2240073</t>
  </si>
  <si>
    <t>FCIU5643571</t>
  </si>
  <si>
    <t>TLLU4773073</t>
  </si>
  <si>
    <t>HMMU6615980</t>
  </si>
  <si>
    <t>CAAU5456184</t>
  </si>
  <si>
    <t>JXLU7835779</t>
  </si>
  <si>
    <t>TCLU2521897</t>
  </si>
  <si>
    <t>FBIU0265271</t>
  </si>
  <si>
    <t>TCLU3001713</t>
  </si>
  <si>
    <t>TRHU1950060</t>
  </si>
  <si>
    <t>TGCU2012360</t>
  </si>
  <si>
    <t>SEGU3878072</t>
  </si>
  <si>
    <t>SEGU3879649</t>
  </si>
  <si>
    <t>HNSU2069057</t>
  </si>
  <si>
    <t>GLDU5394973</t>
  </si>
  <si>
    <t>TRHU2804706</t>
  </si>
  <si>
    <t>TRHU2989111</t>
  </si>
  <si>
    <t>TGCU0122986</t>
  </si>
  <si>
    <t>JXLU4482805</t>
  </si>
  <si>
    <t>BEAU5041648</t>
  </si>
  <si>
    <t>HACU2215872</t>
  </si>
  <si>
    <t>TCNU7139992</t>
  </si>
  <si>
    <t>GAOU7899394</t>
  </si>
  <si>
    <t>SEGU5778745</t>
  </si>
  <si>
    <t>HACU4181642</t>
  </si>
  <si>
    <t>HACU2250364</t>
  </si>
  <si>
    <t>FBIU0255545</t>
  </si>
  <si>
    <t>TGCU0045642</t>
  </si>
  <si>
    <t>HACU2161647</t>
  </si>
  <si>
    <t>DFSU3050225</t>
  </si>
  <si>
    <t>HACU2221371</t>
  </si>
  <si>
    <t>TCKU2244408</t>
  </si>
  <si>
    <t>BEAU5404070</t>
  </si>
  <si>
    <t>SEKU1474950</t>
  </si>
  <si>
    <t>SEKU1454784</t>
  </si>
  <si>
    <t>HACU2221875</t>
  </si>
  <si>
    <t>GLDU5656219</t>
  </si>
  <si>
    <t>CAIU8575744</t>
  </si>
  <si>
    <t>HACU4242310</t>
  </si>
  <si>
    <t>SEKU5574474</t>
  </si>
  <si>
    <t>DFSU3063705</t>
  </si>
  <si>
    <t>CAAU2138683</t>
  </si>
  <si>
    <t>TCKU2876415</t>
  </si>
  <si>
    <t>HACU2215342</t>
  </si>
  <si>
    <t>BEAU5405539</t>
  </si>
  <si>
    <t>DFSU1942433</t>
  </si>
  <si>
    <t>037S</t>
  </si>
  <si>
    <t>TCKU3641605</t>
  </si>
  <si>
    <t>GLDU5582543</t>
  </si>
  <si>
    <t>TCLU2317034</t>
  </si>
  <si>
    <t>TGCU2014614</t>
  </si>
  <si>
    <t>HACU2162047</t>
  </si>
  <si>
    <t>TCLU3318138</t>
  </si>
  <si>
    <t>DFSU1750180</t>
  </si>
  <si>
    <t>GLDU9856637</t>
  </si>
  <si>
    <t>TRHU1986334</t>
  </si>
  <si>
    <t>TCLU3391360</t>
  </si>
  <si>
    <t>TGCU2017531</t>
  </si>
  <si>
    <t>TCKU2386336</t>
  </si>
  <si>
    <t>CAIU2678597</t>
  </si>
  <si>
    <t>GLDU5032383</t>
  </si>
  <si>
    <t>GLDU5611220</t>
  </si>
  <si>
    <t>TRHU1528590</t>
  </si>
  <si>
    <t>DFSU1914848</t>
  </si>
  <si>
    <t>GLDU9922929</t>
  </si>
  <si>
    <t>GLDU5546696</t>
  </si>
  <si>
    <t>GLDU9922976</t>
  </si>
  <si>
    <t>GLDU5651069</t>
  </si>
  <si>
    <t>TRHU2133737</t>
  </si>
  <si>
    <t>TRHU1535665</t>
  </si>
  <si>
    <t>GAOU7898504</t>
  </si>
  <si>
    <t>SEKU6806893</t>
  </si>
  <si>
    <t>CAIU3533387</t>
  </si>
  <si>
    <t>DFSU1854013</t>
  </si>
  <si>
    <t>15H17712</t>
  </si>
  <si>
    <t>15H17403</t>
  </si>
  <si>
    <t>GIÁ HỢP ĐỒNG</t>
  </si>
  <si>
    <t>22-25</t>
  </si>
  <si>
    <t>tăng 10%</t>
  </si>
  <si>
    <t>25-28</t>
  </si>
  <si>
    <t>tăng 15%</t>
  </si>
  <si>
    <t>28-31</t>
  </si>
  <si>
    <t>tăng 20%</t>
  </si>
  <si>
    <t>31-34</t>
  </si>
  <si>
    <t>tăng 25%</t>
  </si>
  <si>
    <t>34-37</t>
  </si>
  <si>
    <t>tăng 30%</t>
  </si>
  <si>
    <t>37-40</t>
  </si>
  <si>
    <t>tăng 35%</t>
  </si>
  <si>
    <t>40-43</t>
  </si>
  <si>
    <t>tăng 40%</t>
  </si>
  <si>
    <t>43-46</t>
  </si>
  <si>
    <t>tăng 45%</t>
  </si>
  <si>
    <t>46-49</t>
  </si>
  <si>
    <t>tăng 50%</t>
  </si>
  <si>
    <t>49-52</t>
  </si>
  <si>
    <t>tăng 55%</t>
  </si>
  <si>
    <t>Bảng kê số      ngày 30/04/2026</t>
  </si>
  <si>
    <t>(Kèm theo HĐ GTGT số:  ngày 30/04/2026)</t>
  </si>
  <si>
    <t>BẢNG KÊ CHI TIẾT CƯỚC VẬN CHUYỂN SHIPSIDE THÁNG 04/2026</t>
  </si>
  <si>
    <t>059N</t>
  </si>
  <si>
    <t>TLLU5223282</t>
  </si>
  <si>
    <t>GAOU7791590</t>
  </si>
  <si>
    <t>Hải phòng, ngày 30 tháng 04 năm 2026</t>
  </si>
  <si>
    <t>Giá dầu TB tháng</t>
  </si>
  <si>
    <t>TEMU5245336</t>
  </si>
  <si>
    <t>V.036S</t>
  </si>
  <si>
    <t>TEMU5280255</t>
  </si>
  <si>
    <t>CAIU3692753</t>
  </si>
  <si>
    <t>TCLU7643780</t>
  </si>
  <si>
    <t>TCKU3754284</t>
  </si>
  <si>
    <t>TGBU3301385</t>
  </si>
  <si>
    <t>CAAU9568217</t>
  </si>
  <si>
    <t>TCLU6636894</t>
  </si>
  <si>
    <t>TRHU4970898</t>
  </si>
  <si>
    <t>BEAU5250144</t>
  </si>
  <si>
    <t>SEKU1943091</t>
  </si>
  <si>
    <t>V.060S</t>
  </si>
  <si>
    <t>HACU2244459</t>
  </si>
  <si>
    <t>DFSU1742543</t>
  </si>
  <si>
    <t>TRHU2113330</t>
  </si>
  <si>
    <t>TRHU2782654</t>
  </si>
  <si>
    <t>HACU2244546</t>
  </si>
  <si>
    <t>HACU2247885</t>
  </si>
  <si>
    <t>TRHU3363204</t>
  </si>
  <si>
    <t>SEKU1943065</t>
  </si>
  <si>
    <t>HACU2162807</t>
  </si>
  <si>
    <t>HACU2244470</t>
  </si>
  <si>
    <t>SEKU1461628</t>
  </si>
  <si>
    <t>HACU4181323</t>
  </si>
  <si>
    <t>CAIU9257100</t>
  </si>
  <si>
    <t>TCLU6756518</t>
  </si>
  <si>
    <t>SEKU6806506</t>
  </si>
  <si>
    <t>TCNU6302615</t>
  </si>
  <si>
    <t>HACU4216266</t>
  </si>
  <si>
    <t>HACU4216970</t>
  </si>
  <si>
    <t>MAGU5769815</t>
  </si>
  <si>
    <t>TCLU3789040</t>
  </si>
  <si>
    <t>V.059N</t>
  </si>
  <si>
    <t>TRHU1988487</t>
  </si>
  <si>
    <t>TRHU3084405</t>
  </si>
  <si>
    <t>TRHU2994632</t>
  </si>
  <si>
    <t>TCLU3545785</t>
  </si>
  <si>
    <t>TGBU3237100</t>
  </si>
  <si>
    <t>TCLU3489193</t>
  </si>
  <si>
    <t>BSIU3091742</t>
  </si>
  <si>
    <t>BEAU4445326</t>
  </si>
  <si>
    <t>BEAU5306412</t>
  </si>
  <si>
    <t>BEAU5455571</t>
  </si>
  <si>
    <t>GLDU9987914</t>
  </si>
  <si>
    <t>TCLU8486495</t>
  </si>
  <si>
    <t>TCLU8489196</t>
  </si>
  <si>
    <t>FBIU0330356</t>
  </si>
  <si>
    <t>V.166S</t>
  </si>
  <si>
    <t>BEAU2754007</t>
  </si>
  <si>
    <t>TCLU2938622</t>
  </si>
  <si>
    <t>CAIU3465750</t>
  </si>
  <si>
    <t>CAAU2484536</t>
  </si>
  <si>
    <t>TCKU1578226</t>
  </si>
  <si>
    <t>SEGU5805136</t>
  </si>
  <si>
    <t>CAAU5176460</t>
  </si>
  <si>
    <t>TCLU2660188</t>
  </si>
  <si>
    <t>V.037S</t>
  </si>
  <si>
    <t>TGCU2342845</t>
  </si>
  <si>
    <t>SEGU1956319</t>
  </si>
  <si>
    <t>SEGU2073936</t>
  </si>
  <si>
    <t>GLDU9492073</t>
  </si>
  <si>
    <t>TCLU3223393</t>
  </si>
  <si>
    <t>SEKU1469064</t>
  </si>
  <si>
    <t>HAIAN LINK</t>
  </si>
  <si>
    <t>V.138S</t>
  </si>
  <si>
    <t>KTCU2312071</t>
  </si>
  <si>
    <t>TRHU3463477</t>
  </si>
  <si>
    <t>HACU2162601</t>
  </si>
  <si>
    <t>HACU4244078</t>
  </si>
  <si>
    <t>FBLU0217236</t>
  </si>
  <si>
    <t>03/04/2026</t>
  </si>
  <si>
    <t>05/04/2026</t>
  </si>
  <si>
    <t>06/04/2026</t>
  </si>
  <si>
    <t>08/04/2026</t>
  </si>
  <si>
    <t>18/04/2026</t>
  </si>
  <si>
    <t>29/03/2026</t>
  </si>
  <si>
    <t>Cước vận chuyển cont Hàng 20 tuyến đường NHĐV - HẢI AN. Số xe: 15C15033</t>
  </si>
  <si>
    <t>Cước vận chuyển cont Hàng 20 tuyến đường NHĐV - HẢI AN. Số xe: 15H07524</t>
  </si>
  <si>
    <t>Cước vận chuyển cont Hàng 20 tuyến đường NHĐV - HẢI AN. Số xe: 15C17442</t>
  </si>
  <si>
    <t>Cước vận chuyển cont Hàng 20 tuyến đường NHĐV - HẢI AN. Số xe: 15H07644</t>
  </si>
  <si>
    <t>Cước vận chuyển cont Hàng 20 tuyến đường NHĐV - HẢI AN. Số xe: 15C30649</t>
  </si>
  <si>
    <t>Cước vận chuyển cont Hàng 20 tuyến đường NHĐV - HẢI AN. Số xe: 15H07788</t>
  </si>
  <si>
    <t>Cước vận chuyển cont Hàng 20 tuyến đường NHĐV - HẢI AN. Số xe: 15H08574</t>
  </si>
  <si>
    <t>Cước vận chuyển cont Hàng 40 tuyến đường NHĐV - HẢI AN. Số xe: 15H18753</t>
  </si>
  <si>
    <t>Cước vận chuyển cont Hàng 40 tuyến đường NHĐV - HẢI AN. Số xe: 15H20645</t>
  </si>
  <si>
    <t>Cước vận chuyển cont Hàng 40 tuyến đường NHĐV - HẢI AN. Số xe: 15H08574</t>
  </si>
  <si>
    <t>Cước vận chuyển cont Hàng 40 tuyến đường NHĐV - HẢI AN. Số xe: 15C17301</t>
  </si>
  <si>
    <t>Cước vận chuyển cont Hàng 40 tuyến đường NHĐV - HẢI AN. Số xe: 15H18552</t>
  </si>
  <si>
    <t>Cước vận chuyển cont Hàng 40 tuyến đường NHĐV - HẢI AN. Số xe: 15H07644</t>
  </si>
  <si>
    <t>Cước vận chuyển cont Hàng 40 tuyến đường NHĐV - HẢI AN. Số xe: 15C15033</t>
  </si>
  <si>
    <t>Cước vận chuyển cont Hàng 40 tuyến đường NHĐV - HẢI AN. Số xe: 15H12925</t>
  </si>
  <si>
    <t>Cước vận chuyển cont Hàng 40 tuyến đường NHĐV - HẢI AN. Số xe: 15H15378</t>
  </si>
  <si>
    <t>Cước vận chuyển cont Hàng 40 tuyến đường NHĐV - HẢI AN. Số xe: 15H17712</t>
  </si>
  <si>
    <t>Cước vận chuyển cont Hàng 40 tuyến đường NHĐV - HẢI AN. Số xe: 15H07788</t>
  </si>
  <si>
    <t>Cước vận chuyển cont Hàng 40 tuyến đường NHĐV - HẢI AN. Số xe: 15C30649</t>
  </si>
  <si>
    <t>Cước vận chuyển cont Hàng 40 tuyến đường NHĐV - HẢI AN. Số xe: 15H07524</t>
  </si>
  <si>
    <t>Cước vận chuyển cont Hàng 20 tuyến đường HẢI AN - NHĐV. Số xe: 15H07524</t>
  </si>
  <si>
    <t>Cước vận chuyển cont Hàng 40 tuyến đường HẢI AN - NHĐV. Số xe: 15C17301</t>
  </si>
  <si>
    <t>Cước vận chuyển cont Hàng 40 tuyến đường HẢI AN - NHĐV. Số xe: 15H07644</t>
  </si>
  <si>
    <t>Cước vận chuyển cont Hàng 40 tuyến đường NHĐV - HẢI AN. Số xe: 15C17442</t>
  </si>
  <si>
    <t>Cước vận chuyển cont Hàng 40 tuyến đường HẢI AN - NHĐV. Số xe: 15H17403</t>
  </si>
  <si>
    <t>Cước vận chuyển cont Hàng 40 tuyến đường NHĐV - HẢI AN. Số xe: 15C09877</t>
  </si>
  <si>
    <t>Cước vận chuyển cont Hàng 20 tuyến đường NHĐV - HẢI AN. Số xe: 15C09877</t>
  </si>
  <si>
    <t>Cước vận chuyển cont Hàng 40 tuyến đường HẢI AN - NHĐV. Số xe: 15C30649</t>
  </si>
  <si>
    <t>Cước vận chuyển cont Hàng 20 tuyến đường NHĐV - HẢI AN. Số xe: 15H07135</t>
  </si>
  <si>
    <t>Cước vận chuyển cont Hàng 40 tuyến đường NHĐV - HẢI AN. Số xe: 15H07135</t>
  </si>
  <si>
    <t>Cước vận chuyển cont Hàng 40 tuyến đường HẢI AN - NHĐV. Số xe: 15H07788</t>
  </si>
  <si>
    <t>Cước vận chuyển cont Hàng 20 tuyến đường HẢI AN - NHĐV. Số xe: 15H12925</t>
  </si>
  <si>
    <t>Cước vận chuyển cont Hàng 20 tuyến đường HẢI AN - NHĐV. Số xe: 15H18552</t>
  </si>
  <si>
    <t>Cước vận chuyển cont Hàng 40 tuyến đường HẢI AN - NHĐV. Số xe: 15H06892</t>
  </si>
  <si>
    <t>Cước vận chuyển cont Hàng 20 tuyến đường HẢI AN - NHĐV. Số xe: 15H17712</t>
  </si>
  <si>
    <t>Cước vận chuyển cont Hàng 20 tuyến đường HẢI AN - NHĐV. Số xe: 15H20645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</si>
</sst>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7" formatCode="&quot;£&quot;#,##0.00;\-&quot;£&quot;#,##0.00"/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\ _₫_-;\-* #,##0.00\ _₫_-;_-* &quot;-&quot;??\ _₫_-;_-@_-"/>
    <numFmt numFmtId="166" formatCode="_(* #,##0_);_(* \(#,##0\);_(* &quot;-&quot;??_);_(@_)"/>
    <numFmt numFmtId="167" formatCode="0."/>
    <numFmt numFmtId="168" formatCode="&quot;L.&quot;\ #,##0;\-&quot;L.&quot;\ #,##0"/>
    <numFmt numFmtId="169" formatCode="_(* #,##0.000_);_(* \(#,##0.000\);_(* &quot;-&quot;??_);_(@_)"/>
    <numFmt numFmtId="170" formatCode="\t0"/>
    <numFmt numFmtId="171" formatCode="\t0.00"/>
    <numFmt numFmtId="172" formatCode="\t#,##0"/>
    <numFmt numFmtId="173" formatCode="&quot;ß&quot;\t#,##0_);\(&quot;ß&quot;\t#,##0\)"/>
    <numFmt numFmtId="174" formatCode="_(\ß* \t#,##0_);_(\ß* \(\t#,##0\);_(\ß* &quot;-&quot;_);_(@_)"/>
    <numFmt numFmtId="175" formatCode="&quot;ß&quot;\t#,##0_);[Red]\(&quot;ß&quot;\t#,##0\)"/>
    <numFmt numFmtId="176" formatCode="&quot;\&quot;#,##0;[Red]&quot;\&quot;\-#,##0"/>
    <numFmt numFmtId="177" formatCode="&quot;\&quot;#,##0.00;[Red]&quot;\&quot;\-#,##0.00"/>
    <numFmt numFmtId="178" formatCode="_(&quot;$&quot;* #,##0.0_);_(&quot;$&quot;* \(#,##0.0\);_(&quot;$&quot;* &quot;-&quot;??_);_(@_)"/>
    <numFmt numFmtId="179" formatCode="_(&quot;$&quot;* #,##0_);_(&quot;$&quot;* \(#,##0\);_(&quot;$&quot;* &quot;-&quot;??_);_(@_)"/>
    <numFmt numFmtId="180" formatCode="[$-409]d\-mmm\-yyyy;@"/>
    <numFmt numFmtId="181" formatCode="_-* #,##0\ _₫_-;\-* #,##0\ _₫_-;_-* &quot;-&quot;??\ _₫_-;_-@_-"/>
    <numFmt numFmtId="182" formatCode="_(* #,##0.00_);_(* \(#,##0.00\);_(* &quot;-&quot;&quot;?&quot;&quot;?&quot;_);_(@_)"/>
    <numFmt numFmtId="183" formatCode="[$-1010000]d/m/yyyy;@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sz val="12"/>
      <name val=".VnTime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sz val="12"/>
      <name val="±¼¸²Ã¼"/>
      <family val="3"/>
    </font>
    <font>
      <sz val="12"/>
      <name val="¹UAAA¼"/>
      <family val="3"/>
      <charset val="129"/>
    </font>
    <font>
      <sz val="12"/>
      <name val="VnTime"/>
    </font>
    <font>
      <sz val="11"/>
      <name val="µ¸¿ò"/>
      <family val="1"/>
    </font>
    <font>
      <sz val="10"/>
      <name val="MS Sans Serif"/>
      <family val="2"/>
    </font>
    <font>
      <sz val="10"/>
      <name val="Courier New"/>
      <family val="3"/>
    </font>
    <font>
      <sz val="12"/>
      <name val="新細明體"/>
      <charset val="136"/>
    </font>
    <font>
      <b/>
      <sz val="12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name val=".VnTime"/>
      <family val="2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b/>
      <i/>
      <sz val="10"/>
      <name val="Times New Roman"/>
      <family val="1"/>
    </font>
    <font>
      <b/>
      <sz val="9"/>
      <color rgb="FFFF0000"/>
      <name val="Times New Roman"/>
      <family val="1"/>
    </font>
    <font>
      <sz val="11"/>
      <color theme="1"/>
      <name val="Times New Roman"/>
      <family val="1"/>
    </font>
    <font>
      <b/>
      <sz val="10"/>
      <color rgb="FF000000"/>
      <name val="Times New Roman"/>
      <family val="1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39">
    <xf numFmtId="0" fontId="0" fillId="0" borderId="0"/>
    <xf numFmtId="164" fontId="4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/>
    <xf numFmtId="0" fontId="24" fillId="0" borderId="0"/>
    <xf numFmtId="0" fontId="4" fillId="0" borderId="0"/>
    <xf numFmtId="180" fontId="24" fillId="0" borderId="0"/>
    <xf numFmtId="173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73" fontId="24" fillId="0" borderId="0" applyFont="0" applyFill="0" applyBorder="0" applyAlignment="0" applyProtection="0"/>
    <xf numFmtId="174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74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75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69" fontId="24" fillId="0" borderId="0" applyFont="0" applyFill="0" applyBorder="0" applyAlignment="0" applyProtection="0"/>
    <xf numFmtId="180" fontId="28" fillId="0" borderId="0"/>
    <xf numFmtId="180" fontId="27" fillId="0" borderId="0"/>
    <xf numFmtId="180" fontId="28" fillId="0" borderId="0"/>
    <xf numFmtId="180" fontId="30" fillId="0" borderId="0"/>
    <xf numFmtId="3" fontId="24" fillId="0" borderId="0" applyFont="0" applyFill="0" applyBorder="0" applyAlignment="0" applyProtection="0"/>
    <xf numFmtId="170" fontId="29" fillId="0" borderId="0" applyFont="0" applyFill="0" applyBorder="0" applyAlignment="0" applyProtection="0"/>
    <xf numFmtId="180" fontId="24" fillId="0" borderId="0" applyFont="0" applyFill="0" applyBorder="0" applyAlignment="0" applyProtection="0"/>
    <xf numFmtId="2" fontId="24" fillId="0" borderId="0" applyFont="0" applyFill="0" applyBorder="0" applyAlignment="0" applyProtection="0"/>
    <xf numFmtId="38" fontId="25" fillId="34" borderId="0" applyNumberFormat="0" applyBorder="0" applyAlignment="0" applyProtection="0"/>
    <xf numFmtId="180" fontId="34" fillId="0" borderId="12" applyNumberFormat="0" applyAlignment="0" applyProtection="0">
      <alignment horizontal="left" vertical="center"/>
    </xf>
    <xf numFmtId="180" fontId="34" fillId="0" borderId="2">
      <alignment horizontal="left" vertical="center"/>
    </xf>
    <xf numFmtId="180" fontId="26" fillId="0" borderId="0" applyNumberFormat="0" applyFill="0" applyBorder="0" applyAlignment="0" applyProtection="0"/>
    <xf numFmtId="180" fontId="34" fillId="0" borderId="0" applyNumberFormat="0" applyFill="0" applyBorder="0" applyAlignment="0" applyProtection="0"/>
    <xf numFmtId="10" fontId="25" fillId="35" borderId="1" applyNumberFormat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7" fontId="32" fillId="0" borderId="0"/>
    <xf numFmtId="180" fontId="24" fillId="0" borderId="0"/>
    <xf numFmtId="10" fontId="24" fillId="0" borderId="0" applyFont="0" applyFill="0" applyBorder="0" applyAlignment="0" applyProtection="0"/>
    <xf numFmtId="9" fontId="31" fillId="0" borderId="13" applyNumberFormat="0" applyBorder="0"/>
    <xf numFmtId="180" fontId="24" fillId="0" borderId="14" applyNumberFormat="0" applyFont="0" applyFill="0" applyAlignment="0" applyProtection="0"/>
    <xf numFmtId="40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0" fontId="24" fillId="0" borderId="0" applyFont="0" applyFill="0" applyBorder="0" applyAlignment="0" applyProtection="0"/>
    <xf numFmtId="180" fontId="36" fillId="0" borderId="0"/>
    <xf numFmtId="171" fontId="29" fillId="0" borderId="0" applyFont="0" applyFill="0" applyBorder="0" applyAlignment="0" applyProtection="0"/>
    <xf numFmtId="172" fontId="29" fillId="0" borderId="0" applyFont="0" applyFill="0" applyBorder="0" applyAlignment="0" applyProtection="0"/>
    <xf numFmtId="177" fontId="37" fillId="0" borderId="0" applyFont="0" applyFill="0" applyBorder="0" applyAlignment="0" applyProtection="0"/>
    <xf numFmtId="176" fontId="37" fillId="0" borderId="0" applyFont="0" applyFill="0" applyBorder="0" applyAlignment="0" applyProtection="0"/>
    <xf numFmtId="180" fontId="38" fillId="0" borderId="0"/>
    <xf numFmtId="180" fontId="33" fillId="0" borderId="0"/>
    <xf numFmtId="41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167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24" fillId="0" borderId="0"/>
    <xf numFmtId="0" fontId="24" fillId="0" borderId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23" fillId="13" borderId="0" applyNumberFormat="0" applyBorder="0" applyAlignment="0" applyProtection="0"/>
    <xf numFmtId="0" fontId="23" fillId="17" borderId="0" applyNumberFormat="0" applyBorder="0" applyAlignment="0" applyProtection="0"/>
    <xf numFmtId="0" fontId="23" fillId="21" borderId="0" applyNumberFormat="0" applyBorder="0" applyAlignment="0" applyProtection="0"/>
    <xf numFmtId="0" fontId="23" fillId="25" borderId="0" applyNumberFormat="0" applyBorder="0" applyAlignment="0" applyProtection="0"/>
    <xf numFmtId="0" fontId="23" fillId="29" borderId="0" applyNumberFormat="0" applyBorder="0" applyAlignment="0" applyProtection="0"/>
    <xf numFmtId="0" fontId="23" fillId="33" borderId="0" applyNumberFormat="0" applyBorder="0" applyAlignment="0" applyProtection="0"/>
    <xf numFmtId="0" fontId="23" fillId="10" borderId="0" applyNumberFormat="0" applyBorder="0" applyAlignment="0" applyProtection="0"/>
    <xf numFmtId="0" fontId="23" fillId="14" borderId="0" applyNumberFormat="0" applyBorder="0" applyAlignment="0" applyProtection="0"/>
    <xf numFmtId="0" fontId="23" fillId="18" borderId="0" applyNumberFormat="0" applyBorder="0" applyAlignment="0" applyProtection="0"/>
    <xf numFmtId="0" fontId="23" fillId="22" borderId="0" applyNumberFormat="0" applyBorder="0" applyAlignment="0" applyProtection="0"/>
    <xf numFmtId="0" fontId="23" fillId="26" borderId="0" applyNumberFormat="0" applyBorder="0" applyAlignment="0" applyProtection="0"/>
    <xf numFmtId="0" fontId="23" fillId="30" borderId="0" applyNumberFormat="0" applyBorder="0" applyAlignment="0" applyProtection="0"/>
    <xf numFmtId="0" fontId="13" fillId="4" borderId="0" applyNumberFormat="0" applyBorder="0" applyAlignment="0" applyProtection="0"/>
    <xf numFmtId="0" fontId="17" fillId="7" borderId="6" applyNumberFormat="0" applyAlignment="0" applyProtection="0"/>
    <xf numFmtId="0" fontId="19" fillId="8" borderId="9" applyNumberFormat="0" applyAlignment="0" applyProtection="0"/>
    <xf numFmtId="0" fontId="2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34" fillId="0" borderId="12" applyNumberFormat="0" applyAlignment="0" applyProtection="0">
      <alignment horizontal="left" vertical="center"/>
    </xf>
    <xf numFmtId="0" fontId="34" fillId="0" borderId="2">
      <alignment horizontal="left" vertical="center"/>
    </xf>
    <xf numFmtId="0" fontId="26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34" fillId="0" borderId="0" applyNumberFormat="0" applyFill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5" fillId="6" borderId="6" applyNumberFormat="0" applyAlignment="0" applyProtection="0"/>
    <xf numFmtId="0" fontId="18" fillId="0" borderId="8" applyNumberFormat="0" applyFill="0" applyAlignment="0" applyProtection="0"/>
    <xf numFmtId="0" fontId="14" fillId="5" borderId="0" applyNumberFormat="0" applyBorder="0" applyAlignment="0" applyProtection="0"/>
    <xf numFmtId="0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9" borderId="10" applyNumberFormat="0" applyFont="0" applyAlignment="0" applyProtection="0"/>
    <xf numFmtId="0" fontId="16" fillId="7" borderId="7" applyNumberFormat="0" applyAlignment="0" applyProtection="0"/>
    <xf numFmtId="0" fontId="24" fillId="0" borderId="14" applyNumberFormat="0" applyFont="0" applyFill="0" applyAlignment="0" applyProtection="0"/>
    <xf numFmtId="0" fontId="22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41" fillId="0" borderId="0" applyNumberForma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4" fillId="0" borderId="0"/>
    <xf numFmtId="41" fontId="1" fillId="0" borderId="0" applyFont="0" applyFill="0" applyBorder="0" applyAlignment="0" applyProtection="0"/>
    <xf numFmtId="182" fontId="42" fillId="0" borderId="0" applyFont="0" applyFill="0" applyBorder="0" applyAlignment="0" applyProtection="0"/>
    <xf numFmtId="180" fontId="24" fillId="0" borderId="0"/>
    <xf numFmtId="180" fontId="24" fillId="0" borderId="0"/>
    <xf numFmtId="0" fontId="24" fillId="0" borderId="0"/>
  </cellStyleXfs>
  <cellXfs count="89">
    <xf numFmtId="0" fontId="0" fillId="0" borderId="0" xfId="0"/>
    <xf numFmtId="14" fontId="40" fillId="36" borderId="1" xfId="0" applyNumberFormat="1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0" fillId="36" borderId="1" xfId="0" applyFont="1" applyFill="1" applyBorder="1" applyAlignment="1">
      <alignment horizontal="center" vertical="center" wrapText="1"/>
    </xf>
    <xf numFmtId="0" fontId="43" fillId="2" borderId="0" xfId="0" applyFont="1" applyFill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4" fillId="2" borderId="0" xfId="0" applyFont="1" applyFill="1" applyAlignment="1">
      <alignment horizontal="center"/>
    </xf>
    <xf numFmtId="14" fontId="6" fillId="2" borderId="0" xfId="0" applyNumberFormat="1" applyFont="1" applyFill="1" applyAlignment="1">
      <alignment horizontal="center"/>
    </xf>
    <xf numFmtId="166" fontId="45" fillId="2" borderId="0" xfId="1" applyNumberFormat="1" applyFont="1" applyFill="1" applyAlignment="1">
      <alignment vertical="center"/>
    </xf>
    <xf numFmtId="0" fontId="6" fillId="2" borderId="0" xfId="0" applyFont="1" applyFill="1"/>
    <xf numFmtId="0" fontId="3" fillId="0" borderId="0" xfId="0" applyFont="1" applyAlignment="1">
      <alignment horizontal="center" vertical="center"/>
    </xf>
    <xf numFmtId="166" fontId="46" fillId="36" borderId="1" xfId="1" applyNumberFormat="1" applyFont="1" applyFill="1" applyBorder="1" applyAlignment="1">
      <alignment horizontal="center" vertical="center"/>
    </xf>
    <xf numFmtId="166" fontId="46" fillId="36" borderId="1" xfId="1" applyNumberFormat="1" applyFont="1" applyFill="1" applyBorder="1" applyAlignment="1">
      <alignment horizontal="center" vertical="center" wrapText="1"/>
    </xf>
    <xf numFmtId="166" fontId="40" fillId="36" borderId="1" xfId="1" applyNumberFormat="1" applyFont="1" applyFill="1" applyBorder="1" applyAlignment="1">
      <alignment horizontal="center" vertical="center" wrapText="1"/>
    </xf>
    <xf numFmtId="166" fontId="3" fillId="0" borderId="0" xfId="1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166" fontId="43" fillId="2" borderId="1" xfId="1" applyNumberFormat="1" applyFont="1" applyFill="1" applyBorder="1" applyAlignment="1">
      <alignment horizontal="right" vertical="center"/>
    </xf>
    <xf numFmtId="0" fontId="43" fillId="0" borderId="15" xfId="0" applyFont="1" applyBorder="1" applyAlignment="1">
      <alignment horizontal="center" vertical="center" wrapText="1"/>
    </xf>
    <xf numFmtId="0" fontId="43" fillId="0" borderId="18" xfId="0" applyFont="1" applyBorder="1" applyAlignment="1">
      <alignment horizontal="center" vertical="center" wrapText="1"/>
    </xf>
    <xf numFmtId="0" fontId="43" fillId="0" borderId="20" xfId="0" applyFont="1" applyBorder="1" applyAlignment="1">
      <alignment horizontal="center" vertical="center" wrapText="1"/>
    </xf>
    <xf numFmtId="0" fontId="43" fillId="0" borderId="21" xfId="0" applyFont="1" applyBorder="1" applyAlignment="1">
      <alignment horizontal="center" vertical="center" wrapText="1"/>
    </xf>
    <xf numFmtId="0" fontId="47" fillId="0" borderId="21" xfId="0" applyFont="1" applyBorder="1" applyAlignment="1">
      <alignment horizontal="center" vertical="center" wrapText="1"/>
    </xf>
    <xf numFmtId="0" fontId="47" fillId="0" borderId="20" xfId="0" applyFont="1" applyBorder="1" applyAlignment="1">
      <alignment vertical="center" wrapText="1"/>
    </xf>
    <xf numFmtId="3" fontId="47" fillId="0" borderId="20" xfId="0" applyNumberFormat="1" applyFont="1" applyBorder="1" applyAlignment="1">
      <alignment horizontal="right" vertical="center" wrapText="1"/>
    </xf>
    <xf numFmtId="0" fontId="43" fillId="0" borderId="1" xfId="0" applyFont="1" applyBorder="1" applyAlignment="1">
      <alignment horizontal="center" vertical="center" wrapText="1"/>
    </xf>
    <xf numFmtId="0" fontId="43" fillId="0" borderId="2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9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vertical="center" wrapText="1"/>
    </xf>
    <xf numFmtId="181" fontId="47" fillId="0" borderId="1" xfId="132" applyNumberFormat="1" applyFont="1" applyBorder="1" applyAlignment="1">
      <alignment horizontal="center" vertical="center"/>
    </xf>
    <xf numFmtId="181" fontId="47" fillId="0" borderId="1" xfId="132" applyNumberFormat="1" applyFont="1" applyBorder="1" applyAlignment="1">
      <alignment vertical="center"/>
    </xf>
    <xf numFmtId="0" fontId="47" fillId="0" borderId="1" xfId="0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183" fontId="39" fillId="0" borderId="0" xfId="0" applyNumberFormat="1" applyFont="1" applyAlignment="1">
      <alignment horizontal="center" vertical="center"/>
    </xf>
    <xf numFmtId="183" fontId="43" fillId="2" borderId="0" xfId="0" applyNumberFormat="1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9" fillId="0" borderId="1" xfId="1" applyNumberFormat="1" applyFont="1" applyFill="1" applyBorder="1" applyAlignment="1">
      <alignment horizontal="center" vertical="center"/>
    </xf>
    <xf numFmtId="1" fontId="39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3" fillId="0" borderId="0" xfId="0" applyFont="1"/>
    <xf numFmtId="18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8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6" fontId="3" fillId="0" borderId="0" xfId="1" applyNumberFormat="1" applyFont="1" applyFill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166" fontId="3" fillId="0" borderId="0" xfId="1" applyNumberFormat="1" applyFont="1" applyFill="1" applyAlignment="1">
      <alignment vertical="center"/>
    </xf>
    <xf numFmtId="166" fontId="3" fillId="0" borderId="0" xfId="1" applyNumberFormat="1" applyFont="1" applyFill="1"/>
    <xf numFmtId="183" fontId="3" fillId="0" borderId="0" xfId="0" applyNumberFormat="1" applyFont="1"/>
    <xf numFmtId="0" fontId="5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6" fontId="6" fillId="0" borderId="0" xfId="1" applyNumberFormat="1" applyFont="1" applyFill="1" applyAlignment="1">
      <alignment horizontal="center"/>
    </xf>
    <xf numFmtId="0" fontId="6" fillId="0" borderId="0" xfId="0" applyFont="1"/>
    <xf numFmtId="166" fontId="6" fillId="0" borderId="0" xfId="1" applyNumberFormat="1" applyFont="1" applyFill="1"/>
    <xf numFmtId="166" fontId="40" fillId="0" borderId="0" xfId="1" applyNumberFormat="1" applyFont="1" applyFill="1" applyAlignment="1">
      <alignment horizontal="center" vertical="center"/>
    </xf>
    <xf numFmtId="166" fontId="48" fillId="0" borderId="0" xfId="1" applyNumberFormat="1" applyFont="1" applyFill="1" applyBorder="1" applyAlignment="1">
      <alignment horizontal="center" vertical="center"/>
    </xf>
    <xf numFmtId="166" fontId="39" fillId="0" borderId="0" xfId="1" applyNumberFormat="1" applyFont="1" applyAlignment="1">
      <alignment horizontal="center" vertical="center"/>
    </xf>
    <xf numFmtId="0" fontId="0" fillId="37" borderId="1" xfId="0" applyFill="1" applyBorder="1"/>
    <xf numFmtId="166" fontId="0" fillId="37" borderId="1" xfId="1" applyNumberFormat="1" applyFont="1" applyFill="1" applyBorder="1"/>
    <xf numFmtId="0" fontId="22" fillId="37" borderId="1" xfId="0" applyFont="1" applyFill="1" applyBorder="1" applyAlignment="1">
      <alignment horizontal="center"/>
    </xf>
    <xf numFmtId="166" fontId="22" fillId="37" borderId="1" xfId="1" applyNumberFormat="1" applyFont="1" applyFill="1" applyBorder="1" applyAlignment="1">
      <alignment horizontal="center"/>
    </xf>
    <xf numFmtId="0" fontId="39" fillId="38" borderId="1" xfId="0" applyFont="1" applyFill="1" applyBorder="1" applyAlignment="1">
      <alignment horizontal="center" vertical="center"/>
    </xf>
    <xf numFmtId="183" fontId="39" fillId="38" borderId="0" xfId="0" applyNumberFormat="1" applyFont="1" applyFill="1" applyAlignment="1">
      <alignment horizontal="center" vertical="center"/>
    </xf>
    <xf numFmtId="0" fontId="39" fillId="38" borderId="0" xfId="0" applyFont="1" applyFill="1" applyAlignment="1">
      <alignment horizontal="left" vertical="center"/>
    </xf>
    <xf numFmtId="0" fontId="39" fillId="38" borderId="0" xfId="0" applyFont="1" applyFill="1" applyAlignment="1">
      <alignment horizontal="center" vertical="center"/>
    </xf>
    <xf numFmtId="1" fontId="39" fillId="38" borderId="0" xfId="0" applyNumberFormat="1" applyFont="1" applyFill="1" applyAlignment="1">
      <alignment horizontal="center" vertical="center"/>
    </xf>
    <xf numFmtId="166" fontId="39" fillId="38" borderId="0" xfId="1" applyNumberFormat="1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43" fillId="0" borderId="15" xfId="0" applyFont="1" applyBorder="1" applyAlignment="1">
      <alignment horizontal="center" vertical="center" wrapText="1"/>
    </xf>
    <xf numFmtId="0" fontId="43" fillId="0" borderId="18" xfId="0" applyFont="1" applyBorder="1" applyAlignment="1">
      <alignment horizontal="center" vertical="center" wrapText="1"/>
    </xf>
    <xf numFmtId="0" fontId="43" fillId="0" borderId="21" xfId="0" applyFont="1" applyBorder="1" applyAlignment="1">
      <alignment horizontal="center" vertical="center" wrapText="1"/>
    </xf>
    <xf numFmtId="0" fontId="43" fillId="0" borderId="16" xfId="0" applyFont="1" applyBorder="1" applyAlignment="1">
      <alignment horizontal="center" vertical="center" wrapText="1"/>
    </xf>
    <xf numFmtId="0" fontId="43" fillId="0" borderId="17" xfId="0" applyFont="1" applyBorder="1" applyAlignment="1">
      <alignment horizontal="center" vertical="center" wrapText="1"/>
    </xf>
    <xf numFmtId="0" fontId="43" fillId="0" borderId="19" xfId="0" applyFont="1" applyBorder="1" applyAlignment="1">
      <alignment horizontal="center" vertical="center" wrapText="1"/>
    </xf>
    <xf numFmtId="0" fontId="43" fillId="0" borderId="20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0" fillId="0" borderId="0" xfId="0" applyNumberFormat="1"/>
  </cellXfs>
  <cellStyles count="139">
    <cellStyle name="20% - Accent1 2" xfId="69" xr:uid="{00000000-0005-0000-0000-000000000000}"/>
    <cellStyle name="20% - Accent2 2" xfId="70" xr:uid="{00000000-0005-0000-0000-000001000000}"/>
    <cellStyle name="20% - Accent3 2" xfId="71" xr:uid="{00000000-0005-0000-0000-000002000000}"/>
    <cellStyle name="20% - Accent4 2" xfId="72" xr:uid="{00000000-0005-0000-0000-000003000000}"/>
    <cellStyle name="20% - Accent5 2" xfId="73" xr:uid="{00000000-0005-0000-0000-000004000000}"/>
    <cellStyle name="20% - Accent6 2" xfId="74" xr:uid="{00000000-0005-0000-0000-000005000000}"/>
    <cellStyle name="40% - Accent1 2" xfId="75" xr:uid="{00000000-0005-0000-0000-000006000000}"/>
    <cellStyle name="40% - Accent2 2" xfId="76" xr:uid="{00000000-0005-0000-0000-000007000000}"/>
    <cellStyle name="40% - Accent3 2" xfId="77" xr:uid="{00000000-0005-0000-0000-000008000000}"/>
    <cellStyle name="40% - Accent4 2" xfId="78" xr:uid="{00000000-0005-0000-0000-000009000000}"/>
    <cellStyle name="40% - Accent5 2" xfId="79" xr:uid="{00000000-0005-0000-0000-00000A000000}"/>
    <cellStyle name="40% - Accent6 2" xfId="80" xr:uid="{00000000-0005-0000-0000-00000B000000}"/>
    <cellStyle name="60% - Accent1 2" xfId="81" xr:uid="{00000000-0005-0000-0000-00000C000000}"/>
    <cellStyle name="60% - Accent2 2" xfId="82" xr:uid="{00000000-0005-0000-0000-00000D000000}"/>
    <cellStyle name="60% - Accent3 2" xfId="83" xr:uid="{00000000-0005-0000-0000-00000E000000}"/>
    <cellStyle name="60% - Accent4 2" xfId="84" xr:uid="{00000000-0005-0000-0000-00000F000000}"/>
    <cellStyle name="60% - Accent5 2" xfId="85" xr:uid="{00000000-0005-0000-0000-000010000000}"/>
    <cellStyle name="60% - Accent6 2" xfId="86" xr:uid="{00000000-0005-0000-0000-000011000000}"/>
    <cellStyle name="Accent1 2" xfId="87" xr:uid="{00000000-0005-0000-0000-000012000000}"/>
    <cellStyle name="Accent2 2" xfId="88" xr:uid="{00000000-0005-0000-0000-000013000000}"/>
    <cellStyle name="Accent3 2" xfId="89" xr:uid="{00000000-0005-0000-0000-000014000000}"/>
    <cellStyle name="Accent4 2" xfId="90" xr:uid="{00000000-0005-0000-0000-000015000000}"/>
    <cellStyle name="Accent5 2" xfId="91" xr:uid="{00000000-0005-0000-0000-000016000000}"/>
    <cellStyle name="Accent6 2" xfId="92" xr:uid="{00000000-0005-0000-0000-000017000000}"/>
    <cellStyle name="ÅëÈ­ [0]_±âÅ¸" xfId="8" xr:uid="{00000000-0005-0000-0000-000018000000}"/>
    <cellStyle name="AeE­ [0]_INQUIRY ¿μ¾÷AßAø " xfId="9" xr:uid="{00000000-0005-0000-0000-000019000000}"/>
    <cellStyle name="ÅëÈ­ [0]_ÿÿÿÿÿÿ" xfId="10" xr:uid="{00000000-0005-0000-0000-00001A000000}"/>
    <cellStyle name="ÅëÈ­_±âÅ¸" xfId="11" xr:uid="{00000000-0005-0000-0000-00001B000000}"/>
    <cellStyle name="AeE­_INQUIRY ¿μ¾÷AßAø " xfId="12" xr:uid="{00000000-0005-0000-0000-00001C000000}"/>
    <cellStyle name="ÅëÈ­_ÿÿÿÿÿÿ" xfId="13" xr:uid="{00000000-0005-0000-0000-00001D000000}"/>
    <cellStyle name="ÄÞ¸¶ [0]_±âÅ¸" xfId="14" xr:uid="{00000000-0005-0000-0000-00001E000000}"/>
    <cellStyle name="AÞ¸¶ [0]_INQUIRY ¿?¾÷AßAø " xfId="15" xr:uid="{00000000-0005-0000-0000-00001F000000}"/>
    <cellStyle name="ÄÞ¸¶ [0]_ÿÿÿÿÿÿ" xfId="16" xr:uid="{00000000-0005-0000-0000-000020000000}"/>
    <cellStyle name="ÄÞ¸¶_±âÅ¸" xfId="17" xr:uid="{00000000-0005-0000-0000-000021000000}"/>
    <cellStyle name="AÞ¸¶_INQUIRY ¿?¾÷AßAø " xfId="18" xr:uid="{00000000-0005-0000-0000-000022000000}"/>
    <cellStyle name="ÄÞ¸¶_ÿÿÿÿÿÿ" xfId="19" xr:uid="{00000000-0005-0000-0000-000023000000}"/>
    <cellStyle name="Bad 2" xfId="93" xr:uid="{00000000-0005-0000-0000-000024000000}"/>
    <cellStyle name="C?AØ_¿?¾÷CoE² " xfId="20" xr:uid="{00000000-0005-0000-0000-000025000000}"/>
    <cellStyle name="Ç¥ÁØ_¿ù°£¿ä¾àº¸°í" xfId="21" xr:uid="{00000000-0005-0000-0000-000026000000}"/>
    <cellStyle name="C￥AØ_¿μ¾÷CoE² " xfId="22" xr:uid="{00000000-0005-0000-0000-000027000000}"/>
    <cellStyle name="Ç¥ÁØ_°èÈ¹" xfId="23" xr:uid="{00000000-0005-0000-0000-000028000000}"/>
    <cellStyle name="Calculation 2" xfId="94" xr:uid="{00000000-0005-0000-0000-000029000000}"/>
    <cellStyle name="Check Cell 2" xfId="95" xr:uid="{00000000-0005-0000-0000-00002A000000}"/>
    <cellStyle name="Comma" xfId="1" builtinId="3"/>
    <cellStyle name="Comma [0] 2" xfId="134" xr:uid="{00000000-0005-0000-0000-00002C000000}"/>
    <cellStyle name="Comma 15" xfId="135" xr:uid="{00000000-0005-0000-0000-00002D000000}"/>
    <cellStyle name="Comma 2" xfId="2" xr:uid="{00000000-0005-0000-0000-00002E000000}"/>
    <cellStyle name="Comma 3" xfId="132" xr:uid="{00000000-0005-0000-0000-00002F000000}"/>
    <cellStyle name="Comma0" xfId="24" xr:uid="{00000000-0005-0000-0000-000030000000}"/>
    <cellStyle name="Currency0" xfId="25" xr:uid="{00000000-0005-0000-0000-000031000000}"/>
    <cellStyle name="Date" xfId="26" xr:uid="{00000000-0005-0000-0000-000032000000}"/>
    <cellStyle name="Date 2" xfId="96" xr:uid="{00000000-0005-0000-0000-000033000000}"/>
    <cellStyle name="Explanatory Text 2" xfId="97" xr:uid="{00000000-0005-0000-0000-000034000000}"/>
    <cellStyle name="Fixed" xfId="27" xr:uid="{00000000-0005-0000-0000-000035000000}"/>
    <cellStyle name="Good 2" xfId="98" xr:uid="{00000000-0005-0000-0000-000036000000}"/>
    <cellStyle name="Grey" xfId="28" xr:uid="{00000000-0005-0000-0000-000037000000}"/>
    <cellStyle name="Header1" xfId="29" xr:uid="{00000000-0005-0000-0000-000038000000}"/>
    <cellStyle name="Header1 2" xfId="99" xr:uid="{00000000-0005-0000-0000-000039000000}"/>
    <cellStyle name="Header2" xfId="30" xr:uid="{00000000-0005-0000-0000-00003A000000}"/>
    <cellStyle name="Header2 2" xfId="100" xr:uid="{00000000-0005-0000-0000-00003B000000}"/>
    <cellStyle name="Heading 1 2" xfId="31" xr:uid="{00000000-0005-0000-0000-00003C000000}"/>
    <cellStyle name="Heading 1 2 2" xfId="102" xr:uid="{00000000-0005-0000-0000-00003D000000}"/>
    <cellStyle name="Heading 1 3" xfId="101" xr:uid="{00000000-0005-0000-0000-00003E000000}"/>
    <cellStyle name="Heading 2 2" xfId="32" xr:uid="{00000000-0005-0000-0000-00003F000000}"/>
    <cellStyle name="Heading 2 2 2" xfId="104" xr:uid="{00000000-0005-0000-0000-000040000000}"/>
    <cellStyle name="Heading 2 3" xfId="103" xr:uid="{00000000-0005-0000-0000-000041000000}"/>
    <cellStyle name="Heading 3 2" xfId="105" xr:uid="{00000000-0005-0000-0000-000042000000}"/>
    <cellStyle name="Heading 4 2" xfId="106" xr:uid="{00000000-0005-0000-0000-000043000000}"/>
    <cellStyle name="Input [yellow]" xfId="33" xr:uid="{00000000-0005-0000-0000-000044000000}"/>
    <cellStyle name="Input 2" xfId="107" xr:uid="{00000000-0005-0000-0000-000045000000}"/>
    <cellStyle name="Linked Cell 2" xfId="108" xr:uid="{00000000-0005-0000-0000-000046000000}"/>
    <cellStyle name="Milliers [0]_      " xfId="34" xr:uid="{00000000-0005-0000-0000-000047000000}"/>
    <cellStyle name="Milliers_      " xfId="35" xr:uid="{00000000-0005-0000-0000-000048000000}"/>
    <cellStyle name="Monétaire [0]_      " xfId="36" xr:uid="{00000000-0005-0000-0000-000049000000}"/>
    <cellStyle name="Monétaire_      " xfId="37" xr:uid="{00000000-0005-0000-0000-00004A000000}"/>
    <cellStyle name="Neutral 2" xfId="109" xr:uid="{00000000-0005-0000-0000-00004B000000}"/>
    <cellStyle name="Normal" xfId="0" builtinId="0"/>
    <cellStyle name="Normal - Style1" xfId="38" xr:uid="{00000000-0005-0000-0000-00004D000000}"/>
    <cellStyle name="Normal 10" xfId="7" xr:uid="{00000000-0005-0000-0000-00004E000000}"/>
    <cellStyle name="Normal 10 2" xfId="110" xr:uid="{00000000-0005-0000-0000-00004F000000}"/>
    <cellStyle name="Normal 10 3" xfId="136" xr:uid="{00000000-0005-0000-0000-000050000000}"/>
    <cellStyle name="Normal 100" xfId="39" xr:uid="{00000000-0005-0000-0000-000051000000}"/>
    <cellStyle name="Normal 100 2" xfId="111" xr:uid="{00000000-0005-0000-0000-000052000000}"/>
    <cellStyle name="Normal 11" xfId="67" xr:uid="{00000000-0005-0000-0000-000053000000}"/>
    <cellStyle name="Normal 11 2" xfId="112" xr:uid="{00000000-0005-0000-0000-000054000000}"/>
    <cellStyle name="Normal 11 3" xfId="137" xr:uid="{00000000-0005-0000-0000-000055000000}"/>
    <cellStyle name="Normal 12" xfId="113" xr:uid="{00000000-0005-0000-0000-000056000000}"/>
    <cellStyle name="Normal 13" xfId="114" xr:uid="{00000000-0005-0000-0000-000057000000}"/>
    <cellStyle name="Normal 14" xfId="6" xr:uid="{00000000-0005-0000-0000-000058000000}"/>
    <cellStyle name="Normal 15" xfId="115" xr:uid="{00000000-0005-0000-0000-000059000000}"/>
    <cellStyle name="Normal 16" xfId="116" xr:uid="{00000000-0005-0000-0000-00005A000000}"/>
    <cellStyle name="Normal 17" xfId="117" xr:uid="{00000000-0005-0000-0000-00005B000000}"/>
    <cellStyle name="Normal 18" xfId="118" xr:uid="{00000000-0005-0000-0000-00005C000000}"/>
    <cellStyle name="Normal 19" xfId="119" xr:uid="{00000000-0005-0000-0000-00005D000000}"/>
    <cellStyle name="Normal 2" xfId="3" xr:uid="{00000000-0005-0000-0000-00005E000000}"/>
    <cellStyle name="Normal 2 2" xfId="59" xr:uid="{00000000-0005-0000-0000-00005F000000}"/>
    <cellStyle name="Normal 2 3" xfId="5" xr:uid="{00000000-0005-0000-0000-000060000000}"/>
    <cellStyle name="Normal 20" xfId="120" xr:uid="{00000000-0005-0000-0000-000061000000}"/>
    <cellStyle name="Normal 21" xfId="121" xr:uid="{00000000-0005-0000-0000-000062000000}"/>
    <cellStyle name="Normal 22" xfId="122" xr:uid="{00000000-0005-0000-0000-000063000000}"/>
    <cellStyle name="Normal 23" xfId="123" xr:uid="{00000000-0005-0000-0000-000064000000}"/>
    <cellStyle name="Normal 24" xfId="68" xr:uid="{00000000-0005-0000-0000-000065000000}"/>
    <cellStyle name="Normal 24 2" xfId="138" xr:uid="{00000000-0005-0000-0000-000066000000}"/>
    <cellStyle name="Normal 25" xfId="131" xr:uid="{00000000-0005-0000-0000-000067000000}"/>
    <cellStyle name="Normal 3" xfId="60" xr:uid="{00000000-0005-0000-0000-000068000000}"/>
    <cellStyle name="Normal 3 3" xfId="129" xr:uid="{00000000-0005-0000-0000-000069000000}"/>
    <cellStyle name="Normal 4" xfId="61" xr:uid="{00000000-0005-0000-0000-00006A000000}"/>
    <cellStyle name="Normal 4 3" xfId="133" xr:uid="{00000000-0005-0000-0000-00006B000000}"/>
    <cellStyle name="Normal 5" xfId="62" xr:uid="{00000000-0005-0000-0000-00006C000000}"/>
    <cellStyle name="Normal 6" xfId="63" xr:uid="{00000000-0005-0000-0000-00006D000000}"/>
    <cellStyle name="Normal 7" xfId="64" xr:uid="{00000000-0005-0000-0000-00006E000000}"/>
    <cellStyle name="Normal 8" xfId="65" xr:uid="{00000000-0005-0000-0000-00006F000000}"/>
    <cellStyle name="Normal 9" xfId="66" xr:uid="{00000000-0005-0000-0000-000070000000}"/>
    <cellStyle name="Note 2" xfId="124" xr:uid="{00000000-0005-0000-0000-000071000000}"/>
    <cellStyle name="Output 2" xfId="125" xr:uid="{00000000-0005-0000-0000-000072000000}"/>
    <cellStyle name="Percent [2]" xfId="40" xr:uid="{00000000-0005-0000-0000-000073000000}"/>
    <cellStyle name="PERCENTAGE" xfId="41" xr:uid="{00000000-0005-0000-0000-000074000000}"/>
    <cellStyle name="Style 1" xfId="130" xr:uid="{00000000-0005-0000-0000-000075000000}"/>
    <cellStyle name="Title" xfId="4" builtinId="15" customBuiltin="1"/>
    <cellStyle name="Total 2" xfId="42" xr:uid="{00000000-0005-0000-0000-000077000000}"/>
    <cellStyle name="Total 2 2" xfId="127" xr:uid="{00000000-0005-0000-0000-000078000000}"/>
    <cellStyle name="Total 3" xfId="126" xr:uid="{00000000-0005-0000-0000-000079000000}"/>
    <cellStyle name="Warning Text 2" xfId="128" xr:uid="{00000000-0005-0000-0000-00007A000000}"/>
    <cellStyle name="똿뗦먛귟 [0.00]_PRODUCT DETAIL Q1" xfId="43" xr:uid="{00000000-0005-0000-0000-00007B000000}"/>
    <cellStyle name="똿뗦먛귟_PRODUCT DETAIL Q1" xfId="44" xr:uid="{00000000-0005-0000-0000-00007C000000}"/>
    <cellStyle name="믅됞 [0.00]_PRODUCT DETAIL Q1" xfId="45" xr:uid="{00000000-0005-0000-0000-00007D000000}"/>
    <cellStyle name="믅됞_PRODUCT DETAIL Q1" xfId="46" xr:uid="{00000000-0005-0000-0000-00007E000000}"/>
    <cellStyle name="백분율_HOBONG" xfId="47" xr:uid="{00000000-0005-0000-0000-00007F000000}"/>
    <cellStyle name="뷭?_BOOKSHIP" xfId="48" xr:uid="{00000000-0005-0000-0000-000080000000}"/>
    <cellStyle name="콤마 [0]_1202" xfId="49" xr:uid="{00000000-0005-0000-0000-000081000000}"/>
    <cellStyle name="콤마_1202" xfId="50" xr:uid="{00000000-0005-0000-0000-000082000000}"/>
    <cellStyle name="통화 [0]_1202" xfId="51" xr:uid="{00000000-0005-0000-0000-000083000000}"/>
    <cellStyle name="통화_1202" xfId="52" xr:uid="{00000000-0005-0000-0000-000084000000}"/>
    <cellStyle name="표준_(정보부문)월별인원계획" xfId="53" xr:uid="{00000000-0005-0000-0000-000085000000}"/>
    <cellStyle name="一般_LALAZAR" xfId="54" xr:uid="{00000000-0005-0000-0000-000086000000}"/>
    <cellStyle name="千分位[0]_LALAZAR" xfId="55" xr:uid="{00000000-0005-0000-0000-000087000000}"/>
    <cellStyle name="千分位_LALAZAR" xfId="56" xr:uid="{00000000-0005-0000-0000-000088000000}"/>
    <cellStyle name="貨幣 [0]_LALAZAR" xfId="57" xr:uid="{00000000-0005-0000-0000-000089000000}"/>
    <cellStyle name="貨幣_LALAZAR" xfId="58" xr:uid="{00000000-0005-0000-0000-00008A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40.777612847225" createdVersion="8" refreshedVersion="8" minRefreshableVersion="3" recordCount="415" xr:uid="{9F027822-FF31-4FE2-9368-7FB78C91A9A4}">
  <cacheSource type="worksheet">
    <worksheetSource ref="A1:C500" sheet="Sheet1"/>
  </cacheSource>
  <cacheFields count="3">
    <cacheField name="Nội dung HĐ" numFmtId="0">
      <sharedItems containsBlank="1" count="58">
        <s v="Cước vận chuyển cont Hàng 20 tuyến đường NHĐV - HẢI AN. Số xe: 15C15033"/>
        <s v="Cước vận chuyển cont Hàng 20 tuyến đường NHĐV - HẢI AN. Số xe: 15H07524"/>
        <s v="Cước vận chuyển cont Hàng 20 tuyến đường NHĐV - HẢI AN. Số xe: 15C17442"/>
        <s v="Cước vận chuyển cont Hàng 20 tuyến đường NHĐV - HẢI AN. Số xe: 15H07644"/>
        <s v="Cước vận chuyển cont Hàng 20 tuyến đường NHĐV - HẢI AN. Số xe: 15C30649"/>
        <s v="Cước vận chuyển cont Hàng 20 tuyến đường NHĐV - HẢI AN. Số xe: 15H07788"/>
        <s v="Cước vận chuyển cont Hàng 20 tuyến đường NHĐV - HẢI AN. Số xe: 15H08574"/>
        <s v="Cước vận chuyển cont Hàng 40 tuyến đường NHĐV - HẢI AN. Số xe: 15H18753"/>
        <s v="Cước vận chuyển cont Hàng 40 tuyến đường NHĐV - HẢI AN. Số xe: 15H20645"/>
        <s v="Cước vận chuyển cont Hàng 40 tuyến đường NHĐV - HẢI AN. Số xe: 15H08574"/>
        <s v="Cước vận chuyển cont Hàng 40 tuyến đường NHĐV - HẢI AN. Số xe: 15C17301"/>
        <s v="Cước vận chuyển cont Hàng 40 tuyến đường NHĐV - HẢI AN. Số xe: 15H18552"/>
        <s v="Cước vận chuyển cont Hàng 40 tuyến đường NHĐV - HẢI AN. Số xe: 15H07644"/>
        <s v="Cước vận chuyển cont Hàng 40 tuyến đường NHĐV - HẢI AN. Số xe: 15C15033"/>
        <s v="Cước vận chuyển cont Hàng 40 tuyến đường NHĐV - HẢI AN. Số xe: 15H12925"/>
        <s v="Cước vận chuyển cont Hàng 40 tuyến đường NHĐV - HẢI AN. Số xe: 15H15378"/>
        <s v="Cước vận chuyển cont Hàng 40 tuyến đường NHĐV - HẢI AN. Số xe: 15H17712"/>
        <s v="Cước vận chuyển cont Hàng 40 tuyến đường NHĐV - HẢI AN. Số xe: 15H07788"/>
        <s v="Cước vận chuyển cont Hàng 40 tuyến đường NHĐV - HẢI AN. Số xe: 15C30649"/>
        <s v="Cước vận chuyển cont Hàng 40 tuyến đường NHĐV - HẢI AN. Số xe: 15H07524"/>
        <s v="Cước vận chuyển cont Hàng 20 tuyến đường HẢI AN - NHĐV. Số xe: 15H07644"/>
        <s v="Cước vận chuyển cont Hàng 20 tuyến đường HẢI AN - NHĐV. Số xe: 15C17301"/>
        <s v="Cước vận chuyển cont Hàng 20 tuyến đường HẢI AN - NHĐV. Số xe: 15C09877"/>
        <s v="Cước vận chuyển cont Hàng 20 tuyến đường HẢI AN - NHĐV. Số xe: 15H06892"/>
        <s v="Cước vận chuyển cont Hàng 20 tuyến đường HẢI AN - NHĐV. Số xe: 15C17442"/>
        <s v="Cước vận chuyển cont Hàng 20 tuyến đường HẢI AN - NHĐV. Số xe: 15H07788"/>
        <s v="Cước vận chuyển cont Hàng 20 tuyến đường HẢI AN - NHĐV. Số xe: 15H07524"/>
        <s v="Cước vận chuyển cont Hàng 40 tuyến đường HẢI AN - NHĐV. Số xe: 15C17301"/>
        <s v="Cước vận chuyển cont Hàng 40 tuyến đường HẢI AN - NHĐV. Số xe: 15H12925"/>
        <s v="Cước vận chuyển cont Hàng 40 tuyến đường HẢI AN - NHĐV. Số xe: 15H07644"/>
        <s v="Cước vận chuyển cont Hàng 40 tuyến đường HẢI AN - NHĐV. Số xe: 15C15033"/>
        <s v="Cước vận chuyển cont Hàng 40 tuyến đường HẢI AN - NHĐV. Số xe: 15C09877"/>
        <s v="Cước vận chuyển cont Hàng 20 tuyến đường HẢI AN - NHĐV. Số xe: 15C15033"/>
        <s v="Cước vận chuyển cont Hàng 40 tuyến đường HẢI AN - NHĐV. Số xe: 15H18552"/>
        <s v="Cước vận chuyển cont Hàng 40 tuyến đường HẢI AN - NHĐV. Số xe: 15C17442"/>
        <s v="Cước vận chuyển cont Hàng 40 tuyến đường NHĐV - HẢI AN. Số xe: 15C17442"/>
        <s v="Cước vận chuyển cont Hàng 40 tuyến đường HẢI AN - NHĐV. Số xe: 15H07524"/>
        <s v="Cước vận chuyển cont Hàng 40 tuyến đường HẢI AN - NHĐV. Số xe: 15H15378"/>
        <s v="Cước vận chuyển cont Hàng 40 tuyến đường HẢI AN - NHĐV. Số xe: 15H17403"/>
        <s v="Cước vận chuyển cont Hàng 40 tuyến đường HẢI AN - NHĐV. Số xe: 15H18753"/>
        <s v="Cước vận chuyển cont Hàng 40 tuyến đường HẢI AN - NHĐV. Số xe: 15H20645"/>
        <s v="Cước vận chuyển cont Hàng 40 tuyến đường NHĐV - HẢI AN. Số xe: 15C09877"/>
        <s v="Cước vận chuyển cont Hàng 20 tuyến đường NHĐV - HẢI AN. Số xe: 15C09877"/>
        <s v="Cước vận chuyển cont Hàng 20 tuyến đường HẢI AN - NHĐV. Số xe: 15C30649"/>
        <s v="Cước vận chuyển cont Hàng 40 tuyến đường HẢI AN - NHĐV. Số xe: 15C30649"/>
        <s v="Cước vận chuyển cont Hàng 40 tuyến đường HẢI AN - NHĐV. Số xe: 15H08574"/>
        <s v="Cước vận chuyển cont Hàng 20 tuyến đường HẢI AN - NHĐV. Số xe: 15H08574"/>
        <s v="Cước vận chuyển cont Hàng 20 tuyến đường HẢI AN - NHĐV. Số xe: 15H07135"/>
        <s v="Cước vận chuyển cont Hàng 40 tuyến đường HẢI AN - NHĐV. Số xe: 15H07135"/>
        <s v="Cước vận chuyển cont Hàng 20 tuyến đường NHĐV - HẢI AN. Số xe: 15H07135"/>
        <s v="Cước vận chuyển cont Hàng 40 tuyến đường NHĐV - HẢI AN. Số xe: 15H07135"/>
        <s v="Cước vận chuyển cont Hàng 40 tuyến đường HẢI AN - NHĐV. Số xe: 15H07788"/>
        <s v="Cước vận chuyển cont Hàng 20 tuyến đường HẢI AN - NHĐV. Số xe: 15H12925"/>
        <s v="Cước vận chuyển cont Hàng 20 tuyến đường HẢI AN - NHĐV. Số xe: 15H18552"/>
        <s v="Cước vận chuyển cont Hàng 40 tuyến đường HẢI AN - NHĐV. Số xe: 15H06892"/>
        <s v="Cước vận chuyển cont Hàng 20 tuyến đường HẢI AN - NHĐV. Số xe: 15H17712"/>
        <s v="Cước vận chuyển cont Hàng 20 tuyến đường HẢI AN - NHĐV. Số xe: 15H20645"/>
        <m/>
      </sharedItems>
    </cacheField>
    <cacheField name="ĐƠN GIÁ" numFmtId="0">
      <sharedItems containsString="0" containsBlank="1" containsNumber="1" containsInteger="1" minValue="386100" maxValue="448500"/>
    </cacheField>
    <cacheField name="SỐ CHUYẾN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5">
  <r>
    <x v="0"/>
    <n v="386100"/>
    <n v="1"/>
  </r>
  <r>
    <x v="1"/>
    <n v="386100"/>
    <n v="1"/>
  </r>
  <r>
    <x v="1"/>
    <n v="386100"/>
    <n v="1"/>
  </r>
  <r>
    <x v="2"/>
    <n v="386100"/>
    <n v="1"/>
  </r>
  <r>
    <x v="3"/>
    <n v="386100"/>
    <n v="1"/>
  </r>
  <r>
    <x v="3"/>
    <n v="386100"/>
    <n v="1"/>
  </r>
  <r>
    <x v="4"/>
    <n v="386100"/>
    <n v="1"/>
  </r>
  <r>
    <x v="2"/>
    <n v="386100"/>
    <n v="1"/>
  </r>
  <r>
    <x v="2"/>
    <n v="386100"/>
    <n v="1"/>
  </r>
  <r>
    <x v="4"/>
    <n v="386100"/>
    <n v="1"/>
  </r>
  <r>
    <x v="5"/>
    <n v="386100"/>
    <n v="1"/>
  </r>
  <r>
    <x v="6"/>
    <n v="386100"/>
    <n v="1"/>
  </r>
  <r>
    <x v="0"/>
    <n v="386100"/>
    <n v="1"/>
  </r>
  <r>
    <x v="0"/>
    <n v="386100"/>
    <n v="1"/>
  </r>
  <r>
    <x v="4"/>
    <n v="386100"/>
    <n v="1"/>
  </r>
  <r>
    <x v="0"/>
    <n v="386100"/>
    <n v="1"/>
  </r>
  <r>
    <x v="3"/>
    <n v="386100"/>
    <n v="1"/>
  </r>
  <r>
    <x v="6"/>
    <n v="386100"/>
    <n v="1"/>
  </r>
  <r>
    <x v="0"/>
    <n v="386100"/>
    <n v="1"/>
  </r>
  <r>
    <x v="5"/>
    <n v="386100"/>
    <n v="1"/>
  </r>
  <r>
    <x v="4"/>
    <n v="386100"/>
    <n v="1"/>
  </r>
  <r>
    <x v="5"/>
    <n v="386100"/>
    <n v="1"/>
  </r>
  <r>
    <x v="4"/>
    <n v="386100"/>
    <n v="1"/>
  </r>
  <r>
    <x v="2"/>
    <n v="386100"/>
    <n v="1"/>
  </r>
  <r>
    <x v="3"/>
    <n v="386100"/>
    <n v="1"/>
  </r>
  <r>
    <x v="2"/>
    <n v="386100"/>
    <n v="1"/>
  </r>
  <r>
    <x v="5"/>
    <n v="386100"/>
    <n v="1"/>
  </r>
  <r>
    <x v="0"/>
    <n v="386100"/>
    <n v="1"/>
  </r>
  <r>
    <x v="2"/>
    <n v="386100"/>
    <n v="1"/>
  </r>
  <r>
    <x v="4"/>
    <n v="386100"/>
    <n v="1"/>
  </r>
  <r>
    <x v="7"/>
    <n v="448500"/>
    <n v="1"/>
  </r>
  <r>
    <x v="8"/>
    <n v="448500"/>
    <n v="1"/>
  </r>
  <r>
    <x v="9"/>
    <n v="448500"/>
    <n v="1"/>
  </r>
  <r>
    <x v="10"/>
    <n v="448500"/>
    <n v="1"/>
  </r>
  <r>
    <x v="11"/>
    <n v="448500"/>
    <n v="1"/>
  </r>
  <r>
    <x v="10"/>
    <n v="448500"/>
    <n v="1"/>
  </r>
  <r>
    <x v="9"/>
    <n v="448500"/>
    <n v="1"/>
  </r>
  <r>
    <x v="12"/>
    <n v="448500"/>
    <n v="1"/>
  </r>
  <r>
    <x v="7"/>
    <n v="448500"/>
    <n v="1"/>
  </r>
  <r>
    <x v="12"/>
    <n v="448500"/>
    <n v="1"/>
  </r>
  <r>
    <x v="13"/>
    <n v="448500"/>
    <n v="1"/>
  </r>
  <r>
    <x v="7"/>
    <n v="448500"/>
    <n v="1"/>
  </r>
  <r>
    <x v="9"/>
    <n v="448500"/>
    <n v="1"/>
  </r>
  <r>
    <x v="14"/>
    <n v="448500"/>
    <n v="1"/>
  </r>
  <r>
    <x v="15"/>
    <n v="448500"/>
    <n v="1"/>
  </r>
  <r>
    <x v="16"/>
    <n v="448500"/>
    <n v="1"/>
  </r>
  <r>
    <x v="8"/>
    <n v="448500"/>
    <n v="1"/>
  </r>
  <r>
    <x v="15"/>
    <n v="448500"/>
    <n v="1"/>
  </r>
  <r>
    <x v="17"/>
    <n v="448500"/>
    <n v="1"/>
  </r>
  <r>
    <x v="14"/>
    <n v="448500"/>
    <n v="1"/>
  </r>
  <r>
    <x v="15"/>
    <n v="448500"/>
    <n v="1"/>
  </r>
  <r>
    <x v="18"/>
    <n v="448500"/>
    <n v="1"/>
  </r>
  <r>
    <x v="11"/>
    <n v="448500"/>
    <n v="1"/>
  </r>
  <r>
    <x v="19"/>
    <n v="448500"/>
    <n v="1"/>
  </r>
  <r>
    <x v="15"/>
    <n v="448500"/>
    <n v="1"/>
  </r>
  <r>
    <x v="17"/>
    <n v="448500"/>
    <n v="1"/>
  </r>
  <r>
    <x v="15"/>
    <n v="448500"/>
    <n v="1"/>
  </r>
  <r>
    <x v="9"/>
    <n v="448500"/>
    <n v="1"/>
  </r>
  <r>
    <x v="7"/>
    <n v="448500"/>
    <n v="1"/>
  </r>
  <r>
    <x v="12"/>
    <n v="448500"/>
    <n v="1"/>
  </r>
  <r>
    <x v="15"/>
    <n v="448500"/>
    <n v="1"/>
  </r>
  <r>
    <x v="19"/>
    <n v="448500"/>
    <n v="1"/>
  </r>
  <r>
    <x v="7"/>
    <n v="448500"/>
    <n v="1"/>
  </r>
  <r>
    <x v="8"/>
    <n v="448500"/>
    <n v="1"/>
  </r>
  <r>
    <x v="8"/>
    <n v="448500"/>
    <n v="1"/>
  </r>
  <r>
    <x v="10"/>
    <n v="448500"/>
    <n v="1"/>
  </r>
  <r>
    <x v="16"/>
    <n v="448500"/>
    <n v="1"/>
  </r>
  <r>
    <x v="17"/>
    <n v="448500"/>
    <n v="1"/>
  </r>
  <r>
    <x v="18"/>
    <n v="448500"/>
    <n v="1"/>
  </r>
  <r>
    <x v="10"/>
    <n v="448500"/>
    <n v="1"/>
  </r>
  <r>
    <x v="19"/>
    <n v="448500"/>
    <n v="1"/>
  </r>
  <r>
    <x v="16"/>
    <n v="448500"/>
    <n v="1"/>
  </r>
  <r>
    <x v="8"/>
    <n v="448500"/>
    <n v="1"/>
  </r>
  <r>
    <x v="20"/>
    <n v="386100"/>
    <n v="1"/>
  </r>
  <r>
    <x v="21"/>
    <n v="386100"/>
    <n v="1"/>
  </r>
  <r>
    <x v="21"/>
    <n v="386100"/>
    <n v="1"/>
  </r>
  <r>
    <x v="22"/>
    <n v="386100"/>
    <n v="1"/>
  </r>
  <r>
    <x v="23"/>
    <n v="386100"/>
    <n v="1"/>
  </r>
  <r>
    <x v="21"/>
    <n v="386100"/>
    <n v="1"/>
  </r>
  <r>
    <x v="24"/>
    <n v="386100"/>
    <n v="1"/>
  </r>
  <r>
    <x v="21"/>
    <n v="386100"/>
    <n v="1"/>
  </r>
  <r>
    <x v="25"/>
    <n v="386100"/>
    <n v="1"/>
  </r>
  <r>
    <x v="25"/>
    <n v="386100"/>
    <n v="1"/>
  </r>
  <r>
    <x v="26"/>
    <n v="386100"/>
    <n v="1"/>
  </r>
  <r>
    <x v="20"/>
    <n v="386100"/>
    <n v="1"/>
  </r>
  <r>
    <x v="20"/>
    <n v="386100"/>
    <n v="1"/>
  </r>
  <r>
    <x v="21"/>
    <n v="386100"/>
    <n v="1"/>
  </r>
  <r>
    <x v="26"/>
    <n v="386100"/>
    <n v="1"/>
  </r>
  <r>
    <x v="20"/>
    <n v="386100"/>
    <n v="1"/>
  </r>
  <r>
    <x v="22"/>
    <n v="386100"/>
    <n v="1"/>
  </r>
  <r>
    <x v="20"/>
    <n v="386100"/>
    <n v="1"/>
  </r>
  <r>
    <x v="25"/>
    <n v="386100"/>
    <n v="1"/>
  </r>
  <r>
    <x v="25"/>
    <n v="386100"/>
    <n v="1"/>
  </r>
  <r>
    <x v="21"/>
    <n v="386100"/>
    <n v="1"/>
  </r>
  <r>
    <x v="21"/>
    <n v="386100"/>
    <n v="1"/>
  </r>
  <r>
    <x v="21"/>
    <n v="386100"/>
    <n v="1"/>
  </r>
  <r>
    <x v="25"/>
    <n v="386100"/>
    <n v="1"/>
  </r>
  <r>
    <x v="25"/>
    <n v="386100"/>
    <n v="1"/>
  </r>
  <r>
    <x v="26"/>
    <n v="386100"/>
    <n v="1"/>
  </r>
  <r>
    <x v="21"/>
    <n v="386100"/>
    <n v="1"/>
  </r>
  <r>
    <x v="26"/>
    <n v="386100"/>
    <n v="1"/>
  </r>
  <r>
    <x v="23"/>
    <n v="386100"/>
    <n v="1"/>
  </r>
  <r>
    <x v="21"/>
    <n v="386100"/>
    <n v="1"/>
  </r>
  <r>
    <x v="20"/>
    <n v="386100"/>
    <n v="1"/>
  </r>
  <r>
    <x v="24"/>
    <n v="386100"/>
    <n v="1"/>
  </r>
  <r>
    <x v="27"/>
    <n v="448500"/>
    <n v="1"/>
  </r>
  <r>
    <x v="27"/>
    <n v="448500"/>
    <n v="1"/>
  </r>
  <r>
    <x v="28"/>
    <n v="448500"/>
    <n v="1"/>
  </r>
  <r>
    <x v="29"/>
    <n v="448500"/>
    <n v="1"/>
  </r>
  <r>
    <x v="30"/>
    <n v="448500"/>
    <n v="1"/>
  </r>
  <r>
    <x v="22"/>
    <n v="386100"/>
    <n v="1"/>
  </r>
  <r>
    <x v="22"/>
    <n v="386100"/>
    <n v="1"/>
  </r>
  <r>
    <x v="31"/>
    <n v="448500"/>
    <n v="1"/>
  </r>
  <r>
    <x v="22"/>
    <n v="386100"/>
    <n v="1"/>
  </r>
  <r>
    <x v="32"/>
    <n v="386100"/>
    <n v="1"/>
  </r>
  <r>
    <x v="31"/>
    <n v="448500"/>
    <n v="1"/>
  </r>
  <r>
    <x v="33"/>
    <n v="448500"/>
    <n v="1"/>
  </r>
  <r>
    <x v="33"/>
    <n v="448500"/>
    <n v="1"/>
  </r>
  <r>
    <x v="33"/>
    <n v="448500"/>
    <n v="1"/>
  </r>
  <r>
    <x v="11"/>
    <n v="448500"/>
    <n v="1"/>
  </r>
  <r>
    <x v="24"/>
    <n v="386100"/>
    <n v="1"/>
  </r>
  <r>
    <x v="24"/>
    <n v="386100"/>
    <n v="1"/>
  </r>
  <r>
    <x v="24"/>
    <n v="386100"/>
    <n v="1"/>
  </r>
  <r>
    <x v="24"/>
    <n v="386100"/>
    <n v="1"/>
  </r>
  <r>
    <x v="34"/>
    <n v="448500"/>
    <n v="1"/>
  </r>
  <r>
    <x v="34"/>
    <n v="448500"/>
    <n v="1"/>
  </r>
  <r>
    <x v="34"/>
    <n v="448500"/>
    <n v="1"/>
  </r>
  <r>
    <x v="35"/>
    <n v="448500"/>
    <n v="1"/>
  </r>
  <r>
    <x v="26"/>
    <n v="386100"/>
    <n v="1"/>
  </r>
  <r>
    <x v="26"/>
    <n v="386100"/>
    <n v="1"/>
  </r>
  <r>
    <x v="26"/>
    <n v="386100"/>
    <n v="1"/>
  </r>
  <r>
    <x v="26"/>
    <n v="386100"/>
    <n v="1"/>
  </r>
  <r>
    <x v="26"/>
    <n v="386100"/>
    <n v="1"/>
  </r>
  <r>
    <x v="26"/>
    <n v="386100"/>
    <n v="1"/>
  </r>
  <r>
    <x v="26"/>
    <n v="386100"/>
    <n v="1"/>
  </r>
  <r>
    <x v="26"/>
    <n v="386100"/>
    <n v="1"/>
  </r>
  <r>
    <x v="36"/>
    <n v="448500"/>
    <n v="1"/>
  </r>
  <r>
    <x v="19"/>
    <n v="448500"/>
    <n v="1"/>
  </r>
  <r>
    <x v="37"/>
    <n v="448500"/>
    <n v="1"/>
  </r>
  <r>
    <x v="37"/>
    <n v="448500"/>
    <n v="1"/>
  </r>
  <r>
    <x v="15"/>
    <n v="448500"/>
    <n v="1"/>
  </r>
  <r>
    <x v="38"/>
    <n v="448500"/>
    <n v="1"/>
  </r>
  <r>
    <x v="38"/>
    <n v="448500"/>
    <n v="1"/>
  </r>
  <r>
    <x v="39"/>
    <n v="448500"/>
    <n v="1"/>
  </r>
  <r>
    <x v="39"/>
    <n v="448500"/>
    <n v="1"/>
  </r>
  <r>
    <x v="8"/>
    <n v="448500"/>
    <n v="1"/>
  </r>
  <r>
    <x v="8"/>
    <n v="448500"/>
    <n v="1"/>
  </r>
  <r>
    <x v="40"/>
    <n v="448500"/>
    <n v="1"/>
  </r>
  <r>
    <x v="40"/>
    <n v="448500"/>
    <n v="1"/>
  </r>
  <r>
    <x v="40"/>
    <n v="448500"/>
    <n v="1"/>
  </r>
  <r>
    <x v="40"/>
    <n v="448500"/>
    <n v="1"/>
  </r>
  <r>
    <x v="40"/>
    <n v="448500"/>
    <n v="1"/>
  </r>
  <r>
    <x v="40"/>
    <n v="448500"/>
    <n v="1"/>
  </r>
  <r>
    <x v="40"/>
    <n v="448500"/>
    <n v="1"/>
  </r>
  <r>
    <x v="41"/>
    <n v="448500"/>
    <n v="1"/>
  </r>
  <r>
    <x v="42"/>
    <n v="386100"/>
    <n v="1"/>
  </r>
  <r>
    <x v="42"/>
    <n v="386100"/>
    <n v="1"/>
  </r>
  <r>
    <x v="22"/>
    <n v="386100"/>
    <n v="1"/>
  </r>
  <r>
    <x v="22"/>
    <n v="386100"/>
    <n v="1"/>
  </r>
  <r>
    <x v="22"/>
    <n v="386100"/>
    <n v="1"/>
  </r>
  <r>
    <x v="22"/>
    <n v="386100"/>
    <n v="1"/>
  </r>
  <r>
    <x v="43"/>
    <n v="386100"/>
    <n v="1"/>
  </r>
  <r>
    <x v="43"/>
    <n v="386100"/>
    <n v="1"/>
  </r>
  <r>
    <x v="43"/>
    <n v="386100"/>
    <n v="1"/>
  </r>
  <r>
    <x v="43"/>
    <n v="386100"/>
    <n v="1"/>
  </r>
  <r>
    <x v="43"/>
    <n v="386100"/>
    <n v="1"/>
  </r>
  <r>
    <x v="43"/>
    <n v="386100"/>
    <n v="1"/>
  </r>
  <r>
    <x v="43"/>
    <n v="386100"/>
    <n v="1"/>
  </r>
  <r>
    <x v="43"/>
    <n v="386100"/>
    <n v="1"/>
  </r>
  <r>
    <x v="43"/>
    <n v="386100"/>
    <n v="1"/>
  </r>
  <r>
    <x v="43"/>
    <n v="386100"/>
    <n v="1"/>
  </r>
  <r>
    <x v="44"/>
    <n v="448500"/>
    <n v="1"/>
  </r>
  <r>
    <x v="18"/>
    <n v="448500"/>
    <n v="1"/>
  </r>
  <r>
    <x v="18"/>
    <n v="448500"/>
    <n v="1"/>
  </r>
  <r>
    <x v="4"/>
    <n v="386100"/>
    <n v="1"/>
  </r>
  <r>
    <x v="4"/>
    <n v="386100"/>
    <n v="1"/>
  </r>
  <r>
    <x v="45"/>
    <n v="448500"/>
    <n v="1"/>
  </r>
  <r>
    <x v="45"/>
    <n v="448500"/>
    <n v="1"/>
  </r>
  <r>
    <x v="9"/>
    <n v="448500"/>
    <n v="1"/>
  </r>
  <r>
    <x v="46"/>
    <n v="386100"/>
    <n v="1"/>
  </r>
  <r>
    <x v="46"/>
    <n v="386100"/>
    <n v="1"/>
  </r>
  <r>
    <x v="46"/>
    <n v="386100"/>
    <n v="1"/>
  </r>
  <r>
    <x v="46"/>
    <n v="386100"/>
    <n v="1"/>
  </r>
  <r>
    <x v="9"/>
    <n v="448500"/>
    <n v="1"/>
  </r>
  <r>
    <x v="6"/>
    <n v="386100"/>
    <n v="1"/>
  </r>
  <r>
    <x v="6"/>
    <n v="386100"/>
    <n v="1"/>
  </r>
  <r>
    <x v="6"/>
    <n v="386100"/>
    <n v="1"/>
  </r>
  <r>
    <x v="6"/>
    <n v="386100"/>
    <n v="1"/>
  </r>
  <r>
    <x v="24"/>
    <n v="386100"/>
    <n v="1"/>
  </r>
  <r>
    <x v="24"/>
    <n v="386100"/>
    <n v="1"/>
  </r>
  <r>
    <x v="32"/>
    <n v="386100"/>
    <n v="1"/>
  </r>
  <r>
    <x v="32"/>
    <n v="386100"/>
    <n v="1"/>
  </r>
  <r>
    <x v="32"/>
    <n v="386100"/>
    <n v="1"/>
  </r>
  <r>
    <x v="32"/>
    <n v="386100"/>
    <n v="1"/>
  </r>
  <r>
    <x v="28"/>
    <n v="448500"/>
    <n v="1"/>
  </r>
  <r>
    <x v="28"/>
    <n v="448500"/>
    <n v="1"/>
  </r>
  <r>
    <x v="33"/>
    <n v="448500"/>
    <n v="1"/>
  </r>
  <r>
    <x v="33"/>
    <n v="448500"/>
    <n v="1"/>
  </r>
  <r>
    <x v="26"/>
    <n v="386100"/>
    <n v="1"/>
  </r>
  <r>
    <x v="26"/>
    <n v="386100"/>
    <n v="1"/>
  </r>
  <r>
    <x v="26"/>
    <n v="386100"/>
    <n v="1"/>
  </r>
  <r>
    <x v="26"/>
    <n v="386100"/>
    <n v="1"/>
  </r>
  <r>
    <x v="42"/>
    <n v="386100"/>
    <n v="1"/>
  </r>
  <r>
    <x v="42"/>
    <n v="386100"/>
    <n v="1"/>
  </r>
  <r>
    <x v="42"/>
    <n v="386100"/>
    <n v="1"/>
  </r>
  <r>
    <x v="42"/>
    <n v="386100"/>
    <n v="1"/>
  </r>
  <r>
    <x v="41"/>
    <n v="448500"/>
    <n v="1"/>
  </r>
  <r>
    <x v="41"/>
    <n v="448500"/>
    <n v="1"/>
  </r>
  <r>
    <x v="47"/>
    <n v="386100"/>
    <n v="1"/>
  </r>
  <r>
    <x v="47"/>
    <n v="386100"/>
    <n v="1"/>
  </r>
  <r>
    <x v="48"/>
    <n v="448500"/>
    <n v="1"/>
  </r>
  <r>
    <x v="48"/>
    <n v="448500"/>
    <n v="1"/>
  </r>
  <r>
    <x v="49"/>
    <n v="386100"/>
    <n v="1"/>
  </r>
  <r>
    <x v="49"/>
    <n v="386100"/>
    <n v="1"/>
  </r>
  <r>
    <x v="49"/>
    <n v="386100"/>
    <n v="1"/>
  </r>
  <r>
    <x v="49"/>
    <n v="386100"/>
    <n v="1"/>
  </r>
  <r>
    <x v="49"/>
    <n v="386100"/>
    <n v="1"/>
  </r>
  <r>
    <x v="49"/>
    <n v="386100"/>
    <n v="1"/>
  </r>
  <r>
    <x v="50"/>
    <n v="448500"/>
    <n v="1"/>
  </r>
  <r>
    <x v="50"/>
    <n v="448500"/>
    <n v="1"/>
  </r>
  <r>
    <x v="49"/>
    <n v="386100"/>
    <n v="1"/>
  </r>
  <r>
    <x v="49"/>
    <n v="386100"/>
    <n v="1"/>
  </r>
  <r>
    <x v="49"/>
    <n v="386100"/>
    <n v="1"/>
  </r>
  <r>
    <x v="49"/>
    <n v="386100"/>
    <n v="1"/>
  </r>
  <r>
    <x v="47"/>
    <n v="386100"/>
    <n v="1"/>
  </r>
  <r>
    <x v="47"/>
    <n v="386100"/>
    <n v="1"/>
  </r>
  <r>
    <x v="48"/>
    <n v="448500"/>
    <n v="1"/>
  </r>
  <r>
    <x v="48"/>
    <n v="448500"/>
    <n v="1"/>
  </r>
  <r>
    <x v="47"/>
    <n v="386100"/>
    <n v="1"/>
  </r>
  <r>
    <x v="47"/>
    <n v="386100"/>
    <n v="1"/>
  </r>
  <r>
    <x v="47"/>
    <n v="386100"/>
    <n v="1"/>
  </r>
  <r>
    <x v="47"/>
    <n v="386100"/>
    <n v="1"/>
  </r>
  <r>
    <x v="47"/>
    <n v="386100"/>
    <n v="1"/>
  </r>
  <r>
    <x v="47"/>
    <n v="386100"/>
    <n v="1"/>
  </r>
  <r>
    <x v="47"/>
    <n v="386100"/>
    <n v="1"/>
  </r>
  <r>
    <x v="47"/>
    <n v="386100"/>
    <n v="1"/>
  </r>
  <r>
    <x v="49"/>
    <n v="386100"/>
    <n v="1"/>
  </r>
  <r>
    <x v="49"/>
    <n v="386100"/>
    <n v="1"/>
  </r>
  <r>
    <x v="50"/>
    <n v="448500"/>
    <n v="1"/>
  </r>
  <r>
    <x v="49"/>
    <n v="386100"/>
    <n v="1"/>
  </r>
  <r>
    <x v="49"/>
    <n v="386100"/>
    <n v="1"/>
  </r>
  <r>
    <x v="49"/>
    <n v="386100"/>
    <n v="1"/>
  </r>
  <r>
    <x v="49"/>
    <n v="386100"/>
    <n v="1"/>
  </r>
  <r>
    <x v="21"/>
    <n v="386100"/>
    <n v="1"/>
  </r>
  <r>
    <x v="21"/>
    <n v="386100"/>
    <n v="1"/>
  </r>
  <r>
    <x v="18"/>
    <n v="448500"/>
    <n v="1"/>
  </r>
  <r>
    <x v="18"/>
    <n v="448500"/>
    <n v="1"/>
  </r>
  <r>
    <x v="18"/>
    <n v="448500"/>
    <n v="1"/>
  </r>
  <r>
    <x v="18"/>
    <n v="448500"/>
    <n v="1"/>
  </r>
  <r>
    <x v="39"/>
    <n v="448500"/>
    <n v="1"/>
  </r>
  <r>
    <x v="39"/>
    <n v="448500"/>
    <n v="1"/>
  </r>
  <r>
    <x v="39"/>
    <n v="448500"/>
    <n v="1"/>
  </r>
  <r>
    <x v="39"/>
    <n v="448500"/>
    <n v="1"/>
  </r>
  <r>
    <x v="17"/>
    <n v="448500"/>
    <n v="1"/>
  </r>
  <r>
    <x v="17"/>
    <n v="448500"/>
    <n v="1"/>
  </r>
  <r>
    <x v="25"/>
    <n v="386100"/>
    <n v="1"/>
  </r>
  <r>
    <x v="25"/>
    <n v="386100"/>
    <n v="1"/>
  </r>
  <r>
    <x v="25"/>
    <n v="386100"/>
    <n v="1"/>
  </r>
  <r>
    <x v="25"/>
    <n v="386100"/>
    <n v="1"/>
  </r>
  <r>
    <x v="51"/>
    <n v="448500"/>
    <n v="1"/>
  </r>
  <r>
    <x v="25"/>
    <n v="386100"/>
    <n v="1"/>
  </r>
  <r>
    <x v="25"/>
    <n v="386100"/>
    <n v="1"/>
  </r>
  <r>
    <x v="25"/>
    <n v="386100"/>
    <n v="1"/>
  </r>
  <r>
    <x v="25"/>
    <n v="386100"/>
    <n v="1"/>
  </r>
  <r>
    <x v="25"/>
    <n v="386100"/>
    <n v="1"/>
  </r>
  <r>
    <x v="25"/>
    <n v="386100"/>
    <n v="1"/>
  </r>
  <r>
    <x v="25"/>
    <n v="386100"/>
    <n v="1"/>
  </r>
  <r>
    <x v="25"/>
    <n v="386100"/>
    <n v="1"/>
  </r>
  <r>
    <x v="10"/>
    <n v="448500"/>
    <n v="1"/>
  </r>
  <r>
    <x v="19"/>
    <n v="448500"/>
    <n v="1"/>
  </r>
  <r>
    <x v="26"/>
    <n v="386100"/>
    <n v="1"/>
  </r>
  <r>
    <x v="26"/>
    <n v="386100"/>
    <n v="1"/>
  </r>
  <r>
    <x v="26"/>
    <n v="386100"/>
    <n v="1"/>
  </r>
  <r>
    <x v="26"/>
    <n v="386100"/>
    <n v="1"/>
  </r>
  <r>
    <x v="21"/>
    <n v="386100"/>
    <n v="1"/>
  </r>
  <r>
    <x v="21"/>
    <n v="386100"/>
    <n v="1"/>
  </r>
  <r>
    <x v="9"/>
    <n v="448500"/>
    <n v="1"/>
  </r>
  <r>
    <x v="9"/>
    <n v="448500"/>
    <n v="1"/>
  </r>
  <r>
    <x v="9"/>
    <n v="448500"/>
    <n v="1"/>
  </r>
  <r>
    <x v="9"/>
    <n v="448500"/>
    <n v="1"/>
  </r>
  <r>
    <x v="46"/>
    <n v="386100"/>
    <n v="1"/>
  </r>
  <r>
    <x v="46"/>
    <n v="386100"/>
    <n v="1"/>
  </r>
  <r>
    <x v="46"/>
    <n v="386100"/>
    <n v="1"/>
  </r>
  <r>
    <x v="46"/>
    <n v="386100"/>
    <n v="1"/>
  </r>
  <r>
    <x v="46"/>
    <n v="386100"/>
    <n v="1"/>
  </r>
  <r>
    <x v="46"/>
    <n v="386100"/>
    <n v="1"/>
  </r>
  <r>
    <x v="46"/>
    <n v="386100"/>
    <n v="1"/>
  </r>
  <r>
    <x v="46"/>
    <n v="386100"/>
    <n v="1"/>
  </r>
  <r>
    <x v="20"/>
    <n v="386100"/>
    <n v="1"/>
  </r>
  <r>
    <x v="20"/>
    <n v="386100"/>
    <n v="1"/>
  </r>
  <r>
    <x v="20"/>
    <n v="386100"/>
    <n v="1"/>
  </r>
  <r>
    <x v="20"/>
    <n v="386100"/>
    <n v="1"/>
  </r>
  <r>
    <x v="20"/>
    <n v="386100"/>
    <n v="1"/>
  </r>
  <r>
    <x v="20"/>
    <n v="386100"/>
    <n v="1"/>
  </r>
  <r>
    <x v="12"/>
    <n v="448500"/>
    <n v="1"/>
  </r>
  <r>
    <x v="14"/>
    <n v="448500"/>
    <n v="1"/>
  </r>
  <r>
    <x v="52"/>
    <n v="386100"/>
    <n v="1"/>
  </r>
  <r>
    <x v="28"/>
    <n v="448500"/>
    <n v="1"/>
  </r>
  <r>
    <x v="11"/>
    <n v="448500"/>
    <n v="1"/>
  </r>
  <r>
    <x v="11"/>
    <n v="448500"/>
    <n v="1"/>
  </r>
  <r>
    <x v="34"/>
    <n v="448500"/>
    <n v="1"/>
  </r>
  <r>
    <x v="53"/>
    <n v="386100"/>
    <n v="1"/>
  </r>
  <r>
    <x v="32"/>
    <n v="386100"/>
    <n v="1"/>
  </r>
  <r>
    <x v="32"/>
    <n v="386100"/>
    <n v="1"/>
  </r>
  <r>
    <x v="32"/>
    <n v="386100"/>
    <n v="1"/>
  </r>
  <r>
    <x v="32"/>
    <n v="386100"/>
    <n v="1"/>
  </r>
  <r>
    <x v="32"/>
    <n v="386100"/>
    <n v="1"/>
  </r>
  <r>
    <x v="32"/>
    <n v="386100"/>
    <n v="1"/>
  </r>
  <r>
    <x v="41"/>
    <n v="448500"/>
    <n v="1"/>
  </r>
  <r>
    <x v="22"/>
    <n v="386100"/>
    <n v="1"/>
  </r>
  <r>
    <x v="22"/>
    <n v="386100"/>
    <n v="1"/>
  </r>
  <r>
    <x v="22"/>
    <n v="386100"/>
    <n v="1"/>
  </r>
  <r>
    <x v="22"/>
    <n v="386100"/>
    <n v="1"/>
  </r>
  <r>
    <x v="38"/>
    <n v="448500"/>
    <n v="1"/>
  </r>
  <r>
    <x v="37"/>
    <n v="448500"/>
    <n v="1"/>
  </r>
  <r>
    <x v="37"/>
    <n v="448500"/>
    <n v="1"/>
  </r>
  <r>
    <x v="47"/>
    <n v="386100"/>
    <n v="1"/>
  </r>
  <r>
    <x v="47"/>
    <n v="386100"/>
    <n v="1"/>
  </r>
  <r>
    <x v="47"/>
    <n v="386100"/>
    <n v="1"/>
  </r>
  <r>
    <x v="47"/>
    <n v="386100"/>
    <n v="1"/>
  </r>
  <r>
    <x v="54"/>
    <n v="448500"/>
    <n v="1"/>
  </r>
  <r>
    <x v="55"/>
    <n v="386100"/>
    <n v="1"/>
  </r>
  <r>
    <x v="21"/>
    <n v="386100"/>
    <n v="1"/>
  </r>
  <r>
    <x v="32"/>
    <n v="386100"/>
    <n v="1"/>
  </r>
  <r>
    <x v="32"/>
    <n v="386100"/>
    <n v="1"/>
  </r>
  <r>
    <x v="46"/>
    <n v="386100"/>
    <n v="1"/>
  </r>
  <r>
    <x v="55"/>
    <n v="386100"/>
    <n v="1"/>
  </r>
  <r>
    <x v="22"/>
    <n v="386100"/>
    <n v="1"/>
  </r>
  <r>
    <x v="21"/>
    <n v="386100"/>
    <n v="1"/>
  </r>
  <r>
    <x v="26"/>
    <n v="386100"/>
    <n v="1"/>
  </r>
  <r>
    <x v="43"/>
    <n v="386100"/>
    <n v="1"/>
  </r>
  <r>
    <x v="43"/>
    <n v="386100"/>
    <n v="1"/>
  </r>
  <r>
    <x v="26"/>
    <n v="386100"/>
    <n v="1"/>
  </r>
  <r>
    <x v="32"/>
    <n v="386100"/>
    <n v="1"/>
  </r>
  <r>
    <x v="46"/>
    <n v="386100"/>
    <n v="1"/>
  </r>
  <r>
    <x v="43"/>
    <n v="386100"/>
    <n v="1"/>
  </r>
  <r>
    <x v="43"/>
    <n v="386100"/>
    <n v="1"/>
  </r>
  <r>
    <x v="46"/>
    <n v="386100"/>
    <n v="1"/>
  </r>
  <r>
    <x v="32"/>
    <n v="386100"/>
    <n v="1"/>
  </r>
  <r>
    <x v="22"/>
    <n v="386100"/>
    <n v="1"/>
  </r>
  <r>
    <x v="56"/>
    <n v="386100"/>
    <n v="1"/>
  </r>
  <r>
    <x v="26"/>
    <n v="386100"/>
    <n v="1"/>
  </r>
  <r>
    <x v="25"/>
    <n v="386100"/>
    <n v="1"/>
  </r>
  <r>
    <x v="25"/>
    <n v="386100"/>
    <n v="1"/>
  </r>
  <r>
    <x v="55"/>
    <n v="386100"/>
    <n v="1"/>
  </r>
  <r>
    <x v="30"/>
    <n v="448500"/>
    <n v="1"/>
  </r>
  <r>
    <x v="31"/>
    <n v="448500"/>
    <n v="1"/>
  </r>
  <r>
    <x v="26"/>
    <n v="386100"/>
    <n v="1"/>
  </r>
  <r>
    <x v="55"/>
    <n v="386100"/>
    <n v="1"/>
  </r>
  <r>
    <x v="48"/>
    <n v="448500"/>
    <n v="1"/>
  </r>
  <r>
    <x v="22"/>
    <n v="386100"/>
    <n v="1"/>
  </r>
  <r>
    <x v="22"/>
    <n v="386100"/>
    <n v="1"/>
  </r>
  <r>
    <x v="46"/>
    <n v="386100"/>
    <n v="1"/>
  </r>
  <r>
    <x v="22"/>
    <n v="386100"/>
    <n v="1"/>
  </r>
  <r>
    <x v="22"/>
    <n v="386100"/>
    <n v="1"/>
  </r>
  <r>
    <x v="22"/>
    <n v="386100"/>
    <n v="1"/>
  </r>
  <r>
    <x v="46"/>
    <n v="386100"/>
    <n v="1"/>
  </r>
  <r>
    <x v="46"/>
    <n v="386100"/>
    <n v="1"/>
  </r>
  <r>
    <x v="46"/>
    <n v="386100"/>
    <n v="1"/>
  </r>
  <r>
    <x v="46"/>
    <n v="386100"/>
    <n v="1"/>
  </r>
  <r>
    <x v="46"/>
    <n v="386100"/>
    <n v="1"/>
  </r>
  <r>
    <x v="22"/>
    <n v="386100"/>
    <n v="1"/>
  </r>
  <r>
    <x v="22"/>
    <n v="386100"/>
    <n v="1"/>
  </r>
  <r>
    <x v="46"/>
    <n v="386100"/>
    <n v="1"/>
  </r>
  <r>
    <x v="46"/>
    <n v="386100"/>
    <n v="1"/>
  </r>
  <r>
    <x v="46"/>
    <n v="386100"/>
    <n v="1"/>
  </r>
  <r>
    <x v="46"/>
    <n v="386100"/>
    <n v="1"/>
  </r>
  <r>
    <x v="22"/>
    <n v="386100"/>
    <n v="1"/>
  </r>
  <r>
    <x v="22"/>
    <n v="386100"/>
    <n v="1"/>
  </r>
  <r>
    <x v="22"/>
    <n v="386100"/>
    <n v="1"/>
  </r>
  <r>
    <x v="46"/>
    <n v="386100"/>
    <n v="1"/>
  </r>
  <r>
    <x v="46"/>
    <n v="386100"/>
    <n v="1"/>
  </r>
  <r>
    <x v="45"/>
    <n v="448500"/>
    <n v="1"/>
  </r>
  <r>
    <x v="45"/>
    <n v="448500"/>
    <n v="1"/>
  </r>
  <r>
    <x v="31"/>
    <n v="448500"/>
    <n v="1"/>
  </r>
  <r>
    <x v="31"/>
    <n v="448500"/>
    <n v="1"/>
  </r>
  <r>
    <x v="45"/>
    <n v="448500"/>
    <n v="1"/>
  </r>
  <r>
    <x v="45"/>
    <n v="448500"/>
    <n v="1"/>
  </r>
  <r>
    <x v="45"/>
    <n v="448500"/>
    <n v="1"/>
  </r>
  <r>
    <x v="31"/>
    <n v="448500"/>
    <n v="1"/>
  </r>
  <r>
    <x v="22"/>
    <n v="386100"/>
    <n v="1"/>
  </r>
  <r>
    <x v="46"/>
    <n v="386100"/>
    <n v="1"/>
  </r>
  <r>
    <x v="46"/>
    <n v="386100"/>
    <n v="1"/>
  </r>
  <r>
    <x v="46"/>
    <n v="386100"/>
    <n v="1"/>
  </r>
  <r>
    <x v="22"/>
    <n v="386100"/>
    <n v="1"/>
  </r>
  <r>
    <x v="46"/>
    <n v="386100"/>
    <n v="1"/>
  </r>
  <r>
    <x v="46"/>
    <n v="386100"/>
    <n v="1"/>
  </r>
  <r>
    <x v="22"/>
    <n v="386100"/>
    <n v="1"/>
  </r>
  <r>
    <x v="31"/>
    <n v="448500"/>
    <n v="1"/>
  </r>
  <r>
    <x v="31"/>
    <n v="448500"/>
    <n v="1"/>
  </r>
  <r>
    <x v="31"/>
    <n v="448500"/>
    <n v="1"/>
  </r>
  <r>
    <x v="31"/>
    <n v="448500"/>
    <n v="1"/>
  </r>
  <r>
    <x v="31"/>
    <n v="448500"/>
    <n v="1"/>
  </r>
  <r>
    <x v="45"/>
    <n v="448500"/>
    <n v="1"/>
  </r>
  <r>
    <x v="46"/>
    <n v="386100"/>
    <n v="1"/>
  </r>
  <r>
    <x v="22"/>
    <n v="386100"/>
    <n v="1"/>
  </r>
  <r>
    <x v="22"/>
    <n v="386100"/>
    <n v="1"/>
  </r>
  <r>
    <x v="46"/>
    <n v="386100"/>
    <n v="1"/>
  </r>
  <r>
    <x v="46"/>
    <n v="386100"/>
    <n v="1"/>
  </r>
  <r>
    <x v="46"/>
    <n v="386100"/>
    <n v="1"/>
  </r>
  <r>
    <x v="22"/>
    <n v="386100"/>
    <n v="1"/>
  </r>
  <r>
    <x v="22"/>
    <n v="386100"/>
    <n v="1"/>
  </r>
  <r>
    <x v="22"/>
    <n v="386100"/>
    <n v="1"/>
  </r>
  <r>
    <x v="22"/>
    <n v="386100"/>
    <n v="1"/>
  </r>
  <r>
    <x v="22"/>
    <n v="386100"/>
    <n v="1"/>
  </r>
  <r>
    <x v="22"/>
    <n v="386100"/>
    <n v="1"/>
  </r>
  <r>
    <x v="46"/>
    <n v="386100"/>
    <n v="1"/>
  </r>
  <r>
    <x v="22"/>
    <n v="386100"/>
    <n v="1"/>
  </r>
  <r>
    <x v="22"/>
    <n v="386100"/>
    <n v="1"/>
  </r>
  <r>
    <x v="22"/>
    <n v="386100"/>
    <n v="1"/>
  </r>
  <r>
    <x v="46"/>
    <n v="386100"/>
    <n v="1"/>
  </r>
  <r>
    <x v="46"/>
    <n v="386100"/>
    <n v="1"/>
  </r>
  <r>
    <x v="45"/>
    <n v="448500"/>
    <n v="1"/>
  </r>
  <r>
    <x v="45"/>
    <n v="448500"/>
    <n v="1"/>
  </r>
  <r>
    <x v="57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4DD4FE-B52B-4048-9C16-136A70856D9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2" firstHeaderRow="0" firstDataRow="1" firstDataCol="1"/>
  <pivotFields count="3">
    <pivotField axis="axisRow" showAll="0" sortType="ascending">
      <items count="59">
        <item x="22"/>
        <item x="32"/>
        <item x="21"/>
        <item x="24"/>
        <item x="43"/>
        <item x="23"/>
        <item x="47"/>
        <item x="26"/>
        <item x="20"/>
        <item x="25"/>
        <item x="46"/>
        <item x="52"/>
        <item x="55"/>
        <item x="53"/>
        <item x="56"/>
        <item x="42"/>
        <item x="0"/>
        <item x="2"/>
        <item x="4"/>
        <item x="49"/>
        <item x="1"/>
        <item x="3"/>
        <item x="5"/>
        <item x="6"/>
        <item x="31"/>
        <item x="30"/>
        <item x="27"/>
        <item x="34"/>
        <item x="44"/>
        <item x="54"/>
        <item x="48"/>
        <item x="36"/>
        <item x="29"/>
        <item x="51"/>
        <item x="45"/>
        <item x="28"/>
        <item x="37"/>
        <item x="38"/>
        <item x="33"/>
        <item x="39"/>
        <item x="40"/>
        <item x="41"/>
        <item x="13"/>
        <item x="10"/>
        <item x="35"/>
        <item x="18"/>
        <item x="50"/>
        <item x="19"/>
        <item x="12"/>
        <item x="17"/>
        <item x="9"/>
        <item x="14"/>
        <item x="15"/>
        <item x="16"/>
        <item x="11"/>
        <item x="7"/>
        <item x="8"/>
        <item x="57"/>
        <item t="default"/>
      </items>
    </pivotField>
    <pivotField dataField="1" showAll="0"/>
    <pivotField dataField="1" showAll="0"/>
  </pivotFields>
  <rowFields count="1">
    <field x="0"/>
  </rowFields>
  <rowItems count="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Ố CHUYẾN" fld="2" baseField="0" baseItem="0"/>
    <dataField name="Sum of ĐƠN GIÁ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4"/>
  <sheetViews>
    <sheetView topLeftCell="J1" zoomScaleNormal="100" workbookViewId="0">
      <pane ySplit="13" topLeftCell="A14" activePane="bottomLeft" state="frozen"/>
      <selection activeCell="B1" sqref="B1"/>
      <selection pane="bottomLeft" activeCell="Q427" activeCellId="1" sqref="J14:J427 Q14:Q427"/>
    </sheetView>
  </sheetViews>
  <sheetFormatPr defaultColWidth="9.109375" defaultRowHeight="13.2"/>
  <cols>
    <col min="1" max="1" width="4.33203125" style="12" customWidth="1"/>
    <col min="2" max="2" width="14.6640625" style="12" customWidth="1"/>
    <col min="3" max="3" width="6" style="12" bestFit="1" customWidth="1"/>
    <col min="4" max="4" width="5.33203125" style="12" bestFit="1" customWidth="1"/>
    <col min="5" max="5" width="17.33203125" style="12" bestFit="1" customWidth="1"/>
    <col min="6" max="6" width="8.88671875" style="12" customWidth="1"/>
    <col min="7" max="8" width="17.6640625" style="12" bestFit="1" customWidth="1"/>
    <col min="9" max="9" width="10" style="12" bestFit="1" customWidth="1"/>
    <col min="10" max="10" width="12.5546875" style="16" customWidth="1"/>
    <col min="11" max="11" width="12.88671875" style="16" customWidth="1"/>
    <col min="12" max="12" width="13.5546875" style="16" customWidth="1"/>
    <col min="13" max="13" width="11.33203125" style="37" customWidth="1"/>
    <col min="14" max="14" width="11.33203125" style="3" customWidth="1"/>
    <col min="15" max="15" width="9.109375" style="3"/>
    <col min="16" max="16" width="80" style="3" bestFit="1" customWidth="1"/>
    <col min="17" max="17" width="12.5546875" style="3" customWidth="1"/>
    <col min="18" max="16384" width="9.109375" style="3"/>
  </cols>
  <sheetData>
    <row r="1" spans="1:21" s="44" customFormat="1">
      <c r="A1" s="75" t="s">
        <v>488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45"/>
      <c r="N1" s="46"/>
    </row>
    <row r="2" spans="1:21" s="44" customFormat="1">
      <c r="A2" s="75" t="s">
        <v>486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45"/>
      <c r="N2" s="46"/>
    </row>
    <row r="3" spans="1:21" s="44" customFormat="1" ht="14.25" customHeight="1">
      <c r="A3" s="76" t="s">
        <v>487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47"/>
      <c r="N3" s="48"/>
    </row>
    <row r="4" spans="1:21" s="44" customFormat="1" ht="14.25" customHeight="1">
      <c r="A4" s="48"/>
      <c r="B4" s="48"/>
      <c r="C4" s="48"/>
      <c r="D4" s="48"/>
      <c r="E4" s="48"/>
      <c r="F4" s="48"/>
      <c r="G4" s="48"/>
      <c r="H4" s="48"/>
      <c r="I4" s="48"/>
      <c r="J4" s="49"/>
      <c r="K4" s="49"/>
      <c r="L4" s="49"/>
      <c r="M4" s="47"/>
      <c r="N4" s="48"/>
    </row>
    <row r="5" spans="1:21" s="44" customFormat="1" ht="15.75" customHeight="1">
      <c r="A5" s="50" t="s">
        <v>38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1"/>
    </row>
    <row r="6" spans="1:21" s="44" customFormat="1" ht="21" customHeight="1">
      <c r="A6" s="50" t="s">
        <v>39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1"/>
    </row>
    <row r="7" spans="1:21" s="44" customFormat="1" ht="13.5" customHeight="1">
      <c r="A7" s="50" t="s">
        <v>40</v>
      </c>
      <c r="B7" s="4"/>
      <c r="C7" s="52"/>
      <c r="D7" s="53"/>
      <c r="F7" s="54"/>
      <c r="J7" s="54"/>
      <c r="K7" s="54"/>
      <c r="L7" s="54"/>
      <c r="M7" s="55"/>
    </row>
    <row r="8" spans="1:21" s="44" customFormat="1">
      <c r="A8" s="56"/>
      <c r="B8" s="57"/>
      <c r="C8" s="58"/>
      <c r="D8" s="59"/>
      <c r="E8" s="60"/>
      <c r="F8" s="61"/>
      <c r="J8" s="54"/>
      <c r="K8" s="54"/>
      <c r="L8" s="54"/>
      <c r="M8" s="55"/>
      <c r="P8" s="44" t="s">
        <v>79</v>
      </c>
    </row>
    <row r="9" spans="1:21" s="44" customFormat="1" ht="15.75" customHeight="1">
      <c r="A9" s="50" t="s">
        <v>101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1"/>
      <c r="P9" s="44" t="s">
        <v>42</v>
      </c>
    </row>
    <row r="10" spans="1:21" s="44" customFormat="1" ht="21" customHeight="1">
      <c r="A10" s="50" t="s">
        <v>102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  <c r="P10" s="44" t="s">
        <v>43</v>
      </c>
    </row>
    <row r="11" spans="1:21" s="44" customFormat="1" ht="13.5" customHeight="1">
      <c r="A11" s="50" t="s">
        <v>103</v>
      </c>
      <c r="B11" s="4"/>
      <c r="C11" s="52"/>
      <c r="D11" s="53"/>
      <c r="F11" s="54"/>
      <c r="J11" s="54"/>
      <c r="K11" s="54"/>
      <c r="L11" s="54"/>
      <c r="M11" s="55"/>
      <c r="P11" s="44" t="s">
        <v>44</v>
      </c>
    </row>
    <row r="12" spans="1:21">
      <c r="L12" s="62"/>
      <c r="P12" s="44" t="s">
        <v>45</v>
      </c>
      <c r="Q12" s="3" t="s">
        <v>47</v>
      </c>
    </row>
    <row r="13" spans="1:21" ht="25.5" customHeight="1">
      <c r="A13" s="1" t="s">
        <v>0</v>
      </c>
      <c r="B13" s="2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5" t="s">
        <v>7</v>
      </c>
      <c r="H13" s="5" t="s">
        <v>6</v>
      </c>
      <c r="I13" s="2" t="s">
        <v>8</v>
      </c>
      <c r="J13" s="13" t="s">
        <v>12</v>
      </c>
      <c r="K13" s="14" t="s">
        <v>13</v>
      </c>
      <c r="L13" s="15" t="s">
        <v>9</v>
      </c>
      <c r="M13" s="63" t="s">
        <v>55</v>
      </c>
      <c r="N13" s="63" t="s">
        <v>54</v>
      </c>
      <c r="O13" s="63" t="s">
        <v>493</v>
      </c>
      <c r="P13" s="7" t="s">
        <v>46</v>
      </c>
      <c r="R13" s="15" t="s">
        <v>81</v>
      </c>
      <c r="S13" s="15" t="s">
        <v>82</v>
      </c>
      <c r="T13" s="15" t="s">
        <v>83</v>
      </c>
      <c r="U13" s="15" t="s">
        <v>84</v>
      </c>
    </row>
    <row r="14" spans="1:21" ht="15" customHeight="1">
      <c r="A14" s="39">
        <v>1</v>
      </c>
      <c r="B14" s="40" t="s">
        <v>111</v>
      </c>
      <c r="C14" s="40">
        <v>20</v>
      </c>
      <c r="D14" s="40" t="s">
        <v>100</v>
      </c>
      <c r="E14" s="40" t="s">
        <v>96</v>
      </c>
      <c r="F14" s="40" t="s">
        <v>112</v>
      </c>
      <c r="G14" s="40" t="s">
        <v>53</v>
      </c>
      <c r="H14" s="40" t="s">
        <v>15</v>
      </c>
      <c r="I14" s="40" t="s">
        <v>69</v>
      </c>
      <c r="J14" s="41" cm="1">
        <f t="array" ref="J14">IF(C14=20,INDEX(CUOC!$C$28:$C$37,MATCH(N14,CUOC!$A$28:$A$37,0),0),INDEX(CUOC!$D$28:$D$37,MATCH(N14,CUOC!$A$28:$A$37,0),0))</f>
        <v>386100</v>
      </c>
      <c r="K14" s="41">
        <f t="shared" ref="K14" si="0">+J14*0.08</f>
        <v>30888</v>
      </c>
      <c r="L14" s="41">
        <f t="shared" ref="L14" si="1">+K14+J14</f>
        <v>416988</v>
      </c>
      <c r="M14" s="37">
        <v>46111</v>
      </c>
      <c r="N14" s="42">
        <v>5</v>
      </c>
      <c r="O14" s="64">
        <v>34832</v>
      </c>
      <c r="P14" s="43" t="str">
        <f>IF(D14="R",$P$8&amp;C14&amp;$P$10&amp;G14&amp;$Q$12&amp;H14&amp;$P$11&amp;I14,$P$9&amp;C14&amp;$P$10&amp;G14&amp;$Q$12&amp;H14&amp;$P$11&amp;I14)</f>
        <v>Cước vận chuyển cont Hàng 20 tuyến đường NHĐV - HẢI AN. Số xe: 15C15033</v>
      </c>
      <c r="Q14" s="3">
        <v>1</v>
      </c>
    </row>
    <row r="15" spans="1:21" ht="15" customHeight="1">
      <c r="A15" s="39">
        <v>2</v>
      </c>
      <c r="B15" s="40" t="s">
        <v>113</v>
      </c>
      <c r="C15" s="40">
        <v>20</v>
      </c>
      <c r="D15" s="40" t="s">
        <v>100</v>
      </c>
      <c r="E15" s="40" t="s">
        <v>96</v>
      </c>
      <c r="F15" s="40" t="s">
        <v>112</v>
      </c>
      <c r="G15" s="40" t="s">
        <v>53</v>
      </c>
      <c r="H15" s="40" t="s">
        <v>15</v>
      </c>
      <c r="I15" s="40" t="s">
        <v>70</v>
      </c>
      <c r="J15" s="41" cm="1">
        <f t="array" ref="J15">IF(C15=20,INDEX(CUOC!$C$28:$C$37,MATCH(N15,CUOC!$A$28:$A$37,0),0),INDEX(CUOC!$D$28:$D$37,MATCH(N15,CUOC!$A$28:$A$37,0),0))</f>
        <v>386100</v>
      </c>
      <c r="K15" s="41">
        <f t="shared" ref="K15:K78" si="2">+J15*0.08</f>
        <v>30888</v>
      </c>
      <c r="L15" s="41">
        <f t="shared" ref="L15:L78" si="3">+K15+J15</f>
        <v>416988</v>
      </c>
      <c r="M15" s="37">
        <v>46111</v>
      </c>
      <c r="N15" s="42">
        <v>5</v>
      </c>
      <c r="O15" s="64">
        <v>34832</v>
      </c>
      <c r="P15" s="43" t="str">
        <f t="shared" ref="P15:P78" si="4">IF(D15="R",$P$8&amp;C15&amp;$P$10&amp;G15&amp;$Q$12&amp;H15&amp;$P$11&amp;I15,$P$9&amp;C15&amp;$P$10&amp;G15&amp;$Q$12&amp;H15&amp;$P$11&amp;I15)</f>
        <v>Cước vận chuyển cont Hàng 20 tuyến đường NHĐV - HẢI AN. Số xe: 15H07524</v>
      </c>
      <c r="Q15" s="3">
        <v>1</v>
      </c>
    </row>
    <row r="16" spans="1:21" ht="15" customHeight="1">
      <c r="A16" s="39">
        <v>3</v>
      </c>
      <c r="B16" s="40" t="s">
        <v>114</v>
      </c>
      <c r="C16" s="40">
        <v>20</v>
      </c>
      <c r="D16" s="40" t="s">
        <v>100</v>
      </c>
      <c r="E16" s="40" t="s">
        <v>96</v>
      </c>
      <c r="F16" s="40" t="s">
        <v>112</v>
      </c>
      <c r="G16" s="40" t="s">
        <v>53</v>
      </c>
      <c r="H16" s="40" t="s">
        <v>15</v>
      </c>
      <c r="I16" s="40" t="s">
        <v>70</v>
      </c>
      <c r="J16" s="41" cm="1">
        <f t="array" ref="J16">IF(C16=20,INDEX(CUOC!$C$28:$C$37,MATCH(N16,CUOC!$A$28:$A$37,0),0),INDEX(CUOC!$D$28:$D$37,MATCH(N16,CUOC!$A$28:$A$37,0),0))</f>
        <v>386100</v>
      </c>
      <c r="K16" s="41">
        <f t="shared" si="2"/>
        <v>30888</v>
      </c>
      <c r="L16" s="41">
        <f t="shared" si="3"/>
        <v>416988</v>
      </c>
      <c r="M16" s="37">
        <v>46111</v>
      </c>
      <c r="N16" s="42">
        <v>5</v>
      </c>
      <c r="O16" s="64">
        <v>34832</v>
      </c>
      <c r="P16" s="43" t="str">
        <f t="shared" si="4"/>
        <v>Cước vận chuyển cont Hàng 20 tuyến đường NHĐV - HẢI AN. Số xe: 15H07524</v>
      </c>
      <c r="Q16" s="3">
        <v>1</v>
      </c>
    </row>
    <row r="17" spans="1:17" ht="15" customHeight="1">
      <c r="A17" s="39">
        <v>4</v>
      </c>
      <c r="B17" s="40" t="s">
        <v>115</v>
      </c>
      <c r="C17" s="40">
        <v>20</v>
      </c>
      <c r="D17" s="40" t="s">
        <v>100</v>
      </c>
      <c r="E17" s="40" t="s">
        <v>96</v>
      </c>
      <c r="F17" s="40" t="s">
        <v>112</v>
      </c>
      <c r="G17" s="40" t="s">
        <v>53</v>
      </c>
      <c r="H17" s="40" t="s">
        <v>15</v>
      </c>
      <c r="I17" s="40" t="s">
        <v>68</v>
      </c>
      <c r="J17" s="41" cm="1">
        <f t="array" ref="J17">IF(C17=20,INDEX(CUOC!$C$28:$C$37,MATCH(N17,CUOC!$A$28:$A$37,0),0),INDEX(CUOC!$D$28:$D$37,MATCH(N17,CUOC!$A$28:$A$37,0),0))</f>
        <v>386100</v>
      </c>
      <c r="K17" s="41">
        <f t="shared" si="2"/>
        <v>30888</v>
      </c>
      <c r="L17" s="41">
        <f t="shared" si="3"/>
        <v>416988</v>
      </c>
      <c r="M17" s="37">
        <v>46111</v>
      </c>
      <c r="N17" s="42">
        <v>5</v>
      </c>
      <c r="O17" s="64">
        <v>34832</v>
      </c>
      <c r="P17" s="43" t="str">
        <f t="shared" si="4"/>
        <v>Cước vận chuyển cont Hàng 20 tuyến đường NHĐV - HẢI AN. Số xe: 15C17442</v>
      </c>
      <c r="Q17" s="3">
        <v>1</v>
      </c>
    </row>
    <row r="18" spans="1:17" ht="15" customHeight="1">
      <c r="A18" s="39">
        <v>5</v>
      </c>
      <c r="B18" s="40" t="s">
        <v>116</v>
      </c>
      <c r="C18" s="40">
        <v>20</v>
      </c>
      <c r="D18" s="40" t="s">
        <v>100</v>
      </c>
      <c r="E18" s="40" t="s">
        <v>96</v>
      </c>
      <c r="F18" s="40" t="s">
        <v>112</v>
      </c>
      <c r="G18" s="40" t="s">
        <v>53</v>
      </c>
      <c r="H18" s="40" t="s">
        <v>15</v>
      </c>
      <c r="I18" s="40" t="s">
        <v>73</v>
      </c>
      <c r="J18" s="41" cm="1">
        <f t="array" ref="J18">IF(C18=20,INDEX(CUOC!$C$28:$C$37,MATCH(N18,CUOC!$A$28:$A$37,0),0),INDEX(CUOC!$D$28:$D$37,MATCH(N18,CUOC!$A$28:$A$37,0),0))</f>
        <v>386100</v>
      </c>
      <c r="K18" s="41">
        <f t="shared" si="2"/>
        <v>30888</v>
      </c>
      <c r="L18" s="41">
        <f t="shared" si="3"/>
        <v>416988</v>
      </c>
      <c r="M18" s="37">
        <v>46111</v>
      </c>
      <c r="N18" s="42">
        <v>5</v>
      </c>
      <c r="O18" s="64">
        <v>34832</v>
      </c>
      <c r="P18" s="43" t="str">
        <f t="shared" si="4"/>
        <v>Cước vận chuyển cont Hàng 20 tuyến đường NHĐV - HẢI AN. Số xe: 15H07644</v>
      </c>
      <c r="Q18" s="3">
        <v>1</v>
      </c>
    </row>
    <row r="19" spans="1:17" ht="15" customHeight="1">
      <c r="A19" s="39">
        <v>6</v>
      </c>
      <c r="B19" s="40" t="s">
        <v>117</v>
      </c>
      <c r="C19" s="40">
        <v>20</v>
      </c>
      <c r="D19" s="40" t="s">
        <v>100</v>
      </c>
      <c r="E19" s="40" t="s">
        <v>96</v>
      </c>
      <c r="F19" s="40" t="s">
        <v>112</v>
      </c>
      <c r="G19" s="40" t="s">
        <v>53</v>
      </c>
      <c r="H19" s="40" t="s">
        <v>15</v>
      </c>
      <c r="I19" s="40" t="s">
        <v>73</v>
      </c>
      <c r="J19" s="41" cm="1">
        <f t="array" ref="J19">IF(C19=20,INDEX(CUOC!$C$28:$C$37,MATCH(N19,CUOC!$A$28:$A$37,0),0),INDEX(CUOC!$D$28:$D$37,MATCH(N19,CUOC!$A$28:$A$37,0),0))</f>
        <v>386100</v>
      </c>
      <c r="K19" s="41">
        <f t="shared" si="2"/>
        <v>30888</v>
      </c>
      <c r="L19" s="41">
        <f t="shared" si="3"/>
        <v>416988</v>
      </c>
      <c r="M19" s="37">
        <v>46111</v>
      </c>
      <c r="N19" s="42">
        <v>5</v>
      </c>
      <c r="O19" s="64">
        <v>34832</v>
      </c>
      <c r="P19" s="43" t="str">
        <f t="shared" si="4"/>
        <v>Cước vận chuyển cont Hàng 20 tuyến đường NHĐV - HẢI AN. Số xe: 15H07644</v>
      </c>
      <c r="Q19" s="3">
        <v>1</v>
      </c>
    </row>
    <row r="20" spans="1:17" ht="15" customHeight="1">
      <c r="A20" s="39">
        <v>7</v>
      </c>
      <c r="B20" s="40" t="s">
        <v>118</v>
      </c>
      <c r="C20" s="40">
        <v>20</v>
      </c>
      <c r="D20" s="40" t="s">
        <v>100</v>
      </c>
      <c r="E20" s="40" t="s">
        <v>96</v>
      </c>
      <c r="F20" s="40" t="s">
        <v>112</v>
      </c>
      <c r="G20" s="40" t="s">
        <v>53</v>
      </c>
      <c r="H20" s="40" t="s">
        <v>15</v>
      </c>
      <c r="I20" s="40" t="s">
        <v>72</v>
      </c>
      <c r="J20" s="41" cm="1">
        <f t="array" ref="J20">IF(C20=20,INDEX(CUOC!$C$28:$C$37,MATCH(N20,CUOC!$A$28:$A$37,0),0),INDEX(CUOC!$D$28:$D$37,MATCH(N20,CUOC!$A$28:$A$37,0),0))</f>
        <v>386100</v>
      </c>
      <c r="K20" s="41">
        <f t="shared" si="2"/>
        <v>30888</v>
      </c>
      <c r="L20" s="41">
        <f t="shared" si="3"/>
        <v>416988</v>
      </c>
      <c r="M20" s="37">
        <v>46110</v>
      </c>
      <c r="N20" s="42">
        <v>5</v>
      </c>
      <c r="O20" s="64">
        <v>34832</v>
      </c>
      <c r="P20" s="43" t="str">
        <f t="shared" si="4"/>
        <v>Cước vận chuyển cont Hàng 20 tuyến đường NHĐV - HẢI AN. Số xe: 15C30649</v>
      </c>
      <c r="Q20" s="3">
        <v>1</v>
      </c>
    </row>
    <row r="21" spans="1:17" ht="15" customHeight="1">
      <c r="A21" s="39">
        <v>8</v>
      </c>
      <c r="B21" s="40" t="s">
        <v>119</v>
      </c>
      <c r="C21" s="40">
        <v>20</v>
      </c>
      <c r="D21" s="40" t="s">
        <v>100</v>
      </c>
      <c r="E21" s="40" t="s">
        <v>96</v>
      </c>
      <c r="F21" s="40" t="s">
        <v>112</v>
      </c>
      <c r="G21" s="40" t="s">
        <v>53</v>
      </c>
      <c r="H21" s="40" t="s">
        <v>15</v>
      </c>
      <c r="I21" s="40" t="s">
        <v>68</v>
      </c>
      <c r="J21" s="41" cm="1">
        <f t="array" ref="J21">IF(C21=20,INDEX(CUOC!$C$28:$C$37,MATCH(N21,CUOC!$A$28:$A$37,0),0),INDEX(CUOC!$D$28:$D$37,MATCH(N21,CUOC!$A$28:$A$37,0),0))</f>
        <v>386100</v>
      </c>
      <c r="K21" s="41">
        <f t="shared" si="2"/>
        <v>30888</v>
      </c>
      <c r="L21" s="41">
        <f t="shared" si="3"/>
        <v>416988</v>
      </c>
      <c r="M21" s="37">
        <v>46110</v>
      </c>
      <c r="N21" s="42">
        <v>5</v>
      </c>
      <c r="O21" s="64">
        <v>34832</v>
      </c>
      <c r="P21" s="43" t="str">
        <f t="shared" si="4"/>
        <v>Cước vận chuyển cont Hàng 20 tuyến đường NHĐV - HẢI AN. Số xe: 15C17442</v>
      </c>
      <c r="Q21" s="3">
        <v>1</v>
      </c>
    </row>
    <row r="22" spans="1:17" ht="15" customHeight="1">
      <c r="A22" s="39">
        <v>9</v>
      </c>
      <c r="B22" s="40" t="s">
        <v>120</v>
      </c>
      <c r="C22" s="40">
        <v>20</v>
      </c>
      <c r="D22" s="40" t="s">
        <v>100</v>
      </c>
      <c r="E22" s="40" t="s">
        <v>96</v>
      </c>
      <c r="F22" s="40" t="s">
        <v>112</v>
      </c>
      <c r="G22" s="40" t="s">
        <v>53</v>
      </c>
      <c r="H22" s="40" t="s">
        <v>15</v>
      </c>
      <c r="I22" s="40" t="s">
        <v>68</v>
      </c>
      <c r="J22" s="41" cm="1">
        <f t="array" ref="J22">IF(C22=20,INDEX(CUOC!$C$28:$C$37,MATCH(N22,CUOC!$A$28:$A$37,0),0),INDEX(CUOC!$D$28:$D$37,MATCH(N22,CUOC!$A$28:$A$37,0),0))</f>
        <v>386100</v>
      </c>
      <c r="K22" s="41">
        <f t="shared" si="2"/>
        <v>30888</v>
      </c>
      <c r="L22" s="41">
        <f t="shared" si="3"/>
        <v>416988</v>
      </c>
      <c r="M22" s="37">
        <v>46110</v>
      </c>
      <c r="N22" s="42">
        <v>5</v>
      </c>
      <c r="O22" s="64">
        <v>34832</v>
      </c>
      <c r="P22" s="43" t="str">
        <f t="shared" si="4"/>
        <v>Cước vận chuyển cont Hàng 20 tuyến đường NHĐV - HẢI AN. Số xe: 15C17442</v>
      </c>
      <c r="Q22" s="3">
        <v>1</v>
      </c>
    </row>
    <row r="23" spans="1:17" ht="15" customHeight="1">
      <c r="A23" s="39">
        <v>10</v>
      </c>
      <c r="B23" s="40" t="s">
        <v>121</v>
      </c>
      <c r="C23" s="40">
        <v>20</v>
      </c>
      <c r="D23" s="40" t="s">
        <v>100</v>
      </c>
      <c r="E23" s="40" t="s">
        <v>96</v>
      </c>
      <c r="F23" s="40" t="s">
        <v>112</v>
      </c>
      <c r="G23" s="40" t="s">
        <v>53</v>
      </c>
      <c r="H23" s="40" t="s">
        <v>15</v>
      </c>
      <c r="I23" s="40" t="s">
        <v>72</v>
      </c>
      <c r="J23" s="41" cm="1">
        <f t="array" ref="J23">IF(C23=20,INDEX(CUOC!$C$28:$C$37,MATCH(N23,CUOC!$A$28:$A$37,0),0),INDEX(CUOC!$D$28:$D$37,MATCH(N23,CUOC!$A$28:$A$37,0),0))</f>
        <v>386100</v>
      </c>
      <c r="K23" s="41">
        <f t="shared" si="2"/>
        <v>30888</v>
      </c>
      <c r="L23" s="41">
        <f t="shared" si="3"/>
        <v>416988</v>
      </c>
      <c r="M23" s="37">
        <v>46110</v>
      </c>
      <c r="N23" s="42">
        <v>5</v>
      </c>
      <c r="O23" s="64">
        <v>34832</v>
      </c>
      <c r="P23" s="43" t="str">
        <f t="shared" si="4"/>
        <v>Cước vận chuyển cont Hàng 20 tuyến đường NHĐV - HẢI AN. Số xe: 15C30649</v>
      </c>
      <c r="Q23" s="3">
        <v>1</v>
      </c>
    </row>
    <row r="24" spans="1:17" ht="15" customHeight="1">
      <c r="A24" s="39">
        <v>11</v>
      </c>
      <c r="B24" s="40" t="s">
        <v>122</v>
      </c>
      <c r="C24" s="40">
        <v>20</v>
      </c>
      <c r="D24" s="40" t="s">
        <v>100</v>
      </c>
      <c r="E24" s="40" t="s">
        <v>96</v>
      </c>
      <c r="F24" s="40" t="s">
        <v>112</v>
      </c>
      <c r="G24" s="40" t="s">
        <v>53</v>
      </c>
      <c r="H24" s="40" t="s">
        <v>15</v>
      </c>
      <c r="I24" s="40" t="s">
        <v>74</v>
      </c>
      <c r="J24" s="41" cm="1">
        <f t="array" ref="J24">IF(C24=20,INDEX(CUOC!$C$28:$C$37,MATCH(N24,CUOC!$A$28:$A$37,0),0),INDEX(CUOC!$D$28:$D$37,MATCH(N24,CUOC!$A$28:$A$37,0),0))</f>
        <v>386100</v>
      </c>
      <c r="K24" s="41">
        <f t="shared" si="2"/>
        <v>30888</v>
      </c>
      <c r="L24" s="41">
        <f t="shared" si="3"/>
        <v>416988</v>
      </c>
      <c r="M24" s="37">
        <v>46110</v>
      </c>
      <c r="N24" s="42">
        <v>5</v>
      </c>
      <c r="O24" s="64">
        <v>34832</v>
      </c>
      <c r="P24" s="43" t="str">
        <f t="shared" si="4"/>
        <v>Cước vận chuyển cont Hàng 20 tuyến đường NHĐV - HẢI AN. Số xe: 15H07788</v>
      </c>
      <c r="Q24" s="3">
        <v>1</v>
      </c>
    </row>
    <row r="25" spans="1:17" ht="15" customHeight="1">
      <c r="A25" s="39">
        <v>12</v>
      </c>
      <c r="B25" s="40" t="s">
        <v>123</v>
      </c>
      <c r="C25" s="40">
        <v>20</v>
      </c>
      <c r="D25" s="40" t="s">
        <v>100</v>
      </c>
      <c r="E25" s="40" t="s">
        <v>96</v>
      </c>
      <c r="F25" s="40" t="s">
        <v>112</v>
      </c>
      <c r="G25" s="40" t="s">
        <v>53</v>
      </c>
      <c r="H25" s="40" t="s">
        <v>15</v>
      </c>
      <c r="I25" s="40" t="s">
        <v>67</v>
      </c>
      <c r="J25" s="41" cm="1">
        <f t="array" ref="J25">IF(C25=20,INDEX(CUOC!$C$28:$C$37,MATCH(N25,CUOC!$A$28:$A$37,0),0),INDEX(CUOC!$D$28:$D$37,MATCH(N25,CUOC!$A$28:$A$37,0),0))</f>
        <v>386100</v>
      </c>
      <c r="K25" s="41">
        <f t="shared" si="2"/>
        <v>30888</v>
      </c>
      <c r="L25" s="41">
        <f t="shared" si="3"/>
        <v>416988</v>
      </c>
      <c r="M25" s="37">
        <v>46110</v>
      </c>
      <c r="N25" s="42">
        <v>5</v>
      </c>
      <c r="O25" s="64">
        <v>34832</v>
      </c>
      <c r="P25" s="43" t="str">
        <f t="shared" si="4"/>
        <v>Cước vận chuyển cont Hàng 20 tuyến đường NHĐV - HẢI AN. Số xe: 15H08574</v>
      </c>
      <c r="Q25" s="3">
        <v>1</v>
      </c>
    </row>
    <row r="26" spans="1:17" ht="15" customHeight="1">
      <c r="A26" s="39">
        <v>13</v>
      </c>
      <c r="B26" s="40" t="s">
        <v>124</v>
      </c>
      <c r="C26" s="40">
        <v>20</v>
      </c>
      <c r="D26" s="40" t="s">
        <v>100</v>
      </c>
      <c r="E26" s="40" t="s">
        <v>96</v>
      </c>
      <c r="F26" s="40" t="s">
        <v>112</v>
      </c>
      <c r="G26" s="40" t="s">
        <v>53</v>
      </c>
      <c r="H26" s="40" t="s">
        <v>15</v>
      </c>
      <c r="I26" s="40" t="s">
        <v>69</v>
      </c>
      <c r="J26" s="41" cm="1">
        <f t="array" ref="J26">IF(C26=20,INDEX(CUOC!$C$28:$C$37,MATCH(N26,CUOC!$A$28:$A$37,0),0),INDEX(CUOC!$D$28:$D$37,MATCH(N26,CUOC!$A$28:$A$37,0),0))</f>
        <v>386100</v>
      </c>
      <c r="K26" s="41">
        <f t="shared" si="2"/>
        <v>30888</v>
      </c>
      <c r="L26" s="41">
        <f t="shared" si="3"/>
        <v>416988</v>
      </c>
      <c r="M26" s="37">
        <v>46110</v>
      </c>
      <c r="N26" s="42">
        <v>5</v>
      </c>
      <c r="O26" s="64">
        <v>34832</v>
      </c>
      <c r="P26" s="43" t="str">
        <f t="shared" si="4"/>
        <v>Cước vận chuyển cont Hàng 20 tuyến đường NHĐV - HẢI AN. Số xe: 15C15033</v>
      </c>
      <c r="Q26" s="3">
        <v>1</v>
      </c>
    </row>
    <row r="27" spans="1:17" ht="15" customHeight="1">
      <c r="A27" s="39">
        <v>14</v>
      </c>
      <c r="B27" s="40" t="s">
        <v>125</v>
      </c>
      <c r="C27" s="40">
        <v>20</v>
      </c>
      <c r="D27" s="40" t="s">
        <v>100</v>
      </c>
      <c r="E27" s="40" t="s">
        <v>96</v>
      </c>
      <c r="F27" s="40" t="s">
        <v>112</v>
      </c>
      <c r="G27" s="40" t="s">
        <v>53</v>
      </c>
      <c r="H27" s="40" t="s">
        <v>15</v>
      </c>
      <c r="I27" s="40" t="s">
        <v>69</v>
      </c>
      <c r="J27" s="41" cm="1">
        <f t="array" ref="J27">IF(C27=20,INDEX(CUOC!$C$28:$C$37,MATCH(N27,CUOC!$A$28:$A$37,0),0),INDEX(CUOC!$D$28:$D$37,MATCH(N27,CUOC!$A$28:$A$37,0),0))</f>
        <v>386100</v>
      </c>
      <c r="K27" s="41">
        <f t="shared" si="2"/>
        <v>30888</v>
      </c>
      <c r="L27" s="41">
        <f t="shared" si="3"/>
        <v>416988</v>
      </c>
      <c r="M27" s="37">
        <v>46110</v>
      </c>
      <c r="N27" s="42">
        <v>5</v>
      </c>
      <c r="O27" s="64">
        <v>34832</v>
      </c>
      <c r="P27" s="43" t="str">
        <f t="shared" si="4"/>
        <v>Cước vận chuyển cont Hàng 20 tuyến đường NHĐV - HẢI AN. Số xe: 15C15033</v>
      </c>
      <c r="Q27" s="3">
        <v>1</v>
      </c>
    </row>
    <row r="28" spans="1:17" ht="15" customHeight="1">
      <c r="A28" s="39">
        <v>15</v>
      </c>
      <c r="B28" s="40" t="s">
        <v>126</v>
      </c>
      <c r="C28" s="40">
        <v>20</v>
      </c>
      <c r="D28" s="40" t="s">
        <v>100</v>
      </c>
      <c r="E28" s="40" t="s">
        <v>96</v>
      </c>
      <c r="F28" s="40" t="s">
        <v>112</v>
      </c>
      <c r="G28" s="40" t="s">
        <v>53</v>
      </c>
      <c r="H28" s="40" t="s">
        <v>15</v>
      </c>
      <c r="I28" s="40" t="s">
        <v>72</v>
      </c>
      <c r="J28" s="41" cm="1">
        <f t="array" ref="J28">IF(C28=20,INDEX(CUOC!$C$28:$C$37,MATCH(N28,CUOC!$A$28:$A$37,0),0),INDEX(CUOC!$D$28:$D$37,MATCH(N28,CUOC!$A$28:$A$37,0),0))</f>
        <v>386100</v>
      </c>
      <c r="K28" s="41">
        <f t="shared" si="2"/>
        <v>30888</v>
      </c>
      <c r="L28" s="41">
        <f t="shared" si="3"/>
        <v>416988</v>
      </c>
      <c r="M28" s="37">
        <v>46111</v>
      </c>
      <c r="N28" s="42">
        <v>5</v>
      </c>
      <c r="O28" s="64">
        <v>34832</v>
      </c>
      <c r="P28" s="43" t="str">
        <f t="shared" si="4"/>
        <v>Cước vận chuyển cont Hàng 20 tuyến đường NHĐV - HẢI AN. Số xe: 15C30649</v>
      </c>
      <c r="Q28" s="3">
        <v>1</v>
      </c>
    </row>
    <row r="29" spans="1:17" ht="15" customHeight="1">
      <c r="A29" s="39">
        <v>16</v>
      </c>
      <c r="B29" s="40" t="s">
        <v>127</v>
      </c>
      <c r="C29" s="40">
        <v>20</v>
      </c>
      <c r="D29" s="40" t="s">
        <v>100</v>
      </c>
      <c r="E29" s="40" t="s">
        <v>96</v>
      </c>
      <c r="F29" s="40" t="s">
        <v>112</v>
      </c>
      <c r="G29" s="40" t="s">
        <v>53</v>
      </c>
      <c r="H29" s="40" t="s">
        <v>15</v>
      </c>
      <c r="I29" s="40" t="s">
        <v>69</v>
      </c>
      <c r="J29" s="41" cm="1">
        <f t="array" ref="J29">IF(C29=20,INDEX(CUOC!$C$28:$C$37,MATCH(N29,CUOC!$A$28:$A$37,0),0),INDEX(CUOC!$D$28:$D$37,MATCH(N29,CUOC!$A$28:$A$37,0),0))</f>
        <v>386100</v>
      </c>
      <c r="K29" s="41">
        <f t="shared" si="2"/>
        <v>30888</v>
      </c>
      <c r="L29" s="41">
        <f t="shared" si="3"/>
        <v>416988</v>
      </c>
      <c r="M29" s="37">
        <v>46111</v>
      </c>
      <c r="N29" s="42">
        <v>5</v>
      </c>
      <c r="O29" s="64">
        <v>34832</v>
      </c>
      <c r="P29" s="43" t="str">
        <f t="shared" si="4"/>
        <v>Cước vận chuyển cont Hàng 20 tuyến đường NHĐV - HẢI AN. Số xe: 15C15033</v>
      </c>
      <c r="Q29" s="3">
        <v>1</v>
      </c>
    </row>
    <row r="30" spans="1:17" ht="15" customHeight="1">
      <c r="A30" s="39">
        <v>17</v>
      </c>
      <c r="B30" s="40" t="s">
        <v>128</v>
      </c>
      <c r="C30" s="40">
        <v>20</v>
      </c>
      <c r="D30" s="40" t="s">
        <v>100</v>
      </c>
      <c r="E30" s="40" t="s">
        <v>96</v>
      </c>
      <c r="F30" s="40" t="s">
        <v>112</v>
      </c>
      <c r="G30" s="40" t="s">
        <v>53</v>
      </c>
      <c r="H30" s="40" t="s">
        <v>15</v>
      </c>
      <c r="I30" s="40" t="s">
        <v>73</v>
      </c>
      <c r="J30" s="41" cm="1">
        <f t="array" ref="J30">IF(C30=20,INDEX(CUOC!$C$28:$C$37,MATCH(N30,CUOC!$A$28:$A$37,0),0),INDEX(CUOC!$D$28:$D$37,MATCH(N30,CUOC!$A$28:$A$37,0),0))</f>
        <v>386100</v>
      </c>
      <c r="K30" s="41">
        <f t="shared" si="2"/>
        <v>30888</v>
      </c>
      <c r="L30" s="41">
        <f t="shared" si="3"/>
        <v>416988</v>
      </c>
      <c r="M30" s="37">
        <v>46111</v>
      </c>
      <c r="N30" s="42">
        <v>5</v>
      </c>
      <c r="O30" s="64">
        <v>34832</v>
      </c>
      <c r="P30" s="43" t="str">
        <f t="shared" si="4"/>
        <v>Cước vận chuyển cont Hàng 20 tuyến đường NHĐV - HẢI AN. Số xe: 15H07644</v>
      </c>
      <c r="Q30" s="3">
        <v>1</v>
      </c>
    </row>
    <row r="31" spans="1:17" ht="15" customHeight="1">
      <c r="A31" s="39">
        <v>18</v>
      </c>
      <c r="B31" s="40" t="s">
        <v>129</v>
      </c>
      <c r="C31" s="40">
        <v>20</v>
      </c>
      <c r="D31" s="40" t="s">
        <v>100</v>
      </c>
      <c r="E31" s="40" t="s">
        <v>96</v>
      </c>
      <c r="F31" s="40" t="s">
        <v>112</v>
      </c>
      <c r="G31" s="40" t="s">
        <v>53</v>
      </c>
      <c r="H31" s="40" t="s">
        <v>15</v>
      </c>
      <c r="I31" s="40" t="s">
        <v>67</v>
      </c>
      <c r="J31" s="41" cm="1">
        <f t="array" ref="J31">IF(C31=20,INDEX(CUOC!$C$28:$C$37,MATCH(N31,CUOC!$A$28:$A$37,0),0),INDEX(CUOC!$D$28:$D$37,MATCH(N31,CUOC!$A$28:$A$37,0),0))</f>
        <v>386100</v>
      </c>
      <c r="K31" s="41">
        <f t="shared" si="2"/>
        <v>30888</v>
      </c>
      <c r="L31" s="41">
        <f t="shared" si="3"/>
        <v>416988</v>
      </c>
      <c r="M31" s="37">
        <v>46111</v>
      </c>
      <c r="N31" s="42">
        <v>5</v>
      </c>
      <c r="O31" s="64">
        <v>34832</v>
      </c>
      <c r="P31" s="43" t="str">
        <f t="shared" si="4"/>
        <v>Cước vận chuyển cont Hàng 20 tuyến đường NHĐV - HẢI AN. Số xe: 15H08574</v>
      </c>
      <c r="Q31" s="3">
        <v>1</v>
      </c>
    </row>
    <row r="32" spans="1:17" ht="15" customHeight="1">
      <c r="A32" s="39">
        <v>19</v>
      </c>
      <c r="B32" s="40" t="s">
        <v>130</v>
      </c>
      <c r="C32" s="40">
        <v>20</v>
      </c>
      <c r="D32" s="40" t="s">
        <v>100</v>
      </c>
      <c r="E32" s="40" t="s">
        <v>96</v>
      </c>
      <c r="F32" s="40" t="s">
        <v>112</v>
      </c>
      <c r="G32" s="40" t="s">
        <v>53</v>
      </c>
      <c r="H32" s="40" t="s">
        <v>15</v>
      </c>
      <c r="I32" s="40" t="s">
        <v>69</v>
      </c>
      <c r="J32" s="41" cm="1">
        <f t="array" ref="J32">IF(C32=20,INDEX(CUOC!$C$28:$C$37,MATCH(N32,CUOC!$A$28:$A$37,0),0),INDEX(CUOC!$D$28:$D$37,MATCH(N32,CUOC!$A$28:$A$37,0),0))</f>
        <v>386100</v>
      </c>
      <c r="K32" s="41">
        <f t="shared" si="2"/>
        <v>30888</v>
      </c>
      <c r="L32" s="41">
        <f t="shared" si="3"/>
        <v>416988</v>
      </c>
      <c r="M32" s="37">
        <v>46111</v>
      </c>
      <c r="N32" s="42">
        <v>5</v>
      </c>
      <c r="O32" s="64">
        <v>34832</v>
      </c>
      <c r="P32" s="43" t="str">
        <f t="shared" si="4"/>
        <v>Cước vận chuyển cont Hàng 20 tuyến đường NHĐV - HẢI AN. Số xe: 15C15033</v>
      </c>
      <c r="Q32" s="3">
        <v>1</v>
      </c>
    </row>
    <row r="33" spans="1:17" ht="15" customHeight="1">
      <c r="A33" s="39">
        <v>20</v>
      </c>
      <c r="B33" s="40" t="s">
        <v>131</v>
      </c>
      <c r="C33" s="40">
        <v>20</v>
      </c>
      <c r="D33" s="40" t="s">
        <v>100</v>
      </c>
      <c r="E33" s="40" t="s">
        <v>96</v>
      </c>
      <c r="F33" s="40" t="s">
        <v>112</v>
      </c>
      <c r="G33" s="40" t="s">
        <v>53</v>
      </c>
      <c r="H33" s="40" t="s">
        <v>15</v>
      </c>
      <c r="I33" s="40" t="s">
        <v>74</v>
      </c>
      <c r="J33" s="41" cm="1">
        <f t="array" ref="J33">IF(C33=20,INDEX(CUOC!$C$28:$C$37,MATCH(N33,CUOC!$A$28:$A$37,0),0),INDEX(CUOC!$D$28:$D$37,MATCH(N33,CUOC!$A$28:$A$37,0),0))</f>
        <v>386100</v>
      </c>
      <c r="K33" s="41">
        <f t="shared" si="2"/>
        <v>30888</v>
      </c>
      <c r="L33" s="41">
        <f t="shared" si="3"/>
        <v>416988</v>
      </c>
      <c r="M33" s="37">
        <v>46111</v>
      </c>
      <c r="N33" s="42">
        <v>5</v>
      </c>
      <c r="O33" s="64">
        <v>34832</v>
      </c>
      <c r="P33" s="43" t="str">
        <f t="shared" si="4"/>
        <v>Cước vận chuyển cont Hàng 20 tuyến đường NHĐV - HẢI AN. Số xe: 15H07788</v>
      </c>
      <c r="Q33" s="3">
        <v>1</v>
      </c>
    </row>
    <row r="34" spans="1:17" ht="15" customHeight="1">
      <c r="A34" s="39">
        <v>21</v>
      </c>
      <c r="B34" s="40" t="s">
        <v>132</v>
      </c>
      <c r="C34" s="40">
        <v>20</v>
      </c>
      <c r="D34" s="40" t="s">
        <v>100</v>
      </c>
      <c r="E34" s="40" t="s">
        <v>96</v>
      </c>
      <c r="F34" s="40" t="s">
        <v>112</v>
      </c>
      <c r="G34" s="40" t="s">
        <v>53</v>
      </c>
      <c r="H34" s="40" t="s">
        <v>15</v>
      </c>
      <c r="I34" s="40" t="s">
        <v>72</v>
      </c>
      <c r="J34" s="41" cm="1">
        <f t="array" ref="J34">IF(C34=20,INDEX(CUOC!$C$28:$C$37,MATCH(N34,CUOC!$A$28:$A$37,0),0),INDEX(CUOC!$D$28:$D$37,MATCH(N34,CUOC!$A$28:$A$37,0),0))</f>
        <v>386100</v>
      </c>
      <c r="K34" s="41">
        <f t="shared" si="2"/>
        <v>30888</v>
      </c>
      <c r="L34" s="41">
        <f t="shared" si="3"/>
        <v>416988</v>
      </c>
      <c r="M34" s="37">
        <v>46111</v>
      </c>
      <c r="N34" s="42">
        <v>5</v>
      </c>
      <c r="O34" s="64">
        <v>34832</v>
      </c>
      <c r="P34" s="43" t="str">
        <f t="shared" si="4"/>
        <v>Cước vận chuyển cont Hàng 20 tuyến đường NHĐV - HẢI AN. Số xe: 15C30649</v>
      </c>
      <c r="Q34" s="3">
        <v>1</v>
      </c>
    </row>
    <row r="35" spans="1:17" ht="15" customHeight="1">
      <c r="A35" s="39">
        <v>22</v>
      </c>
      <c r="B35" s="40" t="s">
        <v>133</v>
      </c>
      <c r="C35" s="40">
        <v>20</v>
      </c>
      <c r="D35" s="40" t="s">
        <v>100</v>
      </c>
      <c r="E35" s="40" t="s">
        <v>96</v>
      </c>
      <c r="F35" s="40" t="s">
        <v>112</v>
      </c>
      <c r="G35" s="40" t="s">
        <v>53</v>
      </c>
      <c r="H35" s="40" t="s">
        <v>15</v>
      </c>
      <c r="I35" s="40" t="s">
        <v>74</v>
      </c>
      <c r="J35" s="41" cm="1">
        <f t="array" ref="J35">IF(C35=20,INDEX(CUOC!$C$28:$C$37,MATCH(N35,CUOC!$A$28:$A$37,0),0),INDEX(CUOC!$D$28:$D$37,MATCH(N35,CUOC!$A$28:$A$37,0),0))</f>
        <v>386100</v>
      </c>
      <c r="K35" s="41">
        <f t="shared" si="2"/>
        <v>30888</v>
      </c>
      <c r="L35" s="41">
        <f t="shared" si="3"/>
        <v>416988</v>
      </c>
      <c r="M35" s="37">
        <v>46111</v>
      </c>
      <c r="N35" s="42">
        <v>5</v>
      </c>
      <c r="O35" s="64">
        <v>34832</v>
      </c>
      <c r="P35" s="43" t="str">
        <f t="shared" si="4"/>
        <v>Cước vận chuyển cont Hàng 20 tuyến đường NHĐV - HẢI AN. Số xe: 15H07788</v>
      </c>
      <c r="Q35" s="3">
        <v>1</v>
      </c>
    </row>
    <row r="36" spans="1:17" ht="15" customHeight="1">
      <c r="A36" s="39">
        <v>23</v>
      </c>
      <c r="B36" s="40" t="s">
        <v>134</v>
      </c>
      <c r="C36" s="40">
        <v>20</v>
      </c>
      <c r="D36" s="40" t="s">
        <v>100</v>
      </c>
      <c r="E36" s="40" t="s">
        <v>96</v>
      </c>
      <c r="F36" s="40" t="s">
        <v>112</v>
      </c>
      <c r="G36" s="40" t="s">
        <v>53</v>
      </c>
      <c r="H36" s="40" t="s">
        <v>15</v>
      </c>
      <c r="I36" s="40" t="s">
        <v>72</v>
      </c>
      <c r="J36" s="41" cm="1">
        <f t="array" ref="J36">IF(C36=20,INDEX(CUOC!$C$28:$C$37,MATCH(N36,CUOC!$A$28:$A$37,0),0),INDEX(CUOC!$D$28:$D$37,MATCH(N36,CUOC!$A$28:$A$37,0),0))</f>
        <v>386100</v>
      </c>
      <c r="K36" s="41">
        <f t="shared" si="2"/>
        <v>30888</v>
      </c>
      <c r="L36" s="41">
        <f t="shared" si="3"/>
        <v>416988</v>
      </c>
      <c r="M36" s="37">
        <v>46111</v>
      </c>
      <c r="N36" s="42">
        <v>5</v>
      </c>
      <c r="O36" s="64">
        <v>34832</v>
      </c>
      <c r="P36" s="43" t="str">
        <f t="shared" si="4"/>
        <v>Cước vận chuyển cont Hàng 20 tuyến đường NHĐV - HẢI AN. Số xe: 15C30649</v>
      </c>
      <c r="Q36" s="3">
        <v>1</v>
      </c>
    </row>
    <row r="37" spans="1:17" ht="15" customHeight="1">
      <c r="A37" s="39">
        <v>24</v>
      </c>
      <c r="B37" s="40" t="s">
        <v>135</v>
      </c>
      <c r="C37" s="40">
        <v>20</v>
      </c>
      <c r="D37" s="40" t="s">
        <v>100</v>
      </c>
      <c r="E37" s="40" t="s">
        <v>96</v>
      </c>
      <c r="F37" s="40" t="s">
        <v>112</v>
      </c>
      <c r="G37" s="40" t="s">
        <v>53</v>
      </c>
      <c r="H37" s="40" t="s">
        <v>15</v>
      </c>
      <c r="I37" s="40" t="s">
        <v>68</v>
      </c>
      <c r="J37" s="41" cm="1">
        <f t="array" ref="J37">IF(C37=20,INDEX(CUOC!$C$28:$C$37,MATCH(N37,CUOC!$A$28:$A$37,0),0),INDEX(CUOC!$D$28:$D$37,MATCH(N37,CUOC!$A$28:$A$37,0),0))</f>
        <v>386100</v>
      </c>
      <c r="K37" s="41">
        <f t="shared" si="2"/>
        <v>30888</v>
      </c>
      <c r="L37" s="41">
        <f t="shared" si="3"/>
        <v>416988</v>
      </c>
      <c r="M37" s="37">
        <v>46111</v>
      </c>
      <c r="N37" s="42">
        <v>5</v>
      </c>
      <c r="O37" s="64">
        <v>34832</v>
      </c>
      <c r="P37" s="43" t="str">
        <f t="shared" si="4"/>
        <v>Cước vận chuyển cont Hàng 20 tuyến đường NHĐV - HẢI AN. Số xe: 15C17442</v>
      </c>
      <c r="Q37" s="3">
        <v>1</v>
      </c>
    </row>
    <row r="38" spans="1:17" ht="15" customHeight="1">
      <c r="A38" s="39">
        <v>25</v>
      </c>
      <c r="B38" s="40" t="s">
        <v>136</v>
      </c>
      <c r="C38" s="40">
        <v>20</v>
      </c>
      <c r="D38" s="40" t="s">
        <v>100</v>
      </c>
      <c r="E38" s="40" t="s">
        <v>96</v>
      </c>
      <c r="F38" s="40" t="s">
        <v>112</v>
      </c>
      <c r="G38" s="40" t="s">
        <v>53</v>
      </c>
      <c r="H38" s="40" t="s">
        <v>15</v>
      </c>
      <c r="I38" s="40" t="s">
        <v>73</v>
      </c>
      <c r="J38" s="41" cm="1">
        <f t="array" ref="J38">IF(C38=20,INDEX(CUOC!$C$28:$C$37,MATCH(N38,CUOC!$A$28:$A$37,0),0),INDEX(CUOC!$D$28:$D$37,MATCH(N38,CUOC!$A$28:$A$37,0),0))</f>
        <v>386100</v>
      </c>
      <c r="K38" s="41">
        <f t="shared" si="2"/>
        <v>30888</v>
      </c>
      <c r="L38" s="41">
        <f t="shared" si="3"/>
        <v>416988</v>
      </c>
      <c r="M38" s="37">
        <v>46111</v>
      </c>
      <c r="N38" s="42">
        <v>5</v>
      </c>
      <c r="O38" s="64">
        <v>34832</v>
      </c>
      <c r="P38" s="43" t="str">
        <f t="shared" si="4"/>
        <v>Cước vận chuyển cont Hàng 20 tuyến đường NHĐV - HẢI AN. Số xe: 15H07644</v>
      </c>
      <c r="Q38" s="3">
        <v>1</v>
      </c>
    </row>
    <row r="39" spans="1:17" ht="15" customHeight="1">
      <c r="A39" s="39">
        <v>26</v>
      </c>
      <c r="B39" s="40" t="s">
        <v>137</v>
      </c>
      <c r="C39" s="40">
        <v>20</v>
      </c>
      <c r="D39" s="40" t="s">
        <v>100</v>
      </c>
      <c r="E39" s="40" t="s">
        <v>96</v>
      </c>
      <c r="F39" s="40" t="s">
        <v>112</v>
      </c>
      <c r="G39" s="40" t="s">
        <v>53</v>
      </c>
      <c r="H39" s="40" t="s">
        <v>15</v>
      </c>
      <c r="I39" s="40" t="s">
        <v>68</v>
      </c>
      <c r="J39" s="41" cm="1">
        <f t="array" ref="J39">IF(C39=20,INDEX(CUOC!$C$28:$C$37,MATCH(N39,CUOC!$A$28:$A$37,0),0),INDEX(CUOC!$D$28:$D$37,MATCH(N39,CUOC!$A$28:$A$37,0),0))</f>
        <v>386100</v>
      </c>
      <c r="K39" s="41">
        <f t="shared" si="2"/>
        <v>30888</v>
      </c>
      <c r="L39" s="41">
        <f t="shared" si="3"/>
        <v>416988</v>
      </c>
      <c r="M39" s="37">
        <v>46111</v>
      </c>
      <c r="N39" s="42">
        <v>5</v>
      </c>
      <c r="O39" s="64">
        <v>34832</v>
      </c>
      <c r="P39" s="43" t="str">
        <f t="shared" si="4"/>
        <v>Cước vận chuyển cont Hàng 20 tuyến đường NHĐV - HẢI AN. Số xe: 15C17442</v>
      </c>
      <c r="Q39" s="3">
        <v>1</v>
      </c>
    </row>
    <row r="40" spans="1:17" ht="15" customHeight="1">
      <c r="A40" s="39">
        <v>27</v>
      </c>
      <c r="B40" s="40" t="s">
        <v>138</v>
      </c>
      <c r="C40" s="40">
        <v>20</v>
      </c>
      <c r="D40" s="40" t="s">
        <v>100</v>
      </c>
      <c r="E40" s="40" t="s">
        <v>96</v>
      </c>
      <c r="F40" s="40" t="s">
        <v>112</v>
      </c>
      <c r="G40" s="40" t="s">
        <v>53</v>
      </c>
      <c r="H40" s="40" t="s">
        <v>15</v>
      </c>
      <c r="I40" s="40" t="s">
        <v>74</v>
      </c>
      <c r="J40" s="41" cm="1">
        <f t="array" ref="J40">IF(C40=20,INDEX(CUOC!$C$28:$C$37,MATCH(N40,CUOC!$A$28:$A$37,0),0),INDEX(CUOC!$D$28:$D$37,MATCH(N40,CUOC!$A$28:$A$37,0),0))</f>
        <v>386100</v>
      </c>
      <c r="K40" s="41">
        <f t="shared" si="2"/>
        <v>30888</v>
      </c>
      <c r="L40" s="41">
        <f t="shared" si="3"/>
        <v>416988</v>
      </c>
      <c r="M40" s="37">
        <v>46111</v>
      </c>
      <c r="N40" s="42">
        <v>5</v>
      </c>
      <c r="O40" s="64">
        <v>34832</v>
      </c>
      <c r="P40" s="43" t="str">
        <f t="shared" si="4"/>
        <v>Cước vận chuyển cont Hàng 20 tuyến đường NHĐV - HẢI AN. Số xe: 15H07788</v>
      </c>
      <c r="Q40" s="3">
        <v>1</v>
      </c>
    </row>
    <row r="41" spans="1:17" ht="15" customHeight="1">
      <c r="A41" s="39">
        <v>28</v>
      </c>
      <c r="B41" s="40" t="s">
        <v>139</v>
      </c>
      <c r="C41" s="40">
        <v>20</v>
      </c>
      <c r="D41" s="40" t="s">
        <v>100</v>
      </c>
      <c r="E41" s="40" t="s">
        <v>96</v>
      </c>
      <c r="F41" s="40" t="s">
        <v>112</v>
      </c>
      <c r="G41" s="40" t="s">
        <v>53</v>
      </c>
      <c r="H41" s="40" t="s">
        <v>15</v>
      </c>
      <c r="I41" s="40" t="s">
        <v>69</v>
      </c>
      <c r="J41" s="41" cm="1">
        <f t="array" ref="J41">IF(C41=20,INDEX(CUOC!$C$28:$C$37,MATCH(N41,CUOC!$A$28:$A$37,0),0),INDEX(CUOC!$D$28:$D$37,MATCH(N41,CUOC!$A$28:$A$37,0),0))</f>
        <v>386100</v>
      </c>
      <c r="K41" s="41">
        <f t="shared" si="2"/>
        <v>30888</v>
      </c>
      <c r="L41" s="41">
        <f t="shared" si="3"/>
        <v>416988</v>
      </c>
      <c r="M41" s="37">
        <v>46111</v>
      </c>
      <c r="N41" s="42">
        <v>5</v>
      </c>
      <c r="O41" s="64">
        <v>34832</v>
      </c>
      <c r="P41" s="43" t="str">
        <f t="shared" si="4"/>
        <v>Cước vận chuyển cont Hàng 20 tuyến đường NHĐV - HẢI AN. Số xe: 15C15033</v>
      </c>
      <c r="Q41" s="3">
        <v>1</v>
      </c>
    </row>
    <row r="42" spans="1:17" ht="15" customHeight="1">
      <c r="A42" s="39">
        <v>29</v>
      </c>
      <c r="B42" s="40" t="s">
        <v>140</v>
      </c>
      <c r="C42" s="40">
        <v>20</v>
      </c>
      <c r="D42" s="40" t="s">
        <v>100</v>
      </c>
      <c r="E42" s="40" t="s">
        <v>96</v>
      </c>
      <c r="F42" s="40" t="s">
        <v>112</v>
      </c>
      <c r="G42" s="40" t="s">
        <v>53</v>
      </c>
      <c r="H42" s="40" t="s">
        <v>15</v>
      </c>
      <c r="I42" s="40" t="s">
        <v>68</v>
      </c>
      <c r="J42" s="41" cm="1">
        <f t="array" ref="J42">IF(C42=20,INDEX(CUOC!$C$28:$C$37,MATCH(N42,CUOC!$A$28:$A$37,0),0),INDEX(CUOC!$D$28:$D$37,MATCH(N42,CUOC!$A$28:$A$37,0),0))</f>
        <v>386100</v>
      </c>
      <c r="K42" s="41">
        <f t="shared" si="2"/>
        <v>30888</v>
      </c>
      <c r="L42" s="41">
        <f t="shared" si="3"/>
        <v>416988</v>
      </c>
      <c r="M42" s="37">
        <v>46111</v>
      </c>
      <c r="N42" s="42">
        <v>5</v>
      </c>
      <c r="O42" s="64">
        <v>34832</v>
      </c>
      <c r="P42" s="43" t="str">
        <f t="shared" si="4"/>
        <v>Cước vận chuyển cont Hàng 20 tuyến đường NHĐV - HẢI AN. Số xe: 15C17442</v>
      </c>
      <c r="Q42" s="3">
        <v>1</v>
      </c>
    </row>
    <row r="43" spans="1:17" ht="15" customHeight="1">
      <c r="A43" s="39">
        <v>30</v>
      </c>
      <c r="B43" s="40" t="s">
        <v>141</v>
      </c>
      <c r="C43" s="40">
        <v>20</v>
      </c>
      <c r="D43" s="40" t="s">
        <v>100</v>
      </c>
      <c r="E43" s="40" t="s">
        <v>96</v>
      </c>
      <c r="F43" s="40" t="s">
        <v>112</v>
      </c>
      <c r="G43" s="40" t="s">
        <v>53</v>
      </c>
      <c r="H43" s="40" t="s">
        <v>15</v>
      </c>
      <c r="I43" s="40" t="s">
        <v>72</v>
      </c>
      <c r="J43" s="41" cm="1">
        <f t="array" ref="J43">IF(C43=20,INDEX(CUOC!$C$28:$C$37,MATCH(N43,CUOC!$A$28:$A$37,0),0),INDEX(CUOC!$D$28:$D$37,MATCH(N43,CUOC!$A$28:$A$37,0),0))</f>
        <v>386100</v>
      </c>
      <c r="K43" s="41">
        <f t="shared" si="2"/>
        <v>30888</v>
      </c>
      <c r="L43" s="41">
        <f t="shared" si="3"/>
        <v>416988</v>
      </c>
      <c r="M43" s="37">
        <v>46111</v>
      </c>
      <c r="N43" s="42">
        <v>5</v>
      </c>
      <c r="O43" s="64">
        <v>34832</v>
      </c>
      <c r="P43" s="43" t="str">
        <f t="shared" si="4"/>
        <v>Cước vận chuyển cont Hàng 20 tuyến đường NHĐV - HẢI AN. Số xe: 15C30649</v>
      </c>
      <c r="Q43" s="3">
        <v>1</v>
      </c>
    </row>
    <row r="44" spans="1:17" ht="15" customHeight="1">
      <c r="A44" s="39">
        <v>31</v>
      </c>
      <c r="B44" s="40" t="s">
        <v>142</v>
      </c>
      <c r="C44" s="40">
        <v>40</v>
      </c>
      <c r="D44" s="40" t="s">
        <v>100</v>
      </c>
      <c r="E44" s="40" t="s">
        <v>96</v>
      </c>
      <c r="F44" s="40" t="s">
        <v>112</v>
      </c>
      <c r="G44" s="40" t="s">
        <v>53</v>
      </c>
      <c r="H44" s="40" t="s">
        <v>15</v>
      </c>
      <c r="I44" s="40" t="s">
        <v>97</v>
      </c>
      <c r="J44" s="41" cm="1">
        <f t="array" ref="J44">IF(C44=20,INDEX(CUOC!$C$28:$C$37,MATCH(N44,CUOC!$A$28:$A$37,0),0),INDEX(CUOC!$D$28:$D$37,MATCH(N44,CUOC!$A$28:$A$37,0),0))</f>
        <v>448500</v>
      </c>
      <c r="K44" s="41">
        <f t="shared" si="2"/>
        <v>35880</v>
      </c>
      <c r="L44" s="41">
        <f t="shared" si="3"/>
        <v>484380</v>
      </c>
      <c r="M44" s="37">
        <v>46111</v>
      </c>
      <c r="N44" s="42">
        <v>5</v>
      </c>
      <c r="O44" s="64">
        <v>34832</v>
      </c>
      <c r="P44" s="43" t="str">
        <f t="shared" si="4"/>
        <v>Cước vận chuyển cont Hàng 40 tuyến đường NHĐV - HẢI AN. Số xe: 15H18753</v>
      </c>
      <c r="Q44" s="3">
        <v>1</v>
      </c>
    </row>
    <row r="45" spans="1:17" ht="15" customHeight="1">
      <c r="A45" s="39">
        <v>32</v>
      </c>
      <c r="B45" s="40" t="s">
        <v>143</v>
      </c>
      <c r="C45" s="40">
        <v>40</v>
      </c>
      <c r="D45" s="40" t="s">
        <v>100</v>
      </c>
      <c r="E45" s="40" t="s">
        <v>96</v>
      </c>
      <c r="F45" s="40" t="s">
        <v>112</v>
      </c>
      <c r="G45" s="40" t="s">
        <v>53</v>
      </c>
      <c r="H45" s="40" t="s">
        <v>15</v>
      </c>
      <c r="I45" s="40" t="s">
        <v>99</v>
      </c>
      <c r="J45" s="41" cm="1">
        <f t="array" ref="J45">IF(C45=20,INDEX(CUOC!$C$28:$C$37,MATCH(N45,CUOC!$A$28:$A$37,0),0),INDEX(CUOC!$D$28:$D$37,MATCH(N45,CUOC!$A$28:$A$37,0),0))</f>
        <v>448500</v>
      </c>
      <c r="K45" s="41">
        <f t="shared" si="2"/>
        <v>35880</v>
      </c>
      <c r="L45" s="41">
        <f t="shared" si="3"/>
        <v>484380</v>
      </c>
      <c r="M45" s="37">
        <v>46111</v>
      </c>
      <c r="N45" s="42">
        <v>5</v>
      </c>
      <c r="O45" s="64">
        <v>34832</v>
      </c>
      <c r="P45" s="43" t="str">
        <f t="shared" si="4"/>
        <v>Cước vận chuyển cont Hàng 40 tuyến đường NHĐV - HẢI AN. Số xe: 15H20645</v>
      </c>
      <c r="Q45" s="3">
        <v>1</v>
      </c>
    </row>
    <row r="46" spans="1:17" ht="15" customHeight="1">
      <c r="A46" s="39">
        <v>33</v>
      </c>
      <c r="B46" s="40" t="s">
        <v>144</v>
      </c>
      <c r="C46" s="40">
        <v>40</v>
      </c>
      <c r="D46" s="40" t="s">
        <v>100</v>
      </c>
      <c r="E46" s="40" t="s">
        <v>96</v>
      </c>
      <c r="F46" s="40" t="s">
        <v>112</v>
      </c>
      <c r="G46" s="40" t="s">
        <v>53</v>
      </c>
      <c r="H46" s="40" t="s">
        <v>15</v>
      </c>
      <c r="I46" s="40" t="s">
        <v>67</v>
      </c>
      <c r="J46" s="41" cm="1">
        <f t="array" ref="J46">IF(C46=20,INDEX(CUOC!$C$28:$C$37,MATCH(N46,CUOC!$A$28:$A$37,0),0),INDEX(CUOC!$D$28:$D$37,MATCH(N46,CUOC!$A$28:$A$37,0),0))</f>
        <v>448500</v>
      </c>
      <c r="K46" s="41">
        <f t="shared" si="2"/>
        <v>35880</v>
      </c>
      <c r="L46" s="41">
        <f t="shared" si="3"/>
        <v>484380</v>
      </c>
      <c r="M46" s="37">
        <v>46111</v>
      </c>
      <c r="N46" s="42">
        <v>5</v>
      </c>
      <c r="O46" s="64">
        <v>34832</v>
      </c>
      <c r="P46" s="43" t="str">
        <f t="shared" si="4"/>
        <v>Cước vận chuyển cont Hàng 40 tuyến đường NHĐV - HẢI AN. Số xe: 15H08574</v>
      </c>
      <c r="Q46" s="3">
        <v>1</v>
      </c>
    </row>
    <row r="47" spans="1:17" ht="15" customHeight="1">
      <c r="A47" s="39">
        <v>34</v>
      </c>
      <c r="B47" s="40" t="s">
        <v>145</v>
      </c>
      <c r="C47" s="40">
        <v>40</v>
      </c>
      <c r="D47" s="40" t="s">
        <v>100</v>
      </c>
      <c r="E47" s="40" t="s">
        <v>96</v>
      </c>
      <c r="F47" s="40" t="s">
        <v>112</v>
      </c>
      <c r="G47" s="40" t="s">
        <v>53</v>
      </c>
      <c r="H47" s="40" t="s">
        <v>15</v>
      </c>
      <c r="I47" s="40" t="s">
        <v>98</v>
      </c>
      <c r="J47" s="41" cm="1">
        <f t="array" ref="J47">IF(C47=20,INDEX(CUOC!$C$28:$C$37,MATCH(N47,CUOC!$A$28:$A$37,0),0),INDEX(CUOC!$D$28:$D$37,MATCH(N47,CUOC!$A$28:$A$37,0),0))</f>
        <v>448500</v>
      </c>
      <c r="K47" s="41">
        <f t="shared" si="2"/>
        <v>35880</v>
      </c>
      <c r="L47" s="41">
        <f t="shared" si="3"/>
        <v>484380</v>
      </c>
      <c r="M47" s="37">
        <v>46111</v>
      </c>
      <c r="N47" s="42">
        <v>5</v>
      </c>
      <c r="O47" s="64">
        <v>34832</v>
      </c>
      <c r="P47" s="43" t="str">
        <f t="shared" si="4"/>
        <v>Cước vận chuyển cont Hàng 40 tuyến đường NHĐV - HẢI AN. Số xe: 15C17301</v>
      </c>
      <c r="Q47" s="3">
        <v>1</v>
      </c>
    </row>
    <row r="48" spans="1:17" ht="15" customHeight="1">
      <c r="A48" s="39">
        <v>35</v>
      </c>
      <c r="B48" s="40" t="s">
        <v>146</v>
      </c>
      <c r="C48" s="40">
        <v>40</v>
      </c>
      <c r="D48" s="40" t="s">
        <v>100</v>
      </c>
      <c r="E48" s="40" t="s">
        <v>96</v>
      </c>
      <c r="F48" s="40" t="s">
        <v>112</v>
      </c>
      <c r="G48" s="40" t="s">
        <v>53</v>
      </c>
      <c r="H48" s="40" t="s">
        <v>15</v>
      </c>
      <c r="I48" s="40" t="s">
        <v>86</v>
      </c>
      <c r="J48" s="41" cm="1">
        <f t="array" ref="J48">IF(C48=20,INDEX(CUOC!$C$28:$C$37,MATCH(N48,CUOC!$A$28:$A$37,0),0),INDEX(CUOC!$D$28:$D$37,MATCH(N48,CUOC!$A$28:$A$37,0),0))</f>
        <v>448500</v>
      </c>
      <c r="K48" s="41">
        <f t="shared" si="2"/>
        <v>35880</v>
      </c>
      <c r="L48" s="41">
        <f t="shared" si="3"/>
        <v>484380</v>
      </c>
      <c r="M48" s="37">
        <v>46111</v>
      </c>
      <c r="N48" s="42">
        <v>5</v>
      </c>
      <c r="O48" s="64">
        <v>34832</v>
      </c>
      <c r="P48" s="43" t="str">
        <f t="shared" si="4"/>
        <v>Cước vận chuyển cont Hàng 40 tuyến đường NHĐV - HẢI AN. Số xe: 15H18552</v>
      </c>
      <c r="Q48" s="3">
        <v>1</v>
      </c>
    </row>
    <row r="49" spans="1:17" ht="15" customHeight="1">
      <c r="A49" s="39">
        <v>36</v>
      </c>
      <c r="B49" s="40" t="s">
        <v>147</v>
      </c>
      <c r="C49" s="40">
        <v>40</v>
      </c>
      <c r="D49" s="40" t="s">
        <v>100</v>
      </c>
      <c r="E49" s="40" t="s">
        <v>96</v>
      </c>
      <c r="F49" s="40" t="s">
        <v>112</v>
      </c>
      <c r="G49" s="40" t="s">
        <v>53</v>
      </c>
      <c r="H49" s="40" t="s">
        <v>15</v>
      </c>
      <c r="I49" s="40" t="s">
        <v>98</v>
      </c>
      <c r="J49" s="41" cm="1">
        <f t="array" ref="J49">IF(C49=20,INDEX(CUOC!$C$28:$C$37,MATCH(N49,CUOC!$A$28:$A$37,0),0),INDEX(CUOC!$D$28:$D$37,MATCH(N49,CUOC!$A$28:$A$37,0),0))</f>
        <v>448500</v>
      </c>
      <c r="K49" s="41">
        <f t="shared" si="2"/>
        <v>35880</v>
      </c>
      <c r="L49" s="41">
        <f t="shared" si="3"/>
        <v>484380</v>
      </c>
      <c r="M49" s="37">
        <v>46111</v>
      </c>
      <c r="N49" s="42">
        <v>5</v>
      </c>
      <c r="O49" s="64">
        <v>34832</v>
      </c>
      <c r="P49" s="43" t="str">
        <f t="shared" si="4"/>
        <v>Cước vận chuyển cont Hàng 40 tuyến đường NHĐV - HẢI AN. Số xe: 15C17301</v>
      </c>
      <c r="Q49" s="3">
        <v>1</v>
      </c>
    </row>
    <row r="50" spans="1:17" ht="15" customHeight="1">
      <c r="A50" s="39">
        <v>37</v>
      </c>
      <c r="B50" s="40" t="s">
        <v>148</v>
      </c>
      <c r="C50" s="40">
        <v>40</v>
      </c>
      <c r="D50" s="40" t="s">
        <v>100</v>
      </c>
      <c r="E50" s="40" t="s">
        <v>96</v>
      </c>
      <c r="F50" s="40" t="s">
        <v>112</v>
      </c>
      <c r="G50" s="40" t="s">
        <v>53</v>
      </c>
      <c r="H50" s="40" t="s">
        <v>15</v>
      </c>
      <c r="I50" s="40" t="s">
        <v>67</v>
      </c>
      <c r="J50" s="41" cm="1">
        <f t="array" ref="J50">IF(C50=20,INDEX(CUOC!$C$28:$C$37,MATCH(N50,CUOC!$A$28:$A$37,0),0),INDEX(CUOC!$D$28:$D$37,MATCH(N50,CUOC!$A$28:$A$37,0),0))</f>
        <v>448500</v>
      </c>
      <c r="K50" s="41">
        <f t="shared" si="2"/>
        <v>35880</v>
      </c>
      <c r="L50" s="41">
        <f t="shared" si="3"/>
        <v>484380</v>
      </c>
      <c r="M50" s="37">
        <v>46111</v>
      </c>
      <c r="N50" s="42">
        <v>5</v>
      </c>
      <c r="O50" s="64">
        <v>34832</v>
      </c>
      <c r="P50" s="43" t="str">
        <f t="shared" si="4"/>
        <v>Cước vận chuyển cont Hàng 40 tuyến đường NHĐV - HẢI AN. Số xe: 15H08574</v>
      </c>
      <c r="Q50" s="3">
        <v>1</v>
      </c>
    </row>
    <row r="51" spans="1:17" ht="15" customHeight="1">
      <c r="A51" s="39">
        <v>38</v>
      </c>
      <c r="B51" s="40" t="s">
        <v>149</v>
      </c>
      <c r="C51" s="40">
        <v>40</v>
      </c>
      <c r="D51" s="40" t="s">
        <v>100</v>
      </c>
      <c r="E51" s="40" t="s">
        <v>96</v>
      </c>
      <c r="F51" s="40" t="s">
        <v>112</v>
      </c>
      <c r="G51" s="40" t="s">
        <v>53</v>
      </c>
      <c r="H51" s="40" t="s">
        <v>15</v>
      </c>
      <c r="I51" s="40" t="s">
        <v>73</v>
      </c>
      <c r="J51" s="41" cm="1">
        <f t="array" ref="J51">IF(C51=20,INDEX(CUOC!$C$28:$C$37,MATCH(N51,CUOC!$A$28:$A$37,0),0),INDEX(CUOC!$D$28:$D$37,MATCH(N51,CUOC!$A$28:$A$37,0),0))</f>
        <v>448500</v>
      </c>
      <c r="K51" s="41">
        <f t="shared" si="2"/>
        <v>35880</v>
      </c>
      <c r="L51" s="41">
        <f t="shared" si="3"/>
        <v>484380</v>
      </c>
      <c r="M51" s="37">
        <v>46111</v>
      </c>
      <c r="N51" s="42">
        <v>5</v>
      </c>
      <c r="O51" s="64">
        <v>34832</v>
      </c>
      <c r="P51" s="43" t="str">
        <f t="shared" si="4"/>
        <v>Cước vận chuyển cont Hàng 40 tuyến đường NHĐV - HẢI AN. Số xe: 15H07644</v>
      </c>
      <c r="Q51" s="3">
        <v>1</v>
      </c>
    </row>
    <row r="52" spans="1:17" ht="15" customHeight="1">
      <c r="A52" s="39">
        <v>39</v>
      </c>
      <c r="B52" s="40" t="s">
        <v>150</v>
      </c>
      <c r="C52" s="40">
        <v>40</v>
      </c>
      <c r="D52" s="40" t="s">
        <v>100</v>
      </c>
      <c r="E52" s="40" t="s">
        <v>96</v>
      </c>
      <c r="F52" s="40" t="s">
        <v>112</v>
      </c>
      <c r="G52" s="40" t="s">
        <v>53</v>
      </c>
      <c r="H52" s="40" t="s">
        <v>15</v>
      </c>
      <c r="I52" s="40" t="s">
        <v>97</v>
      </c>
      <c r="J52" s="41" cm="1">
        <f t="array" ref="J52">IF(C52=20,INDEX(CUOC!$C$28:$C$37,MATCH(N52,CUOC!$A$28:$A$37,0),0),INDEX(CUOC!$D$28:$D$37,MATCH(N52,CUOC!$A$28:$A$37,0),0))</f>
        <v>448500</v>
      </c>
      <c r="K52" s="41">
        <f t="shared" si="2"/>
        <v>35880</v>
      </c>
      <c r="L52" s="41">
        <f t="shared" si="3"/>
        <v>484380</v>
      </c>
      <c r="M52" s="37">
        <v>46111</v>
      </c>
      <c r="N52" s="42">
        <v>5</v>
      </c>
      <c r="O52" s="64">
        <v>34832</v>
      </c>
      <c r="P52" s="43" t="str">
        <f t="shared" si="4"/>
        <v>Cước vận chuyển cont Hàng 40 tuyến đường NHĐV - HẢI AN. Số xe: 15H18753</v>
      </c>
      <c r="Q52" s="3">
        <v>1</v>
      </c>
    </row>
    <row r="53" spans="1:17" ht="15" customHeight="1">
      <c r="A53" s="39">
        <v>40</v>
      </c>
      <c r="B53" s="40" t="s">
        <v>151</v>
      </c>
      <c r="C53" s="40">
        <v>40</v>
      </c>
      <c r="D53" s="40" t="s">
        <v>100</v>
      </c>
      <c r="E53" s="40" t="s">
        <v>96</v>
      </c>
      <c r="F53" s="40" t="s">
        <v>112</v>
      </c>
      <c r="G53" s="40" t="s">
        <v>53</v>
      </c>
      <c r="H53" s="40" t="s">
        <v>15</v>
      </c>
      <c r="I53" s="40" t="s">
        <v>73</v>
      </c>
      <c r="J53" s="41" cm="1">
        <f t="array" ref="J53">IF(C53=20,INDEX(CUOC!$C$28:$C$37,MATCH(N53,CUOC!$A$28:$A$37,0),0),INDEX(CUOC!$D$28:$D$37,MATCH(N53,CUOC!$A$28:$A$37,0),0))</f>
        <v>448500</v>
      </c>
      <c r="K53" s="41">
        <f t="shared" si="2"/>
        <v>35880</v>
      </c>
      <c r="L53" s="41">
        <f t="shared" si="3"/>
        <v>484380</v>
      </c>
      <c r="M53" s="37">
        <v>46111</v>
      </c>
      <c r="N53" s="42">
        <v>5</v>
      </c>
      <c r="O53" s="64">
        <v>34832</v>
      </c>
      <c r="P53" s="43" t="str">
        <f t="shared" si="4"/>
        <v>Cước vận chuyển cont Hàng 40 tuyến đường NHĐV - HẢI AN. Số xe: 15H07644</v>
      </c>
      <c r="Q53" s="3">
        <v>1</v>
      </c>
    </row>
    <row r="54" spans="1:17" ht="15" customHeight="1">
      <c r="A54" s="39">
        <v>41</v>
      </c>
      <c r="B54" s="40" t="s">
        <v>152</v>
      </c>
      <c r="C54" s="40">
        <v>40</v>
      </c>
      <c r="D54" s="40" t="s">
        <v>100</v>
      </c>
      <c r="E54" s="40" t="s">
        <v>96</v>
      </c>
      <c r="F54" s="40" t="s">
        <v>112</v>
      </c>
      <c r="G54" s="40" t="s">
        <v>53</v>
      </c>
      <c r="H54" s="40" t="s">
        <v>15</v>
      </c>
      <c r="I54" s="40" t="s">
        <v>69</v>
      </c>
      <c r="J54" s="41" cm="1">
        <f t="array" ref="J54">IF(C54=20,INDEX(CUOC!$C$28:$C$37,MATCH(N54,CUOC!$A$28:$A$37,0),0),INDEX(CUOC!$D$28:$D$37,MATCH(N54,CUOC!$A$28:$A$37,0),0))</f>
        <v>448500</v>
      </c>
      <c r="K54" s="41">
        <f t="shared" si="2"/>
        <v>35880</v>
      </c>
      <c r="L54" s="41">
        <f t="shared" si="3"/>
        <v>484380</v>
      </c>
      <c r="M54" s="37">
        <v>46111</v>
      </c>
      <c r="N54" s="42">
        <v>5</v>
      </c>
      <c r="O54" s="64">
        <v>34832</v>
      </c>
      <c r="P54" s="43" t="str">
        <f t="shared" si="4"/>
        <v>Cước vận chuyển cont Hàng 40 tuyến đường NHĐV - HẢI AN. Số xe: 15C15033</v>
      </c>
      <c r="Q54" s="3">
        <v>1</v>
      </c>
    </row>
    <row r="55" spans="1:17" ht="15" customHeight="1">
      <c r="A55" s="39">
        <v>42</v>
      </c>
      <c r="B55" s="40" t="s">
        <v>153</v>
      </c>
      <c r="C55" s="40">
        <v>40</v>
      </c>
      <c r="D55" s="40" t="s">
        <v>100</v>
      </c>
      <c r="E55" s="40" t="s">
        <v>96</v>
      </c>
      <c r="F55" s="40" t="s">
        <v>112</v>
      </c>
      <c r="G55" s="40" t="s">
        <v>53</v>
      </c>
      <c r="H55" s="40" t="s">
        <v>15</v>
      </c>
      <c r="I55" s="40" t="s">
        <v>97</v>
      </c>
      <c r="J55" s="41" cm="1">
        <f t="array" ref="J55">IF(C55=20,INDEX(CUOC!$C$28:$C$37,MATCH(N55,CUOC!$A$28:$A$37,0),0),INDEX(CUOC!$D$28:$D$37,MATCH(N55,CUOC!$A$28:$A$37,0),0))</f>
        <v>448500</v>
      </c>
      <c r="K55" s="41">
        <f t="shared" si="2"/>
        <v>35880</v>
      </c>
      <c r="L55" s="41">
        <f t="shared" si="3"/>
        <v>484380</v>
      </c>
      <c r="M55" s="37">
        <v>46111</v>
      </c>
      <c r="N55" s="42">
        <v>5</v>
      </c>
      <c r="O55" s="64">
        <v>34832</v>
      </c>
      <c r="P55" s="43" t="str">
        <f t="shared" si="4"/>
        <v>Cước vận chuyển cont Hàng 40 tuyến đường NHĐV - HẢI AN. Số xe: 15H18753</v>
      </c>
      <c r="Q55" s="3">
        <v>1</v>
      </c>
    </row>
    <row r="56" spans="1:17" ht="15" customHeight="1">
      <c r="A56" s="39">
        <v>43</v>
      </c>
      <c r="B56" s="40" t="s">
        <v>154</v>
      </c>
      <c r="C56" s="40">
        <v>40</v>
      </c>
      <c r="D56" s="40" t="s">
        <v>100</v>
      </c>
      <c r="E56" s="40" t="s">
        <v>96</v>
      </c>
      <c r="F56" s="40" t="s">
        <v>112</v>
      </c>
      <c r="G56" s="40" t="s">
        <v>53</v>
      </c>
      <c r="H56" s="40" t="s">
        <v>15</v>
      </c>
      <c r="I56" s="40" t="s">
        <v>67</v>
      </c>
      <c r="J56" s="41" cm="1">
        <f t="array" ref="J56">IF(C56=20,INDEX(CUOC!$C$28:$C$37,MATCH(N56,CUOC!$A$28:$A$37,0),0),INDEX(CUOC!$D$28:$D$37,MATCH(N56,CUOC!$A$28:$A$37,0),0))</f>
        <v>448500</v>
      </c>
      <c r="K56" s="41">
        <f t="shared" si="2"/>
        <v>35880</v>
      </c>
      <c r="L56" s="41">
        <f t="shared" si="3"/>
        <v>484380</v>
      </c>
      <c r="M56" s="37">
        <v>46111</v>
      </c>
      <c r="N56" s="42">
        <v>5</v>
      </c>
      <c r="O56" s="64">
        <v>34832</v>
      </c>
      <c r="P56" s="43" t="str">
        <f t="shared" si="4"/>
        <v>Cước vận chuyển cont Hàng 40 tuyến đường NHĐV - HẢI AN. Số xe: 15H08574</v>
      </c>
      <c r="Q56" s="3">
        <v>1</v>
      </c>
    </row>
    <row r="57" spans="1:17" ht="15" customHeight="1">
      <c r="A57" s="39">
        <v>44</v>
      </c>
      <c r="B57" s="40" t="s">
        <v>155</v>
      </c>
      <c r="C57" s="40">
        <v>40</v>
      </c>
      <c r="D57" s="40" t="s">
        <v>100</v>
      </c>
      <c r="E57" s="40" t="s">
        <v>96</v>
      </c>
      <c r="F57" s="40" t="s">
        <v>112</v>
      </c>
      <c r="G57" s="40" t="s">
        <v>53</v>
      </c>
      <c r="H57" s="40" t="s">
        <v>15</v>
      </c>
      <c r="I57" s="40" t="s">
        <v>71</v>
      </c>
      <c r="J57" s="41" cm="1">
        <f t="array" ref="J57">IF(C57=20,INDEX(CUOC!$C$28:$C$37,MATCH(N57,CUOC!$A$28:$A$37,0),0),INDEX(CUOC!$D$28:$D$37,MATCH(N57,CUOC!$A$28:$A$37,0),0))</f>
        <v>448500</v>
      </c>
      <c r="K57" s="41">
        <f t="shared" si="2"/>
        <v>35880</v>
      </c>
      <c r="L57" s="41">
        <f t="shared" si="3"/>
        <v>484380</v>
      </c>
      <c r="M57" s="37">
        <v>46111</v>
      </c>
      <c r="N57" s="42">
        <v>5</v>
      </c>
      <c r="O57" s="64">
        <v>34832</v>
      </c>
      <c r="P57" s="43" t="str">
        <f t="shared" si="4"/>
        <v>Cước vận chuyển cont Hàng 40 tuyến đường NHĐV - HẢI AN. Số xe: 15H12925</v>
      </c>
      <c r="Q57" s="3">
        <v>1</v>
      </c>
    </row>
    <row r="58" spans="1:17" ht="15" customHeight="1">
      <c r="A58" s="39">
        <v>45</v>
      </c>
      <c r="B58" s="40" t="s">
        <v>156</v>
      </c>
      <c r="C58" s="40">
        <v>40</v>
      </c>
      <c r="D58" s="40" t="s">
        <v>100</v>
      </c>
      <c r="E58" s="40" t="s">
        <v>96</v>
      </c>
      <c r="F58" s="40" t="s">
        <v>112</v>
      </c>
      <c r="G58" s="40" t="s">
        <v>53</v>
      </c>
      <c r="H58" s="40" t="s">
        <v>15</v>
      </c>
      <c r="I58" s="40" t="s">
        <v>65</v>
      </c>
      <c r="J58" s="41" cm="1">
        <f t="array" ref="J58">IF(C58=20,INDEX(CUOC!$C$28:$C$37,MATCH(N58,CUOC!$A$28:$A$37,0),0),INDEX(CUOC!$D$28:$D$37,MATCH(N58,CUOC!$A$28:$A$37,0),0))</f>
        <v>448500</v>
      </c>
      <c r="K58" s="41">
        <f t="shared" si="2"/>
        <v>35880</v>
      </c>
      <c r="L58" s="41">
        <f t="shared" si="3"/>
        <v>484380</v>
      </c>
      <c r="M58" s="37">
        <v>46111</v>
      </c>
      <c r="N58" s="42">
        <v>5</v>
      </c>
      <c r="O58" s="64">
        <v>34832</v>
      </c>
      <c r="P58" s="43" t="str">
        <f t="shared" si="4"/>
        <v>Cước vận chuyển cont Hàng 40 tuyến đường NHĐV - HẢI AN. Số xe: 15H15378</v>
      </c>
      <c r="Q58" s="3">
        <v>1</v>
      </c>
    </row>
    <row r="59" spans="1:17" ht="15" customHeight="1">
      <c r="A59" s="39">
        <v>46</v>
      </c>
      <c r="B59" s="40" t="s">
        <v>157</v>
      </c>
      <c r="C59" s="40">
        <v>40</v>
      </c>
      <c r="D59" s="40" t="s">
        <v>100</v>
      </c>
      <c r="E59" s="40" t="s">
        <v>96</v>
      </c>
      <c r="F59" s="40" t="s">
        <v>112</v>
      </c>
      <c r="G59" s="40" t="s">
        <v>53</v>
      </c>
      <c r="H59" s="40" t="s">
        <v>15</v>
      </c>
      <c r="I59" s="40" t="s">
        <v>463</v>
      </c>
      <c r="J59" s="41" cm="1">
        <f t="array" ref="J59">IF(C59=20,INDEX(CUOC!$C$28:$C$37,MATCH(N59,CUOC!$A$28:$A$37,0),0),INDEX(CUOC!$D$28:$D$37,MATCH(N59,CUOC!$A$28:$A$37,0),0))</f>
        <v>448500</v>
      </c>
      <c r="K59" s="41">
        <f t="shared" si="2"/>
        <v>35880</v>
      </c>
      <c r="L59" s="41">
        <f t="shared" si="3"/>
        <v>484380</v>
      </c>
      <c r="M59" s="37">
        <v>46111</v>
      </c>
      <c r="N59" s="42">
        <v>5</v>
      </c>
      <c r="O59" s="64">
        <v>34832</v>
      </c>
      <c r="P59" s="43" t="str">
        <f t="shared" si="4"/>
        <v>Cước vận chuyển cont Hàng 40 tuyến đường NHĐV - HẢI AN. Số xe: 15H17712</v>
      </c>
      <c r="Q59" s="3">
        <v>1</v>
      </c>
    </row>
    <row r="60" spans="1:17" ht="15" customHeight="1">
      <c r="A60" s="39">
        <v>47</v>
      </c>
      <c r="B60" s="40" t="s">
        <v>158</v>
      </c>
      <c r="C60" s="40">
        <v>40</v>
      </c>
      <c r="D60" s="40" t="s">
        <v>100</v>
      </c>
      <c r="E60" s="40" t="s">
        <v>96</v>
      </c>
      <c r="F60" s="40" t="s">
        <v>112</v>
      </c>
      <c r="G60" s="40" t="s">
        <v>53</v>
      </c>
      <c r="H60" s="40" t="s">
        <v>15</v>
      </c>
      <c r="I60" s="40" t="s">
        <v>99</v>
      </c>
      <c r="J60" s="41" cm="1">
        <f t="array" ref="J60">IF(C60=20,INDEX(CUOC!$C$28:$C$37,MATCH(N60,CUOC!$A$28:$A$37,0),0),INDEX(CUOC!$D$28:$D$37,MATCH(N60,CUOC!$A$28:$A$37,0),0))</f>
        <v>448500</v>
      </c>
      <c r="K60" s="41">
        <f t="shared" si="2"/>
        <v>35880</v>
      </c>
      <c r="L60" s="41">
        <f t="shared" si="3"/>
        <v>484380</v>
      </c>
      <c r="M60" s="37">
        <v>46111</v>
      </c>
      <c r="N60" s="42">
        <v>5</v>
      </c>
      <c r="O60" s="64">
        <v>34832</v>
      </c>
      <c r="P60" s="43" t="str">
        <f t="shared" si="4"/>
        <v>Cước vận chuyển cont Hàng 40 tuyến đường NHĐV - HẢI AN. Số xe: 15H20645</v>
      </c>
      <c r="Q60" s="3">
        <v>1</v>
      </c>
    </row>
    <row r="61" spans="1:17" ht="15" customHeight="1">
      <c r="A61" s="39">
        <v>48</v>
      </c>
      <c r="B61" s="40" t="s">
        <v>159</v>
      </c>
      <c r="C61" s="40">
        <v>40</v>
      </c>
      <c r="D61" s="40" t="s">
        <v>100</v>
      </c>
      <c r="E61" s="40" t="s">
        <v>96</v>
      </c>
      <c r="F61" s="40" t="s">
        <v>112</v>
      </c>
      <c r="G61" s="40" t="s">
        <v>53</v>
      </c>
      <c r="H61" s="40" t="s">
        <v>15</v>
      </c>
      <c r="I61" s="40" t="s">
        <v>65</v>
      </c>
      <c r="J61" s="41" cm="1">
        <f t="array" ref="J61">IF(C61=20,INDEX(CUOC!$C$28:$C$37,MATCH(N61,CUOC!$A$28:$A$37,0),0),INDEX(CUOC!$D$28:$D$37,MATCH(N61,CUOC!$A$28:$A$37,0),0))</f>
        <v>448500</v>
      </c>
      <c r="K61" s="41">
        <f t="shared" si="2"/>
        <v>35880</v>
      </c>
      <c r="L61" s="41">
        <f t="shared" si="3"/>
        <v>484380</v>
      </c>
      <c r="M61" s="37">
        <v>46111</v>
      </c>
      <c r="N61" s="42">
        <v>5</v>
      </c>
      <c r="O61" s="64">
        <v>34832</v>
      </c>
      <c r="P61" s="43" t="str">
        <f t="shared" si="4"/>
        <v>Cước vận chuyển cont Hàng 40 tuyến đường NHĐV - HẢI AN. Số xe: 15H15378</v>
      </c>
      <c r="Q61" s="3">
        <v>1</v>
      </c>
    </row>
    <row r="62" spans="1:17" ht="15" customHeight="1">
      <c r="A62" s="39">
        <v>49</v>
      </c>
      <c r="B62" s="40" t="s">
        <v>160</v>
      </c>
      <c r="C62" s="40">
        <v>40</v>
      </c>
      <c r="D62" s="40" t="s">
        <v>100</v>
      </c>
      <c r="E62" s="40" t="s">
        <v>96</v>
      </c>
      <c r="F62" s="40" t="s">
        <v>112</v>
      </c>
      <c r="G62" s="40" t="s">
        <v>53</v>
      </c>
      <c r="H62" s="40" t="s">
        <v>15</v>
      </c>
      <c r="I62" s="40" t="s">
        <v>74</v>
      </c>
      <c r="J62" s="41" cm="1">
        <f t="array" ref="J62">IF(C62=20,INDEX(CUOC!$C$28:$C$37,MATCH(N62,CUOC!$A$28:$A$37,0),0),INDEX(CUOC!$D$28:$D$37,MATCH(N62,CUOC!$A$28:$A$37,0),0))</f>
        <v>448500</v>
      </c>
      <c r="K62" s="41">
        <f t="shared" si="2"/>
        <v>35880</v>
      </c>
      <c r="L62" s="41">
        <f t="shared" si="3"/>
        <v>484380</v>
      </c>
      <c r="M62" s="37">
        <v>46111</v>
      </c>
      <c r="N62" s="42">
        <v>5</v>
      </c>
      <c r="O62" s="64">
        <v>34832</v>
      </c>
      <c r="P62" s="43" t="str">
        <f t="shared" si="4"/>
        <v>Cước vận chuyển cont Hàng 40 tuyến đường NHĐV - HẢI AN. Số xe: 15H07788</v>
      </c>
      <c r="Q62" s="3">
        <v>1</v>
      </c>
    </row>
    <row r="63" spans="1:17" ht="15" customHeight="1">
      <c r="A63" s="39">
        <v>50</v>
      </c>
      <c r="B63" s="40" t="s">
        <v>161</v>
      </c>
      <c r="C63" s="40">
        <v>40</v>
      </c>
      <c r="D63" s="40" t="s">
        <v>100</v>
      </c>
      <c r="E63" s="40" t="s">
        <v>96</v>
      </c>
      <c r="F63" s="40" t="s">
        <v>112</v>
      </c>
      <c r="G63" s="40" t="s">
        <v>53</v>
      </c>
      <c r="H63" s="40" t="s">
        <v>15</v>
      </c>
      <c r="I63" s="40" t="s">
        <v>71</v>
      </c>
      <c r="J63" s="41" cm="1">
        <f t="array" ref="J63">IF(C63=20,INDEX(CUOC!$C$28:$C$37,MATCH(N63,CUOC!$A$28:$A$37,0),0),INDEX(CUOC!$D$28:$D$37,MATCH(N63,CUOC!$A$28:$A$37,0),0))</f>
        <v>448500</v>
      </c>
      <c r="K63" s="41">
        <f t="shared" si="2"/>
        <v>35880</v>
      </c>
      <c r="L63" s="41">
        <f t="shared" si="3"/>
        <v>484380</v>
      </c>
      <c r="M63" s="37">
        <v>46111</v>
      </c>
      <c r="N63" s="42">
        <v>5</v>
      </c>
      <c r="O63" s="64">
        <v>34832</v>
      </c>
      <c r="P63" s="43" t="str">
        <f t="shared" si="4"/>
        <v>Cước vận chuyển cont Hàng 40 tuyến đường NHĐV - HẢI AN. Số xe: 15H12925</v>
      </c>
      <c r="Q63" s="3">
        <v>1</v>
      </c>
    </row>
    <row r="64" spans="1:17" ht="15" customHeight="1">
      <c r="A64" s="39">
        <v>51</v>
      </c>
      <c r="B64" s="40" t="s">
        <v>162</v>
      </c>
      <c r="C64" s="40">
        <v>40</v>
      </c>
      <c r="D64" s="40" t="s">
        <v>100</v>
      </c>
      <c r="E64" s="40" t="s">
        <v>96</v>
      </c>
      <c r="F64" s="40" t="s">
        <v>112</v>
      </c>
      <c r="G64" s="40" t="s">
        <v>53</v>
      </c>
      <c r="H64" s="40" t="s">
        <v>15</v>
      </c>
      <c r="I64" s="40" t="s">
        <v>65</v>
      </c>
      <c r="J64" s="41" cm="1">
        <f t="array" ref="J64">IF(C64=20,INDEX(CUOC!$C$28:$C$37,MATCH(N64,CUOC!$A$28:$A$37,0),0),INDEX(CUOC!$D$28:$D$37,MATCH(N64,CUOC!$A$28:$A$37,0),0))</f>
        <v>448500</v>
      </c>
      <c r="K64" s="41">
        <f t="shared" si="2"/>
        <v>35880</v>
      </c>
      <c r="L64" s="41">
        <f t="shared" si="3"/>
        <v>484380</v>
      </c>
      <c r="M64" s="37">
        <v>46111</v>
      </c>
      <c r="N64" s="42">
        <v>5</v>
      </c>
      <c r="O64" s="64">
        <v>34832</v>
      </c>
      <c r="P64" s="43" t="str">
        <f t="shared" si="4"/>
        <v>Cước vận chuyển cont Hàng 40 tuyến đường NHĐV - HẢI AN. Số xe: 15H15378</v>
      </c>
      <c r="Q64" s="3">
        <v>1</v>
      </c>
    </row>
    <row r="65" spans="1:17" ht="15" customHeight="1">
      <c r="A65" s="39">
        <v>52</v>
      </c>
      <c r="B65" s="40" t="s">
        <v>163</v>
      </c>
      <c r="C65" s="40">
        <v>40</v>
      </c>
      <c r="D65" s="40" t="s">
        <v>100</v>
      </c>
      <c r="E65" s="40" t="s">
        <v>96</v>
      </c>
      <c r="F65" s="40" t="s">
        <v>112</v>
      </c>
      <c r="G65" s="40" t="s">
        <v>53</v>
      </c>
      <c r="H65" s="40" t="s">
        <v>15</v>
      </c>
      <c r="I65" s="40" t="s">
        <v>72</v>
      </c>
      <c r="J65" s="41" cm="1">
        <f t="array" ref="J65">IF(C65=20,INDEX(CUOC!$C$28:$C$37,MATCH(N65,CUOC!$A$28:$A$37,0),0),INDEX(CUOC!$D$28:$D$37,MATCH(N65,CUOC!$A$28:$A$37,0),0))</f>
        <v>448500</v>
      </c>
      <c r="K65" s="41">
        <f t="shared" si="2"/>
        <v>35880</v>
      </c>
      <c r="L65" s="41">
        <f t="shared" si="3"/>
        <v>484380</v>
      </c>
      <c r="M65" s="37">
        <v>46111</v>
      </c>
      <c r="N65" s="42">
        <v>5</v>
      </c>
      <c r="O65" s="64">
        <v>34832</v>
      </c>
      <c r="P65" s="43" t="str">
        <f t="shared" si="4"/>
        <v>Cước vận chuyển cont Hàng 40 tuyến đường NHĐV - HẢI AN. Số xe: 15C30649</v>
      </c>
      <c r="Q65" s="3">
        <v>1</v>
      </c>
    </row>
    <row r="66" spans="1:17" ht="15" customHeight="1">
      <c r="A66" s="39">
        <v>53</v>
      </c>
      <c r="B66" s="40" t="s">
        <v>164</v>
      </c>
      <c r="C66" s="40">
        <v>40</v>
      </c>
      <c r="D66" s="40" t="s">
        <v>100</v>
      </c>
      <c r="E66" s="40" t="s">
        <v>96</v>
      </c>
      <c r="F66" s="40" t="s">
        <v>112</v>
      </c>
      <c r="G66" s="40" t="s">
        <v>53</v>
      </c>
      <c r="H66" s="40" t="s">
        <v>15</v>
      </c>
      <c r="I66" s="40" t="s">
        <v>86</v>
      </c>
      <c r="J66" s="41" cm="1">
        <f t="array" ref="J66">IF(C66=20,INDEX(CUOC!$C$28:$C$37,MATCH(N66,CUOC!$A$28:$A$37,0),0),INDEX(CUOC!$D$28:$D$37,MATCH(N66,CUOC!$A$28:$A$37,0),0))</f>
        <v>448500</v>
      </c>
      <c r="K66" s="41">
        <f t="shared" si="2"/>
        <v>35880</v>
      </c>
      <c r="L66" s="41">
        <f t="shared" si="3"/>
        <v>484380</v>
      </c>
      <c r="M66" s="37">
        <v>46111</v>
      </c>
      <c r="N66" s="42">
        <v>5</v>
      </c>
      <c r="O66" s="64">
        <v>34832</v>
      </c>
      <c r="P66" s="43" t="str">
        <f t="shared" si="4"/>
        <v>Cước vận chuyển cont Hàng 40 tuyến đường NHĐV - HẢI AN. Số xe: 15H18552</v>
      </c>
      <c r="Q66" s="3">
        <v>1</v>
      </c>
    </row>
    <row r="67" spans="1:17" ht="15" customHeight="1">
      <c r="A67" s="39">
        <v>54</v>
      </c>
      <c r="B67" s="40" t="s">
        <v>165</v>
      </c>
      <c r="C67" s="40">
        <v>40</v>
      </c>
      <c r="D67" s="40" t="s">
        <v>100</v>
      </c>
      <c r="E67" s="40" t="s">
        <v>96</v>
      </c>
      <c r="F67" s="40" t="s">
        <v>112</v>
      </c>
      <c r="G67" s="40" t="s">
        <v>53</v>
      </c>
      <c r="H67" s="40" t="s">
        <v>15</v>
      </c>
      <c r="I67" s="40" t="s">
        <v>70</v>
      </c>
      <c r="J67" s="41" cm="1">
        <f t="array" ref="J67">IF(C67=20,INDEX(CUOC!$C$28:$C$37,MATCH(N67,CUOC!$A$28:$A$37,0),0),INDEX(CUOC!$D$28:$D$37,MATCH(N67,CUOC!$A$28:$A$37,0),0))</f>
        <v>448500</v>
      </c>
      <c r="K67" s="41">
        <f t="shared" si="2"/>
        <v>35880</v>
      </c>
      <c r="L67" s="41">
        <f t="shared" si="3"/>
        <v>484380</v>
      </c>
      <c r="M67" s="37">
        <v>46111</v>
      </c>
      <c r="N67" s="42">
        <v>5</v>
      </c>
      <c r="O67" s="64">
        <v>34832</v>
      </c>
      <c r="P67" s="43" t="str">
        <f t="shared" si="4"/>
        <v>Cước vận chuyển cont Hàng 40 tuyến đường NHĐV - HẢI AN. Số xe: 15H07524</v>
      </c>
      <c r="Q67" s="3">
        <v>1</v>
      </c>
    </row>
    <row r="68" spans="1:17" ht="15" customHeight="1">
      <c r="A68" s="39">
        <v>55</v>
      </c>
      <c r="B68" s="40" t="s">
        <v>166</v>
      </c>
      <c r="C68" s="40">
        <v>40</v>
      </c>
      <c r="D68" s="40" t="s">
        <v>100</v>
      </c>
      <c r="E68" s="40" t="s">
        <v>96</v>
      </c>
      <c r="F68" s="40" t="s">
        <v>112</v>
      </c>
      <c r="G68" s="40" t="s">
        <v>53</v>
      </c>
      <c r="H68" s="40" t="s">
        <v>15</v>
      </c>
      <c r="I68" s="40" t="s">
        <v>65</v>
      </c>
      <c r="J68" s="41" cm="1">
        <f t="array" ref="J68">IF(C68=20,INDEX(CUOC!$C$28:$C$37,MATCH(N68,CUOC!$A$28:$A$37,0),0),INDEX(CUOC!$D$28:$D$37,MATCH(N68,CUOC!$A$28:$A$37,0),0))</f>
        <v>448500</v>
      </c>
      <c r="K68" s="41">
        <f t="shared" si="2"/>
        <v>35880</v>
      </c>
      <c r="L68" s="41">
        <f t="shared" si="3"/>
        <v>484380</v>
      </c>
      <c r="M68" s="37">
        <v>46111</v>
      </c>
      <c r="N68" s="42">
        <v>5</v>
      </c>
      <c r="O68" s="64">
        <v>34832</v>
      </c>
      <c r="P68" s="43" t="str">
        <f t="shared" si="4"/>
        <v>Cước vận chuyển cont Hàng 40 tuyến đường NHĐV - HẢI AN. Số xe: 15H15378</v>
      </c>
      <c r="Q68" s="3">
        <v>1</v>
      </c>
    </row>
    <row r="69" spans="1:17" ht="15" customHeight="1">
      <c r="A69" s="39">
        <v>56</v>
      </c>
      <c r="B69" s="40" t="s">
        <v>167</v>
      </c>
      <c r="C69" s="40">
        <v>40</v>
      </c>
      <c r="D69" s="40" t="s">
        <v>100</v>
      </c>
      <c r="E69" s="40" t="s">
        <v>96</v>
      </c>
      <c r="F69" s="40" t="s">
        <v>112</v>
      </c>
      <c r="G69" s="40" t="s">
        <v>53</v>
      </c>
      <c r="H69" s="40" t="s">
        <v>15</v>
      </c>
      <c r="I69" s="40" t="s">
        <v>74</v>
      </c>
      <c r="J69" s="41" cm="1">
        <f t="array" ref="J69">IF(C69=20,INDEX(CUOC!$C$28:$C$37,MATCH(N69,CUOC!$A$28:$A$37,0),0),INDEX(CUOC!$D$28:$D$37,MATCH(N69,CUOC!$A$28:$A$37,0),0))</f>
        <v>448500</v>
      </c>
      <c r="K69" s="41">
        <f t="shared" si="2"/>
        <v>35880</v>
      </c>
      <c r="L69" s="41">
        <f t="shared" si="3"/>
        <v>484380</v>
      </c>
      <c r="M69" s="37">
        <v>46111</v>
      </c>
      <c r="N69" s="42">
        <v>5</v>
      </c>
      <c r="O69" s="64">
        <v>34832</v>
      </c>
      <c r="P69" s="43" t="str">
        <f t="shared" si="4"/>
        <v>Cước vận chuyển cont Hàng 40 tuyến đường NHĐV - HẢI AN. Số xe: 15H07788</v>
      </c>
      <c r="Q69" s="3">
        <v>1</v>
      </c>
    </row>
    <row r="70" spans="1:17" ht="15" customHeight="1">
      <c r="A70" s="39">
        <v>57</v>
      </c>
      <c r="B70" s="40" t="s">
        <v>168</v>
      </c>
      <c r="C70" s="40">
        <v>40</v>
      </c>
      <c r="D70" s="40" t="s">
        <v>100</v>
      </c>
      <c r="E70" s="40" t="s">
        <v>96</v>
      </c>
      <c r="F70" s="40" t="s">
        <v>112</v>
      </c>
      <c r="G70" s="40" t="s">
        <v>53</v>
      </c>
      <c r="H70" s="40" t="s">
        <v>15</v>
      </c>
      <c r="I70" s="40" t="s">
        <v>65</v>
      </c>
      <c r="J70" s="41" cm="1">
        <f t="array" ref="J70">IF(C70=20,INDEX(CUOC!$C$28:$C$37,MATCH(N70,CUOC!$A$28:$A$37,0),0),INDEX(CUOC!$D$28:$D$37,MATCH(N70,CUOC!$A$28:$A$37,0),0))</f>
        <v>448500</v>
      </c>
      <c r="K70" s="41">
        <f t="shared" si="2"/>
        <v>35880</v>
      </c>
      <c r="L70" s="41">
        <f t="shared" si="3"/>
        <v>484380</v>
      </c>
      <c r="M70" s="37">
        <v>46111</v>
      </c>
      <c r="N70" s="42">
        <v>5</v>
      </c>
      <c r="O70" s="64">
        <v>34832</v>
      </c>
      <c r="P70" s="43" t="str">
        <f t="shared" si="4"/>
        <v>Cước vận chuyển cont Hàng 40 tuyến đường NHĐV - HẢI AN. Số xe: 15H15378</v>
      </c>
      <c r="Q70" s="3">
        <v>1</v>
      </c>
    </row>
    <row r="71" spans="1:17" ht="15" customHeight="1">
      <c r="A71" s="39">
        <v>58</v>
      </c>
      <c r="B71" s="40" t="s">
        <v>169</v>
      </c>
      <c r="C71" s="40">
        <v>40</v>
      </c>
      <c r="D71" s="40" t="s">
        <v>100</v>
      </c>
      <c r="E71" s="40" t="s">
        <v>96</v>
      </c>
      <c r="F71" s="40" t="s">
        <v>112</v>
      </c>
      <c r="G71" s="40" t="s">
        <v>53</v>
      </c>
      <c r="H71" s="40" t="s">
        <v>15</v>
      </c>
      <c r="I71" s="40" t="s">
        <v>67</v>
      </c>
      <c r="J71" s="41" cm="1">
        <f t="array" ref="J71">IF(C71=20,INDEX(CUOC!$C$28:$C$37,MATCH(N71,CUOC!$A$28:$A$37,0),0),INDEX(CUOC!$D$28:$D$37,MATCH(N71,CUOC!$A$28:$A$37,0),0))</f>
        <v>448500</v>
      </c>
      <c r="K71" s="41">
        <f t="shared" si="2"/>
        <v>35880</v>
      </c>
      <c r="L71" s="41">
        <f t="shared" si="3"/>
        <v>484380</v>
      </c>
      <c r="M71" s="37">
        <v>46111</v>
      </c>
      <c r="N71" s="42">
        <v>5</v>
      </c>
      <c r="O71" s="64">
        <v>34832</v>
      </c>
      <c r="P71" s="43" t="str">
        <f t="shared" si="4"/>
        <v>Cước vận chuyển cont Hàng 40 tuyến đường NHĐV - HẢI AN. Số xe: 15H08574</v>
      </c>
      <c r="Q71" s="3">
        <v>1</v>
      </c>
    </row>
    <row r="72" spans="1:17" ht="15" customHeight="1">
      <c r="A72" s="39">
        <v>59</v>
      </c>
      <c r="B72" s="40" t="s">
        <v>170</v>
      </c>
      <c r="C72" s="40">
        <v>40</v>
      </c>
      <c r="D72" s="40" t="s">
        <v>100</v>
      </c>
      <c r="E72" s="40" t="s">
        <v>96</v>
      </c>
      <c r="F72" s="40" t="s">
        <v>112</v>
      </c>
      <c r="G72" s="40" t="s">
        <v>53</v>
      </c>
      <c r="H72" s="40" t="s">
        <v>15</v>
      </c>
      <c r="I72" s="40" t="s">
        <v>97</v>
      </c>
      <c r="J72" s="41" cm="1">
        <f t="array" ref="J72">IF(C72=20,INDEX(CUOC!$C$28:$C$37,MATCH(N72,CUOC!$A$28:$A$37,0),0),INDEX(CUOC!$D$28:$D$37,MATCH(N72,CUOC!$A$28:$A$37,0),0))</f>
        <v>448500</v>
      </c>
      <c r="K72" s="41">
        <f t="shared" si="2"/>
        <v>35880</v>
      </c>
      <c r="L72" s="41">
        <f t="shared" si="3"/>
        <v>484380</v>
      </c>
      <c r="M72" s="37">
        <v>46111</v>
      </c>
      <c r="N72" s="42">
        <v>5</v>
      </c>
      <c r="O72" s="64">
        <v>34832</v>
      </c>
      <c r="P72" s="43" t="str">
        <f t="shared" si="4"/>
        <v>Cước vận chuyển cont Hàng 40 tuyến đường NHĐV - HẢI AN. Số xe: 15H18753</v>
      </c>
      <c r="Q72" s="3">
        <v>1</v>
      </c>
    </row>
    <row r="73" spans="1:17" ht="15" customHeight="1">
      <c r="A73" s="39">
        <v>60</v>
      </c>
      <c r="B73" s="40" t="s">
        <v>171</v>
      </c>
      <c r="C73" s="40">
        <v>40</v>
      </c>
      <c r="D73" s="40" t="s">
        <v>100</v>
      </c>
      <c r="E73" s="40" t="s">
        <v>96</v>
      </c>
      <c r="F73" s="40" t="s">
        <v>112</v>
      </c>
      <c r="G73" s="40" t="s">
        <v>53</v>
      </c>
      <c r="H73" s="40" t="s">
        <v>15</v>
      </c>
      <c r="I73" s="40" t="s">
        <v>73</v>
      </c>
      <c r="J73" s="41" cm="1">
        <f t="array" ref="J73">IF(C73=20,INDEX(CUOC!$C$28:$C$37,MATCH(N73,CUOC!$A$28:$A$37,0),0),INDEX(CUOC!$D$28:$D$37,MATCH(N73,CUOC!$A$28:$A$37,0),0))</f>
        <v>448500</v>
      </c>
      <c r="K73" s="41">
        <f t="shared" si="2"/>
        <v>35880</v>
      </c>
      <c r="L73" s="41">
        <f t="shared" si="3"/>
        <v>484380</v>
      </c>
      <c r="M73" s="37">
        <v>46111</v>
      </c>
      <c r="N73" s="42">
        <v>5</v>
      </c>
      <c r="O73" s="64">
        <v>34832</v>
      </c>
      <c r="P73" s="43" t="str">
        <f t="shared" si="4"/>
        <v>Cước vận chuyển cont Hàng 40 tuyến đường NHĐV - HẢI AN. Số xe: 15H07644</v>
      </c>
      <c r="Q73" s="3">
        <v>1</v>
      </c>
    </row>
    <row r="74" spans="1:17" ht="15" customHeight="1">
      <c r="A74" s="39">
        <v>61</v>
      </c>
      <c r="B74" s="40" t="s">
        <v>172</v>
      </c>
      <c r="C74" s="40">
        <v>40</v>
      </c>
      <c r="D74" s="40" t="s">
        <v>100</v>
      </c>
      <c r="E74" s="40" t="s">
        <v>96</v>
      </c>
      <c r="F74" s="40" t="s">
        <v>112</v>
      </c>
      <c r="G74" s="40" t="s">
        <v>53</v>
      </c>
      <c r="H74" s="40" t="s">
        <v>15</v>
      </c>
      <c r="I74" s="40" t="s">
        <v>65</v>
      </c>
      <c r="J74" s="41" cm="1">
        <f t="array" ref="J74">IF(C74=20,INDEX(CUOC!$C$28:$C$37,MATCH(N74,CUOC!$A$28:$A$37,0),0),INDEX(CUOC!$D$28:$D$37,MATCH(N74,CUOC!$A$28:$A$37,0),0))</f>
        <v>448500</v>
      </c>
      <c r="K74" s="41">
        <f t="shared" si="2"/>
        <v>35880</v>
      </c>
      <c r="L74" s="41">
        <f t="shared" si="3"/>
        <v>484380</v>
      </c>
      <c r="M74" s="37">
        <v>46111</v>
      </c>
      <c r="N74" s="42">
        <v>5</v>
      </c>
      <c r="O74" s="64">
        <v>34832</v>
      </c>
      <c r="P74" s="43" t="str">
        <f t="shared" si="4"/>
        <v>Cước vận chuyển cont Hàng 40 tuyến đường NHĐV - HẢI AN. Số xe: 15H15378</v>
      </c>
      <c r="Q74" s="3">
        <v>1</v>
      </c>
    </row>
    <row r="75" spans="1:17" ht="15" customHeight="1">
      <c r="A75" s="39">
        <v>62</v>
      </c>
      <c r="B75" s="40" t="s">
        <v>173</v>
      </c>
      <c r="C75" s="40">
        <v>40</v>
      </c>
      <c r="D75" s="40" t="s">
        <v>100</v>
      </c>
      <c r="E75" s="40" t="s">
        <v>96</v>
      </c>
      <c r="F75" s="40" t="s">
        <v>112</v>
      </c>
      <c r="G75" s="40" t="s">
        <v>53</v>
      </c>
      <c r="H75" s="40" t="s">
        <v>15</v>
      </c>
      <c r="I75" s="40" t="s">
        <v>70</v>
      </c>
      <c r="J75" s="41" cm="1">
        <f t="array" ref="J75">IF(C75=20,INDEX(CUOC!$C$28:$C$37,MATCH(N75,CUOC!$A$28:$A$37,0),0),INDEX(CUOC!$D$28:$D$37,MATCH(N75,CUOC!$A$28:$A$37,0),0))</f>
        <v>448500</v>
      </c>
      <c r="K75" s="41">
        <f t="shared" si="2"/>
        <v>35880</v>
      </c>
      <c r="L75" s="41">
        <f t="shared" si="3"/>
        <v>484380</v>
      </c>
      <c r="M75" s="37">
        <v>46111</v>
      </c>
      <c r="N75" s="42">
        <v>5</v>
      </c>
      <c r="O75" s="64">
        <v>34832</v>
      </c>
      <c r="P75" s="43" t="str">
        <f t="shared" si="4"/>
        <v>Cước vận chuyển cont Hàng 40 tuyến đường NHĐV - HẢI AN. Số xe: 15H07524</v>
      </c>
      <c r="Q75" s="3">
        <v>1</v>
      </c>
    </row>
    <row r="76" spans="1:17" ht="15" customHeight="1">
      <c r="A76" s="39">
        <v>63</v>
      </c>
      <c r="B76" s="40" t="s">
        <v>174</v>
      </c>
      <c r="C76" s="40">
        <v>40</v>
      </c>
      <c r="D76" s="40" t="s">
        <v>100</v>
      </c>
      <c r="E76" s="40" t="s">
        <v>96</v>
      </c>
      <c r="F76" s="40" t="s">
        <v>112</v>
      </c>
      <c r="G76" s="40" t="s">
        <v>53</v>
      </c>
      <c r="H76" s="40" t="s">
        <v>15</v>
      </c>
      <c r="I76" s="40" t="s">
        <v>97</v>
      </c>
      <c r="J76" s="41" cm="1">
        <f t="array" ref="J76">IF(C76=20,INDEX(CUOC!$C$28:$C$37,MATCH(N76,CUOC!$A$28:$A$37,0),0),INDEX(CUOC!$D$28:$D$37,MATCH(N76,CUOC!$A$28:$A$37,0),0))</f>
        <v>448500</v>
      </c>
      <c r="K76" s="41">
        <f t="shared" si="2"/>
        <v>35880</v>
      </c>
      <c r="L76" s="41">
        <f t="shared" si="3"/>
        <v>484380</v>
      </c>
      <c r="M76" s="37">
        <v>46111</v>
      </c>
      <c r="N76" s="42">
        <v>5</v>
      </c>
      <c r="O76" s="64">
        <v>34832</v>
      </c>
      <c r="P76" s="43" t="str">
        <f t="shared" si="4"/>
        <v>Cước vận chuyển cont Hàng 40 tuyến đường NHĐV - HẢI AN. Số xe: 15H18753</v>
      </c>
      <c r="Q76" s="3">
        <v>1</v>
      </c>
    </row>
    <row r="77" spans="1:17" ht="15" customHeight="1">
      <c r="A77" s="39">
        <v>64</v>
      </c>
      <c r="B77" s="40" t="s">
        <v>175</v>
      </c>
      <c r="C77" s="40">
        <v>40</v>
      </c>
      <c r="D77" s="40" t="s">
        <v>100</v>
      </c>
      <c r="E77" s="40" t="s">
        <v>96</v>
      </c>
      <c r="F77" s="40" t="s">
        <v>112</v>
      </c>
      <c r="G77" s="40" t="s">
        <v>53</v>
      </c>
      <c r="H77" s="40" t="s">
        <v>15</v>
      </c>
      <c r="I77" s="40" t="s">
        <v>99</v>
      </c>
      <c r="J77" s="41" cm="1">
        <f t="array" ref="J77">IF(C77=20,INDEX(CUOC!$C$28:$C$37,MATCH(N77,CUOC!$A$28:$A$37,0),0),INDEX(CUOC!$D$28:$D$37,MATCH(N77,CUOC!$A$28:$A$37,0),0))</f>
        <v>448500</v>
      </c>
      <c r="K77" s="41">
        <f t="shared" si="2"/>
        <v>35880</v>
      </c>
      <c r="L77" s="41">
        <f t="shared" si="3"/>
        <v>484380</v>
      </c>
      <c r="M77" s="37">
        <v>46114</v>
      </c>
      <c r="N77" s="42">
        <v>5</v>
      </c>
      <c r="O77" s="64">
        <v>34832</v>
      </c>
      <c r="P77" s="43" t="str">
        <f t="shared" si="4"/>
        <v>Cước vận chuyển cont Hàng 40 tuyến đường NHĐV - HẢI AN. Số xe: 15H20645</v>
      </c>
      <c r="Q77" s="3">
        <v>1</v>
      </c>
    </row>
    <row r="78" spans="1:17" ht="15" customHeight="1">
      <c r="A78" s="39">
        <v>65</v>
      </c>
      <c r="B78" s="40" t="s">
        <v>176</v>
      </c>
      <c r="C78" s="40">
        <v>40</v>
      </c>
      <c r="D78" s="40" t="s">
        <v>100</v>
      </c>
      <c r="E78" s="40" t="s">
        <v>96</v>
      </c>
      <c r="F78" s="40" t="s">
        <v>112</v>
      </c>
      <c r="G78" s="40" t="s">
        <v>53</v>
      </c>
      <c r="H78" s="40" t="s">
        <v>15</v>
      </c>
      <c r="I78" s="40" t="s">
        <v>99</v>
      </c>
      <c r="J78" s="41" cm="1">
        <f t="array" ref="J78">IF(C78=20,INDEX(CUOC!$C$28:$C$37,MATCH(N78,CUOC!$A$28:$A$37,0),0),INDEX(CUOC!$D$28:$D$37,MATCH(N78,CUOC!$A$28:$A$37,0),0))</f>
        <v>448500</v>
      </c>
      <c r="K78" s="41">
        <f t="shared" si="2"/>
        <v>35880</v>
      </c>
      <c r="L78" s="41">
        <f t="shared" si="3"/>
        <v>484380</v>
      </c>
      <c r="M78" s="37">
        <v>46114</v>
      </c>
      <c r="N78" s="42">
        <v>5</v>
      </c>
      <c r="O78" s="64">
        <v>34832</v>
      </c>
      <c r="P78" s="43" t="str">
        <f t="shared" si="4"/>
        <v>Cước vận chuyển cont Hàng 40 tuyến đường NHĐV - HẢI AN. Số xe: 15H20645</v>
      </c>
      <c r="Q78" s="3">
        <v>1</v>
      </c>
    </row>
    <row r="79" spans="1:17" ht="15" customHeight="1">
      <c r="A79" s="39">
        <v>66</v>
      </c>
      <c r="B79" s="40" t="s">
        <v>177</v>
      </c>
      <c r="C79" s="40">
        <v>40</v>
      </c>
      <c r="D79" s="40" t="s">
        <v>100</v>
      </c>
      <c r="E79" s="40" t="s">
        <v>96</v>
      </c>
      <c r="F79" s="40" t="s">
        <v>112</v>
      </c>
      <c r="G79" s="40" t="s">
        <v>53</v>
      </c>
      <c r="H79" s="40" t="s">
        <v>15</v>
      </c>
      <c r="I79" s="40" t="s">
        <v>98</v>
      </c>
      <c r="J79" s="41" cm="1">
        <f t="array" ref="J79">IF(C79=20,INDEX(CUOC!$C$28:$C$37,MATCH(N79,CUOC!$A$28:$A$37,0),0),INDEX(CUOC!$D$28:$D$37,MATCH(N79,CUOC!$A$28:$A$37,0),0))</f>
        <v>448500</v>
      </c>
      <c r="K79" s="41">
        <f t="shared" ref="K79:K142" si="5">+J79*0.08</f>
        <v>35880</v>
      </c>
      <c r="L79" s="41">
        <f t="shared" ref="L79:L142" si="6">+K79+J79</f>
        <v>484380</v>
      </c>
      <c r="M79" s="37">
        <v>46114</v>
      </c>
      <c r="N79" s="42">
        <v>5</v>
      </c>
      <c r="O79" s="64">
        <v>34832</v>
      </c>
      <c r="P79" s="43" t="str">
        <f t="shared" ref="P79:P142" si="7">IF(D79="R",$P$8&amp;C79&amp;$P$10&amp;G79&amp;$Q$12&amp;H79&amp;$P$11&amp;I79,$P$9&amp;C79&amp;$P$10&amp;G79&amp;$Q$12&amp;H79&amp;$P$11&amp;I79)</f>
        <v>Cước vận chuyển cont Hàng 40 tuyến đường NHĐV - HẢI AN. Số xe: 15C17301</v>
      </c>
      <c r="Q79" s="3">
        <v>1</v>
      </c>
    </row>
    <row r="80" spans="1:17" ht="15" customHeight="1">
      <c r="A80" s="39">
        <v>67</v>
      </c>
      <c r="B80" s="40" t="s">
        <v>178</v>
      </c>
      <c r="C80" s="40">
        <v>40</v>
      </c>
      <c r="D80" s="40" t="s">
        <v>100</v>
      </c>
      <c r="E80" s="40" t="s">
        <v>96</v>
      </c>
      <c r="F80" s="40" t="s">
        <v>112</v>
      </c>
      <c r="G80" s="40" t="s">
        <v>53</v>
      </c>
      <c r="H80" s="40" t="s">
        <v>15</v>
      </c>
      <c r="I80" s="40" t="s">
        <v>463</v>
      </c>
      <c r="J80" s="41" cm="1">
        <f t="array" ref="J80">IF(C80=20,INDEX(CUOC!$C$28:$C$37,MATCH(N80,CUOC!$A$28:$A$37,0),0),INDEX(CUOC!$D$28:$D$37,MATCH(N80,CUOC!$A$28:$A$37,0),0))</f>
        <v>448500</v>
      </c>
      <c r="K80" s="41">
        <f t="shared" si="5"/>
        <v>35880</v>
      </c>
      <c r="L80" s="41">
        <f t="shared" si="6"/>
        <v>484380</v>
      </c>
      <c r="M80" s="37">
        <v>46114</v>
      </c>
      <c r="N80" s="42">
        <v>5</v>
      </c>
      <c r="O80" s="64">
        <v>34832</v>
      </c>
      <c r="P80" s="43" t="str">
        <f t="shared" si="7"/>
        <v>Cước vận chuyển cont Hàng 40 tuyến đường NHĐV - HẢI AN. Số xe: 15H17712</v>
      </c>
      <c r="Q80" s="3">
        <v>1</v>
      </c>
    </row>
    <row r="81" spans="1:17" ht="15" customHeight="1">
      <c r="A81" s="39">
        <v>68</v>
      </c>
      <c r="B81" s="40" t="s">
        <v>179</v>
      </c>
      <c r="C81" s="40">
        <v>40</v>
      </c>
      <c r="D81" s="40" t="s">
        <v>100</v>
      </c>
      <c r="E81" s="40" t="s">
        <v>96</v>
      </c>
      <c r="F81" s="40" t="s">
        <v>112</v>
      </c>
      <c r="G81" s="40" t="s">
        <v>53</v>
      </c>
      <c r="H81" s="40" t="s">
        <v>15</v>
      </c>
      <c r="I81" s="40" t="s">
        <v>74</v>
      </c>
      <c r="J81" s="41" cm="1">
        <f t="array" ref="J81">IF(C81=20,INDEX(CUOC!$C$28:$C$37,MATCH(N81,CUOC!$A$28:$A$37,0),0),INDEX(CUOC!$D$28:$D$37,MATCH(N81,CUOC!$A$28:$A$37,0),0))</f>
        <v>448500</v>
      </c>
      <c r="K81" s="41">
        <f t="shared" si="5"/>
        <v>35880</v>
      </c>
      <c r="L81" s="41">
        <f t="shared" si="6"/>
        <v>484380</v>
      </c>
      <c r="M81" s="37">
        <v>46114</v>
      </c>
      <c r="N81" s="42">
        <v>5</v>
      </c>
      <c r="O81" s="64">
        <v>34832</v>
      </c>
      <c r="P81" s="43" t="str">
        <f t="shared" si="7"/>
        <v>Cước vận chuyển cont Hàng 40 tuyến đường NHĐV - HẢI AN. Số xe: 15H07788</v>
      </c>
      <c r="Q81" s="3">
        <v>1</v>
      </c>
    </row>
    <row r="82" spans="1:17" ht="15" customHeight="1">
      <c r="A82" s="39">
        <v>69</v>
      </c>
      <c r="B82" s="40" t="s">
        <v>180</v>
      </c>
      <c r="C82" s="40">
        <v>40</v>
      </c>
      <c r="D82" s="40" t="s">
        <v>100</v>
      </c>
      <c r="E82" s="40" t="s">
        <v>96</v>
      </c>
      <c r="F82" s="40" t="s">
        <v>112</v>
      </c>
      <c r="G82" s="40" t="s">
        <v>53</v>
      </c>
      <c r="H82" s="40" t="s">
        <v>15</v>
      </c>
      <c r="I82" s="40" t="s">
        <v>72</v>
      </c>
      <c r="J82" s="41" cm="1">
        <f t="array" ref="J82">IF(C82=20,INDEX(CUOC!$C$28:$C$37,MATCH(N82,CUOC!$A$28:$A$37,0),0),INDEX(CUOC!$D$28:$D$37,MATCH(N82,CUOC!$A$28:$A$37,0),0))</f>
        <v>448500</v>
      </c>
      <c r="K82" s="41">
        <f t="shared" si="5"/>
        <v>35880</v>
      </c>
      <c r="L82" s="41">
        <f t="shared" si="6"/>
        <v>484380</v>
      </c>
      <c r="M82" s="37">
        <v>46114</v>
      </c>
      <c r="N82" s="42">
        <v>5</v>
      </c>
      <c r="O82" s="64">
        <v>34832</v>
      </c>
      <c r="P82" s="43" t="str">
        <f t="shared" si="7"/>
        <v>Cước vận chuyển cont Hàng 40 tuyến đường NHĐV - HẢI AN. Số xe: 15C30649</v>
      </c>
      <c r="Q82" s="3">
        <v>1</v>
      </c>
    </row>
    <row r="83" spans="1:17" ht="15" customHeight="1">
      <c r="A83" s="39">
        <v>70</v>
      </c>
      <c r="B83" s="40" t="s">
        <v>181</v>
      </c>
      <c r="C83" s="40">
        <v>40</v>
      </c>
      <c r="D83" s="40" t="s">
        <v>100</v>
      </c>
      <c r="E83" s="40" t="s">
        <v>96</v>
      </c>
      <c r="F83" s="40" t="s">
        <v>112</v>
      </c>
      <c r="G83" s="40" t="s">
        <v>53</v>
      </c>
      <c r="H83" s="40" t="s">
        <v>15</v>
      </c>
      <c r="I83" s="40" t="s">
        <v>98</v>
      </c>
      <c r="J83" s="41" cm="1">
        <f t="array" ref="J83">IF(C83=20,INDEX(CUOC!$C$28:$C$37,MATCH(N83,CUOC!$A$28:$A$37,0),0),INDEX(CUOC!$D$28:$D$37,MATCH(N83,CUOC!$A$28:$A$37,0),0))</f>
        <v>448500</v>
      </c>
      <c r="K83" s="41">
        <f t="shared" si="5"/>
        <v>35880</v>
      </c>
      <c r="L83" s="41">
        <f t="shared" si="6"/>
        <v>484380</v>
      </c>
      <c r="M83" s="37">
        <v>46114</v>
      </c>
      <c r="N83" s="42">
        <v>5</v>
      </c>
      <c r="O83" s="64">
        <v>34832</v>
      </c>
      <c r="P83" s="43" t="str">
        <f t="shared" si="7"/>
        <v>Cước vận chuyển cont Hàng 40 tuyến đường NHĐV - HẢI AN. Số xe: 15C17301</v>
      </c>
      <c r="Q83" s="3">
        <v>1</v>
      </c>
    </row>
    <row r="84" spans="1:17" ht="15" customHeight="1">
      <c r="A84" s="39">
        <v>71</v>
      </c>
      <c r="B84" s="40" t="s">
        <v>182</v>
      </c>
      <c r="C84" s="40">
        <v>40</v>
      </c>
      <c r="D84" s="40" t="s">
        <v>100</v>
      </c>
      <c r="E84" s="40" t="s">
        <v>96</v>
      </c>
      <c r="F84" s="40" t="s">
        <v>112</v>
      </c>
      <c r="G84" s="40" t="s">
        <v>53</v>
      </c>
      <c r="H84" s="40" t="s">
        <v>15</v>
      </c>
      <c r="I84" s="40" t="s">
        <v>70</v>
      </c>
      <c r="J84" s="41" cm="1">
        <f t="array" ref="J84">IF(C84=20,INDEX(CUOC!$C$28:$C$37,MATCH(N84,CUOC!$A$28:$A$37,0),0),INDEX(CUOC!$D$28:$D$37,MATCH(N84,CUOC!$A$28:$A$37,0),0))</f>
        <v>448500</v>
      </c>
      <c r="K84" s="41">
        <f t="shared" si="5"/>
        <v>35880</v>
      </c>
      <c r="L84" s="41">
        <f t="shared" si="6"/>
        <v>484380</v>
      </c>
      <c r="M84" s="37">
        <v>46114</v>
      </c>
      <c r="N84" s="42">
        <v>5</v>
      </c>
      <c r="O84" s="64">
        <v>34832</v>
      </c>
      <c r="P84" s="43" t="str">
        <f t="shared" si="7"/>
        <v>Cước vận chuyển cont Hàng 40 tuyến đường NHĐV - HẢI AN. Số xe: 15H07524</v>
      </c>
      <c r="Q84" s="3">
        <v>1</v>
      </c>
    </row>
    <row r="85" spans="1:17" ht="15" customHeight="1">
      <c r="A85" s="39">
        <v>72</v>
      </c>
      <c r="B85" s="40" t="s">
        <v>183</v>
      </c>
      <c r="C85" s="40">
        <v>40</v>
      </c>
      <c r="D85" s="40" t="s">
        <v>100</v>
      </c>
      <c r="E85" s="40" t="s">
        <v>96</v>
      </c>
      <c r="F85" s="40" t="s">
        <v>112</v>
      </c>
      <c r="G85" s="40" t="s">
        <v>53</v>
      </c>
      <c r="H85" s="40" t="s">
        <v>15</v>
      </c>
      <c r="I85" s="40" t="s">
        <v>463</v>
      </c>
      <c r="J85" s="41" cm="1">
        <f t="array" ref="J85">IF(C85=20,INDEX(CUOC!$C$28:$C$37,MATCH(N85,CUOC!$A$28:$A$37,0),0),INDEX(CUOC!$D$28:$D$37,MATCH(N85,CUOC!$A$28:$A$37,0),0))</f>
        <v>448500</v>
      </c>
      <c r="K85" s="41">
        <f t="shared" si="5"/>
        <v>35880</v>
      </c>
      <c r="L85" s="41">
        <f t="shared" si="6"/>
        <v>484380</v>
      </c>
      <c r="M85" s="37">
        <v>46114</v>
      </c>
      <c r="N85" s="42">
        <v>5</v>
      </c>
      <c r="O85" s="64">
        <v>34832</v>
      </c>
      <c r="P85" s="43" t="str">
        <f t="shared" si="7"/>
        <v>Cước vận chuyển cont Hàng 40 tuyến đường NHĐV - HẢI AN. Số xe: 15H17712</v>
      </c>
      <c r="Q85" s="3">
        <v>1</v>
      </c>
    </row>
    <row r="86" spans="1:17" ht="15" customHeight="1">
      <c r="A86" s="39">
        <v>73</v>
      </c>
      <c r="B86" s="40" t="s">
        <v>184</v>
      </c>
      <c r="C86" s="40">
        <v>40</v>
      </c>
      <c r="D86" s="40" t="s">
        <v>100</v>
      </c>
      <c r="E86" s="40" t="s">
        <v>96</v>
      </c>
      <c r="F86" s="40" t="s">
        <v>112</v>
      </c>
      <c r="G86" s="40" t="s">
        <v>53</v>
      </c>
      <c r="H86" s="40" t="s">
        <v>15</v>
      </c>
      <c r="I86" s="40" t="s">
        <v>99</v>
      </c>
      <c r="J86" s="41" cm="1">
        <f t="array" ref="J86">IF(C86=20,INDEX(CUOC!$C$28:$C$37,MATCH(N86,CUOC!$A$28:$A$37,0),0),INDEX(CUOC!$D$28:$D$37,MATCH(N86,CUOC!$A$28:$A$37,0),0))</f>
        <v>448500</v>
      </c>
      <c r="K86" s="41">
        <f t="shared" si="5"/>
        <v>35880</v>
      </c>
      <c r="L86" s="41">
        <f t="shared" si="6"/>
        <v>484380</v>
      </c>
      <c r="M86" s="37">
        <v>46114</v>
      </c>
      <c r="N86" s="42">
        <v>5</v>
      </c>
      <c r="O86" s="64">
        <v>34832</v>
      </c>
      <c r="P86" s="43" t="str">
        <f t="shared" si="7"/>
        <v>Cước vận chuyển cont Hàng 40 tuyến đường NHĐV - HẢI AN. Số xe: 15H20645</v>
      </c>
      <c r="Q86" s="3">
        <v>1</v>
      </c>
    </row>
    <row r="87" spans="1:17" ht="15" customHeight="1">
      <c r="A87" s="39">
        <v>74</v>
      </c>
      <c r="B87" s="40" t="s">
        <v>185</v>
      </c>
      <c r="C87" s="40">
        <v>20</v>
      </c>
      <c r="D87" s="40" t="s">
        <v>100</v>
      </c>
      <c r="E87" s="40" t="s">
        <v>186</v>
      </c>
      <c r="F87" s="40" t="s">
        <v>187</v>
      </c>
      <c r="G87" s="40" t="s">
        <v>15</v>
      </c>
      <c r="H87" s="40" t="s">
        <v>53</v>
      </c>
      <c r="I87" s="40" t="s">
        <v>73</v>
      </c>
      <c r="J87" s="41" cm="1">
        <f t="array" ref="J87">IF(C87=20,INDEX(CUOC!$C$28:$C$37,MATCH(N87,CUOC!$A$28:$A$37,0),0),INDEX(CUOC!$D$28:$D$37,MATCH(N87,CUOC!$A$28:$A$37,0),0))</f>
        <v>386100</v>
      </c>
      <c r="K87" s="41">
        <f t="shared" si="5"/>
        <v>30888</v>
      </c>
      <c r="L87" s="41">
        <f t="shared" si="6"/>
        <v>416988</v>
      </c>
      <c r="M87" s="37">
        <v>46114</v>
      </c>
      <c r="N87" s="42">
        <v>5</v>
      </c>
      <c r="O87" s="64">
        <v>34832</v>
      </c>
      <c r="P87" s="43" t="str">
        <f t="shared" si="7"/>
        <v>Cước vận chuyển cont Hàng 20 tuyến đường HẢI AN - NHĐV. Số xe: 15H07644</v>
      </c>
      <c r="Q87" s="3">
        <v>1</v>
      </c>
    </row>
    <row r="88" spans="1:17" ht="15" customHeight="1">
      <c r="A88" s="39">
        <v>75</v>
      </c>
      <c r="B88" s="40" t="s">
        <v>188</v>
      </c>
      <c r="C88" s="40">
        <v>20</v>
      </c>
      <c r="D88" s="40" t="s">
        <v>100</v>
      </c>
      <c r="E88" s="40" t="s">
        <v>186</v>
      </c>
      <c r="F88" s="40" t="s">
        <v>187</v>
      </c>
      <c r="G88" s="40" t="s">
        <v>15</v>
      </c>
      <c r="H88" s="40" t="s">
        <v>53</v>
      </c>
      <c r="I88" s="40" t="s">
        <v>98</v>
      </c>
      <c r="J88" s="41" cm="1">
        <f t="array" ref="J88">IF(C88=20,INDEX(CUOC!$C$28:$C$37,MATCH(N88,CUOC!$A$28:$A$37,0),0),INDEX(CUOC!$D$28:$D$37,MATCH(N88,CUOC!$A$28:$A$37,0),0))</f>
        <v>386100</v>
      </c>
      <c r="K88" s="41">
        <f t="shared" si="5"/>
        <v>30888</v>
      </c>
      <c r="L88" s="41">
        <f t="shared" si="6"/>
        <v>416988</v>
      </c>
      <c r="M88" s="37">
        <v>46114</v>
      </c>
      <c r="N88" s="42">
        <v>5</v>
      </c>
      <c r="O88" s="64">
        <v>34832</v>
      </c>
      <c r="P88" s="43" t="str">
        <f t="shared" si="7"/>
        <v>Cước vận chuyển cont Hàng 20 tuyến đường HẢI AN - NHĐV. Số xe: 15C17301</v>
      </c>
      <c r="Q88" s="3">
        <v>1</v>
      </c>
    </row>
    <row r="89" spans="1:17" ht="15" customHeight="1">
      <c r="A89" s="39">
        <v>76</v>
      </c>
      <c r="B89" s="40" t="s">
        <v>189</v>
      </c>
      <c r="C89" s="40">
        <v>20</v>
      </c>
      <c r="D89" s="40" t="s">
        <v>100</v>
      </c>
      <c r="E89" s="40" t="s">
        <v>186</v>
      </c>
      <c r="F89" s="40" t="s">
        <v>187</v>
      </c>
      <c r="G89" s="40" t="s">
        <v>15</v>
      </c>
      <c r="H89" s="40" t="s">
        <v>53</v>
      </c>
      <c r="I89" s="40" t="s">
        <v>98</v>
      </c>
      <c r="J89" s="41" cm="1">
        <f t="array" ref="J89">IF(C89=20,INDEX(CUOC!$C$28:$C$37,MATCH(N89,CUOC!$A$28:$A$37,0),0),INDEX(CUOC!$D$28:$D$37,MATCH(N89,CUOC!$A$28:$A$37,0),0))</f>
        <v>386100</v>
      </c>
      <c r="K89" s="41">
        <f t="shared" si="5"/>
        <v>30888</v>
      </c>
      <c r="L89" s="41">
        <f t="shared" si="6"/>
        <v>416988</v>
      </c>
      <c r="M89" s="37">
        <v>46114</v>
      </c>
      <c r="N89" s="42">
        <v>5</v>
      </c>
      <c r="O89" s="64">
        <v>34832</v>
      </c>
      <c r="P89" s="43" t="str">
        <f t="shared" si="7"/>
        <v>Cước vận chuyển cont Hàng 20 tuyến đường HẢI AN - NHĐV. Số xe: 15C17301</v>
      </c>
      <c r="Q89" s="3">
        <v>1</v>
      </c>
    </row>
    <row r="90" spans="1:17" ht="15" customHeight="1">
      <c r="A90" s="39">
        <v>77</v>
      </c>
      <c r="B90" s="40" t="s">
        <v>190</v>
      </c>
      <c r="C90" s="40">
        <v>20</v>
      </c>
      <c r="D90" s="40" t="s">
        <v>100</v>
      </c>
      <c r="E90" s="40" t="s">
        <v>186</v>
      </c>
      <c r="F90" s="40" t="s">
        <v>187</v>
      </c>
      <c r="G90" s="40" t="s">
        <v>15</v>
      </c>
      <c r="H90" s="40" t="s">
        <v>53</v>
      </c>
      <c r="I90" s="40" t="s">
        <v>64</v>
      </c>
      <c r="J90" s="41" cm="1">
        <f t="array" ref="J90">IF(C90=20,INDEX(CUOC!$C$28:$C$37,MATCH(N90,CUOC!$A$28:$A$37,0),0),INDEX(CUOC!$D$28:$D$37,MATCH(N90,CUOC!$A$28:$A$37,0),0))</f>
        <v>386100</v>
      </c>
      <c r="K90" s="41">
        <f t="shared" si="5"/>
        <v>30888</v>
      </c>
      <c r="L90" s="41">
        <f t="shared" si="6"/>
        <v>416988</v>
      </c>
      <c r="M90" s="37">
        <v>46114</v>
      </c>
      <c r="N90" s="42">
        <v>5</v>
      </c>
      <c r="O90" s="64">
        <v>34832</v>
      </c>
      <c r="P90" s="43" t="str">
        <f t="shared" si="7"/>
        <v>Cước vận chuyển cont Hàng 20 tuyến đường HẢI AN - NHĐV. Số xe: 15C09877</v>
      </c>
      <c r="Q90" s="3">
        <v>1</v>
      </c>
    </row>
    <row r="91" spans="1:17" ht="15" customHeight="1">
      <c r="A91" s="39">
        <v>78</v>
      </c>
      <c r="B91" s="40" t="s">
        <v>191</v>
      </c>
      <c r="C91" s="40">
        <v>20</v>
      </c>
      <c r="D91" s="40" t="s">
        <v>100</v>
      </c>
      <c r="E91" s="40" t="s">
        <v>186</v>
      </c>
      <c r="F91" s="40" t="s">
        <v>187</v>
      </c>
      <c r="G91" s="40" t="s">
        <v>15</v>
      </c>
      <c r="H91" s="40" t="s">
        <v>53</v>
      </c>
      <c r="I91" s="40" t="s">
        <v>77</v>
      </c>
      <c r="J91" s="41" cm="1">
        <f t="array" ref="J91">IF(C91=20,INDEX(CUOC!$C$28:$C$37,MATCH(N91,CUOC!$A$28:$A$37,0),0),INDEX(CUOC!$D$28:$D$37,MATCH(N91,CUOC!$A$28:$A$37,0),0))</f>
        <v>386100</v>
      </c>
      <c r="K91" s="41">
        <f t="shared" si="5"/>
        <v>30888</v>
      </c>
      <c r="L91" s="41">
        <f t="shared" si="6"/>
        <v>416988</v>
      </c>
      <c r="M91" s="37">
        <v>46114</v>
      </c>
      <c r="N91" s="42">
        <v>5</v>
      </c>
      <c r="O91" s="64">
        <v>34832</v>
      </c>
      <c r="P91" s="43" t="str">
        <f t="shared" si="7"/>
        <v>Cước vận chuyển cont Hàng 20 tuyến đường HẢI AN - NHĐV. Số xe: 15H06892</v>
      </c>
      <c r="Q91" s="3">
        <v>1</v>
      </c>
    </row>
    <row r="92" spans="1:17" ht="15" customHeight="1">
      <c r="A92" s="39">
        <v>79</v>
      </c>
      <c r="B92" s="40" t="s">
        <v>192</v>
      </c>
      <c r="C92" s="40">
        <v>20</v>
      </c>
      <c r="D92" s="40" t="s">
        <v>100</v>
      </c>
      <c r="E92" s="40" t="s">
        <v>186</v>
      </c>
      <c r="F92" s="40" t="s">
        <v>187</v>
      </c>
      <c r="G92" s="40" t="s">
        <v>15</v>
      </c>
      <c r="H92" s="40" t="s">
        <v>53</v>
      </c>
      <c r="I92" s="40" t="s">
        <v>98</v>
      </c>
      <c r="J92" s="41" cm="1">
        <f t="array" ref="J92">IF(C92=20,INDEX(CUOC!$C$28:$C$37,MATCH(N92,CUOC!$A$28:$A$37,0),0),INDEX(CUOC!$D$28:$D$37,MATCH(N92,CUOC!$A$28:$A$37,0),0))</f>
        <v>386100</v>
      </c>
      <c r="K92" s="41">
        <f t="shared" si="5"/>
        <v>30888</v>
      </c>
      <c r="L92" s="41">
        <f t="shared" si="6"/>
        <v>416988</v>
      </c>
      <c r="M92" s="37">
        <v>46114</v>
      </c>
      <c r="N92" s="42">
        <v>5</v>
      </c>
      <c r="O92" s="64">
        <v>34832</v>
      </c>
      <c r="P92" s="43" t="str">
        <f t="shared" si="7"/>
        <v>Cước vận chuyển cont Hàng 20 tuyến đường HẢI AN - NHĐV. Số xe: 15C17301</v>
      </c>
      <c r="Q92" s="3">
        <v>1</v>
      </c>
    </row>
    <row r="93" spans="1:17" ht="15" customHeight="1">
      <c r="A93" s="39">
        <v>80</v>
      </c>
      <c r="B93" s="40" t="s">
        <v>193</v>
      </c>
      <c r="C93" s="40">
        <v>20</v>
      </c>
      <c r="D93" s="40" t="s">
        <v>100</v>
      </c>
      <c r="E93" s="40" t="s">
        <v>186</v>
      </c>
      <c r="F93" s="40" t="s">
        <v>187</v>
      </c>
      <c r="G93" s="40" t="s">
        <v>15</v>
      </c>
      <c r="H93" s="40" t="s">
        <v>53</v>
      </c>
      <c r="I93" s="40" t="s">
        <v>68</v>
      </c>
      <c r="J93" s="41" cm="1">
        <f t="array" ref="J93">IF(C93=20,INDEX(CUOC!$C$28:$C$37,MATCH(N93,CUOC!$A$28:$A$37,0),0),INDEX(CUOC!$D$28:$D$37,MATCH(N93,CUOC!$A$28:$A$37,0),0))</f>
        <v>386100</v>
      </c>
      <c r="K93" s="41">
        <f t="shared" si="5"/>
        <v>30888</v>
      </c>
      <c r="L93" s="41">
        <f t="shared" si="6"/>
        <v>416988</v>
      </c>
      <c r="M93" s="37">
        <v>46114</v>
      </c>
      <c r="N93" s="42">
        <v>5</v>
      </c>
      <c r="O93" s="64">
        <v>34832</v>
      </c>
      <c r="P93" s="43" t="str">
        <f t="shared" si="7"/>
        <v>Cước vận chuyển cont Hàng 20 tuyến đường HẢI AN - NHĐV. Số xe: 15C17442</v>
      </c>
      <c r="Q93" s="3">
        <v>1</v>
      </c>
    </row>
    <row r="94" spans="1:17" ht="15" customHeight="1">
      <c r="A94" s="39">
        <v>81</v>
      </c>
      <c r="B94" s="40" t="s">
        <v>194</v>
      </c>
      <c r="C94" s="40">
        <v>20</v>
      </c>
      <c r="D94" s="40" t="s">
        <v>100</v>
      </c>
      <c r="E94" s="40" t="s">
        <v>186</v>
      </c>
      <c r="F94" s="40" t="s">
        <v>187</v>
      </c>
      <c r="G94" s="40" t="s">
        <v>15</v>
      </c>
      <c r="H94" s="40" t="s">
        <v>53</v>
      </c>
      <c r="I94" s="40" t="s">
        <v>98</v>
      </c>
      <c r="J94" s="41" cm="1">
        <f t="array" ref="J94">IF(C94=20,INDEX(CUOC!$C$28:$C$37,MATCH(N94,CUOC!$A$28:$A$37,0),0),INDEX(CUOC!$D$28:$D$37,MATCH(N94,CUOC!$A$28:$A$37,0),0))</f>
        <v>386100</v>
      </c>
      <c r="K94" s="41">
        <f t="shared" si="5"/>
        <v>30888</v>
      </c>
      <c r="L94" s="41">
        <f t="shared" si="6"/>
        <v>416988</v>
      </c>
      <c r="M94" s="37">
        <v>46114</v>
      </c>
      <c r="N94" s="42">
        <v>5</v>
      </c>
      <c r="O94" s="64">
        <v>34832</v>
      </c>
      <c r="P94" s="43" t="str">
        <f t="shared" si="7"/>
        <v>Cước vận chuyển cont Hàng 20 tuyến đường HẢI AN - NHĐV. Số xe: 15C17301</v>
      </c>
      <c r="Q94" s="3">
        <v>1</v>
      </c>
    </row>
    <row r="95" spans="1:17" ht="15" customHeight="1">
      <c r="A95" s="39">
        <v>82</v>
      </c>
      <c r="B95" s="40" t="s">
        <v>195</v>
      </c>
      <c r="C95" s="40">
        <v>20</v>
      </c>
      <c r="D95" s="40" t="s">
        <v>100</v>
      </c>
      <c r="E95" s="40" t="s">
        <v>186</v>
      </c>
      <c r="F95" s="40" t="s">
        <v>187</v>
      </c>
      <c r="G95" s="40" t="s">
        <v>15</v>
      </c>
      <c r="H95" s="40" t="s">
        <v>53</v>
      </c>
      <c r="I95" s="40" t="s">
        <v>74</v>
      </c>
      <c r="J95" s="41" cm="1">
        <f t="array" ref="J95">IF(C95=20,INDEX(CUOC!$C$28:$C$37,MATCH(N95,CUOC!$A$28:$A$37,0),0),INDEX(CUOC!$D$28:$D$37,MATCH(N95,CUOC!$A$28:$A$37,0),0))</f>
        <v>386100</v>
      </c>
      <c r="K95" s="41">
        <f t="shared" si="5"/>
        <v>30888</v>
      </c>
      <c r="L95" s="41">
        <f t="shared" si="6"/>
        <v>416988</v>
      </c>
      <c r="M95" s="37">
        <v>46114</v>
      </c>
      <c r="N95" s="42">
        <v>5</v>
      </c>
      <c r="O95" s="64">
        <v>34832</v>
      </c>
      <c r="P95" s="43" t="str">
        <f t="shared" si="7"/>
        <v>Cước vận chuyển cont Hàng 20 tuyến đường HẢI AN - NHĐV. Số xe: 15H07788</v>
      </c>
      <c r="Q95" s="3">
        <v>1</v>
      </c>
    </row>
    <row r="96" spans="1:17" ht="15" customHeight="1">
      <c r="A96" s="39">
        <v>83</v>
      </c>
      <c r="B96" s="40" t="s">
        <v>196</v>
      </c>
      <c r="C96" s="40">
        <v>20</v>
      </c>
      <c r="D96" s="40" t="s">
        <v>100</v>
      </c>
      <c r="E96" s="40" t="s">
        <v>186</v>
      </c>
      <c r="F96" s="40" t="s">
        <v>187</v>
      </c>
      <c r="G96" s="40" t="s">
        <v>15</v>
      </c>
      <c r="H96" s="40" t="s">
        <v>53</v>
      </c>
      <c r="I96" s="40" t="s">
        <v>74</v>
      </c>
      <c r="J96" s="41" cm="1">
        <f t="array" ref="J96">IF(C96=20,INDEX(CUOC!$C$28:$C$37,MATCH(N96,CUOC!$A$28:$A$37,0),0),INDEX(CUOC!$D$28:$D$37,MATCH(N96,CUOC!$A$28:$A$37,0),0))</f>
        <v>386100</v>
      </c>
      <c r="K96" s="41">
        <f t="shared" si="5"/>
        <v>30888</v>
      </c>
      <c r="L96" s="41">
        <f t="shared" si="6"/>
        <v>416988</v>
      </c>
      <c r="M96" s="37">
        <v>46114</v>
      </c>
      <c r="N96" s="42">
        <v>5</v>
      </c>
      <c r="O96" s="64">
        <v>34832</v>
      </c>
      <c r="P96" s="43" t="str">
        <f t="shared" si="7"/>
        <v>Cước vận chuyển cont Hàng 20 tuyến đường HẢI AN - NHĐV. Số xe: 15H07788</v>
      </c>
      <c r="Q96" s="3">
        <v>1</v>
      </c>
    </row>
    <row r="97" spans="1:17" ht="15" customHeight="1">
      <c r="A97" s="39">
        <v>84</v>
      </c>
      <c r="B97" s="40" t="s">
        <v>197</v>
      </c>
      <c r="C97" s="40">
        <v>20</v>
      </c>
      <c r="D97" s="40" t="s">
        <v>100</v>
      </c>
      <c r="E97" s="40" t="s">
        <v>186</v>
      </c>
      <c r="F97" s="40" t="s">
        <v>187</v>
      </c>
      <c r="G97" s="40" t="s">
        <v>15</v>
      </c>
      <c r="H97" s="40" t="s">
        <v>53</v>
      </c>
      <c r="I97" s="40" t="s">
        <v>70</v>
      </c>
      <c r="J97" s="41" cm="1">
        <f t="array" ref="J97">IF(C97=20,INDEX(CUOC!$C$28:$C$37,MATCH(N97,CUOC!$A$28:$A$37,0),0),INDEX(CUOC!$D$28:$D$37,MATCH(N97,CUOC!$A$28:$A$37,0),0))</f>
        <v>386100</v>
      </c>
      <c r="K97" s="41">
        <f t="shared" si="5"/>
        <v>30888</v>
      </c>
      <c r="L97" s="41">
        <f t="shared" si="6"/>
        <v>416988</v>
      </c>
      <c r="M97" s="37">
        <v>46114</v>
      </c>
      <c r="N97" s="42">
        <v>5</v>
      </c>
      <c r="O97" s="64">
        <v>34832</v>
      </c>
      <c r="P97" s="43" t="str">
        <f t="shared" si="7"/>
        <v>Cước vận chuyển cont Hàng 20 tuyến đường HẢI AN - NHĐV. Số xe: 15H07524</v>
      </c>
      <c r="Q97" s="3">
        <v>1</v>
      </c>
    </row>
    <row r="98" spans="1:17" ht="15" customHeight="1">
      <c r="A98" s="39">
        <v>85</v>
      </c>
      <c r="B98" s="40" t="s">
        <v>198</v>
      </c>
      <c r="C98" s="40">
        <v>20</v>
      </c>
      <c r="D98" s="40" t="s">
        <v>100</v>
      </c>
      <c r="E98" s="40" t="s">
        <v>186</v>
      </c>
      <c r="F98" s="40" t="s">
        <v>187</v>
      </c>
      <c r="G98" s="40" t="s">
        <v>15</v>
      </c>
      <c r="H98" s="40" t="s">
        <v>53</v>
      </c>
      <c r="I98" s="40" t="s">
        <v>73</v>
      </c>
      <c r="J98" s="41" cm="1">
        <f t="array" ref="J98">IF(C98=20,INDEX(CUOC!$C$28:$C$37,MATCH(N98,CUOC!$A$28:$A$37,0),0),INDEX(CUOC!$D$28:$D$37,MATCH(N98,CUOC!$A$28:$A$37,0),0))</f>
        <v>386100</v>
      </c>
      <c r="K98" s="41">
        <f t="shared" si="5"/>
        <v>30888</v>
      </c>
      <c r="L98" s="41">
        <f t="shared" si="6"/>
        <v>416988</v>
      </c>
      <c r="M98" s="37">
        <v>46114</v>
      </c>
      <c r="N98" s="42">
        <v>5</v>
      </c>
      <c r="O98" s="64">
        <v>34832</v>
      </c>
      <c r="P98" s="43" t="str">
        <f t="shared" si="7"/>
        <v>Cước vận chuyển cont Hàng 20 tuyến đường HẢI AN - NHĐV. Số xe: 15H07644</v>
      </c>
      <c r="Q98" s="3">
        <v>1</v>
      </c>
    </row>
    <row r="99" spans="1:17" ht="15" customHeight="1">
      <c r="A99" s="39">
        <v>86</v>
      </c>
      <c r="B99" s="40" t="s">
        <v>199</v>
      </c>
      <c r="C99" s="40">
        <v>20</v>
      </c>
      <c r="D99" s="40" t="s">
        <v>100</v>
      </c>
      <c r="E99" s="40" t="s">
        <v>186</v>
      </c>
      <c r="F99" s="40" t="s">
        <v>187</v>
      </c>
      <c r="G99" s="40" t="s">
        <v>15</v>
      </c>
      <c r="H99" s="40" t="s">
        <v>53</v>
      </c>
      <c r="I99" s="40" t="s">
        <v>73</v>
      </c>
      <c r="J99" s="41" cm="1">
        <f t="array" ref="J99">IF(C99=20,INDEX(CUOC!$C$28:$C$37,MATCH(N99,CUOC!$A$28:$A$37,0),0),INDEX(CUOC!$D$28:$D$37,MATCH(N99,CUOC!$A$28:$A$37,0),0))</f>
        <v>386100</v>
      </c>
      <c r="K99" s="41">
        <f t="shared" si="5"/>
        <v>30888</v>
      </c>
      <c r="L99" s="41">
        <f t="shared" si="6"/>
        <v>416988</v>
      </c>
      <c r="M99" s="37">
        <v>46114</v>
      </c>
      <c r="N99" s="42">
        <v>5</v>
      </c>
      <c r="O99" s="64">
        <v>34832</v>
      </c>
      <c r="P99" s="43" t="str">
        <f t="shared" si="7"/>
        <v>Cước vận chuyển cont Hàng 20 tuyến đường HẢI AN - NHĐV. Số xe: 15H07644</v>
      </c>
      <c r="Q99" s="3">
        <v>1</v>
      </c>
    </row>
    <row r="100" spans="1:17" ht="15" customHeight="1">
      <c r="A100" s="39">
        <v>87</v>
      </c>
      <c r="B100" s="40" t="s">
        <v>200</v>
      </c>
      <c r="C100" s="40">
        <v>20</v>
      </c>
      <c r="D100" s="40" t="s">
        <v>100</v>
      </c>
      <c r="E100" s="40" t="s">
        <v>186</v>
      </c>
      <c r="F100" s="40" t="s">
        <v>187</v>
      </c>
      <c r="G100" s="40" t="s">
        <v>15</v>
      </c>
      <c r="H100" s="40" t="s">
        <v>53</v>
      </c>
      <c r="I100" s="40" t="s">
        <v>98</v>
      </c>
      <c r="J100" s="41" cm="1">
        <f t="array" ref="J100">IF(C100=20,INDEX(CUOC!$C$28:$C$37,MATCH(N100,CUOC!$A$28:$A$37,0),0),INDEX(CUOC!$D$28:$D$37,MATCH(N100,CUOC!$A$28:$A$37,0),0))</f>
        <v>386100</v>
      </c>
      <c r="K100" s="41">
        <f t="shared" si="5"/>
        <v>30888</v>
      </c>
      <c r="L100" s="41">
        <f t="shared" si="6"/>
        <v>416988</v>
      </c>
      <c r="M100" s="37">
        <v>46114</v>
      </c>
      <c r="N100" s="42">
        <v>5</v>
      </c>
      <c r="O100" s="64">
        <v>34832</v>
      </c>
      <c r="P100" s="43" t="str">
        <f t="shared" si="7"/>
        <v>Cước vận chuyển cont Hàng 20 tuyến đường HẢI AN - NHĐV. Số xe: 15C17301</v>
      </c>
      <c r="Q100" s="3">
        <v>1</v>
      </c>
    </row>
    <row r="101" spans="1:17" ht="15" customHeight="1">
      <c r="A101" s="39">
        <v>88</v>
      </c>
      <c r="B101" s="40" t="s">
        <v>201</v>
      </c>
      <c r="C101" s="40">
        <v>20</v>
      </c>
      <c r="D101" s="40" t="s">
        <v>100</v>
      </c>
      <c r="E101" s="40" t="s">
        <v>186</v>
      </c>
      <c r="F101" s="40" t="s">
        <v>187</v>
      </c>
      <c r="G101" s="40" t="s">
        <v>15</v>
      </c>
      <c r="H101" s="40" t="s">
        <v>53</v>
      </c>
      <c r="I101" s="40" t="s">
        <v>70</v>
      </c>
      <c r="J101" s="41" cm="1">
        <f t="array" ref="J101">IF(C101=20,INDEX(CUOC!$C$28:$C$37,MATCH(N101,CUOC!$A$28:$A$37,0),0),INDEX(CUOC!$D$28:$D$37,MATCH(N101,CUOC!$A$28:$A$37,0),0))</f>
        <v>386100</v>
      </c>
      <c r="K101" s="41">
        <f t="shared" si="5"/>
        <v>30888</v>
      </c>
      <c r="L101" s="41">
        <f t="shared" si="6"/>
        <v>416988</v>
      </c>
      <c r="M101" s="37">
        <v>46114</v>
      </c>
      <c r="N101" s="42">
        <v>5</v>
      </c>
      <c r="O101" s="64">
        <v>34832</v>
      </c>
      <c r="P101" s="43" t="str">
        <f t="shared" si="7"/>
        <v>Cước vận chuyển cont Hàng 20 tuyến đường HẢI AN - NHĐV. Số xe: 15H07524</v>
      </c>
      <c r="Q101" s="3">
        <v>1</v>
      </c>
    </row>
    <row r="102" spans="1:17" ht="15" customHeight="1">
      <c r="A102" s="39">
        <v>89</v>
      </c>
      <c r="B102" s="40" t="s">
        <v>202</v>
      </c>
      <c r="C102" s="40">
        <v>20</v>
      </c>
      <c r="D102" s="40" t="s">
        <v>100</v>
      </c>
      <c r="E102" s="40" t="s">
        <v>186</v>
      </c>
      <c r="F102" s="40" t="s">
        <v>187</v>
      </c>
      <c r="G102" s="40" t="s">
        <v>15</v>
      </c>
      <c r="H102" s="40" t="s">
        <v>53</v>
      </c>
      <c r="I102" s="40" t="s">
        <v>73</v>
      </c>
      <c r="J102" s="41" cm="1">
        <f t="array" ref="J102">IF(C102=20,INDEX(CUOC!$C$28:$C$37,MATCH(N102,CUOC!$A$28:$A$37,0),0),INDEX(CUOC!$D$28:$D$37,MATCH(N102,CUOC!$A$28:$A$37,0),0))</f>
        <v>386100</v>
      </c>
      <c r="K102" s="41">
        <f t="shared" si="5"/>
        <v>30888</v>
      </c>
      <c r="L102" s="41">
        <f t="shared" si="6"/>
        <v>416988</v>
      </c>
      <c r="M102" s="37">
        <v>46114</v>
      </c>
      <c r="N102" s="42">
        <v>5</v>
      </c>
      <c r="O102" s="64">
        <v>34832</v>
      </c>
      <c r="P102" s="43" t="str">
        <f t="shared" si="7"/>
        <v>Cước vận chuyển cont Hàng 20 tuyến đường HẢI AN - NHĐV. Số xe: 15H07644</v>
      </c>
      <c r="Q102" s="3">
        <v>1</v>
      </c>
    </row>
    <row r="103" spans="1:17" ht="15" customHeight="1">
      <c r="A103" s="39">
        <v>90</v>
      </c>
      <c r="B103" s="40" t="s">
        <v>203</v>
      </c>
      <c r="C103" s="40">
        <v>20</v>
      </c>
      <c r="D103" s="40" t="s">
        <v>100</v>
      </c>
      <c r="E103" s="40" t="s">
        <v>186</v>
      </c>
      <c r="F103" s="40" t="s">
        <v>187</v>
      </c>
      <c r="G103" s="40" t="s">
        <v>15</v>
      </c>
      <c r="H103" s="40" t="s">
        <v>53</v>
      </c>
      <c r="I103" s="40" t="s">
        <v>64</v>
      </c>
      <c r="J103" s="41" cm="1">
        <f t="array" ref="J103">IF(C103=20,INDEX(CUOC!$C$28:$C$37,MATCH(N103,CUOC!$A$28:$A$37,0),0),INDEX(CUOC!$D$28:$D$37,MATCH(N103,CUOC!$A$28:$A$37,0),0))</f>
        <v>386100</v>
      </c>
      <c r="K103" s="41">
        <f t="shared" si="5"/>
        <v>30888</v>
      </c>
      <c r="L103" s="41">
        <f t="shared" si="6"/>
        <v>416988</v>
      </c>
      <c r="M103" s="37">
        <v>46114</v>
      </c>
      <c r="N103" s="42">
        <v>5</v>
      </c>
      <c r="O103" s="64">
        <v>34832</v>
      </c>
      <c r="P103" s="43" t="str">
        <f t="shared" si="7"/>
        <v>Cước vận chuyển cont Hàng 20 tuyến đường HẢI AN - NHĐV. Số xe: 15C09877</v>
      </c>
      <c r="Q103" s="3">
        <v>1</v>
      </c>
    </row>
    <row r="104" spans="1:17" ht="15" customHeight="1">
      <c r="A104" s="39">
        <v>91</v>
      </c>
      <c r="B104" s="40" t="s">
        <v>204</v>
      </c>
      <c r="C104" s="40">
        <v>20</v>
      </c>
      <c r="D104" s="40" t="s">
        <v>100</v>
      </c>
      <c r="E104" s="40" t="s">
        <v>186</v>
      </c>
      <c r="F104" s="40" t="s">
        <v>187</v>
      </c>
      <c r="G104" s="40" t="s">
        <v>15</v>
      </c>
      <c r="H104" s="40" t="s">
        <v>53</v>
      </c>
      <c r="I104" s="40" t="s">
        <v>73</v>
      </c>
      <c r="J104" s="41" cm="1">
        <f t="array" ref="J104">IF(C104=20,INDEX(CUOC!$C$28:$C$37,MATCH(N104,CUOC!$A$28:$A$37,0),0),INDEX(CUOC!$D$28:$D$37,MATCH(N104,CUOC!$A$28:$A$37,0),0))</f>
        <v>386100</v>
      </c>
      <c r="K104" s="41">
        <f t="shared" si="5"/>
        <v>30888</v>
      </c>
      <c r="L104" s="41">
        <f t="shared" si="6"/>
        <v>416988</v>
      </c>
      <c r="M104" s="37">
        <v>46114</v>
      </c>
      <c r="N104" s="42">
        <v>5</v>
      </c>
      <c r="O104" s="64">
        <v>34832</v>
      </c>
      <c r="P104" s="43" t="str">
        <f t="shared" si="7"/>
        <v>Cước vận chuyển cont Hàng 20 tuyến đường HẢI AN - NHĐV. Số xe: 15H07644</v>
      </c>
      <c r="Q104" s="3">
        <v>1</v>
      </c>
    </row>
    <row r="105" spans="1:17" ht="15" customHeight="1">
      <c r="A105" s="39">
        <v>92</v>
      </c>
      <c r="B105" s="40" t="s">
        <v>205</v>
      </c>
      <c r="C105" s="40">
        <v>20</v>
      </c>
      <c r="D105" s="40" t="s">
        <v>100</v>
      </c>
      <c r="E105" s="40" t="s">
        <v>186</v>
      </c>
      <c r="F105" s="40" t="s">
        <v>187</v>
      </c>
      <c r="G105" s="40" t="s">
        <v>15</v>
      </c>
      <c r="H105" s="40" t="s">
        <v>53</v>
      </c>
      <c r="I105" s="40" t="s">
        <v>74</v>
      </c>
      <c r="J105" s="41" cm="1">
        <f t="array" ref="J105">IF(C105=20,INDEX(CUOC!$C$28:$C$37,MATCH(N105,CUOC!$A$28:$A$37,0),0),INDEX(CUOC!$D$28:$D$37,MATCH(N105,CUOC!$A$28:$A$37,0),0))</f>
        <v>386100</v>
      </c>
      <c r="K105" s="41">
        <f t="shared" si="5"/>
        <v>30888</v>
      </c>
      <c r="L105" s="41">
        <f t="shared" si="6"/>
        <v>416988</v>
      </c>
      <c r="M105" s="37">
        <v>46114</v>
      </c>
      <c r="N105" s="42">
        <v>5</v>
      </c>
      <c r="O105" s="64">
        <v>34832</v>
      </c>
      <c r="P105" s="43" t="str">
        <f t="shared" si="7"/>
        <v>Cước vận chuyển cont Hàng 20 tuyến đường HẢI AN - NHĐV. Số xe: 15H07788</v>
      </c>
      <c r="Q105" s="3">
        <v>1</v>
      </c>
    </row>
    <row r="106" spans="1:17" ht="15" customHeight="1">
      <c r="A106" s="39">
        <v>93</v>
      </c>
      <c r="B106" s="40" t="s">
        <v>206</v>
      </c>
      <c r="C106" s="40">
        <v>20</v>
      </c>
      <c r="D106" s="40" t="s">
        <v>100</v>
      </c>
      <c r="E106" s="40" t="s">
        <v>186</v>
      </c>
      <c r="F106" s="40" t="s">
        <v>187</v>
      </c>
      <c r="G106" s="40" t="s">
        <v>15</v>
      </c>
      <c r="H106" s="40" t="s">
        <v>53</v>
      </c>
      <c r="I106" s="40" t="s">
        <v>74</v>
      </c>
      <c r="J106" s="41" cm="1">
        <f t="array" ref="J106">IF(C106=20,INDEX(CUOC!$C$28:$C$37,MATCH(N106,CUOC!$A$28:$A$37,0),0),INDEX(CUOC!$D$28:$D$37,MATCH(N106,CUOC!$A$28:$A$37,0),0))</f>
        <v>386100</v>
      </c>
      <c r="K106" s="41">
        <f t="shared" si="5"/>
        <v>30888</v>
      </c>
      <c r="L106" s="41">
        <f t="shared" si="6"/>
        <v>416988</v>
      </c>
      <c r="M106" s="37">
        <v>46114</v>
      </c>
      <c r="N106" s="42">
        <v>5</v>
      </c>
      <c r="O106" s="64">
        <v>34832</v>
      </c>
      <c r="P106" s="43" t="str">
        <f t="shared" si="7"/>
        <v>Cước vận chuyển cont Hàng 20 tuyến đường HẢI AN - NHĐV. Số xe: 15H07788</v>
      </c>
      <c r="Q106" s="3">
        <v>1</v>
      </c>
    </row>
    <row r="107" spans="1:17" ht="15" customHeight="1">
      <c r="A107" s="39">
        <v>94</v>
      </c>
      <c r="B107" s="40" t="s">
        <v>207</v>
      </c>
      <c r="C107" s="40">
        <v>20</v>
      </c>
      <c r="D107" s="40" t="s">
        <v>100</v>
      </c>
      <c r="E107" s="40" t="s">
        <v>186</v>
      </c>
      <c r="F107" s="40" t="s">
        <v>187</v>
      </c>
      <c r="G107" s="40" t="s">
        <v>15</v>
      </c>
      <c r="H107" s="40" t="s">
        <v>53</v>
      </c>
      <c r="I107" s="40" t="s">
        <v>98</v>
      </c>
      <c r="J107" s="41" cm="1">
        <f t="array" ref="J107">IF(C107=20,INDEX(CUOC!$C$28:$C$37,MATCH(N107,CUOC!$A$28:$A$37,0),0),INDEX(CUOC!$D$28:$D$37,MATCH(N107,CUOC!$A$28:$A$37,0),0))</f>
        <v>386100</v>
      </c>
      <c r="K107" s="41">
        <f t="shared" si="5"/>
        <v>30888</v>
      </c>
      <c r="L107" s="41">
        <f t="shared" si="6"/>
        <v>416988</v>
      </c>
      <c r="M107" s="37">
        <v>46118</v>
      </c>
      <c r="N107" s="42">
        <v>5</v>
      </c>
      <c r="O107" s="64">
        <v>34832</v>
      </c>
      <c r="P107" s="43" t="str">
        <f t="shared" si="7"/>
        <v>Cước vận chuyển cont Hàng 20 tuyến đường HẢI AN - NHĐV. Số xe: 15C17301</v>
      </c>
      <c r="Q107" s="3">
        <v>1</v>
      </c>
    </row>
    <row r="108" spans="1:17" ht="15" customHeight="1">
      <c r="A108" s="39">
        <v>95</v>
      </c>
      <c r="B108" s="40" t="s">
        <v>208</v>
      </c>
      <c r="C108" s="40">
        <v>20</v>
      </c>
      <c r="D108" s="40" t="s">
        <v>100</v>
      </c>
      <c r="E108" s="40" t="s">
        <v>186</v>
      </c>
      <c r="F108" s="40" t="s">
        <v>187</v>
      </c>
      <c r="G108" s="40" t="s">
        <v>15</v>
      </c>
      <c r="H108" s="40" t="s">
        <v>53</v>
      </c>
      <c r="I108" s="40" t="s">
        <v>98</v>
      </c>
      <c r="J108" s="41" cm="1">
        <f t="array" ref="J108">IF(C108=20,INDEX(CUOC!$C$28:$C$37,MATCH(N108,CUOC!$A$28:$A$37,0),0),INDEX(CUOC!$D$28:$D$37,MATCH(N108,CUOC!$A$28:$A$37,0),0))</f>
        <v>386100</v>
      </c>
      <c r="K108" s="41">
        <f t="shared" si="5"/>
        <v>30888</v>
      </c>
      <c r="L108" s="41">
        <f t="shared" si="6"/>
        <v>416988</v>
      </c>
      <c r="M108" s="37">
        <v>46118</v>
      </c>
      <c r="N108" s="42">
        <v>5</v>
      </c>
      <c r="O108" s="64">
        <v>34832</v>
      </c>
      <c r="P108" s="43" t="str">
        <f t="shared" si="7"/>
        <v>Cước vận chuyển cont Hàng 20 tuyến đường HẢI AN - NHĐV. Số xe: 15C17301</v>
      </c>
      <c r="Q108" s="3">
        <v>1</v>
      </c>
    </row>
    <row r="109" spans="1:17" ht="15" customHeight="1">
      <c r="A109" s="39">
        <v>96</v>
      </c>
      <c r="B109" s="40" t="s">
        <v>209</v>
      </c>
      <c r="C109" s="40">
        <v>20</v>
      </c>
      <c r="D109" s="40" t="s">
        <v>100</v>
      </c>
      <c r="E109" s="40" t="s">
        <v>186</v>
      </c>
      <c r="F109" s="40" t="s">
        <v>187</v>
      </c>
      <c r="G109" s="40" t="s">
        <v>15</v>
      </c>
      <c r="H109" s="40" t="s">
        <v>53</v>
      </c>
      <c r="I109" s="40" t="s">
        <v>98</v>
      </c>
      <c r="J109" s="41" cm="1">
        <f t="array" ref="J109">IF(C109=20,INDEX(CUOC!$C$28:$C$37,MATCH(N109,CUOC!$A$28:$A$37,0),0),INDEX(CUOC!$D$28:$D$37,MATCH(N109,CUOC!$A$28:$A$37,0),0))</f>
        <v>386100</v>
      </c>
      <c r="K109" s="41">
        <f t="shared" si="5"/>
        <v>30888</v>
      </c>
      <c r="L109" s="41">
        <f t="shared" si="6"/>
        <v>416988</v>
      </c>
      <c r="M109" s="37">
        <v>46118</v>
      </c>
      <c r="N109" s="42">
        <v>5</v>
      </c>
      <c r="O109" s="64">
        <v>34832</v>
      </c>
      <c r="P109" s="43" t="str">
        <f t="shared" si="7"/>
        <v>Cước vận chuyển cont Hàng 20 tuyến đường HẢI AN - NHĐV. Số xe: 15C17301</v>
      </c>
      <c r="Q109" s="3">
        <v>1</v>
      </c>
    </row>
    <row r="110" spans="1:17" ht="15" customHeight="1">
      <c r="A110" s="39">
        <v>97</v>
      </c>
      <c r="B110" s="40" t="s">
        <v>210</v>
      </c>
      <c r="C110" s="40">
        <v>20</v>
      </c>
      <c r="D110" s="40" t="s">
        <v>100</v>
      </c>
      <c r="E110" s="40" t="s">
        <v>186</v>
      </c>
      <c r="F110" s="40" t="s">
        <v>187</v>
      </c>
      <c r="G110" s="40" t="s">
        <v>15</v>
      </c>
      <c r="H110" s="40" t="s">
        <v>53</v>
      </c>
      <c r="I110" s="40" t="s">
        <v>74</v>
      </c>
      <c r="J110" s="41" cm="1">
        <f t="array" ref="J110">IF(C110=20,INDEX(CUOC!$C$28:$C$37,MATCH(N110,CUOC!$A$28:$A$37,0),0),INDEX(CUOC!$D$28:$D$37,MATCH(N110,CUOC!$A$28:$A$37,0),0))</f>
        <v>386100</v>
      </c>
      <c r="K110" s="41">
        <f t="shared" si="5"/>
        <v>30888</v>
      </c>
      <c r="L110" s="41">
        <f t="shared" si="6"/>
        <v>416988</v>
      </c>
      <c r="M110" s="37">
        <v>46118</v>
      </c>
      <c r="N110" s="42">
        <v>5</v>
      </c>
      <c r="O110" s="64">
        <v>34832</v>
      </c>
      <c r="P110" s="43" t="str">
        <f t="shared" si="7"/>
        <v>Cước vận chuyển cont Hàng 20 tuyến đường HẢI AN - NHĐV. Số xe: 15H07788</v>
      </c>
      <c r="Q110" s="3">
        <v>1</v>
      </c>
    </row>
    <row r="111" spans="1:17" ht="15" customHeight="1">
      <c r="A111" s="39">
        <v>98</v>
      </c>
      <c r="B111" s="40" t="s">
        <v>211</v>
      </c>
      <c r="C111" s="40">
        <v>20</v>
      </c>
      <c r="D111" s="40" t="s">
        <v>100</v>
      </c>
      <c r="E111" s="40" t="s">
        <v>186</v>
      </c>
      <c r="F111" s="40" t="s">
        <v>187</v>
      </c>
      <c r="G111" s="40" t="s">
        <v>15</v>
      </c>
      <c r="H111" s="40" t="s">
        <v>53</v>
      </c>
      <c r="I111" s="40" t="s">
        <v>74</v>
      </c>
      <c r="J111" s="41" cm="1">
        <f t="array" ref="J111">IF(C111=20,INDEX(CUOC!$C$28:$C$37,MATCH(N111,CUOC!$A$28:$A$37,0),0),INDEX(CUOC!$D$28:$D$37,MATCH(N111,CUOC!$A$28:$A$37,0),0))</f>
        <v>386100</v>
      </c>
      <c r="K111" s="41">
        <f t="shared" si="5"/>
        <v>30888</v>
      </c>
      <c r="L111" s="41">
        <f t="shared" si="6"/>
        <v>416988</v>
      </c>
      <c r="M111" s="37">
        <v>46118</v>
      </c>
      <c r="N111" s="42">
        <v>5</v>
      </c>
      <c r="O111" s="64">
        <v>34832</v>
      </c>
      <c r="P111" s="43" t="str">
        <f t="shared" si="7"/>
        <v>Cước vận chuyển cont Hàng 20 tuyến đường HẢI AN - NHĐV. Số xe: 15H07788</v>
      </c>
      <c r="Q111" s="3">
        <v>1</v>
      </c>
    </row>
    <row r="112" spans="1:17" ht="15" customHeight="1">
      <c r="A112" s="39">
        <v>99</v>
      </c>
      <c r="B112" s="40" t="s">
        <v>212</v>
      </c>
      <c r="C112" s="40">
        <v>20</v>
      </c>
      <c r="D112" s="40" t="s">
        <v>100</v>
      </c>
      <c r="E112" s="40" t="s">
        <v>186</v>
      </c>
      <c r="F112" s="40" t="s">
        <v>187</v>
      </c>
      <c r="G112" s="40" t="s">
        <v>15</v>
      </c>
      <c r="H112" s="40" t="s">
        <v>53</v>
      </c>
      <c r="I112" s="40" t="s">
        <v>70</v>
      </c>
      <c r="J112" s="41" cm="1">
        <f t="array" ref="J112">IF(C112=20,INDEX(CUOC!$C$28:$C$37,MATCH(N112,CUOC!$A$28:$A$37,0),0),INDEX(CUOC!$D$28:$D$37,MATCH(N112,CUOC!$A$28:$A$37,0),0))</f>
        <v>386100</v>
      </c>
      <c r="K112" s="41">
        <f t="shared" si="5"/>
        <v>30888</v>
      </c>
      <c r="L112" s="41">
        <f t="shared" si="6"/>
        <v>416988</v>
      </c>
      <c r="M112" s="37">
        <v>46118</v>
      </c>
      <c r="N112" s="42">
        <v>5</v>
      </c>
      <c r="O112" s="64">
        <v>34832</v>
      </c>
      <c r="P112" s="43" t="str">
        <f t="shared" si="7"/>
        <v>Cước vận chuyển cont Hàng 20 tuyến đường HẢI AN - NHĐV. Số xe: 15H07524</v>
      </c>
      <c r="Q112" s="3">
        <v>1</v>
      </c>
    </row>
    <row r="113" spans="1:17" ht="15" customHeight="1">
      <c r="A113" s="39">
        <v>100</v>
      </c>
      <c r="B113" s="40" t="s">
        <v>213</v>
      </c>
      <c r="C113" s="40">
        <v>20</v>
      </c>
      <c r="D113" s="40" t="s">
        <v>100</v>
      </c>
      <c r="E113" s="40" t="s">
        <v>186</v>
      </c>
      <c r="F113" s="40" t="s">
        <v>187</v>
      </c>
      <c r="G113" s="40" t="s">
        <v>15</v>
      </c>
      <c r="H113" s="40" t="s">
        <v>53</v>
      </c>
      <c r="I113" s="40" t="s">
        <v>98</v>
      </c>
      <c r="J113" s="41" cm="1">
        <f t="array" ref="J113">IF(C113=20,INDEX(CUOC!$C$28:$C$37,MATCH(N113,CUOC!$A$28:$A$37,0),0),INDEX(CUOC!$D$28:$D$37,MATCH(N113,CUOC!$A$28:$A$37,0),0))</f>
        <v>386100</v>
      </c>
      <c r="K113" s="41">
        <f t="shared" si="5"/>
        <v>30888</v>
      </c>
      <c r="L113" s="41">
        <f t="shared" si="6"/>
        <v>416988</v>
      </c>
      <c r="M113" s="37">
        <v>46118</v>
      </c>
      <c r="N113" s="42">
        <v>5</v>
      </c>
      <c r="O113" s="64">
        <v>34832</v>
      </c>
      <c r="P113" s="43" t="str">
        <f t="shared" si="7"/>
        <v>Cước vận chuyển cont Hàng 20 tuyến đường HẢI AN - NHĐV. Số xe: 15C17301</v>
      </c>
      <c r="Q113" s="3">
        <v>1</v>
      </c>
    </row>
    <row r="114" spans="1:17" ht="15" customHeight="1">
      <c r="A114" s="39">
        <v>101</v>
      </c>
      <c r="B114" s="40" t="s">
        <v>214</v>
      </c>
      <c r="C114" s="40">
        <v>20</v>
      </c>
      <c r="D114" s="40" t="s">
        <v>100</v>
      </c>
      <c r="E114" s="40" t="s">
        <v>186</v>
      </c>
      <c r="F114" s="40" t="s">
        <v>187</v>
      </c>
      <c r="G114" s="40" t="s">
        <v>15</v>
      </c>
      <c r="H114" s="40" t="s">
        <v>53</v>
      </c>
      <c r="I114" s="40" t="s">
        <v>70</v>
      </c>
      <c r="J114" s="41" cm="1">
        <f t="array" ref="J114">IF(C114=20,INDEX(CUOC!$C$28:$C$37,MATCH(N114,CUOC!$A$28:$A$37,0),0),INDEX(CUOC!$D$28:$D$37,MATCH(N114,CUOC!$A$28:$A$37,0),0))</f>
        <v>386100</v>
      </c>
      <c r="K114" s="41">
        <f t="shared" si="5"/>
        <v>30888</v>
      </c>
      <c r="L114" s="41">
        <f t="shared" si="6"/>
        <v>416988</v>
      </c>
      <c r="M114" s="37">
        <v>46118</v>
      </c>
      <c r="N114" s="42">
        <v>5</v>
      </c>
      <c r="O114" s="64">
        <v>34832</v>
      </c>
      <c r="P114" s="43" t="str">
        <f t="shared" si="7"/>
        <v>Cước vận chuyển cont Hàng 20 tuyến đường HẢI AN - NHĐV. Số xe: 15H07524</v>
      </c>
      <c r="Q114" s="3">
        <v>1</v>
      </c>
    </row>
    <row r="115" spans="1:17" ht="15" customHeight="1">
      <c r="A115" s="39">
        <v>102</v>
      </c>
      <c r="B115" s="40" t="s">
        <v>215</v>
      </c>
      <c r="C115" s="40">
        <v>20</v>
      </c>
      <c r="D115" s="40" t="s">
        <v>100</v>
      </c>
      <c r="E115" s="40" t="s">
        <v>186</v>
      </c>
      <c r="F115" s="40" t="s">
        <v>187</v>
      </c>
      <c r="G115" s="40" t="s">
        <v>15</v>
      </c>
      <c r="H115" s="40" t="s">
        <v>53</v>
      </c>
      <c r="I115" s="40" t="s">
        <v>77</v>
      </c>
      <c r="J115" s="41" cm="1">
        <f t="array" ref="J115">IF(C115=20,INDEX(CUOC!$C$28:$C$37,MATCH(N115,CUOC!$A$28:$A$37,0),0),INDEX(CUOC!$D$28:$D$37,MATCH(N115,CUOC!$A$28:$A$37,0),0))</f>
        <v>386100</v>
      </c>
      <c r="K115" s="41">
        <f t="shared" si="5"/>
        <v>30888</v>
      </c>
      <c r="L115" s="41">
        <f t="shared" si="6"/>
        <v>416988</v>
      </c>
      <c r="M115" s="37">
        <v>46118</v>
      </c>
      <c r="N115" s="42">
        <v>5</v>
      </c>
      <c r="O115" s="64">
        <v>34832</v>
      </c>
      <c r="P115" s="43" t="str">
        <f t="shared" si="7"/>
        <v>Cước vận chuyển cont Hàng 20 tuyến đường HẢI AN - NHĐV. Số xe: 15H06892</v>
      </c>
      <c r="Q115" s="3">
        <v>1</v>
      </c>
    </row>
    <row r="116" spans="1:17" ht="15" customHeight="1">
      <c r="A116" s="39">
        <v>103</v>
      </c>
      <c r="B116" s="40" t="s">
        <v>216</v>
      </c>
      <c r="C116" s="40">
        <v>20</v>
      </c>
      <c r="D116" s="40" t="s">
        <v>100</v>
      </c>
      <c r="E116" s="40" t="s">
        <v>186</v>
      </c>
      <c r="F116" s="40" t="s">
        <v>187</v>
      </c>
      <c r="G116" s="40" t="s">
        <v>15</v>
      </c>
      <c r="H116" s="40" t="s">
        <v>53</v>
      </c>
      <c r="I116" s="40" t="s">
        <v>98</v>
      </c>
      <c r="J116" s="41" cm="1">
        <f t="array" ref="J116">IF(C116=20,INDEX(CUOC!$C$28:$C$37,MATCH(N116,CUOC!$A$28:$A$37,0),0),INDEX(CUOC!$D$28:$D$37,MATCH(N116,CUOC!$A$28:$A$37,0),0))</f>
        <v>386100</v>
      </c>
      <c r="K116" s="41">
        <f t="shared" si="5"/>
        <v>30888</v>
      </c>
      <c r="L116" s="41">
        <f t="shared" si="6"/>
        <v>416988</v>
      </c>
      <c r="M116" s="37">
        <v>46118</v>
      </c>
      <c r="N116" s="42">
        <v>5</v>
      </c>
      <c r="O116" s="64">
        <v>34832</v>
      </c>
      <c r="P116" s="43" t="str">
        <f t="shared" si="7"/>
        <v>Cước vận chuyển cont Hàng 20 tuyến đường HẢI AN - NHĐV. Số xe: 15C17301</v>
      </c>
      <c r="Q116" s="3">
        <v>1</v>
      </c>
    </row>
    <row r="117" spans="1:17" ht="15" customHeight="1">
      <c r="A117" s="39">
        <v>104</v>
      </c>
      <c r="B117" s="40" t="s">
        <v>217</v>
      </c>
      <c r="C117" s="40">
        <v>20</v>
      </c>
      <c r="D117" s="40" t="s">
        <v>100</v>
      </c>
      <c r="E117" s="40" t="s">
        <v>186</v>
      </c>
      <c r="F117" s="40" t="s">
        <v>187</v>
      </c>
      <c r="G117" s="40" t="s">
        <v>15</v>
      </c>
      <c r="H117" s="40" t="s">
        <v>53</v>
      </c>
      <c r="I117" s="40" t="s">
        <v>73</v>
      </c>
      <c r="J117" s="41" cm="1">
        <f t="array" ref="J117">IF(C117=20,INDEX(CUOC!$C$28:$C$37,MATCH(N117,CUOC!$A$28:$A$37,0),0),INDEX(CUOC!$D$28:$D$37,MATCH(N117,CUOC!$A$28:$A$37,0),0))</f>
        <v>386100</v>
      </c>
      <c r="K117" s="41">
        <f t="shared" si="5"/>
        <v>30888</v>
      </c>
      <c r="L117" s="41">
        <f t="shared" si="6"/>
        <v>416988</v>
      </c>
      <c r="M117" s="37">
        <v>46118</v>
      </c>
      <c r="N117" s="42">
        <v>5</v>
      </c>
      <c r="O117" s="64">
        <v>34832</v>
      </c>
      <c r="P117" s="43" t="str">
        <f t="shared" si="7"/>
        <v>Cước vận chuyển cont Hàng 20 tuyến đường HẢI AN - NHĐV. Số xe: 15H07644</v>
      </c>
      <c r="Q117" s="3">
        <v>1</v>
      </c>
    </row>
    <row r="118" spans="1:17" ht="15" customHeight="1">
      <c r="A118" s="39">
        <v>105</v>
      </c>
      <c r="B118" s="40" t="s">
        <v>218</v>
      </c>
      <c r="C118" s="40">
        <v>20</v>
      </c>
      <c r="D118" s="40" t="s">
        <v>100</v>
      </c>
      <c r="E118" s="40" t="s">
        <v>186</v>
      </c>
      <c r="F118" s="40" t="s">
        <v>187</v>
      </c>
      <c r="G118" s="40" t="s">
        <v>15</v>
      </c>
      <c r="H118" s="40" t="s">
        <v>53</v>
      </c>
      <c r="I118" s="40" t="s">
        <v>68</v>
      </c>
      <c r="J118" s="41" cm="1">
        <f t="array" ref="J118">IF(C118=20,INDEX(CUOC!$C$28:$C$37,MATCH(N118,CUOC!$A$28:$A$37,0),0),INDEX(CUOC!$D$28:$D$37,MATCH(N118,CUOC!$A$28:$A$37,0),0))</f>
        <v>386100</v>
      </c>
      <c r="K118" s="41">
        <f t="shared" si="5"/>
        <v>30888</v>
      </c>
      <c r="L118" s="41">
        <f t="shared" si="6"/>
        <v>416988</v>
      </c>
      <c r="M118" s="37">
        <v>46118</v>
      </c>
      <c r="N118" s="42">
        <v>5</v>
      </c>
      <c r="O118" s="64">
        <v>34832</v>
      </c>
      <c r="P118" s="43" t="str">
        <f t="shared" si="7"/>
        <v>Cước vận chuyển cont Hàng 20 tuyến đường HẢI AN - NHĐV. Số xe: 15C17442</v>
      </c>
      <c r="Q118" s="3">
        <v>1</v>
      </c>
    </row>
    <row r="119" spans="1:17" ht="15" customHeight="1">
      <c r="A119" s="39">
        <v>106</v>
      </c>
      <c r="B119" s="40" t="s">
        <v>219</v>
      </c>
      <c r="C119" s="40">
        <v>40</v>
      </c>
      <c r="D119" s="40" t="s">
        <v>100</v>
      </c>
      <c r="E119" s="40" t="s">
        <v>220</v>
      </c>
      <c r="F119" s="40" t="s">
        <v>221</v>
      </c>
      <c r="G119" s="40" t="s">
        <v>15</v>
      </c>
      <c r="H119" s="40" t="s">
        <v>53</v>
      </c>
      <c r="I119" s="40" t="s">
        <v>98</v>
      </c>
      <c r="J119" s="41" cm="1">
        <f t="array" ref="J119">IF(C119=20,INDEX(CUOC!$C$28:$C$37,MATCH(N119,CUOC!$A$28:$A$37,0),0),INDEX(CUOC!$D$28:$D$37,MATCH(N119,CUOC!$A$28:$A$37,0),0))</f>
        <v>448500</v>
      </c>
      <c r="K119" s="41">
        <f t="shared" si="5"/>
        <v>35880</v>
      </c>
      <c r="L119" s="41">
        <f t="shared" si="6"/>
        <v>484380</v>
      </c>
      <c r="M119" s="37">
        <v>46118</v>
      </c>
      <c r="N119" s="42">
        <v>5</v>
      </c>
      <c r="O119" s="64">
        <v>34832</v>
      </c>
      <c r="P119" s="43" t="str">
        <f t="shared" si="7"/>
        <v>Cước vận chuyển cont Hàng 40 tuyến đường HẢI AN - NHĐV. Số xe: 15C17301</v>
      </c>
      <c r="Q119" s="3">
        <v>1</v>
      </c>
    </row>
    <row r="120" spans="1:17" ht="15" customHeight="1">
      <c r="A120" s="39">
        <v>107</v>
      </c>
      <c r="B120" s="40" t="s">
        <v>222</v>
      </c>
      <c r="C120" s="40">
        <v>40</v>
      </c>
      <c r="D120" s="40" t="s">
        <v>100</v>
      </c>
      <c r="E120" s="40" t="s">
        <v>220</v>
      </c>
      <c r="F120" s="40" t="s">
        <v>221</v>
      </c>
      <c r="G120" s="40" t="s">
        <v>15</v>
      </c>
      <c r="H120" s="40" t="s">
        <v>53</v>
      </c>
      <c r="I120" s="40" t="s">
        <v>98</v>
      </c>
      <c r="J120" s="41" cm="1">
        <f t="array" ref="J120">IF(C120=20,INDEX(CUOC!$C$28:$C$37,MATCH(N120,CUOC!$A$28:$A$37,0),0),INDEX(CUOC!$D$28:$D$37,MATCH(N120,CUOC!$A$28:$A$37,0),0))</f>
        <v>448500</v>
      </c>
      <c r="K120" s="41">
        <f t="shared" si="5"/>
        <v>35880</v>
      </c>
      <c r="L120" s="41">
        <f t="shared" si="6"/>
        <v>484380</v>
      </c>
      <c r="M120" s="37">
        <v>46118</v>
      </c>
      <c r="N120" s="42">
        <v>5</v>
      </c>
      <c r="O120" s="64">
        <v>34832</v>
      </c>
      <c r="P120" s="43" t="str">
        <f t="shared" si="7"/>
        <v>Cước vận chuyển cont Hàng 40 tuyến đường HẢI AN - NHĐV. Số xe: 15C17301</v>
      </c>
      <c r="Q120" s="3">
        <v>1</v>
      </c>
    </row>
    <row r="121" spans="1:17" ht="15" customHeight="1">
      <c r="A121" s="39">
        <v>108</v>
      </c>
      <c r="B121" s="40" t="s">
        <v>223</v>
      </c>
      <c r="C121" s="40">
        <v>40</v>
      </c>
      <c r="D121" s="40" t="s">
        <v>100</v>
      </c>
      <c r="E121" s="40" t="s">
        <v>220</v>
      </c>
      <c r="F121" s="40" t="s">
        <v>221</v>
      </c>
      <c r="G121" s="40" t="s">
        <v>15</v>
      </c>
      <c r="H121" s="40" t="s">
        <v>53</v>
      </c>
      <c r="I121" s="40" t="s">
        <v>71</v>
      </c>
      <c r="J121" s="41" cm="1">
        <f t="array" ref="J121">IF(C121=20,INDEX(CUOC!$C$28:$C$37,MATCH(N121,CUOC!$A$28:$A$37,0),0),INDEX(CUOC!$D$28:$D$37,MATCH(N121,CUOC!$A$28:$A$37,0),0))</f>
        <v>448500</v>
      </c>
      <c r="K121" s="41">
        <f t="shared" si="5"/>
        <v>35880</v>
      </c>
      <c r="L121" s="41">
        <f t="shared" si="6"/>
        <v>484380</v>
      </c>
      <c r="M121" s="37">
        <v>46118</v>
      </c>
      <c r="N121" s="42">
        <v>5</v>
      </c>
      <c r="O121" s="64">
        <v>34832</v>
      </c>
      <c r="P121" s="43" t="str">
        <f t="shared" si="7"/>
        <v>Cước vận chuyển cont Hàng 40 tuyến đường HẢI AN - NHĐV. Số xe: 15H12925</v>
      </c>
      <c r="Q121" s="3">
        <v>1</v>
      </c>
    </row>
    <row r="122" spans="1:17" ht="15" customHeight="1">
      <c r="A122" s="39">
        <v>109</v>
      </c>
      <c r="B122" s="40" t="s">
        <v>224</v>
      </c>
      <c r="C122" s="40">
        <v>40</v>
      </c>
      <c r="D122" s="40" t="s">
        <v>100</v>
      </c>
      <c r="E122" s="40" t="s">
        <v>220</v>
      </c>
      <c r="F122" s="40" t="s">
        <v>221</v>
      </c>
      <c r="G122" s="40" t="s">
        <v>15</v>
      </c>
      <c r="H122" s="40" t="s">
        <v>53</v>
      </c>
      <c r="I122" s="40" t="s">
        <v>73</v>
      </c>
      <c r="J122" s="41" cm="1">
        <f t="array" ref="J122">IF(C122=20,INDEX(CUOC!$C$28:$C$37,MATCH(N122,CUOC!$A$28:$A$37,0),0),INDEX(CUOC!$D$28:$D$37,MATCH(N122,CUOC!$A$28:$A$37,0),0))</f>
        <v>448500</v>
      </c>
      <c r="K122" s="41">
        <f t="shared" si="5"/>
        <v>35880</v>
      </c>
      <c r="L122" s="41">
        <f t="shared" si="6"/>
        <v>484380</v>
      </c>
      <c r="M122" s="37">
        <v>46118</v>
      </c>
      <c r="N122" s="42">
        <v>5</v>
      </c>
      <c r="O122" s="64">
        <v>34832</v>
      </c>
      <c r="P122" s="43" t="str">
        <f t="shared" si="7"/>
        <v>Cước vận chuyển cont Hàng 40 tuyến đường HẢI AN - NHĐV. Số xe: 15H07644</v>
      </c>
      <c r="Q122" s="3">
        <v>1</v>
      </c>
    </row>
    <row r="123" spans="1:17" ht="15" customHeight="1">
      <c r="A123" s="39">
        <v>110</v>
      </c>
      <c r="B123" s="40" t="s">
        <v>225</v>
      </c>
      <c r="C123" s="40">
        <v>40</v>
      </c>
      <c r="D123" s="40" t="s">
        <v>100</v>
      </c>
      <c r="E123" s="40" t="s">
        <v>220</v>
      </c>
      <c r="F123" s="40" t="s">
        <v>221</v>
      </c>
      <c r="G123" s="40" t="s">
        <v>15</v>
      </c>
      <c r="H123" s="40" t="s">
        <v>53</v>
      </c>
      <c r="I123" s="40" t="s">
        <v>69</v>
      </c>
      <c r="J123" s="41" cm="1">
        <f t="array" ref="J123">IF(C123=20,INDEX(CUOC!$C$28:$C$37,MATCH(N123,CUOC!$A$28:$A$37,0),0),INDEX(CUOC!$D$28:$D$37,MATCH(N123,CUOC!$A$28:$A$37,0),0))</f>
        <v>448500</v>
      </c>
      <c r="K123" s="41">
        <f t="shared" si="5"/>
        <v>35880</v>
      </c>
      <c r="L123" s="41">
        <f t="shared" si="6"/>
        <v>484380</v>
      </c>
      <c r="M123" s="37">
        <v>46118</v>
      </c>
      <c r="N123" s="42">
        <v>5</v>
      </c>
      <c r="O123" s="64">
        <v>34832</v>
      </c>
      <c r="P123" s="43" t="str">
        <f t="shared" si="7"/>
        <v>Cước vận chuyển cont Hàng 40 tuyến đường HẢI AN - NHĐV. Số xe: 15C15033</v>
      </c>
      <c r="Q123" s="3">
        <v>1</v>
      </c>
    </row>
    <row r="124" spans="1:17" ht="15" customHeight="1">
      <c r="A124" s="39">
        <v>111</v>
      </c>
      <c r="B124" s="40" t="s">
        <v>226</v>
      </c>
      <c r="C124" s="40">
        <v>20</v>
      </c>
      <c r="D124" s="40" t="s">
        <v>100</v>
      </c>
      <c r="E124" s="40" t="s">
        <v>220</v>
      </c>
      <c r="F124" s="40" t="s">
        <v>221</v>
      </c>
      <c r="G124" s="40" t="s">
        <v>15</v>
      </c>
      <c r="H124" s="40" t="s">
        <v>53</v>
      </c>
      <c r="I124" s="40" t="s">
        <v>64</v>
      </c>
      <c r="J124" s="41" cm="1">
        <f t="array" ref="J124">IF(C124=20,INDEX(CUOC!$C$28:$C$37,MATCH(N124,CUOC!$A$28:$A$37,0),0),INDEX(CUOC!$D$28:$D$37,MATCH(N124,CUOC!$A$28:$A$37,0),0))</f>
        <v>386100</v>
      </c>
      <c r="K124" s="41">
        <f t="shared" si="5"/>
        <v>30888</v>
      </c>
      <c r="L124" s="41">
        <f t="shared" si="6"/>
        <v>416988</v>
      </c>
      <c r="M124" s="37">
        <v>46118</v>
      </c>
      <c r="N124" s="42">
        <v>5</v>
      </c>
      <c r="O124" s="64">
        <v>34832</v>
      </c>
      <c r="P124" s="43" t="str">
        <f t="shared" si="7"/>
        <v>Cước vận chuyển cont Hàng 20 tuyến đường HẢI AN - NHĐV. Số xe: 15C09877</v>
      </c>
      <c r="Q124" s="3">
        <v>1</v>
      </c>
    </row>
    <row r="125" spans="1:17" ht="15" customHeight="1">
      <c r="A125" s="39">
        <v>112</v>
      </c>
      <c r="B125" s="40" t="s">
        <v>227</v>
      </c>
      <c r="C125" s="40">
        <v>20</v>
      </c>
      <c r="D125" s="40" t="s">
        <v>100</v>
      </c>
      <c r="E125" s="40" t="s">
        <v>220</v>
      </c>
      <c r="F125" s="40" t="s">
        <v>221</v>
      </c>
      <c r="G125" s="40" t="s">
        <v>15</v>
      </c>
      <c r="H125" s="40" t="s">
        <v>53</v>
      </c>
      <c r="I125" s="40" t="s">
        <v>64</v>
      </c>
      <c r="J125" s="41" cm="1">
        <f t="array" ref="J125">IF(C125=20,INDEX(CUOC!$C$28:$C$37,MATCH(N125,CUOC!$A$28:$A$37,0),0),INDEX(CUOC!$D$28:$D$37,MATCH(N125,CUOC!$A$28:$A$37,0),0))</f>
        <v>386100</v>
      </c>
      <c r="K125" s="41">
        <f t="shared" si="5"/>
        <v>30888</v>
      </c>
      <c r="L125" s="41">
        <f t="shared" si="6"/>
        <v>416988</v>
      </c>
      <c r="M125" s="37">
        <v>46118</v>
      </c>
      <c r="N125" s="42">
        <v>5</v>
      </c>
      <c r="O125" s="64">
        <v>34832</v>
      </c>
      <c r="P125" s="43" t="str">
        <f t="shared" si="7"/>
        <v>Cước vận chuyển cont Hàng 20 tuyến đường HẢI AN - NHĐV. Số xe: 15C09877</v>
      </c>
      <c r="Q125" s="3">
        <v>1</v>
      </c>
    </row>
    <row r="126" spans="1:17" ht="15" customHeight="1">
      <c r="A126" s="39">
        <v>113</v>
      </c>
      <c r="B126" s="40" t="s">
        <v>228</v>
      </c>
      <c r="C126" s="40">
        <v>40</v>
      </c>
      <c r="D126" s="40" t="s">
        <v>100</v>
      </c>
      <c r="E126" s="40" t="s">
        <v>220</v>
      </c>
      <c r="F126" s="40" t="s">
        <v>221</v>
      </c>
      <c r="G126" s="40" t="s">
        <v>15</v>
      </c>
      <c r="H126" s="40" t="s">
        <v>53</v>
      </c>
      <c r="I126" s="40" t="s">
        <v>64</v>
      </c>
      <c r="J126" s="41" cm="1">
        <f t="array" ref="J126">IF(C126=20,INDEX(CUOC!$C$28:$C$37,MATCH(N126,CUOC!$A$28:$A$37,0),0),INDEX(CUOC!$D$28:$D$37,MATCH(N126,CUOC!$A$28:$A$37,0),0))</f>
        <v>448500</v>
      </c>
      <c r="K126" s="41">
        <f t="shared" si="5"/>
        <v>35880</v>
      </c>
      <c r="L126" s="41">
        <f t="shared" si="6"/>
        <v>484380</v>
      </c>
      <c r="M126" s="37">
        <v>46118</v>
      </c>
      <c r="N126" s="42">
        <v>5</v>
      </c>
      <c r="O126" s="64">
        <v>34832</v>
      </c>
      <c r="P126" s="43" t="str">
        <f t="shared" si="7"/>
        <v>Cước vận chuyển cont Hàng 40 tuyến đường HẢI AN - NHĐV. Số xe: 15C09877</v>
      </c>
      <c r="Q126" s="3">
        <v>1</v>
      </c>
    </row>
    <row r="127" spans="1:17" ht="15" customHeight="1">
      <c r="A127" s="39">
        <v>114</v>
      </c>
      <c r="B127" s="40" t="s">
        <v>229</v>
      </c>
      <c r="C127" s="40">
        <v>20</v>
      </c>
      <c r="D127" s="40" t="s">
        <v>100</v>
      </c>
      <c r="E127" s="40" t="s">
        <v>220</v>
      </c>
      <c r="F127" s="40" t="s">
        <v>221</v>
      </c>
      <c r="G127" s="40" t="s">
        <v>15</v>
      </c>
      <c r="H127" s="40" t="s">
        <v>53</v>
      </c>
      <c r="I127" s="40" t="s">
        <v>64</v>
      </c>
      <c r="J127" s="41" cm="1">
        <f t="array" ref="J127">IF(C127=20,INDEX(CUOC!$C$28:$C$37,MATCH(N127,CUOC!$A$28:$A$37,0),0),INDEX(CUOC!$D$28:$D$37,MATCH(N127,CUOC!$A$28:$A$37,0),0))</f>
        <v>386100</v>
      </c>
      <c r="K127" s="41">
        <f t="shared" si="5"/>
        <v>30888</v>
      </c>
      <c r="L127" s="41">
        <f t="shared" si="6"/>
        <v>416988</v>
      </c>
      <c r="M127" s="37">
        <v>46118</v>
      </c>
      <c r="N127" s="42">
        <v>5</v>
      </c>
      <c r="O127" s="64">
        <v>34832</v>
      </c>
      <c r="P127" s="43" t="str">
        <f t="shared" si="7"/>
        <v>Cước vận chuyển cont Hàng 20 tuyến đường HẢI AN - NHĐV. Số xe: 15C09877</v>
      </c>
      <c r="Q127" s="3">
        <v>1</v>
      </c>
    </row>
    <row r="128" spans="1:17" ht="15" customHeight="1">
      <c r="A128" s="39">
        <v>115</v>
      </c>
      <c r="B128" s="40" t="s">
        <v>230</v>
      </c>
      <c r="C128" s="40">
        <v>20</v>
      </c>
      <c r="D128" s="40" t="s">
        <v>100</v>
      </c>
      <c r="E128" s="40" t="s">
        <v>220</v>
      </c>
      <c r="F128" s="40" t="s">
        <v>221</v>
      </c>
      <c r="G128" s="40" t="s">
        <v>15</v>
      </c>
      <c r="H128" s="40" t="s">
        <v>53</v>
      </c>
      <c r="I128" s="40" t="s">
        <v>69</v>
      </c>
      <c r="J128" s="41" cm="1">
        <f t="array" ref="J128">IF(C128=20,INDEX(CUOC!$C$28:$C$37,MATCH(N128,CUOC!$A$28:$A$37,0),0),INDEX(CUOC!$D$28:$D$37,MATCH(N128,CUOC!$A$28:$A$37,0),0))</f>
        <v>386100</v>
      </c>
      <c r="K128" s="41">
        <f t="shared" si="5"/>
        <v>30888</v>
      </c>
      <c r="L128" s="41">
        <f t="shared" si="6"/>
        <v>416988</v>
      </c>
      <c r="M128" s="37">
        <v>46118</v>
      </c>
      <c r="N128" s="42">
        <v>5</v>
      </c>
      <c r="O128" s="64">
        <v>34832</v>
      </c>
      <c r="P128" s="43" t="str">
        <f t="shared" si="7"/>
        <v>Cước vận chuyển cont Hàng 20 tuyến đường HẢI AN - NHĐV. Số xe: 15C15033</v>
      </c>
      <c r="Q128" s="3">
        <v>1</v>
      </c>
    </row>
    <row r="129" spans="1:17" ht="15" customHeight="1">
      <c r="A129" s="39">
        <v>116</v>
      </c>
      <c r="B129" s="40" t="s">
        <v>231</v>
      </c>
      <c r="C129" s="40">
        <v>40</v>
      </c>
      <c r="D129" s="40" t="s">
        <v>100</v>
      </c>
      <c r="E129" s="40" t="s">
        <v>220</v>
      </c>
      <c r="F129" s="40" t="s">
        <v>221</v>
      </c>
      <c r="G129" s="40" t="s">
        <v>15</v>
      </c>
      <c r="H129" s="40" t="s">
        <v>53</v>
      </c>
      <c r="I129" s="40" t="s">
        <v>64</v>
      </c>
      <c r="J129" s="41" cm="1">
        <f t="array" ref="J129">IF(C129=20,INDEX(CUOC!$C$28:$C$37,MATCH(N129,CUOC!$A$28:$A$37,0),0),INDEX(CUOC!$D$28:$D$37,MATCH(N129,CUOC!$A$28:$A$37,0),0))</f>
        <v>448500</v>
      </c>
      <c r="K129" s="41">
        <f t="shared" si="5"/>
        <v>35880</v>
      </c>
      <c r="L129" s="41">
        <f t="shared" si="6"/>
        <v>484380</v>
      </c>
      <c r="M129" s="37">
        <v>46118</v>
      </c>
      <c r="N129" s="42">
        <v>5</v>
      </c>
      <c r="O129" s="64">
        <v>34832</v>
      </c>
      <c r="P129" s="43" t="str">
        <f t="shared" si="7"/>
        <v>Cước vận chuyển cont Hàng 40 tuyến đường HẢI AN - NHĐV. Số xe: 15C09877</v>
      </c>
      <c r="Q129" s="3">
        <v>1</v>
      </c>
    </row>
    <row r="130" spans="1:17" ht="15" customHeight="1">
      <c r="A130" s="39">
        <v>117</v>
      </c>
      <c r="B130" s="40" t="s">
        <v>232</v>
      </c>
      <c r="C130" s="40">
        <v>40</v>
      </c>
      <c r="D130" s="40" t="s">
        <v>100</v>
      </c>
      <c r="E130" s="40" t="s">
        <v>220</v>
      </c>
      <c r="F130" s="40" t="s">
        <v>221</v>
      </c>
      <c r="G130" s="40" t="s">
        <v>15</v>
      </c>
      <c r="H130" s="40" t="s">
        <v>53</v>
      </c>
      <c r="I130" s="40" t="s">
        <v>86</v>
      </c>
      <c r="J130" s="41" cm="1">
        <f t="array" ref="J130">IF(C130=20,INDEX(CUOC!$C$28:$C$37,MATCH(N130,CUOC!$A$28:$A$37,0),0),INDEX(CUOC!$D$28:$D$37,MATCH(N130,CUOC!$A$28:$A$37,0),0))</f>
        <v>448500</v>
      </c>
      <c r="K130" s="41">
        <f t="shared" si="5"/>
        <v>35880</v>
      </c>
      <c r="L130" s="41">
        <f t="shared" si="6"/>
        <v>484380</v>
      </c>
      <c r="M130" s="37">
        <v>46118</v>
      </c>
      <c r="N130" s="42">
        <v>5</v>
      </c>
      <c r="O130" s="64">
        <v>34832</v>
      </c>
      <c r="P130" s="43" t="str">
        <f t="shared" si="7"/>
        <v>Cước vận chuyển cont Hàng 40 tuyến đường HẢI AN - NHĐV. Số xe: 15H18552</v>
      </c>
      <c r="Q130" s="3">
        <v>1</v>
      </c>
    </row>
    <row r="131" spans="1:17" ht="15" customHeight="1">
      <c r="A131" s="39">
        <v>118</v>
      </c>
      <c r="B131" s="40" t="s">
        <v>233</v>
      </c>
      <c r="C131" s="40">
        <v>40</v>
      </c>
      <c r="D131" s="40" t="s">
        <v>100</v>
      </c>
      <c r="E131" s="40" t="s">
        <v>220</v>
      </c>
      <c r="F131" s="40" t="s">
        <v>221</v>
      </c>
      <c r="G131" s="40" t="s">
        <v>15</v>
      </c>
      <c r="H131" s="40" t="s">
        <v>53</v>
      </c>
      <c r="I131" s="40" t="s">
        <v>86</v>
      </c>
      <c r="J131" s="41" cm="1">
        <f t="array" ref="J131">IF(C131=20,INDEX(CUOC!$C$28:$C$37,MATCH(N131,CUOC!$A$28:$A$37,0),0),INDEX(CUOC!$D$28:$D$37,MATCH(N131,CUOC!$A$28:$A$37,0),0))</f>
        <v>448500</v>
      </c>
      <c r="K131" s="41">
        <f t="shared" si="5"/>
        <v>35880</v>
      </c>
      <c r="L131" s="41">
        <f t="shared" si="6"/>
        <v>484380</v>
      </c>
      <c r="M131" s="37">
        <v>46118</v>
      </c>
      <c r="N131" s="42">
        <v>5</v>
      </c>
      <c r="O131" s="64">
        <v>34832</v>
      </c>
      <c r="P131" s="43" t="str">
        <f t="shared" si="7"/>
        <v>Cước vận chuyển cont Hàng 40 tuyến đường HẢI AN - NHĐV. Số xe: 15H18552</v>
      </c>
      <c r="Q131" s="3">
        <v>1</v>
      </c>
    </row>
    <row r="132" spans="1:17" ht="15" customHeight="1">
      <c r="A132" s="39">
        <v>119</v>
      </c>
      <c r="B132" s="40" t="s">
        <v>234</v>
      </c>
      <c r="C132" s="40">
        <v>40</v>
      </c>
      <c r="D132" s="40" t="s">
        <v>100</v>
      </c>
      <c r="E132" s="40" t="s">
        <v>220</v>
      </c>
      <c r="F132" s="40" t="s">
        <v>221</v>
      </c>
      <c r="G132" s="40" t="s">
        <v>15</v>
      </c>
      <c r="H132" s="40" t="s">
        <v>53</v>
      </c>
      <c r="I132" s="40" t="s">
        <v>86</v>
      </c>
      <c r="J132" s="41" cm="1">
        <f t="array" ref="J132">IF(C132=20,INDEX(CUOC!$C$28:$C$37,MATCH(N132,CUOC!$A$28:$A$37,0),0),INDEX(CUOC!$D$28:$D$37,MATCH(N132,CUOC!$A$28:$A$37,0),0))</f>
        <v>448500</v>
      </c>
      <c r="K132" s="41">
        <f t="shared" si="5"/>
        <v>35880</v>
      </c>
      <c r="L132" s="41">
        <f t="shared" si="6"/>
        <v>484380</v>
      </c>
      <c r="M132" s="37">
        <v>46118</v>
      </c>
      <c r="N132" s="42">
        <v>5</v>
      </c>
      <c r="O132" s="64">
        <v>34832</v>
      </c>
      <c r="P132" s="43" t="str">
        <f t="shared" si="7"/>
        <v>Cước vận chuyển cont Hàng 40 tuyến đường HẢI AN - NHĐV. Số xe: 15H18552</v>
      </c>
      <c r="Q132" s="3">
        <v>1</v>
      </c>
    </row>
    <row r="133" spans="1:17" ht="15" customHeight="1">
      <c r="A133" s="39">
        <v>120</v>
      </c>
      <c r="B133" s="40" t="s">
        <v>235</v>
      </c>
      <c r="C133" s="40">
        <v>40</v>
      </c>
      <c r="D133" s="40" t="s">
        <v>100</v>
      </c>
      <c r="E133" s="40" t="s">
        <v>220</v>
      </c>
      <c r="F133" s="40" t="s">
        <v>489</v>
      </c>
      <c r="G133" s="40" t="s">
        <v>53</v>
      </c>
      <c r="H133" s="40" t="s">
        <v>15</v>
      </c>
      <c r="I133" s="40" t="s">
        <v>86</v>
      </c>
      <c r="J133" s="41" cm="1">
        <f t="array" ref="J133">IF(C133=20,INDEX(CUOC!$C$28:$C$37,MATCH(N133,CUOC!$A$28:$A$37,0),0),INDEX(CUOC!$D$28:$D$37,MATCH(N133,CUOC!$A$28:$A$37,0),0))</f>
        <v>448500</v>
      </c>
      <c r="K133" s="41">
        <f t="shared" si="5"/>
        <v>35880</v>
      </c>
      <c r="L133" s="41">
        <f t="shared" si="6"/>
        <v>484380</v>
      </c>
      <c r="M133" s="37">
        <v>46118</v>
      </c>
      <c r="N133" s="42">
        <v>5</v>
      </c>
      <c r="O133" s="64">
        <v>34832</v>
      </c>
      <c r="P133" s="43" t="str">
        <f t="shared" si="7"/>
        <v>Cước vận chuyển cont Hàng 40 tuyến đường NHĐV - HẢI AN. Số xe: 15H18552</v>
      </c>
      <c r="Q133" s="3">
        <v>1</v>
      </c>
    </row>
    <row r="134" spans="1:17" ht="15" customHeight="1">
      <c r="A134" s="39">
        <v>121</v>
      </c>
      <c r="B134" s="40" t="s">
        <v>236</v>
      </c>
      <c r="C134" s="40">
        <v>20</v>
      </c>
      <c r="D134" s="40" t="s">
        <v>100</v>
      </c>
      <c r="E134" s="40" t="s">
        <v>220</v>
      </c>
      <c r="F134" s="40" t="s">
        <v>221</v>
      </c>
      <c r="G134" s="40" t="s">
        <v>15</v>
      </c>
      <c r="H134" s="40" t="s">
        <v>53</v>
      </c>
      <c r="I134" s="40" t="s">
        <v>68</v>
      </c>
      <c r="J134" s="41" cm="1">
        <f t="array" ref="J134">IF(C134=20,INDEX(CUOC!$C$28:$C$37,MATCH(N134,CUOC!$A$28:$A$37,0),0),INDEX(CUOC!$D$28:$D$37,MATCH(N134,CUOC!$A$28:$A$37,0),0))</f>
        <v>386100</v>
      </c>
      <c r="K134" s="41">
        <f t="shared" si="5"/>
        <v>30888</v>
      </c>
      <c r="L134" s="41">
        <f t="shared" si="6"/>
        <v>416988</v>
      </c>
      <c r="M134" s="37">
        <v>46118</v>
      </c>
      <c r="N134" s="42">
        <v>5</v>
      </c>
      <c r="O134" s="64">
        <v>34832</v>
      </c>
      <c r="P134" s="43" t="str">
        <f t="shared" si="7"/>
        <v>Cước vận chuyển cont Hàng 20 tuyến đường HẢI AN - NHĐV. Số xe: 15C17442</v>
      </c>
      <c r="Q134" s="3">
        <v>1</v>
      </c>
    </row>
    <row r="135" spans="1:17" ht="15" customHeight="1">
      <c r="A135" s="39">
        <v>122</v>
      </c>
      <c r="B135" s="40" t="s">
        <v>237</v>
      </c>
      <c r="C135" s="40">
        <v>20</v>
      </c>
      <c r="D135" s="40" t="s">
        <v>100</v>
      </c>
      <c r="E135" s="40" t="s">
        <v>220</v>
      </c>
      <c r="F135" s="40" t="s">
        <v>221</v>
      </c>
      <c r="G135" s="40" t="s">
        <v>15</v>
      </c>
      <c r="H135" s="40" t="s">
        <v>53</v>
      </c>
      <c r="I135" s="40" t="s">
        <v>68</v>
      </c>
      <c r="J135" s="41" cm="1">
        <f t="array" ref="J135">IF(C135=20,INDEX(CUOC!$C$28:$C$37,MATCH(N135,CUOC!$A$28:$A$37,0),0),INDEX(CUOC!$D$28:$D$37,MATCH(N135,CUOC!$A$28:$A$37,0),0))</f>
        <v>386100</v>
      </c>
      <c r="K135" s="41">
        <f t="shared" si="5"/>
        <v>30888</v>
      </c>
      <c r="L135" s="41">
        <f t="shared" si="6"/>
        <v>416988</v>
      </c>
      <c r="M135" s="37">
        <v>46118</v>
      </c>
      <c r="N135" s="42">
        <v>5</v>
      </c>
      <c r="O135" s="64">
        <v>34832</v>
      </c>
      <c r="P135" s="43" t="str">
        <f t="shared" si="7"/>
        <v>Cước vận chuyển cont Hàng 20 tuyến đường HẢI AN - NHĐV. Số xe: 15C17442</v>
      </c>
      <c r="Q135" s="3">
        <v>1</v>
      </c>
    </row>
    <row r="136" spans="1:17" ht="15" customHeight="1">
      <c r="A136" s="39">
        <v>123</v>
      </c>
      <c r="B136" s="40" t="s">
        <v>238</v>
      </c>
      <c r="C136" s="40">
        <v>20</v>
      </c>
      <c r="D136" s="40" t="s">
        <v>100</v>
      </c>
      <c r="E136" s="40" t="s">
        <v>220</v>
      </c>
      <c r="F136" s="40" t="s">
        <v>221</v>
      </c>
      <c r="G136" s="40" t="s">
        <v>15</v>
      </c>
      <c r="H136" s="40" t="s">
        <v>53</v>
      </c>
      <c r="I136" s="40" t="s">
        <v>68</v>
      </c>
      <c r="J136" s="41" cm="1">
        <f t="array" ref="J136">IF(C136=20,INDEX(CUOC!$C$28:$C$37,MATCH(N136,CUOC!$A$28:$A$37,0),0),INDEX(CUOC!$D$28:$D$37,MATCH(N136,CUOC!$A$28:$A$37,0),0))</f>
        <v>386100</v>
      </c>
      <c r="K136" s="41">
        <f t="shared" si="5"/>
        <v>30888</v>
      </c>
      <c r="L136" s="41">
        <f t="shared" si="6"/>
        <v>416988</v>
      </c>
      <c r="M136" s="37">
        <v>46118</v>
      </c>
      <c r="N136" s="42">
        <v>5</v>
      </c>
      <c r="O136" s="64">
        <v>34832</v>
      </c>
      <c r="P136" s="43" t="str">
        <f t="shared" si="7"/>
        <v>Cước vận chuyển cont Hàng 20 tuyến đường HẢI AN - NHĐV. Số xe: 15C17442</v>
      </c>
      <c r="Q136" s="3">
        <v>1</v>
      </c>
    </row>
    <row r="137" spans="1:17" ht="15" customHeight="1">
      <c r="A137" s="39">
        <v>124</v>
      </c>
      <c r="B137" s="40" t="s">
        <v>239</v>
      </c>
      <c r="C137" s="40">
        <v>20</v>
      </c>
      <c r="D137" s="40" t="s">
        <v>100</v>
      </c>
      <c r="E137" s="40" t="s">
        <v>220</v>
      </c>
      <c r="F137" s="40" t="s">
        <v>221</v>
      </c>
      <c r="G137" s="40" t="s">
        <v>15</v>
      </c>
      <c r="H137" s="40" t="s">
        <v>53</v>
      </c>
      <c r="I137" s="40" t="s">
        <v>68</v>
      </c>
      <c r="J137" s="41" cm="1">
        <f t="array" ref="J137">IF(C137=20,INDEX(CUOC!$C$28:$C$37,MATCH(N137,CUOC!$A$28:$A$37,0),0),INDEX(CUOC!$D$28:$D$37,MATCH(N137,CUOC!$A$28:$A$37,0),0))</f>
        <v>386100</v>
      </c>
      <c r="K137" s="41">
        <f t="shared" si="5"/>
        <v>30888</v>
      </c>
      <c r="L137" s="41">
        <f t="shared" si="6"/>
        <v>416988</v>
      </c>
      <c r="M137" s="37">
        <v>46118</v>
      </c>
      <c r="N137" s="42">
        <v>5</v>
      </c>
      <c r="O137" s="64">
        <v>34832</v>
      </c>
      <c r="P137" s="43" t="str">
        <f t="shared" si="7"/>
        <v>Cước vận chuyển cont Hàng 20 tuyến đường HẢI AN - NHĐV. Số xe: 15C17442</v>
      </c>
      <c r="Q137" s="3">
        <v>1</v>
      </c>
    </row>
    <row r="138" spans="1:17" ht="15" customHeight="1">
      <c r="A138" s="39">
        <v>125</v>
      </c>
      <c r="B138" s="40" t="s">
        <v>240</v>
      </c>
      <c r="C138" s="40">
        <v>40</v>
      </c>
      <c r="D138" s="40" t="s">
        <v>100</v>
      </c>
      <c r="E138" s="40" t="s">
        <v>220</v>
      </c>
      <c r="F138" s="40" t="s">
        <v>221</v>
      </c>
      <c r="G138" s="40" t="s">
        <v>15</v>
      </c>
      <c r="H138" s="40" t="s">
        <v>53</v>
      </c>
      <c r="I138" s="40" t="s">
        <v>68</v>
      </c>
      <c r="J138" s="41" cm="1">
        <f t="array" ref="J138">IF(C138=20,INDEX(CUOC!$C$28:$C$37,MATCH(N138,CUOC!$A$28:$A$37,0),0),INDEX(CUOC!$D$28:$D$37,MATCH(N138,CUOC!$A$28:$A$37,0),0))</f>
        <v>448500</v>
      </c>
      <c r="K138" s="41">
        <f t="shared" si="5"/>
        <v>35880</v>
      </c>
      <c r="L138" s="41">
        <f t="shared" si="6"/>
        <v>484380</v>
      </c>
      <c r="M138" s="37">
        <v>46118</v>
      </c>
      <c r="N138" s="42">
        <v>5</v>
      </c>
      <c r="O138" s="64">
        <v>34832</v>
      </c>
      <c r="P138" s="43" t="str">
        <f t="shared" si="7"/>
        <v>Cước vận chuyển cont Hàng 40 tuyến đường HẢI AN - NHĐV. Số xe: 15C17442</v>
      </c>
      <c r="Q138" s="3">
        <v>1</v>
      </c>
    </row>
    <row r="139" spans="1:17" ht="15" customHeight="1">
      <c r="A139" s="39">
        <v>126</v>
      </c>
      <c r="B139" s="40" t="s">
        <v>241</v>
      </c>
      <c r="C139" s="40">
        <v>40</v>
      </c>
      <c r="D139" s="40" t="s">
        <v>100</v>
      </c>
      <c r="E139" s="40" t="s">
        <v>220</v>
      </c>
      <c r="F139" s="40" t="s">
        <v>221</v>
      </c>
      <c r="G139" s="40" t="s">
        <v>15</v>
      </c>
      <c r="H139" s="40" t="s">
        <v>53</v>
      </c>
      <c r="I139" s="40" t="s">
        <v>68</v>
      </c>
      <c r="J139" s="41" cm="1">
        <f t="array" ref="J139">IF(C139=20,INDEX(CUOC!$C$28:$C$37,MATCH(N139,CUOC!$A$28:$A$37,0),0),INDEX(CUOC!$D$28:$D$37,MATCH(N139,CUOC!$A$28:$A$37,0),0))</f>
        <v>448500</v>
      </c>
      <c r="K139" s="41">
        <f t="shared" si="5"/>
        <v>35880</v>
      </c>
      <c r="L139" s="41">
        <f t="shared" si="6"/>
        <v>484380</v>
      </c>
      <c r="M139" s="37">
        <v>46118</v>
      </c>
      <c r="N139" s="42">
        <v>5</v>
      </c>
      <c r="O139" s="64">
        <v>34832</v>
      </c>
      <c r="P139" s="43" t="str">
        <f t="shared" si="7"/>
        <v>Cước vận chuyển cont Hàng 40 tuyến đường HẢI AN - NHĐV. Số xe: 15C17442</v>
      </c>
      <c r="Q139" s="3">
        <v>1</v>
      </c>
    </row>
    <row r="140" spans="1:17" ht="15" customHeight="1">
      <c r="A140" s="39">
        <v>127</v>
      </c>
      <c r="B140" s="40" t="s">
        <v>242</v>
      </c>
      <c r="C140" s="40">
        <v>40</v>
      </c>
      <c r="D140" s="40" t="s">
        <v>100</v>
      </c>
      <c r="E140" s="40" t="s">
        <v>220</v>
      </c>
      <c r="F140" s="40" t="s">
        <v>221</v>
      </c>
      <c r="G140" s="40" t="s">
        <v>15</v>
      </c>
      <c r="H140" s="40" t="s">
        <v>53</v>
      </c>
      <c r="I140" s="40" t="s">
        <v>68</v>
      </c>
      <c r="J140" s="41" cm="1">
        <f t="array" ref="J140">IF(C140=20,INDEX(CUOC!$C$28:$C$37,MATCH(N140,CUOC!$A$28:$A$37,0),0),INDEX(CUOC!$D$28:$D$37,MATCH(N140,CUOC!$A$28:$A$37,0),0))</f>
        <v>448500</v>
      </c>
      <c r="K140" s="41">
        <f t="shared" si="5"/>
        <v>35880</v>
      </c>
      <c r="L140" s="41">
        <f t="shared" si="6"/>
        <v>484380</v>
      </c>
      <c r="M140" s="37">
        <v>46118</v>
      </c>
      <c r="N140" s="42">
        <v>5</v>
      </c>
      <c r="O140" s="64">
        <v>34832</v>
      </c>
      <c r="P140" s="43" t="str">
        <f t="shared" si="7"/>
        <v>Cước vận chuyển cont Hàng 40 tuyến đường HẢI AN - NHĐV. Số xe: 15C17442</v>
      </c>
      <c r="Q140" s="3">
        <v>1</v>
      </c>
    </row>
    <row r="141" spans="1:17" ht="15" customHeight="1">
      <c r="A141" s="39">
        <v>128</v>
      </c>
      <c r="B141" s="40" t="s">
        <v>243</v>
      </c>
      <c r="C141" s="40">
        <v>40</v>
      </c>
      <c r="D141" s="40" t="s">
        <v>100</v>
      </c>
      <c r="E141" s="40" t="s">
        <v>220</v>
      </c>
      <c r="F141" s="40" t="s">
        <v>489</v>
      </c>
      <c r="G141" s="40" t="s">
        <v>53</v>
      </c>
      <c r="H141" s="40" t="s">
        <v>15</v>
      </c>
      <c r="I141" s="40" t="s">
        <v>68</v>
      </c>
      <c r="J141" s="41" cm="1">
        <f t="array" ref="J141">IF(C141=20,INDEX(CUOC!$C$28:$C$37,MATCH(N141,CUOC!$A$28:$A$37,0),0),INDEX(CUOC!$D$28:$D$37,MATCH(N141,CUOC!$A$28:$A$37,0),0))</f>
        <v>448500</v>
      </c>
      <c r="K141" s="41">
        <f t="shared" si="5"/>
        <v>35880</v>
      </c>
      <c r="L141" s="41">
        <f t="shared" si="6"/>
        <v>484380</v>
      </c>
      <c r="M141" s="37">
        <v>46118</v>
      </c>
      <c r="N141" s="42">
        <v>5</v>
      </c>
      <c r="O141" s="64">
        <v>34832</v>
      </c>
      <c r="P141" s="43" t="str">
        <f t="shared" si="7"/>
        <v>Cước vận chuyển cont Hàng 40 tuyến đường NHĐV - HẢI AN. Số xe: 15C17442</v>
      </c>
      <c r="Q141" s="3">
        <v>1</v>
      </c>
    </row>
    <row r="142" spans="1:17" ht="15" customHeight="1">
      <c r="A142" s="39">
        <v>129</v>
      </c>
      <c r="B142" s="40" t="s">
        <v>244</v>
      </c>
      <c r="C142" s="40">
        <v>20</v>
      </c>
      <c r="D142" s="40" t="s">
        <v>100</v>
      </c>
      <c r="E142" s="40" t="s">
        <v>220</v>
      </c>
      <c r="F142" s="40" t="s">
        <v>221</v>
      </c>
      <c r="G142" s="40" t="s">
        <v>15</v>
      </c>
      <c r="H142" s="40" t="s">
        <v>53</v>
      </c>
      <c r="I142" s="40" t="s">
        <v>70</v>
      </c>
      <c r="J142" s="41" cm="1">
        <f t="array" ref="J142">IF(C142=20,INDEX(CUOC!$C$28:$C$37,MATCH(N142,CUOC!$A$28:$A$37,0),0),INDEX(CUOC!$D$28:$D$37,MATCH(N142,CUOC!$A$28:$A$37,0),0))</f>
        <v>386100</v>
      </c>
      <c r="K142" s="41">
        <f t="shared" si="5"/>
        <v>30888</v>
      </c>
      <c r="L142" s="41">
        <f t="shared" si="6"/>
        <v>416988</v>
      </c>
      <c r="M142" s="37">
        <v>46118</v>
      </c>
      <c r="N142" s="42">
        <v>5</v>
      </c>
      <c r="O142" s="64">
        <v>34832</v>
      </c>
      <c r="P142" s="43" t="str">
        <f t="shared" si="7"/>
        <v>Cước vận chuyển cont Hàng 20 tuyến đường HẢI AN - NHĐV. Số xe: 15H07524</v>
      </c>
      <c r="Q142" s="3">
        <v>1</v>
      </c>
    </row>
    <row r="143" spans="1:17" ht="15" customHeight="1">
      <c r="A143" s="39">
        <v>130</v>
      </c>
      <c r="B143" s="40" t="s">
        <v>245</v>
      </c>
      <c r="C143" s="40">
        <v>20</v>
      </c>
      <c r="D143" s="40" t="s">
        <v>100</v>
      </c>
      <c r="E143" s="40" t="s">
        <v>220</v>
      </c>
      <c r="F143" s="40" t="s">
        <v>221</v>
      </c>
      <c r="G143" s="40" t="s">
        <v>15</v>
      </c>
      <c r="H143" s="40" t="s">
        <v>53</v>
      </c>
      <c r="I143" s="40" t="s">
        <v>70</v>
      </c>
      <c r="J143" s="41" cm="1">
        <f t="array" ref="J143">IF(C143=20,INDEX(CUOC!$C$28:$C$37,MATCH(N143,CUOC!$A$28:$A$37,0),0),INDEX(CUOC!$D$28:$D$37,MATCH(N143,CUOC!$A$28:$A$37,0),0))</f>
        <v>386100</v>
      </c>
      <c r="K143" s="41">
        <f t="shared" ref="K143:K206" si="8">+J143*0.08</f>
        <v>30888</v>
      </c>
      <c r="L143" s="41">
        <f t="shared" ref="L143:L206" si="9">+K143+J143</f>
        <v>416988</v>
      </c>
      <c r="M143" s="37">
        <v>46118</v>
      </c>
      <c r="N143" s="42">
        <v>5</v>
      </c>
      <c r="O143" s="64">
        <v>34832</v>
      </c>
      <c r="P143" s="43" t="str">
        <f t="shared" ref="P143:P206" si="10">IF(D143="R",$P$8&amp;C143&amp;$P$10&amp;G143&amp;$Q$12&amp;H143&amp;$P$11&amp;I143,$P$9&amp;C143&amp;$P$10&amp;G143&amp;$Q$12&amp;H143&amp;$P$11&amp;I143)</f>
        <v>Cước vận chuyển cont Hàng 20 tuyến đường HẢI AN - NHĐV. Số xe: 15H07524</v>
      </c>
      <c r="Q143" s="3">
        <v>1</v>
      </c>
    </row>
    <row r="144" spans="1:17" ht="15" customHeight="1">
      <c r="A144" s="39">
        <v>131</v>
      </c>
      <c r="B144" s="40" t="s">
        <v>246</v>
      </c>
      <c r="C144" s="40">
        <v>20</v>
      </c>
      <c r="D144" s="40" t="s">
        <v>100</v>
      </c>
      <c r="E144" s="40" t="s">
        <v>220</v>
      </c>
      <c r="F144" s="40" t="s">
        <v>221</v>
      </c>
      <c r="G144" s="40" t="s">
        <v>15</v>
      </c>
      <c r="H144" s="40" t="s">
        <v>53</v>
      </c>
      <c r="I144" s="40" t="s">
        <v>70</v>
      </c>
      <c r="J144" s="41" cm="1">
        <f t="array" ref="J144">IF(C144=20,INDEX(CUOC!$C$28:$C$37,MATCH(N144,CUOC!$A$28:$A$37,0),0),INDEX(CUOC!$D$28:$D$37,MATCH(N144,CUOC!$A$28:$A$37,0),0))</f>
        <v>386100</v>
      </c>
      <c r="K144" s="41">
        <f t="shared" si="8"/>
        <v>30888</v>
      </c>
      <c r="L144" s="41">
        <f t="shared" si="9"/>
        <v>416988</v>
      </c>
      <c r="M144" s="37">
        <v>46118</v>
      </c>
      <c r="N144" s="42">
        <v>5</v>
      </c>
      <c r="O144" s="64">
        <v>34832</v>
      </c>
      <c r="P144" s="43" t="str">
        <f t="shared" si="10"/>
        <v>Cước vận chuyển cont Hàng 20 tuyến đường HẢI AN - NHĐV. Số xe: 15H07524</v>
      </c>
      <c r="Q144" s="3">
        <v>1</v>
      </c>
    </row>
    <row r="145" spans="1:17" ht="15" customHeight="1">
      <c r="A145" s="39">
        <v>132</v>
      </c>
      <c r="B145" s="40" t="s">
        <v>247</v>
      </c>
      <c r="C145" s="40">
        <v>20</v>
      </c>
      <c r="D145" s="40" t="s">
        <v>100</v>
      </c>
      <c r="E145" s="40" t="s">
        <v>220</v>
      </c>
      <c r="F145" s="40" t="s">
        <v>221</v>
      </c>
      <c r="G145" s="40" t="s">
        <v>15</v>
      </c>
      <c r="H145" s="40" t="s">
        <v>53</v>
      </c>
      <c r="I145" s="40" t="s">
        <v>70</v>
      </c>
      <c r="J145" s="41" cm="1">
        <f t="array" ref="J145">IF(C145=20,INDEX(CUOC!$C$28:$C$37,MATCH(N145,CUOC!$A$28:$A$37,0),0),INDEX(CUOC!$D$28:$D$37,MATCH(N145,CUOC!$A$28:$A$37,0),0))</f>
        <v>386100</v>
      </c>
      <c r="K145" s="41">
        <f t="shared" si="8"/>
        <v>30888</v>
      </c>
      <c r="L145" s="41">
        <f t="shared" si="9"/>
        <v>416988</v>
      </c>
      <c r="M145" s="37">
        <v>46118</v>
      </c>
      <c r="N145" s="42">
        <v>5</v>
      </c>
      <c r="O145" s="64">
        <v>34832</v>
      </c>
      <c r="P145" s="43" t="str">
        <f t="shared" si="10"/>
        <v>Cước vận chuyển cont Hàng 20 tuyến đường HẢI AN - NHĐV. Số xe: 15H07524</v>
      </c>
      <c r="Q145" s="3">
        <v>1</v>
      </c>
    </row>
    <row r="146" spans="1:17" ht="15" customHeight="1">
      <c r="A146" s="39">
        <v>133</v>
      </c>
      <c r="B146" s="40" t="s">
        <v>248</v>
      </c>
      <c r="C146" s="40">
        <v>20</v>
      </c>
      <c r="D146" s="40" t="s">
        <v>100</v>
      </c>
      <c r="E146" s="40" t="s">
        <v>220</v>
      </c>
      <c r="F146" s="40" t="s">
        <v>221</v>
      </c>
      <c r="G146" s="40" t="s">
        <v>15</v>
      </c>
      <c r="H146" s="40" t="s">
        <v>53</v>
      </c>
      <c r="I146" s="40" t="s">
        <v>70</v>
      </c>
      <c r="J146" s="41" cm="1">
        <f t="array" ref="J146">IF(C146=20,INDEX(CUOC!$C$28:$C$37,MATCH(N146,CUOC!$A$28:$A$37,0),0),INDEX(CUOC!$D$28:$D$37,MATCH(N146,CUOC!$A$28:$A$37,0),0))</f>
        <v>386100</v>
      </c>
      <c r="K146" s="41">
        <f t="shared" si="8"/>
        <v>30888</v>
      </c>
      <c r="L146" s="41">
        <f t="shared" si="9"/>
        <v>416988</v>
      </c>
      <c r="M146" s="37">
        <v>46118</v>
      </c>
      <c r="N146" s="42">
        <v>5</v>
      </c>
      <c r="O146" s="64">
        <v>34832</v>
      </c>
      <c r="P146" s="43" t="str">
        <f t="shared" si="10"/>
        <v>Cước vận chuyển cont Hàng 20 tuyến đường HẢI AN - NHĐV. Số xe: 15H07524</v>
      </c>
      <c r="Q146" s="3">
        <v>1</v>
      </c>
    </row>
    <row r="147" spans="1:17" ht="15" customHeight="1">
      <c r="A147" s="39">
        <v>134</v>
      </c>
      <c r="B147" s="40" t="s">
        <v>249</v>
      </c>
      <c r="C147" s="40">
        <v>20</v>
      </c>
      <c r="D147" s="40" t="s">
        <v>100</v>
      </c>
      <c r="E147" s="40" t="s">
        <v>220</v>
      </c>
      <c r="F147" s="40" t="s">
        <v>221</v>
      </c>
      <c r="G147" s="40" t="s">
        <v>15</v>
      </c>
      <c r="H147" s="40" t="s">
        <v>53</v>
      </c>
      <c r="I147" s="40" t="s">
        <v>70</v>
      </c>
      <c r="J147" s="41" cm="1">
        <f t="array" ref="J147">IF(C147=20,INDEX(CUOC!$C$28:$C$37,MATCH(N147,CUOC!$A$28:$A$37,0),0),INDEX(CUOC!$D$28:$D$37,MATCH(N147,CUOC!$A$28:$A$37,0),0))</f>
        <v>386100</v>
      </c>
      <c r="K147" s="41">
        <f t="shared" si="8"/>
        <v>30888</v>
      </c>
      <c r="L147" s="41">
        <f t="shared" si="9"/>
        <v>416988</v>
      </c>
      <c r="M147" s="37">
        <v>46118</v>
      </c>
      <c r="N147" s="42">
        <v>5</v>
      </c>
      <c r="O147" s="64">
        <v>34832</v>
      </c>
      <c r="P147" s="43" t="str">
        <f t="shared" si="10"/>
        <v>Cước vận chuyển cont Hàng 20 tuyến đường HẢI AN - NHĐV. Số xe: 15H07524</v>
      </c>
      <c r="Q147" s="3">
        <v>1</v>
      </c>
    </row>
    <row r="148" spans="1:17" ht="15" customHeight="1">
      <c r="A148" s="39">
        <v>135</v>
      </c>
      <c r="B148" s="40" t="s">
        <v>250</v>
      </c>
      <c r="C148" s="40">
        <v>20</v>
      </c>
      <c r="D148" s="40" t="s">
        <v>100</v>
      </c>
      <c r="E148" s="40" t="s">
        <v>220</v>
      </c>
      <c r="F148" s="40" t="s">
        <v>221</v>
      </c>
      <c r="G148" s="40" t="s">
        <v>15</v>
      </c>
      <c r="H148" s="40" t="s">
        <v>53</v>
      </c>
      <c r="I148" s="40" t="s">
        <v>70</v>
      </c>
      <c r="J148" s="41" cm="1">
        <f t="array" ref="J148">IF(C148=20,INDEX(CUOC!$C$28:$C$37,MATCH(N148,CUOC!$A$28:$A$37,0),0),INDEX(CUOC!$D$28:$D$37,MATCH(N148,CUOC!$A$28:$A$37,0),0))</f>
        <v>386100</v>
      </c>
      <c r="K148" s="41">
        <f t="shared" si="8"/>
        <v>30888</v>
      </c>
      <c r="L148" s="41">
        <f t="shared" si="9"/>
        <v>416988</v>
      </c>
      <c r="M148" s="37">
        <v>46118</v>
      </c>
      <c r="N148" s="42">
        <v>5</v>
      </c>
      <c r="O148" s="64">
        <v>34832</v>
      </c>
      <c r="P148" s="43" t="str">
        <f t="shared" si="10"/>
        <v>Cước vận chuyển cont Hàng 20 tuyến đường HẢI AN - NHĐV. Số xe: 15H07524</v>
      </c>
      <c r="Q148" s="3">
        <v>1</v>
      </c>
    </row>
    <row r="149" spans="1:17" ht="15" customHeight="1">
      <c r="A149" s="39">
        <v>136</v>
      </c>
      <c r="B149" s="40" t="s">
        <v>251</v>
      </c>
      <c r="C149" s="40">
        <v>20</v>
      </c>
      <c r="D149" s="40" t="s">
        <v>100</v>
      </c>
      <c r="E149" s="40" t="s">
        <v>220</v>
      </c>
      <c r="F149" s="40" t="s">
        <v>221</v>
      </c>
      <c r="G149" s="40" t="s">
        <v>15</v>
      </c>
      <c r="H149" s="40" t="s">
        <v>53</v>
      </c>
      <c r="I149" s="40" t="s">
        <v>70</v>
      </c>
      <c r="J149" s="41" cm="1">
        <f t="array" ref="J149">IF(C149=20,INDEX(CUOC!$C$28:$C$37,MATCH(N149,CUOC!$A$28:$A$37,0),0),INDEX(CUOC!$D$28:$D$37,MATCH(N149,CUOC!$A$28:$A$37,0),0))</f>
        <v>386100</v>
      </c>
      <c r="K149" s="41">
        <f t="shared" si="8"/>
        <v>30888</v>
      </c>
      <c r="L149" s="41">
        <f t="shared" si="9"/>
        <v>416988</v>
      </c>
      <c r="M149" s="37">
        <v>46118</v>
      </c>
      <c r="N149" s="42">
        <v>5</v>
      </c>
      <c r="O149" s="64">
        <v>34832</v>
      </c>
      <c r="P149" s="43" t="str">
        <f t="shared" si="10"/>
        <v>Cước vận chuyển cont Hàng 20 tuyến đường HẢI AN - NHĐV. Số xe: 15H07524</v>
      </c>
      <c r="Q149" s="3">
        <v>1</v>
      </c>
    </row>
    <row r="150" spans="1:17" ht="15" customHeight="1">
      <c r="A150" s="39">
        <v>137</v>
      </c>
      <c r="B150" s="40" t="s">
        <v>252</v>
      </c>
      <c r="C150" s="40">
        <v>40</v>
      </c>
      <c r="D150" s="40" t="s">
        <v>100</v>
      </c>
      <c r="E150" s="40" t="s">
        <v>220</v>
      </c>
      <c r="F150" s="40" t="s">
        <v>221</v>
      </c>
      <c r="G150" s="40" t="s">
        <v>15</v>
      </c>
      <c r="H150" s="40" t="s">
        <v>53</v>
      </c>
      <c r="I150" s="40" t="s">
        <v>70</v>
      </c>
      <c r="J150" s="41" cm="1">
        <f t="array" ref="J150">IF(C150=20,INDEX(CUOC!$C$28:$C$37,MATCH(N150,CUOC!$A$28:$A$37,0),0),INDEX(CUOC!$D$28:$D$37,MATCH(N150,CUOC!$A$28:$A$37,0),0))</f>
        <v>448500</v>
      </c>
      <c r="K150" s="41">
        <f t="shared" si="8"/>
        <v>35880</v>
      </c>
      <c r="L150" s="41">
        <f t="shared" si="9"/>
        <v>484380</v>
      </c>
      <c r="M150" s="37">
        <v>46118</v>
      </c>
      <c r="N150" s="42">
        <v>5</v>
      </c>
      <c r="O150" s="64">
        <v>34832</v>
      </c>
      <c r="P150" s="43" t="str">
        <f t="shared" si="10"/>
        <v>Cước vận chuyển cont Hàng 40 tuyến đường HẢI AN - NHĐV. Số xe: 15H07524</v>
      </c>
      <c r="Q150" s="3">
        <v>1</v>
      </c>
    </row>
    <row r="151" spans="1:17" ht="15" customHeight="1">
      <c r="A151" s="39">
        <v>138</v>
      </c>
      <c r="B151" s="40" t="s">
        <v>253</v>
      </c>
      <c r="C151" s="40">
        <v>40</v>
      </c>
      <c r="D151" s="40" t="s">
        <v>100</v>
      </c>
      <c r="E151" s="40" t="s">
        <v>220</v>
      </c>
      <c r="F151" s="40" t="s">
        <v>489</v>
      </c>
      <c r="G151" s="40" t="s">
        <v>53</v>
      </c>
      <c r="H151" s="40" t="s">
        <v>15</v>
      </c>
      <c r="I151" s="40" t="s">
        <v>70</v>
      </c>
      <c r="J151" s="41" cm="1">
        <f t="array" ref="J151">IF(C151=20,INDEX(CUOC!$C$28:$C$37,MATCH(N151,CUOC!$A$28:$A$37,0),0),INDEX(CUOC!$D$28:$D$37,MATCH(N151,CUOC!$A$28:$A$37,0),0))</f>
        <v>448500</v>
      </c>
      <c r="K151" s="41">
        <f t="shared" si="8"/>
        <v>35880</v>
      </c>
      <c r="L151" s="41">
        <f t="shared" si="9"/>
        <v>484380</v>
      </c>
      <c r="M151" s="37">
        <v>46118</v>
      </c>
      <c r="N151" s="42">
        <v>5</v>
      </c>
      <c r="O151" s="64">
        <v>34832</v>
      </c>
      <c r="P151" s="43" t="str">
        <f t="shared" si="10"/>
        <v>Cước vận chuyển cont Hàng 40 tuyến đường NHĐV - HẢI AN. Số xe: 15H07524</v>
      </c>
      <c r="Q151" s="3">
        <v>1</v>
      </c>
    </row>
    <row r="152" spans="1:17" ht="15" customHeight="1">
      <c r="A152" s="39">
        <v>139</v>
      </c>
      <c r="B152" s="40" t="s">
        <v>254</v>
      </c>
      <c r="C152" s="40">
        <v>40</v>
      </c>
      <c r="D152" s="40" t="s">
        <v>100</v>
      </c>
      <c r="E152" s="40" t="s">
        <v>220</v>
      </c>
      <c r="F152" s="40" t="s">
        <v>221</v>
      </c>
      <c r="G152" s="40" t="s">
        <v>15</v>
      </c>
      <c r="H152" s="40" t="s">
        <v>53</v>
      </c>
      <c r="I152" s="40" t="s">
        <v>65</v>
      </c>
      <c r="J152" s="41" cm="1">
        <f t="array" ref="J152">IF(C152=20,INDEX(CUOC!$C$28:$C$37,MATCH(N152,CUOC!$A$28:$A$37,0),0),INDEX(CUOC!$D$28:$D$37,MATCH(N152,CUOC!$A$28:$A$37,0),0))</f>
        <v>448500</v>
      </c>
      <c r="K152" s="41">
        <f t="shared" si="8"/>
        <v>35880</v>
      </c>
      <c r="L152" s="41">
        <f t="shared" si="9"/>
        <v>484380</v>
      </c>
      <c r="M152" s="37">
        <v>46118</v>
      </c>
      <c r="N152" s="42">
        <v>5</v>
      </c>
      <c r="O152" s="64">
        <v>34832</v>
      </c>
      <c r="P152" s="43" t="str">
        <f t="shared" si="10"/>
        <v>Cước vận chuyển cont Hàng 40 tuyến đường HẢI AN - NHĐV. Số xe: 15H15378</v>
      </c>
      <c r="Q152" s="3">
        <v>1</v>
      </c>
    </row>
    <row r="153" spans="1:17" ht="15" customHeight="1">
      <c r="A153" s="39">
        <v>140</v>
      </c>
      <c r="B153" s="40" t="s">
        <v>255</v>
      </c>
      <c r="C153" s="40">
        <v>40</v>
      </c>
      <c r="D153" s="40" t="s">
        <v>100</v>
      </c>
      <c r="E153" s="40" t="s">
        <v>220</v>
      </c>
      <c r="F153" s="40" t="s">
        <v>221</v>
      </c>
      <c r="G153" s="40" t="s">
        <v>15</v>
      </c>
      <c r="H153" s="40" t="s">
        <v>53</v>
      </c>
      <c r="I153" s="40" t="s">
        <v>65</v>
      </c>
      <c r="J153" s="41" cm="1">
        <f t="array" ref="J153">IF(C153=20,INDEX(CUOC!$C$28:$C$37,MATCH(N153,CUOC!$A$28:$A$37,0),0),INDEX(CUOC!$D$28:$D$37,MATCH(N153,CUOC!$A$28:$A$37,0),0))</f>
        <v>448500</v>
      </c>
      <c r="K153" s="41">
        <f t="shared" si="8"/>
        <v>35880</v>
      </c>
      <c r="L153" s="41">
        <f t="shared" si="9"/>
        <v>484380</v>
      </c>
      <c r="M153" s="37">
        <v>46118</v>
      </c>
      <c r="N153" s="42">
        <v>5</v>
      </c>
      <c r="O153" s="64">
        <v>34832</v>
      </c>
      <c r="P153" s="43" t="str">
        <f t="shared" si="10"/>
        <v>Cước vận chuyển cont Hàng 40 tuyến đường HẢI AN - NHĐV. Số xe: 15H15378</v>
      </c>
      <c r="Q153" s="3">
        <v>1</v>
      </c>
    </row>
    <row r="154" spans="1:17" ht="15" customHeight="1">
      <c r="A154" s="39">
        <v>141</v>
      </c>
      <c r="B154" s="40" t="s">
        <v>256</v>
      </c>
      <c r="C154" s="40">
        <v>40</v>
      </c>
      <c r="D154" s="40" t="s">
        <v>100</v>
      </c>
      <c r="E154" s="40" t="s">
        <v>220</v>
      </c>
      <c r="F154" s="40" t="s">
        <v>489</v>
      </c>
      <c r="G154" s="40" t="s">
        <v>53</v>
      </c>
      <c r="H154" s="40" t="s">
        <v>15</v>
      </c>
      <c r="I154" s="40" t="s">
        <v>65</v>
      </c>
      <c r="J154" s="41" cm="1">
        <f t="array" ref="J154">IF(C154=20,INDEX(CUOC!$C$28:$C$37,MATCH(N154,CUOC!$A$28:$A$37,0),0),INDEX(CUOC!$D$28:$D$37,MATCH(N154,CUOC!$A$28:$A$37,0),0))</f>
        <v>448500</v>
      </c>
      <c r="K154" s="41">
        <f t="shared" si="8"/>
        <v>35880</v>
      </c>
      <c r="L154" s="41">
        <f t="shared" si="9"/>
        <v>484380</v>
      </c>
      <c r="M154" s="37">
        <v>46118</v>
      </c>
      <c r="N154" s="42">
        <v>5</v>
      </c>
      <c r="O154" s="64">
        <v>34832</v>
      </c>
      <c r="P154" s="43" t="str">
        <f t="shared" si="10"/>
        <v>Cước vận chuyển cont Hàng 40 tuyến đường NHĐV - HẢI AN. Số xe: 15H15378</v>
      </c>
      <c r="Q154" s="3">
        <v>1</v>
      </c>
    </row>
    <row r="155" spans="1:17" ht="15" customHeight="1">
      <c r="A155" s="39">
        <v>142</v>
      </c>
      <c r="B155" s="40" t="s">
        <v>257</v>
      </c>
      <c r="C155" s="40">
        <v>40</v>
      </c>
      <c r="D155" s="40" t="s">
        <v>100</v>
      </c>
      <c r="E155" s="40" t="s">
        <v>220</v>
      </c>
      <c r="F155" s="40" t="s">
        <v>221</v>
      </c>
      <c r="G155" s="40" t="s">
        <v>15</v>
      </c>
      <c r="H155" s="40" t="s">
        <v>53</v>
      </c>
      <c r="I155" s="40" t="s">
        <v>464</v>
      </c>
      <c r="J155" s="41" cm="1">
        <f t="array" ref="J155">IF(C155=20,INDEX(CUOC!$C$28:$C$37,MATCH(N155,CUOC!$A$28:$A$37,0),0),INDEX(CUOC!$D$28:$D$37,MATCH(N155,CUOC!$A$28:$A$37,0),0))</f>
        <v>448500</v>
      </c>
      <c r="K155" s="41">
        <f t="shared" si="8"/>
        <v>35880</v>
      </c>
      <c r="L155" s="41">
        <f t="shared" si="9"/>
        <v>484380</v>
      </c>
      <c r="M155" s="37">
        <v>46118</v>
      </c>
      <c r="N155" s="42">
        <v>5</v>
      </c>
      <c r="O155" s="64">
        <v>34832</v>
      </c>
      <c r="P155" s="43" t="str">
        <f t="shared" si="10"/>
        <v>Cước vận chuyển cont Hàng 40 tuyến đường HẢI AN - NHĐV. Số xe: 15H17403</v>
      </c>
      <c r="Q155" s="3">
        <v>1</v>
      </c>
    </row>
    <row r="156" spans="1:17" ht="15" customHeight="1">
      <c r="A156" s="39">
        <v>143</v>
      </c>
      <c r="B156" s="40" t="s">
        <v>258</v>
      </c>
      <c r="C156" s="40">
        <v>40</v>
      </c>
      <c r="D156" s="40" t="s">
        <v>100</v>
      </c>
      <c r="E156" s="40" t="s">
        <v>220</v>
      </c>
      <c r="F156" s="40" t="s">
        <v>221</v>
      </c>
      <c r="G156" s="40" t="s">
        <v>15</v>
      </c>
      <c r="H156" s="40" t="s">
        <v>53</v>
      </c>
      <c r="I156" s="40" t="s">
        <v>464</v>
      </c>
      <c r="J156" s="41" cm="1">
        <f t="array" ref="J156">IF(C156=20,INDEX(CUOC!$C$28:$C$37,MATCH(N156,CUOC!$A$28:$A$37,0),0),INDEX(CUOC!$D$28:$D$37,MATCH(N156,CUOC!$A$28:$A$37,0),0))</f>
        <v>448500</v>
      </c>
      <c r="K156" s="41">
        <f t="shared" si="8"/>
        <v>35880</v>
      </c>
      <c r="L156" s="41">
        <f t="shared" si="9"/>
        <v>484380</v>
      </c>
      <c r="M156" s="37">
        <v>46118</v>
      </c>
      <c r="N156" s="42">
        <v>5</v>
      </c>
      <c r="O156" s="64">
        <v>34832</v>
      </c>
      <c r="P156" s="43" t="str">
        <f t="shared" si="10"/>
        <v>Cước vận chuyển cont Hàng 40 tuyến đường HẢI AN - NHĐV. Số xe: 15H17403</v>
      </c>
      <c r="Q156" s="3">
        <v>1</v>
      </c>
    </row>
    <row r="157" spans="1:17" ht="15" customHeight="1">
      <c r="A157" s="39">
        <v>144</v>
      </c>
      <c r="B157" s="40" t="s">
        <v>259</v>
      </c>
      <c r="C157" s="40">
        <v>40</v>
      </c>
      <c r="D157" s="40" t="s">
        <v>100</v>
      </c>
      <c r="E157" s="40" t="s">
        <v>220</v>
      </c>
      <c r="F157" s="40" t="s">
        <v>221</v>
      </c>
      <c r="G157" s="40" t="s">
        <v>15</v>
      </c>
      <c r="H157" s="40" t="s">
        <v>53</v>
      </c>
      <c r="I157" s="40" t="s">
        <v>97</v>
      </c>
      <c r="J157" s="41" cm="1">
        <f t="array" ref="J157">IF(C157=20,INDEX(CUOC!$C$28:$C$37,MATCH(N157,CUOC!$A$28:$A$37,0),0),INDEX(CUOC!$D$28:$D$37,MATCH(N157,CUOC!$A$28:$A$37,0),0))</f>
        <v>448500</v>
      </c>
      <c r="K157" s="41">
        <f t="shared" si="8"/>
        <v>35880</v>
      </c>
      <c r="L157" s="41">
        <f t="shared" si="9"/>
        <v>484380</v>
      </c>
      <c r="M157" s="37">
        <v>46118</v>
      </c>
      <c r="N157" s="42">
        <v>5</v>
      </c>
      <c r="O157" s="64">
        <v>34832</v>
      </c>
      <c r="P157" s="43" t="str">
        <f t="shared" si="10"/>
        <v>Cước vận chuyển cont Hàng 40 tuyến đường HẢI AN - NHĐV. Số xe: 15H18753</v>
      </c>
      <c r="Q157" s="3">
        <v>1</v>
      </c>
    </row>
    <row r="158" spans="1:17" ht="15" customHeight="1">
      <c r="A158" s="39">
        <v>145</v>
      </c>
      <c r="B158" s="40" t="s">
        <v>260</v>
      </c>
      <c r="C158" s="40">
        <v>40</v>
      </c>
      <c r="D158" s="40" t="s">
        <v>100</v>
      </c>
      <c r="E158" s="40" t="s">
        <v>220</v>
      </c>
      <c r="F158" s="40" t="s">
        <v>221</v>
      </c>
      <c r="G158" s="40" t="s">
        <v>15</v>
      </c>
      <c r="H158" s="40" t="s">
        <v>53</v>
      </c>
      <c r="I158" s="40" t="s">
        <v>97</v>
      </c>
      <c r="J158" s="41" cm="1">
        <f t="array" ref="J158">IF(C158=20,INDEX(CUOC!$C$28:$C$37,MATCH(N158,CUOC!$A$28:$A$37,0),0),INDEX(CUOC!$D$28:$D$37,MATCH(N158,CUOC!$A$28:$A$37,0),0))</f>
        <v>448500</v>
      </c>
      <c r="K158" s="41">
        <f t="shared" si="8"/>
        <v>35880</v>
      </c>
      <c r="L158" s="41">
        <f t="shared" si="9"/>
        <v>484380</v>
      </c>
      <c r="M158" s="37">
        <v>46118</v>
      </c>
      <c r="N158" s="42">
        <v>5</v>
      </c>
      <c r="O158" s="64">
        <v>34832</v>
      </c>
      <c r="P158" s="43" t="str">
        <f t="shared" si="10"/>
        <v>Cước vận chuyển cont Hàng 40 tuyến đường HẢI AN - NHĐV. Số xe: 15H18753</v>
      </c>
      <c r="Q158" s="3">
        <v>1</v>
      </c>
    </row>
    <row r="159" spans="1:17" ht="15" customHeight="1">
      <c r="A159" s="39">
        <v>146</v>
      </c>
      <c r="B159" s="40" t="s">
        <v>261</v>
      </c>
      <c r="C159" s="40">
        <v>40</v>
      </c>
      <c r="D159" s="40" t="s">
        <v>100</v>
      </c>
      <c r="E159" s="40" t="s">
        <v>220</v>
      </c>
      <c r="F159" s="40" t="s">
        <v>489</v>
      </c>
      <c r="G159" s="40" t="s">
        <v>53</v>
      </c>
      <c r="H159" s="40" t="s">
        <v>15</v>
      </c>
      <c r="I159" s="40" t="s">
        <v>99</v>
      </c>
      <c r="J159" s="41" cm="1">
        <f t="array" ref="J159">IF(C159=20,INDEX(CUOC!$C$28:$C$37,MATCH(N159,CUOC!$A$28:$A$37,0),0),INDEX(CUOC!$D$28:$D$37,MATCH(N159,CUOC!$A$28:$A$37,0),0))</f>
        <v>448500</v>
      </c>
      <c r="K159" s="41">
        <f t="shared" si="8"/>
        <v>35880</v>
      </c>
      <c r="L159" s="41">
        <f t="shared" si="9"/>
        <v>484380</v>
      </c>
      <c r="M159" s="37">
        <v>46118</v>
      </c>
      <c r="N159" s="42">
        <v>5</v>
      </c>
      <c r="O159" s="64">
        <v>34832</v>
      </c>
      <c r="P159" s="43" t="str">
        <f t="shared" si="10"/>
        <v>Cước vận chuyển cont Hàng 40 tuyến đường NHĐV - HẢI AN. Số xe: 15H20645</v>
      </c>
      <c r="Q159" s="3">
        <v>1</v>
      </c>
    </row>
    <row r="160" spans="1:17" ht="15" customHeight="1">
      <c r="A160" s="39">
        <v>147</v>
      </c>
      <c r="B160" s="40" t="s">
        <v>262</v>
      </c>
      <c r="C160" s="40">
        <v>40</v>
      </c>
      <c r="D160" s="40" t="s">
        <v>100</v>
      </c>
      <c r="E160" s="40" t="s">
        <v>220</v>
      </c>
      <c r="F160" s="40" t="s">
        <v>489</v>
      </c>
      <c r="G160" s="40" t="s">
        <v>53</v>
      </c>
      <c r="H160" s="40" t="s">
        <v>15</v>
      </c>
      <c r="I160" s="40" t="s">
        <v>99</v>
      </c>
      <c r="J160" s="41" cm="1">
        <f t="array" ref="J160">IF(C160=20,INDEX(CUOC!$C$28:$C$37,MATCH(N160,CUOC!$A$28:$A$37,0),0),INDEX(CUOC!$D$28:$D$37,MATCH(N160,CUOC!$A$28:$A$37,0),0))</f>
        <v>448500</v>
      </c>
      <c r="K160" s="41">
        <f t="shared" si="8"/>
        <v>35880</v>
      </c>
      <c r="L160" s="41">
        <f t="shared" si="9"/>
        <v>484380</v>
      </c>
      <c r="M160" s="37">
        <v>46118</v>
      </c>
      <c r="N160" s="42">
        <v>5</v>
      </c>
      <c r="O160" s="64">
        <v>34832</v>
      </c>
      <c r="P160" s="43" t="str">
        <f t="shared" si="10"/>
        <v>Cước vận chuyển cont Hàng 40 tuyến đường NHĐV - HẢI AN. Số xe: 15H20645</v>
      </c>
      <c r="Q160" s="3">
        <v>1</v>
      </c>
    </row>
    <row r="161" spans="1:17" ht="15" customHeight="1">
      <c r="A161" s="39">
        <v>148</v>
      </c>
      <c r="B161" s="40" t="s">
        <v>263</v>
      </c>
      <c r="C161" s="40">
        <v>40</v>
      </c>
      <c r="D161" s="40" t="s">
        <v>100</v>
      </c>
      <c r="E161" s="40" t="s">
        <v>220</v>
      </c>
      <c r="F161" s="40" t="s">
        <v>221</v>
      </c>
      <c r="G161" s="40" t="s">
        <v>15</v>
      </c>
      <c r="H161" s="40" t="s">
        <v>53</v>
      </c>
      <c r="I161" s="40" t="s">
        <v>99</v>
      </c>
      <c r="J161" s="41" cm="1">
        <f t="array" ref="J161">IF(C161=20,INDEX(CUOC!$C$28:$C$37,MATCH(N161,CUOC!$A$28:$A$37,0),0),INDEX(CUOC!$D$28:$D$37,MATCH(N161,CUOC!$A$28:$A$37,0),0))</f>
        <v>448500</v>
      </c>
      <c r="K161" s="41">
        <f t="shared" si="8"/>
        <v>35880</v>
      </c>
      <c r="L161" s="41">
        <f t="shared" si="9"/>
        <v>484380</v>
      </c>
      <c r="M161" s="37">
        <v>46118</v>
      </c>
      <c r="N161" s="42">
        <v>5</v>
      </c>
      <c r="O161" s="64">
        <v>34832</v>
      </c>
      <c r="P161" s="43" t="str">
        <f t="shared" si="10"/>
        <v>Cước vận chuyển cont Hàng 40 tuyến đường HẢI AN - NHĐV. Số xe: 15H20645</v>
      </c>
      <c r="Q161" s="3">
        <v>1</v>
      </c>
    </row>
    <row r="162" spans="1:17" ht="15" customHeight="1">
      <c r="A162" s="39">
        <v>149</v>
      </c>
      <c r="B162" s="40" t="s">
        <v>264</v>
      </c>
      <c r="C162" s="40">
        <v>40</v>
      </c>
      <c r="D162" s="40" t="s">
        <v>100</v>
      </c>
      <c r="E162" s="40" t="s">
        <v>220</v>
      </c>
      <c r="F162" s="40" t="s">
        <v>221</v>
      </c>
      <c r="G162" s="40" t="s">
        <v>15</v>
      </c>
      <c r="H162" s="40" t="s">
        <v>53</v>
      </c>
      <c r="I162" s="40" t="s">
        <v>99</v>
      </c>
      <c r="J162" s="41" cm="1">
        <f t="array" ref="J162">IF(C162=20,INDEX(CUOC!$C$28:$C$37,MATCH(N162,CUOC!$A$28:$A$37,0),0),INDEX(CUOC!$D$28:$D$37,MATCH(N162,CUOC!$A$28:$A$37,0),0))</f>
        <v>448500</v>
      </c>
      <c r="K162" s="41">
        <f t="shared" si="8"/>
        <v>35880</v>
      </c>
      <c r="L162" s="41">
        <f t="shared" si="9"/>
        <v>484380</v>
      </c>
      <c r="M162" s="37">
        <v>46118</v>
      </c>
      <c r="N162" s="42">
        <v>5</v>
      </c>
      <c r="O162" s="64">
        <v>34832</v>
      </c>
      <c r="P162" s="43" t="str">
        <f t="shared" si="10"/>
        <v>Cước vận chuyển cont Hàng 40 tuyến đường HẢI AN - NHĐV. Số xe: 15H20645</v>
      </c>
      <c r="Q162" s="3">
        <v>1</v>
      </c>
    </row>
    <row r="163" spans="1:17" ht="15" customHeight="1">
      <c r="A163" s="39">
        <v>150</v>
      </c>
      <c r="B163" s="40" t="s">
        <v>265</v>
      </c>
      <c r="C163" s="40">
        <v>40</v>
      </c>
      <c r="D163" s="40" t="s">
        <v>100</v>
      </c>
      <c r="E163" s="40" t="s">
        <v>220</v>
      </c>
      <c r="F163" s="40" t="s">
        <v>221</v>
      </c>
      <c r="G163" s="40" t="s">
        <v>15</v>
      </c>
      <c r="H163" s="40" t="s">
        <v>53</v>
      </c>
      <c r="I163" s="40" t="s">
        <v>99</v>
      </c>
      <c r="J163" s="41" cm="1">
        <f t="array" ref="J163">IF(C163=20,INDEX(CUOC!$C$28:$C$37,MATCH(N163,CUOC!$A$28:$A$37,0),0),INDEX(CUOC!$D$28:$D$37,MATCH(N163,CUOC!$A$28:$A$37,0),0))</f>
        <v>448500</v>
      </c>
      <c r="K163" s="41">
        <f t="shared" si="8"/>
        <v>35880</v>
      </c>
      <c r="L163" s="41">
        <f t="shared" si="9"/>
        <v>484380</v>
      </c>
      <c r="M163" s="37">
        <v>46118</v>
      </c>
      <c r="N163" s="42">
        <v>5</v>
      </c>
      <c r="O163" s="64">
        <v>34832</v>
      </c>
      <c r="P163" s="43" t="str">
        <f t="shared" si="10"/>
        <v>Cước vận chuyển cont Hàng 40 tuyến đường HẢI AN - NHĐV. Số xe: 15H20645</v>
      </c>
      <c r="Q163" s="3">
        <v>1</v>
      </c>
    </row>
    <row r="164" spans="1:17" ht="15" customHeight="1">
      <c r="A164" s="39">
        <v>151</v>
      </c>
      <c r="B164" s="40" t="s">
        <v>266</v>
      </c>
      <c r="C164" s="40">
        <v>40</v>
      </c>
      <c r="D164" s="40" t="s">
        <v>100</v>
      </c>
      <c r="E164" s="40" t="s">
        <v>220</v>
      </c>
      <c r="F164" s="40" t="s">
        <v>221</v>
      </c>
      <c r="G164" s="40" t="s">
        <v>15</v>
      </c>
      <c r="H164" s="40" t="s">
        <v>53</v>
      </c>
      <c r="I164" s="40" t="s">
        <v>99</v>
      </c>
      <c r="J164" s="41" cm="1">
        <f t="array" ref="J164">IF(C164=20,INDEX(CUOC!$C$28:$C$37,MATCH(N164,CUOC!$A$28:$A$37,0),0),INDEX(CUOC!$D$28:$D$37,MATCH(N164,CUOC!$A$28:$A$37,0),0))</f>
        <v>448500</v>
      </c>
      <c r="K164" s="41">
        <f t="shared" si="8"/>
        <v>35880</v>
      </c>
      <c r="L164" s="41">
        <f t="shared" si="9"/>
        <v>484380</v>
      </c>
      <c r="M164" s="37">
        <v>46118</v>
      </c>
      <c r="N164" s="42">
        <v>5</v>
      </c>
      <c r="O164" s="64">
        <v>34832</v>
      </c>
      <c r="P164" s="43" t="str">
        <f t="shared" si="10"/>
        <v>Cước vận chuyển cont Hàng 40 tuyến đường HẢI AN - NHĐV. Số xe: 15H20645</v>
      </c>
      <c r="Q164" s="3">
        <v>1</v>
      </c>
    </row>
    <row r="165" spans="1:17" ht="15" customHeight="1">
      <c r="A165" s="39">
        <v>152</v>
      </c>
      <c r="B165" s="40" t="s">
        <v>267</v>
      </c>
      <c r="C165" s="40">
        <v>40</v>
      </c>
      <c r="D165" s="40" t="s">
        <v>100</v>
      </c>
      <c r="E165" s="40" t="s">
        <v>220</v>
      </c>
      <c r="F165" s="40" t="s">
        <v>221</v>
      </c>
      <c r="G165" s="40" t="s">
        <v>15</v>
      </c>
      <c r="H165" s="40" t="s">
        <v>53</v>
      </c>
      <c r="I165" s="40" t="s">
        <v>99</v>
      </c>
      <c r="J165" s="41" cm="1">
        <f t="array" ref="J165">IF(C165=20,INDEX(CUOC!$C$28:$C$37,MATCH(N165,CUOC!$A$28:$A$37,0),0),INDEX(CUOC!$D$28:$D$37,MATCH(N165,CUOC!$A$28:$A$37,0),0))</f>
        <v>448500</v>
      </c>
      <c r="K165" s="41">
        <f t="shared" si="8"/>
        <v>35880</v>
      </c>
      <c r="L165" s="41">
        <f t="shared" si="9"/>
        <v>484380</v>
      </c>
      <c r="M165" s="37">
        <v>46118</v>
      </c>
      <c r="N165" s="42">
        <v>5</v>
      </c>
      <c r="O165" s="64">
        <v>34832</v>
      </c>
      <c r="P165" s="43" t="str">
        <f t="shared" si="10"/>
        <v>Cước vận chuyển cont Hàng 40 tuyến đường HẢI AN - NHĐV. Số xe: 15H20645</v>
      </c>
      <c r="Q165" s="3">
        <v>1</v>
      </c>
    </row>
    <row r="166" spans="1:17" ht="15" customHeight="1">
      <c r="A166" s="39">
        <v>153</v>
      </c>
      <c r="B166" s="40" t="s">
        <v>268</v>
      </c>
      <c r="C166" s="40">
        <v>40</v>
      </c>
      <c r="D166" s="40" t="s">
        <v>100</v>
      </c>
      <c r="E166" s="40" t="s">
        <v>220</v>
      </c>
      <c r="F166" s="40" t="s">
        <v>221</v>
      </c>
      <c r="G166" s="40" t="s">
        <v>15</v>
      </c>
      <c r="H166" s="40" t="s">
        <v>53</v>
      </c>
      <c r="I166" s="40" t="s">
        <v>99</v>
      </c>
      <c r="J166" s="41" cm="1">
        <f t="array" ref="J166">IF(C166=20,INDEX(CUOC!$C$28:$C$37,MATCH(N166,CUOC!$A$28:$A$37,0),0),INDEX(CUOC!$D$28:$D$37,MATCH(N166,CUOC!$A$28:$A$37,0),0))</f>
        <v>448500</v>
      </c>
      <c r="K166" s="41">
        <f t="shared" si="8"/>
        <v>35880</v>
      </c>
      <c r="L166" s="41">
        <f t="shared" si="9"/>
        <v>484380</v>
      </c>
      <c r="M166" s="37">
        <v>46118</v>
      </c>
      <c r="N166" s="42">
        <v>5</v>
      </c>
      <c r="O166" s="64">
        <v>34832</v>
      </c>
      <c r="P166" s="43" t="str">
        <f t="shared" si="10"/>
        <v>Cước vận chuyển cont Hàng 40 tuyến đường HẢI AN - NHĐV. Số xe: 15H20645</v>
      </c>
      <c r="Q166" s="3">
        <v>1</v>
      </c>
    </row>
    <row r="167" spans="1:17" ht="15" customHeight="1">
      <c r="A167" s="39">
        <v>154</v>
      </c>
      <c r="B167" s="40" t="s">
        <v>269</v>
      </c>
      <c r="C167" s="40">
        <v>40</v>
      </c>
      <c r="D167" s="40" t="s">
        <v>100</v>
      </c>
      <c r="E167" s="40" t="s">
        <v>220</v>
      </c>
      <c r="F167" s="40" t="s">
        <v>221</v>
      </c>
      <c r="G167" s="40" t="s">
        <v>15</v>
      </c>
      <c r="H167" s="40" t="s">
        <v>53</v>
      </c>
      <c r="I167" s="40" t="s">
        <v>99</v>
      </c>
      <c r="J167" s="41" cm="1">
        <f t="array" ref="J167">IF(C167=20,INDEX(CUOC!$C$28:$C$37,MATCH(N167,CUOC!$A$28:$A$37,0),0),INDEX(CUOC!$D$28:$D$37,MATCH(N167,CUOC!$A$28:$A$37,0),0))</f>
        <v>448500</v>
      </c>
      <c r="K167" s="41">
        <f t="shared" si="8"/>
        <v>35880</v>
      </c>
      <c r="L167" s="41">
        <f t="shared" si="9"/>
        <v>484380</v>
      </c>
      <c r="M167" s="37">
        <v>46118</v>
      </c>
      <c r="N167" s="42">
        <v>5</v>
      </c>
      <c r="O167" s="64">
        <v>34832</v>
      </c>
      <c r="P167" s="43" t="str">
        <f t="shared" si="10"/>
        <v>Cước vận chuyển cont Hàng 40 tuyến đường HẢI AN - NHĐV. Số xe: 15H20645</v>
      </c>
      <c r="Q167" s="3">
        <v>1</v>
      </c>
    </row>
    <row r="168" spans="1:17" ht="15" customHeight="1">
      <c r="A168" s="39">
        <v>155</v>
      </c>
      <c r="B168" s="40" t="s">
        <v>270</v>
      </c>
      <c r="C168" s="40">
        <v>40</v>
      </c>
      <c r="D168" s="40" t="s">
        <v>100</v>
      </c>
      <c r="E168" s="40" t="s">
        <v>220</v>
      </c>
      <c r="F168" s="40" t="s">
        <v>489</v>
      </c>
      <c r="G168" s="40" t="s">
        <v>53</v>
      </c>
      <c r="H168" s="40" t="s">
        <v>15</v>
      </c>
      <c r="I168" s="40" t="s">
        <v>64</v>
      </c>
      <c r="J168" s="41" cm="1">
        <f t="array" ref="J168">IF(C168=20,INDEX(CUOC!$C$28:$C$37,MATCH(N168,CUOC!$A$28:$A$37,0),0),INDEX(CUOC!$D$28:$D$37,MATCH(N168,CUOC!$A$28:$A$37,0),0))</f>
        <v>448500</v>
      </c>
      <c r="K168" s="41">
        <f t="shared" si="8"/>
        <v>35880</v>
      </c>
      <c r="L168" s="41">
        <f t="shared" si="9"/>
        <v>484380</v>
      </c>
      <c r="M168" s="37">
        <v>46118</v>
      </c>
      <c r="N168" s="42">
        <v>5</v>
      </c>
      <c r="O168" s="64">
        <v>34832</v>
      </c>
      <c r="P168" s="43" t="str">
        <f t="shared" si="10"/>
        <v>Cước vận chuyển cont Hàng 40 tuyến đường NHĐV - HẢI AN. Số xe: 15C09877</v>
      </c>
      <c r="Q168" s="3">
        <v>1</v>
      </c>
    </row>
    <row r="169" spans="1:17" ht="15" customHeight="1">
      <c r="A169" s="39">
        <v>156</v>
      </c>
      <c r="B169" s="40" t="s">
        <v>271</v>
      </c>
      <c r="C169" s="40">
        <v>20</v>
      </c>
      <c r="D169" s="40" t="s">
        <v>100</v>
      </c>
      <c r="E169" s="40" t="s">
        <v>220</v>
      </c>
      <c r="F169" s="40" t="s">
        <v>489</v>
      </c>
      <c r="G169" s="40" t="s">
        <v>53</v>
      </c>
      <c r="H169" s="40" t="s">
        <v>15</v>
      </c>
      <c r="I169" s="40" t="s">
        <v>64</v>
      </c>
      <c r="J169" s="41" cm="1">
        <f t="array" ref="J169">IF(C169=20,INDEX(CUOC!$C$28:$C$37,MATCH(N169,CUOC!$A$28:$A$37,0),0),INDEX(CUOC!$D$28:$D$37,MATCH(N169,CUOC!$A$28:$A$37,0),0))</f>
        <v>386100</v>
      </c>
      <c r="K169" s="41">
        <f t="shared" si="8"/>
        <v>30888</v>
      </c>
      <c r="L169" s="41">
        <f t="shared" si="9"/>
        <v>416988</v>
      </c>
      <c r="M169" s="37">
        <v>46118</v>
      </c>
      <c r="N169" s="42">
        <v>5</v>
      </c>
      <c r="O169" s="64">
        <v>34832</v>
      </c>
      <c r="P169" s="43" t="str">
        <f t="shared" si="10"/>
        <v>Cước vận chuyển cont Hàng 20 tuyến đường NHĐV - HẢI AN. Số xe: 15C09877</v>
      </c>
      <c r="Q169" s="3">
        <v>1</v>
      </c>
    </row>
    <row r="170" spans="1:17" ht="15" customHeight="1">
      <c r="A170" s="39">
        <v>157</v>
      </c>
      <c r="B170" s="40" t="s">
        <v>272</v>
      </c>
      <c r="C170" s="40">
        <v>20</v>
      </c>
      <c r="D170" s="40" t="s">
        <v>100</v>
      </c>
      <c r="E170" s="40" t="s">
        <v>220</v>
      </c>
      <c r="F170" s="40" t="s">
        <v>489</v>
      </c>
      <c r="G170" s="40" t="s">
        <v>53</v>
      </c>
      <c r="H170" s="40" t="s">
        <v>15</v>
      </c>
      <c r="I170" s="40" t="s">
        <v>64</v>
      </c>
      <c r="J170" s="41" cm="1">
        <f t="array" ref="J170">IF(C170=20,INDEX(CUOC!$C$28:$C$37,MATCH(N170,CUOC!$A$28:$A$37,0),0),INDEX(CUOC!$D$28:$D$37,MATCH(N170,CUOC!$A$28:$A$37,0),0))</f>
        <v>386100</v>
      </c>
      <c r="K170" s="41">
        <f t="shared" si="8"/>
        <v>30888</v>
      </c>
      <c r="L170" s="41">
        <f t="shared" si="9"/>
        <v>416988</v>
      </c>
      <c r="M170" s="37">
        <v>46118</v>
      </c>
      <c r="N170" s="42">
        <v>5</v>
      </c>
      <c r="O170" s="64">
        <v>34832</v>
      </c>
      <c r="P170" s="43" t="str">
        <f t="shared" si="10"/>
        <v>Cước vận chuyển cont Hàng 20 tuyến đường NHĐV - HẢI AN. Số xe: 15C09877</v>
      </c>
      <c r="Q170" s="3">
        <v>1</v>
      </c>
    </row>
    <row r="171" spans="1:17" ht="15" customHeight="1">
      <c r="A171" s="39">
        <v>158</v>
      </c>
      <c r="B171" s="40" t="s">
        <v>273</v>
      </c>
      <c r="C171" s="40">
        <v>20</v>
      </c>
      <c r="D171" s="40" t="s">
        <v>100</v>
      </c>
      <c r="E171" s="40" t="s">
        <v>220</v>
      </c>
      <c r="F171" s="40" t="s">
        <v>221</v>
      </c>
      <c r="G171" s="40" t="s">
        <v>15</v>
      </c>
      <c r="H171" s="40" t="s">
        <v>53</v>
      </c>
      <c r="I171" s="40" t="s">
        <v>64</v>
      </c>
      <c r="J171" s="41" cm="1">
        <f t="array" ref="J171">IF(C171=20,INDEX(CUOC!$C$28:$C$37,MATCH(N171,CUOC!$A$28:$A$37,0),0),INDEX(CUOC!$D$28:$D$37,MATCH(N171,CUOC!$A$28:$A$37,0),0))</f>
        <v>386100</v>
      </c>
      <c r="K171" s="41">
        <f t="shared" si="8"/>
        <v>30888</v>
      </c>
      <c r="L171" s="41">
        <f t="shared" si="9"/>
        <v>416988</v>
      </c>
      <c r="M171" s="37">
        <v>46118</v>
      </c>
      <c r="N171" s="42">
        <v>5</v>
      </c>
      <c r="O171" s="64">
        <v>34832</v>
      </c>
      <c r="P171" s="43" t="str">
        <f t="shared" si="10"/>
        <v>Cước vận chuyển cont Hàng 20 tuyến đường HẢI AN - NHĐV. Số xe: 15C09877</v>
      </c>
      <c r="Q171" s="3">
        <v>1</v>
      </c>
    </row>
    <row r="172" spans="1:17" ht="15" customHeight="1">
      <c r="A172" s="39">
        <v>159</v>
      </c>
      <c r="B172" s="40" t="s">
        <v>274</v>
      </c>
      <c r="C172" s="40">
        <v>20</v>
      </c>
      <c r="D172" s="40" t="s">
        <v>100</v>
      </c>
      <c r="E172" s="40" t="s">
        <v>220</v>
      </c>
      <c r="F172" s="40" t="s">
        <v>221</v>
      </c>
      <c r="G172" s="40" t="s">
        <v>15</v>
      </c>
      <c r="H172" s="40" t="s">
        <v>53</v>
      </c>
      <c r="I172" s="40" t="s">
        <v>64</v>
      </c>
      <c r="J172" s="41" cm="1">
        <f t="array" ref="J172">IF(C172=20,INDEX(CUOC!$C$28:$C$37,MATCH(N172,CUOC!$A$28:$A$37,0),0),INDEX(CUOC!$D$28:$D$37,MATCH(N172,CUOC!$A$28:$A$37,0),0))</f>
        <v>386100</v>
      </c>
      <c r="K172" s="41">
        <f t="shared" si="8"/>
        <v>30888</v>
      </c>
      <c r="L172" s="41">
        <f t="shared" si="9"/>
        <v>416988</v>
      </c>
      <c r="M172" s="37">
        <v>46118</v>
      </c>
      <c r="N172" s="42">
        <v>5</v>
      </c>
      <c r="O172" s="64">
        <v>34832</v>
      </c>
      <c r="P172" s="43" t="str">
        <f t="shared" si="10"/>
        <v>Cước vận chuyển cont Hàng 20 tuyến đường HẢI AN - NHĐV. Số xe: 15C09877</v>
      </c>
      <c r="Q172" s="3">
        <v>1</v>
      </c>
    </row>
    <row r="173" spans="1:17" ht="15" customHeight="1">
      <c r="A173" s="39">
        <v>160</v>
      </c>
      <c r="B173" s="40" t="s">
        <v>275</v>
      </c>
      <c r="C173" s="40">
        <v>20</v>
      </c>
      <c r="D173" s="40" t="s">
        <v>100</v>
      </c>
      <c r="E173" s="40" t="s">
        <v>220</v>
      </c>
      <c r="F173" s="40" t="s">
        <v>221</v>
      </c>
      <c r="G173" s="40" t="s">
        <v>15</v>
      </c>
      <c r="H173" s="40" t="s">
        <v>53</v>
      </c>
      <c r="I173" s="40" t="s">
        <v>64</v>
      </c>
      <c r="J173" s="41" cm="1">
        <f t="array" ref="J173">IF(C173=20,INDEX(CUOC!$C$28:$C$37,MATCH(N173,CUOC!$A$28:$A$37,0),0),INDEX(CUOC!$D$28:$D$37,MATCH(N173,CUOC!$A$28:$A$37,0),0))</f>
        <v>386100</v>
      </c>
      <c r="K173" s="41">
        <f t="shared" si="8"/>
        <v>30888</v>
      </c>
      <c r="L173" s="41">
        <f t="shared" si="9"/>
        <v>416988</v>
      </c>
      <c r="M173" s="37">
        <v>46118</v>
      </c>
      <c r="N173" s="42">
        <v>5</v>
      </c>
      <c r="O173" s="64">
        <v>34832</v>
      </c>
      <c r="P173" s="43" t="str">
        <f t="shared" si="10"/>
        <v>Cước vận chuyển cont Hàng 20 tuyến đường HẢI AN - NHĐV. Số xe: 15C09877</v>
      </c>
      <c r="Q173" s="3">
        <v>1</v>
      </c>
    </row>
    <row r="174" spans="1:17" ht="15" customHeight="1">
      <c r="A174" s="39">
        <v>161</v>
      </c>
      <c r="B174" s="40" t="s">
        <v>276</v>
      </c>
      <c r="C174" s="40">
        <v>20</v>
      </c>
      <c r="D174" s="40" t="s">
        <v>100</v>
      </c>
      <c r="E174" s="40" t="s">
        <v>220</v>
      </c>
      <c r="F174" s="40" t="s">
        <v>221</v>
      </c>
      <c r="G174" s="40" t="s">
        <v>15</v>
      </c>
      <c r="H174" s="40" t="s">
        <v>53</v>
      </c>
      <c r="I174" s="40" t="s">
        <v>64</v>
      </c>
      <c r="J174" s="41" cm="1">
        <f t="array" ref="J174">IF(C174=20,INDEX(CUOC!$C$28:$C$37,MATCH(N174,CUOC!$A$28:$A$37,0),0),INDEX(CUOC!$D$28:$D$37,MATCH(N174,CUOC!$A$28:$A$37,0),0))</f>
        <v>386100</v>
      </c>
      <c r="K174" s="41">
        <f t="shared" si="8"/>
        <v>30888</v>
      </c>
      <c r="L174" s="41">
        <f t="shared" si="9"/>
        <v>416988</v>
      </c>
      <c r="M174" s="37">
        <v>46118</v>
      </c>
      <c r="N174" s="42">
        <v>5</v>
      </c>
      <c r="O174" s="64">
        <v>34832</v>
      </c>
      <c r="P174" s="43" t="str">
        <f t="shared" si="10"/>
        <v>Cước vận chuyển cont Hàng 20 tuyến đường HẢI AN - NHĐV. Số xe: 15C09877</v>
      </c>
      <c r="Q174" s="3">
        <v>1</v>
      </c>
    </row>
    <row r="175" spans="1:17" ht="15" customHeight="1">
      <c r="A175" s="39">
        <v>162</v>
      </c>
      <c r="B175" s="40" t="s">
        <v>277</v>
      </c>
      <c r="C175" s="40">
        <v>20</v>
      </c>
      <c r="D175" s="40" t="s">
        <v>100</v>
      </c>
      <c r="E175" s="40" t="s">
        <v>220</v>
      </c>
      <c r="F175" s="40" t="s">
        <v>221</v>
      </c>
      <c r="G175" s="40" t="s">
        <v>15</v>
      </c>
      <c r="H175" s="40" t="s">
        <v>53</v>
      </c>
      <c r="I175" s="40" t="s">
        <v>72</v>
      </c>
      <c r="J175" s="41" cm="1">
        <f t="array" ref="J175">IF(C175=20,INDEX(CUOC!$C$28:$C$37,MATCH(N175,CUOC!$A$28:$A$37,0),0),INDEX(CUOC!$D$28:$D$37,MATCH(N175,CUOC!$A$28:$A$37,0),0))</f>
        <v>386100</v>
      </c>
      <c r="K175" s="41">
        <f t="shared" si="8"/>
        <v>30888</v>
      </c>
      <c r="L175" s="41">
        <f t="shared" si="9"/>
        <v>416988</v>
      </c>
      <c r="M175" s="37">
        <v>46118</v>
      </c>
      <c r="N175" s="42">
        <v>5</v>
      </c>
      <c r="O175" s="64">
        <v>34832</v>
      </c>
      <c r="P175" s="43" t="str">
        <f t="shared" si="10"/>
        <v>Cước vận chuyển cont Hàng 20 tuyến đường HẢI AN - NHĐV. Số xe: 15C30649</v>
      </c>
      <c r="Q175" s="3">
        <v>1</v>
      </c>
    </row>
    <row r="176" spans="1:17" ht="15" customHeight="1">
      <c r="A176" s="39">
        <v>163</v>
      </c>
      <c r="B176" s="40" t="s">
        <v>278</v>
      </c>
      <c r="C176" s="40">
        <v>20</v>
      </c>
      <c r="D176" s="40" t="s">
        <v>100</v>
      </c>
      <c r="E176" s="40" t="s">
        <v>220</v>
      </c>
      <c r="F176" s="40" t="s">
        <v>221</v>
      </c>
      <c r="G176" s="40" t="s">
        <v>15</v>
      </c>
      <c r="H176" s="40" t="s">
        <v>53</v>
      </c>
      <c r="I176" s="40" t="s">
        <v>72</v>
      </c>
      <c r="J176" s="41" cm="1">
        <f t="array" ref="J176">IF(C176=20,INDEX(CUOC!$C$28:$C$37,MATCH(N176,CUOC!$A$28:$A$37,0),0),INDEX(CUOC!$D$28:$D$37,MATCH(N176,CUOC!$A$28:$A$37,0),0))</f>
        <v>386100</v>
      </c>
      <c r="K176" s="41">
        <f t="shared" si="8"/>
        <v>30888</v>
      </c>
      <c r="L176" s="41">
        <f t="shared" si="9"/>
        <v>416988</v>
      </c>
      <c r="M176" s="37">
        <v>46118</v>
      </c>
      <c r="N176" s="42">
        <v>5</v>
      </c>
      <c r="O176" s="64">
        <v>34832</v>
      </c>
      <c r="P176" s="43" t="str">
        <f t="shared" si="10"/>
        <v>Cước vận chuyển cont Hàng 20 tuyến đường HẢI AN - NHĐV. Số xe: 15C30649</v>
      </c>
      <c r="Q176" s="3">
        <v>1</v>
      </c>
    </row>
    <row r="177" spans="1:17" ht="15" customHeight="1">
      <c r="A177" s="39">
        <v>164</v>
      </c>
      <c r="B177" s="40" t="s">
        <v>279</v>
      </c>
      <c r="C177" s="40">
        <v>20</v>
      </c>
      <c r="D177" s="40" t="s">
        <v>100</v>
      </c>
      <c r="E177" s="40" t="s">
        <v>220</v>
      </c>
      <c r="F177" s="40" t="s">
        <v>221</v>
      </c>
      <c r="G177" s="40" t="s">
        <v>15</v>
      </c>
      <c r="H177" s="40" t="s">
        <v>53</v>
      </c>
      <c r="I177" s="40" t="s">
        <v>72</v>
      </c>
      <c r="J177" s="41" cm="1">
        <f t="array" ref="J177">IF(C177=20,INDEX(CUOC!$C$28:$C$37,MATCH(N177,CUOC!$A$28:$A$37,0),0),INDEX(CUOC!$D$28:$D$37,MATCH(N177,CUOC!$A$28:$A$37,0),0))</f>
        <v>386100</v>
      </c>
      <c r="K177" s="41">
        <f t="shared" si="8"/>
        <v>30888</v>
      </c>
      <c r="L177" s="41">
        <f t="shared" si="9"/>
        <v>416988</v>
      </c>
      <c r="M177" s="37">
        <v>46118</v>
      </c>
      <c r="N177" s="42">
        <v>5</v>
      </c>
      <c r="O177" s="64">
        <v>34832</v>
      </c>
      <c r="P177" s="43" t="str">
        <f t="shared" si="10"/>
        <v>Cước vận chuyển cont Hàng 20 tuyến đường HẢI AN - NHĐV. Số xe: 15C30649</v>
      </c>
      <c r="Q177" s="3">
        <v>1</v>
      </c>
    </row>
    <row r="178" spans="1:17" ht="15" customHeight="1">
      <c r="A178" s="39">
        <v>165</v>
      </c>
      <c r="B178" s="40" t="s">
        <v>280</v>
      </c>
      <c r="C178" s="40">
        <v>20</v>
      </c>
      <c r="D178" s="40" t="s">
        <v>100</v>
      </c>
      <c r="E178" s="40" t="s">
        <v>220</v>
      </c>
      <c r="F178" s="40" t="s">
        <v>221</v>
      </c>
      <c r="G178" s="40" t="s">
        <v>15</v>
      </c>
      <c r="H178" s="40" t="s">
        <v>53</v>
      </c>
      <c r="I178" s="40" t="s">
        <v>72</v>
      </c>
      <c r="J178" s="41" cm="1">
        <f t="array" ref="J178">IF(C178=20,INDEX(CUOC!$C$28:$C$37,MATCH(N178,CUOC!$A$28:$A$37,0),0),INDEX(CUOC!$D$28:$D$37,MATCH(N178,CUOC!$A$28:$A$37,0),0))</f>
        <v>386100</v>
      </c>
      <c r="K178" s="41">
        <f t="shared" si="8"/>
        <v>30888</v>
      </c>
      <c r="L178" s="41">
        <f t="shared" si="9"/>
        <v>416988</v>
      </c>
      <c r="M178" s="37">
        <v>46118</v>
      </c>
      <c r="N178" s="42">
        <v>5</v>
      </c>
      <c r="O178" s="64">
        <v>34832</v>
      </c>
      <c r="P178" s="43" t="str">
        <f t="shared" si="10"/>
        <v>Cước vận chuyển cont Hàng 20 tuyến đường HẢI AN - NHĐV. Số xe: 15C30649</v>
      </c>
      <c r="Q178" s="3">
        <v>1</v>
      </c>
    </row>
    <row r="179" spans="1:17" ht="15" customHeight="1">
      <c r="A179" s="39">
        <v>166</v>
      </c>
      <c r="B179" s="40" t="s">
        <v>281</v>
      </c>
      <c r="C179" s="40">
        <v>20</v>
      </c>
      <c r="D179" s="40" t="s">
        <v>100</v>
      </c>
      <c r="E179" s="40" t="s">
        <v>220</v>
      </c>
      <c r="F179" s="40" t="s">
        <v>221</v>
      </c>
      <c r="G179" s="40" t="s">
        <v>15</v>
      </c>
      <c r="H179" s="40" t="s">
        <v>53</v>
      </c>
      <c r="I179" s="40" t="s">
        <v>72</v>
      </c>
      <c r="J179" s="41" cm="1">
        <f t="array" ref="J179">IF(C179=20,INDEX(CUOC!$C$28:$C$37,MATCH(N179,CUOC!$A$28:$A$37,0),0),INDEX(CUOC!$D$28:$D$37,MATCH(N179,CUOC!$A$28:$A$37,0),0))</f>
        <v>386100</v>
      </c>
      <c r="K179" s="41">
        <f t="shared" si="8"/>
        <v>30888</v>
      </c>
      <c r="L179" s="41">
        <f t="shared" si="9"/>
        <v>416988</v>
      </c>
      <c r="M179" s="37">
        <v>46118</v>
      </c>
      <c r="N179" s="42">
        <v>5</v>
      </c>
      <c r="O179" s="64">
        <v>34832</v>
      </c>
      <c r="P179" s="43" t="str">
        <f t="shared" si="10"/>
        <v>Cước vận chuyển cont Hàng 20 tuyến đường HẢI AN - NHĐV. Số xe: 15C30649</v>
      </c>
      <c r="Q179" s="3">
        <v>1</v>
      </c>
    </row>
    <row r="180" spans="1:17" ht="15" customHeight="1">
      <c r="A180" s="39">
        <v>167</v>
      </c>
      <c r="B180" s="40" t="s">
        <v>282</v>
      </c>
      <c r="C180" s="40">
        <v>20</v>
      </c>
      <c r="D180" s="40" t="s">
        <v>100</v>
      </c>
      <c r="E180" s="40" t="s">
        <v>220</v>
      </c>
      <c r="F180" s="40" t="s">
        <v>221</v>
      </c>
      <c r="G180" s="40" t="s">
        <v>15</v>
      </c>
      <c r="H180" s="40" t="s">
        <v>53</v>
      </c>
      <c r="I180" s="40" t="s">
        <v>72</v>
      </c>
      <c r="J180" s="41" cm="1">
        <f t="array" ref="J180">IF(C180=20,INDEX(CUOC!$C$28:$C$37,MATCH(N180,CUOC!$A$28:$A$37,0),0),INDEX(CUOC!$D$28:$D$37,MATCH(N180,CUOC!$A$28:$A$37,0),0))</f>
        <v>386100</v>
      </c>
      <c r="K180" s="41">
        <f t="shared" si="8"/>
        <v>30888</v>
      </c>
      <c r="L180" s="41">
        <f t="shared" si="9"/>
        <v>416988</v>
      </c>
      <c r="M180" s="37">
        <v>46118</v>
      </c>
      <c r="N180" s="42">
        <v>5</v>
      </c>
      <c r="O180" s="64">
        <v>34832</v>
      </c>
      <c r="P180" s="43" t="str">
        <f t="shared" si="10"/>
        <v>Cước vận chuyển cont Hàng 20 tuyến đường HẢI AN - NHĐV. Số xe: 15C30649</v>
      </c>
      <c r="Q180" s="3">
        <v>1</v>
      </c>
    </row>
    <row r="181" spans="1:17" ht="15" customHeight="1">
      <c r="A181" s="39">
        <v>168</v>
      </c>
      <c r="B181" s="40" t="s">
        <v>283</v>
      </c>
      <c r="C181" s="40">
        <v>20</v>
      </c>
      <c r="D181" s="40" t="s">
        <v>100</v>
      </c>
      <c r="E181" s="40" t="s">
        <v>220</v>
      </c>
      <c r="F181" s="40" t="s">
        <v>221</v>
      </c>
      <c r="G181" s="40" t="s">
        <v>15</v>
      </c>
      <c r="H181" s="40" t="s">
        <v>53</v>
      </c>
      <c r="I181" s="40" t="s">
        <v>72</v>
      </c>
      <c r="J181" s="41" cm="1">
        <f t="array" ref="J181">IF(C181=20,INDEX(CUOC!$C$28:$C$37,MATCH(N181,CUOC!$A$28:$A$37,0),0),INDEX(CUOC!$D$28:$D$37,MATCH(N181,CUOC!$A$28:$A$37,0),0))</f>
        <v>386100</v>
      </c>
      <c r="K181" s="41">
        <f t="shared" si="8"/>
        <v>30888</v>
      </c>
      <c r="L181" s="41">
        <f t="shared" si="9"/>
        <v>416988</v>
      </c>
      <c r="M181" s="37">
        <v>46118</v>
      </c>
      <c r="N181" s="42">
        <v>5</v>
      </c>
      <c r="O181" s="64">
        <v>34832</v>
      </c>
      <c r="P181" s="43" t="str">
        <f t="shared" si="10"/>
        <v>Cước vận chuyển cont Hàng 20 tuyến đường HẢI AN - NHĐV. Số xe: 15C30649</v>
      </c>
      <c r="Q181" s="3">
        <v>1</v>
      </c>
    </row>
    <row r="182" spans="1:17" ht="15" customHeight="1">
      <c r="A182" s="39">
        <v>169</v>
      </c>
      <c r="B182" s="40" t="s">
        <v>284</v>
      </c>
      <c r="C182" s="40">
        <v>20</v>
      </c>
      <c r="D182" s="40" t="s">
        <v>100</v>
      </c>
      <c r="E182" s="40" t="s">
        <v>220</v>
      </c>
      <c r="F182" s="40" t="s">
        <v>221</v>
      </c>
      <c r="G182" s="40" t="s">
        <v>15</v>
      </c>
      <c r="H182" s="40" t="s">
        <v>53</v>
      </c>
      <c r="I182" s="40" t="s">
        <v>72</v>
      </c>
      <c r="J182" s="41" cm="1">
        <f t="array" ref="J182">IF(C182=20,INDEX(CUOC!$C$28:$C$37,MATCH(N182,CUOC!$A$28:$A$37,0),0),INDEX(CUOC!$D$28:$D$37,MATCH(N182,CUOC!$A$28:$A$37,0),0))</f>
        <v>386100</v>
      </c>
      <c r="K182" s="41">
        <f t="shared" si="8"/>
        <v>30888</v>
      </c>
      <c r="L182" s="41">
        <f t="shared" si="9"/>
        <v>416988</v>
      </c>
      <c r="M182" s="37">
        <v>46118</v>
      </c>
      <c r="N182" s="42">
        <v>5</v>
      </c>
      <c r="O182" s="64">
        <v>34832</v>
      </c>
      <c r="P182" s="43" t="str">
        <f t="shared" si="10"/>
        <v>Cước vận chuyển cont Hàng 20 tuyến đường HẢI AN - NHĐV. Số xe: 15C30649</v>
      </c>
      <c r="Q182" s="3">
        <v>1</v>
      </c>
    </row>
    <row r="183" spans="1:17" ht="15" customHeight="1">
      <c r="A183" s="39">
        <v>170</v>
      </c>
      <c r="B183" s="40" t="s">
        <v>285</v>
      </c>
      <c r="C183" s="40">
        <v>20</v>
      </c>
      <c r="D183" s="40" t="s">
        <v>100</v>
      </c>
      <c r="E183" s="40" t="s">
        <v>220</v>
      </c>
      <c r="F183" s="40" t="s">
        <v>221</v>
      </c>
      <c r="G183" s="40" t="s">
        <v>15</v>
      </c>
      <c r="H183" s="40" t="s">
        <v>53</v>
      </c>
      <c r="I183" s="40" t="s">
        <v>72</v>
      </c>
      <c r="J183" s="41" cm="1">
        <f t="array" ref="J183">IF(C183=20,INDEX(CUOC!$C$28:$C$37,MATCH(N183,CUOC!$A$28:$A$37,0),0),INDEX(CUOC!$D$28:$D$37,MATCH(N183,CUOC!$A$28:$A$37,0),0))</f>
        <v>386100</v>
      </c>
      <c r="K183" s="41">
        <f t="shared" si="8"/>
        <v>30888</v>
      </c>
      <c r="L183" s="41">
        <f t="shared" si="9"/>
        <v>416988</v>
      </c>
      <c r="M183" s="37">
        <v>46118</v>
      </c>
      <c r="N183" s="42">
        <v>5</v>
      </c>
      <c r="O183" s="64">
        <v>34832</v>
      </c>
      <c r="P183" s="43" t="str">
        <f t="shared" si="10"/>
        <v>Cước vận chuyển cont Hàng 20 tuyến đường HẢI AN - NHĐV. Số xe: 15C30649</v>
      </c>
      <c r="Q183" s="3">
        <v>1</v>
      </c>
    </row>
    <row r="184" spans="1:17" ht="15" customHeight="1">
      <c r="A184" s="39">
        <v>171</v>
      </c>
      <c r="B184" s="40" t="s">
        <v>286</v>
      </c>
      <c r="C184" s="40">
        <v>20</v>
      </c>
      <c r="D184" s="40" t="s">
        <v>100</v>
      </c>
      <c r="E184" s="40" t="s">
        <v>220</v>
      </c>
      <c r="F184" s="40" t="s">
        <v>221</v>
      </c>
      <c r="G184" s="40" t="s">
        <v>15</v>
      </c>
      <c r="H184" s="40" t="s">
        <v>53</v>
      </c>
      <c r="I184" s="40" t="s">
        <v>72</v>
      </c>
      <c r="J184" s="41" cm="1">
        <f t="array" ref="J184">IF(C184=20,INDEX(CUOC!$C$28:$C$37,MATCH(N184,CUOC!$A$28:$A$37,0),0),INDEX(CUOC!$D$28:$D$37,MATCH(N184,CUOC!$A$28:$A$37,0),0))</f>
        <v>386100</v>
      </c>
      <c r="K184" s="41">
        <f t="shared" si="8"/>
        <v>30888</v>
      </c>
      <c r="L184" s="41">
        <f t="shared" si="9"/>
        <v>416988</v>
      </c>
      <c r="M184" s="37">
        <v>46118</v>
      </c>
      <c r="N184" s="42">
        <v>5</v>
      </c>
      <c r="O184" s="64">
        <v>34832</v>
      </c>
      <c r="P184" s="43" t="str">
        <f t="shared" si="10"/>
        <v>Cước vận chuyển cont Hàng 20 tuyến đường HẢI AN - NHĐV. Số xe: 15C30649</v>
      </c>
      <c r="Q184" s="3">
        <v>1</v>
      </c>
    </row>
    <row r="185" spans="1:17" ht="15" customHeight="1">
      <c r="A185" s="39">
        <v>172</v>
      </c>
      <c r="B185" s="40" t="s">
        <v>287</v>
      </c>
      <c r="C185" s="40">
        <v>40</v>
      </c>
      <c r="D185" s="40" t="s">
        <v>100</v>
      </c>
      <c r="E185" s="40" t="s">
        <v>220</v>
      </c>
      <c r="F185" s="40" t="s">
        <v>221</v>
      </c>
      <c r="G185" s="40" t="s">
        <v>15</v>
      </c>
      <c r="H185" s="40" t="s">
        <v>53</v>
      </c>
      <c r="I185" s="40" t="s">
        <v>72</v>
      </c>
      <c r="J185" s="41" cm="1">
        <f t="array" ref="J185">IF(C185=20,INDEX(CUOC!$C$28:$C$37,MATCH(N185,CUOC!$A$28:$A$37,0),0),INDEX(CUOC!$D$28:$D$37,MATCH(N185,CUOC!$A$28:$A$37,0),0))</f>
        <v>448500</v>
      </c>
      <c r="K185" s="41">
        <f t="shared" si="8"/>
        <v>35880</v>
      </c>
      <c r="L185" s="41">
        <f t="shared" si="9"/>
        <v>484380</v>
      </c>
      <c r="M185" s="37">
        <v>46118</v>
      </c>
      <c r="N185" s="42">
        <v>5</v>
      </c>
      <c r="O185" s="64">
        <v>34832</v>
      </c>
      <c r="P185" s="43" t="str">
        <f t="shared" si="10"/>
        <v>Cước vận chuyển cont Hàng 40 tuyến đường HẢI AN - NHĐV. Số xe: 15C30649</v>
      </c>
      <c r="Q185" s="3">
        <v>1</v>
      </c>
    </row>
    <row r="186" spans="1:17" ht="15" customHeight="1">
      <c r="A186" s="39">
        <v>173</v>
      </c>
      <c r="B186" s="40" t="s">
        <v>288</v>
      </c>
      <c r="C186" s="40">
        <v>40</v>
      </c>
      <c r="D186" s="40" t="s">
        <v>100</v>
      </c>
      <c r="E186" s="40" t="s">
        <v>220</v>
      </c>
      <c r="F186" s="40" t="s">
        <v>489</v>
      </c>
      <c r="G186" s="40" t="s">
        <v>53</v>
      </c>
      <c r="H186" s="40" t="s">
        <v>15</v>
      </c>
      <c r="I186" s="40" t="s">
        <v>72</v>
      </c>
      <c r="J186" s="41" cm="1">
        <f t="array" ref="J186">IF(C186=20,INDEX(CUOC!$C$28:$C$37,MATCH(N186,CUOC!$A$28:$A$37,0),0),INDEX(CUOC!$D$28:$D$37,MATCH(N186,CUOC!$A$28:$A$37,0),0))</f>
        <v>448500</v>
      </c>
      <c r="K186" s="41">
        <f t="shared" si="8"/>
        <v>35880</v>
      </c>
      <c r="L186" s="41">
        <f t="shared" si="9"/>
        <v>484380</v>
      </c>
      <c r="M186" s="37">
        <v>46118</v>
      </c>
      <c r="N186" s="42">
        <v>5</v>
      </c>
      <c r="O186" s="64">
        <v>34832</v>
      </c>
      <c r="P186" s="43" t="str">
        <f t="shared" si="10"/>
        <v>Cước vận chuyển cont Hàng 40 tuyến đường NHĐV - HẢI AN. Số xe: 15C30649</v>
      </c>
      <c r="Q186" s="3">
        <v>1</v>
      </c>
    </row>
    <row r="187" spans="1:17" ht="15" customHeight="1">
      <c r="A187" s="39">
        <v>174</v>
      </c>
      <c r="B187" s="40" t="s">
        <v>289</v>
      </c>
      <c r="C187" s="40">
        <v>40</v>
      </c>
      <c r="D187" s="40" t="s">
        <v>100</v>
      </c>
      <c r="E187" s="40" t="s">
        <v>220</v>
      </c>
      <c r="F187" s="40" t="s">
        <v>489</v>
      </c>
      <c r="G187" s="40" t="s">
        <v>53</v>
      </c>
      <c r="H187" s="40" t="s">
        <v>15</v>
      </c>
      <c r="I187" s="40" t="s">
        <v>72</v>
      </c>
      <c r="J187" s="41" cm="1">
        <f t="array" ref="J187">IF(C187=20,INDEX(CUOC!$C$28:$C$37,MATCH(N187,CUOC!$A$28:$A$37,0),0),INDEX(CUOC!$D$28:$D$37,MATCH(N187,CUOC!$A$28:$A$37,0),0))</f>
        <v>448500</v>
      </c>
      <c r="K187" s="41">
        <f t="shared" si="8"/>
        <v>35880</v>
      </c>
      <c r="L187" s="41">
        <f t="shared" si="9"/>
        <v>484380</v>
      </c>
      <c r="M187" s="37">
        <v>46118</v>
      </c>
      <c r="N187" s="42">
        <v>5</v>
      </c>
      <c r="O187" s="64">
        <v>34832</v>
      </c>
      <c r="P187" s="43" t="str">
        <f t="shared" si="10"/>
        <v>Cước vận chuyển cont Hàng 40 tuyến đường NHĐV - HẢI AN. Số xe: 15C30649</v>
      </c>
      <c r="Q187" s="3">
        <v>1</v>
      </c>
    </row>
    <row r="188" spans="1:17" ht="15" customHeight="1">
      <c r="A188" s="39">
        <v>175</v>
      </c>
      <c r="B188" s="40" t="s">
        <v>290</v>
      </c>
      <c r="C188" s="40">
        <v>20</v>
      </c>
      <c r="D188" s="40" t="s">
        <v>100</v>
      </c>
      <c r="E188" s="40" t="s">
        <v>220</v>
      </c>
      <c r="F188" s="40" t="s">
        <v>489</v>
      </c>
      <c r="G188" s="40" t="s">
        <v>53</v>
      </c>
      <c r="H188" s="40" t="s">
        <v>15</v>
      </c>
      <c r="I188" s="40" t="s">
        <v>72</v>
      </c>
      <c r="J188" s="41" cm="1">
        <f t="array" ref="J188">IF(C188=20,INDEX(CUOC!$C$28:$C$37,MATCH(N188,CUOC!$A$28:$A$37,0),0),INDEX(CUOC!$D$28:$D$37,MATCH(N188,CUOC!$A$28:$A$37,0),0))</f>
        <v>386100</v>
      </c>
      <c r="K188" s="41">
        <f t="shared" si="8"/>
        <v>30888</v>
      </c>
      <c r="L188" s="41">
        <f t="shared" si="9"/>
        <v>416988</v>
      </c>
      <c r="M188" s="37">
        <v>46118</v>
      </c>
      <c r="N188" s="42">
        <v>5</v>
      </c>
      <c r="O188" s="64">
        <v>34832</v>
      </c>
      <c r="P188" s="43" t="str">
        <f t="shared" si="10"/>
        <v>Cước vận chuyển cont Hàng 20 tuyến đường NHĐV - HẢI AN. Số xe: 15C30649</v>
      </c>
      <c r="Q188" s="3">
        <v>1</v>
      </c>
    </row>
    <row r="189" spans="1:17" ht="15" customHeight="1">
      <c r="A189" s="39">
        <v>176</v>
      </c>
      <c r="B189" s="40" t="s">
        <v>291</v>
      </c>
      <c r="C189" s="40">
        <v>20</v>
      </c>
      <c r="D189" s="40" t="s">
        <v>100</v>
      </c>
      <c r="E189" s="40" t="s">
        <v>220</v>
      </c>
      <c r="F189" s="40" t="s">
        <v>489</v>
      </c>
      <c r="G189" s="40" t="s">
        <v>53</v>
      </c>
      <c r="H189" s="40" t="s">
        <v>15</v>
      </c>
      <c r="I189" s="40" t="s">
        <v>72</v>
      </c>
      <c r="J189" s="41" cm="1">
        <f t="array" ref="J189">IF(C189=20,INDEX(CUOC!$C$28:$C$37,MATCH(N189,CUOC!$A$28:$A$37,0),0),INDEX(CUOC!$D$28:$D$37,MATCH(N189,CUOC!$A$28:$A$37,0),0))</f>
        <v>386100</v>
      </c>
      <c r="K189" s="41">
        <f t="shared" si="8"/>
        <v>30888</v>
      </c>
      <c r="L189" s="41">
        <f t="shared" si="9"/>
        <v>416988</v>
      </c>
      <c r="M189" s="37">
        <v>46118</v>
      </c>
      <c r="N189" s="42">
        <v>5</v>
      </c>
      <c r="O189" s="64">
        <v>34832</v>
      </c>
      <c r="P189" s="43" t="str">
        <f t="shared" si="10"/>
        <v>Cước vận chuyển cont Hàng 20 tuyến đường NHĐV - HẢI AN. Số xe: 15C30649</v>
      </c>
      <c r="Q189" s="3">
        <v>1</v>
      </c>
    </row>
    <row r="190" spans="1:17" ht="15" customHeight="1">
      <c r="A190" s="39">
        <v>177</v>
      </c>
      <c r="B190" s="40" t="s">
        <v>292</v>
      </c>
      <c r="C190" s="40">
        <v>40</v>
      </c>
      <c r="D190" s="40" t="s">
        <v>100</v>
      </c>
      <c r="E190" s="40" t="s">
        <v>220</v>
      </c>
      <c r="F190" s="40" t="s">
        <v>221</v>
      </c>
      <c r="G190" s="40" t="s">
        <v>15</v>
      </c>
      <c r="H190" s="40" t="s">
        <v>53</v>
      </c>
      <c r="I190" s="40" t="s">
        <v>67</v>
      </c>
      <c r="J190" s="41" cm="1">
        <f t="array" ref="J190">IF(C190=20,INDEX(CUOC!$C$28:$C$37,MATCH(N190,CUOC!$A$28:$A$37,0),0),INDEX(CUOC!$D$28:$D$37,MATCH(N190,CUOC!$A$28:$A$37,0),0))</f>
        <v>448500</v>
      </c>
      <c r="K190" s="41">
        <f t="shared" si="8"/>
        <v>35880</v>
      </c>
      <c r="L190" s="41">
        <f t="shared" si="9"/>
        <v>484380</v>
      </c>
      <c r="M190" s="37">
        <v>46118</v>
      </c>
      <c r="N190" s="42">
        <v>5</v>
      </c>
      <c r="O190" s="64">
        <v>34832</v>
      </c>
      <c r="P190" s="43" t="str">
        <f t="shared" si="10"/>
        <v>Cước vận chuyển cont Hàng 40 tuyến đường HẢI AN - NHĐV. Số xe: 15H08574</v>
      </c>
      <c r="Q190" s="3">
        <v>1</v>
      </c>
    </row>
    <row r="191" spans="1:17" ht="15" customHeight="1">
      <c r="A191" s="39">
        <v>178</v>
      </c>
      <c r="B191" s="40" t="s">
        <v>293</v>
      </c>
      <c r="C191" s="40">
        <v>40</v>
      </c>
      <c r="D191" s="40" t="s">
        <v>100</v>
      </c>
      <c r="E191" s="40" t="s">
        <v>220</v>
      </c>
      <c r="F191" s="40" t="s">
        <v>221</v>
      </c>
      <c r="G191" s="40" t="s">
        <v>15</v>
      </c>
      <c r="H191" s="40" t="s">
        <v>53</v>
      </c>
      <c r="I191" s="40" t="s">
        <v>67</v>
      </c>
      <c r="J191" s="41" cm="1">
        <f t="array" ref="J191">IF(C191=20,INDEX(CUOC!$C$28:$C$37,MATCH(N191,CUOC!$A$28:$A$37,0),0),INDEX(CUOC!$D$28:$D$37,MATCH(N191,CUOC!$A$28:$A$37,0),0))</f>
        <v>448500</v>
      </c>
      <c r="K191" s="41">
        <f t="shared" si="8"/>
        <v>35880</v>
      </c>
      <c r="L191" s="41">
        <f t="shared" si="9"/>
        <v>484380</v>
      </c>
      <c r="M191" s="37">
        <v>46118</v>
      </c>
      <c r="N191" s="42">
        <v>5</v>
      </c>
      <c r="O191" s="64">
        <v>34832</v>
      </c>
      <c r="P191" s="43" t="str">
        <f t="shared" si="10"/>
        <v>Cước vận chuyển cont Hàng 40 tuyến đường HẢI AN - NHĐV. Số xe: 15H08574</v>
      </c>
      <c r="Q191" s="3">
        <v>1</v>
      </c>
    </row>
    <row r="192" spans="1:17" ht="15" customHeight="1">
      <c r="A192" s="39">
        <v>179</v>
      </c>
      <c r="B192" s="40" t="s">
        <v>294</v>
      </c>
      <c r="C192" s="40">
        <v>40</v>
      </c>
      <c r="D192" s="40" t="s">
        <v>100</v>
      </c>
      <c r="E192" s="40" t="s">
        <v>220</v>
      </c>
      <c r="F192" s="40" t="s">
        <v>489</v>
      </c>
      <c r="G192" s="40" t="s">
        <v>53</v>
      </c>
      <c r="H192" s="40" t="s">
        <v>15</v>
      </c>
      <c r="I192" s="40" t="s">
        <v>67</v>
      </c>
      <c r="J192" s="41" cm="1">
        <f t="array" ref="J192">IF(C192=20,INDEX(CUOC!$C$28:$C$37,MATCH(N192,CUOC!$A$28:$A$37,0),0),INDEX(CUOC!$D$28:$D$37,MATCH(N192,CUOC!$A$28:$A$37,0),0))</f>
        <v>448500</v>
      </c>
      <c r="K192" s="41">
        <f t="shared" si="8"/>
        <v>35880</v>
      </c>
      <c r="L192" s="41">
        <f t="shared" si="9"/>
        <v>484380</v>
      </c>
      <c r="M192" s="37">
        <v>46118</v>
      </c>
      <c r="N192" s="42">
        <v>5</v>
      </c>
      <c r="O192" s="64">
        <v>34832</v>
      </c>
      <c r="P192" s="43" t="str">
        <f t="shared" si="10"/>
        <v>Cước vận chuyển cont Hàng 40 tuyến đường NHĐV - HẢI AN. Số xe: 15H08574</v>
      </c>
      <c r="Q192" s="3">
        <v>1</v>
      </c>
    </row>
    <row r="193" spans="1:17" ht="15" customHeight="1">
      <c r="A193" s="39">
        <v>180</v>
      </c>
      <c r="B193" s="40" t="s">
        <v>295</v>
      </c>
      <c r="C193" s="40">
        <v>20</v>
      </c>
      <c r="D193" s="40" t="s">
        <v>100</v>
      </c>
      <c r="E193" s="40" t="s">
        <v>220</v>
      </c>
      <c r="F193" s="40" t="s">
        <v>221</v>
      </c>
      <c r="G193" s="40" t="s">
        <v>15</v>
      </c>
      <c r="H193" s="40" t="s">
        <v>53</v>
      </c>
      <c r="I193" s="40" t="s">
        <v>67</v>
      </c>
      <c r="J193" s="41" cm="1">
        <f t="array" ref="J193">IF(C193=20,INDEX(CUOC!$C$28:$C$37,MATCH(N193,CUOC!$A$28:$A$37,0),0),INDEX(CUOC!$D$28:$D$37,MATCH(N193,CUOC!$A$28:$A$37,0),0))</f>
        <v>386100</v>
      </c>
      <c r="K193" s="41">
        <f t="shared" si="8"/>
        <v>30888</v>
      </c>
      <c r="L193" s="41">
        <f t="shared" si="9"/>
        <v>416988</v>
      </c>
      <c r="M193" s="37">
        <v>46119</v>
      </c>
      <c r="N193" s="42">
        <v>5</v>
      </c>
      <c r="O193" s="64">
        <v>34832</v>
      </c>
      <c r="P193" s="43" t="str">
        <f t="shared" si="10"/>
        <v>Cước vận chuyển cont Hàng 20 tuyến đường HẢI AN - NHĐV. Số xe: 15H08574</v>
      </c>
      <c r="Q193" s="3">
        <v>1</v>
      </c>
    </row>
    <row r="194" spans="1:17" ht="15" customHeight="1">
      <c r="A194" s="39">
        <v>181</v>
      </c>
      <c r="B194" s="40" t="s">
        <v>296</v>
      </c>
      <c r="C194" s="40">
        <v>20</v>
      </c>
      <c r="D194" s="40" t="s">
        <v>100</v>
      </c>
      <c r="E194" s="40" t="s">
        <v>220</v>
      </c>
      <c r="F194" s="40" t="s">
        <v>221</v>
      </c>
      <c r="G194" s="40" t="s">
        <v>15</v>
      </c>
      <c r="H194" s="40" t="s">
        <v>53</v>
      </c>
      <c r="I194" s="40" t="s">
        <v>67</v>
      </c>
      <c r="J194" s="41" cm="1">
        <f t="array" ref="J194">IF(C194=20,INDEX(CUOC!$C$28:$C$37,MATCH(N194,CUOC!$A$28:$A$37,0),0),INDEX(CUOC!$D$28:$D$37,MATCH(N194,CUOC!$A$28:$A$37,0),0))</f>
        <v>386100</v>
      </c>
      <c r="K194" s="41">
        <f t="shared" si="8"/>
        <v>30888</v>
      </c>
      <c r="L194" s="41">
        <f t="shared" si="9"/>
        <v>416988</v>
      </c>
      <c r="M194" s="37">
        <v>46119</v>
      </c>
      <c r="N194" s="42">
        <v>5</v>
      </c>
      <c r="O194" s="64">
        <v>34832</v>
      </c>
      <c r="P194" s="43" t="str">
        <f t="shared" si="10"/>
        <v>Cước vận chuyển cont Hàng 20 tuyến đường HẢI AN - NHĐV. Số xe: 15H08574</v>
      </c>
      <c r="Q194" s="3">
        <v>1</v>
      </c>
    </row>
    <row r="195" spans="1:17" ht="15" customHeight="1">
      <c r="A195" s="39">
        <v>182</v>
      </c>
      <c r="B195" s="40" t="s">
        <v>297</v>
      </c>
      <c r="C195" s="40">
        <v>20</v>
      </c>
      <c r="D195" s="40" t="s">
        <v>100</v>
      </c>
      <c r="E195" s="40" t="s">
        <v>220</v>
      </c>
      <c r="F195" s="40" t="s">
        <v>221</v>
      </c>
      <c r="G195" s="40" t="s">
        <v>15</v>
      </c>
      <c r="H195" s="40" t="s">
        <v>53</v>
      </c>
      <c r="I195" s="40" t="s">
        <v>67</v>
      </c>
      <c r="J195" s="41" cm="1">
        <f t="array" ref="J195">IF(C195=20,INDEX(CUOC!$C$28:$C$37,MATCH(N195,CUOC!$A$28:$A$37,0),0),INDEX(CUOC!$D$28:$D$37,MATCH(N195,CUOC!$A$28:$A$37,0),0))</f>
        <v>386100</v>
      </c>
      <c r="K195" s="41">
        <f t="shared" si="8"/>
        <v>30888</v>
      </c>
      <c r="L195" s="41">
        <f t="shared" si="9"/>
        <v>416988</v>
      </c>
      <c r="M195" s="37">
        <v>46119</v>
      </c>
      <c r="N195" s="42">
        <v>5</v>
      </c>
      <c r="O195" s="64">
        <v>34832</v>
      </c>
      <c r="P195" s="43" t="str">
        <f t="shared" si="10"/>
        <v>Cước vận chuyển cont Hàng 20 tuyến đường HẢI AN - NHĐV. Số xe: 15H08574</v>
      </c>
      <c r="Q195" s="3">
        <v>1</v>
      </c>
    </row>
    <row r="196" spans="1:17" ht="15" customHeight="1">
      <c r="A196" s="39">
        <v>183</v>
      </c>
      <c r="B196" s="40" t="s">
        <v>298</v>
      </c>
      <c r="C196" s="40">
        <v>20</v>
      </c>
      <c r="D196" s="40" t="s">
        <v>100</v>
      </c>
      <c r="E196" s="40" t="s">
        <v>220</v>
      </c>
      <c r="F196" s="40" t="s">
        <v>221</v>
      </c>
      <c r="G196" s="40" t="s">
        <v>15</v>
      </c>
      <c r="H196" s="40" t="s">
        <v>53</v>
      </c>
      <c r="I196" s="40" t="s">
        <v>67</v>
      </c>
      <c r="J196" s="41" cm="1">
        <f t="array" ref="J196">IF(C196=20,INDEX(CUOC!$C$28:$C$37,MATCH(N196,CUOC!$A$28:$A$37,0),0),INDEX(CUOC!$D$28:$D$37,MATCH(N196,CUOC!$A$28:$A$37,0),0))</f>
        <v>386100</v>
      </c>
      <c r="K196" s="41">
        <f t="shared" si="8"/>
        <v>30888</v>
      </c>
      <c r="L196" s="41">
        <f t="shared" si="9"/>
        <v>416988</v>
      </c>
      <c r="M196" s="37">
        <v>46119</v>
      </c>
      <c r="N196" s="42">
        <v>5</v>
      </c>
      <c r="O196" s="64">
        <v>34832</v>
      </c>
      <c r="P196" s="43" t="str">
        <f t="shared" si="10"/>
        <v>Cước vận chuyển cont Hàng 20 tuyến đường HẢI AN - NHĐV. Số xe: 15H08574</v>
      </c>
      <c r="Q196" s="3">
        <v>1</v>
      </c>
    </row>
    <row r="197" spans="1:17" ht="15" customHeight="1">
      <c r="A197" s="39">
        <v>184</v>
      </c>
      <c r="B197" s="40" t="s">
        <v>299</v>
      </c>
      <c r="C197" s="40">
        <v>40</v>
      </c>
      <c r="D197" s="40" t="s">
        <v>100</v>
      </c>
      <c r="E197" s="40" t="s">
        <v>220</v>
      </c>
      <c r="F197" s="40" t="s">
        <v>489</v>
      </c>
      <c r="G197" s="40" t="s">
        <v>53</v>
      </c>
      <c r="H197" s="40" t="s">
        <v>15</v>
      </c>
      <c r="I197" s="40" t="s">
        <v>67</v>
      </c>
      <c r="J197" s="41" cm="1">
        <f t="array" ref="J197">IF(C197=20,INDEX(CUOC!$C$28:$C$37,MATCH(N197,CUOC!$A$28:$A$37,0),0),INDEX(CUOC!$D$28:$D$37,MATCH(N197,CUOC!$A$28:$A$37,0),0))</f>
        <v>448500</v>
      </c>
      <c r="K197" s="41">
        <f t="shared" si="8"/>
        <v>35880</v>
      </c>
      <c r="L197" s="41">
        <f t="shared" si="9"/>
        <v>484380</v>
      </c>
      <c r="M197" s="37">
        <v>46119</v>
      </c>
      <c r="N197" s="42">
        <v>5</v>
      </c>
      <c r="O197" s="64">
        <v>34832</v>
      </c>
      <c r="P197" s="43" t="str">
        <f t="shared" si="10"/>
        <v>Cước vận chuyển cont Hàng 40 tuyến đường NHĐV - HẢI AN. Số xe: 15H08574</v>
      </c>
      <c r="Q197" s="3">
        <v>1</v>
      </c>
    </row>
    <row r="198" spans="1:17" ht="15" customHeight="1">
      <c r="A198" s="39">
        <v>185</v>
      </c>
      <c r="B198" s="40" t="s">
        <v>300</v>
      </c>
      <c r="C198" s="40">
        <v>20</v>
      </c>
      <c r="D198" s="40" t="s">
        <v>100</v>
      </c>
      <c r="E198" s="40" t="s">
        <v>220</v>
      </c>
      <c r="F198" s="40" t="s">
        <v>489</v>
      </c>
      <c r="G198" s="40" t="s">
        <v>53</v>
      </c>
      <c r="H198" s="40" t="s">
        <v>15</v>
      </c>
      <c r="I198" s="40" t="s">
        <v>67</v>
      </c>
      <c r="J198" s="41" cm="1">
        <f t="array" ref="J198">IF(C198=20,INDEX(CUOC!$C$28:$C$37,MATCH(N198,CUOC!$A$28:$A$37,0),0),INDEX(CUOC!$D$28:$D$37,MATCH(N198,CUOC!$A$28:$A$37,0),0))</f>
        <v>386100</v>
      </c>
      <c r="K198" s="41">
        <f t="shared" si="8"/>
        <v>30888</v>
      </c>
      <c r="L198" s="41">
        <f t="shared" si="9"/>
        <v>416988</v>
      </c>
      <c r="M198" s="37">
        <v>46119</v>
      </c>
      <c r="N198" s="42">
        <v>5</v>
      </c>
      <c r="O198" s="64">
        <v>34832</v>
      </c>
      <c r="P198" s="43" t="str">
        <f t="shared" si="10"/>
        <v>Cước vận chuyển cont Hàng 20 tuyến đường NHĐV - HẢI AN. Số xe: 15H08574</v>
      </c>
      <c r="Q198" s="3">
        <v>1</v>
      </c>
    </row>
    <row r="199" spans="1:17" ht="15" customHeight="1">
      <c r="A199" s="39">
        <v>186</v>
      </c>
      <c r="B199" s="40" t="s">
        <v>301</v>
      </c>
      <c r="C199" s="40">
        <v>20</v>
      </c>
      <c r="D199" s="40" t="s">
        <v>100</v>
      </c>
      <c r="E199" s="40" t="s">
        <v>220</v>
      </c>
      <c r="F199" s="40" t="s">
        <v>489</v>
      </c>
      <c r="G199" s="40" t="s">
        <v>53</v>
      </c>
      <c r="H199" s="40" t="s">
        <v>15</v>
      </c>
      <c r="I199" s="40" t="s">
        <v>67</v>
      </c>
      <c r="J199" s="41" cm="1">
        <f t="array" ref="J199">IF(C199=20,INDEX(CUOC!$C$28:$C$37,MATCH(N199,CUOC!$A$28:$A$37,0),0),INDEX(CUOC!$D$28:$D$37,MATCH(N199,CUOC!$A$28:$A$37,0),0))</f>
        <v>386100</v>
      </c>
      <c r="K199" s="41">
        <f t="shared" si="8"/>
        <v>30888</v>
      </c>
      <c r="L199" s="41">
        <f t="shared" si="9"/>
        <v>416988</v>
      </c>
      <c r="M199" s="37">
        <v>46119</v>
      </c>
      <c r="N199" s="42">
        <v>5</v>
      </c>
      <c r="O199" s="64">
        <v>34832</v>
      </c>
      <c r="P199" s="43" t="str">
        <f t="shared" si="10"/>
        <v>Cước vận chuyển cont Hàng 20 tuyến đường NHĐV - HẢI AN. Số xe: 15H08574</v>
      </c>
      <c r="Q199" s="3">
        <v>1</v>
      </c>
    </row>
    <row r="200" spans="1:17" ht="15" customHeight="1">
      <c r="A200" s="39">
        <v>187</v>
      </c>
      <c r="B200" s="40" t="s">
        <v>302</v>
      </c>
      <c r="C200" s="40">
        <v>20</v>
      </c>
      <c r="D200" s="40" t="s">
        <v>100</v>
      </c>
      <c r="E200" s="40" t="s">
        <v>220</v>
      </c>
      <c r="F200" s="40" t="s">
        <v>489</v>
      </c>
      <c r="G200" s="40" t="s">
        <v>53</v>
      </c>
      <c r="H200" s="40" t="s">
        <v>15</v>
      </c>
      <c r="I200" s="40" t="s">
        <v>67</v>
      </c>
      <c r="J200" s="41" cm="1">
        <f t="array" ref="J200">IF(C200=20,INDEX(CUOC!$C$28:$C$37,MATCH(N200,CUOC!$A$28:$A$37,0),0),INDEX(CUOC!$D$28:$D$37,MATCH(N200,CUOC!$A$28:$A$37,0),0))</f>
        <v>386100</v>
      </c>
      <c r="K200" s="41">
        <f t="shared" si="8"/>
        <v>30888</v>
      </c>
      <c r="L200" s="41">
        <f t="shared" si="9"/>
        <v>416988</v>
      </c>
      <c r="M200" s="37">
        <v>46119</v>
      </c>
      <c r="N200" s="42">
        <v>5</v>
      </c>
      <c r="O200" s="64">
        <v>34832</v>
      </c>
      <c r="P200" s="43" t="str">
        <f t="shared" si="10"/>
        <v>Cước vận chuyển cont Hàng 20 tuyến đường NHĐV - HẢI AN. Số xe: 15H08574</v>
      </c>
      <c r="Q200" s="3">
        <v>1</v>
      </c>
    </row>
    <row r="201" spans="1:17" ht="15" customHeight="1">
      <c r="A201" s="39">
        <v>188</v>
      </c>
      <c r="B201" s="40" t="s">
        <v>303</v>
      </c>
      <c r="C201" s="40">
        <v>20</v>
      </c>
      <c r="D201" s="40" t="s">
        <v>100</v>
      </c>
      <c r="E201" s="40" t="s">
        <v>220</v>
      </c>
      <c r="F201" s="40" t="s">
        <v>489</v>
      </c>
      <c r="G201" s="40" t="s">
        <v>53</v>
      </c>
      <c r="H201" s="40" t="s">
        <v>15</v>
      </c>
      <c r="I201" s="40" t="s">
        <v>67</v>
      </c>
      <c r="J201" s="41" cm="1">
        <f t="array" ref="J201">IF(C201=20,INDEX(CUOC!$C$28:$C$37,MATCH(N201,CUOC!$A$28:$A$37,0),0),INDEX(CUOC!$D$28:$D$37,MATCH(N201,CUOC!$A$28:$A$37,0),0))</f>
        <v>386100</v>
      </c>
      <c r="K201" s="41">
        <f t="shared" si="8"/>
        <v>30888</v>
      </c>
      <c r="L201" s="41">
        <f t="shared" si="9"/>
        <v>416988</v>
      </c>
      <c r="M201" s="37">
        <v>46119</v>
      </c>
      <c r="N201" s="42">
        <v>5</v>
      </c>
      <c r="O201" s="64">
        <v>34832</v>
      </c>
      <c r="P201" s="43" t="str">
        <f t="shared" si="10"/>
        <v>Cước vận chuyển cont Hàng 20 tuyến đường NHĐV - HẢI AN. Số xe: 15H08574</v>
      </c>
      <c r="Q201" s="3">
        <v>1</v>
      </c>
    </row>
    <row r="202" spans="1:17" ht="15" customHeight="1">
      <c r="A202" s="39">
        <v>189</v>
      </c>
      <c r="B202" s="40" t="s">
        <v>304</v>
      </c>
      <c r="C202" s="40">
        <v>20</v>
      </c>
      <c r="D202" s="40" t="s">
        <v>100</v>
      </c>
      <c r="E202" s="40" t="s">
        <v>220</v>
      </c>
      <c r="F202" s="40" t="s">
        <v>221</v>
      </c>
      <c r="G202" s="40" t="s">
        <v>15</v>
      </c>
      <c r="H202" s="40" t="s">
        <v>53</v>
      </c>
      <c r="I202" s="40" t="s">
        <v>68</v>
      </c>
      <c r="J202" s="41" cm="1">
        <f t="array" ref="J202">IF(C202=20,INDEX(CUOC!$C$28:$C$37,MATCH(N202,CUOC!$A$28:$A$37,0),0),INDEX(CUOC!$D$28:$D$37,MATCH(N202,CUOC!$A$28:$A$37,0),0))</f>
        <v>386100</v>
      </c>
      <c r="K202" s="41">
        <f t="shared" si="8"/>
        <v>30888</v>
      </c>
      <c r="L202" s="41">
        <f t="shared" si="9"/>
        <v>416988</v>
      </c>
      <c r="M202" s="37">
        <v>46119</v>
      </c>
      <c r="N202" s="42">
        <v>5</v>
      </c>
      <c r="O202" s="64">
        <v>34832</v>
      </c>
      <c r="P202" s="43" t="str">
        <f t="shared" si="10"/>
        <v>Cước vận chuyển cont Hàng 20 tuyến đường HẢI AN - NHĐV. Số xe: 15C17442</v>
      </c>
      <c r="Q202" s="3">
        <v>1</v>
      </c>
    </row>
    <row r="203" spans="1:17" ht="15" customHeight="1">
      <c r="A203" s="39">
        <v>190</v>
      </c>
      <c r="B203" s="40" t="s">
        <v>305</v>
      </c>
      <c r="C203" s="40">
        <v>20</v>
      </c>
      <c r="D203" s="40" t="s">
        <v>100</v>
      </c>
      <c r="E203" s="40" t="s">
        <v>220</v>
      </c>
      <c r="F203" s="40" t="s">
        <v>221</v>
      </c>
      <c r="G203" s="40" t="s">
        <v>15</v>
      </c>
      <c r="H203" s="40" t="s">
        <v>53</v>
      </c>
      <c r="I203" s="40" t="s">
        <v>68</v>
      </c>
      <c r="J203" s="41" cm="1">
        <f t="array" ref="J203">IF(C203=20,INDEX(CUOC!$C$28:$C$37,MATCH(N203,CUOC!$A$28:$A$37,0),0),INDEX(CUOC!$D$28:$D$37,MATCH(N203,CUOC!$A$28:$A$37,0),0))</f>
        <v>386100</v>
      </c>
      <c r="K203" s="41">
        <f t="shared" si="8"/>
        <v>30888</v>
      </c>
      <c r="L203" s="41">
        <f t="shared" si="9"/>
        <v>416988</v>
      </c>
      <c r="M203" s="37">
        <v>46119</v>
      </c>
      <c r="N203" s="42">
        <v>5</v>
      </c>
      <c r="O203" s="64">
        <v>34832</v>
      </c>
      <c r="P203" s="43" t="str">
        <f t="shared" si="10"/>
        <v>Cước vận chuyển cont Hàng 20 tuyến đường HẢI AN - NHĐV. Số xe: 15C17442</v>
      </c>
      <c r="Q203" s="3">
        <v>1</v>
      </c>
    </row>
    <row r="204" spans="1:17" ht="15" customHeight="1">
      <c r="A204" s="39">
        <v>191</v>
      </c>
      <c r="B204" s="40" t="s">
        <v>306</v>
      </c>
      <c r="C204" s="40">
        <v>20</v>
      </c>
      <c r="D204" s="40" t="s">
        <v>100</v>
      </c>
      <c r="E204" s="40" t="s">
        <v>220</v>
      </c>
      <c r="F204" s="40" t="s">
        <v>221</v>
      </c>
      <c r="G204" s="40" t="s">
        <v>15</v>
      </c>
      <c r="H204" s="40" t="s">
        <v>53</v>
      </c>
      <c r="I204" s="40" t="s">
        <v>69</v>
      </c>
      <c r="J204" s="41" cm="1">
        <f t="array" ref="J204">IF(C204=20,INDEX(CUOC!$C$28:$C$37,MATCH(N204,CUOC!$A$28:$A$37,0),0),INDEX(CUOC!$D$28:$D$37,MATCH(N204,CUOC!$A$28:$A$37,0),0))</f>
        <v>386100</v>
      </c>
      <c r="K204" s="41">
        <f t="shared" si="8"/>
        <v>30888</v>
      </c>
      <c r="L204" s="41">
        <f t="shared" si="9"/>
        <v>416988</v>
      </c>
      <c r="M204" s="37">
        <v>46119</v>
      </c>
      <c r="N204" s="42">
        <v>5</v>
      </c>
      <c r="O204" s="64">
        <v>34832</v>
      </c>
      <c r="P204" s="43" t="str">
        <f t="shared" si="10"/>
        <v>Cước vận chuyển cont Hàng 20 tuyến đường HẢI AN - NHĐV. Số xe: 15C15033</v>
      </c>
      <c r="Q204" s="3">
        <v>1</v>
      </c>
    </row>
    <row r="205" spans="1:17" ht="15" customHeight="1">
      <c r="A205" s="39">
        <v>192</v>
      </c>
      <c r="B205" s="40" t="s">
        <v>307</v>
      </c>
      <c r="C205" s="40">
        <v>20</v>
      </c>
      <c r="D205" s="40" t="s">
        <v>100</v>
      </c>
      <c r="E205" s="40" t="s">
        <v>220</v>
      </c>
      <c r="F205" s="40" t="s">
        <v>221</v>
      </c>
      <c r="G205" s="40" t="s">
        <v>15</v>
      </c>
      <c r="H205" s="40" t="s">
        <v>53</v>
      </c>
      <c r="I205" s="40" t="s">
        <v>69</v>
      </c>
      <c r="J205" s="41" cm="1">
        <f t="array" ref="J205">IF(C205=20,INDEX(CUOC!$C$28:$C$37,MATCH(N205,CUOC!$A$28:$A$37,0),0),INDEX(CUOC!$D$28:$D$37,MATCH(N205,CUOC!$A$28:$A$37,0),0))</f>
        <v>386100</v>
      </c>
      <c r="K205" s="41">
        <f t="shared" si="8"/>
        <v>30888</v>
      </c>
      <c r="L205" s="41">
        <f t="shared" si="9"/>
        <v>416988</v>
      </c>
      <c r="M205" s="37">
        <v>46119</v>
      </c>
      <c r="N205" s="42">
        <v>5</v>
      </c>
      <c r="O205" s="64">
        <v>34832</v>
      </c>
      <c r="P205" s="43" t="str">
        <f t="shared" si="10"/>
        <v>Cước vận chuyển cont Hàng 20 tuyến đường HẢI AN - NHĐV. Số xe: 15C15033</v>
      </c>
      <c r="Q205" s="3">
        <v>1</v>
      </c>
    </row>
    <row r="206" spans="1:17" ht="15" customHeight="1">
      <c r="A206" s="39">
        <v>193</v>
      </c>
      <c r="B206" s="40" t="s">
        <v>308</v>
      </c>
      <c r="C206" s="40">
        <v>20</v>
      </c>
      <c r="D206" s="40" t="s">
        <v>100</v>
      </c>
      <c r="E206" s="40" t="s">
        <v>220</v>
      </c>
      <c r="F206" s="40" t="s">
        <v>221</v>
      </c>
      <c r="G206" s="40" t="s">
        <v>15</v>
      </c>
      <c r="H206" s="40" t="s">
        <v>53</v>
      </c>
      <c r="I206" s="40" t="s">
        <v>69</v>
      </c>
      <c r="J206" s="41" cm="1">
        <f t="array" ref="J206">IF(C206=20,INDEX(CUOC!$C$28:$C$37,MATCH(N206,CUOC!$A$28:$A$37,0),0),INDEX(CUOC!$D$28:$D$37,MATCH(N206,CUOC!$A$28:$A$37,0),0))</f>
        <v>386100</v>
      </c>
      <c r="K206" s="41">
        <f t="shared" si="8"/>
        <v>30888</v>
      </c>
      <c r="L206" s="41">
        <f t="shared" si="9"/>
        <v>416988</v>
      </c>
      <c r="M206" s="37">
        <v>46119</v>
      </c>
      <c r="N206" s="42">
        <v>5</v>
      </c>
      <c r="O206" s="64">
        <v>34832</v>
      </c>
      <c r="P206" s="43" t="str">
        <f t="shared" si="10"/>
        <v>Cước vận chuyển cont Hàng 20 tuyến đường HẢI AN - NHĐV. Số xe: 15C15033</v>
      </c>
      <c r="Q206" s="3">
        <v>1</v>
      </c>
    </row>
    <row r="207" spans="1:17" ht="15" customHeight="1">
      <c r="A207" s="39">
        <v>194</v>
      </c>
      <c r="B207" s="40" t="s">
        <v>309</v>
      </c>
      <c r="C207" s="40">
        <v>20</v>
      </c>
      <c r="D207" s="40" t="s">
        <v>100</v>
      </c>
      <c r="E207" s="40" t="s">
        <v>220</v>
      </c>
      <c r="F207" s="40" t="s">
        <v>221</v>
      </c>
      <c r="G207" s="40" t="s">
        <v>15</v>
      </c>
      <c r="H207" s="40" t="s">
        <v>53</v>
      </c>
      <c r="I207" s="40" t="s">
        <v>69</v>
      </c>
      <c r="J207" s="41" cm="1">
        <f t="array" ref="J207">IF(C207=20,INDEX(CUOC!$C$28:$C$37,MATCH(N207,CUOC!$A$28:$A$37,0),0),INDEX(CUOC!$D$28:$D$37,MATCH(N207,CUOC!$A$28:$A$37,0),0))</f>
        <v>386100</v>
      </c>
      <c r="K207" s="41">
        <f t="shared" ref="K207:K270" si="11">+J207*0.08</f>
        <v>30888</v>
      </c>
      <c r="L207" s="41">
        <f t="shared" ref="L207:L270" si="12">+K207+J207</f>
        <v>416988</v>
      </c>
      <c r="M207" s="37">
        <v>46119</v>
      </c>
      <c r="N207" s="42">
        <v>5</v>
      </c>
      <c r="O207" s="64">
        <v>34832</v>
      </c>
      <c r="P207" s="43" t="str">
        <f t="shared" ref="P207:P270" si="13">IF(D207="R",$P$8&amp;C207&amp;$P$10&amp;G207&amp;$Q$12&amp;H207&amp;$P$11&amp;I207,$P$9&amp;C207&amp;$P$10&amp;G207&amp;$Q$12&amp;H207&amp;$P$11&amp;I207)</f>
        <v>Cước vận chuyển cont Hàng 20 tuyến đường HẢI AN - NHĐV. Số xe: 15C15033</v>
      </c>
      <c r="Q207" s="3">
        <v>1</v>
      </c>
    </row>
    <row r="208" spans="1:17" ht="15" customHeight="1">
      <c r="A208" s="39">
        <v>195</v>
      </c>
      <c r="B208" s="40" t="s">
        <v>310</v>
      </c>
      <c r="C208" s="40">
        <v>40</v>
      </c>
      <c r="D208" s="40" t="s">
        <v>100</v>
      </c>
      <c r="E208" s="40" t="s">
        <v>220</v>
      </c>
      <c r="F208" s="40" t="s">
        <v>221</v>
      </c>
      <c r="G208" s="40" t="s">
        <v>15</v>
      </c>
      <c r="H208" s="40" t="s">
        <v>53</v>
      </c>
      <c r="I208" s="40" t="s">
        <v>71</v>
      </c>
      <c r="J208" s="41" cm="1">
        <f t="array" ref="J208">IF(C208=20,INDEX(CUOC!$C$28:$C$37,MATCH(N208,CUOC!$A$28:$A$37,0),0),INDEX(CUOC!$D$28:$D$37,MATCH(N208,CUOC!$A$28:$A$37,0),0))</f>
        <v>448500</v>
      </c>
      <c r="K208" s="41">
        <f t="shared" si="11"/>
        <v>35880</v>
      </c>
      <c r="L208" s="41">
        <f t="shared" si="12"/>
        <v>484380</v>
      </c>
      <c r="M208" s="37">
        <v>46119</v>
      </c>
      <c r="N208" s="42">
        <v>5</v>
      </c>
      <c r="O208" s="64">
        <v>34832</v>
      </c>
      <c r="P208" s="43" t="str">
        <f t="shared" si="13"/>
        <v>Cước vận chuyển cont Hàng 40 tuyến đường HẢI AN - NHĐV. Số xe: 15H12925</v>
      </c>
      <c r="Q208" s="3">
        <v>1</v>
      </c>
    </row>
    <row r="209" spans="1:17" ht="15" customHeight="1">
      <c r="A209" s="39">
        <v>196</v>
      </c>
      <c r="B209" s="40" t="s">
        <v>311</v>
      </c>
      <c r="C209" s="40">
        <v>40</v>
      </c>
      <c r="D209" s="40" t="s">
        <v>100</v>
      </c>
      <c r="E209" s="40" t="s">
        <v>220</v>
      </c>
      <c r="F209" s="40" t="s">
        <v>221</v>
      </c>
      <c r="G209" s="40" t="s">
        <v>15</v>
      </c>
      <c r="H209" s="40" t="s">
        <v>53</v>
      </c>
      <c r="I209" s="40" t="s">
        <v>71</v>
      </c>
      <c r="J209" s="41" cm="1">
        <f t="array" ref="J209">IF(C209=20,INDEX(CUOC!$C$28:$C$37,MATCH(N209,CUOC!$A$28:$A$37,0),0),INDEX(CUOC!$D$28:$D$37,MATCH(N209,CUOC!$A$28:$A$37,0),0))</f>
        <v>448500</v>
      </c>
      <c r="K209" s="41">
        <f t="shared" si="11"/>
        <v>35880</v>
      </c>
      <c r="L209" s="41">
        <f t="shared" si="12"/>
        <v>484380</v>
      </c>
      <c r="M209" s="37">
        <v>46119</v>
      </c>
      <c r="N209" s="42">
        <v>5</v>
      </c>
      <c r="O209" s="64">
        <v>34832</v>
      </c>
      <c r="P209" s="43" t="str">
        <f t="shared" si="13"/>
        <v>Cước vận chuyển cont Hàng 40 tuyến đường HẢI AN - NHĐV. Số xe: 15H12925</v>
      </c>
      <c r="Q209" s="3">
        <v>1</v>
      </c>
    </row>
    <row r="210" spans="1:17" ht="15" customHeight="1">
      <c r="A210" s="39">
        <v>197</v>
      </c>
      <c r="B210" s="40" t="s">
        <v>312</v>
      </c>
      <c r="C210" s="40">
        <v>40</v>
      </c>
      <c r="D210" s="40" t="s">
        <v>100</v>
      </c>
      <c r="E210" s="40" t="s">
        <v>220</v>
      </c>
      <c r="F210" s="40" t="s">
        <v>221</v>
      </c>
      <c r="G210" s="40" t="s">
        <v>15</v>
      </c>
      <c r="H210" s="40" t="s">
        <v>53</v>
      </c>
      <c r="I210" s="40" t="s">
        <v>86</v>
      </c>
      <c r="J210" s="41" cm="1">
        <f t="array" ref="J210">IF(C210=20,INDEX(CUOC!$C$28:$C$37,MATCH(N210,CUOC!$A$28:$A$37,0),0),INDEX(CUOC!$D$28:$D$37,MATCH(N210,CUOC!$A$28:$A$37,0),0))</f>
        <v>448500</v>
      </c>
      <c r="K210" s="41">
        <f t="shared" si="11"/>
        <v>35880</v>
      </c>
      <c r="L210" s="41">
        <f t="shared" si="12"/>
        <v>484380</v>
      </c>
      <c r="M210" s="37">
        <v>46119</v>
      </c>
      <c r="N210" s="42">
        <v>5</v>
      </c>
      <c r="O210" s="64">
        <v>34832</v>
      </c>
      <c r="P210" s="43" t="str">
        <f t="shared" si="13"/>
        <v>Cước vận chuyển cont Hàng 40 tuyến đường HẢI AN - NHĐV. Số xe: 15H18552</v>
      </c>
      <c r="Q210" s="3">
        <v>1</v>
      </c>
    </row>
    <row r="211" spans="1:17" ht="15" customHeight="1">
      <c r="A211" s="39">
        <v>198</v>
      </c>
      <c r="B211" s="40" t="s">
        <v>313</v>
      </c>
      <c r="C211" s="40">
        <v>40</v>
      </c>
      <c r="D211" s="40" t="s">
        <v>100</v>
      </c>
      <c r="E211" s="40" t="s">
        <v>220</v>
      </c>
      <c r="F211" s="40" t="s">
        <v>221</v>
      </c>
      <c r="G211" s="40" t="s">
        <v>15</v>
      </c>
      <c r="H211" s="40" t="s">
        <v>53</v>
      </c>
      <c r="I211" s="40" t="s">
        <v>86</v>
      </c>
      <c r="J211" s="41" cm="1">
        <f t="array" ref="J211">IF(C211=20,INDEX(CUOC!$C$28:$C$37,MATCH(N211,CUOC!$A$28:$A$37,0),0),INDEX(CUOC!$D$28:$D$37,MATCH(N211,CUOC!$A$28:$A$37,0),0))</f>
        <v>448500</v>
      </c>
      <c r="K211" s="41">
        <f t="shared" si="11"/>
        <v>35880</v>
      </c>
      <c r="L211" s="41">
        <f t="shared" si="12"/>
        <v>484380</v>
      </c>
      <c r="M211" s="37">
        <v>46119</v>
      </c>
      <c r="N211" s="42">
        <v>5</v>
      </c>
      <c r="O211" s="64">
        <v>34832</v>
      </c>
      <c r="P211" s="43" t="str">
        <f t="shared" si="13"/>
        <v>Cước vận chuyển cont Hàng 40 tuyến đường HẢI AN - NHĐV. Số xe: 15H18552</v>
      </c>
      <c r="Q211" s="3">
        <v>1</v>
      </c>
    </row>
    <row r="212" spans="1:17" ht="15" customHeight="1">
      <c r="A212" s="39">
        <v>199</v>
      </c>
      <c r="B212" s="40" t="s">
        <v>314</v>
      </c>
      <c r="C212" s="40">
        <v>20</v>
      </c>
      <c r="D212" s="40" t="s">
        <v>100</v>
      </c>
      <c r="E212" s="40" t="s">
        <v>220</v>
      </c>
      <c r="F212" s="40" t="s">
        <v>221</v>
      </c>
      <c r="G212" s="40" t="s">
        <v>15</v>
      </c>
      <c r="H212" s="40" t="s">
        <v>53</v>
      </c>
      <c r="I212" s="40" t="s">
        <v>70</v>
      </c>
      <c r="J212" s="41" cm="1">
        <f t="array" ref="J212">IF(C212=20,INDEX(CUOC!$C$28:$C$37,MATCH(N212,CUOC!$A$28:$A$37,0),0),INDEX(CUOC!$D$28:$D$37,MATCH(N212,CUOC!$A$28:$A$37,0),0))</f>
        <v>386100</v>
      </c>
      <c r="K212" s="41">
        <f t="shared" si="11"/>
        <v>30888</v>
      </c>
      <c r="L212" s="41">
        <f t="shared" si="12"/>
        <v>416988</v>
      </c>
      <c r="M212" s="37">
        <v>46119</v>
      </c>
      <c r="N212" s="42">
        <v>5</v>
      </c>
      <c r="O212" s="64">
        <v>34832</v>
      </c>
      <c r="P212" s="43" t="str">
        <f t="shared" si="13"/>
        <v>Cước vận chuyển cont Hàng 20 tuyến đường HẢI AN - NHĐV. Số xe: 15H07524</v>
      </c>
      <c r="Q212" s="3">
        <v>1</v>
      </c>
    </row>
    <row r="213" spans="1:17" ht="15" customHeight="1">
      <c r="A213" s="39">
        <v>200</v>
      </c>
      <c r="B213" s="40" t="s">
        <v>315</v>
      </c>
      <c r="C213" s="40">
        <v>20</v>
      </c>
      <c r="D213" s="40" t="s">
        <v>100</v>
      </c>
      <c r="E213" s="40" t="s">
        <v>220</v>
      </c>
      <c r="F213" s="40" t="s">
        <v>221</v>
      </c>
      <c r="G213" s="40" t="s">
        <v>15</v>
      </c>
      <c r="H213" s="40" t="s">
        <v>53</v>
      </c>
      <c r="I213" s="40" t="s">
        <v>70</v>
      </c>
      <c r="J213" s="41" cm="1">
        <f t="array" ref="J213">IF(C213=20,INDEX(CUOC!$C$28:$C$37,MATCH(N213,CUOC!$A$28:$A$37,0),0),INDEX(CUOC!$D$28:$D$37,MATCH(N213,CUOC!$A$28:$A$37,0),0))</f>
        <v>386100</v>
      </c>
      <c r="K213" s="41">
        <f t="shared" si="11"/>
        <v>30888</v>
      </c>
      <c r="L213" s="41">
        <f t="shared" si="12"/>
        <v>416988</v>
      </c>
      <c r="M213" s="37">
        <v>46119</v>
      </c>
      <c r="N213" s="42">
        <v>5</v>
      </c>
      <c r="O213" s="64">
        <v>34832</v>
      </c>
      <c r="P213" s="43" t="str">
        <f t="shared" si="13"/>
        <v>Cước vận chuyển cont Hàng 20 tuyến đường HẢI AN - NHĐV. Số xe: 15H07524</v>
      </c>
      <c r="Q213" s="3">
        <v>1</v>
      </c>
    </row>
    <row r="214" spans="1:17" ht="15" customHeight="1">
      <c r="A214" s="39">
        <v>201</v>
      </c>
      <c r="B214" s="40" t="s">
        <v>316</v>
      </c>
      <c r="C214" s="40">
        <v>20</v>
      </c>
      <c r="D214" s="40" t="s">
        <v>100</v>
      </c>
      <c r="E214" s="40" t="s">
        <v>220</v>
      </c>
      <c r="F214" s="40" t="s">
        <v>221</v>
      </c>
      <c r="G214" s="40" t="s">
        <v>15</v>
      </c>
      <c r="H214" s="40" t="s">
        <v>53</v>
      </c>
      <c r="I214" s="40" t="s">
        <v>70</v>
      </c>
      <c r="J214" s="41" cm="1">
        <f t="array" ref="J214">IF(C214=20,INDEX(CUOC!$C$28:$C$37,MATCH(N214,CUOC!$A$28:$A$37,0),0),INDEX(CUOC!$D$28:$D$37,MATCH(N214,CUOC!$A$28:$A$37,0),0))</f>
        <v>386100</v>
      </c>
      <c r="K214" s="41">
        <f t="shared" si="11"/>
        <v>30888</v>
      </c>
      <c r="L214" s="41">
        <f t="shared" si="12"/>
        <v>416988</v>
      </c>
      <c r="M214" s="37">
        <v>46119</v>
      </c>
      <c r="N214" s="42">
        <v>5</v>
      </c>
      <c r="O214" s="64">
        <v>34832</v>
      </c>
      <c r="P214" s="43" t="str">
        <f t="shared" si="13"/>
        <v>Cước vận chuyển cont Hàng 20 tuyến đường HẢI AN - NHĐV. Số xe: 15H07524</v>
      </c>
      <c r="Q214" s="3">
        <v>1</v>
      </c>
    </row>
    <row r="215" spans="1:17" ht="15" customHeight="1">
      <c r="A215" s="39">
        <v>202</v>
      </c>
      <c r="B215" s="40" t="s">
        <v>317</v>
      </c>
      <c r="C215" s="40">
        <v>20</v>
      </c>
      <c r="D215" s="40" t="s">
        <v>100</v>
      </c>
      <c r="E215" s="40" t="s">
        <v>220</v>
      </c>
      <c r="F215" s="40" t="s">
        <v>221</v>
      </c>
      <c r="G215" s="40" t="s">
        <v>15</v>
      </c>
      <c r="H215" s="40" t="s">
        <v>53</v>
      </c>
      <c r="I215" s="40" t="s">
        <v>70</v>
      </c>
      <c r="J215" s="41" cm="1">
        <f t="array" ref="J215">IF(C215=20,INDEX(CUOC!$C$28:$C$37,MATCH(N215,CUOC!$A$28:$A$37,0),0),INDEX(CUOC!$D$28:$D$37,MATCH(N215,CUOC!$A$28:$A$37,0),0))</f>
        <v>386100</v>
      </c>
      <c r="K215" s="41">
        <f t="shared" si="11"/>
        <v>30888</v>
      </c>
      <c r="L215" s="41">
        <f t="shared" si="12"/>
        <v>416988</v>
      </c>
      <c r="M215" s="37">
        <v>46119</v>
      </c>
      <c r="N215" s="42">
        <v>5</v>
      </c>
      <c r="O215" s="64">
        <v>34832</v>
      </c>
      <c r="P215" s="43" t="str">
        <f t="shared" si="13"/>
        <v>Cước vận chuyển cont Hàng 20 tuyến đường HẢI AN - NHĐV. Số xe: 15H07524</v>
      </c>
      <c r="Q215" s="3">
        <v>1</v>
      </c>
    </row>
    <row r="216" spans="1:17" ht="15" customHeight="1">
      <c r="A216" s="39">
        <v>203</v>
      </c>
      <c r="B216" s="40" t="s">
        <v>318</v>
      </c>
      <c r="C216" s="40">
        <v>20</v>
      </c>
      <c r="D216" s="40" t="s">
        <v>100</v>
      </c>
      <c r="E216" s="40" t="s">
        <v>220</v>
      </c>
      <c r="F216" s="40" t="s">
        <v>489</v>
      </c>
      <c r="G216" s="40" t="s">
        <v>53</v>
      </c>
      <c r="H216" s="40" t="s">
        <v>15</v>
      </c>
      <c r="I216" s="40" t="s">
        <v>64</v>
      </c>
      <c r="J216" s="41" cm="1">
        <f t="array" ref="J216">IF(C216=20,INDEX(CUOC!$C$28:$C$37,MATCH(N216,CUOC!$A$28:$A$37,0),0),INDEX(CUOC!$D$28:$D$37,MATCH(N216,CUOC!$A$28:$A$37,0),0))</f>
        <v>386100</v>
      </c>
      <c r="K216" s="41">
        <f t="shared" si="11"/>
        <v>30888</v>
      </c>
      <c r="L216" s="41">
        <f t="shared" si="12"/>
        <v>416988</v>
      </c>
      <c r="M216" s="37">
        <v>46119</v>
      </c>
      <c r="N216" s="42">
        <v>5</v>
      </c>
      <c r="O216" s="64">
        <v>34832</v>
      </c>
      <c r="P216" s="43" t="str">
        <f t="shared" si="13"/>
        <v>Cước vận chuyển cont Hàng 20 tuyến đường NHĐV - HẢI AN. Số xe: 15C09877</v>
      </c>
      <c r="Q216" s="3">
        <v>1</v>
      </c>
    </row>
    <row r="217" spans="1:17" ht="15" customHeight="1">
      <c r="A217" s="39">
        <v>204</v>
      </c>
      <c r="B217" s="40" t="s">
        <v>319</v>
      </c>
      <c r="C217" s="40">
        <v>20</v>
      </c>
      <c r="D217" s="40" t="s">
        <v>100</v>
      </c>
      <c r="E217" s="40" t="s">
        <v>220</v>
      </c>
      <c r="F217" s="40" t="s">
        <v>489</v>
      </c>
      <c r="G217" s="40" t="s">
        <v>53</v>
      </c>
      <c r="H217" s="40" t="s">
        <v>15</v>
      </c>
      <c r="I217" s="40" t="s">
        <v>64</v>
      </c>
      <c r="J217" s="41" cm="1">
        <f t="array" ref="J217">IF(C217=20,INDEX(CUOC!$C$28:$C$37,MATCH(N217,CUOC!$A$28:$A$37,0),0),INDEX(CUOC!$D$28:$D$37,MATCH(N217,CUOC!$A$28:$A$37,0),0))</f>
        <v>386100</v>
      </c>
      <c r="K217" s="41">
        <f t="shared" si="11"/>
        <v>30888</v>
      </c>
      <c r="L217" s="41">
        <f t="shared" si="12"/>
        <v>416988</v>
      </c>
      <c r="M217" s="37">
        <v>46119</v>
      </c>
      <c r="N217" s="42">
        <v>5</v>
      </c>
      <c r="O217" s="64">
        <v>34832</v>
      </c>
      <c r="P217" s="43" t="str">
        <f t="shared" si="13"/>
        <v>Cước vận chuyển cont Hàng 20 tuyến đường NHĐV - HẢI AN. Số xe: 15C09877</v>
      </c>
      <c r="Q217" s="3">
        <v>1</v>
      </c>
    </row>
    <row r="218" spans="1:17" ht="15" customHeight="1">
      <c r="A218" s="39">
        <v>205</v>
      </c>
      <c r="B218" s="40" t="s">
        <v>320</v>
      </c>
      <c r="C218" s="40">
        <v>20</v>
      </c>
      <c r="D218" s="40" t="s">
        <v>100</v>
      </c>
      <c r="E218" s="40" t="s">
        <v>220</v>
      </c>
      <c r="F218" s="40" t="s">
        <v>489</v>
      </c>
      <c r="G218" s="40" t="s">
        <v>53</v>
      </c>
      <c r="H218" s="40" t="s">
        <v>15</v>
      </c>
      <c r="I218" s="40" t="s">
        <v>64</v>
      </c>
      <c r="J218" s="41" cm="1">
        <f t="array" ref="J218">IF(C218=20,INDEX(CUOC!$C$28:$C$37,MATCH(N218,CUOC!$A$28:$A$37,0),0),INDEX(CUOC!$D$28:$D$37,MATCH(N218,CUOC!$A$28:$A$37,0),0))</f>
        <v>386100</v>
      </c>
      <c r="K218" s="41">
        <f t="shared" si="11"/>
        <v>30888</v>
      </c>
      <c r="L218" s="41">
        <f t="shared" si="12"/>
        <v>416988</v>
      </c>
      <c r="M218" s="37">
        <v>46119</v>
      </c>
      <c r="N218" s="42">
        <v>5</v>
      </c>
      <c r="O218" s="64">
        <v>34832</v>
      </c>
      <c r="P218" s="43" t="str">
        <f t="shared" si="13"/>
        <v>Cước vận chuyển cont Hàng 20 tuyến đường NHĐV - HẢI AN. Số xe: 15C09877</v>
      </c>
      <c r="Q218" s="3">
        <v>1</v>
      </c>
    </row>
    <row r="219" spans="1:17" ht="15" customHeight="1">
      <c r="A219" s="39">
        <v>206</v>
      </c>
      <c r="B219" s="40" t="s">
        <v>321</v>
      </c>
      <c r="C219" s="40">
        <v>20</v>
      </c>
      <c r="D219" s="40" t="s">
        <v>100</v>
      </c>
      <c r="E219" s="40" t="s">
        <v>220</v>
      </c>
      <c r="F219" s="40" t="s">
        <v>489</v>
      </c>
      <c r="G219" s="40" t="s">
        <v>53</v>
      </c>
      <c r="H219" s="40" t="s">
        <v>15</v>
      </c>
      <c r="I219" s="40" t="s">
        <v>64</v>
      </c>
      <c r="J219" s="41" cm="1">
        <f t="array" ref="J219">IF(C219=20,INDEX(CUOC!$C$28:$C$37,MATCH(N219,CUOC!$A$28:$A$37,0),0),INDEX(CUOC!$D$28:$D$37,MATCH(N219,CUOC!$A$28:$A$37,0),0))</f>
        <v>386100</v>
      </c>
      <c r="K219" s="41">
        <f t="shared" si="11"/>
        <v>30888</v>
      </c>
      <c r="L219" s="41">
        <f t="shared" si="12"/>
        <v>416988</v>
      </c>
      <c r="M219" s="37">
        <v>46119</v>
      </c>
      <c r="N219" s="42">
        <v>5</v>
      </c>
      <c r="O219" s="64">
        <v>34832</v>
      </c>
      <c r="P219" s="43" t="str">
        <f t="shared" si="13"/>
        <v>Cước vận chuyển cont Hàng 20 tuyến đường NHĐV - HẢI AN. Số xe: 15C09877</v>
      </c>
      <c r="Q219" s="3">
        <v>1</v>
      </c>
    </row>
    <row r="220" spans="1:17" ht="15" customHeight="1">
      <c r="A220" s="39">
        <v>207</v>
      </c>
      <c r="B220" s="40" t="s">
        <v>322</v>
      </c>
      <c r="C220" s="40">
        <v>40</v>
      </c>
      <c r="D220" s="40" t="s">
        <v>100</v>
      </c>
      <c r="E220" s="40" t="s">
        <v>220</v>
      </c>
      <c r="F220" s="40" t="s">
        <v>489</v>
      </c>
      <c r="G220" s="40" t="s">
        <v>53</v>
      </c>
      <c r="H220" s="40" t="s">
        <v>15</v>
      </c>
      <c r="I220" s="40" t="s">
        <v>64</v>
      </c>
      <c r="J220" s="41" cm="1">
        <f t="array" ref="J220">IF(C220=20,INDEX(CUOC!$C$28:$C$37,MATCH(N220,CUOC!$A$28:$A$37,0),0),INDEX(CUOC!$D$28:$D$37,MATCH(N220,CUOC!$A$28:$A$37,0),0))</f>
        <v>448500</v>
      </c>
      <c r="K220" s="41">
        <f t="shared" si="11"/>
        <v>35880</v>
      </c>
      <c r="L220" s="41">
        <f t="shared" si="12"/>
        <v>484380</v>
      </c>
      <c r="M220" s="37">
        <v>46120</v>
      </c>
      <c r="N220" s="42">
        <v>5</v>
      </c>
      <c r="O220" s="64">
        <v>34832</v>
      </c>
      <c r="P220" s="43" t="str">
        <f t="shared" si="13"/>
        <v>Cước vận chuyển cont Hàng 40 tuyến đường NHĐV - HẢI AN. Số xe: 15C09877</v>
      </c>
      <c r="Q220" s="3">
        <v>1</v>
      </c>
    </row>
    <row r="221" spans="1:17" ht="15" customHeight="1">
      <c r="A221" s="39">
        <v>208</v>
      </c>
      <c r="B221" s="40" t="s">
        <v>323</v>
      </c>
      <c r="C221" s="40">
        <v>40</v>
      </c>
      <c r="D221" s="40" t="s">
        <v>100</v>
      </c>
      <c r="E221" s="40" t="s">
        <v>220</v>
      </c>
      <c r="F221" s="40" t="s">
        <v>489</v>
      </c>
      <c r="G221" s="40" t="s">
        <v>53</v>
      </c>
      <c r="H221" s="40" t="s">
        <v>15</v>
      </c>
      <c r="I221" s="40" t="s">
        <v>64</v>
      </c>
      <c r="J221" s="41" cm="1">
        <f t="array" ref="J221">IF(C221=20,INDEX(CUOC!$C$28:$C$37,MATCH(N221,CUOC!$A$28:$A$37,0),0),INDEX(CUOC!$D$28:$D$37,MATCH(N221,CUOC!$A$28:$A$37,0),0))</f>
        <v>448500</v>
      </c>
      <c r="K221" s="41">
        <f t="shared" si="11"/>
        <v>35880</v>
      </c>
      <c r="L221" s="41">
        <f t="shared" si="12"/>
        <v>484380</v>
      </c>
      <c r="M221" s="37">
        <v>46120</v>
      </c>
      <c r="N221" s="42">
        <v>5</v>
      </c>
      <c r="O221" s="64">
        <v>34832</v>
      </c>
      <c r="P221" s="43" t="str">
        <f t="shared" si="13"/>
        <v>Cước vận chuyển cont Hàng 40 tuyến đường NHĐV - HẢI AN. Số xe: 15C09877</v>
      </c>
      <c r="Q221" s="3">
        <v>1</v>
      </c>
    </row>
    <row r="222" spans="1:17" ht="15" customHeight="1">
      <c r="A222" s="39">
        <v>209</v>
      </c>
      <c r="B222" s="40" t="s">
        <v>324</v>
      </c>
      <c r="C222" s="40">
        <v>20</v>
      </c>
      <c r="D222" s="40" t="s">
        <v>100</v>
      </c>
      <c r="E222" s="40" t="s">
        <v>220</v>
      </c>
      <c r="F222" s="40" t="s">
        <v>221</v>
      </c>
      <c r="G222" s="40" t="s">
        <v>15</v>
      </c>
      <c r="H222" s="40" t="s">
        <v>53</v>
      </c>
      <c r="I222" s="40" t="s">
        <v>66</v>
      </c>
      <c r="J222" s="41" cm="1">
        <f t="array" ref="J222">IF(C222=20,INDEX(CUOC!$C$28:$C$37,MATCH(N222,CUOC!$A$28:$A$37,0),0),INDEX(CUOC!$D$28:$D$37,MATCH(N222,CUOC!$A$28:$A$37,0),0))</f>
        <v>386100</v>
      </c>
      <c r="K222" s="41">
        <f t="shared" si="11"/>
        <v>30888</v>
      </c>
      <c r="L222" s="41">
        <f t="shared" si="12"/>
        <v>416988</v>
      </c>
      <c r="M222" s="37">
        <v>46119</v>
      </c>
      <c r="N222" s="42">
        <v>5</v>
      </c>
      <c r="O222" s="64">
        <v>34832</v>
      </c>
      <c r="P222" s="43" t="str">
        <f t="shared" si="13"/>
        <v>Cước vận chuyển cont Hàng 20 tuyến đường HẢI AN - NHĐV. Số xe: 15H07135</v>
      </c>
      <c r="Q222" s="3">
        <v>1</v>
      </c>
    </row>
    <row r="223" spans="1:17" ht="15" customHeight="1">
      <c r="A223" s="39">
        <v>210</v>
      </c>
      <c r="B223" s="40" t="s">
        <v>325</v>
      </c>
      <c r="C223" s="40">
        <v>20</v>
      </c>
      <c r="D223" s="40" t="s">
        <v>100</v>
      </c>
      <c r="E223" s="40" t="s">
        <v>220</v>
      </c>
      <c r="F223" s="40" t="s">
        <v>221</v>
      </c>
      <c r="G223" s="40" t="s">
        <v>15</v>
      </c>
      <c r="H223" s="40" t="s">
        <v>53</v>
      </c>
      <c r="I223" s="40" t="s">
        <v>66</v>
      </c>
      <c r="J223" s="41" cm="1">
        <f t="array" ref="J223">IF(C223=20,INDEX(CUOC!$C$28:$C$37,MATCH(N223,CUOC!$A$28:$A$37,0),0),INDEX(CUOC!$D$28:$D$37,MATCH(N223,CUOC!$A$28:$A$37,0),0))</f>
        <v>386100</v>
      </c>
      <c r="K223" s="41">
        <f t="shared" si="11"/>
        <v>30888</v>
      </c>
      <c r="L223" s="41">
        <f t="shared" si="12"/>
        <v>416988</v>
      </c>
      <c r="M223" s="37">
        <v>46119</v>
      </c>
      <c r="N223" s="42">
        <v>5</v>
      </c>
      <c r="O223" s="64">
        <v>34832</v>
      </c>
      <c r="P223" s="43" t="str">
        <f t="shared" si="13"/>
        <v>Cước vận chuyển cont Hàng 20 tuyến đường HẢI AN - NHĐV. Số xe: 15H07135</v>
      </c>
      <c r="Q223" s="3">
        <v>1</v>
      </c>
    </row>
    <row r="224" spans="1:17" ht="15" customHeight="1">
      <c r="A224" s="39">
        <v>211</v>
      </c>
      <c r="B224" s="40" t="s">
        <v>326</v>
      </c>
      <c r="C224" s="40">
        <v>40</v>
      </c>
      <c r="D224" s="40" t="s">
        <v>100</v>
      </c>
      <c r="E224" s="40" t="s">
        <v>220</v>
      </c>
      <c r="F224" s="40" t="s">
        <v>221</v>
      </c>
      <c r="G224" s="40" t="s">
        <v>15</v>
      </c>
      <c r="H224" s="40" t="s">
        <v>53</v>
      </c>
      <c r="I224" s="40" t="s">
        <v>66</v>
      </c>
      <c r="J224" s="41" cm="1">
        <f t="array" ref="J224">IF(C224=20,INDEX(CUOC!$C$28:$C$37,MATCH(N224,CUOC!$A$28:$A$37,0),0),INDEX(CUOC!$D$28:$D$37,MATCH(N224,CUOC!$A$28:$A$37,0),0))</f>
        <v>448500</v>
      </c>
      <c r="K224" s="41">
        <f t="shared" si="11"/>
        <v>35880</v>
      </c>
      <c r="L224" s="41">
        <f t="shared" si="12"/>
        <v>484380</v>
      </c>
      <c r="M224" s="37">
        <v>46119</v>
      </c>
      <c r="N224" s="42">
        <v>5</v>
      </c>
      <c r="O224" s="64">
        <v>34832</v>
      </c>
      <c r="P224" s="43" t="str">
        <f t="shared" si="13"/>
        <v>Cước vận chuyển cont Hàng 40 tuyến đường HẢI AN - NHĐV. Số xe: 15H07135</v>
      </c>
      <c r="Q224" s="3">
        <v>1</v>
      </c>
    </row>
    <row r="225" spans="1:17" ht="15" customHeight="1">
      <c r="A225" s="39">
        <v>212</v>
      </c>
      <c r="B225" s="40" t="s">
        <v>327</v>
      </c>
      <c r="C225" s="40">
        <v>40</v>
      </c>
      <c r="D225" s="40" t="s">
        <v>100</v>
      </c>
      <c r="E225" s="40" t="s">
        <v>220</v>
      </c>
      <c r="F225" s="40" t="s">
        <v>221</v>
      </c>
      <c r="G225" s="40" t="s">
        <v>15</v>
      </c>
      <c r="H225" s="40" t="s">
        <v>53</v>
      </c>
      <c r="I225" s="40" t="s">
        <v>66</v>
      </c>
      <c r="J225" s="41" cm="1">
        <f t="array" ref="J225">IF(C225=20,INDEX(CUOC!$C$28:$C$37,MATCH(N225,CUOC!$A$28:$A$37,0),0),INDEX(CUOC!$D$28:$D$37,MATCH(N225,CUOC!$A$28:$A$37,0),0))</f>
        <v>448500</v>
      </c>
      <c r="K225" s="41">
        <f t="shared" si="11"/>
        <v>35880</v>
      </c>
      <c r="L225" s="41">
        <f t="shared" si="12"/>
        <v>484380</v>
      </c>
      <c r="M225" s="37">
        <v>46119</v>
      </c>
      <c r="N225" s="42">
        <v>5</v>
      </c>
      <c r="O225" s="64">
        <v>34832</v>
      </c>
      <c r="P225" s="43" t="str">
        <f t="shared" si="13"/>
        <v>Cước vận chuyển cont Hàng 40 tuyến đường HẢI AN - NHĐV. Số xe: 15H07135</v>
      </c>
      <c r="Q225" s="3">
        <v>1</v>
      </c>
    </row>
    <row r="226" spans="1:17" ht="15" customHeight="1">
      <c r="A226" s="39">
        <v>213</v>
      </c>
      <c r="B226" s="40" t="s">
        <v>328</v>
      </c>
      <c r="C226" s="40">
        <v>20</v>
      </c>
      <c r="D226" s="40" t="s">
        <v>100</v>
      </c>
      <c r="E226" s="40" t="s">
        <v>220</v>
      </c>
      <c r="F226" s="40" t="s">
        <v>489</v>
      </c>
      <c r="G226" s="40" t="s">
        <v>53</v>
      </c>
      <c r="H226" s="40" t="s">
        <v>15</v>
      </c>
      <c r="I226" s="40" t="s">
        <v>66</v>
      </c>
      <c r="J226" s="41" cm="1">
        <f t="array" ref="J226">IF(C226=20,INDEX(CUOC!$C$28:$C$37,MATCH(N226,CUOC!$A$28:$A$37,0),0),INDEX(CUOC!$D$28:$D$37,MATCH(N226,CUOC!$A$28:$A$37,0),0))</f>
        <v>386100</v>
      </c>
      <c r="K226" s="41">
        <f t="shared" si="11"/>
        <v>30888</v>
      </c>
      <c r="L226" s="41">
        <f t="shared" si="12"/>
        <v>416988</v>
      </c>
      <c r="M226" s="37">
        <v>46119</v>
      </c>
      <c r="N226" s="42">
        <v>5</v>
      </c>
      <c r="O226" s="64">
        <v>34832</v>
      </c>
      <c r="P226" s="43" t="str">
        <f t="shared" si="13"/>
        <v>Cước vận chuyển cont Hàng 20 tuyến đường NHĐV - HẢI AN. Số xe: 15H07135</v>
      </c>
      <c r="Q226" s="3">
        <v>1</v>
      </c>
    </row>
    <row r="227" spans="1:17" ht="15" customHeight="1">
      <c r="A227" s="39">
        <v>214</v>
      </c>
      <c r="B227" s="40" t="s">
        <v>329</v>
      </c>
      <c r="C227" s="40">
        <v>20</v>
      </c>
      <c r="D227" s="40" t="s">
        <v>100</v>
      </c>
      <c r="E227" s="40" t="s">
        <v>220</v>
      </c>
      <c r="F227" s="40" t="s">
        <v>489</v>
      </c>
      <c r="G227" s="40" t="s">
        <v>53</v>
      </c>
      <c r="H227" s="40" t="s">
        <v>15</v>
      </c>
      <c r="I227" s="40" t="s">
        <v>66</v>
      </c>
      <c r="J227" s="41" cm="1">
        <f t="array" ref="J227">IF(C227=20,INDEX(CUOC!$C$28:$C$37,MATCH(N227,CUOC!$A$28:$A$37,0),0),INDEX(CUOC!$D$28:$D$37,MATCH(N227,CUOC!$A$28:$A$37,0),0))</f>
        <v>386100</v>
      </c>
      <c r="K227" s="41">
        <f t="shared" si="11"/>
        <v>30888</v>
      </c>
      <c r="L227" s="41">
        <f t="shared" si="12"/>
        <v>416988</v>
      </c>
      <c r="M227" s="37">
        <v>46119</v>
      </c>
      <c r="N227" s="42">
        <v>5</v>
      </c>
      <c r="O227" s="64">
        <v>34832</v>
      </c>
      <c r="P227" s="43" t="str">
        <f t="shared" si="13"/>
        <v>Cước vận chuyển cont Hàng 20 tuyến đường NHĐV - HẢI AN. Số xe: 15H07135</v>
      </c>
      <c r="Q227" s="3">
        <v>1</v>
      </c>
    </row>
    <row r="228" spans="1:17" ht="15" customHeight="1">
      <c r="A228" s="39">
        <v>215</v>
      </c>
      <c r="B228" s="40" t="s">
        <v>330</v>
      </c>
      <c r="C228" s="40">
        <v>20</v>
      </c>
      <c r="D228" s="40" t="s">
        <v>100</v>
      </c>
      <c r="E228" s="40" t="s">
        <v>220</v>
      </c>
      <c r="F228" s="40" t="s">
        <v>489</v>
      </c>
      <c r="G228" s="40" t="s">
        <v>53</v>
      </c>
      <c r="H228" s="40" t="s">
        <v>15</v>
      </c>
      <c r="I228" s="40" t="s">
        <v>66</v>
      </c>
      <c r="J228" s="41" cm="1">
        <f t="array" ref="J228">IF(C228=20,INDEX(CUOC!$C$28:$C$37,MATCH(N228,CUOC!$A$28:$A$37,0),0),INDEX(CUOC!$D$28:$D$37,MATCH(N228,CUOC!$A$28:$A$37,0),0))</f>
        <v>386100</v>
      </c>
      <c r="K228" s="41">
        <f t="shared" si="11"/>
        <v>30888</v>
      </c>
      <c r="L228" s="41">
        <f t="shared" si="12"/>
        <v>416988</v>
      </c>
      <c r="M228" s="37">
        <v>46119</v>
      </c>
      <c r="N228" s="42">
        <v>5</v>
      </c>
      <c r="O228" s="64">
        <v>34832</v>
      </c>
      <c r="P228" s="43" t="str">
        <f t="shared" si="13"/>
        <v>Cước vận chuyển cont Hàng 20 tuyến đường NHĐV - HẢI AN. Số xe: 15H07135</v>
      </c>
      <c r="Q228" s="3">
        <v>1</v>
      </c>
    </row>
    <row r="229" spans="1:17" ht="15" customHeight="1">
      <c r="A229" s="39">
        <v>216</v>
      </c>
      <c r="B229" s="40" t="s">
        <v>331</v>
      </c>
      <c r="C229" s="40">
        <v>20</v>
      </c>
      <c r="D229" s="40" t="s">
        <v>100</v>
      </c>
      <c r="E229" s="40" t="s">
        <v>220</v>
      </c>
      <c r="F229" s="40" t="s">
        <v>489</v>
      </c>
      <c r="G229" s="40" t="s">
        <v>53</v>
      </c>
      <c r="H229" s="40" t="s">
        <v>15</v>
      </c>
      <c r="I229" s="40" t="s">
        <v>66</v>
      </c>
      <c r="J229" s="41" cm="1">
        <f t="array" ref="J229">IF(C229=20,INDEX(CUOC!$C$28:$C$37,MATCH(N229,CUOC!$A$28:$A$37,0),0),INDEX(CUOC!$D$28:$D$37,MATCH(N229,CUOC!$A$28:$A$37,0),0))</f>
        <v>386100</v>
      </c>
      <c r="K229" s="41">
        <f t="shared" si="11"/>
        <v>30888</v>
      </c>
      <c r="L229" s="41">
        <f t="shared" si="12"/>
        <v>416988</v>
      </c>
      <c r="M229" s="37">
        <v>46119</v>
      </c>
      <c r="N229" s="42">
        <v>5</v>
      </c>
      <c r="O229" s="64">
        <v>34832</v>
      </c>
      <c r="P229" s="43" t="str">
        <f t="shared" si="13"/>
        <v>Cước vận chuyển cont Hàng 20 tuyến đường NHĐV - HẢI AN. Số xe: 15H07135</v>
      </c>
      <c r="Q229" s="3">
        <v>1</v>
      </c>
    </row>
    <row r="230" spans="1:17" ht="15" customHeight="1">
      <c r="A230" s="39">
        <v>217</v>
      </c>
      <c r="B230" s="40" t="s">
        <v>332</v>
      </c>
      <c r="C230" s="40">
        <v>20</v>
      </c>
      <c r="D230" s="40" t="s">
        <v>100</v>
      </c>
      <c r="E230" s="40" t="s">
        <v>220</v>
      </c>
      <c r="F230" s="40" t="s">
        <v>489</v>
      </c>
      <c r="G230" s="40" t="s">
        <v>53</v>
      </c>
      <c r="H230" s="40" t="s">
        <v>15</v>
      </c>
      <c r="I230" s="40" t="s">
        <v>66</v>
      </c>
      <c r="J230" s="41" cm="1">
        <f t="array" ref="J230">IF(C230=20,INDEX(CUOC!$C$28:$C$37,MATCH(N230,CUOC!$A$28:$A$37,0),0),INDEX(CUOC!$D$28:$D$37,MATCH(N230,CUOC!$A$28:$A$37,0),0))</f>
        <v>386100</v>
      </c>
      <c r="K230" s="41">
        <f t="shared" si="11"/>
        <v>30888</v>
      </c>
      <c r="L230" s="41">
        <f t="shared" si="12"/>
        <v>416988</v>
      </c>
      <c r="M230" s="37">
        <v>46119</v>
      </c>
      <c r="N230" s="42">
        <v>5</v>
      </c>
      <c r="O230" s="64">
        <v>34832</v>
      </c>
      <c r="P230" s="43" t="str">
        <f t="shared" si="13"/>
        <v>Cước vận chuyển cont Hàng 20 tuyến đường NHĐV - HẢI AN. Số xe: 15H07135</v>
      </c>
      <c r="Q230" s="3">
        <v>1</v>
      </c>
    </row>
    <row r="231" spans="1:17" ht="15" customHeight="1">
      <c r="A231" s="39">
        <v>218</v>
      </c>
      <c r="B231" s="40" t="s">
        <v>333</v>
      </c>
      <c r="C231" s="40">
        <v>20</v>
      </c>
      <c r="D231" s="40" t="s">
        <v>100</v>
      </c>
      <c r="E231" s="40" t="s">
        <v>220</v>
      </c>
      <c r="F231" s="40" t="s">
        <v>489</v>
      </c>
      <c r="G231" s="40" t="s">
        <v>53</v>
      </c>
      <c r="H231" s="40" t="s">
        <v>15</v>
      </c>
      <c r="I231" s="40" t="s">
        <v>66</v>
      </c>
      <c r="J231" s="41" cm="1">
        <f t="array" ref="J231">IF(C231=20,INDEX(CUOC!$C$28:$C$37,MATCH(N231,CUOC!$A$28:$A$37,0),0),INDEX(CUOC!$D$28:$D$37,MATCH(N231,CUOC!$A$28:$A$37,0),0))</f>
        <v>386100</v>
      </c>
      <c r="K231" s="41">
        <f t="shared" si="11"/>
        <v>30888</v>
      </c>
      <c r="L231" s="41">
        <f t="shared" si="12"/>
        <v>416988</v>
      </c>
      <c r="M231" s="37">
        <v>46119</v>
      </c>
      <c r="N231" s="42">
        <v>5</v>
      </c>
      <c r="O231" s="64">
        <v>34832</v>
      </c>
      <c r="P231" s="43" t="str">
        <f t="shared" si="13"/>
        <v>Cước vận chuyển cont Hàng 20 tuyến đường NHĐV - HẢI AN. Số xe: 15H07135</v>
      </c>
      <c r="Q231" s="3">
        <v>1</v>
      </c>
    </row>
    <row r="232" spans="1:17" ht="15" customHeight="1">
      <c r="A232" s="39">
        <v>219</v>
      </c>
      <c r="B232" s="40" t="s">
        <v>334</v>
      </c>
      <c r="C232" s="40">
        <v>40</v>
      </c>
      <c r="D232" s="40" t="s">
        <v>100</v>
      </c>
      <c r="E232" s="40" t="s">
        <v>220</v>
      </c>
      <c r="F232" s="40" t="s">
        <v>489</v>
      </c>
      <c r="G232" s="40" t="s">
        <v>53</v>
      </c>
      <c r="H232" s="40" t="s">
        <v>15</v>
      </c>
      <c r="I232" s="40" t="s">
        <v>66</v>
      </c>
      <c r="J232" s="41" cm="1">
        <f t="array" ref="J232">IF(C232=20,INDEX(CUOC!$C$28:$C$37,MATCH(N232,CUOC!$A$28:$A$37,0),0),INDEX(CUOC!$D$28:$D$37,MATCH(N232,CUOC!$A$28:$A$37,0),0))</f>
        <v>448500</v>
      </c>
      <c r="K232" s="41">
        <f t="shared" si="11"/>
        <v>35880</v>
      </c>
      <c r="L232" s="41">
        <f t="shared" si="12"/>
        <v>484380</v>
      </c>
      <c r="M232" s="37">
        <v>46119</v>
      </c>
      <c r="N232" s="42">
        <v>5</v>
      </c>
      <c r="O232" s="64">
        <v>34832</v>
      </c>
      <c r="P232" s="43" t="str">
        <f t="shared" si="13"/>
        <v>Cước vận chuyển cont Hàng 40 tuyến đường NHĐV - HẢI AN. Số xe: 15H07135</v>
      </c>
      <c r="Q232" s="3">
        <v>1</v>
      </c>
    </row>
    <row r="233" spans="1:17" ht="15" customHeight="1">
      <c r="A233" s="39">
        <v>220</v>
      </c>
      <c r="B233" s="40" t="s">
        <v>335</v>
      </c>
      <c r="C233" s="40">
        <v>40</v>
      </c>
      <c r="D233" s="40" t="s">
        <v>100</v>
      </c>
      <c r="E233" s="40" t="s">
        <v>220</v>
      </c>
      <c r="F233" s="40" t="s">
        <v>489</v>
      </c>
      <c r="G233" s="40" t="s">
        <v>53</v>
      </c>
      <c r="H233" s="40" t="s">
        <v>15</v>
      </c>
      <c r="I233" s="40" t="s">
        <v>66</v>
      </c>
      <c r="J233" s="41" cm="1">
        <f t="array" ref="J233">IF(C233=20,INDEX(CUOC!$C$28:$C$37,MATCH(N233,CUOC!$A$28:$A$37,0),0),INDEX(CUOC!$D$28:$D$37,MATCH(N233,CUOC!$A$28:$A$37,0),0))</f>
        <v>448500</v>
      </c>
      <c r="K233" s="41">
        <f t="shared" si="11"/>
        <v>35880</v>
      </c>
      <c r="L233" s="41">
        <f t="shared" si="12"/>
        <v>484380</v>
      </c>
      <c r="M233" s="37">
        <v>46119</v>
      </c>
      <c r="N233" s="42">
        <v>5</v>
      </c>
      <c r="O233" s="64">
        <v>34832</v>
      </c>
      <c r="P233" s="43" t="str">
        <f t="shared" si="13"/>
        <v>Cước vận chuyển cont Hàng 40 tuyến đường NHĐV - HẢI AN. Số xe: 15H07135</v>
      </c>
      <c r="Q233" s="3">
        <v>1</v>
      </c>
    </row>
    <row r="234" spans="1:17" ht="15" customHeight="1">
      <c r="A234" s="39">
        <v>221</v>
      </c>
      <c r="B234" s="40" t="s">
        <v>336</v>
      </c>
      <c r="C234" s="40">
        <v>20</v>
      </c>
      <c r="D234" s="40" t="s">
        <v>100</v>
      </c>
      <c r="E234" s="40" t="s">
        <v>220</v>
      </c>
      <c r="F234" s="40" t="s">
        <v>489</v>
      </c>
      <c r="G234" s="40" t="s">
        <v>53</v>
      </c>
      <c r="H234" s="40" t="s">
        <v>15</v>
      </c>
      <c r="I234" s="40" t="s">
        <v>66</v>
      </c>
      <c r="J234" s="41" cm="1">
        <f t="array" ref="J234">IF(C234=20,INDEX(CUOC!$C$28:$C$37,MATCH(N234,CUOC!$A$28:$A$37,0),0),INDEX(CUOC!$D$28:$D$37,MATCH(N234,CUOC!$A$28:$A$37,0),0))</f>
        <v>386100</v>
      </c>
      <c r="K234" s="41">
        <f t="shared" si="11"/>
        <v>30888</v>
      </c>
      <c r="L234" s="41">
        <f t="shared" si="12"/>
        <v>416988</v>
      </c>
      <c r="M234" s="37">
        <v>46119</v>
      </c>
      <c r="N234" s="42">
        <v>5</v>
      </c>
      <c r="O234" s="64">
        <v>34832</v>
      </c>
      <c r="P234" s="43" t="str">
        <f t="shared" si="13"/>
        <v>Cước vận chuyển cont Hàng 20 tuyến đường NHĐV - HẢI AN. Số xe: 15H07135</v>
      </c>
      <c r="Q234" s="3">
        <v>1</v>
      </c>
    </row>
    <row r="235" spans="1:17" ht="15" customHeight="1">
      <c r="A235" s="39">
        <v>222</v>
      </c>
      <c r="B235" s="40" t="s">
        <v>337</v>
      </c>
      <c r="C235" s="40">
        <v>20</v>
      </c>
      <c r="D235" s="40" t="s">
        <v>100</v>
      </c>
      <c r="E235" s="40" t="s">
        <v>220</v>
      </c>
      <c r="F235" s="40" t="s">
        <v>489</v>
      </c>
      <c r="G235" s="40" t="s">
        <v>53</v>
      </c>
      <c r="H235" s="40" t="s">
        <v>15</v>
      </c>
      <c r="I235" s="40" t="s">
        <v>66</v>
      </c>
      <c r="J235" s="41" cm="1">
        <f t="array" ref="J235">IF(C235=20,INDEX(CUOC!$C$28:$C$37,MATCH(N235,CUOC!$A$28:$A$37,0),0),INDEX(CUOC!$D$28:$D$37,MATCH(N235,CUOC!$A$28:$A$37,0),0))</f>
        <v>386100</v>
      </c>
      <c r="K235" s="41">
        <f t="shared" si="11"/>
        <v>30888</v>
      </c>
      <c r="L235" s="41">
        <f t="shared" si="12"/>
        <v>416988</v>
      </c>
      <c r="M235" s="37">
        <v>46119</v>
      </c>
      <c r="N235" s="42">
        <v>5</v>
      </c>
      <c r="O235" s="64">
        <v>34832</v>
      </c>
      <c r="P235" s="43" t="str">
        <f t="shared" si="13"/>
        <v>Cước vận chuyển cont Hàng 20 tuyến đường NHĐV - HẢI AN. Số xe: 15H07135</v>
      </c>
      <c r="Q235" s="3">
        <v>1</v>
      </c>
    </row>
    <row r="236" spans="1:17" ht="15" customHeight="1">
      <c r="A236" s="39">
        <v>223</v>
      </c>
      <c r="B236" s="40" t="s">
        <v>338</v>
      </c>
      <c r="C236" s="40">
        <v>20</v>
      </c>
      <c r="D236" s="40" t="s">
        <v>100</v>
      </c>
      <c r="E236" s="40" t="s">
        <v>220</v>
      </c>
      <c r="F236" s="40" t="s">
        <v>489</v>
      </c>
      <c r="G236" s="40" t="s">
        <v>53</v>
      </c>
      <c r="H236" s="40" t="s">
        <v>15</v>
      </c>
      <c r="I236" s="40" t="s">
        <v>66</v>
      </c>
      <c r="J236" s="41" cm="1">
        <f t="array" ref="J236">IF(C236=20,INDEX(CUOC!$C$28:$C$37,MATCH(N236,CUOC!$A$28:$A$37,0),0),INDEX(CUOC!$D$28:$D$37,MATCH(N236,CUOC!$A$28:$A$37,0),0))</f>
        <v>386100</v>
      </c>
      <c r="K236" s="41">
        <f t="shared" si="11"/>
        <v>30888</v>
      </c>
      <c r="L236" s="41">
        <f t="shared" si="12"/>
        <v>416988</v>
      </c>
      <c r="M236" s="37">
        <v>46119</v>
      </c>
      <c r="N236" s="42">
        <v>5</v>
      </c>
      <c r="O236" s="64">
        <v>34832</v>
      </c>
      <c r="P236" s="43" t="str">
        <f t="shared" si="13"/>
        <v>Cước vận chuyển cont Hàng 20 tuyến đường NHĐV - HẢI AN. Số xe: 15H07135</v>
      </c>
      <c r="Q236" s="3">
        <v>1</v>
      </c>
    </row>
    <row r="237" spans="1:17" ht="15" customHeight="1">
      <c r="A237" s="39">
        <v>224</v>
      </c>
      <c r="B237" s="40" t="s">
        <v>339</v>
      </c>
      <c r="C237" s="40">
        <v>20</v>
      </c>
      <c r="D237" s="40" t="s">
        <v>100</v>
      </c>
      <c r="E237" s="40" t="s">
        <v>220</v>
      </c>
      <c r="F237" s="40" t="s">
        <v>489</v>
      </c>
      <c r="G237" s="40" t="s">
        <v>53</v>
      </c>
      <c r="H237" s="40" t="s">
        <v>15</v>
      </c>
      <c r="I237" s="40" t="s">
        <v>66</v>
      </c>
      <c r="J237" s="41" cm="1">
        <f t="array" ref="J237">IF(C237=20,INDEX(CUOC!$C$28:$C$37,MATCH(N237,CUOC!$A$28:$A$37,0),0),INDEX(CUOC!$D$28:$D$37,MATCH(N237,CUOC!$A$28:$A$37,0),0))</f>
        <v>386100</v>
      </c>
      <c r="K237" s="41">
        <f t="shared" si="11"/>
        <v>30888</v>
      </c>
      <c r="L237" s="41">
        <f t="shared" si="12"/>
        <v>416988</v>
      </c>
      <c r="M237" s="37">
        <v>46119</v>
      </c>
      <c r="N237" s="42">
        <v>5</v>
      </c>
      <c r="O237" s="64">
        <v>34832</v>
      </c>
      <c r="P237" s="43" t="str">
        <f t="shared" si="13"/>
        <v>Cước vận chuyển cont Hàng 20 tuyến đường NHĐV - HẢI AN. Số xe: 15H07135</v>
      </c>
      <c r="Q237" s="3">
        <v>1</v>
      </c>
    </row>
    <row r="238" spans="1:17" ht="15" customHeight="1">
      <c r="A238" s="39">
        <v>225</v>
      </c>
      <c r="B238" s="40" t="s">
        <v>340</v>
      </c>
      <c r="C238" s="40">
        <v>20</v>
      </c>
      <c r="D238" s="40" t="s">
        <v>100</v>
      </c>
      <c r="E238" s="40" t="s">
        <v>220</v>
      </c>
      <c r="F238" s="40" t="s">
        <v>221</v>
      </c>
      <c r="G238" s="40" t="s">
        <v>15</v>
      </c>
      <c r="H238" s="40" t="s">
        <v>53</v>
      </c>
      <c r="I238" s="40" t="s">
        <v>66</v>
      </c>
      <c r="J238" s="41" cm="1">
        <f t="array" ref="J238">IF(C238=20,INDEX(CUOC!$C$28:$C$37,MATCH(N238,CUOC!$A$28:$A$37,0),0),INDEX(CUOC!$D$28:$D$37,MATCH(N238,CUOC!$A$28:$A$37,0),0))</f>
        <v>386100</v>
      </c>
      <c r="K238" s="41">
        <f t="shared" si="11"/>
        <v>30888</v>
      </c>
      <c r="L238" s="41">
        <f t="shared" si="12"/>
        <v>416988</v>
      </c>
      <c r="M238" s="37">
        <v>46118</v>
      </c>
      <c r="N238" s="42">
        <v>5</v>
      </c>
      <c r="O238" s="64">
        <v>34832</v>
      </c>
      <c r="P238" s="43" t="str">
        <f t="shared" si="13"/>
        <v>Cước vận chuyển cont Hàng 20 tuyến đường HẢI AN - NHĐV. Số xe: 15H07135</v>
      </c>
      <c r="Q238" s="3">
        <v>1</v>
      </c>
    </row>
    <row r="239" spans="1:17" ht="15" customHeight="1">
      <c r="A239" s="39">
        <v>226</v>
      </c>
      <c r="B239" s="40" t="s">
        <v>341</v>
      </c>
      <c r="C239" s="40">
        <v>20</v>
      </c>
      <c r="D239" s="40" t="s">
        <v>100</v>
      </c>
      <c r="E239" s="40" t="s">
        <v>220</v>
      </c>
      <c r="F239" s="40" t="s">
        <v>221</v>
      </c>
      <c r="G239" s="40" t="s">
        <v>15</v>
      </c>
      <c r="H239" s="40" t="s">
        <v>53</v>
      </c>
      <c r="I239" s="40" t="s">
        <v>66</v>
      </c>
      <c r="J239" s="41" cm="1">
        <f t="array" ref="J239">IF(C239=20,INDEX(CUOC!$C$28:$C$37,MATCH(N239,CUOC!$A$28:$A$37,0),0),INDEX(CUOC!$D$28:$D$37,MATCH(N239,CUOC!$A$28:$A$37,0),0))</f>
        <v>386100</v>
      </c>
      <c r="K239" s="41">
        <f t="shared" si="11"/>
        <v>30888</v>
      </c>
      <c r="L239" s="41">
        <f t="shared" si="12"/>
        <v>416988</v>
      </c>
      <c r="M239" s="37">
        <v>46118</v>
      </c>
      <c r="N239" s="42">
        <v>5</v>
      </c>
      <c r="O239" s="64">
        <v>34832</v>
      </c>
      <c r="P239" s="43" t="str">
        <f t="shared" si="13"/>
        <v>Cước vận chuyển cont Hàng 20 tuyến đường HẢI AN - NHĐV. Số xe: 15H07135</v>
      </c>
      <c r="Q239" s="3">
        <v>1</v>
      </c>
    </row>
    <row r="240" spans="1:17" ht="15" customHeight="1">
      <c r="A240" s="39">
        <v>227</v>
      </c>
      <c r="B240" s="40" t="s">
        <v>342</v>
      </c>
      <c r="C240" s="40">
        <v>40</v>
      </c>
      <c r="D240" s="40" t="s">
        <v>100</v>
      </c>
      <c r="E240" s="40" t="s">
        <v>220</v>
      </c>
      <c r="F240" s="40" t="s">
        <v>221</v>
      </c>
      <c r="G240" s="40" t="s">
        <v>15</v>
      </c>
      <c r="H240" s="40" t="s">
        <v>53</v>
      </c>
      <c r="I240" s="40" t="s">
        <v>66</v>
      </c>
      <c r="J240" s="41" cm="1">
        <f t="array" ref="J240">IF(C240=20,INDEX(CUOC!$C$28:$C$37,MATCH(N240,CUOC!$A$28:$A$37,0),0),INDEX(CUOC!$D$28:$D$37,MATCH(N240,CUOC!$A$28:$A$37,0),0))</f>
        <v>448500</v>
      </c>
      <c r="K240" s="41">
        <f t="shared" si="11"/>
        <v>35880</v>
      </c>
      <c r="L240" s="41">
        <f t="shared" si="12"/>
        <v>484380</v>
      </c>
      <c r="M240" s="37">
        <v>46118</v>
      </c>
      <c r="N240" s="42">
        <v>5</v>
      </c>
      <c r="O240" s="64">
        <v>34832</v>
      </c>
      <c r="P240" s="43" t="str">
        <f t="shared" si="13"/>
        <v>Cước vận chuyển cont Hàng 40 tuyến đường HẢI AN - NHĐV. Số xe: 15H07135</v>
      </c>
      <c r="Q240" s="3">
        <v>1</v>
      </c>
    </row>
    <row r="241" spans="1:17" ht="15" customHeight="1">
      <c r="A241" s="39">
        <v>228</v>
      </c>
      <c r="B241" s="40" t="s">
        <v>343</v>
      </c>
      <c r="C241" s="40">
        <v>40</v>
      </c>
      <c r="D241" s="40" t="s">
        <v>100</v>
      </c>
      <c r="E241" s="40" t="s">
        <v>220</v>
      </c>
      <c r="F241" s="40" t="s">
        <v>221</v>
      </c>
      <c r="G241" s="40" t="s">
        <v>15</v>
      </c>
      <c r="H241" s="40" t="s">
        <v>53</v>
      </c>
      <c r="I241" s="40" t="s">
        <v>66</v>
      </c>
      <c r="J241" s="41" cm="1">
        <f t="array" ref="J241">IF(C241=20,INDEX(CUOC!$C$28:$C$37,MATCH(N241,CUOC!$A$28:$A$37,0),0),INDEX(CUOC!$D$28:$D$37,MATCH(N241,CUOC!$A$28:$A$37,0),0))</f>
        <v>448500</v>
      </c>
      <c r="K241" s="41">
        <f t="shared" si="11"/>
        <v>35880</v>
      </c>
      <c r="L241" s="41">
        <f t="shared" si="12"/>
        <v>484380</v>
      </c>
      <c r="M241" s="37">
        <v>46118</v>
      </c>
      <c r="N241" s="42">
        <v>5</v>
      </c>
      <c r="O241" s="64">
        <v>34832</v>
      </c>
      <c r="P241" s="43" t="str">
        <f t="shared" si="13"/>
        <v>Cước vận chuyển cont Hàng 40 tuyến đường HẢI AN - NHĐV. Số xe: 15H07135</v>
      </c>
      <c r="Q241" s="3">
        <v>1</v>
      </c>
    </row>
    <row r="242" spans="1:17" ht="15" customHeight="1">
      <c r="A242" s="39">
        <v>229</v>
      </c>
      <c r="B242" s="40" t="s">
        <v>344</v>
      </c>
      <c r="C242" s="40">
        <v>20</v>
      </c>
      <c r="D242" s="40" t="s">
        <v>100</v>
      </c>
      <c r="E242" s="40" t="s">
        <v>220</v>
      </c>
      <c r="F242" s="40" t="s">
        <v>221</v>
      </c>
      <c r="G242" s="40" t="s">
        <v>15</v>
      </c>
      <c r="H242" s="40" t="s">
        <v>53</v>
      </c>
      <c r="I242" s="40" t="s">
        <v>66</v>
      </c>
      <c r="J242" s="41" cm="1">
        <f t="array" ref="J242">IF(C242=20,INDEX(CUOC!$C$28:$C$37,MATCH(N242,CUOC!$A$28:$A$37,0),0),INDEX(CUOC!$D$28:$D$37,MATCH(N242,CUOC!$A$28:$A$37,0),0))</f>
        <v>386100</v>
      </c>
      <c r="K242" s="41">
        <f t="shared" si="11"/>
        <v>30888</v>
      </c>
      <c r="L242" s="41">
        <f t="shared" si="12"/>
        <v>416988</v>
      </c>
      <c r="M242" s="37">
        <v>46118</v>
      </c>
      <c r="N242" s="42">
        <v>5</v>
      </c>
      <c r="O242" s="64">
        <v>34832</v>
      </c>
      <c r="P242" s="43" t="str">
        <f t="shared" si="13"/>
        <v>Cước vận chuyển cont Hàng 20 tuyến đường HẢI AN - NHĐV. Số xe: 15H07135</v>
      </c>
      <c r="Q242" s="3">
        <v>1</v>
      </c>
    </row>
    <row r="243" spans="1:17" ht="15" customHeight="1">
      <c r="A243" s="39">
        <v>230</v>
      </c>
      <c r="B243" s="40" t="s">
        <v>345</v>
      </c>
      <c r="C243" s="40">
        <v>20</v>
      </c>
      <c r="D243" s="40" t="s">
        <v>100</v>
      </c>
      <c r="E243" s="40" t="s">
        <v>220</v>
      </c>
      <c r="F243" s="40" t="s">
        <v>221</v>
      </c>
      <c r="G243" s="40" t="s">
        <v>15</v>
      </c>
      <c r="H243" s="40" t="s">
        <v>53</v>
      </c>
      <c r="I243" s="40" t="s">
        <v>66</v>
      </c>
      <c r="J243" s="41" cm="1">
        <f t="array" ref="J243">IF(C243=20,INDEX(CUOC!$C$28:$C$37,MATCH(N243,CUOC!$A$28:$A$37,0),0),INDEX(CUOC!$D$28:$D$37,MATCH(N243,CUOC!$A$28:$A$37,0),0))</f>
        <v>386100</v>
      </c>
      <c r="K243" s="41">
        <f t="shared" si="11"/>
        <v>30888</v>
      </c>
      <c r="L243" s="41">
        <f t="shared" si="12"/>
        <v>416988</v>
      </c>
      <c r="M243" s="37">
        <v>46118</v>
      </c>
      <c r="N243" s="42">
        <v>5</v>
      </c>
      <c r="O243" s="64">
        <v>34832</v>
      </c>
      <c r="P243" s="43" t="str">
        <f t="shared" si="13"/>
        <v>Cước vận chuyển cont Hàng 20 tuyến đường HẢI AN - NHĐV. Số xe: 15H07135</v>
      </c>
      <c r="Q243" s="3">
        <v>1</v>
      </c>
    </row>
    <row r="244" spans="1:17" ht="15" customHeight="1">
      <c r="A244" s="39">
        <v>231</v>
      </c>
      <c r="B244" s="40" t="s">
        <v>346</v>
      </c>
      <c r="C244" s="40">
        <v>20</v>
      </c>
      <c r="D244" s="40" t="s">
        <v>100</v>
      </c>
      <c r="E244" s="40" t="s">
        <v>220</v>
      </c>
      <c r="F244" s="40" t="s">
        <v>221</v>
      </c>
      <c r="G244" s="40" t="s">
        <v>15</v>
      </c>
      <c r="H244" s="40" t="s">
        <v>53</v>
      </c>
      <c r="I244" s="40" t="s">
        <v>66</v>
      </c>
      <c r="J244" s="41" cm="1">
        <f t="array" ref="J244">IF(C244=20,INDEX(CUOC!$C$28:$C$37,MATCH(N244,CUOC!$A$28:$A$37,0),0),INDEX(CUOC!$D$28:$D$37,MATCH(N244,CUOC!$A$28:$A$37,0),0))</f>
        <v>386100</v>
      </c>
      <c r="K244" s="41">
        <f t="shared" si="11"/>
        <v>30888</v>
      </c>
      <c r="L244" s="41">
        <f t="shared" si="12"/>
        <v>416988</v>
      </c>
      <c r="M244" s="37">
        <v>46118</v>
      </c>
      <c r="N244" s="42">
        <v>5</v>
      </c>
      <c r="O244" s="64">
        <v>34832</v>
      </c>
      <c r="P244" s="43" t="str">
        <f t="shared" si="13"/>
        <v>Cước vận chuyển cont Hàng 20 tuyến đường HẢI AN - NHĐV. Số xe: 15H07135</v>
      </c>
      <c r="Q244" s="3">
        <v>1</v>
      </c>
    </row>
    <row r="245" spans="1:17" ht="15" customHeight="1">
      <c r="A245" s="39">
        <v>232</v>
      </c>
      <c r="B245" s="40" t="s">
        <v>347</v>
      </c>
      <c r="C245" s="40">
        <v>20</v>
      </c>
      <c r="D245" s="40" t="s">
        <v>100</v>
      </c>
      <c r="E245" s="40" t="s">
        <v>220</v>
      </c>
      <c r="F245" s="40" t="s">
        <v>221</v>
      </c>
      <c r="G245" s="40" t="s">
        <v>15</v>
      </c>
      <c r="H245" s="40" t="s">
        <v>53</v>
      </c>
      <c r="I245" s="40" t="s">
        <v>66</v>
      </c>
      <c r="J245" s="41" cm="1">
        <f t="array" ref="J245">IF(C245=20,INDEX(CUOC!$C$28:$C$37,MATCH(N245,CUOC!$A$28:$A$37,0),0),INDEX(CUOC!$D$28:$D$37,MATCH(N245,CUOC!$A$28:$A$37,0),0))</f>
        <v>386100</v>
      </c>
      <c r="K245" s="41">
        <f t="shared" si="11"/>
        <v>30888</v>
      </c>
      <c r="L245" s="41">
        <f t="shared" si="12"/>
        <v>416988</v>
      </c>
      <c r="M245" s="37">
        <v>46118</v>
      </c>
      <c r="N245" s="42">
        <v>5</v>
      </c>
      <c r="O245" s="64">
        <v>34832</v>
      </c>
      <c r="P245" s="43" t="str">
        <f t="shared" si="13"/>
        <v>Cước vận chuyển cont Hàng 20 tuyến đường HẢI AN - NHĐV. Số xe: 15H07135</v>
      </c>
      <c r="Q245" s="3">
        <v>1</v>
      </c>
    </row>
    <row r="246" spans="1:17" ht="15" customHeight="1">
      <c r="A246" s="39">
        <v>233</v>
      </c>
      <c r="B246" s="40" t="s">
        <v>348</v>
      </c>
      <c r="C246" s="40">
        <v>20</v>
      </c>
      <c r="D246" s="40" t="s">
        <v>100</v>
      </c>
      <c r="E246" s="40" t="s">
        <v>220</v>
      </c>
      <c r="F246" s="40" t="s">
        <v>221</v>
      </c>
      <c r="G246" s="40" t="s">
        <v>15</v>
      </c>
      <c r="H246" s="40" t="s">
        <v>53</v>
      </c>
      <c r="I246" s="40" t="s">
        <v>66</v>
      </c>
      <c r="J246" s="41" cm="1">
        <f t="array" ref="J246">IF(C246=20,INDEX(CUOC!$C$28:$C$37,MATCH(N246,CUOC!$A$28:$A$37,0),0),INDEX(CUOC!$D$28:$D$37,MATCH(N246,CUOC!$A$28:$A$37,0),0))</f>
        <v>386100</v>
      </c>
      <c r="K246" s="41">
        <f t="shared" si="11"/>
        <v>30888</v>
      </c>
      <c r="L246" s="41">
        <f t="shared" si="12"/>
        <v>416988</v>
      </c>
      <c r="M246" s="37">
        <v>46118</v>
      </c>
      <c r="N246" s="42">
        <v>5</v>
      </c>
      <c r="O246" s="64">
        <v>34832</v>
      </c>
      <c r="P246" s="43" t="str">
        <f t="shared" si="13"/>
        <v>Cước vận chuyển cont Hàng 20 tuyến đường HẢI AN - NHĐV. Số xe: 15H07135</v>
      </c>
      <c r="Q246" s="3">
        <v>1</v>
      </c>
    </row>
    <row r="247" spans="1:17" ht="15" customHeight="1">
      <c r="A247" s="39">
        <v>234</v>
      </c>
      <c r="B247" s="40" t="s">
        <v>349</v>
      </c>
      <c r="C247" s="40">
        <v>20</v>
      </c>
      <c r="D247" s="40" t="s">
        <v>100</v>
      </c>
      <c r="E247" s="40" t="s">
        <v>220</v>
      </c>
      <c r="F247" s="40" t="s">
        <v>221</v>
      </c>
      <c r="G247" s="40" t="s">
        <v>15</v>
      </c>
      <c r="H247" s="40" t="s">
        <v>53</v>
      </c>
      <c r="I247" s="40" t="s">
        <v>66</v>
      </c>
      <c r="J247" s="41" cm="1">
        <f t="array" ref="J247">IF(C247=20,INDEX(CUOC!$C$28:$C$37,MATCH(N247,CUOC!$A$28:$A$37,0),0),INDEX(CUOC!$D$28:$D$37,MATCH(N247,CUOC!$A$28:$A$37,0),0))</f>
        <v>386100</v>
      </c>
      <c r="K247" s="41">
        <f t="shared" si="11"/>
        <v>30888</v>
      </c>
      <c r="L247" s="41">
        <f t="shared" si="12"/>
        <v>416988</v>
      </c>
      <c r="M247" s="37">
        <v>46118</v>
      </c>
      <c r="N247" s="42">
        <v>5</v>
      </c>
      <c r="O247" s="64">
        <v>34832</v>
      </c>
      <c r="P247" s="43" t="str">
        <f t="shared" si="13"/>
        <v>Cước vận chuyển cont Hàng 20 tuyến đường HẢI AN - NHĐV. Số xe: 15H07135</v>
      </c>
      <c r="Q247" s="3">
        <v>1</v>
      </c>
    </row>
    <row r="248" spans="1:17" ht="15" customHeight="1">
      <c r="A248" s="39">
        <v>235</v>
      </c>
      <c r="B248" s="40" t="s">
        <v>350</v>
      </c>
      <c r="C248" s="40">
        <v>20</v>
      </c>
      <c r="D248" s="40" t="s">
        <v>100</v>
      </c>
      <c r="E248" s="40" t="s">
        <v>220</v>
      </c>
      <c r="F248" s="40" t="s">
        <v>221</v>
      </c>
      <c r="G248" s="40" t="s">
        <v>15</v>
      </c>
      <c r="H248" s="40" t="s">
        <v>53</v>
      </c>
      <c r="I248" s="40" t="s">
        <v>66</v>
      </c>
      <c r="J248" s="41" cm="1">
        <f t="array" ref="J248">IF(C248=20,INDEX(CUOC!$C$28:$C$37,MATCH(N248,CUOC!$A$28:$A$37,0),0),INDEX(CUOC!$D$28:$D$37,MATCH(N248,CUOC!$A$28:$A$37,0),0))</f>
        <v>386100</v>
      </c>
      <c r="K248" s="41">
        <f t="shared" si="11"/>
        <v>30888</v>
      </c>
      <c r="L248" s="41">
        <f t="shared" si="12"/>
        <v>416988</v>
      </c>
      <c r="M248" s="37">
        <v>46118</v>
      </c>
      <c r="N248" s="42">
        <v>5</v>
      </c>
      <c r="O248" s="64">
        <v>34832</v>
      </c>
      <c r="P248" s="43" t="str">
        <f t="shared" si="13"/>
        <v>Cước vận chuyển cont Hàng 20 tuyến đường HẢI AN - NHĐV. Số xe: 15H07135</v>
      </c>
      <c r="Q248" s="3">
        <v>1</v>
      </c>
    </row>
    <row r="249" spans="1:17" ht="15" customHeight="1">
      <c r="A249" s="39">
        <v>236</v>
      </c>
      <c r="B249" s="40" t="s">
        <v>351</v>
      </c>
      <c r="C249" s="40">
        <v>20</v>
      </c>
      <c r="D249" s="40" t="s">
        <v>100</v>
      </c>
      <c r="E249" s="40" t="s">
        <v>220</v>
      </c>
      <c r="F249" s="40" t="s">
        <v>221</v>
      </c>
      <c r="G249" s="40" t="s">
        <v>15</v>
      </c>
      <c r="H249" s="40" t="s">
        <v>53</v>
      </c>
      <c r="I249" s="40" t="s">
        <v>66</v>
      </c>
      <c r="J249" s="41" cm="1">
        <f t="array" ref="J249">IF(C249=20,INDEX(CUOC!$C$28:$C$37,MATCH(N249,CUOC!$A$28:$A$37,0),0),INDEX(CUOC!$D$28:$D$37,MATCH(N249,CUOC!$A$28:$A$37,0),0))</f>
        <v>386100</v>
      </c>
      <c r="K249" s="41">
        <f t="shared" si="11"/>
        <v>30888</v>
      </c>
      <c r="L249" s="41">
        <f t="shared" si="12"/>
        <v>416988</v>
      </c>
      <c r="M249" s="37">
        <v>46118</v>
      </c>
      <c r="N249" s="42">
        <v>5</v>
      </c>
      <c r="O249" s="64">
        <v>34832</v>
      </c>
      <c r="P249" s="43" t="str">
        <f t="shared" si="13"/>
        <v>Cước vận chuyển cont Hàng 20 tuyến đường HẢI AN - NHĐV. Số xe: 15H07135</v>
      </c>
      <c r="Q249" s="3">
        <v>1</v>
      </c>
    </row>
    <row r="250" spans="1:17" ht="15" customHeight="1">
      <c r="A250" s="39">
        <v>237</v>
      </c>
      <c r="B250" s="40" t="s">
        <v>352</v>
      </c>
      <c r="C250" s="40">
        <v>20</v>
      </c>
      <c r="D250" s="40" t="s">
        <v>100</v>
      </c>
      <c r="E250" s="40" t="s">
        <v>220</v>
      </c>
      <c r="F250" s="40" t="s">
        <v>489</v>
      </c>
      <c r="G250" s="40" t="s">
        <v>53</v>
      </c>
      <c r="H250" s="40" t="s">
        <v>15</v>
      </c>
      <c r="I250" s="40" t="s">
        <v>66</v>
      </c>
      <c r="J250" s="41" cm="1">
        <f t="array" ref="J250">IF(C250=20,INDEX(CUOC!$C$28:$C$37,MATCH(N250,CUOC!$A$28:$A$37,0),0),INDEX(CUOC!$D$28:$D$37,MATCH(N250,CUOC!$A$28:$A$37,0),0))</f>
        <v>386100</v>
      </c>
      <c r="K250" s="41">
        <f t="shared" si="11"/>
        <v>30888</v>
      </c>
      <c r="L250" s="41">
        <f t="shared" si="12"/>
        <v>416988</v>
      </c>
      <c r="M250" s="37">
        <v>46118</v>
      </c>
      <c r="N250" s="42">
        <v>5</v>
      </c>
      <c r="O250" s="64">
        <v>34832</v>
      </c>
      <c r="P250" s="43" t="str">
        <f t="shared" si="13"/>
        <v>Cước vận chuyển cont Hàng 20 tuyến đường NHĐV - HẢI AN. Số xe: 15H07135</v>
      </c>
      <c r="Q250" s="3">
        <v>1</v>
      </c>
    </row>
    <row r="251" spans="1:17" ht="15" customHeight="1">
      <c r="A251" s="39">
        <v>238</v>
      </c>
      <c r="B251" s="40" t="s">
        <v>353</v>
      </c>
      <c r="C251" s="40">
        <v>20</v>
      </c>
      <c r="D251" s="40" t="s">
        <v>100</v>
      </c>
      <c r="E251" s="40" t="s">
        <v>220</v>
      </c>
      <c r="F251" s="40" t="s">
        <v>489</v>
      </c>
      <c r="G251" s="40" t="s">
        <v>53</v>
      </c>
      <c r="H251" s="40" t="s">
        <v>15</v>
      </c>
      <c r="I251" s="40" t="s">
        <v>66</v>
      </c>
      <c r="J251" s="41" cm="1">
        <f t="array" ref="J251">IF(C251=20,INDEX(CUOC!$C$28:$C$37,MATCH(N251,CUOC!$A$28:$A$37,0),0),INDEX(CUOC!$D$28:$D$37,MATCH(N251,CUOC!$A$28:$A$37,0),0))</f>
        <v>386100</v>
      </c>
      <c r="K251" s="41">
        <f t="shared" si="11"/>
        <v>30888</v>
      </c>
      <c r="L251" s="41">
        <f t="shared" si="12"/>
        <v>416988</v>
      </c>
      <c r="M251" s="37">
        <v>46118</v>
      </c>
      <c r="N251" s="42">
        <v>5</v>
      </c>
      <c r="O251" s="64">
        <v>34832</v>
      </c>
      <c r="P251" s="43" t="str">
        <f t="shared" si="13"/>
        <v>Cước vận chuyển cont Hàng 20 tuyến đường NHĐV - HẢI AN. Số xe: 15H07135</v>
      </c>
      <c r="Q251" s="3">
        <v>1</v>
      </c>
    </row>
    <row r="252" spans="1:17" ht="15" customHeight="1">
      <c r="A252" s="39">
        <v>239</v>
      </c>
      <c r="B252" s="40" t="s">
        <v>354</v>
      </c>
      <c r="C252" s="40">
        <v>40</v>
      </c>
      <c r="D252" s="40" t="s">
        <v>100</v>
      </c>
      <c r="E252" s="40" t="s">
        <v>220</v>
      </c>
      <c r="F252" s="40" t="s">
        <v>489</v>
      </c>
      <c r="G252" s="40" t="s">
        <v>53</v>
      </c>
      <c r="H252" s="40" t="s">
        <v>15</v>
      </c>
      <c r="I252" s="40" t="s">
        <v>66</v>
      </c>
      <c r="J252" s="41" cm="1">
        <f t="array" ref="J252">IF(C252=20,INDEX(CUOC!$C$28:$C$37,MATCH(N252,CUOC!$A$28:$A$37,0),0),INDEX(CUOC!$D$28:$D$37,MATCH(N252,CUOC!$A$28:$A$37,0),0))</f>
        <v>448500</v>
      </c>
      <c r="K252" s="41">
        <f t="shared" si="11"/>
        <v>35880</v>
      </c>
      <c r="L252" s="41">
        <f t="shared" si="12"/>
        <v>484380</v>
      </c>
      <c r="M252" s="37">
        <v>46118</v>
      </c>
      <c r="N252" s="42">
        <v>5</v>
      </c>
      <c r="O252" s="64">
        <v>34832</v>
      </c>
      <c r="P252" s="43" t="str">
        <f t="shared" si="13"/>
        <v>Cước vận chuyển cont Hàng 40 tuyến đường NHĐV - HẢI AN. Số xe: 15H07135</v>
      </c>
      <c r="Q252" s="3">
        <v>1</v>
      </c>
    </row>
    <row r="253" spans="1:17" ht="15" customHeight="1">
      <c r="A253" s="39">
        <v>240</v>
      </c>
      <c r="B253" s="40" t="s">
        <v>355</v>
      </c>
      <c r="C253" s="40">
        <v>20</v>
      </c>
      <c r="D253" s="40" t="s">
        <v>100</v>
      </c>
      <c r="E253" s="40" t="s">
        <v>220</v>
      </c>
      <c r="F253" s="40" t="s">
        <v>489</v>
      </c>
      <c r="G253" s="40" t="s">
        <v>53</v>
      </c>
      <c r="H253" s="40" t="s">
        <v>15</v>
      </c>
      <c r="I253" s="40" t="s">
        <v>66</v>
      </c>
      <c r="J253" s="41" cm="1">
        <f t="array" ref="J253">IF(C253=20,INDEX(CUOC!$C$28:$C$37,MATCH(N253,CUOC!$A$28:$A$37,0),0),INDEX(CUOC!$D$28:$D$37,MATCH(N253,CUOC!$A$28:$A$37,0),0))</f>
        <v>386100</v>
      </c>
      <c r="K253" s="41">
        <f t="shared" si="11"/>
        <v>30888</v>
      </c>
      <c r="L253" s="41">
        <f t="shared" si="12"/>
        <v>416988</v>
      </c>
      <c r="M253" s="37">
        <v>46118</v>
      </c>
      <c r="N253" s="42">
        <v>5</v>
      </c>
      <c r="O253" s="64">
        <v>34832</v>
      </c>
      <c r="P253" s="43" t="str">
        <f t="shared" si="13"/>
        <v>Cước vận chuyển cont Hàng 20 tuyến đường NHĐV - HẢI AN. Số xe: 15H07135</v>
      </c>
      <c r="Q253" s="3">
        <v>1</v>
      </c>
    </row>
    <row r="254" spans="1:17" ht="15" customHeight="1">
      <c r="A254" s="39">
        <v>241</v>
      </c>
      <c r="B254" s="40" t="s">
        <v>356</v>
      </c>
      <c r="C254" s="40">
        <v>20</v>
      </c>
      <c r="D254" s="40" t="s">
        <v>100</v>
      </c>
      <c r="E254" s="40" t="s">
        <v>220</v>
      </c>
      <c r="F254" s="40" t="s">
        <v>489</v>
      </c>
      <c r="G254" s="40" t="s">
        <v>53</v>
      </c>
      <c r="H254" s="40" t="s">
        <v>15</v>
      </c>
      <c r="I254" s="40" t="s">
        <v>66</v>
      </c>
      <c r="J254" s="41" cm="1">
        <f t="array" ref="J254">IF(C254=20,INDEX(CUOC!$C$28:$C$37,MATCH(N254,CUOC!$A$28:$A$37,0),0),INDEX(CUOC!$D$28:$D$37,MATCH(N254,CUOC!$A$28:$A$37,0),0))</f>
        <v>386100</v>
      </c>
      <c r="K254" s="41">
        <f t="shared" si="11"/>
        <v>30888</v>
      </c>
      <c r="L254" s="41">
        <f t="shared" si="12"/>
        <v>416988</v>
      </c>
      <c r="M254" s="37">
        <v>46118</v>
      </c>
      <c r="N254" s="42">
        <v>5</v>
      </c>
      <c r="O254" s="64">
        <v>34832</v>
      </c>
      <c r="P254" s="43" t="str">
        <f t="shared" si="13"/>
        <v>Cước vận chuyển cont Hàng 20 tuyến đường NHĐV - HẢI AN. Số xe: 15H07135</v>
      </c>
      <c r="Q254" s="3">
        <v>1</v>
      </c>
    </row>
    <row r="255" spans="1:17" ht="15" customHeight="1">
      <c r="A255" s="39">
        <v>242</v>
      </c>
      <c r="B255" s="40" t="s">
        <v>357</v>
      </c>
      <c r="C255" s="40">
        <v>20</v>
      </c>
      <c r="D255" s="40" t="s">
        <v>100</v>
      </c>
      <c r="E255" s="40" t="s">
        <v>220</v>
      </c>
      <c r="F255" s="40" t="s">
        <v>489</v>
      </c>
      <c r="G255" s="40" t="s">
        <v>53</v>
      </c>
      <c r="H255" s="40" t="s">
        <v>15</v>
      </c>
      <c r="I255" s="40" t="s">
        <v>66</v>
      </c>
      <c r="J255" s="41" cm="1">
        <f t="array" ref="J255">IF(C255=20,INDEX(CUOC!$C$28:$C$37,MATCH(N255,CUOC!$A$28:$A$37,0),0),INDEX(CUOC!$D$28:$D$37,MATCH(N255,CUOC!$A$28:$A$37,0),0))</f>
        <v>386100</v>
      </c>
      <c r="K255" s="41">
        <f t="shared" si="11"/>
        <v>30888</v>
      </c>
      <c r="L255" s="41">
        <f t="shared" si="12"/>
        <v>416988</v>
      </c>
      <c r="M255" s="37">
        <v>46118</v>
      </c>
      <c r="N255" s="42">
        <v>5</v>
      </c>
      <c r="O255" s="64">
        <v>34832</v>
      </c>
      <c r="P255" s="43" t="str">
        <f t="shared" si="13"/>
        <v>Cước vận chuyển cont Hàng 20 tuyến đường NHĐV - HẢI AN. Số xe: 15H07135</v>
      </c>
      <c r="Q255" s="3">
        <v>1</v>
      </c>
    </row>
    <row r="256" spans="1:17" ht="15" customHeight="1">
      <c r="A256" s="39">
        <v>243</v>
      </c>
      <c r="B256" s="40" t="s">
        <v>358</v>
      </c>
      <c r="C256" s="40">
        <v>20</v>
      </c>
      <c r="D256" s="40" t="s">
        <v>100</v>
      </c>
      <c r="E256" s="40" t="s">
        <v>220</v>
      </c>
      <c r="F256" s="40" t="s">
        <v>489</v>
      </c>
      <c r="G256" s="40" t="s">
        <v>53</v>
      </c>
      <c r="H256" s="40" t="s">
        <v>15</v>
      </c>
      <c r="I256" s="40" t="s">
        <v>66</v>
      </c>
      <c r="J256" s="41" cm="1">
        <f t="array" ref="J256">IF(C256=20,INDEX(CUOC!$C$28:$C$37,MATCH(N256,CUOC!$A$28:$A$37,0),0),INDEX(CUOC!$D$28:$D$37,MATCH(N256,CUOC!$A$28:$A$37,0),0))</f>
        <v>386100</v>
      </c>
      <c r="K256" s="41">
        <f t="shared" si="11"/>
        <v>30888</v>
      </c>
      <c r="L256" s="41">
        <f t="shared" si="12"/>
        <v>416988</v>
      </c>
      <c r="M256" s="37">
        <v>46118</v>
      </c>
      <c r="N256" s="42">
        <v>5</v>
      </c>
      <c r="O256" s="64">
        <v>34832</v>
      </c>
      <c r="P256" s="43" t="str">
        <f t="shared" si="13"/>
        <v>Cước vận chuyển cont Hàng 20 tuyến đường NHĐV - HẢI AN. Số xe: 15H07135</v>
      </c>
      <c r="Q256" s="3">
        <v>1</v>
      </c>
    </row>
    <row r="257" spans="1:17" ht="15" customHeight="1">
      <c r="A257" s="39">
        <v>244</v>
      </c>
      <c r="B257" s="40" t="s">
        <v>359</v>
      </c>
      <c r="C257" s="40">
        <v>20</v>
      </c>
      <c r="D257" s="40" t="s">
        <v>100</v>
      </c>
      <c r="E257" s="40" t="s">
        <v>220</v>
      </c>
      <c r="F257" s="40" t="s">
        <v>221</v>
      </c>
      <c r="G257" s="40" t="s">
        <v>15</v>
      </c>
      <c r="H257" s="40" t="s">
        <v>53</v>
      </c>
      <c r="I257" s="40" t="s">
        <v>98</v>
      </c>
      <c r="J257" s="41" cm="1">
        <f t="array" ref="J257">IF(C257=20,INDEX(CUOC!$C$28:$C$37,MATCH(N257,CUOC!$A$28:$A$37,0),0),INDEX(CUOC!$D$28:$D$37,MATCH(N257,CUOC!$A$28:$A$37,0),0))</f>
        <v>386100</v>
      </c>
      <c r="K257" s="41">
        <f t="shared" si="11"/>
        <v>30888</v>
      </c>
      <c r="L257" s="41">
        <f t="shared" si="12"/>
        <v>416988</v>
      </c>
      <c r="M257" s="37">
        <v>46119</v>
      </c>
      <c r="N257" s="42">
        <v>5</v>
      </c>
      <c r="O257" s="64">
        <v>34832</v>
      </c>
      <c r="P257" s="43" t="str">
        <f t="shared" si="13"/>
        <v>Cước vận chuyển cont Hàng 20 tuyến đường HẢI AN - NHĐV. Số xe: 15C17301</v>
      </c>
      <c r="Q257" s="3">
        <v>1</v>
      </c>
    </row>
    <row r="258" spans="1:17" ht="15" customHeight="1">
      <c r="A258" s="39">
        <v>245</v>
      </c>
      <c r="B258" s="40" t="s">
        <v>360</v>
      </c>
      <c r="C258" s="40">
        <v>20</v>
      </c>
      <c r="D258" s="40" t="s">
        <v>100</v>
      </c>
      <c r="E258" s="40" t="s">
        <v>220</v>
      </c>
      <c r="F258" s="40" t="s">
        <v>221</v>
      </c>
      <c r="G258" s="40" t="s">
        <v>15</v>
      </c>
      <c r="H258" s="40" t="s">
        <v>53</v>
      </c>
      <c r="I258" s="40" t="s">
        <v>98</v>
      </c>
      <c r="J258" s="41" cm="1">
        <f t="array" ref="J258">IF(C258=20,INDEX(CUOC!$C$28:$C$37,MATCH(N258,CUOC!$A$28:$A$37,0),0),INDEX(CUOC!$D$28:$D$37,MATCH(N258,CUOC!$A$28:$A$37,0),0))</f>
        <v>386100</v>
      </c>
      <c r="K258" s="41">
        <f t="shared" si="11"/>
        <v>30888</v>
      </c>
      <c r="L258" s="41">
        <f t="shared" si="12"/>
        <v>416988</v>
      </c>
      <c r="M258" s="37">
        <v>46119</v>
      </c>
      <c r="N258" s="42">
        <v>5</v>
      </c>
      <c r="O258" s="64">
        <v>34832</v>
      </c>
      <c r="P258" s="43" t="str">
        <f t="shared" si="13"/>
        <v>Cước vận chuyển cont Hàng 20 tuyến đường HẢI AN - NHĐV. Số xe: 15C17301</v>
      </c>
      <c r="Q258" s="3">
        <v>1</v>
      </c>
    </row>
    <row r="259" spans="1:17" ht="15" customHeight="1">
      <c r="A259" s="39">
        <v>246</v>
      </c>
      <c r="B259" s="40" t="s">
        <v>361</v>
      </c>
      <c r="C259" s="40">
        <v>40</v>
      </c>
      <c r="D259" s="40" t="s">
        <v>100</v>
      </c>
      <c r="E259" s="40" t="s">
        <v>220</v>
      </c>
      <c r="F259" s="40" t="s">
        <v>489</v>
      </c>
      <c r="G259" s="40" t="s">
        <v>53</v>
      </c>
      <c r="H259" s="40" t="s">
        <v>15</v>
      </c>
      <c r="I259" s="40" t="s">
        <v>72</v>
      </c>
      <c r="J259" s="41" cm="1">
        <f t="array" ref="J259">IF(C259=20,INDEX(CUOC!$C$28:$C$37,MATCH(N259,CUOC!$A$28:$A$37,0),0),INDEX(CUOC!$D$28:$D$37,MATCH(N259,CUOC!$A$28:$A$37,0),0))</f>
        <v>448500</v>
      </c>
      <c r="K259" s="41">
        <f t="shared" si="11"/>
        <v>35880</v>
      </c>
      <c r="L259" s="41">
        <f t="shared" si="12"/>
        <v>484380</v>
      </c>
      <c r="M259" s="37">
        <v>46120</v>
      </c>
      <c r="N259" s="42">
        <v>5</v>
      </c>
      <c r="O259" s="64">
        <v>34832</v>
      </c>
      <c r="P259" s="43" t="str">
        <f t="shared" si="13"/>
        <v>Cước vận chuyển cont Hàng 40 tuyến đường NHĐV - HẢI AN. Số xe: 15C30649</v>
      </c>
      <c r="Q259" s="3">
        <v>1</v>
      </c>
    </row>
    <row r="260" spans="1:17" ht="15" customHeight="1">
      <c r="A260" s="39">
        <v>247</v>
      </c>
      <c r="B260" s="40" t="s">
        <v>490</v>
      </c>
      <c r="C260" s="40">
        <v>40</v>
      </c>
      <c r="D260" s="40" t="s">
        <v>100</v>
      </c>
      <c r="E260" s="40" t="s">
        <v>220</v>
      </c>
      <c r="F260" s="40" t="s">
        <v>489</v>
      </c>
      <c r="G260" s="40" t="s">
        <v>53</v>
      </c>
      <c r="H260" s="40" t="s">
        <v>15</v>
      </c>
      <c r="I260" s="40" t="s">
        <v>72</v>
      </c>
      <c r="J260" s="41" cm="1">
        <f t="array" ref="J260">IF(C260=20,INDEX(CUOC!$C$28:$C$37,MATCH(N260,CUOC!$A$28:$A$37,0),0),INDEX(CUOC!$D$28:$D$37,MATCH(N260,CUOC!$A$28:$A$37,0),0))</f>
        <v>448500</v>
      </c>
      <c r="K260" s="41">
        <f t="shared" si="11"/>
        <v>35880</v>
      </c>
      <c r="L260" s="41">
        <f t="shared" si="12"/>
        <v>484380</v>
      </c>
      <c r="M260" s="37">
        <v>46120</v>
      </c>
      <c r="N260" s="42">
        <v>5</v>
      </c>
      <c r="O260" s="64">
        <v>34832</v>
      </c>
      <c r="P260" s="43" t="str">
        <f t="shared" si="13"/>
        <v>Cước vận chuyển cont Hàng 40 tuyến đường NHĐV - HẢI AN. Số xe: 15C30649</v>
      </c>
      <c r="Q260" s="3">
        <v>1</v>
      </c>
    </row>
    <row r="261" spans="1:17" ht="15" customHeight="1">
      <c r="A261" s="39">
        <v>248</v>
      </c>
      <c r="B261" s="40" t="s">
        <v>362</v>
      </c>
      <c r="C261" s="40">
        <v>40</v>
      </c>
      <c r="D261" s="40" t="s">
        <v>100</v>
      </c>
      <c r="E261" s="40" t="s">
        <v>220</v>
      </c>
      <c r="F261" s="40" t="s">
        <v>489</v>
      </c>
      <c r="G261" s="40" t="s">
        <v>53</v>
      </c>
      <c r="H261" s="40" t="s">
        <v>15</v>
      </c>
      <c r="I261" s="40" t="s">
        <v>72</v>
      </c>
      <c r="J261" s="41" cm="1">
        <f t="array" ref="J261">IF(C261=20,INDEX(CUOC!$C$28:$C$37,MATCH(N261,CUOC!$A$28:$A$37,0),0),INDEX(CUOC!$D$28:$D$37,MATCH(N261,CUOC!$A$28:$A$37,0),0))</f>
        <v>448500</v>
      </c>
      <c r="K261" s="41">
        <f t="shared" si="11"/>
        <v>35880</v>
      </c>
      <c r="L261" s="41">
        <f t="shared" si="12"/>
        <v>484380</v>
      </c>
      <c r="M261" s="37">
        <v>46120</v>
      </c>
      <c r="N261" s="42">
        <v>5</v>
      </c>
      <c r="O261" s="64">
        <v>34832</v>
      </c>
      <c r="P261" s="43" t="str">
        <f t="shared" si="13"/>
        <v>Cước vận chuyển cont Hàng 40 tuyến đường NHĐV - HẢI AN. Số xe: 15C30649</v>
      </c>
      <c r="Q261" s="3">
        <v>1</v>
      </c>
    </row>
    <row r="262" spans="1:17" ht="15" customHeight="1">
      <c r="A262" s="39">
        <v>249</v>
      </c>
      <c r="B262" s="40" t="s">
        <v>363</v>
      </c>
      <c r="C262" s="40">
        <v>40</v>
      </c>
      <c r="D262" s="40" t="s">
        <v>100</v>
      </c>
      <c r="E262" s="40" t="s">
        <v>220</v>
      </c>
      <c r="F262" s="40" t="s">
        <v>489</v>
      </c>
      <c r="G262" s="40" t="s">
        <v>53</v>
      </c>
      <c r="H262" s="40" t="s">
        <v>15</v>
      </c>
      <c r="I262" s="40" t="s">
        <v>72</v>
      </c>
      <c r="J262" s="41" cm="1">
        <f t="array" ref="J262">IF(C262=20,INDEX(CUOC!$C$28:$C$37,MATCH(N262,CUOC!$A$28:$A$37,0),0),INDEX(CUOC!$D$28:$D$37,MATCH(N262,CUOC!$A$28:$A$37,0),0))</f>
        <v>448500</v>
      </c>
      <c r="K262" s="41">
        <f t="shared" si="11"/>
        <v>35880</v>
      </c>
      <c r="L262" s="41">
        <f t="shared" si="12"/>
        <v>484380</v>
      </c>
      <c r="M262" s="37">
        <v>46120</v>
      </c>
      <c r="N262" s="42">
        <v>5</v>
      </c>
      <c r="O262" s="64">
        <v>34832</v>
      </c>
      <c r="P262" s="43" t="str">
        <f t="shared" si="13"/>
        <v>Cước vận chuyển cont Hàng 40 tuyến đường NHĐV - HẢI AN. Số xe: 15C30649</v>
      </c>
      <c r="Q262" s="3">
        <v>1</v>
      </c>
    </row>
    <row r="263" spans="1:17" ht="15" customHeight="1">
      <c r="A263" s="39">
        <v>250</v>
      </c>
      <c r="B263" s="40" t="s">
        <v>364</v>
      </c>
      <c r="C263" s="40">
        <v>40</v>
      </c>
      <c r="D263" s="40" t="s">
        <v>100</v>
      </c>
      <c r="E263" s="40" t="s">
        <v>220</v>
      </c>
      <c r="F263" s="40" t="s">
        <v>221</v>
      </c>
      <c r="G263" s="40" t="s">
        <v>15</v>
      </c>
      <c r="H263" s="40" t="s">
        <v>53</v>
      </c>
      <c r="I263" s="40" t="s">
        <v>97</v>
      </c>
      <c r="J263" s="41" cm="1">
        <f t="array" ref="J263">IF(C263=20,INDEX(CUOC!$C$28:$C$37,MATCH(N263,CUOC!$A$28:$A$37,0),0),INDEX(CUOC!$D$28:$D$37,MATCH(N263,CUOC!$A$28:$A$37,0),0))</f>
        <v>448500</v>
      </c>
      <c r="K263" s="41">
        <f t="shared" si="11"/>
        <v>35880</v>
      </c>
      <c r="L263" s="41">
        <f t="shared" si="12"/>
        <v>484380</v>
      </c>
      <c r="M263" s="37">
        <v>46118</v>
      </c>
      <c r="N263" s="42">
        <v>5</v>
      </c>
      <c r="O263" s="64">
        <v>34832</v>
      </c>
      <c r="P263" s="43" t="str">
        <f t="shared" si="13"/>
        <v>Cước vận chuyển cont Hàng 40 tuyến đường HẢI AN - NHĐV. Số xe: 15H18753</v>
      </c>
      <c r="Q263" s="3">
        <v>1</v>
      </c>
    </row>
    <row r="264" spans="1:17" ht="15" customHeight="1">
      <c r="A264" s="39">
        <v>251</v>
      </c>
      <c r="B264" s="40" t="s">
        <v>365</v>
      </c>
      <c r="C264" s="40">
        <v>40</v>
      </c>
      <c r="D264" s="40" t="s">
        <v>100</v>
      </c>
      <c r="E264" s="40" t="s">
        <v>220</v>
      </c>
      <c r="F264" s="40" t="s">
        <v>221</v>
      </c>
      <c r="G264" s="40" t="s">
        <v>15</v>
      </c>
      <c r="H264" s="40" t="s">
        <v>53</v>
      </c>
      <c r="I264" s="40" t="s">
        <v>97</v>
      </c>
      <c r="J264" s="41" cm="1">
        <f t="array" ref="J264">IF(C264=20,INDEX(CUOC!$C$28:$C$37,MATCH(N264,CUOC!$A$28:$A$37,0),0),INDEX(CUOC!$D$28:$D$37,MATCH(N264,CUOC!$A$28:$A$37,0),0))</f>
        <v>448500</v>
      </c>
      <c r="K264" s="41">
        <f t="shared" si="11"/>
        <v>35880</v>
      </c>
      <c r="L264" s="41">
        <f t="shared" si="12"/>
        <v>484380</v>
      </c>
      <c r="M264" s="37">
        <v>46119</v>
      </c>
      <c r="N264" s="42">
        <v>5</v>
      </c>
      <c r="O264" s="64">
        <v>34832</v>
      </c>
      <c r="P264" s="43" t="str">
        <f t="shared" si="13"/>
        <v>Cước vận chuyển cont Hàng 40 tuyến đường HẢI AN - NHĐV. Số xe: 15H18753</v>
      </c>
      <c r="Q264" s="3">
        <v>1</v>
      </c>
    </row>
    <row r="265" spans="1:17" ht="15" customHeight="1">
      <c r="A265" s="39">
        <v>252</v>
      </c>
      <c r="B265" s="40" t="s">
        <v>366</v>
      </c>
      <c r="C265" s="40">
        <v>40</v>
      </c>
      <c r="D265" s="40" t="s">
        <v>100</v>
      </c>
      <c r="E265" s="40" t="s">
        <v>220</v>
      </c>
      <c r="F265" s="40" t="s">
        <v>221</v>
      </c>
      <c r="G265" s="40" t="s">
        <v>15</v>
      </c>
      <c r="H265" s="40" t="s">
        <v>53</v>
      </c>
      <c r="I265" s="40" t="s">
        <v>97</v>
      </c>
      <c r="J265" s="41" cm="1">
        <f t="array" ref="J265">IF(C265=20,INDEX(CUOC!$C$28:$C$37,MATCH(N265,CUOC!$A$28:$A$37,0),0),INDEX(CUOC!$D$28:$D$37,MATCH(N265,CUOC!$A$28:$A$37,0),0))</f>
        <v>448500</v>
      </c>
      <c r="K265" s="41">
        <f t="shared" si="11"/>
        <v>35880</v>
      </c>
      <c r="L265" s="41">
        <f t="shared" si="12"/>
        <v>484380</v>
      </c>
      <c r="M265" s="37">
        <v>46119</v>
      </c>
      <c r="N265" s="42">
        <v>5</v>
      </c>
      <c r="O265" s="64">
        <v>34832</v>
      </c>
      <c r="P265" s="43" t="str">
        <f t="shared" si="13"/>
        <v>Cước vận chuyển cont Hàng 40 tuyến đường HẢI AN - NHĐV. Số xe: 15H18753</v>
      </c>
      <c r="Q265" s="3">
        <v>1</v>
      </c>
    </row>
    <row r="266" spans="1:17" ht="15" customHeight="1">
      <c r="A266" s="39">
        <v>253</v>
      </c>
      <c r="B266" s="40" t="s">
        <v>367</v>
      </c>
      <c r="C266" s="40">
        <v>40</v>
      </c>
      <c r="D266" s="40" t="s">
        <v>100</v>
      </c>
      <c r="E266" s="40" t="s">
        <v>220</v>
      </c>
      <c r="F266" s="40" t="s">
        <v>221</v>
      </c>
      <c r="G266" s="40" t="s">
        <v>15</v>
      </c>
      <c r="H266" s="40" t="s">
        <v>53</v>
      </c>
      <c r="I266" s="40" t="s">
        <v>97</v>
      </c>
      <c r="J266" s="41" cm="1">
        <f t="array" ref="J266">IF(C266=20,INDEX(CUOC!$C$28:$C$37,MATCH(N266,CUOC!$A$28:$A$37,0),0),INDEX(CUOC!$D$28:$D$37,MATCH(N266,CUOC!$A$28:$A$37,0),0))</f>
        <v>448500</v>
      </c>
      <c r="K266" s="41">
        <f t="shared" si="11"/>
        <v>35880</v>
      </c>
      <c r="L266" s="41">
        <f t="shared" si="12"/>
        <v>484380</v>
      </c>
      <c r="M266" s="37">
        <v>46119</v>
      </c>
      <c r="N266" s="42">
        <v>5</v>
      </c>
      <c r="O266" s="64">
        <v>34832</v>
      </c>
      <c r="P266" s="43" t="str">
        <f t="shared" si="13"/>
        <v>Cước vận chuyển cont Hàng 40 tuyến đường HẢI AN - NHĐV. Số xe: 15H18753</v>
      </c>
      <c r="Q266" s="3">
        <v>1</v>
      </c>
    </row>
    <row r="267" spans="1:17" ht="15" customHeight="1">
      <c r="A267" s="39">
        <v>254</v>
      </c>
      <c r="B267" s="40" t="s">
        <v>368</v>
      </c>
      <c r="C267" s="40">
        <v>40</v>
      </c>
      <c r="D267" s="40" t="s">
        <v>100</v>
      </c>
      <c r="E267" s="40" t="s">
        <v>220</v>
      </c>
      <c r="F267" s="40" t="s">
        <v>489</v>
      </c>
      <c r="G267" s="40" t="s">
        <v>53</v>
      </c>
      <c r="H267" s="40" t="s">
        <v>15</v>
      </c>
      <c r="I267" s="40" t="s">
        <v>74</v>
      </c>
      <c r="J267" s="41" cm="1">
        <f t="array" ref="J267">IF(C267=20,INDEX(CUOC!$C$28:$C$37,MATCH(N267,CUOC!$A$28:$A$37,0),0),INDEX(CUOC!$D$28:$D$37,MATCH(N267,CUOC!$A$28:$A$37,0),0))</f>
        <v>448500</v>
      </c>
      <c r="K267" s="41">
        <f t="shared" si="11"/>
        <v>35880</v>
      </c>
      <c r="L267" s="41">
        <f t="shared" si="12"/>
        <v>484380</v>
      </c>
      <c r="M267" s="37">
        <v>46118</v>
      </c>
      <c r="N267" s="42">
        <v>5</v>
      </c>
      <c r="O267" s="64">
        <v>34832</v>
      </c>
      <c r="P267" s="43" t="str">
        <f t="shared" si="13"/>
        <v>Cước vận chuyển cont Hàng 40 tuyến đường NHĐV - HẢI AN. Số xe: 15H07788</v>
      </c>
      <c r="Q267" s="3">
        <v>1</v>
      </c>
    </row>
    <row r="268" spans="1:17" ht="15" customHeight="1">
      <c r="A268" s="39">
        <v>255</v>
      </c>
      <c r="B268" s="40" t="s">
        <v>369</v>
      </c>
      <c r="C268" s="40">
        <v>40</v>
      </c>
      <c r="D268" s="40" t="s">
        <v>100</v>
      </c>
      <c r="E268" s="40" t="s">
        <v>220</v>
      </c>
      <c r="F268" s="40" t="s">
        <v>489</v>
      </c>
      <c r="G268" s="40" t="s">
        <v>53</v>
      </c>
      <c r="H268" s="40" t="s">
        <v>15</v>
      </c>
      <c r="I268" s="40" t="s">
        <v>74</v>
      </c>
      <c r="J268" s="41" cm="1">
        <f t="array" ref="J268">IF(C268=20,INDEX(CUOC!$C$28:$C$37,MATCH(N268,CUOC!$A$28:$A$37,0),0),INDEX(CUOC!$D$28:$D$37,MATCH(N268,CUOC!$A$28:$A$37,0),0))</f>
        <v>448500</v>
      </c>
      <c r="K268" s="41">
        <f t="shared" si="11"/>
        <v>35880</v>
      </c>
      <c r="L268" s="41">
        <f t="shared" si="12"/>
        <v>484380</v>
      </c>
      <c r="M268" s="37">
        <v>46118</v>
      </c>
      <c r="N268" s="42">
        <v>5</v>
      </c>
      <c r="O268" s="64">
        <v>34832</v>
      </c>
      <c r="P268" s="43" t="str">
        <f t="shared" si="13"/>
        <v>Cước vận chuyển cont Hàng 40 tuyến đường NHĐV - HẢI AN. Số xe: 15H07788</v>
      </c>
      <c r="Q268" s="3">
        <v>1</v>
      </c>
    </row>
    <row r="269" spans="1:17" ht="15" customHeight="1">
      <c r="A269" s="39">
        <v>256</v>
      </c>
      <c r="B269" s="40" t="s">
        <v>370</v>
      </c>
      <c r="C269" s="40">
        <v>20</v>
      </c>
      <c r="D269" s="40" t="s">
        <v>100</v>
      </c>
      <c r="E269" s="40" t="s">
        <v>220</v>
      </c>
      <c r="F269" s="40" t="s">
        <v>221</v>
      </c>
      <c r="G269" s="40" t="s">
        <v>15</v>
      </c>
      <c r="H269" s="40" t="s">
        <v>53</v>
      </c>
      <c r="I269" s="40" t="s">
        <v>74</v>
      </c>
      <c r="J269" s="41" cm="1">
        <f t="array" ref="J269">IF(C269=20,INDEX(CUOC!$C$28:$C$37,MATCH(N269,CUOC!$A$28:$A$37,0),0),INDEX(CUOC!$D$28:$D$37,MATCH(N269,CUOC!$A$28:$A$37,0),0))</f>
        <v>386100</v>
      </c>
      <c r="K269" s="41">
        <f t="shared" si="11"/>
        <v>30888</v>
      </c>
      <c r="L269" s="41">
        <f t="shared" si="12"/>
        <v>416988</v>
      </c>
      <c r="M269" s="37">
        <v>46118</v>
      </c>
      <c r="N269" s="42">
        <v>5</v>
      </c>
      <c r="O269" s="64">
        <v>34832</v>
      </c>
      <c r="P269" s="43" t="str">
        <f t="shared" si="13"/>
        <v>Cước vận chuyển cont Hàng 20 tuyến đường HẢI AN - NHĐV. Số xe: 15H07788</v>
      </c>
      <c r="Q269" s="3">
        <v>1</v>
      </c>
    </row>
    <row r="270" spans="1:17" ht="15" customHeight="1">
      <c r="A270" s="39">
        <v>257</v>
      </c>
      <c r="B270" s="40" t="s">
        <v>371</v>
      </c>
      <c r="C270" s="40">
        <v>20</v>
      </c>
      <c r="D270" s="40" t="s">
        <v>100</v>
      </c>
      <c r="E270" s="40" t="s">
        <v>220</v>
      </c>
      <c r="F270" s="40" t="s">
        <v>221</v>
      </c>
      <c r="G270" s="40" t="s">
        <v>15</v>
      </c>
      <c r="H270" s="40" t="s">
        <v>53</v>
      </c>
      <c r="I270" s="40" t="s">
        <v>74</v>
      </c>
      <c r="J270" s="41" cm="1">
        <f t="array" ref="J270">IF(C270=20,INDEX(CUOC!$C$28:$C$37,MATCH(N270,CUOC!$A$28:$A$37,0),0),INDEX(CUOC!$D$28:$D$37,MATCH(N270,CUOC!$A$28:$A$37,0),0))</f>
        <v>386100</v>
      </c>
      <c r="K270" s="41">
        <f t="shared" si="11"/>
        <v>30888</v>
      </c>
      <c r="L270" s="41">
        <f t="shared" si="12"/>
        <v>416988</v>
      </c>
      <c r="M270" s="37">
        <v>46118</v>
      </c>
      <c r="N270" s="42">
        <v>5</v>
      </c>
      <c r="O270" s="64">
        <v>34832</v>
      </c>
      <c r="P270" s="43" t="str">
        <f t="shared" si="13"/>
        <v>Cước vận chuyển cont Hàng 20 tuyến đường HẢI AN - NHĐV. Số xe: 15H07788</v>
      </c>
      <c r="Q270" s="3">
        <v>1</v>
      </c>
    </row>
    <row r="271" spans="1:17" ht="15" customHeight="1">
      <c r="A271" s="39">
        <v>258</v>
      </c>
      <c r="B271" s="40" t="s">
        <v>372</v>
      </c>
      <c r="C271" s="40">
        <v>20</v>
      </c>
      <c r="D271" s="40" t="s">
        <v>100</v>
      </c>
      <c r="E271" s="40" t="s">
        <v>220</v>
      </c>
      <c r="F271" s="40" t="s">
        <v>221</v>
      </c>
      <c r="G271" s="40" t="s">
        <v>15</v>
      </c>
      <c r="H271" s="40" t="s">
        <v>53</v>
      </c>
      <c r="I271" s="40" t="s">
        <v>74</v>
      </c>
      <c r="J271" s="41" cm="1">
        <f t="array" ref="J271">IF(C271=20,INDEX(CUOC!$C$28:$C$37,MATCH(N271,CUOC!$A$28:$A$37,0),0),INDEX(CUOC!$D$28:$D$37,MATCH(N271,CUOC!$A$28:$A$37,0),0))</f>
        <v>386100</v>
      </c>
      <c r="K271" s="41">
        <f t="shared" ref="K271:K334" si="14">+J271*0.08</f>
        <v>30888</v>
      </c>
      <c r="L271" s="41">
        <f t="shared" ref="L271:L334" si="15">+K271+J271</f>
        <v>416988</v>
      </c>
      <c r="M271" s="37">
        <v>46118</v>
      </c>
      <c r="N271" s="42">
        <v>5</v>
      </c>
      <c r="O271" s="64">
        <v>34832</v>
      </c>
      <c r="P271" s="43" t="str">
        <f t="shared" ref="P271:P332" si="16">IF(D271="R",$P$8&amp;C271&amp;$P$10&amp;G271&amp;$Q$12&amp;H271&amp;$P$11&amp;I271,$P$9&amp;C271&amp;$P$10&amp;G271&amp;$Q$12&amp;H271&amp;$P$11&amp;I271)</f>
        <v>Cước vận chuyển cont Hàng 20 tuyến đường HẢI AN - NHĐV. Số xe: 15H07788</v>
      </c>
      <c r="Q271" s="3">
        <v>1</v>
      </c>
    </row>
    <row r="272" spans="1:17" ht="15" customHeight="1">
      <c r="A272" s="39">
        <v>259</v>
      </c>
      <c r="B272" s="40" t="s">
        <v>373</v>
      </c>
      <c r="C272" s="40">
        <v>20</v>
      </c>
      <c r="D272" s="40" t="s">
        <v>100</v>
      </c>
      <c r="E272" s="40" t="s">
        <v>220</v>
      </c>
      <c r="F272" s="40" t="s">
        <v>221</v>
      </c>
      <c r="G272" s="40" t="s">
        <v>15</v>
      </c>
      <c r="H272" s="40" t="s">
        <v>53</v>
      </c>
      <c r="I272" s="40" t="s">
        <v>74</v>
      </c>
      <c r="J272" s="41" cm="1">
        <f t="array" ref="J272">IF(C272=20,INDEX(CUOC!$C$28:$C$37,MATCH(N272,CUOC!$A$28:$A$37,0),0),INDEX(CUOC!$D$28:$D$37,MATCH(N272,CUOC!$A$28:$A$37,0),0))</f>
        <v>386100</v>
      </c>
      <c r="K272" s="41">
        <f t="shared" si="14"/>
        <v>30888</v>
      </c>
      <c r="L272" s="41">
        <f t="shared" si="15"/>
        <v>416988</v>
      </c>
      <c r="M272" s="37">
        <v>46118</v>
      </c>
      <c r="N272" s="42">
        <v>5</v>
      </c>
      <c r="O272" s="64">
        <v>34832</v>
      </c>
      <c r="P272" s="43" t="str">
        <f t="shared" si="16"/>
        <v>Cước vận chuyển cont Hàng 20 tuyến đường HẢI AN - NHĐV. Số xe: 15H07788</v>
      </c>
      <c r="Q272" s="3">
        <v>1</v>
      </c>
    </row>
    <row r="273" spans="1:17" ht="15" customHeight="1">
      <c r="A273" s="39">
        <v>260</v>
      </c>
      <c r="B273" s="40" t="s">
        <v>374</v>
      </c>
      <c r="C273" s="40">
        <v>40</v>
      </c>
      <c r="D273" s="40" t="s">
        <v>100</v>
      </c>
      <c r="E273" s="40" t="s">
        <v>220</v>
      </c>
      <c r="F273" s="40" t="s">
        <v>221</v>
      </c>
      <c r="G273" s="40" t="s">
        <v>15</v>
      </c>
      <c r="H273" s="40" t="s">
        <v>53</v>
      </c>
      <c r="I273" s="40" t="s">
        <v>74</v>
      </c>
      <c r="J273" s="41" cm="1">
        <f t="array" ref="J273">IF(C273=20,INDEX(CUOC!$C$28:$C$37,MATCH(N273,CUOC!$A$28:$A$37,0),0),INDEX(CUOC!$D$28:$D$37,MATCH(N273,CUOC!$A$28:$A$37,0),0))</f>
        <v>448500</v>
      </c>
      <c r="K273" s="41">
        <f t="shared" si="14"/>
        <v>35880</v>
      </c>
      <c r="L273" s="41">
        <f t="shared" si="15"/>
        <v>484380</v>
      </c>
      <c r="M273" s="37">
        <v>46118</v>
      </c>
      <c r="N273" s="42">
        <v>5</v>
      </c>
      <c r="O273" s="64">
        <v>34832</v>
      </c>
      <c r="P273" s="43" t="str">
        <f t="shared" si="16"/>
        <v>Cước vận chuyển cont Hàng 40 tuyến đường HẢI AN - NHĐV. Số xe: 15H07788</v>
      </c>
      <c r="Q273" s="3">
        <v>1</v>
      </c>
    </row>
    <row r="274" spans="1:17" ht="15" customHeight="1">
      <c r="A274" s="39">
        <v>261</v>
      </c>
      <c r="B274" s="40" t="s">
        <v>375</v>
      </c>
      <c r="C274" s="40">
        <v>20</v>
      </c>
      <c r="D274" s="40" t="s">
        <v>100</v>
      </c>
      <c r="E274" s="40" t="s">
        <v>220</v>
      </c>
      <c r="F274" s="40" t="s">
        <v>221</v>
      </c>
      <c r="G274" s="40" t="s">
        <v>15</v>
      </c>
      <c r="H274" s="40" t="s">
        <v>53</v>
      </c>
      <c r="I274" s="40" t="s">
        <v>74</v>
      </c>
      <c r="J274" s="41" cm="1">
        <f t="array" ref="J274">IF(C274=20,INDEX(CUOC!$C$28:$C$37,MATCH(N274,CUOC!$A$28:$A$37,0),0),INDEX(CUOC!$D$28:$D$37,MATCH(N274,CUOC!$A$28:$A$37,0),0))</f>
        <v>386100</v>
      </c>
      <c r="K274" s="41">
        <f t="shared" si="14"/>
        <v>30888</v>
      </c>
      <c r="L274" s="41">
        <f t="shared" si="15"/>
        <v>416988</v>
      </c>
      <c r="M274" s="37">
        <v>46118</v>
      </c>
      <c r="N274" s="42">
        <v>5</v>
      </c>
      <c r="O274" s="64">
        <v>34832</v>
      </c>
      <c r="P274" s="43" t="str">
        <f t="shared" si="16"/>
        <v>Cước vận chuyển cont Hàng 20 tuyến đường HẢI AN - NHĐV. Số xe: 15H07788</v>
      </c>
      <c r="Q274" s="3">
        <v>1</v>
      </c>
    </row>
    <row r="275" spans="1:17" ht="15" customHeight="1">
      <c r="A275" s="39">
        <v>262</v>
      </c>
      <c r="B275" s="40" t="s">
        <v>376</v>
      </c>
      <c r="C275" s="40">
        <v>20</v>
      </c>
      <c r="D275" s="40" t="s">
        <v>100</v>
      </c>
      <c r="E275" s="40" t="s">
        <v>220</v>
      </c>
      <c r="F275" s="40" t="s">
        <v>221</v>
      </c>
      <c r="G275" s="40" t="s">
        <v>15</v>
      </c>
      <c r="H275" s="40" t="s">
        <v>53</v>
      </c>
      <c r="I275" s="40" t="s">
        <v>74</v>
      </c>
      <c r="J275" s="41" cm="1">
        <f t="array" ref="J275">IF(C275=20,INDEX(CUOC!$C$28:$C$37,MATCH(N275,CUOC!$A$28:$A$37,0),0),INDEX(CUOC!$D$28:$D$37,MATCH(N275,CUOC!$A$28:$A$37,0),0))</f>
        <v>386100</v>
      </c>
      <c r="K275" s="41">
        <f t="shared" si="14"/>
        <v>30888</v>
      </c>
      <c r="L275" s="41">
        <f t="shared" si="15"/>
        <v>416988</v>
      </c>
      <c r="M275" s="37">
        <v>46118</v>
      </c>
      <c r="N275" s="42">
        <v>5</v>
      </c>
      <c r="O275" s="64">
        <v>34832</v>
      </c>
      <c r="P275" s="43" t="str">
        <f t="shared" si="16"/>
        <v>Cước vận chuyển cont Hàng 20 tuyến đường HẢI AN - NHĐV. Số xe: 15H07788</v>
      </c>
      <c r="Q275" s="3">
        <v>1</v>
      </c>
    </row>
    <row r="276" spans="1:17" ht="15" customHeight="1">
      <c r="A276" s="39">
        <v>263</v>
      </c>
      <c r="B276" s="40" t="s">
        <v>377</v>
      </c>
      <c r="C276" s="40">
        <v>20</v>
      </c>
      <c r="D276" s="40" t="s">
        <v>100</v>
      </c>
      <c r="E276" s="40" t="s">
        <v>220</v>
      </c>
      <c r="F276" s="40" t="s">
        <v>221</v>
      </c>
      <c r="G276" s="40" t="s">
        <v>15</v>
      </c>
      <c r="H276" s="40" t="s">
        <v>53</v>
      </c>
      <c r="I276" s="40" t="s">
        <v>74</v>
      </c>
      <c r="J276" s="41" cm="1">
        <f t="array" ref="J276">IF(C276=20,INDEX(CUOC!$C$28:$C$37,MATCH(N276,CUOC!$A$28:$A$37,0),0),INDEX(CUOC!$D$28:$D$37,MATCH(N276,CUOC!$A$28:$A$37,0),0))</f>
        <v>386100</v>
      </c>
      <c r="K276" s="41">
        <f t="shared" si="14"/>
        <v>30888</v>
      </c>
      <c r="L276" s="41">
        <f t="shared" si="15"/>
        <v>416988</v>
      </c>
      <c r="M276" s="37">
        <v>46118</v>
      </c>
      <c r="N276" s="42">
        <v>5</v>
      </c>
      <c r="O276" s="64">
        <v>34832</v>
      </c>
      <c r="P276" s="43" t="str">
        <f t="shared" si="16"/>
        <v>Cước vận chuyển cont Hàng 20 tuyến đường HẢI AN - NHĐV. Số xe: 15H07788</v>
      </c>
      <c r="Q276" s="3">
        <v>1</v>
      </c>
    </row>
    <row r="277" spans="1:17" ht="15" customHeight="1">
      <c r="A277" s="39">
        <v>264</v>
      </c>
      <c r="B277" s="40" t="s">
        <v>94</v>
      </c>
      <c r="C277" s="40">
        <v>20</v>
      </c>
      <c r="D277" s="40" t="s">
        <v>100</v>
      </c>
      <c r="E277" s="40" t="s">
        <v>220</v>
      </c>
      <c r="F277" s="40" t="s">
        <v>221</v>
      </c>
      <c r="G277" s="40" t="s">
        <v>15</v>
      </c>
      <c r="H277" s="40" t="s">
        <v>53</v>
      </c>
      <c r="I277" s="40" t="s">
        <v>74</v>
      </c>
      <c r="J277" s="41" cm="1">
        <f t="array" ref="J277">IF(C277=20,INDEX(CUOC!$C$28:$C$37,MATCH(N277,CUOC!$A$28:$A$37,0),0),INDEX(CUOC!$D$28:$D$37,MATCH(N277,CUOC!$A$28:$A$37,0),0))</f>
        <v>386100</v>
      </c>
      <c r="K277" s="41">
        <f t="shared" si="14"/>
        <v>30888</v>
      </c>
      <c r="L277" s="41">
        <f t="shared" si="15"/>
        <v>416988</v>
      </c>
      <c r="M277" s="37">
        <v>46118</v>
      </c>
      <c r="N277" s="42">
        <v>5</v>
      </c>
      <c r="O277" s="64">
        <v>34832</v>
      </c>
      <c r="P277" s="43" t="str">
        <f t="shared" si="16"/>
        <v>Cước vận chuyển cont Hàng 20 tuyến đường HẢI AN - NHĐV. Số xe: 15H07788</v>
      </c>
      <c r="Q277" s="3">
        <v>1</v>
      </c>
    </row>
    <row r="278" spans="1:17" ht="15" customHeight="1">
      <c r="A278" s="39">
        <v>265</v>
      </c>
      <c r="B278" s="40" t="s">
        <v>378</v>
      </c>
      <c r="C278" s="40">
        <v>20</v>
      </c>
      <c r="D278" s="40" t="s">
        <v>100</v>
      </c>
      <c r="E278" s="40" t="s">
        <v>220</v>
      </c>
      <c r="F278" s="40" t="s">
        <v>221</v>
      </c>
      <c r="G278" s="40" t="s">
        <v>15</v>
      </c>
      <c r="H278" s="40" t="s">
        <v>53</v>
      </c>
      <c r="I278" s="40" t="s">
        <v>74</v>
      </c>
      <c r="J278" s="41" cm="1">
        <f t="array" ref="J278">IF(C278=20,INDEX(CUOC!$C$28:$C$37,MATCH(N278,CUOC!$A$28:$A$37,0),0),INDEX(CUOC!$D$28:$D$37,MATCH(N278,CUOC!$A$28:$A$37,0),0))</f>
        <v>386100</v>
      </c>
      <c r="K278" s="41">
        <f t="shared" si="14"/>
        <v>30888</v>
      </c>
      <c r="L278" s="41">
        <f t="shared" si="15"/>
        <v>416988</v>
      </c>
      <c r="M278" s="37">
        <v>46118</v>
      </c>
      <c r="N278" s="42">
        <v>5</v>
      </c>
      <c r="O278" s="64">
        <v>34832</v>
      </c>
      <c r="P278" s="43" t="str">
        <f t="shared" si="16"/>
        <v>Cước vận chuyển cont Hàng 20 tuyến đường HẢI AN - NHĐV. Số xe: 15H07788</v>
      </c>
      <c r="Q278" s="3">
        <v>1</v>
      </c>
    </row>
    <row r="279" spans="1:17" ht="15" customHeight="1">
      <c r="A279" s="39">
        <v>266</v>
      </c>
      <c r="B279" s="40" t="s">
        <v>379</v>
      </c>
      <c r="C279" s="40">
        <v>20</v>
      </c>
      <c r="D279" s="40" t="s">
        <v>100</v>
      </c>
      <c r="E279" s="40" t="s">
        <v>220</v>
      </c>
      <c r="F279" s="40" t="s">
        <v>221</v>
      </c>
      <c r="G279" s="40" t="s">
        <v>15</v>
      </c>
      <c r="H279" s="40" t="s">
        <v>53</v>
      </c>
      <c r="I279" s="40" t="s">
        <v>74</v>
      </c>
      <c r="J279" s="41" cm="1">
        <f t="array" ref="J279">IF(C279=20,INDEX(CUOC!$C$28:$C$37,MATCH(N279,CUOC!$A$28:$A$37,0),0),INDEX(CUOC!$D$28:$D$37,MATCH(N279,CUOC!$A$28:$A$37,0),0))</f>
        <v>386100</v>
      </c>
      <c r="K279" s="41">
        <f t="shared" si="14"/>
        <v>30888</v>
      </c>
      <c r="L279" s="41">
        <f t="shared" si="15"/>
        <v>416988</v>
      </c>
      <c r="M279" s="37">
        <v>46118</v>
      </c>
      <c r="N279" s="42">
        <v>5</v>
      </c>
      <c r="O279" s="64">
        <v>34832</v>
      </c>
      <c r="P279" s="43" t="str">
        <f t="shared" si="16"/>
        <v>Cước vận chuyển cont Hàng 20 tuyến đường HẢI AN - NHĐV. Số xe: 15H07788</v>
      </c>
      <c r="Q279" s="3">
        <v>1</v>
      </c>
    </row>
    <row r="280" spans="1:17" ht="15" customHeight="1">
      <c r="A280" s="39">
        <v>267</v>
      </c>
      <c r="B280" s="40" t="s">
        <v>380</v>
      </c>
      <c r="C280" s="40">
        <v>20</v>
      </c>
      <c r="D280" s="40" t="s">
        <v>100</v>
      </c>
      <c r="E280" s="40" t="s">
        <v>220</v>
      </c>
      <c r="F280" s="40" t="s">
        <v>221</v>
      </c>
      <c r="G280" s="40" t="s">
        <v>15</v>
      </c>
      <c r="H280" s="40" t="s">
        <v>53</v>
      </c>
      <c r="I280" s="40" t="s">
        <v>74</v>
      </c>
      <c r="J280" s="41" cm="1">
        <f t="array" ref="J280">IF(C280=20,INDEX(CUOC!$C$28:$C$37,MATCH(N280,CUOC!$A$28:$A$37,0),0),INDEX(CUOC!$D$28:$D$37,MATCH(N280,CUOC!$A$28:$A$37,0),0))</f>
        <v>386100</v>
      </c>
      <c r="K280" s="41">
        <f t="shared" si="14"/>
        <v>30888</v>
      </c>
      <c r="L280" s="41">
        <f t="shared" si="15"/>
        <v>416988</v>
      </c>
      <c r="M280" s="37">
        <v>46118</v>
      </c>
      <c r="N280" s="42">
        <v>5</v>
      </c>
      <c r="O280" s="64">
        <v>34832</v>
      </c>
      <c r="P280" s="43" t="str">
        <f t="shared" si="16"/>
        <v>Cước vận chuyển cont Hàng 20 tuyến đường HẢI AN - NHĐV. Số xe: 15H07788</v>
      </c>
      <c r="Q280" s="3">
        <v>1</v>
      </c>
    </row>
    <row r="281" spans="1:17" ht="15" customHeight="1">
      <c r="A281" s="39">
        <v>268</v>
      </c>
      <c r="B281" s="40" t="s">
        <v>381</v>
      </c>
      <c r="C281" s="40">
        <v>20</v>
      </c>
      <c r="D281" s="40" t="s">
        <v>100</v>
      </c>
      <c r="E281" s="40" t="s">
        <v>220</v>
      </c>
      <c r="F281" s="40" t="s">
        <v>221</v>
      </c>
      <c r="G281" s="40" t="s">
        <v>15</v>
      </c>
      <c r="H281" s="40" t="s">
        <v>53</v>
      </c>
      <c r="I281" s="40" t="s">
        <v>74</v>
      </c>
      <c r="J281" s="41" cm="1">
        <f t="array" ref="J281">IF(C281=20,INDEX(CUOC!$C$28:$C$37,MATCH(N281,CUOC!$A$28:$A$37,0),0),INDEX(CUOC!$D$28:$D$37,MATCH(N281,CUOC!$A$28:$A$37,0),0))</f>
        <v>386100</v>
      </c>
      <c r="K281" s="41">
        <f t="shared" si="14"/>
        <v>30888</v>
      </c>
      <c r="L281" s="41">
        <f t="shared" si="15"/>
        <v>416988</v>
      </c>
      <c r="M281" s="37">
        <v>46118</v>
      </c>
      <c r="N281" s="42">
        <v>5</v>
      </c>
      <c r="O281" s="64">
        <v>34832</v>
      </c>
      <c r="P281" s="43" t="str">
        <f t="shared" si="16"/>
        <v>Cước vận chuyển cont Hàng 20 tuyến đường HẢI AN - NHĐV. Số xe: 15H07788</v>
      </c>
      <c r="Q281" s="3">
        <v>1</v>
      </c>
    </row>
    <row r="282" spans="1:17" ht="15" customHeight="1">
      <c r="A282" s="39">
        <v>269</v>
      </c>
      <c r="B282" s="40" t="s">
        <v>382</v>
      </c>
      <c r="C282" s="40">
        <v>40</v>
      </c>
      <c r="D282" s="40" t="s">
        <v>100</v>
      </c>
      <c r="E282" s="40" t="s">
        <v>220</v>
      </c>
      <c r="F282" s="40" t="s">
        <v>489</v>
      </c>
      <c r="G282" s="40" t="s">
        <v>53</v>
      </c>
      <c r="H282" s="40" t="s">
        <v>15</v>
      </c>
      <c r="I282" s="40" t="s">
        <v>98</v>
      </c>
      <c r="J282" s="41" cm="1">
        <f t="array" ref="J282">IF(C282=20,INDEX(CUOC!$C$28:$C$37,MATCH(N282,CUOC!$A$28:$A$37,0),0),INDEX(CUOC!$D$28:$D$37,MATCH(N282,CUOC!$A$28:$A$37,0),0))</f>
        <v>448500</v>
      </c>
      <c r="K282" s="41">
        <f t="shared" si="14"/>
        <v>35880</v>
      </c>
      <c r="L282" s="41">
        <f t="shared" si="15"/>
        <v>484380</v>
      </c>
      <c r="M282" s="37">
        <v>46120</v>
      </c>
      <c r="N282" s="42">
        <v>5</v>
      </c>
      <c r="O282" s="64">
        <v>34832</v>
      </c>
      <c r="P282" s="43" t="str">
        <f t="shared" si="16"/>
        <v>Cước vận chuyển cont Hàng 40 tuyến đường NHĐV - HẢI AN. Số xe: 15C17301</v>
      </c>
      <c r="Q282" s="3">
        <v>1</v>
      </c>
    </row>
    <row r="283" spans="1:17" ht="15" customHeight="1">
      <c r="A283" s="39">
        <v>270</v>
      </c>
      <c r="B283" s="40" t="s">
        <v>383</v>
      </c>
      <c r="C283" s="40">
        <v>40</v>
      </c>
      <c r="D283" s="40" t="s">
        <v>100</v>
      </c>
      <c r="E283" s="40" t="s">
        <v>220</v>
      </c>
      <c r="F283" s="40" t="s">
        <v>489</v>
      </c>
      <c r="G283" s="40" t="s">
        <v>53</v>
      </c>
      <c r="H283" s="40" t="s">
        <v>15</v>
      </c>
      <c r="I283" s="40" t="s">
        <v>70</v>
      </c>
      <c r="J283" s="41" cm="1">
        <f t="array" ref="J283">IF(C283=20,INDEX(CUOC!$C$28:$C$37,MATCH(N283,CUOC!$A$28:$A$37,0),0),INDEX(CUOC!$D$28:$D$37,MATCH(N283,CUOC!$A$28:$A$37,0),0))</f>
        <v>448500</v>
      </c>
      <c r="K283" s="41">
        <f t="shared" si="14"/>
        <v>35880</v>
      </c>
      <c r="L283" s="41">
        <f t="shared" si="15"/>
        <v>484380</v>
      </c>
      <c r="M283" s="37">
        <v>46120</v>
      </c>
      <c r="N283" s="42">
        <v>5</v>
      </c>
      <c r="O283" s="64">
        <v>34832</v>
      </c>
      <c r="P283" s="43" t="str">
        <f t="shared" si="16"/>
        <v>Cước vận chuyển cont Hàng 40 tuyến đường NHĐV - HẢI AN. Số xe: 15H07524</v>
      </c>
      <c r="Q283" s="3">
        <v>1</v>
      </c>
    </row>
    <row r="284" spans="1:17" ht="15" customHeight="1">
      <c r="A284" s="39">
        <v>271</v>
      </c>
      <c r="B284" s="40" t="s">
        <v>384</v>
      </c>
      <c r="C284" s="40">
        <v>20</v>
      </c>
      <c r="D284" s="40" t="s">
        <v>100</v>
      </c>
      <c r="E284" s="40" t="s">
        <v>95</v>
      </c>
      <c r="F284" s="40" t="s">
        <v>386</v>
      </c>
      <c r="G284" s="40" t="s">
        <v>15</v>
      </c>
      <c r="H284" s="40" t="s">
        <v>53</v>
      </c>
      <c r="I284" s="40" t="s">
        <v>70</v>
      </c>
      <c r="J284" s="41" cm="1">
        <f t="array" ref="J284">IF(C284=20,INDEX(CUOC!$C$28:$C$37,MATCH(N284,CUOC!$A$28:$A$37,0),0),INDEX(CUOC!$D$28:$D$37,MATCH(N284,CUOC!$A$28:$A$37,0),0))</f>
        <v>386100</v>
      </c>
      <c r="K284" s="41">
        <f t="shared" si="14"/>
        <v>30888</v>
      </c>
      <c r="L284" s="41">
        <f t="shared" si="15"/>
        <v>416988</v>
      </c>
      <c r="M284" s="37">
        <v>46120</v>
      </c>
      <c r="N284" s="42">
        <v>5</v>
      </c>
      <c r="O284" s="64">
        <v>34832</v>
      </c>
      <c r="P284" s="43" t="str">
        <f t="shared" si="16"/>
        <v>Cước vận chuyển cont Hàng 20 tuyến đường HẢI AN - NHĐV. Số xe: 15H07524</v>
      </c>
      <c r="Q284" s="3">
        <v>1</v>
      </c>
    </row>
    <row r="285" spans="1:17" ht="15" customHeight="1">
      <c r="A285" s="39">
        <v>272</v>
      </c>
      <c r="B285" s="40" t="s">
        <v>385</v>
      </c>
      <c r="C285" s="40">
        <v>20</v>
      </c>
      <c r="D285" s="40" t="s">
        <v>100</v>
      </c>
      <c r="E285" s="40" t="s">
        <v>95</v>
      </c>
      <c r="F285" s="40" t="s">
        <v>386</v>
      </c>
      <c r="G285" s="40" t="s">
        <v>15</v>
      </c>
      <c r="H285" s="40" t="s">
        <v>53</v>
      </c>
      <c r="I285" s="40" t="s">
        <v>70</v>
      </c>
      <c r="J285" s="41" cm="1">
        <f t="array" ref="J285">IF(C285=20,INDEX(CUOC!$C$28:$C$37,MATCH(N285,CUOC!$A$28:$A$37,0),0),INDEX(CUOC!$D$28:$D$37,MATCH(N285,CUOC!$A$28:$A$37,0),0))</f>
        <v>386100</v>
      </c>
      <c r="K285" s="41">
        <f t="shared" si="14"/>
        <v>30888</v>
      </c>
      <c r="L285" s="41">
        <f t="shared" si="15"/>
        <v>416988</v>
      </c>
      <c r="M285" s="37">
        <v>46120</v>
      </c>
      <c r="N285" s="42">
        <v>5</v>
      </c>
      <c r="O285" s="64">
        <v>34832</v>
      </c>
      <c r="P285" s="43" t="str">
        <f t="shared" si="16"/>
        <v>Cước vận chuyển cont Hàng 20 tuyến đường HẢI AN - NHĐV. Số xe: 15H07524</v>
      </c>
      <c r="Q285" s="3">
        <v>1</v>
      </c>
    </row>
    <row r="286" spans="1:17" ht="15" customHeight="1">
      <c r="A286" s="39">
        <v>273</v>
      </c>
      <c r="B286" s="40" t="s">
        <v>387</v>
      </c>
      <c r="C286" s="40">
        <v>20</v>
      </c>
      <c r="D286" s="40" t="s">
        <v>100</v>
      </c>
      <c r="E286" s="40" t="s">
        <v>95</v>
      </c>
      <c r="F286" s="40" t="s">
        <v>386</v>
      </c>
      <c r="G286" s="40" t="s">
        <v>15</v>
      </c>
      <c r="H286" s="40" t="s">
        <v>53</v>
      </c>
      <c r="I286" s="40" t="s">
        <v>70</v>
      </c>
      <c r="J286" s="41" cm="1">
        <f t="array" ref="J286">IF(C286=20,INDEX(CUOC!$C$28:$C$37,MATCH(N286,CUOC!$A$28:$A$37,0),0),INDEX(CUOC!$D$28:$D$37,MATCH(N286,CUOC!$A$28:$A$37,0),0))</f>
        <v>386100</v>
      </c>
      <c r="K286" s="41">
        <f t="shared" si="14"/>
        <v>30888</v>
      </c>
      <c r="L286" s="41">
        <f t="shared" si="15"/>
        <v>416988</v>
      </c>
      <c r="M286" s="37">
        <v>46120</v>
      </c>
      <c r="N286" s="42">
        <v>5</v>
      </c>
      <c r="O286" s="64">
        <v>34832</v>
      </c>
      <c r="P286" s="43" t="str">
        <f t="shared" si="16"/>
        <v>Cước vận chuyển cont Hàng 20 tuyến đường HẢI AN - NHĐV. Số xe: 15H07524</v>
      </c>
      <c r="Q286" s="3">
        <v>1</v>
      </c>
    </row>
    <row r="287" spans="1:17" ht="15" customHeight="1">
      <c r="A287" s="39">
        <v>274</v>
      </c>
      <c r="B287" s="40" t="s">
        <v>388</v>
      </c>
      <c r="C287" s="40">
        <v>20</v>
      </c>
      <c r="D287" s="40" t="s">
        <v>100</v>
      </c>
      <c r="E287" s="40" t="s">
        <v>95</v>
      </c>
      <c r="F287" s="40" t="s">
        <v>386</v>
      </c>
      <c r="G287" s="40" t="s">
        <v>15</v>
      </c>
      <c r="H287" s="40" t="s">
        <v>53</v>
      </c>
      <c r="I287" s="40" t="s">
        <v>70</v>
      </c>
      <c r="J287" s="41" cm="1">
        <f t="array" ref="J287">IF(C287=20,INDEX(CUOC!$C$28:$C$37,MATCH(N287,CUOC!$A$28:$A$37,0),0),INDEX(CUOC!$D$28:$D$37,MATCH(N287,CUOC!$A$28:$A$37,0),0))</f>
        <v>386100</v>
      </c>
      <c r="K287" s="41">
        <f t="shared" si="14"/>
        <v>30888</v>
      </c>
      <c r="L287" s="41">
        <f t="shared" si="15"/>
        <v>416988</v>
      </c>
      <c r="M287" s="37">
        <v>46120</v>
      </c>
      <c r="N287" s="42">
        <v>5</v>
      </c>
      <c r="O287" s="64">
        <v>34832</v>
      </c>
      <c r="P287" s="43" t="str">
        <f t="shared" si="16"/>
        <v>Cước vận chuyển cont Hàng 20 tuyến đường HẢI AN - NHĐV. Số xe: 15H07524</v>
      </c>
      <c r="Q287" s="3">
        <v>1</v>
      </c>
    </row>
    <row r="288" spans="1:17" ht="15" customHeight="1">
      <c r="A288" s="39">
        <v>275</v>
      </c>
      <c r="B288" s="40" t="s">
        <v>389</v>
      </c>
      <c r="C288" s="40">
        <v>20</v>
      </c>
      <c r="D288" s="40" t="s">
        <v>100</v>
      </c>
      <c r="E288" s="40" t="s">
        <v>95</v>
      </c>
      <c r="F288" s="40" t="s">
        <v>386</v>
      </c>
      <c r="G288" s="40" t="s">
        <v>15</v>
      </c>
      <c r="H288" s="40" t="s">
        <v>53</v>
      </c>
      <c r="I288" s="40" t="s">
        <v>98</v>
      </c>
      <c r="J288" s="41" cm="1">
        <f t="array" ref="J288">IF(C288=20,INDEX(CUOC!$C$28:$C$37,MATCH(N288,CUOC!$A$28:$A$37,0),0),INDEX(CUOC!$D$28:$D$37,MATCH(N288,CUOC!$A$28:$A$37,0),0))</f>
        <v>386100</v>
      </c>
      <c r="K288" s="41">
        <f t="shared" si="14"/>
        <v>30888</v>
      </c>
      <c r="L288" s="41">
        <f t="shared" si="15"/>
        <v>416988</v>
      </c>
      <c r="M288" s="37">
        <v>46120</v>
      </c>
      <c r="N288" s="42">
        <v>5</v>
      </c>
      <c r="O288" s="64">
        <v>34832</v>
      </c>
      <c r="P288" s="43" t="str">
        <f t="shared" si="16"/>
        <v>Cước vận chuyển cont Hàng 20 tuyến đường HẢI AN - NHĐV. Số xe: 15C17301</v>
      </c>
      <c r="Q288" s="3">
        <v>1</v>
      </c>
    </row>
    <row r="289" spans="1:17" ht="15" customHeight="1">
      <c r="A289" s="39">
        <v>276</v>
      </c>
      <c r="B289" s="40" t="s">
        <v>390</v>
      </c>
      <c r="C289" s="40">
        <v>20</v>
      </c>
      <c r="D289" s="40" t="s">
        <v>100</v>
      </c>
      <c r="E289" s="40" t="s">
        <v>95</v>
      </c>
      <c r="F289" s="40" t="s">
        <v>386</v>
      </c>
      <c r="G289" s="40" t="s">
        <v>15</v>
      </c>
      <c r="H289" s="40" t="s">
        <v>53</v>
      </c>
      <c r="I289" s="40" t="s">
        <v>98</v>
      </c>
      <c r="J289" s="41" cm="1">
        <f t="array" ref="J289">IF(C289=20,INDEX(CUOC!$C$28:$C$37,MATCH(N289,CUOC!$A$28:$A$37,0),0),INDEX(CUOC!$D$28:$D$37,MATCH(N289,CUOC!$A$28:$A$37,0),0))</f>
        <v>386100</v>
      </c>
      <c r="K289" s="41">
        <f t="shared" si="14"/>
        <v>30888</v>
      </c>
      <c r="L289" s="41">
        <f t="shared" si="15"/>
        <v>416988</v>
      </c>
      <c r="M289" s="37">
        <v>46120</v>
      </c>
      <c r="N289" s="42">
        <v>5</v>
      </c>
      <c r="O289" s="64">
        <v>34832</v>
      </c>
      <c r="P289" s="43" t="str">
        <f t="shared" si="16"/>
        <v>Cước vận chuyển cont Hàng 20 tuyến đường HẢI AN - NHĐV. Số xe: 15C17301</v>
      </c>
      <c r="Q289" s="3">
        <v>1</v>
      </c>
    </row>
    <row r="290" spans="1:17" ht="15" customHeight="1">
      <c r="A290" s="39">
        <v>277</v>
      </c>
      <c r="B290" s="40" t="s">
        <v>391</v>
      </c>
      <c r="C290" s="40">
        <v>40</v>
      </c>
      <c r="D290" s="40" t="s">
        <v>100</v>
      </c>
      <c r="E290" s="40" t="s">
        <v>220</v>
      </c>
      <c r="F290" s="40" t="s">
        <v>489</v>
      </c>
      <c r="G290" s="40" t="s">
        <v>53</v>
      </c>
      <c r="H290" s="40" t="s">
        <v>15</v>
      </c>
      <c r="I290" s="40" t="s">
        <v>67</v>
      </c>
      <c r="J290" s="41" cm="1">
        <f t="array" ref="J290">IF(C290=20,INDEX(CUOC!$C$28:$C$37,MATCH(N290,CUOC!$A$28:$A$37,0),0),INDEX(CUOC!$D$28:$D$37,MATCH(N290,CUOC!$A$28:$A$37,0),0))</f>
        <v>448500</v>
      </c>
      <c r="K290" s="41">
        <f t="shared" si="14"/>
        <v>35880</v>
      </c>
      <c r="L290" s="41">
        <f t="shared" si="15"/>
        <v>484380</v>
      </c>
      <c r="M290" s="37">
        <v>46120</v>
      </c>
      <c r="N290" s="42">
        <v>5</v>
      </c>
      <c r="O290" s="64">
        <v>34832</v>
      </c>
      <c r="P290" s="43" t="str">
        <f t="shared" si="16"/>
        <v>Cước vận chuyển cont Hàng 40 tuyến đường NHĐV - HẢI AN. Số xe: 15H08574</v>
      </c>
      <c r="Q290" s="3">
        <v>1</v>
      </c>
    </row>
    <row r="291" spans="1:17" ht="15" customHeight="1">
      <c r="A291" s="39">
        <v>278</v>
      </c>
      <c r="B291" s="40" t="s">
        <v>392</v>
      </c>
      <c r="C291" s="40">
        <v>40</v>
      </c>
      <c r="D291" s="40" t="s">
        <v>100</v>
      </c>
      <c r="E291" s="40" t="s">
        <v>220</v>
      </c>
      <c r="F291" s="40" t="s">
        <v>489</v>
      </c>
      <c r="G291" s="40" t="s">
        <v>53</v>
      </c>
      <c r="H291" s="40" t="s">
        <v>15</v>
      </c>
      <c r="I291" s="40" t="s">
        <v>67</v>
      </c>
      <c r="J291" s="41" cm="1">
        <f t="array" ref="J291">IF(C291=20,INDEX(CUOC!$C$28:$C$37,MATCH(N291,CUOC!$A$28:$A$37,0),0),INDEX(CUOC!$D$28:$D$37,MATCH(N291,CUOC!$A$28:$A$37,0),0))</f>
        <v>448500</v>
      </c>
      <c r="K291" s="41">
        <f t="shared" si="14"/>
        <v>35880</v>
      </c>
      <c r="L291" s="41">
        <f t="shared" si="15"/>
        <v>484380</v>
      </c>
      <c r="M291" s="37">
        <v>46120</v>
      </c>
      <c r="N291" s="42">
        <v>5</v>
      </c>
      <c r="O291" s="64">
        <v>34832</v>
      </c>
      <c r="P291" s="43" t="str">
        <f t="shared" si="16"/>
        <v>Cước vận chuyển cont Hàng 40 tuyến đường NHĐV - HẢI AN. Số xe: 15H08574</v>
      </c>
      <c r="Q291" s="3">
        <v>1</v>
      </c>
    </row>
    <row r="292" spans="1:17" ht="15" customHeight="1">
      <c r="A292" s="39">
        <v>279</v>
      </c>
      <c r="B292" s="40" t="s">
        <v>393</v>
      </c>
      <c r="C292" s="40">
        <v>40</v>
      </c>
      <c r="D292" s="40" t="s">
        <v>100</v>
      </c>
      <c r="E292" s="40" t="s">
        <v>220</v>
      </c>
      <c r="F292" s="40" t="s">
        <v>489</v>
      </c>
      <c r="G292" s="40" t="s">
        <v>53</v>
      </c>
      <c r="H292" s="40" t="s">
        <v>15</v>
      </c>
      <c r="I292" s="40" t="s">
        <v>67</v>
      </c>
      <c r="J292" s="41" cm="1">
        <f t="array" ref="J292">IF(C292=20,INDEX(CUOC!$C$28:$C$37,MATCH(N292,CUOC!$A$28:$A$37,0),0),INDEX(CUOC!$D$28:$D$37,MATCH(N292,CUOC!$A$28:$A$37,0),0))</f>
        <v>448500</v>
      </c>
      <c r="K292" s="41">
        <f t="shared" si="14"/>
        <v>35880</v>
      </c>
      <c r="L292" s="41">
        <f t="shared" si="15"/>
        <v>484380</v>
      </c>
      <c r="M292" s="37">
        <v>46120</v>
      </c>
      <c r="N292" s="42">
        <v>5</v>
      </c>
      <c r="O292" s="64">
        <v>34832</v>
      </c>
      <c r="P292" s="43" t="str">
        <f t="shared" si="16"/>
        <v>Cước vận chuyển cont Hàng 40 tuyến đường NHĐV - HẢI AN. Số xe: 15H08574</v>
      </c>
      <c r="Q292" s="3">
        <v>1</v>
      </c>
    </row>
    <row r="293" spans="1:17" ht="15" customHeight="1">
      <c r="A293" s="39">
        <v>280</v>
      </c>
      <c r="B293" s="40" t="s">
        <v>394</v>
      </c>
      <c r="C293" s="40">
        <v>40</v>
      </c>
      <c r="D293" s="40" t="s">
        <v>100</v>
      </c>
      <c r="E293" s="40" t="s">
        <v>220</v>
      </c>
      <c r="F293" s="40" t="s">
        <v>489</v>
      </c>
      <c r="G293" s="40" t="s">
        <v>53</v>
      </c>
      <c r="H293" s="40" t="s">
        <v>15</v>
      </c>
      <c r="I293" s="40" t="s">
        <v>67</v>
      </c>
      <c r="J293" s="41" cm="1">
        <f t="array" ref="J293">IF(C293=20,INDEX(CUOC!$C$28:$C$37,MATCH(N293,CUOC!$A$28:$A$37,0),0),INDEX(CUOC!$D$28:$D$37,MATCH(N293,CUOC!$A$28:$A$37,0),0))</f>
        <v>448500</v>
      </c>
      <c r="K293" s="41">
        <f t="shared" si="14"/>
        <v>35880</v>
      </c>
      <c r="L293" s="41">
        <f t="shared" si="15"/>
        <v>484380</v>
      </c>
      <c r="M293" s="37">
        <v>46120</v>
      </c>
      <c r="N293" s="42">
        <v>5</v>
      </c>
      <c r="O293" s="64">
        <v>34832</v>
      </c>
      <c r="P293" s="43" t="str">
        <f t="shared" si="16"/>
        <v>Cước vận chuyển cont Hàng 40 tuyến đường NHĐV - HẢI AN. Số xe: 15H08574</v>
      </c>
      <c r="Q293" s="3">
        <v>1</v>
      </c>
    </row>
    <row r="294" spans="1:17" ht="15" customHeight="1">
      <c r="A294" s="39">
        <v>281</v>
      </c>
      <c r="B294" s="40" t="s">
        <v>395</v>
      </c>
      <c r="C294" s="40">
        <v>20</v>
      </c>
      <c r="D294" s="40" t="s">
        <v>100</v>
      </c>
      <c r="E294" s="40" t="s">
        <v>95</v>
      </c>
      <c r="F294" s="40" t="s">
        <v>386</v>
      </c>
      <c r="G294" s="40" t="s">
        <v>15</v>
      </c>
      <c r="H294" s="40" t="s">
        <v>53</v>
      </c>
      <c r="I294" s="40" t="s">
        <v>67</v>
      </c>
      <c r="J294" s="41" cm="1">
        <f t="array" ref="J294">IF(C294=20,INDEX(CUOC!$C$28:$C$37,MATCH(N294,CUOC!$A$28:$A$37,0),0),INDEX(CUOC!$D$28:$D$37,MATCH(N294,CUOC!$A$28:$A$37,0),0))</f>
        <v>386100</v>
      </c>
      <c r="K294" s="41">
        <f t="shared" si="14"/>
        <v>30888</v>
      </c>
      <c r="L294" s="41">
        <f t="shared" si="15"/>
        <v>416988</v>
      </c>
      <c r="M294" s="37">
        <v>46120</v>
      </c>
      <c r="N294" s="42">
        <v>5</v>
      </c>
      <c r="O294" s="64">
        <v>34832</v>
      </c>
      <c r="P294" s="43" t="str">
        <f t="shared" si="16"/>
        <v>Cước vận chuyển cont Hàng 20 tuyến đường HẢI AN - NHĐV. Số xe: 15H08574</v>
      </c>
      <c r="Q294" s="3">
        <v>1</v>
      </c>
    </row>
    <row r="295" spans="1:17" ht="15" customHeight="1">
      <c r="A295" s="39">
        <v>282</v>
      </c>
      <c r="B295" s="40" t="s">
        <v>396</v>
      </c>
      <c r="C295" s="40">
        <v>20</v>
      </c>
      <c r="D295" s="40" t="s">
        <v>100</v>
      </c>
      <c r="E295" s="40" t="s">
        <v>95</v>
      </c>
      <c r="F295" s="40" t="s">
        <v>386</v>
      </c>
      <c r="G295" s="40" t="s">
        <v>15</v>
      </c>
      <c r="H295" s="40" t="s">
        <v>53</v>
      </c>
      <c r="I295" s="40" t="s">
        <v>67</v>
      </c>
      <c r="J295" s="41" cm="1">
        <f t="array" ref="J295">IF(C295=20,INDEX(CUOC!$C$28:$C$37,MATCH(N295,CUOC!$A$28:$A$37,0),0),INDEX(CUOC!$D$28:$D$37,MATCH(N295,CUOC!$A$28:$A$37,0),0))</f>
        <v>386100</v>
      </c>
      <c r="K295" s="41">
        <f t="shared" si="14"/>
        <v>30888</v>
      </c>
      <c r="L295" s="41">
        <f t="shared" si="15"/>
        <v>416988</v>
      </c>
      <c r="M295" s="37">
        <v>46120</v>
      </c>
      <c r="N295" s="42">
        <v>5</v>
      </c>
      <c r="O295" s="64">
        <v>34832</v>
      </c>
      <c r="P295" s="43" t="str">
        <f t="shared" si="16"/>
        <v>Cước vận chuyển cont Hàng 20 tuyến đường HẢI AN - NHĐV. Số xe: 15H08574</v>
      </c>
      <c r="Q295" s="3">
        <v>1</v>
      </c>
    </row>
    <row r="296" spans="1:17" ht="15" customHeight="1">
      <c r="A296" s="39">
        <v>283</v>
      </c>
      <c r="B296" s="40" t="s">
        <v>397</v>
      </c>
      <c r="C296" s="40">
        <v>20</v>
      </c>
      <c r="D296" s="40" t="s">
        <v>100</v>
      </c>
      <c r="E296" s="40" t="s">
        <v>95</v>
      </c>
      <c r="F296" s="40" t="s">
        <v>386</v>
      </c>
      <c r="G296" s="40" t="s">
        <v>15</v>
      </c>
      <c r="H296" s="40" t="s">
        <v>53</v>
      </c>
      <c r="I296" s="40" t="s">
        <v>67</v>
      </c>
      <c r="J296" s="41" cm="1">
        <f t="array" ref="J296">IF(C296=20,INDEX(CUOC!$C$28:$C$37,MATCH(N296,CUOC!$A$28:$A$37,0),0),INDEX(CUOC!$D$28:$D$37,MATCH(N296,CUOC!$A$28:$A$37,0),0))</f>
        <v>386100</v>
      </c>
      <c r="K296" s="41">
        <f t="shared" si="14"/>
        <v>30888</v>
      </c>
      <c r="L296" s="41">
        <f t="shared" si="15"/>
        <v>416988</v>
      </c>
      <c r="M296" s="37">
        <v>46120</v>
      </c>
      <c r="N296" s="42">
        <v>5</v>
      </c>
      <c r="O296" s="64">
        <v>34832</v>
      </c>
      <c r="P296" s="43" t="str">
        <f t="shared" si="16"/>
        <v>Cước vận chuyển cont Hàng 20 tuyến đường HẢI AN - NHĐV. Số xe: 15H08574</v>
      </c>
      <c r="Q296" s="3">
        <v>1</v>
      </c>
    </row>
    <row r="297" spans="1:17" ht="15" customHeight="1">
      <c r="A297" s="39">
        <v>284</v>
      </c>
      <c r="B297" s="40" t="s">
        <v>398</v>
      </c>
      <c r="C297" s="40">
        <v>20</v>
      </c>
      <c r="D297" s="40" t="s">
        <v>100</v>
      </c>
      <c r="E297" s="40" t="s">
        <v>95</v>
      </c>
      <c r="F297" s="40" t="s">
        <v>386</v>
      </c>
      <c r="G297" s="40" t="s">
        <v>15</v>
      </c>
      <c r="H297" s="40" t="s">
        <v>53</v>
      </c>
      <c r="I297" s="40" t="s">
        <v>67</v>
      </c>
      <c r="J297" s="41" cm="1">
        <f t="array" ref="J297">IF(C297=20,INDEX(CUOC!$C$28:$C$37,MATCH(N297,CUOC!$A$28:$A$37,0),0),INDEX(CUOC!$D$28:$D$37,MATCH(N297,CUOC!$A$28:$A$37,0),0))</f>
        <v>386100</v>
      </c>
      <c r="K297" s="41">
        <f t="shared" si="14"/>
        <v>30888</v>
      </c>
      <c r="L297" s="41">
        <f t="shared" si="15"/>
        <v>416988</v>
      </c>
      <c r="M297" s="37">
        <v>46120</v>
      </c>
      <c r="N297" s="42">
        <v>5</v>
      </c>
      <c r="O297" s="64">
        <v>34832</v>
      </c>
      <c r="P297" s="43" t="str">
        <f t="shared" si="16"/>
        <v>Cước vận chuyển cont Hàng 20 tuyến đường HẢI AN - NHĐV. Số xe: 15H08574</v>
      </c>
      <c r="Q297" s="3">
        <v>1</v>
      </c>
    </row>
    <row r="298" spans="1:17" ht="15" customHeight="1">
      <c r="A298" s="39">
        <v>285</v>
      </c>
      <c r="B298" s="40" t="s">
        <v>399</v>
      </c>
      <c r="C298" s="40">
        <v>20</v>
      </c>
      <c r="D298" s="40" t="s">
        <v>100</v>
      </c>
      <c r="E298" s="40" t="s">
        <v>95</v>
      </c>
      <c r="F298" s="40" t="s">
        <v>386</v>
      </c>
      <c r="G298" s="40" t="s">
        <v>15</v>
      </c>
      <c r="H298" s="40" t="s">
        <v>53</v>
      </c>
      <c r="I298" s="40" t="s">
        <v>67</v>
      </c>
      <c r="J298" s="41" cm="1">
        <f t="array" ref="J298">IF(C298=20,INDEX(CUOC!$C$28:$C$37,MATCH(N298,CUOC!$A$28:$A$37,0),0),INDEX(CUOC!$D$28:$D$37,MATCH(N298,CUOC!$A$28:$A$37,0),0))</f>
        <v>386100</v>
      </c>
      <c r="K298" s="41">
        <f t="shared" si="14"/>
        <v>30888</v>
      </c>
      <c r="L298" s="41">
        <f t="shared" si="15"/>
        <v>416988</v>
      </c>
      <c r="M298" s="37">
        <v>46120</v>
      </c>
      <c r="N298" s="42">
        <v>5</v>
      </c>
      <c r="O298" s="64">
        <v>34832</v>
      </c>
      <c r="P298" s="43" t="str">
        <f t="shared" si="16"/>
        <v>Cước vận chuyển cont Hàng 20 tuyến đường HẢI AN - NHĐV. Số xe: 15H08574</v>
      </c>
      <c r="Q298" s="3">
        <v>1</v>
      </c>
    </row>
    <row r="299" spans="1:17" ht="15" customHeight="1">
      <c r="A299" s="39">
        <v>286</v>
      </c>
      <c r="B299" s="40" t="s">
        <v>93</v>
      </c>
      <c r="C299" s="40">
        <v>20</v>
      </c>
      <c r="D299" s="40" t="s">
        <v>100</v>
      </c>
      <c r="E299" s="40" t="s">
        <v>95</v>
      </c>
      <c r="F299" s="40" t="s">
        <v>386</v>
      </c>
      <c r="G299" s="40" t="s">
        <v>15</v>
      </c>
      <c r="H299" s="40" t="s">
        <v>53</v>
      </c>
      <c r="I299" s="40" t="s">
        <v>67</v>
      </c>
      <c r="J299" s="41" cm="1">
        <f t="array" ref="J299">IF(C299=20,INDEX(CUOC!$C$28:$C$37,MATCH(N299,CUOC!$A$28:$A$37,0),0),INDEX(CUOC!$D$28:$D$37,MATCH(N299,CUOC!$A$28:$A$37,0),0))</f>
        <v>386100</v>
      </c>
      <c r="K299" s="41">
        <f t="shared" si="14"/>
        <v>30888</v>
      </c>
      <c r="L299" s="41">
        <f t="shared" si="15"/>
        <v>416988</v>
      </c>
      <c r="M299" s="37">
        <v>46120</v>
      </c>
      <c r="N299" s="42">
        <v>5</v>
      </c>
      <c r="O299" s="64">
        <v>34832</v>
      </c>
      <c r="P299" s="43" t="str">
        <f t="shared" si="16"/>
        <v>Cước vận chuyển cont Hàng 20 tuyến đường HẢI AN - NHĐV. Số xe: 15H08574</v>
      </c>
      <c r="Q299" s="3">
        <v>1</v>
      </c>
    </row>
    <row r="300" spans="1:17" ht="15" customHeight="1">
      <c r="A300" s="39">
        <v>287</v>
      </c>
      <c r="B300" s="40" t="s">
        <v>400</v>
      </c>
      <c r="C300" s="40">
        <v>20</v>
      </c>
      <c r="D300" s="40" t="s">
        <v>100</v>
      </c>
      <c r="E300" s="40" t="s">
        <v>95</v>
      </c>
      <c r="F300" s="40" t="s">
        <v>386</v>
      </c>
      <c r="G300" s="40" t="s">
        <v>15</v>
      </c>
      <c r="H300" s="40" t="s">
        <v>53</v>
      </c>
      <c r="I300" s="40" t="s">
        <v>67</v>
      </c>
      <c r="J300" s="41" cm="1">
        <f t="array" ref="J300">IF(C300=20,INDEX(CUOC!$C$28:$C$37,MATCH(N300,CUOC!$A$28:$A$37,0),0),INDEX(CUOC!$D$28:$D$37,MATCH(N300,CUOC!$A$28:$A$37,0),0))</f>
        <v>386100</v>
      </c>
      <c r="K300" s="41">
        <f t="shared" si="14"/>
        <v>30888</v>
      </c>
      <c r="L300" s="41">
        <f t="shared" si="15"/>
        <v>416988</v>
      </c>
      <c r="M300" s="37">
        <v>46120</v>
      </c>
      <c r="N300" s="42">
        <v>5</v>
      </c>
      <c r="O300" s="64">
        <v>34832</v>
      </c>
      <c r="P300" s="43" t="str">
        <f t="shared" si="16"/>
        <v>Cước vận chuyển cont Hàng 20 tuyến đường HẢI AN - NHĐV. Số xe: 15H08574</v>
      </c>
      <c r="Q300" s="3">
        <v>1</v>
      </c>
    </row>
    <row r="301" spans="1:17" ht="15" customHeight="1">
      <c r="A301" s="39">
        <v>288</v>
      </c>
      <c r="B301" s="40" t="s">
        <v>401</v>
      </c>
      <c r="C301" s="40">
        <v>20</v>
      </c>
      <c r="D301" s="40" t="s">
        <v>100</v>
      </c>
      <c r="E301" s="40" t="s">
        <v>95</v>
      </c>
      <c r="F301" s="40" t="s">
        <v>386</v>
      </c>
      <c r="G301" s="40" t="s">
        <v>15</v>
      </c>
      <c r="H301" s="40" t="s">
        <v>53</v>
      </c>
      <c r="I301" s="40" t="s">
        <v>67</v>
      </c>
      <c r="J301" s="41" cm="1">
        <f t="array" ref="J301">IF(C301=20,INDEX(CUOC!$C$28:$C$37,MATCH(N301,CUOC!$A$28:$A$37,0),0),INDEX(CUOC!$D$28:$D$37,MATCH(N301,CUOC!$A$28:$A$37,0),0))</f>
        <v>386100</v>
      </c>
      <c r="K301" s="41">
        <f t="shared" si="14"/>
        <v>30888</v>
      </c>
      <c r="L301" s="41">
        <f t="shared" si="15"/>
        <v>416988</v>
      </c>
      <c r="M301" s="37">
        <v>46120</v>
      </c>
      <c r="N301" s="42">
        <v>5</v>
      </c>
      <c r="O301" s="64">
        <v>34832</v>
      </c>
      <c r="P301" s="43" t="str">
        <f t="shared" si="16"/>
        <v>Cước vận chuyển cont Hàng 20 tuyến đường HẢI AN - NHĐV. Số xe: 15H08574</v>
      </c>
      <c r="Q301" s="3">
        <v>1</v>
      </c>
    </row>
    <row r="302" spans="1:17" ht="15" customHeight="1">
      <c r="A302" s="39">
        <v>289</v>
      </c>
      <c r="B302" s="40" t="s">
        <v>92</v>
      </c>
      <c r="C302" s="40">
        <v>20</v>
      </c>
      <c r="D302" s="40" t="s">
        <v>100</v>
      </c>
      <c r="E302" s="40" t="s">
        <v>95</v>
      </c>
      <c r="F302" s="40" t="s">
        <v>386</v>
      </c>
      <c r="G302" s="40" t="s">
        <v>15</v>
      </c>
      <c r="H302" s="40" t="s">
        <v>53</v>
      </c>
      <c r="I302" s="40" t="s">
        <v>73</v>
      </c>
      <c r="J302" s="41" cm="1">
        <f t="array" ref="J302">IF(C302=20,INDEX(CUOC!$C$28:$C$37,MATCH(N302,CUOC!$A$28:$A$37,0),0),INDEX(CUOC!$D$28:$D$37,MATCH(N302,CUOC!$A$28:$A$37,0),0))</f>
        <v>386100</v>
      </c>
      <c r="K302" s="41">
        <f t="shared" si="14"/>
        <v>30888</v>
      </c>
      <c r="L302" s="41">
        <f t="shared" si="15"/>
        <v>416988</v>
      </c>
      <c r="M302" s="37">
        <v>46120</v>
      </c>
      <c r="N302" s="42">
        <v>5</v>
      </c>
      <c r="O302" s="64">
        <v>34832</v>
      </c>
      <c r="P302" s="43" t="str">
        <f t="shared" si="16"/>
        <v>Cước vận chuyển cont Hàng 20 tuyến đường HẢI AN - NHĐV. Số xe: 15H07644</v>
      </c>
      <c r="Q302" s="3">
        <v>1</v>
      </c>
    </row>
    <row r="303" spans="1:17" ht="15" customHeight="1">
      <c r="A303" s="39">
        <v>290</v>
      </c>
      <c r="B303" s="40" t="s">
        <v>402</v>
      </c>
      <c r="C303" s="40">
        <v>20</v>
      </c>
      <c r="D303" s="40" t="s">
        <v>100</v>
      </c>
      <c r="E303" s="40" t="s">
        <v>95</v>
      </c>
      <c r="F303" s="40" t="s">
        <v>386</v>
      </c>
      <c r="G303" s="40" t="s">
        <v>15</v>
      </c>
      <c r="H303" s="40" t="s">
        <v>53</v>
      </c>
      <c r="I303" s="40" t="s">
        <v>73</v>
      </c>
      <c r="J303" s="41" cm="1">
        <f t="array" ref="J303">IF(C303=20,INDEX(CUOC!$C$28:$C$37,MATCH(N303,CUOC!$A$28:$A$37,0),0),INDEX(CUOC!$D$28:$D$37,MATCH(N303,CUOC!$A$28:$A$37,0),0))</f>
        <v>386100</v>
      </c>
      <c r="K303" s="41">
        <f t="shared" si="14"/>
        <v>30888</v>
      </c>
      <c r="L303" s="41">
        <f t="shared" si="15"/>
        <v>416988</v>
      </c>
      <c r="M303" s="37">
        <v>46120</v>
      </c>
      <c r="N303" s="42">
        <v>5</v>
      </c>
      <c r="O303" s="64">
        <v>34832</v>
      </c>
      <c r="P303" s="43" t="str">
        <f t="shared" si="16"/>
        <v>Cước vận chuyển cont Hàng 20 tuyến đường HẢI AN - NHĐV. Số xe: 15H07644</v>
      </c>
      <c r="Q303" s="3">
        <v>1</v>
      </c>
    </row>
    <row r="304" spans="1:17" ht="15" customHeight="1">
      <c r="A304" s="39">
        <v>291</v>
      </c>
      <c r="B304" s="40" t="s">
        <v>403</v>
      </c>
      <c r="C304" s="40">
        <v>20</v>
      </c>
      <c r="D304" s="40" t="s">
        <v>100</v>
      </c>
      <c r="E304" s="40" t="s">
        <v>95</v>
      </c>
      <c r="F304" s="40" t="s">
        <v>386</v>
      </c>
      <c r="G304" s="40" t="s">
        <v>15</v>
      </c>
      <c r="H304" s="40" t="s">
        <v>53</v>
      </c>
      <c r="I304" s="40" t="s">
        <v>73</v>
      </c>
      <c r="J304" s="41" cm="1">
        <f t="array" ref="J304">IF(C304=20,INDEX(CUOC!$C$28:$C$37,MATCH(N304,CUOC!$A$28:$A$37,0),0),INDEX(CUOC!$D$28:$D$37,MATCH(N304,CUOC!$A$28:$A$37,0),0))</f>
        <v>386100</v>
      </c>
      <c r="K304" s="41">
        <f t="shared" si="14"/>
        <v>30888</v>
      </c>
      <c r="L304" s="41">
        <f t="shared" si="15"/>
        <v>416988</v>
      </c>
      <c r="M304" s="37">
        <v>46120</v>
      </c>
      <c r="N304" s="42">
        <v>5</v>
      </c>
      <c r="O304" s="64">
        <v>34832</v>
      </c>
      <c r="P304" s="43" t="str">
        <f t="shared" si="16"/>
        <v>Cước vận chuyển cont Hàng 20 tuyến đường HẢI AN - NHĐV. Số xe: 15H07644</v>
      </c>
      <c r="Q304" s="3">
        <v>1</v>
      </c>
    </row>
    <row r="305" spans="1:17" ht="15" customHeight="1">
      <c r="A305" s="39">
        <v>292</v>
      </c>
      <c r="B305" s="40" t="s">
        <v>404</v>
      </c>
      <c r="C305" s="40">
        <v>20</v>
      </c>
      <c r="D305" s="40" t="s">
        <v>100</v>
      </c>
      <c r="E305" s="40" t="s">
        <v>95</v>
      </c>
      <c r="F305" s="40" t="s">
        <v>386</v>
      </c>
      <c r="G305" s="40" t="s">
        <v>15</v>
      </c>
      <c r="H305" s="40" t="s">
        <v>53</v>
      </c>
      <c r="I305" s="40" t="s">
        <v>73</v>
      </c>
      <c r="J305" s="41" cm="1">
        <f t="array" ref="J305">IF(C305=20,INDEX(CUOC!$C$28:$C$37,MATCH(N305,CUOC!$A$28:$A$37,0),0),INDEX(CUOC!$D$28:$D$37,MATCH(N305,CUOC!$A$28:$A$37,0),0))</f>
        <v>386100</v>
      </c>
      <c r="K305" s="41">
        <f t="shared" si="14"/>
        <v>30888</v>
      </c>
      <c r="L305" s="41">
        <f t="shared" si="15"/>
        <v>416988</v>
      </c>
      <c r="M305" s="37">
        <v>46120</v>
      </c>
      <c r="N305" s="42">
        <v>5</v>
      </c>
      <c r="O305" s="64">
        <v>34832</v>
      </c>
      <c r="P305" s="43" t="str">
        <f t="shared" si="16"/>
        <v>Cước vận chuyển cont Hàng 20 tuyến đường HẢI AN - NHĐV. Số xe: 15H07644</v>
      </c>
      <c r="Q305" s="3">
        <v>1</v>
      </c>
    </row>
    <row r="306" spans="1:17" ht="15" customHeight="1">
      <c r="A306" s="39">
        <v>293</v>
      </c>
      <c r="B306" s="40" t="s">
        <v>405</v>
      </c>
      <c r="C306" s="40">
        <v>20</v>
      </c>
      <c r="D306" s="40" t="s">
        <v>100</v>
      </c>
      <c r="E306" s="40" t="s">
        <v>95</v>
      </c>
      <c r="F306" s="40" t="s">
        <v>386</v>
      </c>
      <c r="G306" s="40" t="s">
        <v>15</v>
      </c>
      <c r="H306" s="40" t="s">
        <v>53</v>
      </c>
      <c r="I306" s="40" t="s">
        <v>73</v>
      </c>
      <c r="J306" s="41" cm="1">
        <f t="array" ref="J306">IF(C306=20,INDEX(CUOC!$C$28:$C$37,MATCH(N306,CUOC!$A$28:$A$37,0),0),INDEX(CUOC!$D$28:$D$37,MATCH(N306,CUOC!$A$28:$A$37,0),0))</f>
        <v>386100</v>
      </c>
      <c r="K306" s="41">
        <f t="shared" si="14"/>
        <v>30888</v>
      </c>
      <c r="L306" s="41">
        <f t="shared" si="15"/>
        <v>416988</v>
      </c>
      <c r="M306" s="37">
        <v>46120</v>
      </c>
      <c r="N306" s="42">
        <v>5</v>
      </c>
      <c r="O306" s="64">
        <v>34832</v>
      </c>
      <c r="P306" s="43" t="str">
        <f t="shared" si="16"/>
        <v>Cước vận chuyển cont Hàng 20 tuyến đường HẢI AN - NHĐV. Số xe: 15H07644</v>
      </c>
      <c r="Q306" s="3">
        <v>1</v>
      </c>
    </row>
    <row r="307" spans="1:17" ht="15" customHeight="1">
      <c r="A307" s="39">
        <v>294</v>
      </c>
      <c r="B307" s="40" t="s">
        <v>406</v>
      </c>
      <c r="C307" s="40">
        <v>20</v>
      </c>
      <c r="D307" s="40" t="s">
        <v>100</v>
      </c>
      <c r="E307" s="40" t="s">
        <v>95</v>
      </c>
      <c r="F307" s="40" t="s">
        <v>386</v>
      </c>
      <c r="G307" s="40" t="s">
        <v>15</v>
      </c>
      <c r="H307" s="40" t="s">
        <v>53</v>
      </c>
      <c r="I307" s="40" t="s">
        <v>73</v>
      </c>
      <c r="J307" s="41" cm="1">
        <f t="array" ref="J307">IF(C307=20,INDEX(CUOC!$C$28:$C$37,MATCH(N307,CUOC!$A$28:$A$37,0),0),INDEX(CUOC!$D$28:$D$37,MATCH(N307,CUOC!$A$28:$A$37,0),0))</f>
        <v>386100</v>
      </c>
      <c r="K307" s="41">
        <f t="shared" si="14"/>
        <v>30888</v>
      </c>
      <c r="L307" s="41">
        <f t="shared" si="15"/>
        <v>416988</v>
      </c>
      <c r="M307" s="37">
        <v>46120</v>
      </c>
      <c r="N307" s="42">
        <v>5</v>
      </c>
      <c r="O307" s="64">
        <v>34832</v>
      </c>
      <c r="P307" s="43" t="str">
        <f t="shared" si="16"/>
        <v>Cước vận chuyển cont Hàng 20 tuyến đường HẢI AN - NHĐV. Số xe: 15H07644</v>
      </c>
      <c r="Q307" s="3">
        <v>1</v>
      </c>
    </row>
    <row r="308" spans="1:17" ht="15" customHeight="1">
      <c r="A308" s="39">
        <v>295</v>
      </c>
      <c r="B308" s="40" t="s">
        <v>407</v>
      </c>
      <c r="C308" s="40">
        <v>40</v>
      </c>
      <c r="D308" s="40" t="s">
        <v>100</v>
      </c>
      <c r="E308" s="40" t="s">
        <v>220</v>
      </c>
      <c r="F308" s="40" t="s">
        <v>489</v>
      </c>
      <c r="G308" s="40" t="s">
        <v>53</v>
      </c>
      <c r="H308" s="40" t="s">
        <v>15</v>
      </c>
      <c r="I308" s="40" t="s">
        <v>73</v>
      </c>
      <c r="J308" s="41" cm="1">
        <f t="array" ref="J308">IF(C308=20,INDEX(CUOC!$C$28:$C$37,MATCH(N308,CUOC!$A$28:$A$37,0),0),INDEX(CUOC!$D$28:$D$37,MATCH(N308,CUOC!$A$28:$A$37,0),0))</f>
        <v>448500</v>
      </c>
      <c r="K308" s="41">
        <f t="shared" si="14"/>
        <v>35880</v>
      </c>
      <c r="L308" s="41">
        <f t="shared" si="15"/>
        <v>484380</v>
      </c>
      <c r="M308" s="37">
        <v>46120</v>
      </c>
      <c r="N308" s="42">
        <v>5</v>
      </c>
      <c r="O308" s="64">
        <v>34832</v>
      </c>
      <c r="P308" s="43" t="str">
        <f t="shared" si="16"/>
        <v>Cước vận chuyển cont Hàng 40 tuyến đường NHĐV - HẢI AN. Số xe: 15H07644</v>
      </c>
      <c r="Q308" s="3">
        <v>1</v>
      </c>
    </row>
    <row r="309" spans="1:17" ht="15" customHeight="1">
      <c r="A309" s="39">
        <v>296</v>
      </c>
      <c r="B309" s="40" t="s">
        <v>408</v>
      </c>
      <c r="C309" s="40">
        <v>40</v>
      </c>
      <c r="D309" s="40" t="s">
        <v>100</v>
      </c>
      <c r="E309" s="40" t="s">
        <v>220</v>
      </c>
      <c r="F309" s="40" t="s">
        <v>489</v>
      </c>
      <c r="G309" s="40" t="s">
        <v>53</v>
      </c>
      <c r="H309" s="40" t="s">
        <v>15</v>
      </c>
      <c r="I309" s="40" t="s">
        <v>71</v>
      </c>
      <c r="J309" s="41" cm="1">
        <f t="array" ref="J309">IF(C309=20,INDEX(CUOC!$C$28:$C$37,MATCH(N309,CUOC!$A$28:$A$37,0),0),INDEX(CUOC!$D$28:$D$37,MATCH(N309,CUOC!$A$28:$A$37,0),0))</f>
        <v>448500</v>
      </c>
      <c r="K309" s="41">
        <f t="shared" si="14"/>
        <v>35880</v>
      </c>
      <c r="L309" s="41">
        <f t="shared" si="15"/>
        <v>484380</v>
      </c>
      <c r="M309" s="37">
        <v>46120</v>
      </c>
      <c r="N309" s="42">
        <v>5</v>
      </c>
      <c r="O309" s="64">
        <v>34832</v>
      </c>
      <c r="P309" s="43" t="str">
        <f t="shared" si="16"/>
        <v>Cước vận chuyển cont Hàng 40 tuyến đường NHĐV - HẢI AN. Số xe: 15H12925</v>
      </c>
      <c r="Q309" s="3">
        <v>1</v>
      </c>
    </row>
    <row r="310" spans="1:17" ht="15" customHeight="1">
      <c r="A310" s="39">
        <v>297</v>
      </c>
      <c r="B310" s="40" t="s">
        <v>409</v>
      </c>
      <c r="C310" s="40">
        <v>20</v>
      </c>
      <c r="D310" s="40" t="s">
        <v>100</v>
      </c>
      <c r="E310" s="40" t="s">
        <v>95</v>
      </c>
      <c r="F310" s="40" t="s">
        <v>386</v>
      </c>
      <c r="G310" s="40" t="s">
        <v>15</v>
      </c>
      <c r="H310" s="40" t="s">
        <v>53</v>
      </c>
      <c r="I310" s="40" t="s">
        <v>71</v>
      </c>
      <c r="J310" s="41" cm="1">
        <f t="array" ref="J310">IF(C310=20,INDEX(CUOC!$C$28:$C$37,MATCH(N310,CUOC!$A$28:$A$37,0),0),INDEX(CUOC!$D$28:$D$37,MATCH(N310,CUOC!$A$28:$A$37,0),0))</f>
        <v>386100</v>
      </c>
      <c r="K310" s="41">
        <f t="shared" si="14"/>
        <v>30888</v>
      </c>
      <c r="L310" s="41">
        <f t="shared" si="15"/>
        <v>416988</v>
      </c>
      <c r="M310" s="37">
        <v>46120</v>
      </c>
      <c r="N310" s="42">
        <v>5</v>
      </c>
      <c r="O310" s="64">
        <v>34832</v>
      </c>
      <c r="P310" s="43" t="str">
        <f t="shared" si="16"/>
        <v>Cước vận chuyển cont Hàng 20 tuyến đường HẢI AN - NHĐV. Số xe: 15H12925</v>
      </c>
      <c r="Q310" s="3">
        <v>1</v>
      </c>
    </row>
    <row r="311" spans="1:17" ht="15" customHeight="1">
      <c r="A311" s="39">
        <v>298</v>
      </c>
      <c r="B311" s="40" t="s">
        <v>410</v>
      </c>
      <c r="C311" s="40">
        <v>40</v>
      </c>
      <c r="D311" s="40" t="s">
        <v>100</v>
      </c>
      <c r="E311" s="40" t="s">
        <v>95</v>
      </c>
      <c r="F311" s="40" t="s">
        <v>386</v>
      </c>
      <c r="G311" s="40" t="s">
        <v>15</v>
      </c>
      <c r="H311" s="40" t="s">
        <v>53</v>
      </c>
      <c r="I311" s="40" t="s">
        <v>71</v>
      </c>
      <c r="J311" s="41" cm="1">
        <f t="array" ref="J311">IF(C311=20,INDEX(CUOC!$C$28:$C$37,MATCH(N311,CUOC!$A$28:$A$37,0),0),INDEX(CUOC!$D$28:$D$37,MATCH(N311,CUOC!$A$28:$A$37,0),0))</f>
        <v>448500</v>
      </c>
      <c r="K311" s="41">
        <f t="shared" si="14"/>
        <v>35880</v>
      </c>
      <c r="L311" s="41">
        <f t="shared" si="15"/>
        <v>484380</v>
      </c>
      <c r="M311" s="37">
        <v>46120</v>
      </c>
      <c r="N311" s="42">
        <v>5</v>
      </c>
      <c r="O311" s="64">
        <v>34832</v>
      </c>
      <c r="P311" s="43" t="str">
        <f t="shared" si="16"/>
        <v>Cước vận chuyển cont Hàng 40 tuyến đường HẢI AN - NHĐV. Số xe: 15H12925</v>
      </c>
      <c r="Q311" s="3">
        <v>1</v>
      </c>
    </row>
    <row r="312" spans="1:17" ht="15" customHeight="1">
      <c r="A312" s="39">
        <v>299</v>
      </c>
      <c r="B312" s="40" t="s">
        <v>411</v>
      </c>
      <c r="C312" s="40">
        <v>40</v>
      </c>
      <c r="D312" s="40" t="s">
        <v>100</v>
      </c>
      <c r="E312" s="40" t="s">
        <v>220</v>
      </c>
      <c r="F312" s="40" t="s">
        <v>489</v>
      </c>
      <c r="G312" s="40" t="s">
        <v>53</v>
      </c>
      <c r="H312" s="40" t="s">
        <v>15</v>
      </c>
      <c r="I312" s="40" t="s">
        <v>86</v>
      </c>
      <c r="J312" s="41" cm="1">
        <f t="array" ref="J312">IF(C312=20,INDEX(CUOC!$C$28:$C$37,MATCH(N312,CUOC!$A$28:$A$37,0),0),INDEX(CUOC!$D$28:$D$37,MATCH(N312,CUOC!$A$28:$A$37,0),0))</f>
        <v>448500</v>
      </c>
      <c r="K312" s="41">
        <f t="shared" si="14"/>
        <v>35880</v>
      </c>
      <c r="L312" s="41">
        <f t="shared" si="15"/>
        <v>484380</v>
      </c>
      <c r="M312" s="37">
        <v>46120</v>
      </c>
      <c r="N312" s="42">
        <v>5</v>
      </c>
      <c r="O312" s="64">
        <v>34832</v>
      </c>
      <c r="P312" s="43" t="str">
        <f t="shared" si="16"/>
        <v>Cước vận chuyển cont Hàng 40 tuyến đường NHĐV - HẢI AN. Số xe: 15H18552</v>
      </c>
      <c r="Q312" s="3">
        <v>1</v>
      </c>
    </row>
    <row r="313" spans="1:17" ht="15" customHeight="1">
      <c r="A313" s="39">
        <v>300</v>
      </c>
      <c r="B313" s="40" t="s">
        <v>412</v>
      </c>
      <c r="C313" s="40">
        <v>40</v>
      </c>
      <c r="D313" s="40" t="s">
        <v>100</v>
      </c>
      <c r="E313" s="40" t="s">
        <v>220</v>
      </c>
      <c r="F313" s="40" t="s">
        <v>489</v>
      </c>
      <c r="G313" s="40" t="s">
        <v>53</v>
      </c>
      <c r="H313" s="40" t="s">
        <v>15</v>
      </c>
      <c r="I313" s="40" t="s">
        <v>86</v>
      </c>
      <c r="J313" s="41" cm="1">
        <f t="array" ref="J313">IF(C313=20,INDEX(CUOC!$C$28:$C$37,MATCH(N313,CUOC!$A$28:$A$37,0),0),INDEX(CUOC!$D$28:$D$37,MATCH(N313,CUOC!$A$28:$A$37,0),0))</f>
        <v>448500</v>
      </c>
      <c r="K313" s="41">
        <f t="shared" si="14"/>
        <v>35880</v>
      </c>
      <c r="L313" s="41">
        <f t="shared" si="15"/>
        <v>484380</v>
      </c>
      <c r="M313" s="37">
        <v>46120</v>
      </c>
      <c r="N313" s="42">
        <v>5</v>
      </c>
      <c r="O313" s="64">
        <v>34832</v>
      </c>
      <c r="P313" s="43" t="str">
        <f t="shared" si="16"/>
        <v>Cước vận chuyển cont Hàng 40 tuyến đường NHĐV - HẢI AN. Số xe: 15H18552</v>
      </c>
      <c r="Q313" s="3">
        <v>1</v>
      </c>
    </row>
    <row r="314" spans="1:17" ht="15" customHeight="1">
      <c r="A314" s="39">
        <v>301</v>
      </c>
      <c r="B314" s="40" t="s">
        <v>413</v>
      </c>
      <c r="C314" s="40">
        <v>40</v>
      </c>
      <c r="D314" s="40" t="s">
        <v>100</v>
      </c>
      <c r="E314" s="40" t="s">
        <v>95</v>
      </c>
      <c r="F314" s="40" t="s">
        <v>386</v>
      </c>
      <c r="G314" s="40" t="s">
        <v>15</v>
      </c>
      <c r="H314" s="40" t="s">
        <v>53</v>
      </c>
      <c r="I314" s="40" t="s">
        <v>68</v>
      </c>
      <c r="J314" s="41" cm="1">
        <f t="array" ref="J314">IF(C314=20,INDEX(CUOC!$C$28:$C$37,MATCH(N314,CUOC!$A$28:$A$37,0),0),INDEX(CUOC!$D$28:$D$37,MATCH(N314,CUOC!$A$28:$A$37,0),0))</f>
        <v>448500</v>
      </c>
      <c r="K314" s="41">
        <f t="shared" si="14"/>
        <v>35880</v>
      </c>
      <c r="L314" s="41">
        <f t="shared" si="15"/>
        <v>484380</v>
      </c>
      <c r="M314" s="37">
        <v>46120</v>
      </c>
      <c r="N314" s="42">
        <v>5</v>
      </c>
      <c r="O314" s="64">
        <v>34832</v>
      </c>
      <c r="P314" s="43" t="str">
        <f t="shared" si="16"/>
        <v>Cước vận chuyển cont Hàng 40 tuyến đường HẢI AN - NHĐV. Số xe: 15C17442</v>
      </c>
      <c r="Q314" s="3">
        <v>1</v>
      </c>
    </row>
    <row r="315" spans="1:17" ht="15" customHeight="1">
      <c r="A315" s="39">
        <v>302</v>
      </c>
      <c r="B315" s="40" t="s">
        <v>414</v>
      </c>
      <c r="C315" s="40">
        <v>20</v>
      </c>
      <c r="D315" s="40" t="s">
        <v>100</v>
      </c>
      <c r="E315" s="40" t="s">
        <v>95</v>
      </c>
      <c r="F315" s="40" t="s">
        <v>386</v>
      </c>
      <c r="G315" s="40" t="s">
        <v>15</v>
      </c>
      <c r="H315" s="40" t="s">
        <v>53</v>
      </c>
      <c r="I315" s="40" t="s">
        <v>86</v>
      </c>
      <c r="J315" s="41" cm="1">
        <f t="array" ref="J315">IF(C315=20,INDEX(CUOC!$C$28:$C$37,MATCH(N315,CUOC!$A$28:$A$37,0),0),INDEX(CUOC!$D$28:$D$37,MATCH(N315,CUOC!$A$28:$A$37,0),0))</f>
        <v>386100</v>
      </c>
      <c r="K315" s="41">
        <f t="shared" si="14"/>
        <v>30888</v>
      </c>
      <c r="L315" s="41">
        <f t="shared" si="15"/>
        <v>416988</v>
      </c>
      <c r="M315" s="37">
        <v>46120</v>
      </c>
      <c r="N315" s="42">
        <v>5</v>
      </c>
      <c r="O315" s="64">
        <v>34832</v>
      </c>
      <c r="P315" s="43" t="str">
        <f t="shared" si="16"/>
        <v>Cước vận chuyển cont Hàng 20 tuyến đường HẢI AN - NHĐV. Số xe: 15H18552</v>
      </c>
      <c r="Q315" s="3">
        <v>1</v>
      </c>
    </row>
    <row r="316" spans="1:17" ht="15" customHeight="1">
      <c r="A316" s="39">
        <v>303</v>
      </c>
      <c r="B316" s="40" t="s">
        <v>415</v>
      </c>
      <c r="C316" s="40">
        <v>20</v>
      </c>
      <c r="D316" s="40" t="s">
        <v>100</v>
      </c>
      <c r="E316" s="40" t="s">
        <v>95</v>
      </c>
      <c r="F316" s="40" t="s">
        <v>386</v>
      </c>
      <c r="G316" s="40" t="s">
        <v>15</v>
      </c>
      <c r="H316" s="40" t="s">
        <v>53</v>
      </c>
      <c r="I316" s="40" t="s">
        <v>69</v>
      </c>
      <c r="J316" s="41" cm="1">
        <f t="array" ref="J316">IF(C316=20,INDEX(CUOC!$C$28:$C$37,MATCH(N316,CUOC!$A$28:$A$37,0),0),INDEX(CUOC!$D$28:$D$37,MATCH(N316,CUOC!$A$28:$A$37,0),0))</f>
        <v>386100</v>
      </c>
      <c r="K316" s="41">
        <f t="shared" si="14"/>
        <v>30888</v>
      </c>
      <c r="L316" s="41">
        <f t="shared" si="15"/>
        <v>416988</v>
      </c>
      <c r="M316" s="37">
        <v>46120</v>
      </c>
      <c r="N316" s="42">
        <v>5</v>
      </c>
      <c r="O316" s="64">
        <v>34832</v>
      </c>
      <c r="P316" s="43" t="str">
        <f t="shared" si="16"/>
        <v>Cước vận chuyển cont Hàng 20 tuyến đường HẢI AN - NHĐV. Số xe: 15C15033</v>
      </c>
      <c r="Q316" s="3">
        <v>1</v>
      </c>
    </row>
    <row r="317" spans="1:17" ht="15" customHeight="1">
      <c r="A317" s="39">
        <v>304</v>
      </c>
      <c r="B317" s="40" t="s">
        <v>416</v>
      </c>
      <c r="C317" s="40">
        <v>20</v>
      </c>
      <c r="D317" s="40" t="s">
        <v>100</v>
      </c>
      <c r="E317" s="40" t="s">
        <v>95</v>
      </c>
      <c r="F317" s="40" t="s">
        <v>386</v>
      </c>
      <c r="G317" s="40" t="s">
        <v>15</v>
      </c>
      <c r="H317" s="40" t="s">
        <v>53</v>
      </c>
      <c r="I317" s="40" t="s">
        <v>69</v>
      </c>
      <c r="J317" s="41" cm="1">
        <f t="array" ref="J317">IF(C317=20,INDEX(CUOC!$C$28:$C$37,MATCH(N317,CUOC!$A$28:$A$37,0),0),INDEX(CUOC!$D$28:$D$37,MATCH(N317,CUOC!$A$28:$A$37,0),0))</f>
        <v>386100</v>
      </c>
      <c r="K317" s="41">
        <f t="shared" si="14"/>
        <v>30888</v>
      </c>
      <c r="L317" s="41">
        <f t="shared" si="15"/>
        <v>416988</v>
      </c>
      <c r="M317" s="37">
        <v>46120</v>
      </c>
      <c r="N317" s="42">
        <v>5</v>
      </c>
      <c r="O317" s="64">
        <v>34832</v>
      </c>
      <c r="P317" s="43" t="str">
        <f t="shared" si="16"/>
        <v>Cước vận chuyển cont Hàng 20 tuyến đường HẢI AN - NHĐV. Số xe: 15C15033</v>
      </c>
      <c r="Q317" s="3">
        <v>1</v>
      </c>
    </row>
    <row r="318" spans="1:17" ht="15" customHeight="1">
      <c r="A318" s="39">
        <v>305</v>
      </c>
      <c r="B318" s="40" t="s">
        <v>417</v>
      </c>
      <c r="C318" s="40">
        <v>20</v>
      </c>
      <c r="D318" s="40" t="s">
        <v>100</v>
      </c>
      <c r="E318" s="40" t="s">
        <v>95</v>
      </c>
      <c r="F318" s="40" t="s">
        <v>386</v>
      </c>
      <c r="G318" s="40" t="s">
        <v>15</v>
      </c>
      <c r="H318" s="40" t="s">
        <v>53</v>
      </c>
      <c r="I318" s="40" t="s">
        <v>69</v>
      </c>
      <c r="J318" s="41" cm="1">
        <f t="array" ref="J318">IF(C318=20,INDEX(CUOC!$C$28:$C$37,MATCH(N318,CUOC!$A$28:$A$37,0),0),INDEX(CUOC!$D$28:$D$37,MATCH(N318,CUOC!$A$28:$A$37,0),0))</f>
        <v>386100</v>
      </c>
      <c r="K318" s="41">
        <f t="shared" si="14"/>
        <v>30888</v>
      </c>
      <c r="L318" s="41">
        <f t="shared" si="15"/>
        <v>416988</v>
      </c>
      <c r="M318" s="37">
        <v>46120</v>
      </c>
      <c r="N318" s="42">
        <v>5</v>
      </c>
      <c r="O318" s="64">
        <v>34832</v>
      </c>
      <c r="P318" s="43" t="str">
        <f t="shared" si="16"/>
        <v>Cước vận chuyển cont Hàng 20 tuyến đường HẢI AN - NHĐV. Số xe: 15C15033</v>
      </c>
      <c r="Q318" s="3">
        <v>1</v>
      </c>
    </row>
    <row r="319" spans="1:17" ht="15" customHeight="1">
      <c r="A319" s="39">
        <v>306</v>
      </c>
      <c r="B319" s="40" t="s">
        <v>418</v>
      </c>
      <c r="C319" s="40">
        <v>20</v>
      </c>
      <c r="D319" s="40" t="s">
        <v>100</v>
      </c>
      <c r="E319" s="40" t="s">
        <v>95</v>
      </c>
      <c r="F319" s="40" t="s">
        <v>386</v>
      </c>
      <c r="G319" s="40" t="s">
        <v>15</v>
      </c>
      <c r="H319" s="40" t="s">
        <v>53</v>
      </c>
      <c r="I319" s="40" t="s">
        <v>69</v>
      </c>
      <c r="J319" s="41" cm="1">
        <f t="array" ref="J319">IF(C319=20,INDEX(CUOC!$C$28:$C$37,MATCH(N319,CUOC!$A$28:$A$37,0),0),INDEX(CUOC!$D$28:$D$37,MATCH(N319,CUOC!$A$28:$A$37,0),0))</f>
        <v>386100</v>
      </c>
      <c r="K319" s="41">
        <f t="shared" si="14"/>
        <v>30888</v>
      </c>
      <c r="L319" s="41">
        <f t="shared" si="15"/>
        <v>416988</v>
      </c>
      <c r="M319" s="37">
        <v>46120</v>
      </c>
      <c r="N319" s="42">
        <v>5</v>
      </c>
      <c r="O319" s="64">
        <v>34832</v>
      </c>
      <c r="P319" s="43" t="str">
        <f t="shared" si="16"/>
        <v>Cước vận chuyển cont Hàng 20 tuyến đường HẢI AN - NHĐV. Số xe: 15C15033</v>
      </c>
      <c r="Q319" s="3">
        <v>1</v>
      </c>
    </row>
    <row r="320" spans="1:17" ht="15" customHeight="1">
      <c r="A320" s="39">
        <v>307</v>
      </c>
      <c r="B320" s="40" t="s">
        <v>419</v>
      </c>
      <c r="C320" s="40">
        <v>20</v>
      </c>
      <c r="D320" s="40" t="s">
        <v>100</v>
      </c>
      <c r="E320" s="40" t="s">
        <v>95</v>
      </c>
      <c r="F320" s="40" t="s">
        <v>386</v>
      </c>
      <c r="G320" s="40" t="s">
        <v>15</v>
      </c>
      <c r="H320" s="40" t="s">
        <v>53</v>
      </c>
      <c r="I320" s="40" t="s">
        <v>69</v>
      </c>
      <c r="J320" s="41" cm="1">
        <f t="array" ref="J320">IF(C320=20,INDEX(CUOC!$C$28:$C$37,MATCH(N320,CUOC!$A$28:$A$37,0),0),INDEX(CUOC!$D$28:$D$37,MATCH(N320,CUOC!$A$28:$A$37,0),0))</f>
        <v>386100</v>
      </c>
      <c r="K320" s="41">
        <f t="shared" si="14"/>
        <v>30888</v>
      </c>
      <c r="L320" s="41">
        <f t="shared" si="15"/>
        <v>416988</v>
      </c>
      <c r="M320" s="37">
        <v>46120</v>
      </c>
      <c r="N320" s="42">
        <v>5</v>
      </c>
      <c r="O320" s="64">
        <v>34832</v>
      </c>
      <c r="P320" s="43" t="str">
        <f t="shared" si="16"/>
        <v>Cước vận chuyển cont Hàng 20 tuyến đường HẢI AN - NHĐV. Số xe: 15C15033</v>
      </c>
      <c r="Q320" s="3">
        <v>1</v>
      </c>
    </row>
    <row r="321" spans="1:17" ht="15" customHeight="1">
      <c r="A321" s="39">
        <v>308</v>
      </c>
      <c r="B321" s="40" t="s">
        <v>420</v>
      </c>
      <c r="C321" s="40">
        <v>20</v>
      </c>
      <c r="D321" s="40" t="s">
        <v>100</v>
      </c>
      <c r="E321" s="40" t="s">
        <v>95</v>
      </c>
      <c r="F321" s="40" t="s">
        <v>386</v>
      </c>
      <c r="G321" s="40" t="s">
        <v>15</v>
      </c>
      <c r="H321" s="40" t="s">
        <v>53</v>
      </c>
      <c r="I321" s="40" t="s">
        <v>69</v>
      </c>
      <c r="J321" s="41" cm="1">
        <f t="array" ref="J321">IF(C321=20,INDEX(CUOC!$C$28:$C$37,MATCH(N321,CUOC!$A$28:$A$37,0),0),INDEX(CUOC!$D$28:$D$37,MATCH(N321,CUOC!$A$28:$A$37,0),0))</f>
        <v>386100</v>
      </c>
      <c r="K321" s="41">
        <f t="shared" si="14"/>
        <v>30888</v>
      </c>
      <c r="L321" s="41">
        <f t="shared" si="15"/>
        <v>416988</v>
      </c>
      <c r="M321" s="37">
        <v>46120</v>
      </c>
      <c r="N321" s="42">
        <v>5</v>
      </c>
      <c r="O321" s="64">
        <v>34832</v>
      </c>
      <c r="P321" s="43" t="str">
        <f t="shared" si="16"/>
        <v>Cước vận chuyển cont Hàng 20 tuyến đường HẢI AN - NHĐV. Số xe: 15C15033</v>
      </c>
      <c r="Q321" s="3">
        <v>1</v>
      </c>
    </row>
    <row r="322" spans="1:17" ht="15" customHeight="1">
      <c r="A322" s="39">
        <v>309</v>
      </c>
      <c r="B322" s="40" t="s">
        <v>421</v>
      </c>
      <c r="C322" s="40">
        <v>40</v>
      </c>
      <c r="D322" s="40" t="s">
        <v>100</v>
      </c>
      <c r="E322" s="40" t="s">
        <v>220</v>
      </c>
      <c r="F322" s="40" t="s">
        <v>489</v>
      </c>
      <c r="G322" s="40" t="s">
        <v>53</v>
      </c>
      <c r="H322" s="40" t="s">
        <v>15</v>
      </c>
      <c r="I322" s="40" t="s">
        <v>64</v>
      </c>
      <c r="J322" s="41" cm="1">
        <f t="array" ref="J322">IF(C322=20,INDEX(CUOC!$C$28:$C$37,MATCH(N322,CUOC!$A$28:$A$37,0),0),INDEX(CUOC!$D$28:$D$37,MATCH(N322,CUOC!$A$28:$A$37,0),0))</f>
        <v>448500</v>
      </c>
      <c r="K322" s="41">
        <f t="shared" si="14"/>
        <v>35880</v>
      </c>
      <c r="L322" s="41">
        <f t="shared" si="15"/>
        <v>484380</v>
      </c>
      <c r="M322" s="37">
        <v>46120</v>
      </c>
      <c r="N322" s="42">
        <v>5</v>
      </c>
      <c r="O322" s="64">
        <v>34832</v>
      </c>
      <c r="P322" s="43" t="str">
        <f t="shared" si="16"/>
        <v>Cước vận chuyển cont Hàng 40 tuyến đường NHĐV - HẢI AN. Số xe: 15C09877</v>
      </c>
      <c r="Q322" s="3">
        <v>1</v>
      </c>
    </row>
    <row r="323" spans="1:17" ht="15" customHeight="1">
      <c r="A323" s="39">
        <v>310</v>
      </c>
      <c r="B323" s="40" t="s">
        <v>422</v>
      </c>
      <c r="C323" s="40">
        <v>20</v>
      </c>
      <c r="D323" s="40" t="s">
        <v>100</v>
      </c>
      <c r="E323" s="40" t="s">
        <v>95</v>
      </c>
      <c r="F323" s="40" t="s">
        <v>386</v>
      </c>
      <c r="G323" s="40" t="s">
        <v>15</v>
      </c>
      <c r="H323" s="40" t="s">
        <v>53</v>
      </c>
      <c r="I323" s="40" t="s">
        <v>64</v>
      </c>
      <c r="J323" s="41" cm="1">
        <f t="array" ref="J323">IF(C323=20,INDEX(CUOC!$C$28:$C$37,MATCH(N323,CUOC!$A$28:$A$37,0),0),INDEX(CUOC!$D$28:$D$37,MATCH(N323,CUOC!$A$28:$A$37,0),0))</f>
        <v>386100</v>
      </c>
      <c r="K323" s="41">
        <f t="shared" si="14"/>
        <v>30888</v>
      </c>
      <c r="L323" s="41">
        <f t="shared" si="15"/>
        <v>416988</v>
      </c>
      <c r="M323" s="37">
        <v>46120</v>
      </c>
      <c r="N323" s="42">
        <v>5</v>
      </c>
      <c r="O323" s="64">
        <v>34832</v>
      </c>
      <c r="P323" s="43" t="str">
        <f t="shared" si="16"/>
        <v>Cước vận chuyển cont Hàng 20 tuyến đường HẢI AN - NHĐV. Số xe: 15C09877</v>
      </c>
      <c r="Q323" s="3">
        <v>1</v>
      </c>
    </row>
    <row r="324" spans="1:17" ht="15" customHeight="1">
      <c r="A324" s="39">
        <v>311</v>
      </c>
      <c r="B324" s="40" t="s">
        <v>423</v>
      </c>
      <c r="C324" s="40">
        <v>20</v>
      </c>
      <c r="D324" s="40" t="s">
        <v>100</v>
      </c>
      <c r="E324" s="40" t="s">
        <v>95</v>
      </c>
      <c r="F324" s="40" t="s">
        <v>386</v>
      </c>
      <c r="G324" s="40" t="s">
        <v>15</v>
      </c>
      <c r="H324" s="40" t="s">
        <v>53</v>
      </c>
      <c r="I324" s="40" t="s">
        <v>64</v>
      </c>
      <c r="J324" s="41" cm="1">
        <f t="array" ref="J324">IF(C324=20,INDEX(CUOC!$C$28:$C$37,MATCH(N324,CUOC!$A$28:$A$37,0),0),INDEX(CUOC!$D$28:$D$37,MATCH(N324,CUOC!$A$28:$A$37,0),0))</f>
        <v>386100</v>
      </c>
      <c r="K324" s="41">
        <f t="shared" si="14"/>
        <v>30888</v>
      </c>
      <c r="L324" s="41">
        <f t="shared" si="15"/>
        <v>416988</v>
      </c>
      <c r="M324" s="37">
        <v>46120</v>
      </c>
      <c r="N324" s="42">
        <v>5</v>
      </c>
      <c r="O324" s="64">
        <v>34832</v>
      </c>
      <c r="P324" s="43" t="str">
        <f t="shared" si="16"/>
        <v>Cước vận chuyển cont Hàng 20 tuyến đường HẢI AN - NHĐV. Số xe: 15C09877</v>
      </c>
      <c r="Q324" s="3">
        <v>1</v>
      </c>
    </row>
    <row r="325" spans="1:17" ht="15" customHeight="1">
      <c r="A325" s="39">
        <v>312</v>
      </c>
      <c r="B325" s="40" t="s">
        <v>424</v>
      </c>
      <c r="C325" s="40">
        <v>20</v>
      </c>
      <c r="D325" s="40" t="s">
        <v>100</v>
      </c>
      <c r="E325" s="40" t="s">
        <v>95</v>
      </c>
      <c r="F325" s="40" t="s">
        <v>386</v>
      </c>
      <c r="G325" s="40" t="s">
        <v>15</v>
      </c>
      <c r="H325" s="40" t="s">
        <v>53</v>
      </c>
      <c r="I325" s="40" t="s">
        <v>64</v>
      </c>
      <c r="J325" s="41" cm="1">
        <f t="array" ref="J325">IF(C325=20,INDEX(CUOC!$C$28:$C$37,MATCH(N325,CUOC!$A$28:$A$37,0),0),INDEX(CUOC!$D$28:$D$37,MATCH(N325,CUOC!$A$28:$A$37,0),0))</f>
        <v>386100</v>
      </c>
      <c r="K325" s="41">
        <f t="shared" si="14"/>
        <v>30888</v>
      </c>
      <c r="L325" s="41">
        <f t="shared" si="15"/>
        <v>416988</v>
      </c>
      <c r="M325" s="37">
        <v>46120</v>
      </c>
      <c r="N325" s="42">
        <v>5</v>
      </c>
      <c r="O325" s="64">
        <v>34832</v>
      </c>
      <c r="P325" s="43" t="str">
        <f t="shared" si="16"/>
        <v>Cước vận chuyển cont Hàng 20 tuyến đường HẢI AN - NHĐV. Số xe: 15C09877</v>
      </c>
      <c r="Q325" s="3">
        <v>1</v>
      </c>
    </row>
    <row r="326" spans="1:17" ht="15" customHeight="1">
      <c r="A326" s="39">
        <v>313</v>
      </c>
      <c r="B326" s="40" t="s">
        <v>425</v>
      </c>
      <c r="C326" s="40">
        <v>20</v>
      </c>
      <c r="D326" s="40" t="s">
        <v>100</v>
      </c>
      <c r="E326" s="40" t="s">
        <v>95</v>
      </c>
      <c r="F326" s="40" t="s">
        <v>386</v>
      </c>
      <c r="G326" s="40" t="s">
        <v>15</v>
      </c>
      <c r="H326" s="40" t="s">
        <v>53</v>
      </c>
      <c r="I326" s="40" t="s">
        <v>64</v>
      </c>
      <c r="J326" s="41" cm="1">
        <f t="array" ref="J326">IF(C326=20,INDEX(CUOC!$C$28:$C$37,MATCH(N326,CUOC!$A$28:$A$37,0),0),INDEX(CUOC!$D$28:$D$37,MATCH(N326,CUOC!$A$28:$A$37,0),0))</f>
        <v>386100</v>
      </c>
      <c r="K326" s="41">
        <f t="shared" si="14"/>
        <v>30888</v>
      </c>
      <c r="L326" s="41">
        <f t="shared" si="15"/>
        <v>416988</v>
      </c>
      <c r="M326" s="37">
        <v>46120</v>
      </c>
      <c r="N326" s="42">
        <v>5</v>
      </c>
      <c r="O326" s="64">
        <v>34832</v>
      </c>
      <c r="P326" s="43" t="str">
        <f t="shared" si="16"/>
        <v>Cước vận chuyển cont Hàng 20 tuyến đường HẢI AN - NHĐV. Số xe: 15C09877</v>
      </c>
      <c r="Q326" s="3">
        <v>1</v>
      </c>
    </row>
    <row r="327" spans="1:17" ht="15" customHeight="1">
      <c r="A327" s="39">
        <v>314</v>
      </c>
      <c r="B327" s="40" t="s">
        <v>426</v>
      </c>
      <c r="C327" s="40">
        <v>40</v>
      </c>
      <c r="D327" s="40" t="s">
        <v>100</v>
      </c>
      <c r="E327" s="40" t="s">
        <v>95</v>
      </c>
      <c r="F327" s="40" t="s">
        <v>386</v>
      </c>
      <c r="G327" s="40" t="s">
        <v>15</v>
      </c>
      <c r="H327" s="40" t="s">
        <v>53</v>
      </c>
      <c r="I327" s="40" t="s">
        <v>464</v>
      </c>
      <c r="J327" s="41" cm="1">
        <f t="array" ref="J327">IF(C327=20,INDEX(CUOC!$C$28:$C$37,MATCH(N327,CUOC!$A$28:$A$37,0),0),INDEX(CUOC!$D$28:$D$37,MATCH(N327,CUOC!$A$28:$A$37,0),0))</f>
        <v>448500</v>
      </c>
      <c r="K327" s="41">
        <f t="shared" si="14"/>
        <v>35880</v>
      </c>
      <c r="L327" s="41">
        <f t="shared" si="15"/>
        <v>484380</v>
      </c>
      <c r="M327" s="37">
        <v>46120</v>
      </c>
      <c r="N327" s="42">
        <v>5</v>
      </c>
      <c r="O327" s="64">
        <v>34832</v>
      </c>
      <c r="P327" s="43" t="str">
        <f t="shared" si="16"/>
        <v>Cước vận chuyển cont Hàng 40 tuyến đường HẢI AN - NHĐV. Số xe: 15H17403</v>
      </c>
      <c r="Q327" s="3">
        <v>1</v>
      </c>
    </row>
    <row r="328" spans="1:17" ht="15" customHeight="1">
      <c r="A328" s="39">
        <v>315</v>
      </c>
      <c r="B328" s="40" t="s">
        <v>427</v>
      </c>
      <c r="C328" s="40">
        <v>40</v>
      </c>
      <c r="D328" s="40" t="s">
        <v>100</v>
      </c>
      <c r="E328" s="40" t="s">
        <v>220</v>
      </c>
      <c r="F328" s="40" t="s">
        <v>221</v>
      </c>
      <c r="G328" s="40" t="s">
        <v>15</v>
      </c>
      <c r="H328" s="40" t="s">
        <v>53</v>
      </c>
      <c r="I328" s="40" t="s">
        <v>65</v>
      </c>
      <c r="J328" s="41" cm="1">
        <f t="array" ref="J328">IF(C328=20,INDEX(CUOC!$C$28:$C$37,MATCH(N328,CUOC!$A$28:$A$37,0),0),INDEX(CUOC!$D$28:$D$37,MATCH(N328,CUOC!$A$28:$A$37,0),0))</f>
        <v>448500</v>
      </c>
      <c r="K328" s="41">
        <f t="shared" si="14"/>
        <v>35880</v>
      </c>
      <c r="L328" s="41">
        <f t="shared" si="15"/>
        <v>484380</v>
      </c>
      <c r="M328" s="37">
        <v>46119</v>
      </c>
      <c r="N328" s="42">
        <v>5</v>
      </c>
      <c r="O328" s="64">
        <v>34832</v>
      </c>
      <c r="P328" s="43" t="str">
        <f t="shared" si="16"/>
        <v>Cước vận chuyển cont Hàng 40 tuyến đường HẢI AN - NHĐV. Số xe: 15H15378</v>
      </c>
      <c r="Q328" s="3">
        <v>1</v>
      </c>
    </row>
    <row r="329" spans="1:17" ht="15" customHeight="1">
      <c r="A329" s="39">
        <v>316</v>
      </c>
      <c r="B329" s="40" t="s">
        <v>428</v>
      </c>
      <c r="C329" s="40">
        <v>40</v>
      </c>
      <c r="D329" s="40" t="s">
        <v>100</v>
      </c>
      <c r="E329" s="40" t="s">
        <v>220</v>
      </c>
      <c r="F329" s="40" t="s">
        <v>221</v>
      </c>
      <c r="G329" s="40" t="s">
        <v>15</v>
      </c>
      <c r="H329" s="40" t="s">
        <v>53</v>
      </c>
      <c r="I329" s="40" t="s">
        <v>65</v>
      </c>
      <c r="J329" s="41" cm="1">
        <f t="array" ref="J329">IF(C329=20,INDEX(CUOC!$C$28:$C$37,MATCH(N329,CUOC!$A$28:$A$37,0),0),INDEX(CUOC!$D$28:$D$37,MATCH(N329,CUOC!$A$28:$A$37,0),0))</f>
        <v>448500</v>
      </c>
      <c r="K329" s="41">
        <f t="shared" si="14"/>
        <v>35880</v>
      </c>
      <c r="L329" s="41">
        <f t="shared" si="15"/>
        <v>484380</v>
      </c>
      <c r="M329" s="37">
        <v>46119</v>
      </c>
      <c r="N329" s="42">
        <v>5</v>
      </c>
      <c r="O329" s="64">
        <v>34832</v>
      </c>
      <c r="P329" s="43" t="str">
        <f t="shared" si="16"/>
        <v>Cước vận chuyển cont Hàng 40 tuyến đường HẢI AN - NHĐV. Số xe: 15H15378</v>
      </c>
      <c r="Q329" s="3">
        <v>1</v>
      </c>
    </row>
    <row r="330" spans="1:17" ht="15" customHeight="1">
      <c r="A330" s="39">
        <v>317</v>
      </c>
      <c r="B330" s="40" t="s">
        <v>429</v>
      </c>
      <c r="C330" s="40">
        <v>20</v>
      </c>
      <c r="D330" s="40" t="s">
        <v>100</v>
      </c>
      <c r="E330" s="40" t="s">
        <v>95</v>
      </c>
      <c r="F330" s="40" t="s">
        <v>386</v>
      </c>
      <c r="G330" s="40" t="s">
        <v>15</v>
      </c>
      <c r="H330" s="40" t="s">
        <v>53</v>
      </c>
      <c r="I330" s="40" t="s">
        <v>66</v>
      </c>
      <c r="J330" s="41" cm="1">
        <f t="array" ref="J330">IF(C330=20,INDEX(CUOC!$C$28:$C$37,MATCH(N330,CUOC!$A$28:$A$37,0),0),INDEX(CUOC!$D$28:$D$37,MATCH(N330,CUOC!$A$28:$A$37,0),0))</f>
        <v>386100</v>
      </c>
      <c r="K330" s="41">
        <f t="shared" si="14"/>
        <v>30888</v>
      </c>
      <c r="L330" s="41">
        <f t="shared" si="15"/>
        <v>416988</v>
      </c>
      <c r="M330" s="37">
        <v>46120</v>
      </c>
      <c r="N330" s="42">
        <v>5</v>
      </c>
      <c r="O330" s="64">
        <v>34832</v>
      </c>
      <c r="P330" s="43" t="str">
        <f t="shared" si="16"/>
        <v>Cước vận chuyển cont Hàng 20 tuyến đường HẢI AN - NHĐV. Số xe: 15H07135</v>
      </c>
      <c r="Q330" s="3">
        <v>1</v>
      </c>
    </row>
    <row r="331" spans="1:17" ht="15" customHeight="1">
      <c r="A331" s="39">
        <v>318</v>
      </c>
      <c r="B331" s="40" t="s">
        <v>430</v>
      </c>
      <c r="C331" s="40">
        <v>20</v>
      </c>
      <c r="D331" s="40" t="s">
        <v>100</v>
      </c>
      <c r="E331" s="40" t="s">
        <v>95</v>
      </c>
      <c r="F331" s="40" t="s">
        <v>386</v>
      </c>
      <c r="G331" s="40" t="s">
        <v>15</v>
      </c>
      <c r="H331" s="40" t="s">
        <v>53</v>
      </c>
      <c r="I331" s="40" t="s">
        <v>66</v>
      </c>
      <c r="J331" s="41" cm="1">
        <f t="array" ref="J331">IF(C331=20,INDEX(CUOC!$C$28:$C$37,MATCH(N331,CUOC!$A$28:$A$37,0),0),INDEX(CUOC!$D$28:$D$37,MATCH(N331,CUOC!$A$28:$A$37,0),0))</f>
        <v>386100</v>
      </c>
      <c r="K331" s="41">
        <f t="shared" si="14"/>
        <v>30888</v>
      </c>
      <c r="L331" s="41">
        <f t="shared" si="15"/>
        <v>416988</v>
      </c>
      <c r="M331" s="37">
        <v>46120</v>
      </c>
      <c r="N331" s="42">
        <v>5</v>
      </c>
      <c r="O331" s="64">
        <v>34832</v>
      </c>
      <c r="P331" s="43" t="str">
        <f t="shared" si="16"/>
        <v>Cước vận chuyển cont Hàng 20 tuyến đường HẢI AN - NHĐV. Số xe: 15H07135</v>
      </c>
      <c r="Q331" s="3">
        <v>1</v>
      </c>
    </row>
    <row r="332" spans="1:17" ht="15" customHeight="1">
      <c r="A332" s="39">
        <v>319</v>
      </c>
      <c r="B332" s="40" t="s">
        <v>431</v>
      </c>
      <c r="C332" s="40">
        <v>20</v>
      </c>
      <c r="D332" s="40" t="s">
        <v>100</v>
      </c>
      <c r="E332" s="40" t="s">
        <v>95</v>
      </c>
      <c r="F332" s="40" t="s">
        <v>386</v>
      </c>
      <c r="G332" s="40" t="s">
        <v>15</v>
      </c>
      <c r="H332" s="40" t="s">
        <v>53</v>
      </c>
      <c r="I332" s="40" t="s">
        <v>66</v>
      </c>
      <c r="J332" s="41" cm="1">
        <f t="array" ref="J332">IF(C332=20,INDEX(CUOC!$C$28:$C$37,MATCH(N332,CUOC!$A$28:$A$37,0),0),INDEX(CUOC!$D$28:$D$37,MATCH(N332,CUOC!$A$28:$A$37,0),0))</f>
        <v>386100</v>
      </c>
      <c r="K332" s="41">
        <f t="shared" si="14"/>
        <v>30888</v>
      </c>
      <c r="L332" s="41">
        <f t="shared" si="15"/>
        <v>416988</v>
      </c>
      <c r="M332" s="37">
        <v>46120</v>
      </c>
      <c r="N332" s="42">
        <v>5</v>
      </c>
      <c r="O332" s="64">
        <v>34832</v>
      </c>
      <c r="P332" s="43" t="str">
        <f t="shared" si="16"/>
        <v>Cước vận chuyển cont Hàng 20 tuyến đường HẢI AN - NHĐV. Số xe: 15H07135</v>
      </c>
      <c r="Q332" s="3">
        <v>1</v>
      </c>
    </row>
    <row r="333" spans="1:17" ht="15" customHeight="1">
      <c r="A333" s="39">
        <v>320</v>
      </c>
      <c r="B333" s="40" t="s">
        <v>432</v>
      </c>
      <c r="C333" s="40">
        <v>20</v>
      </c>
      <c r="D333" s="40" t="s">
        <v>100</v>
      </c>
      <c r="E333" s="40" t="s">
        <v>95</v>
      </c>
      <c r="F333" s="40" t="s">
        <v>386</v>
      </c>
      <c r="G333" s="40" t="s">
        <v>15</v>
      </c>
      <c r="H333" s="40" t="s">
        <v>53</v>
      </c>
      <c r="I333" s="40" t="s">
        <v>66</v>
      </c>
      <c r="J333" s="41" cm="1">
        <f t="array" ref="J333">IF(C333=20,INDEX(CUOC!$C$28:$C$37,MATCH(N333,CUOC!$A$28:$A$37,0),0),INDEX(CUOC!$D$28:$D$37,MATCH(N333,CUOC!$A$28:$A$37,0),0))</f>
        <v>386100</v>
      </c>
      <c r="K333" s="41">
        <f t="shared" si="14"/>
        <v>30888</v>
      </c>
      <c r="L333" s="41">
        <f t="shared" si="15"/>
        <v>416988</v>
      </c>
      <c r="M333" s="37">
        <v>46120</v>
      </c>
      <c r="N333" s="42">
        <v>5</v>
      </c>
      <c r="O333" s="64">
        <v>34832</v>
      </c>
      <c r="P333" s="43" t="str">
        <f t="shared" ref="P333:P362" si="17">IF(D333="R",$P$8&amp;C333&amp;$P$10&amp;G333&amp;$Q$12&amp;H333&amp;$P$11&amp;I333,$P$9&amp;C333&amp;$P$10&amp;G333&amp;$Q$12&amp;H333&amp;$P$11&amp;I333)</f>
        <v>Cước vận chuyển cont Hàng 20 tuyến đường HẢI AN - NHĐV. Số xe: 15H07135</v>
      </c>
      <c r="Q333" s="3">
        <v>1</v>
      </c>
    </row>
    <row r="334" spans="1:17" ht="15" customHeight="1">
      <c r="A334" s="39">
        <v>321</v>
      </c>
      <c r="B334" s="40" t="s">
        <v>433</v>
      </c>
      <c r="C334" s="40">
        <v>40</v>
      </c>
      <c r="D334" s="40" t="s">
        <v>100</v>
      </c>
      <c r="E334" s="40" t="s">
        <v>220</v>
      </c>
      <c r="F334" s="40" t="s">
        <v>221</v>
      </c>
      <c r="G334" s="40" t="s">
        <v>15</v>
      </c>
      <c r="H334" s="40" t="s">
        <v>53</v>
      </c>
      <c r="I334" s="40" t="s">
        <v>77</v>
      </c>
      <c r="J334" s="41" cm="1">
        <f t="array" ref="J334">IF(C334=20,INDEX(CUOC!$C$28:$C$37,MATCH(N334,CUOC!$A$28:$A$37,0),0),INDEX(CUOC!$D$28:$D$37,MATCH(N334,CUOC!$A$28:$A$37,0),0))</f>
        <v>448500</v>
      </c>
      <c r="K334" s="41">
        <f t="shared" si="14"/>
        <v>35880</v>
      </c>
      <c r="L334" s="41">
        <f t="shared" si="15"/>
        <v>484380</v>
      </c>
      <c r="M334" s="37">
        <v>46118</v>
      </c>
      <c r="N334" s="42">
        <v>5</v>
      </c>
      <c r="O334" s="64">
        <v>34832</v>
      </c>
      <c r="P334" s="43" t="str">
        <f t="shared" si="17"/>
        <v>Cước vận chuyển cont Hàng 40 tuyến đường HẢI AN - NHĐV. Số xe: 15H06892</v>
      </c>
      <c r="Q334" s="3">
        <v>1</v>
      </c>
    </row>
    <row r="335" spans="1:17" ht="15" customHeight="1">
      <c r="A335" s="39">
        <v>322</v>
      </c>
      <c r="B335" s="40" t="s">
        <v>434</v>
      </c>
      <c r="C335" s="40">
        <v>20</v>
      </c>
      <c r="D335" s="40" t="s">
        <v>100</v>
      </c>
      <c r="E335" s="40" t="s">
        <v>186</v>
      </c>
      <c r="F335" s="40" t="s">
        <v>435</v>
      </c>
      <c r="G335" s="40" t="s">
        <v>15</v>
      </c>
      <c r="H335" s="40" t="s">
        <v>53</v>
      </c>
      <c r="I335" s="40" t="s">
        <v>463</v>
      </c>
      <c r="J335" s="41" cm="1">
        <f t="array" ref="J335">IF(C335=20,INDEX(CUOC!$C$28:$C$37,MATCH(N335,CUOC!$A$28:$A$37,0),0),INDEX(CUOC!$D$28:$D$37,MATCH(N335,CUOC!$A$28:$A$37,0),0))</f>
        <v>386100</v>
      </c>
      <c r="K335" s="41">
        <f t="shared" ref="K335:K362" si="18">+J335*0.08</f>
        <v>30888</v>
      </c>
      <c r="L335" s="41">
        <f t="shared" ref="L335:L362" si="19">+K335+J335</f>
        <v>416988</v>
      </c>
      <c r="M335" s="37">
        <v>46128</v>
      </c>
      <c r="N335" s="42">
        <v>5</v>
      </c>
      <c r="O335" s="64">
        <v>34832</v>
      </c>
      <c r="P335" s="43" t="str">
        <f t="shared" si="17"/>
        <v>Cước vận chuyển cont Hàng 20 tuyến đường HẢI AN - NHĐV. Số xe: 15H17712</v>
      </c>
      <c r="Q335" s="3">
        <v>1</v>
      </c>
    </row>
    <row r="336" spans="1:17" ht="15" customHeight="1">
      <c r="A336" s="39">
        <v>323</v>
      </c>
      <c r="B336" s="40" t="s">
        <v>436</v>
      </c>
      <c r="C336" s="40">
        <v>20</v>
      </c>
      <c r="D336" s="40" t="s">
        <v>100</v>
      </c>
      <c r="E336" s="40" t="s">
        <v>186</v>
      </c>
      <c r="F336" s="40" t="s">
        <v>435</v>
      </c>
      <c r="G336" s="40" t="s">
        <v>15</v>
      </c>
      <c r="H336" s="40" t="s">
        <v>53</v>
      </c>
      <c r="I336" s="40" t="s">
        <v>98</v>
      </c>
      <c r="J336" s="41" cm="1">
        <f t="array" ref="J336">IF(C336=20,INDEX(CUOC!$C$28:$C$37,MATCH(N336,CUOC!$A$28:$A$37,0),0),INDEX(CUOC!$D$28:$D$37,MATCH(N336,CUOC!$A$28:$A$37,0),0))</f>
        <v>386100</v>
      </c>
      <c r="K336" s="41">
        <f t="shared" si="18"/>
        <v>30888</v>
      </c>
      <c r="L336" s="41">
        <f t="shared" si="19"/>
        <v>416988</v>
      </c>
      <c r="M336" s="37">
        <v>46128</v>
      </c>
      <c r="N336" s="42">
        <v>5</v>
      </c>
      <c r="O336" s="64">
        <v>34832</v>
      </c>
      <c r="P336" s="43" t="str">
        <f t="shared" si="17"/>
        <v>Cước vận chuyển cont Hàng 20 tuyến đường HẢI AN - NHĐV. Số xe: 15C17301</v>
      </c>
      <c r="Q336" s="3">
        <v>1</v>
      </c>
    </row>
    <row r="337" spans="1:17" ht="15" customHeight="1">
      <c r="A337" s="39">
        <v>324</v>
      </c>
      <c r="B337" s="40" t="s">
        <v>437</v>
      </c>
      <c r="C337" s="40">
        <v>20</v>
      </c>
      <c r="D337" s="40" t="s">
        <v>100</v>
      </c>
      <c r="E337" s="40" t="s">
        <v>186</v>
      </c>
      <c r="F337" s="40" t="s">
        <v>435</v>
      </c>
      <c r="G337" s="40" t="s">
        <v>15</v>
      </c>
      <c r="H337" s="40" t="s">
        <v>53</v>
      </c>
      <c r="I337" s="40" t="s">
        <v>69</v>
      </c>
      <c r="J337" s="41" cm="1">
        <f t="array" ref="J337">IF(C337=20,INDEX(CUOC!$C$28:$C$37,MATCH(N337,CUOC!$A$28:$A$37,0),0),INDEX(CUOC!$D$28:$D$37,MATCH(N337,CUOC!$A$28:$A$37,0),0))</f>
        <v>386100</v>
      </c>
      <c r="K337" s="41">
        <f t="shared" si="18"/>
        <v>30888</v>
      </c>
      <c r="L337" s="41">
        <f t="shared" si="19"/>
        <v>416988</v>
      </c>
      <c r="M337" s="37">
        <v>46128</v>
      </c>
      <c r="N337" s="42">
        <v>5</v>
      </c>
      <c r="O337" s="64">
        <v>34832</v>
      </c>
      <c r="P337" s="43" t="str">
        <f t="shared" si="17"/>
        <v>Cước vận chuyển cont Hàng 20 tuyến đường HẢI AN - NHĐV. Số xe: 15C15033</v>
      </c>
      <c r="Q337" s="3">
        <v>1</v>
      </c>
    </row>
    <row r="338" spans="1:17" ht="15" customHeight="1">
      <c r="A338" s="39">
        <v>325</v>
      </c>
      <c r="B338" s="40" t="s">
        <v>438</v>
      </c>
      <c r="C338" s="40">
        <v>20</v>
      </c>
      <c r="D338" s="40" t="s">
        <v>100</v>
      </c>
      <c r="E338" s="40" t="s">
        <v>186</v>
      </c>
      <c r="F338" s="40" t="s">
        <v>435</v>
      </c>
      <c r="G338" s="40" t="s">
        <v>15</v>
      </c>
      <c r="H338" s="40" t="s">
        <v>53</v>
      </c>
      <c r="I338" s="40" t="s">
        <v>69</v>
      </c>
      <c r="J338" s="41" cm="1">
        <f t="array" ref="J338">IF(C338=20,INDEX(CUOC!$C$28:$C$37,MATCH(N338,CUOC!$A$28:$A$37,0),0),INDEX(CUOC!$D$28:$D$37,MATCH(N338,CUOC!$A$28:$A$37,0),0))</f>
        <v>386100</v>
      </c>
      <c r="K338" s="41">
        <f t="shared" si="18"/>
        <v>30888</v>
      </c>
      <c r="L338" s="41">
        <f t="shared" si="19"/>
        <v>416988</v>
      </c>
      <c r="M338" s="37">
        <v>46128</v>
      </c>
      <c r="N338" s="42">
        <v>5</v>
      </c>
      <c r="O338" s="64">
        <v>34832</v>
      </c>
      <c r="P338" s="43" t="str">
        <f t="shared" si="17"/>
        <v>Cước vận chuyển cont Hàng 20 tuyến đường HẢI AN - NHĐV. Số xe: 15C15033</v>
      </c>
      <c r="Q338" s="3">
        <v>1</v>
      </c>
    </row>
    <row r="339" spans="1:17" ht="15" customHeight="1">
      <c r="A339" s="39">
        <v>326</v>
      </c>
      <c r="B339" s="40" t="s">
        <v>439</v>
      </c>
      <c r="C339" s="40">
        <v>20</v>
      </c>
      <c r="D339" s="40" t="s">
        <v>100</v>
      </c>
      <c r="E339" s="40" t="s">
        <v>186</v>
      </c>
      <c r="F339" s="40" t="s">
        <v>435</v>
      </c>
      <c r="G339" s="40" t="s">
        <v>15</v>
      </c>
      <c r="H339" s="40" t="s">
        <v>53</v>
      </c>
      <c r="I339" s="40" t="s">
        <v>67</v>
      </c>
      <c r="J339" s="41" cm="1">
        <f t="array" ref="J339">IF(C339=20,INDEX(CUOC!$C$28:$C$37,MATCH(N339,CUOC!$A$28:$A$37,0),0),INDEX(CUOC!$D$28:$D$37,MATCH(N339,CUOC!$A$28:$A$37,0),0))</f>
        <v>386100</v>
      </c>
      <c r="K339" s="41">
        <f t="shared" si="18"/>
        <v>30888</v>
      </c>
      <c r="L339" s="41">
        <f t="shared" si="19"/>
        <v>416988</v>
      </c>
      <c r="M339" s="37">
        <v>46128</v>
      </c>
      <c r="N339" s="42">
        <v>5</v>
      </c>
      <c r="O339" s="64">
        <v>34832</v>
      </c>
      <c r="P339" s="43" t="str">
        <f t="shared" si="17"/>
        <v>Cước vận chuyển cont Hàng 20 tuyến đường HẢI AN - NHĐV. Số xe: 15H08574</v>
      </c>
      <c r="Q339" s="3">
        <v>1</v>
      </c>
    </row>
    <row r="340" spans="1:17" ht="15" customHeight="1">
      <c r="A340" s="39">
        <v>327</v>
      </c>
      <c r="B340" s="40" t="s">
        <v>440</v>
      </c>
      <c r="C340" s="40">
        <v>20</v>
      </c>
      <c r="D340" s="40" t="s">
        <v>100</v>
      </c>
      <c r="E340" s="40" t="s">
        <v>186</v>
      </c>
      <c r="F340" s="40" t="s">
        <v>435</v>
      </c>
      <c r="G340" s="40" t="s">
        <v>15</v>
      </c>
      <c r="H340" s="40" t="s">
        <v>53</v>
      </c>
      <c r="I340" s="40" t="s">
        <v>463</v>
      </c>
      <c r="J340" s="41" cm="1">
        <f t="array" ref="J340">IF(C340=20,INDEX(CUOC!$C$28:$C$37,MATCH(N340,CUOC!$A$28:$A$37,0),0),INDEX(CUOC!$D$28:$D$37,MATCH(N340,CUOC!$A$28:$A$37,0),0))</f>
        <v>386100</v>
      </c>
      <c r="K340" s="41">
        <f t="shared" si="18"/>
        <v>30888</v>
      </c>
      <c r="L340" s="41">
        <f t="shared" si="19"/>
        <v>416988</v>
      </c>
      <c r="M340" s="37">
        <v>46128</v>
      </c>
      <c r="N340" s="42">
        <v>5</v>
      </c>
      <c r="O340" s="64">
        <v>34832</v>
      </c>
      <c r="P340" s="43" t="str">
        <f t="shared" si="17"/>
        <v>Cước vận chuyển cont Hàng 20 tuyến đường HẢI AN - NHĐV. Số xe: 15H17712</v>
      </c>
      <c r="Q340" s="3">
        <v>1</v>
      </c>
    </row>
    <row r="341" spans="1:17" ht="15" customHeight="1">
      <c r="A341" s="39">
        <v>328</v>
      </c>
      <c r="B341" s="40" t="s">
        <v>441</v>
      </c>
      <c r="C341" s="40">
        <v>20</v>
      </c>
      <c r="D341" s="40" t="s">
        <v>100</v>
      </c>
      <c r="E341" s="40" t="s">
        <v>186</v>
      </c>
      <c r="F341" s="40" t="s">
        <v>435</v>
      </c>
      <c r="G341" s="40" t="s">
        <v>15</v>
      </c>
      <c r="H341" s="40" t="s">
        <v>53</v>
      </c>
      <c r="I341" s="40" t="s">
        <v>64</v>
      </c>
      <c r="J341" s="41" cm="1">
        <f t="array" ref="J341">IF(C341=20,INDEX(CUOC!$C$28:$C$37,MATCH(N341,CUOC!$A$28:$A$37,0),0),INDEX(CUOC!$D$28:$D$37,MATCH(N341,CUOC!$A$28:$A$37,0),0))</f>
        <v>386100</v>
      </c>
      <c r="K341" s="41">
        <f t="shared" si="18"/>
        <v>30888</v>
      </c>
      <c r="L341" s="41">
        <f t="shared" si="19"/>
        <v>416988</v>
      </c>
      <c r="M341" s="37">
        <v>46128</v>
      </c>
      <c r="N341" s="42">
        <v>5</v>
      </c>
      <c r="O341" s="64">
        <v>34832</v>
      </c>
      <c r="P341" s="43" t="str">
        <f t="shared" si="17"/>
        <v>Cước vận chuyển cont Hàng 20 tuyến đường HẢI AN - NHĐV. Số xe: 15C09877</v>
      </c>
      <c r="Q341" s="3">
        <v>1</v>
      </c>
    </row>
    <row r="342" spans="1:17" ht="15" customHeight="1">
      <c r="A342" s="39">
        <v>329</v>
      </c>
      <c r="B342" s="40" t="s">
        <v>442</v>
      </c>
      <c r="C342" s="40">
        <v>20</v>
      </c>
      <c r="D342" s="40" t="s">
        <v>100</v>
      </c>
      <c r="E342" s="40" t="s">
        <v>186</v>
      </c>
      <c r="F342" s="40" t="s">
        <v>435</v>
      </c>
      <c r="G342" s="40" t="s">
        <v>15</v>
      </c>
      <c r="H342" s="40" t="s">
        <v>53</v>
      </c>
      <c r="I342" s="40" t="s">
        <v>98</v>
      </c>
      <c r="J342" s="41" cm="1">
        <f t="array" ref="J342">IF(C342=20,INDEX(CUOC!$C$28:$C$37,MATCH(N342,CUOC!$A$28:$A$37,0),0),INDEX(CUOC!$D$28:$D$37,MATCH(N342,CUOC!$A$28:$A$37,0),0))</f>
        <v>386100</v>
      </c>
      <c r="K342" s="41">
        <f t="shared" si="18"/>
        <v>30888</v>
      </c>
      <c r="L342" s="41">
        <f t="shared" si="19"/>
        <v>416988</v>
      </c>
      <c r="M342" s="37">
        <v>46128</v>
      </c>
      <c r="N342" s="42">
        <v>5</v>
      </c>
      <c r="O342" s="64">
        <v>34832</v>
      </c>
      <c r="P342" s="43" t="str">
        <f t="shared" si="17"/>
        <v>Cước vận chuyển cont Hàng 20 tuyến đường HẢI AN - NHĐV. Số xe: 15C17301</v>
      </c>
      <c r="Q342" s="3">
        <v>1</v>
      </c>
    </row>
    <row r="343" spans="1:17" ht="15" customHeight="1">
      <c r="A343" s="39">
        <v>330</v>
      </c>
      <c r="B343" s="40" t="s">
        <v>443</v>
      </c>
      <c r="C343" s="40">
        <v>20</v>
      </c>
      <c r="D343" s="40" t="s">
        <v>100</v>
      </c>
      <c r="E343" s="40" t="s">
        <v>186</v>
      </c>
      <c r="F343" s="40" t="s">
        <v>435</v>
      </c>
      <c r="G343" s="40" t="s">
        <v>15</v>
      </c>
      <c r="H343" s="40" t="s">
        <v>53</v>
      </c>
      <c r="I343" s="40" t="s">
        <v>70</v>
      </c>
      <c r="J343" s="41" cm="1">
        <f t="array" ref="J343">IF(C343=20,INDEX(CUOC!$C$28:$C$37,MATCH(N343,CUOC!$A$28:$A$37,0),0),INDEX(CUOC!$D$28:$D$37,MATCH(N343,CUOC!$A$28:$A$37,0),0))</f>
        <v>386100</v>
      </c>
      <c r="K343" s="41">
        <f t="shared" si="18"/>
        <v>30888</v>
      </c>
      <c r="L343" s="41">
        <f t="shared" si="19"/>
        <v>416988</v>
      </c>
      <c r="M343" s="37">
        <v>46128</v>
      </c>
      <c r="N343" s="42">
        <v>5</v>
      </c>
      <c r="O343" s="64">
        <v>34832</v>
      </c>
      <c r="P343" s="43" t="str">
        <f t="shared" si="17"/>
        <v>Cước vận chuyển cont Hàng 20 tuyến đường HẢI AN - NHĐV. Số xe: 15H07524</v>
      </c>
      <c r="Q343" s="3">
        <v>1</v>
      </c>
    </row>
    <row r="344" spans="1:17" ht="15" customHeight="1">
      <c r="A344" s="39">
        <v>331</v>
      </c>
      <c r="B344" s="40" t="s">
        <v>444</v>
      </c>
      <c r="C344" s="40">
        <v>20</v>
      </c>
      <c r="D344" s="40" t="s">
        <v>100</v>
      </c>
      <c r="E344" s="40" t="s">
        <v>186</v>
      </c>
      <c r="F344" s="40" t="s">
        <v>435</v>
      </c>
      <c r="G344" s="40" t="s">
        <v>15</v>
      </c>
      <c r="H344" s="40" t="s">
        <v>53</v>
      </c>
      <c r="I344" s="40" t="s">
        <v>72</v>
      </c>
      <c r="J344" s="41" cm="1">
        <f t="array" ref="J344">IF(C344=20,INDEX(CUOC!$C$28:$C$37,MATCH(N344,CUOC!$A$28:$A$37,0),0),INDEX(CUOC!$D$28:$D$37,MATCH(N344,CUOC!$A$28:$A$37,0),0))</f>
        <v>386100</v>
      </c>
      <c r="K344" s="41">
        <f t="shared" si="18"/>
        <v>30888</v>
      </c>
      <c r="L344" s="41">
        <f t="shared" si="19"/>
        <v>416988</v>
      </c>
      <c r="M344" s="37">
        <v>46128</v>
      </c>
      <c r="N344" s="42">
        <v>5</v>
      </c>
      <c r="O344" s="64">
        <v>34832</v>
      </c>
      <c r="P344" s="43" t="str">
        <f t="shared" si="17"/>
        <v>Cước vận chuyển cont Hàng 20 tuyến đường HẢI AN - NHĐV. Số xe: 15C30649</v>
      </c>
      <c r="Q344" s="3">
        <v>1</v>
      </c>
    </row>
    <row r="345" spans="1:17" ht="15" customHeight="1">
      <c r="A345" s="39">
        <v>332</v>
      </c>
      <c r="B345" s="40" t="s">
        <v>445</v>
      </c>
      <c r="C345" s="40">
        <v>20</v>
      </c>
      <c r="D345" s="40" t="s">
        <v>100</v>
      </c>
      <c r="E345" s="40" t="s">
        <v>186</v>
      </c>
      <c r="F345" s="40" t="s">
        <v>435</v>
      </c>
      <c r="G345" s="40" t="s">
        <v>15</v>
      </c>
      <c r="H345" s="40" t="s">
        <v>53</v>
      </c>
      <c r="I345" s="40" t="s">
        <v>72</v>
      </c>
      <c r="J345" s="41" cm="1">
        <f t="array" ref="J345">IF(C345=20,INDEX(CUOC!$C$28:$C$37,MATCH(N345,CUOC!$A$28:$A$37,0),0),INDEX(CUOC!$D$28:$D$37,MATCH(N345,CUOC!$A$28:$A$37,0),0))</f>
        <v>386100</v>
      </c>
      <c r="K345" s="41">
        <f t="shared" si="18"/>
        <v>30888</v>
      </c>
      <c r="L345" s="41">
        <f t="shared" si="19"/>
        <v>416988</v>
      </c>
      <c r="M345" s="37">
        <v>46128</v>
      </c>
      <c r="N345" s="42">
        <v>5</v>
      </c>
      <c r="O345" s="64">
        <v>34832</v>
      </c>
      <c r="P345" s="43" t="str">
        <f t="shared" si="17"/>
        <v>Cước vận chuyển cont Hàng 20 tuyến đường HẢI AN - NHĐV. Số xe: 15C30649</v>
      </c>
      <c r="Q345" s="3">
        <v>1</v>
      </c>
    </row>
    <row r="346" spans="1:17" ht="15" customHeight="1">
      <c r="A346" s="39">
        <v>333</v>
      </c>
      <c r="B346" s="40" t="s">
        <v>446</v>
      </c>
      <c r="C346" s="40">
        <v>20</v>
      </c>
      <c r="D346" s="40" t="s">
        <v>100</v>
      </c>
      <c r="E346" s="40" t="s">
        <v>186</v>
      </c>
      <c r="F346" s="40" t="s">
        <v>435</v>
      </c>
      <c r="G346" s="40" t="s">
        <v>15</v>
      </c>
      <c r="H346" s="40" t="s">
        <v>53</v>
      </c>
      <c r="I346" s="40" t="s">
        <v>70</v>
      </c>
      <c r="J346" s="41" cm="1">
        <f t="array" ref="J346">IF(C346=20,INDEX(CUOC!$C$28:$C$37,MATCH(N346,CUOC!$A$28:$A$37,0),0),INDEX(CUOC!$D$28:$D$37,MATCH(N346,CUOC!$A$28:$A$37,0),0))</f>
        <v>386100</v>
      </c>
      <c r="K346" s="41">
        <f t="shared" si="18"/>
        <v>30888</v>
      </c>
      <c r="L346" s="41">
        <f t="shared" si="19"/>
        <v>416988</v>
      </c>
      <c r="M346" s="37">
        <v>46128</v>
      </c>
      <c r="N346" s="42">
        <v>5</v>
      </c>
      <c r="O346" s="64">
        <v>34832</v>
      </c>
      <c r="P346" s="43" t="str">
        <f t="shared" si="17"/>
        <v>Cước vận chuyển cont Hàng 20 tuyến đường HẢI AN - NHĐV. Số xe: 15H07524</v>
      </c>
      <c r="Q346" s="3">
        <v>1</v>
      </c>
    </row>
    <row r="347" spans="1:17" ht="15" customHeight="1">
      <c r="A347" s="39">
        <v>334</v>
      </c>
      <c r="B347" s="40" t="s">
        <v>447</v>
      </c>
      <c r="C347" s="40">
        <v>20</v>
      </c>
      <c r="D347" s="40" t="s">
        <v>100</v>
      </c>
      <c r="E347" s="40" t="s">
        <v>186</v>
      </c>
      <c r="F347" s="40" t="s">
        <v>435</v>
      </c>
      <c r="G347" s="40" t="s">
        <v>15</v>
      </c>
      <c r="H347" s="40" t="s">
        <v>53</v>
      </c>
      <c r="I347" s="40" t="s">
        <v>69</v>
      </c>
      <c r="J347" s="41" cm="1">
        <f t="array" ref="J347">IF(C347=20,INDEX(CUOC!$C$28:$C$37,MATCH(N347,CUOC!$A$28:$A$37,0),0),INDEX(CUOC!$D$28:$D$37,MATCH(N347,CUOC!$A$28:$A$37,0),0))</f>
        <v>386100</v>
      </c>
      <c r="K347" s="41">
        <f t="shared" si="18"/>
        <v>30888</v>
      </c>
      <c r="L347" s="41">
        <f t="shared" si="19"/>
        <v>416988</v>
      </c>
      <c r="M347" s="37">
        <v>46128</v>
      </c>
      <c r="N347" s="42">
        <v>5</v>
      </c>
      <c r="O347" s="64">
        <v>34832</v>
      </c>
      <c r="P347" s="43" t="str">
        <f t="shared" si="17"/>
        <v>Cước vận chuyển cont Hàng 20 tuyến đường HẢI AN - NHĐV. Số xe: 15C15033</v>
      </c>
      <c r="Q347" s="3">
        <v>1</v>
      </c>
    </row>
    <row r="348" spans="1:17" ht="15" customHeight="1">
      <c r="A348" s="39">
        <v>335</v>
      </c>
      <c r="B348" s="40" t="s">
        <v>448</v>
      </c>
      <c r="C348" s="40">
        <v>20</v>
      </c>
      <c r="D348" s="40" t="s">
        <v>100</v>
      </c>
      <c r="E348" s="40" t="s">
        <v>186</v>
      </c>
      <c r="F348" s="40" t="s">
        <v>435</v>
      </c>
      <c r="G348" s="40" t="s">
        <v>15</v>
      </c>
      <c r="H348" s="40" t="s">
        <v>53</v>
      </c>
      <c r="I348" s="40" t="s">
        <v>67</v>
      </c>
      <c r="J348" s="41" cm="1">
        <f t="array" ref="J348">IF(C348=20,INDEX(CUOC!$C$28:$C$37,MATCH(N348,CUOC!$A$28:$A$37,0),0),INDEX(CUOC!$D$28:$D$37,MATCH(N348,CUOC!$A$28:$A$37,0),0))</f>
        <v>386100</v>
      </c>
      <c r="K348" s="41">
        <f t="shared" si="18"/>
        <v>30888</v>
      </c>
      <c r="L348" s="41">
        <f t="shared" si="19"/>
        <v>416988</v>
      </c>
      <c r="M348" s="37">
        <v>46128</v>
      </c>
      <c r="N348" s="42">
        <v>5</v>
      </c>
      <c r="O348" s="64">
        <v>34832</v>
      </c>
      <c r="P348" s="43" t="str">
        <f t="shared" si="17"/>
        <v>Cước vận chuyển cont Hàng 20 tuyến đường HẢI AN - NHĐV. Số xe: 15H08574</v>
      </c>
      <c r="Q348" s="3">
        <v>1</v>
      </c>
    </row>
    <row r="349" spans="1:17" ht="15" customHeight="1">
      <c r="A349" s="39">
        <v>336</v>
      </c>
      <c r="B349" s="40" t="s">
        <v>449</v>
      </c>
      <c r="C349" s="40">
        <v>20</v>
      </c>
      <c r="D349" s="40" t="s">
        <v>100</v>
      </c>
      <c r="E349" s="40" t="s">
        <v>186</v>
      </c>
      <c r="F349" s="40" t="s">
        <v>435</v>
      </c>
      <c r="G349" s="40" t="s">
        <v>15</v>
      </c>
      <c r="H349" s="40" t="s">
        <v>53</v>
      </c>
      <c r="I349" s="40" t="s">
        <v>72</v>
      </c>
      <c r="J349" s="41" cm="1">
        <f t="array" ref="J349">IF(C349=20,INDEX(CUOC!$C$28:$C$37,MATCH(N349,CUOC!$A$28:$A$37,0),0),INDEX(CUOC!$D$28:$D$37,MATCH(N349,CUOC!$A$28:$A$37,0),0))</f>
        <v>386100</v>
      </c>
      <c r="K349" s="41">
        <f t="shared" si="18"/>
        <v>30888</v>
      </c>
      <c r="L349" s="41">
        <f t="shared" si="19"/>
        <v>416988</v>
      </c>
      <c r="M349" s="37">
        <v>46128</v>
      </c>
      <c r="N349" s="42">
        <v>5</v>
      </c>
      <c r="O349" s="64">
        <v>34832</v>
      </c>
      <c r="P349" s="43" t="str">
        <f t="shared" si="17"/>
        <v>Cước vận chuyển cont Hàng 20 tuyến đường HẢI AN - NHĐV. Số xe: 15C30649</v>
      </c>
      <c r="Q349" s="3">
        <v>1</v>
      </c>
    </row>
    <row r="350" spans="1:17" ht="15" customHeight="1">
      <c r="A350" s="39">
        <v>337</v>
      </c>
      <c r="B350" s="40" t="s">
        <v>450</v>
      </c>
      <c r="C350" s="40">
        <v>20</v>
      </c>
      <c r="D350" s="40" t="s">
        <v>100</v>
      </c>
      <c r="E350" s="40" t="s">
        <v>186</v>
      </c>
      <c r="F350" s="40" t="s">
        <v>435</v>
      </c>
      <c r="G350" s="40" t="s">
        <v>15</v>
      </c>
      <c r="H350" s="40" t="s">
        <v>53</v>
      </c>
      <c r="I350" s="40" t="s">
        <v>72</v>
      </c>
      <c r="J350" s="41" cm="1">
        <f t="array" ref="J350">IF(C350=20,INDEX(CUOC!$C$28:$C$37,MATCH(N350,CUOC!$A$28:$A$37,0),0),INDEX(CUOC!$D$28:$D$37,MATCH(N350,CUOC!$A$28:$A$37,0),0))</f>
        <v>386100</v>
      </c>
      <c r="K350" s="41">
        <f t="shared" si="18"/>
        <v>30888</v>
      </c>
      <c r="L350" s="41">
        <f t="shared" si="19"/>
        <v>416988</v>
      </c>
      <c r="M350" s="37">
        <v>46128</v>
      </c>
      <c r="N350" s="42">
        <v>5</v>
      </c>
      <c r="O350" s="64">
        <v>34832</v>
      </c>
      <c r="P350" s="43" t="str">
        <f t="shared" si="17"/>
        <v>Cước vận chuyển cont Hàng 20 tuyến đường HẢI AN - NHĐV. Số xe: 15C30649</v>
      </c>
      <c r="Q350" s="3">
        <v>1</v>
      </c>
    </row>
    <row r="351" spans="1:17" ht="15" customHeight="1">
      <c r="A351" s="39">
        <v>338</v>
      </c>
      <c r="B351" s="40" t="s">
        <v>451</v>
      </c>
      <c r="C351" s="40">
        <v>20</v>
      </c>
      <c r="D351" s="40" t="s">
        <v>100</v>
      </c>
      <c r="E351" s="40" t="s">
        <v>186</v>
      </c>
      <c r="F351" s="40" t="s">
        <v>435</v>
      </c>
      <c r="G351" s="40" t="s">
        <v>15</v>
      </c>
      <c r="H351" s="40" t="s">
        <v>53</v>
      </c>
      <c r="I351" s="40" t="s">
        <v>67</v>
      </c>
      <c r="J351" s="41" cm="1">
        <f t="array" ref="J351">IF(C351=20,INDEX(CUOC!$C$28:$C$37,MATCH(N351,CUOC!$A$28:$A$37,0),0),INDEX(CUOC!$D$28:$D$37,MATCH(N351,CUOC!$A$28:$A$37,0),0))</f>
        <v>386100</v>
      </c>
      <c r="K351" s="41">
        <f t="shared" si="18"/>
        <v>30888</v>
      </c>
      <c r="L351" s="41">
        <f t="shared" si="19"/>
        <v>416988</v>
      </c>
      <c r="M351" s="37">
        <v>46128</v>
      </c>
      <c r="N351" s="42">
        <v>5</v>
      </c>
      <c r="O351" s="64">
        <v>34832</v>
      </c>
      <c r="P351" s="43" t="str">
        <f t="shared" si="17"/>
        <v>Cước vận chuyển cont Hàng 20 tuyến đường HẢI AN - NHĐV. Số xe: 15H08574</v>
      </c>
      <c r="Q351" s="3">
        <v>1</v>
      </c>
    </row>
    <row r="352" spans="1:17" ht="15" customHeight="1">
      <c r="A352" s="39">
        <v>339</v>
      </c>
      <c r="B352" s="40" t="s">
        <v>452</v>
      </c>
      <c r="C352" s="40">
        <v>20</v>
      </c>
      <c r="D352" s="40" t="s">
        <v>100</v>
      </c>
      <c r="E352" s="40" t="s">
        <v>186</v>
      </c>
      <c r="F352" s="40" t="s">
        <v>435</v>
      </c>
      <c r="G352" s="40" t="s">
        <v>15</v>
      </c>
      <c r="H352" s="40" t="s">
        <v>53</v>
      </c>
      <c r="I352" s="40" t="s">
        <v>69</v>
      </c>
      <c r="J352" s="41" cm="1">
        <f t="array" ref="J352">IF(C352=20,INDEX(CUOC!$C$28:$C$37,MATCH(N352,CUOC!$A$28:$A$37,0),0),INDEX(CUOC!$D$28:$D$37,MATCH(N352,CUOC!$A$28:$A$37,0),0))</f>
        <v>386100</v>
      </c>
      <c r="K352" s="41">
        <f t="shared" si="18"/>
        <v>30888</v>
      </c>
      <c r="L352" s="41">
        <f t="shared" si="19"/>
        <v>416988</v>
      </c>
      <c r="M352" s="37">
        <v>46128</v>
      </c>
      <c r="N352" s="42">
        <v>5</v>
      </c>
      <c r="O352" s="64">
        <v>34832</v>
      </c>
      <c r="P352" s="43" t="str">
        <f t="shared" si="17"/>
        <v>Cước vận chuyển cont Hàng 20 tuyến đường HẢI AN - NHĐV. Số xe: 15C15033</v>
      </c>
      <c r="Q352" s="3">
        <v>1</v>
      </c>
    </row>
    <row r="353" spans="1:17" ht="15" customHeight="1">
      <c r="A353" s="39">
        <v>340</v>
      </c>
      <c r="B353" s="40" t="s">
        <v>453</v>
      </c>
      <c r="C353" s="40">
        <v>20</v>
      </c>
      <c r="D353" s="40" t="s">
        <v>100</v>
      </c>
      <c r="E353" s="40" t="s">
        <v>186</v>
      </c>
      <c r="F353" s="40" t="s">
        <v>435</v>
      </c>
      <c r="G353" s="40" t="s">
        <v>15</v>
      </c>
      <c r="H353" s="40" t="s">
        <v>53</v>
      </c>
      <c r="I353" s="40" t="s">
        <v>64</v>
      </c>
      <c r="J353" s="41" cm="1">
        <f t="array" ref="J353">IF(C353=20,INDEX(CUOC!$C$28:$C$37,MATCH(N353,CUOC!$A$28:$A$37,0),0),INDEX(CUOC!$D$28:$D$37,MATCH(N353,CUOC!$A$28:$A$37,0),0))</f>
        <v>386100</v>
      </c>
      <c r="K353" s="41">
        <f t="shared" si="18"/>
        <v>30888</v>
      </c>
      <c r="L353" s="41">
        <f t="shared" si="19"/>
        <v>416988</v>
      </c>
      <c r="M353" s="37">
        <v>46128</v>
      </c>
      <c r="N353" s="42">
        <v>5</v>
      </c>
      <c r="O353" s="64">
        <v>34832</v>
      </c>
      <c r="P353" s="43" t="str">
        <f t="shared" si="17"/>
        <v>Cước vận chuyển cont Hàng 20 tuyến đường HẢI AN - NHĐV. Số xe: 15C09877</v>
      </c>
      <c r="Q353" s="3">
        <v>1</v>
      </c>
    </row>
    <row r="354" spans="1:17" ht="15" customHeight="1">
      <c r="A354" s="39">
        <v>341</v>
      </c>
      <c r="B354" s="40" t="s">
        <v>454</v>
      </c>
      <c r="C354" s="40">
        <v>20</v>
      </c>
      <c r="D354" s="40" t="s">
        <v>100</v>
      </c>
      <c r="E354" s="40" t="s">
        <v>186</v>
      </c>
      <c r="F354" s="40" t="s">
        <v>435</v>
      </c>
      <c r="G354" s="40" t="s">
        <v>15</v>
      </c>
      <c r="H354" s="40" t="s">
        <v>53</v>
      </c>
      <c r="I354" s="40" t="s">
        <v>99</v>
      </c>
      <c r="J354" s="41" cm="1">
        <f t="array" ref="J354">IF(C354=20,INDEX(CUOC!$C$28:$C$37,MATCH(N354,CUOC!$A$28:$A$37,0),0),INDEX(CUOC!$D$28:$D$37,MATCH(N354,CUOC!$A$28:$A$37,0),0))</f>
        <v>386100</v>
      </c>
      <c r="K354" s="41">
        <f t="shared" si="18"/>
        <v>30888</v>
      </c>
      <c r="L354" s="41">
        <f t="shared" si="19"/>
        <v>416988</v>
      </c>
      <c r="M354" s="37">
        <v>46128</v>
      </c>
      <c r="N354" s="42">
        <v>5</v>
      </c>
      <c r="O354" s="64">
        <v>34832</v>
      </c>
      <c r="P354" s="43" t="str">
        <f t="shared" si="17"/>
        <v>Cước vận chuyển cont Hàng 20 tuyến đường HẢI AN - NHĐV. Số xe: 15H20645</v>
      </c>
      <c r="Q354" s="3">
        <v>1</v>
      </c>
    </row>
    <row r="355" spans="1:17" ht="15" customHeight="1">
      <c r="A355" s="39">
        <v>342</v>
      </c>
      <c r="B355" s="40" t="s">
        <v>455</v>
      </c>
      <c r="C355" s="40">
        <v>20</v>
      </c>
      <c r="D355" s="40" t="s">
        <v>100</v>
      </c>
      <c r="E355" s="40" t="s">
        <v>186</v>
      </c>
      <c r="F355" s="40" t="s">
        <v>435</v>
      </c>
      <c r="G355" s="40" t="s">
        <v>15</v>
      </c>
      <c r="H355" s="40" t="s">
        <v>53</v>
      </c>
      <c r="I355" s="40" t="s">
        <v>70</v>
      </c>
      <c r="J355" s="41" cm="1">
        <f t="array" ref="J355">IF(C355=20,INDEX(CUOC!$C$28:$C$37,MATCH(N355,CUOC!$A$28:$A$37,0),0),INDEX(CUOC!$D$28:$D$37,MATCH(N355,CUOC!$A$28:$A$37,0),0))</f>
        <v>386100</v>
      </c>
      <c r="K355" s="41">
        <f t="shared" si="18"/>
        <v>30888</v>
      </c>
      <c r="L355" s="41">
        <f t="shared" si="19"/>
        <v>416988</v>
      </c>
      <c r="M355" s="37">
        <v>46128</v>
      </c>
      <c r="N355" s="42">
        <v>5</v>
      </c>
      <c r="O355" s="64">
        <v>34832</v>
      </c>
      <c r="P355" s="43" t="str">
        <f t="shared" si="17"/>
        <v>Cước vận chuyển cont Hàng 20 tuyến đường HẢI AN - NHĐV. Số xe: 15H07524</v>
      </c>
      <c r="Q355" s="3">
        <v>1</v>
      </c>
    </row>
    <row r="356" spans="1:17" ht="15" customHeight="1">
      <c r="A356" s="39">
        <v>343</v>
      </c>
      <c r="B356" s="40" t="s">
        <v>456</v>
      </c>
      <c r="C356" s="40">
        <v>20</v>
      </c>
      <c r="D356" s="40" t="s">
        <v>100</v>
      </c>
      <c r="E356" s="40" t="s">
        <v>186</v>
      </c>
      <c r="F356" s="40" t="s">
        <v>435</v>
      </c>
      <c r="G356" s="40" t="s">
        <v>15</v>
      </c>
      <c r="H356" s="40" t="s">
        <v>53</v>
      </c>
      <c r="I356" s="40" t="s">
        <v>74</v>
      </c>
      <c r="J356" s="41" cm="1">
        <f t="array" ref="J356">IF(C356=20,INDEX(CUOC!$C$28:$C$37,MATCH(N356,CUOC!$A$28:$A$37,0),0),INDEX(CUOC!$D$28:$D$37,MATCH(N356,CUOC!$A$28:$A$37,0),0))</f>
        <v>386100</v>
      </c>
      <c r="K356" s="41">
        <f t="shared" si="18"/>
        <v>30888</v>
      </c>
      <c r="L356" s="41">
        <f t="shared" si="19"/>
        <v>416988</v>
      </c>
      <c r="M356" s="37">
        <v>46128</v>
      </c>
      <c r="N356" s="42">
        <v>5</v>
      </c>
      <c r="O356" s="64">
        <v>34832</v>
      </c>
      <c r="P356" s="43" t="str">
        <f t="shared" si="17"/>
        <v>Cước vận chuyển cont Hàng 20 tuyến đường HẢI AN - NHĐV. Số xe: 15H07788</v>
      </c>
      <c r="Q356" s="3">
        <v>1</v>
      </c>
    </row>
    <row r="357" spans="1:17" ht="15" customHeight="1">
      <c r="A357" s="39">
        <v>344</v>
      </c>
      <c r="B357" s="40" t="s">
        <v>457</v>
      </c>
      <c r="C357" s="40">
        <v>20</v>
      </c>
      <c r="D357" s="40" t="s">
        <v>100</v>
      </c>
      <c r="E357" s="40" t="s">
        <v>186</v>
      </c>
      <c r="F357" s="40" t="s">
        <v>435</v>
      </c>
      <c r="G357" s="40" t="s">
        <v>15</v>
      </c>
      <c r="H357" s="40" t="s">
        <v>53</v>
      </c>
      <c r="I357" s="40" t="s">
        <v>74</v>
      </c>
      <c r="J357" s="41" cm="1">
        <f t="array" ref="J357">IF(C357=20,INDEX(CUOC!$C$28:$C$37,MATCH(N357,CUOC!$A$28:$A$37,0),0),INDEX(CUOC!$D$28:$D$37,MATCH(N357,CUOC!$A$28:$A$37,0),0))</f>
        <v>386100</v>
      </c>
      <c r="K357" s="41">
        <f t="shared" si="18"/>
        <v>30888</v>
      </c>
      <c r="L357" s="41">
        <f t="shared" si="19"/>
        <v>416988</v>
      </c>
      <c r="M357" s="37">
        <v>46128</v>
      </c>
      <c r="N357" s="42">
        <v>5</v>
      </c>
      <c r="O357" s="64">
        <v>34832</v>
      </c>
      <c r="P357" s="43" t="str">
        <f t="shared" si="17"/>
        <v>Cước vận chuyển cont Hàng 20 tuyến đường HẢI AN - NHĐV. Số xe: 15H07788</v>
      </c>
      <c r="Q357" s="3">
        <v>1</v>
      </c>
    </row>
    <row r="358" spans="1:17" ht="15" customHeight="1">
      <c r="A358" s="39">
        <v>345</v>
      </c>
      <c r="B358" s="40" t="s">
        <v>458</v>
      </c>
      <c r="C358" s="40">
        <v>20</v>
      </c>
      <c r="D358" s="40" t="s">
        <v>100</v>
      </c>
      <c r="E358" s="40" t="s">
        <v>186</v>
      </c>
      <c r="F358" s="40" t="s">
        <v>435</v>
      </c>
      <c r="G358" s="40" t="s">
        <v>15</v>
      </c>
      <c r="H358" s="40" t="s">
        <v>53</v>
      </c>
      <c r="I358" s="40" t="s">
        <v>463</v>
      </c>
      <c r="J358" s="41" cm="1">
        <f t="array" ref="J358">IF(C358=20,INDEX(CUOC!$C$28:$C$37,MATCH(N358,CUOC!$A$28:$A$37,0),0),INDEX(CUOC!$D$28:$D$37,MATCH(N358,CUOC!$A$28:$A$37,0),0))</f>
        <v>386100</v>
      </c>
      <c r="K358" s="41">
        <f t="shared" si="18"/>
        <v>30888</v>
      </c>
      <c r="L358" s="41">
        <f t="shared" si="19"/>
        <v>416988</v>
      </c>
      <c r="M358" s="37">
        <v>46128</v>
      </c>
      <c r="N358" s="42">
        <v>5</v>
      </c>
      <c r="O358" s="64">
        <v>34832</v>
      </c>
      <c r="P358" s="43" t="str">
        <f t="shared" si="17"/>
        <v>Cước vận chuyển cont Hàng 20 tuyến đường HẢI AN - NHĐV. Số xe: 15H17712</v>
      </c>
      <c r="Q358" s="3">
        <v>1</v>
      </c>
    </row>
    <row r="359" spans="1:17" ht="15" customHeight="1">
      <c r="A359" s="39">
        <v>346</v>
      </c>
      <c r="B359" s="40" t="s">
        <v>459</v>
      </c>
      <c r="C359" s="40">
        <v>40</v>
      </c>
      <c r="D359" s="40" t="s">
        <v>100</v>
      </c>
      <c r="E359" s="40" t="s">
        <v>186</v>
      </c>
      <c r="F359" s="40" t="s">
        <v>435</v>
      </c>
      <c r="G359" s="40" t="s">
        <v>15</v>
      </c>
      <c r="H359" s="40" t="s">
        <v>53</v>
      </c>
      <c r="I359" s="40" t="s">
        <v>69</v>
      </c>
      <c r="J359" s="41" cm="1">
        <f t="array" ref="J359">IF(C359=20,INDEX(CUOC!$C$28:$C$37,MATCH(N359,CUOC!$A$28:$A$37,0),0),INDEX(CUOC!$D$28:$D$37,MATCH(N359,CUOC!$A$28:$A$37,0),0))</f>
        <v>448500</v>
      </c>
      <c r="K359" s="41">
        <f t="shared" si="18"/>
        <v>35880</v>
      </c>
      <c r="L359" s="41">
        <f t="shared" si="19"/>
        <v>484380</v>
      </c>
      <c r="M359" s="37">
        <v>46128</v>
      </c>
      <c r="N359" s="42">
        <v>5</v>
      </c>
      <c r="O359" s="64">
        <v>34832</v>
      </c>
      <c r="P359" s="43" t="str">
        <f t="shared" si="17"/>
        <v>Cước vận chuyển cont Hàng 40 tuyến đường HẢI AN - NHĐV. Số xe: 15C15033</v>
      </c>
      <c r="Q359" s="3">
        <v>1</v>
      </c>
    </row>
    <row r="360" spans="1:17" ht="15" customHeight="1">
      <c r="A360" s="39">
        <v>347</v>
      </c>
      <c r="B360" s="40" t="s">
        <v>460</v>
      </c>
      <c r="C360" s="40">
        <v>40</v>
      </c>
      <c r="D360" s="40" t="s">
        <v>100</v>
      </c>
      <c r="E360" s="40" t="s">
        <v>186</v>
      </c>
      <c r="F360" s="40" t="s">
        <v>435</v>
      </c>
      <c r="G360" s="40" t="s">
        <v>15</v>
      </c>
      <c r="H360" s="40" t="s">
        <v>53</v>
      </c>
      <c r="I360" s="40" t="s">
        <v>64</v>
      </c>
      <c r="J360" s="41" cm="1">
        <f t="array" ref="J360">IF(C360=20,INDEX(CUOC!$C$28:$C$37,MATCH(N360,CUOC!$A$28:$A$37,0),0),INDEX(CUOC!$D$28:$D$37,MATCH(N360,CUOC!$A$28:$A$37,0),0))</f>
        <v>448500</v>
      </c>
      <c r="K360" s="41">
        <f t="shared" si="18"/>
        <v>35880</v>
      </c>
      <c r="L360" s="41">
        <f t="shared" si="19"/>
        <v>484380</v>
      </c>
      <c r="M360" s="37">
        <v>46128</v>
      </c>
      <c r="N360" s="42">
        <v>5</v>
      </c>
      <c r="O360" s="64">
        <v>34832</v>
      </c>
      <c r="P360" s="43" t="str">
        <f t="shared" si="17"/>
        <v>Cước vận chuyển cont Hàng 40 tuyến đường HẢI AN - NHĐV. Số xe: 15C09877</v>
      </c>
      <c r="Q360" s="3">
        <v>1</v>
      </c>
    </row>
    <row r="361" spans="1:17" ht="15" customHeight="1">
      <c r="A361" s="39">
        <v>348</v>
      </c>
      <c r="B361" s="40" t="s">
        <v>461</v>
      </c>
      <c r="C361" s="40">
        <v>20</v>
      </c>
      <c r="D361" s="40" t="s">
        <v>100</v>
      </c>
      <c r="E361" s="40" t="s">
        <v>186</v>
      </c>
      <c r="F361" s="40" t="s">
        <v>435</v>
      </c>
      <c r="G361" s="40" t="s">
        <v>15</v>
      </c>
      <c r="H361" s="40" t="s">
        <v>53</v>
      </c>
      <c r="I361" s="40" t="s">
        <v>70</v>
      </c>
      <c r="J361" s="41" cm="1">
        <f t="array" ref="J361">IF(C361=20,INDEX(CUOC!$C$28:$C$37,MATCH(N361,CUOC!$A$28:$A$37,0),0),INDEX(CUOC!$D$28:$D$37,MATCH(N361,CUOC!$A$28:$A$37,0),0))</f>
        <v>386100</v>
      </c>
      <c r="K361" s="41">
        <f t="shared" si="18"/>
        <v>30888</v>
      </c>
      <c r="L361" s="41">
        <f t="shared" si="19"/>
        <v>416988</v>
      </c>
      <c r="M361" s="37">
        <v>46128</v>
      </c>
      <c r="N361" s="42">
        <v>5</v>
      </c>
      <c r="O361" s="64">
        <v>34832</v>
      </c>
      <c r="P361" s="43" t="str">
        <f t="shared" si="17"/>
        <v>Cước vận chuyển cont Hàng 20 tuyến đường HẢI AN - NHĐV. Số xe: 15H07524</v>
      </c>
      <c r="Q361" s="3">
        <v>1</v>
      </c>
    </row>
    <row r="362" spans="1:17" ht="15" customHeight="1">
      <c r="A362" s="39">
        <v>349</v>
      </c>
      <c r="B362" s="40" t="s">
        <v>462</v>
      </c>
      <c r="C362" s="40">
        <v>20</v>
      </c>
      <c r="D362" s="40" t="s">
        <v>100</v>
      </c>
      <c r="E362" s="40" t="s">
        <v>186</v>
      </c>
      <c r="F362" s="40" t="s">
        <v>435</v>
      </c>
      <c r="G362" s="40" t="s">
        <v>15</v>
      </c>
      <c r="H362" s="40" t="s">
        <v>53</v>
      </c>
      <c r="I362" s="40" t="s">
        <v>463</v>
      </c>
      <c r="J362" s="41" cm="1">
        <f t="array" ref="J362">IF(C362=20,INDEX(CUOC!$C$28:$C$37,MATCH(N362,CUOC!$A$28:$A$37,0),0),INDEX(CUOC!$D$28:$D$37,MATCH(N362,CUOC!$A$28:$A$37,0),0))</f>
        <v>386100</v>
      </c>
      <c r="K362" s="41">
        <f t="shared" si="18"/>
        <v>30888</v>
      </c>
      <c r="L362" s="41">
        <f t="shared" si="19"/>
        <v>416988</v>
      </c>
      <c r="M362" s="37">
        <v>46128</v>
      </c>
      <c r="N362" s="42">
        <v>5</v>
      </c>
      <c r="O362" s="64">
        <v>34832</v>
      </c>
      <c r="P362" s="43" t="str">
        <f t="shared" si="17"/>
        <v>Cước vận chuyển cont Hàng 20 tuyến đường HẢI AN - NHĐV. Số xe: 15H17712</v>
      </c>
      <c r="Q362" s="3">
        <v>1</v>
      </c>
    </row>
    <row r="363" spans="1:17" ht="15" customHeight="1">
      <c r="A363" s="39">
        <v>350</v>
      </c>
      <c r="B363" s="40" t="s">
        <v>491</v>
      </c>
      <c r="C363" s="40">
        <v>40</v>
      </c>
      <c r="D363" s="40" t="s">
        <v>100</v>
      </c>
      <c r="E363" s="40" t="s">
        <v>186</v>
      </c>
      <c r="F363" s="40" t="s">
        <v>435</v>
      </c>
      <c r="G363" s="40" t="s">
        <v>15</v>
      </c>
      <c r="H363" s="40" t="s">
        <v>53</v>
      </c>
      <c r="I363" s="40" t="s">
        <v>66</v>
      </c>
      <c r="J363" s="41" cm="1">
        <f t="array" ref="J363">IF(C363=20,INDEX(CUOC!$C$28:$C$37,MATCH(N363,CUOC!$A$28:$A$37,0),0),INDEX(CUOC!$D$28:$D$37,MATCH(N363,CUOC!$A$28:$A$37,0),0))</f>
        <v>448500</v>
      </c>
      <c r="K363" s="41">
        <f t="shared" ref="K363" si="20">+J363*0.08</f>
        <v>35880</v>
      </c>
      <c r="L363" s="41">
        <f t="shared" ref="L363" si="21">+K363+J363</f>
        <v>484380</v>
      </c>
      <c r="M363" s="37">
        <v>46128</v>
      </c>
      <c r="N363" s="42">
        <v>5</v>
      </c>
      <c r="O363" s="64">
        <v>34832</v>
      </c>
      <c r="P363" s="43" t="str">
        <f t="shared" ref="P363" si="22">IF(D363="R",$P$8&amp;C363&amp;$P$10&amp;G363&amp;$Q$12&amp;H363&amp;$P$11&amp;I363,$P$9&amp;C363&amp;$P$10&amp;G363&amp;$Q$12&amp;H363&amp;$P$11&amp;I363)</f>
        <v>Cước vận chuyển cont Hàng 40 tuyến đường HẢI AN - NHĐV. Số xe: 15H07135</v>
      </c>
      <c r="Q363" s="3">
        <v>1</v>
      </c>
    </row>
    <row r="364" spans="1:17" s="72" customFormat="1" ht="15" customHeight="1">
      <c r="A364" s="39">
        <v>351</v>
      </c>
      <c r="B364" s="69" t="s">
        <v>494</v>
      </c>
      <c r="C364" s="69">
        <v>20</v>
      </c>
      <c r="D364" s="69" t="s">
        <v>100</v>
      </c>
      <c r="E364" s="69" t="s">
        <v>186</v>
      </c>
      <c r="F364" s="69" t="s">
        <v>495</v>
      </c>
      <c r="G364" s="69" t="s">
        <v>15</v>
      </c>
      <c r="H364" s="69" t="s">
        <v>53</v>
      </c>
      <c r="I364" s="69" t="s">
        <v>64</v>
      </c>
      <c r="J364" s="41" cm="1">
        <f t="array" ref="J364">IF(C364=20,INDEX(CUOC!$C$28:$C$37,MATCH(N364,CUOC!$A$28:$A$37,0),0),INDEX(CUOC!$D$28:$D$37,MATCH(N364,CUOC!$A$28:$A$37,0),0))</f>
        <v>386100</v>
      </c>
      <c r="K364" s="41">
        <f t="shared" ref="K364:K427" si="23">+J364*0.08</f>
        <v>30888</v>
      </c>
      <c r="L364" s="41">
        <f t="shared" ref="L364:L427" si="24">+K364+J364</f>
        <v>416988</v>
      </c>
      <c r="M364" s="70" t="s">
        <v>565</v>
      </c>
      <c r="N364" s="73">
        <v>5</v>
      </c>
      <c r="O364" s="74">
        <v>34832</v>
      </c>
      <c r="P364" s="71" t="str">
        <f t="shared" ref="P364:P427" si="25">IF(D364="R",$P$8&amp;C364&amp;$P$10&amp;G364&amp;$Q$12&amp;H364&amp;$P$11&amp;I364,$P$9&amp;C364&amp;$P$10&amp;G364&amp;$Q$12&amp;H364&amp;$P$11&amp;I364)</f>
        <v>Cước vận chuyển cont Hàng 20 tuyến đường HẢI AN - NHĐV. Số xe: 15C09877</v>
      </c>
      <c r="Q364" s="72">
        <v>1</v>
      </c>
    </row>
    <row r="365" spans="1:17" s="72" customFormat="1" ht="15" customHeight="1">
      <c r="A365" s="39">
        <v>352</v>
      </c>
      <c r="B365" s="69" t="s">
        <v>496</v>
      </c>
      <c r="C365" s="69">
        <v>20</v>
      </c>
      <c r="D365" s="69" t="s">
        <v>100</v>
      </c>
      <c r="E365" s="69" t="s">
        <v>186</v>
      </c>
      <c r="F365" s="69" t="s">
        <v>495</v>
      </c>
      <c r="G365" s="69" t="s">
        <v>15</v>
      </c>
      <c r="H365" s="69" t="s">
        <v>53</v>
      </c>
      <c r="I365" s="69" t="s">
        <v>64</v>
      </c>
      <c r="J365" s="41" cm="1">
        <f t="array" ref="J365">IF(C365=20,INDEX(CUOC!$C$28:$C$37,MATCH(N365,CUOC!$A$28:$A$37,0),0),INDEX(CUOC!$D$28:$D$37,MATCH(N365,CUOC!$A$28:$A$37,0),0))</f>
        <v>386100</v>
      </c>
      <c r="K365" s="41">
        <f t="shared" si="23"/>
        <v>30888</v>
      </c>
      <c r="L365" s="41">
        <f t="shared" si="24"/>
        <v>416988</v>
      </c>
      <c r="M365" s="70" t="s">
        <v>565</v>
      </c>
      <c r="N365" s="73">
        <v>5</v>
      </c>
      <c r="O365" s="74">
        <v>34832</v>
      </c>
      <c r="P365" s="71" t="str">
        <f t="shared" si="25"/>
        <v>Cước vận chuyển cont Hàng 20 tuyến đường HẢI AN - NHĐV. Số xe: 15C09877</v>
      </c>
      <c r="Q365" s="72">
        <v>1</v>
      </c>
    </row>
    <row r="366" spans="1:17" s="72" customFormat="1" ht="15" customHeight="1">
      <c r="A366" s="39">
        <v>353</v>
      </c>
      <c r="B366" s="69" t="s">
        <v>497</v>
      </c>
      <c r="C366" s="69">
        <v>20</v>
      </c>
      <c r="D366" s="69" t="s">
        <v>100</v>
      </c>
      <c r="E366" s="69" t="s">
        <v>186</v>
      </c>
      <c r="F366" s="69" t="s">
        <v>495</v>
      </c>
      <c r="G366" s="69" t="s">
        <v>15</v>
      </c>
      <c r="H366" s="69" t="s">
        <v>53</v>
      </c>
      <c r="I366" s="69" t="s">
        <v>67</v>
      </c>
      <c r="J366" s="41" cm="1">
        <f t="array" ref="J366">IF(C366=20,INDEX(CUOC!$C$28:$C$37,MATCH(N366,CUOC!$A$28:$A$37,0),0),INDEX(CUOC!$D$28:$D$37,MATCH(N366,CUOC!$A$28:$A$37,0),0))</f>
        <v>386100</v>
      </c>
      <c r="K366" s="41">
        <f t="shared" si="23"/>
        <v>30888</v>
      </c>
      <c r="L366" s="41">
        <f t="shared" si="24"/>
        <v>416988</v>
      </c>
      <c r="M366" s="70" t="s">
        <v>565</v>
      </c>
      <c r="N366" s="73">
        <v>5</v>
      </c>
      <c r="O366" s="74">
        <v>34832</v>
      </c>
      <c r="P366" s="71" t="str">
        <f t="shared" si="25"/>
        <v>Cước vận chuyển cont Hàng 20 tuyến đường HẢI AN - NHĐV. Số xe: 15H08574</v>
      </c>
      <c r="Q366" s="72">
        <v>1</v>
      </c>
    </row>
    <row r="367" spans="1:17" s="72" customFormat="1" ht="15" customHeight="1">
      <c r="A367" s="39">
        <v>354</v>
      </c>
      <c r="B367" s="69" t="s">
        <v>498</v>
      </c>
      <c r="C367" s="69">
        <v>20</v>
      </c>
      <c r="D367" s="69" t="s">
        <v>100</v>
      </c>
      <c r="E367" s="69" t="s">
        <v>186</v>
      </c>
      <c r="F367" s="69" t="s">
        <v>495</v>
      </c>
      <c r="G367" s="69" t="s">
        <v>15</v>
      </c>
      <c r="H367" s="69" t="s">
        <v>53</v>
      </c>
      <c r="I367" s="69" t="s">
        <v>64</v>
      </c>
      <c r="J367" s="41" cm="1">
        <f t="array" ref="J367">IF(C367=20,INDEX(CUOC!$C$28:$C$37,MATCH(N367,CUOC!$A$28:$A$37,0),0),INDEX(CUOC!$D$28:$D$37,MATCH(N367,CUOC!$A$28:$A$37,0),0))</f>
        <v>386100</v>
      </c>
      <c r="K367" s="41">
        <f t="shared" si="23"/>
        <v>30888</v>
      </c>
      <c r="L367" s="41">
        <f t="shared" si="24"/>
        <v>416988</v>
      </c>
      <c r="M367" s="70" t="s">
        <v>565</v>
      </c>
      <c r="N367" s="73">
        <v>5</v>
      </c>
      <c r="O367" s="74">
        <v>34832</v>
      </c>
      <c r="P367" s="71" t="str">
        <f t="shared" si="25"/>
        <v>Cước vận chuyển cont Hàng 20 tuyến đường HẢI AN - NHĐV. Số xe: 15C09877</v>
      </c>
      <c r="Q367" s="72">
        <v>1</v>
      </c>
    </row>
    <row r="368" spans="1:17" s="72" customFormat="1" ht="15" customHeight="1">
      <c r="A368" s="39">
        <v>355</v>
      </c>
      <c r="B368" s="69" t="s">
        <v>499</v>
      </c>
      <c r="C368" s="69">
        <v>20</v>
      </c>
      <c r="D368" s="69" t="s">
        <v>100</v>
      </c>
      <c r="E368" s="69" t="s">
        <v>186</v>
      </c>
      <c r="F368" s="69" t="s">
        <v>495</v>
      </c>
      <c r="G368" s="69" t="s">
        <v>15</v>
      </c>
      <c r="H368" s="69" t="s">
        <v>53</v>
      </c>
      <c r="I368" s="69" t="s">
        <v>64</v>
      </c>
      <c r="J368" s="41" cm="1">
        <f t="array" ref="J368">IF(C368=20,INDEX(CUOC!$C$28:$C$37,MATCH(N368,CUOC!$A$28:$A$37,0),0),INDEX(CUOC!$D$28:$D$37,MATCH(N368,CUOC!$A$28:$A$37,0),0))</f>
        <v>386100</v>
      </c>
      <c r="K368" s="41">
        <f t="shared" si="23"/>
        <v>30888</v>
      </c>
      <c r="L368" s="41">
        <f t="shared" si="24"/>
        <v>416988</v>
      </c>
      <c r="M368" s="70" t="s">
        <v>565</v>
      </c>
      <c r="N368" s="73">
        <v>5</v>
      </c>
      <c r="O368" s="74">
        <v>34832</v>
      </c>
      <c r="P368" s="71" t="str">
        <f t="shared" si="25"/>
        <v>Cước vận chuyển cont Hàng 20 tuyến đường HẢI AN - NHĐV. Số xe: 15C09877</v>
      </c>
      <c r="Q368" s="72">
        <v>1</v>
      </c>
    </row>
    <row r="369" spans="1:17" s="72" customFormat="1" ht="15" customHeight="1">
      <c r="A369" s="39">
        <v>356</v>
      </c>
      <c r="B369" s="69" t="s">
        <v>500</v>
      </c>
      <c r="C369" s="69">
        <v>20</v>
      </c>
      <c r="D369" s="69" t="s">
        <v>100</v>
      </c>
      <c r="E369" s="69" t="s">
        <v>186</v>
      </c>
      <c r="F369" s="69" t="s">
        <v>495</v>
      </c>
      <c r="G369" s="69" t="s">
        <v>15</v>
      </c>
      <c r="H369" s="69" t="s">
        <v>53</v>
      </c>
      <c r="I369" s="69" t="s">
        <v>64</v>
      </c>
      <c r="J369" s="41" cm="1">
        <f t="array" ref="J369">IF(C369=20,INDEX(CUOC!$C$28:$C$37,MATCH(N369,CUOC!$A$28:$A$37,0),0),INDEX(CUOC!$D$28:$D$37,MATCH(N369,CUOC!$A$28:$A$37,0),0))</f>
        <v>386100</v>
      </c>
      <c r="K369" s="41">
        <f t="shared" si="23"/>
        <v>30888</v>
      </c>
      <c r="L369" s="41">
        <f t="shared" si="24"/>
        <v>416988</v>
      </c>
      <c r="M369" s="70" t="s">
        <v>565</v>
      </c>
      <c r="N369" s="73">
        <v>5</v>
      </c>
      <c r="O369" s="74">
        <v>34832</v>
      </c>
      <c r="P369" s="71" t="str">
        <f t="shared" si="25"/>
        <v>Cước vận chuyển cont Hàng 20 tuyến đường HẢI AN - NHĐV. Số xe: 15C09877</v>
      </c>
      <c r="Q369" s="72">
        <v>1</v>
      </c>
    </row>
    <row r="370" spans="1:17" s="72" customFormat="1" ht="15" customHeight="1">
      <c r="A370" s="39">
        <v>357</v>
      </c>
      <c r="B370" s="69" t="s">
        <v>501</v>
      </c>
      <c r="C370" s="69">
        <v>20</v>
      </c>
      <c r="D370" s="69" t="s">
        <v>100</v>
      </c>
      <c r="E370" s="69" t="s">
        <v>186</v>
      </c>
      <c r="F370" s="69" t="s">
        <v>495</v>
      </c>
      <c r="G370" s="69" t="s">
        <v>15</v>
      </c>
      <c r="H370" s="69" t="s">
        <v>53</v>
      </c>
      <c r="I370" s="69" t="s">
        <v>67</v>
      </c>
      <c r="J370" s="41" cm="1">
        <f t="array" ref="J370">IF(C370=20,INDEX(CUOC!$C$28:$C$37,MATCH(N370,CUOC!$A$28:$A$37,0),0),INDEX(CUOC!$D$28:$D$37,MATCH(N370,CUOC!$A$28:$A$37,0),0))</f>
        <v>386100</v>
      </c>
      <c r="K370" s="41">
        <f t="shared" si="23"/>
        <v>30888</v>
      </c>
      <c r="L370" s="41">
        <f t="shared" si="24"/>
        <v>416988</v>
      </c>
      <c r="M370" s="70" t="s">
        <v>565</v>
      </c>
      <c r="N370" s="73">
        <v>5</v>
      </c>
      <c r="O370" s="74">
        <v>34832</v>
      </c>
      <c r="P370" s="71" t="str">
        <f t="shared" si="25"/>
        <v>Cước vận chuyển cont Hàng 20 tuyến đường HẢI AN - NHĐV. Số xe: 15H08574</v>
      </c>
      <c r="Q370" s="72">
        <v>1</v>
      </c>
    </row>
    <row r="371" spans="1:17" s="72" customFormat="1" ht="15" customHeight="1">
      <c r="A371" s="39">
        <v>358</v>
      </c>
      <c r="B371" s="69" t="s">
        <v>502</v>
      </c>
      <c r="C371" s="69">
        <v>20</v>
      </c>
      <c r="D371" s="69" t="s">
        <v>100</v>
      </c>
      <c r="E371" s="69" t="s">
        <v>186</v>
      </c>
      <c r="F371" s="69" t="s">
        <v>495</v>
      </c>
      <c r="G371" s="69" t="s">
        <v>15</v>
      </c>
      <c r="H371" s="69" t="s">
        <v>53</v>
      </c>
      <c r="I371" s="69" t="s">
        <v>67</v>
      </c>
      <c r="J371" s="41" cm="1">
        <f t="array" ref="J371">IF(C371=20,INDEX(CUOC!$C$28:$C$37,MATCH(N371,CUOC!$A$28:$A$37,0),0),INDEX(CUOC!$D$28:$D$37,MATCH(N371,CUOC!$A$28:$A$37,0),0))</f>
        <v>386100</v>
      </c>
      <c r="K371" s="41">
        <f t="shared" si="23"/>
        <v>30888</v>
      </c>
      <c r="L371" s="41">
        <f t="shared" si="24"/>
        <v>416988</v>
      </c>
      <c r="M371" s="70" t="s">
        <v>565</v>
      </c>
      <c r="N371" s="73">
        <v>5</v>
      </c>
      <c r="O371" s="74">
        <v>34832</v>
      </c>
      <c r="P371" s="71" t="str">
        <f t="shared" si="25"/>
        <v>Cước vận chuyển cont Hàng 20 tuyến đường HẢI AN - NHĐV. Số xe: 15H08574</v>
      </c>
      <c r="Q371" s="72">
        <v>1</v>
      </c>
    </row>
    <row r="372" spans="1:17" s="72" customFormat="1" ht="15" customHeight="1">
      <c r="A372" s="39">
        <v>359</v>
      </c>
      <c r="B372" s="69" t="s">
        <v>503</v>
      </c>
      <c r="C372" s="69">
        <v>20</v>
      </c>
      <c r="D372" s="69" t="s">
        <v>100</v>
      </c>
      <c r="E372" s="69" t="s">
        <v>186</v>
      </c>
      <c r="F372" s="69" t="s">
        <v>495</v>
      </c>
      <c r="G372" s="69" t="s">
        <v>15</v>
      </c>
      <c r="H372" s="69" t="s">
        <v>53</v>
      </c>
      <c r="I372" s="69" t="s">
        <v>67</v>
      </c>
      <c r="J372" s="41" cm="1">
        <f t="array" ref="J372">IF(C372=20,INDEX(CUOC!$C$28:$C$37,MATCH(N372,CUOC!$A$28:$A$37,0),0),INDEX(CUOC!$D$28:$D$37,MATCH(N372,CUOC!$A$28:$A$37,0),0))</f>
        <v>386100</v>
      </c>
      <c r="K372" s="41">
        <f t="shared" si="23"/>
        <v>30888</v>
      </c>
      <c r="L372" s="41">
        <f t="shared" si="24"/>
        <v>416988</v>
      </c>
      <c r="M372" s="70" t="s">
        <v>565</v>
      </c>
      <c r="N372" s="73">
        <v>5</v>
      </c>
      <c r="O372" s="74">
        <v>34832</v>
      </c>
      <c r="P372" s="71" t="str">
        <f t="shared" si="25"/>
        <v>Cước vận chuyển cont Hàng 20 tuyến đường HẢI AN - NHĐV. Số xe: 15H08574</v>
      </c>
      <c r="Q372" s="72">
        <v>1</v>
      </c>
    </row>
    <row r="373" spans="1:17" s="72" customFormat="1" ht="15" customHeight="1">
      <c r="A373" s="39">
        <v>360</v>
      </c>
      <c r="B373" s="69" t="s">
        <v>504</v>
      </c>
      <c r="C373" s="69">
        <v>20</v>
      </c>
      <c r="D373" s="69" t="s">
        <v>100</v>
      </c>
      <c r="E373" s="69" t="s">
        <v>186</v>
      </c>
      <c r="F373" s="69" t="s">
        <v>495</v>
      </c>
      <c r="G373" s="69" t="s">
        <v>15</v>
      </c>
      <c r="H373" s="69" t="s">
        <v>53</v>
      </c>
      <c r="I373" s="69" t="s">
        <v>67</v>
      </c>
      <c r="J373" s="41" cm="1">
        <f t="array" ref="J373">IF(C373=20,INDEX(CUOC!$C$28:$C$37,MATCH(N373,CUOC!$A$28:$A$37,0),0),INDEX(CUOC!$D$28:$D$37,MATCH(N373,CUOC!$A$28:$A$37,0),0))</f>
        <v>386100</v>
      </c>
      <c r="K373" s="41">
        <f t="shared" si="23"/>
        <v>30888</v>
      </c>
      <c r="L373" s="41">
        <f t="shared" si="24"/>
        <v>416988</v>
      </c>
      <c r="M373" s="70" t="s">
        <v>565</v>
      </c>
      <c r="N373" s="73">
        <v>5</v>
      </c>
      <c r="O373" s="74">
        <v>34832</v>
      </c>
      <c r="P373" s="71" t="str">
        <f t="shared" si="25"/>
        <v>Cước vận chuyển cont Hàng 20 tuyến đường HẢI AN - NHĐV. Số xe: 15H08574</v>
      </c>
      <c r="Q373" s="72">
        <v>1</v>
      </c>
    </row>
    <row r="374" spans="1:17" s="72" customFormat="1" ht="15" customHeight="1">
      <c r="A374" s="39">
        <v>361</v>
      </c>
      <c r="B374" s="69" t="s">
        <v>505</v>
      </c>
      <c r="C374" s="69">
        <v>20</v>
      </c>
      <c r="D374" s="69" t="s">
        <v>100</v>
      </c>
      <c r="E374" s="69" t="s">
        <v>220</v>
      </c>
      <c r="F374" s="69" t="s">
        <v>506</v>
      </c>
      <c r="G374" s="69" t="s">
        <v>15</v>
      </c>
      <c r="H374" s="69" t="s">
        <v>53</v>
      </c>
      <c r="I374" s="69" t="s">
        <v>67</v>
      </c>
      <c r="J374" s="41" cm="1">
        <f t="array" ref="J374">IF(C374=20,INDEX(CUOC!$C$28:$C$37,MATCH(N374,CUOC!$A$28:$A$37,0),0),INDEX(CUOC!$D$28:$D$37,MATCH(N374,CUOC!$A$28:$A$37,0),0))</f>
        <v>386100</v>
      </c>
      <c r="K374" s="41">
        <f t="shared" si="23"/>
        <v>30888</v>
      </c>
      <c r="L374" s="41">
        <f t="shared" si="24"/>
        <v>416988</v>
      </c>
      <c r="M374" s="70" t="s">
        <v>566</v>
      </c>
      <c r="N374" s="73">
        <v>5</v>
      </c>
      <c r="O374" s="74">
        <v>34832</v>
      </c>
      <c r="P374" s="71" t="str">
        <f t="shared" si="25"/>
        <v>Cước vận chuyển cont Hàng 20 tuyến đường HẢI AN - NHĐV. Số xe: 15H08574</v>
      </c>
      <c r="Q374" s="72">
        <v>1</v>
      </c>
    </row>
    <row r="375" spans="1:17" s="72" customFormat="1" ht="15" customHeight="1">
      <c r="A375" s="39">
        <v>362</v>
      </c>
      <c r="B375" s="69" t="s">
        <v>507</v>
      </c>
      <c r="C375" s="69">
        <v>20</v>
      </c>
      <c r="D375" s="69" t="s">
        <v>100</v>
      </c>
      <c r="E375" s="69" t="s">
        <v>220</v>
      </c>
      <c r="F375" s="69" t="s">
        <v>506</v>
      </c>
      <c r="G375" s="69" t="s">
        <v>15</v>
      </c>
      <c r="H375" s="69" t="s">
        <v>53</v>
      </c>
      <c r="I375" s="69" t="s">
        <v>64</v>
      </c>
      <c r="J375" s="41" cm="1">
        <f t="array" ref="J375">IF(C375=20,INDEX(CUOC!$C$28:$C$37,MATCH(N375,CUOC!$A$28:$A$37,0),0),INDEX(CUOC!$D$28:$D$37,MATCH(N375,CUOC!$A$28:$A$37,0),0))</f>
        <v>386100</v>
      </c>
      <c r="K375" s="41">
        <f t="shared" si="23"/>
        <v>30888</v>
      </c>
      <c r="L375" s="41">
        <f t="shared" si="24"/>
        <v>416988</v>
      </c>
      <c r="M375" s="70" t="s">
        <v>566</v>
      </c>
      <c r="N375" s="73">
        <v>5</v>
      </c>
      <c r="O375" s="74">
        <v>34832</v>
      </c>
      <c r="P375" s="71" t="str">
        <f t="shared" si="25"/>
        <v>Cước vận chuyển cont Hàng 20 tuyến đường HẢI AN - NHĐV. Số xe: 15C09877</v>
      </c>
      <c r="Q375" s="72">
        <v>1</v>
      </c>
    </row>
    <row r="376" spans="1:17" s="72" customFormat="1" ht="15" customHeight="1">
      <c r="A376" s="39">
        <v>363</v>
      </c>
      <c r="B376" s="69" t="s">
        <v>508</v>
      </c>
      <c r="C376" s="69">
        <v>20</v>
      </c>
      <c r="D376" s="69" t="s">
        <v>100</v>
      </c>
      <c r="E376" s="69" t="s">
        <v>220</v>
      </c>
      <c r="F376" s="69" t="s">
        <v>506</v>
      </c>
      <c r="G376" s="69" t="s">
        <v>15</v>
      </c>
      <c r="H376" s="69" t="s">
        <v>53</v>
      </c>
      <c r="I376" s="69" t="s">
        <v>64</v>
      </c>
      <c r="J376" s="41" cm="1">
        <f t="array" ref="J376">IF(C376=20,INDEX(CUOC!$C$28:$C$37,MATCH(N376,CUOC!$A$28:$A$37,0),0),INDEX(CUOC!$D$28:$D$37,MATCH(N376,CUOC!$A$28:$A$37,0),0))</f>
        <v>386100</v>
      </c>
      <c r="K376" s="41">
        <f t="shared" si="23"/>
        <v>30888</v>
      </c>
      <c r="L376" s="41">
        <f t="shared" si="24"/>
        <v>416988</v>
      </c>
      <c r="M376" s="70" t="s">
        <v>566</v>
      </c>
      <c r="N376" s="73">
        <v>5</v>
      </c>
      <c r="O376" s="74">
        <v>34832</v>
      </c>
      <c r="P376" s="71" t="str">
        <f t="shared" si="25"/>
        <v>Cước vận chuyển cont Hàng 20 tuyến đường HẢI AN - NHĐV. Số xe: 15C09877</v>
      </c>
      <c r="Q376" s="72">
        <v>1</v>
      </c>
    </row>
    <row r="377" spans="1:17" s="72" customFormat="1" ht="15" customHeight="1">
      <c r="A377" s="39">
        <v>364</v>
      </c>
      <c r="B377" s="69" t="s">
        <v>509</v>
      </c>
      <c r="C377" s="69">
        <v>20</v>
      </c>
      <c r="D377" s="69" t="s">
        <v>100</v>
      </c>
      <c r="E377" s="69" t="s">
        <v>220</v>
      </c>
      <c r="F377" s="69" t="s">
        <v>506</v>
      </c>
      <c r="G377" s="69" t="s">
        <v>15</v>
      </c>
      <c r="H377" s="69" t="s">
        <v>53</v>
      </c>
      <c r="I377" s="69" t="s">
        <v>67</v>
      </c>
      <c r="J377" s="41" cm="1">
        <f t="array" ref="J377">IF(C377=20,INDEX(CUOC!$C$28:$C$37,MATCH(N377,CUOC!$A$28:$A$37,0),0),INDEX(CUOC!$D$28:$D$37,MATCH(N377,CUOC!$A$28:$A$37,0),0))</f>
        <v>386100</v>
      </c>
      <c r="K377" s="41">
        <f t="shared" si="23"/>
        <v>30888</v>
      </c>
      <c r="L377" s="41">
        <f t="shared" si="24"/>
        <v>416988</v>
      </c>
      <c r="M377" s="70" t="s">
        <v>566</v>
      </c>
      <c r="N377" s="73">
        <v>5</v>
      </c>
      <c r="O377" s="74">
        <v>34832</v>
      </c>
      <c r="P377" s="71" t="str">
        <f t="shared" si="25"/>
        <v>Cước vận chuyển cont Hàng 20 tuyến đường HẢI AN - NHĐV. Số xe: 15H08574</v>
      </c>
      <c r="Q377" s="72">
        <v>1</v>
      </c>
    </row>
    <row r="378" spans="1:17" s="72" customFormat="1" ht="15" customHeight="1">
      <c r="A378" s="39">
        <v>365</v>
      </c>
      <c r="B378" s="69" t="s">
        <v>510</v>
      </c>
      <c r="C378" s="69">
        <v>20</v>
      </c>
      <c r="D378" s="69" t="s">
        <v>100</v>
      </c>
      <c r="E378" s="69" t="s">
        <v>220</v>
      </c>
      <c r="F378" s="69" t="s">
        <v>506</v>
      </c>
      <c r="G378" s="69" t="s">
        <v>15</v>
      </c>
      <c r="H378" s="69" t="s">
        <v>53</v>
      </c>
      <c r="I378" s="69" t="s">
        <v>67</v>
      </c>
      <c r="J378" s="41" cm="1">
        <f t="array" ref="J378">IF(C378=20,INDEX(CUOC!$C$28:$C$37,MATCH(N378,CUOC!$A$28:$A$37,0),0),INDEX(CUOC!$D$28:$D$37,MATCH(N378,CUOC!$A$28:$A$37,0),0))</f>
        <v>386100</v>
      </c>
      <c r="K378" s="41">
        <f t="shared" si="23"/>
        <v>30888</v>
      </c>
      <c r="L378" s="41">
        <f t="shared" si="24"/>
        <v>416988</v>
      </c>
      <c r="M378" s="70" t="s">
        <v>566</v>
      </c>
      <c r="N378" s="73">
        <v>5</v>
      </c>
      <c r="O378" s="74">
        <v>34832</v>
      </c>
      <c r="P378" s="71" t="str">
        <f t="shared" si="25"/>
        <v>Cước vận chuyển cont Hàng 20 tuyến đường HẢI AN - NHĐV. Số xe: 15H08574</v>
      </c>
      <c r="Q378" s="72">
        <v>1</v>
      </c>
    </row>
    <row r="379" spans="1:17" s="72" customFormat="1" ht="15" customHeight="1">
      <c r="A379" s="39">
        <v>366</v>
      </c>
      <c r="B379" s="69" t="s">
        <v>511</v>
      </c>
      <c r="C379" s="69">
        <v>20</v>
      </c>
      <c r="D379" s="69" t="s">
        <v>100</v>
      </c>
      <c r="E379" s="69" t="s">
        <v>220</v>
      </c>
      <c r="F379" s="69" t="s">
        <v>506</v>
      </c>
      <c r="G379" s="69" t="s">
        <v>15</v>
      </c>
      <c r="H379" s="69" t="s">
        <v>53</v>
      </c>
      <c r="I379" s="69" t="s">
        <v>67</v>
      </c>
      <c r="J379" s="41" cm="1">
        <f t="array" ref="J379">IF(C379=20,INDEX(CUOC!$C$28:$C$37,MATCH(N379,CUOC!$A$28:$A$37,0),0),INDEX(CUOC!$D$28:$D$37,MATCH(N379,CUOC!$A$28:$A$37,0),0))</f>
        <v>386100</v>
      </c>
      <c r="K379" s="41">
        <f t="shared" si="23"/>
        <v>30888</v>
      </c>
      <c r="L379" s="41">
        <f t="shared" si="24"/>
        <v>416988</v>
      </c>
      <c r="M379" s="70" t="s">
        <v>566</v>
      </c>
      <c r="N379" s="73">
        <v>5</v>
      </c>
      <c r="O379" s="74">
        <v>34832</v>
      </c>
      <c r="P379" s="71" t="str">
        <f t="shared" si="25"/>
        <v>Cước vận chuyển cont Hàng 20 tuyến đường HẢI AN - NHĐV. Số xe: 15H08574</v>
      </c>
      <c r="Q379" s="72">
        <v>1</v>
      </c>
    </row>
    <row r="380" spans="1:17" s="72" customFormat="1" ht="15" customHeight="1">
      <c r="A380" s="39">
        <v>367</v>
      </c>
      <c r="B380" s="69" t="s">
        <v>512</v>
      </c>
      <c r="C380" s="69">
        <v>20</v>
      </c>
      <c r="D380" s="69" t="s">
        <v>100</v>
      </c>
      <c r="E380" s="69" t="s">
        <v>220</v>
      </c>
      <c r="F380" s="69" t="s">
        <v>506</v>
      </c>
      <c r="G380" s="69" t="s">
        <v>15</v>
      </c>
      <c r="H380" s="69" t="s">
        <v>53</v>
      </c>
      <c r="I380" s="69" t="s">
        <v>67</v>
      </c>
      <c r="J380" s="41" cm="1">
        <f t="array" ref="J380">IF(C380=20,INDEX(CUOC!$C$28:$C$37,MATCH(N380,CUOC!$A$28:$A$37,0),0),INDEX(CUOC!$D$28:$D$37,MATCH(N380,CUOC!$A$28:$A$37,0),0))</f>
        <v>386100</v>
      </c>
      <c r="K380" s="41">
        <f t="shared" si="23"/>
        <v>30888</v>
      </c>
      <c r="L380" s="41">
        <f t="shared" si="24"/>
        <v>416988</v>
      </c>
      <c r="M380" s="70" t="s">
        <v>566</v>
      </c>
      <c r="N380" s="73">
        <v>5</v>
      </c>
      <c r="O380" s="74">
        <v>34832</v>
      </c>
      <c r="P380" s="71" t="str">
        <f t="shared" si="25"/>
        <v>Cước vận chuyển cont Hàng 20 tuyến đường HẢI AN - NHĐV. Số xe: 15H08574</v>
      </c>
      <c r="Q380" s="72">
        <v>1</v>
      </c>
    </row>
    <row r="381" spans="1:17" s="72" customFormat="1" ht="15" customHeight="1">
      <c r="A381" s="39">
        <v>368</v>
      </c>
      <c r="B381" s="69" t="s">
        <v>513</v>
      </c>
      <c r="C381" s="69">
        <v>20</v>
      </c>
      <c r="D381" s="69" t="s">
        <v>100</v>
      </c>
      <c r="E381" s="69" t="s">
        <v>220</v>
      </c>
      <c r="F381" s="69" t="s">
        <v>506</v>
      </c>
      <c r="G381" s="69" t="s">
        <v>15</v>
      </c>
      <c r="H381" s="69" t="s">
        <v>53</v>
      </c>
      <c r="I381" s="69" t="s">
        <v>64</v>
      </c>
      <c r="J381" s="41" cm="1">
        <f t="array" ref="J381">IF(C381=20,INDEX(CUOC!$C$28:$C$37,MATCH(N381,CUOC!$A$28:$A$37,0),0),INDEX(CUOC!$D$28:$D$37,MATCH(N381,CUOC!$A$28:$A$37,0),0))</f>
        <v>386100</v>
      </c>
      <c r="K381" s="41">
        <f t="shared" si="23"/>
        <v>30888</v>
      </c>
      <c r="L381" s="41">
        <f t="shared" si="24"/>
        <v>416988</v>
      </c>
      <c r="M381" s="70" t="s">
        <v>566</v>
      </c>
      <c r="N381" s="73">
        <v>5</v>
      </c>
      <c r="O381" s="74">
        <v>34832</v>
      </c>
      <c r="P381" s="71" t="str">
        <f t="shared" si="25"/>
        <v>Cước vận chuyển cont Hàng 20 tuyến đường HẢI AN - NHĐV. Số xe: 15C09877</v>
      </c>
      <c r="Q381" s="72">
        <v>1</v>
      </c>
    </row>
    <row r="382" spans="1:17" s="72" customFormat="1" ht="15" customHeight="1">
      <c r="A382" s="39">
        <v>369</v>
      </c>
      <c r="B382" s="69" t="s">
        <v>514</v>
      </c>
      <c r="C382" s="69">
        <v>20</v>
      </c>
      <c r="D382" s="69" t="s">
        <v>100</v>
      </c>
      <c r="E382" s="69" t="s">
        <v>220</v>
      </c>
      <c r="F382" s="69" t="s">
        <v>506</v>
      </c>
      <c r="G382" s="69" t="s">
        <v>15</v>
      </c>
      <c r="H382" s="69" t="s">
        <v>53</v>
      </c>
      <c r="I382" s="69" t="s">
        <v>64</v>
      </c>
      <c r="J382" s="41" cm="1">
        <f t="array" ref="J382">IF(C382=20,INDEX(CUOC!$C$28:$C$37,MATCH(N382,CUOC!$A$28:$A$37,0),0),INDEX(CUOC!$D$28:$D$37,MATCH(N382,CUOC!$A$28:$A$37,0),0))</f>
        <v>386100</v>
      </c>
      <c r="K382" s="41">
        <f t="shared" si="23"/>
        <v>30888</v>
      </c>
      <c r="L382" s="41">
        <f t="shared" si="24"/>
        <v>416988</v>
      </c>
      <c r="M382" s="70" t="s">
        <v>566</v>
      </c>
      <c r="N382" s="73">
        <v>5</v>
      </c>
      <c r="O382" s="74">
        <v>34832</v>
      </c>
      <c r="P382" s="71" t="str">
        <f t="shared" si="25"/>
        <v>Cước vận chuyển cont Hàng 20 tuyến đường HẢI AN - NHĐV. Số xe: 15C09877</v>
      </c>
      <c r="Q382" s="72">
        <v>1</v>
      </c>
    </row>
    <row r="383" spans="1:17" s="72" customFormat="1" ht="15" customHeight="1">
      <c r="A383" s="39">
        <v>370</v>
      </c>
      <c r="B383" s="69" t="s">
        <v>515</v>
      </c>
      <c r="C383" s="69">
        <v>20</v>
      </c>
      <c r="D383" s="69" t="s">
        <v>100</v>
      </c>
      <c r="E383" s="69" t="s">
        <v>220</v>
      </c>
      <c r="F383" s="69" t="s">
        <v>506</v>
      </c>
      <c r="G383" s="69" t="s">
        <v>15</v>
      </c>
      <c r="H383" s="69" t="s">
        <v>53</v>
      </c>
      <c r="I383" s="69" t="s">
        <v>64</v>
      </c>
      <c r="J383" s="41" cm="1">
        <f t="array" ref="J383">IF(C383=20,INDEX(CUOC!$C$28:$C$37,MATCH(N383,CUOC!$A$28:$A$37,0),0),INDEX(CUOC!$D$28:$D$37,MATCH(N383,CUOC!$A$28:$A$37,0),0))</f>
        <v>386100</v>
      </c>
      <c r="K383" s="41">
        <f t="shared" si="23"/>
        <v>30888</v>
      </c>
      <c r="L383" s="41">
        <f t="shared" si="24"/>
        <v>416988</v>
      </c>
      <c r="M383" s="70" t="s">
        <v>566</v>
      </c>
      <c r="N383" s="73">
        <v>5</v>
      </c>
      <c r="O383" s="74">
        <v>34832</v>
      </c>
      <c r="P383" s="71" t="str">
        <f t="shared" si="25"/>
        <v>Cước vận chuyển cont Hàng 20 tuyến đường HẢI AN - NHĐV. Số xe: 15C09877</v>
      </c>
      <c r="Q383" s="72">
        <v>1</v>
      </c>
    </row>
    <row r="384" spans="1:17" s="72" customFormat="1" ht="15" customHeight="1">
      <c r="A384" s="39">
        <v>371</v>
      </c>
      <c r="B384" s="69" t="s">
        <v>516</v>
      </c>
      <c r="C384" s="69">
        <v>20</v>
      </c>
      <c r="D384" s="69" t="s">
        <v>100</v>
      </c>
      <c r="E384" s="69" t="s">
        <v>220</v>
      </c>
      <c r="F384" s="69" t="s">
        <v>506</v>
      </c>
      <c r="G384" s="69" t="s">
        <v>15</v>
      </c>
      <c r="H384" s="69" t="s">
        <v>53</v>
      </c>
      <c r="I384" s="69" t="s">
        <v>67</v>
      </c>
      <c r="J384" s="41" cm="1">
        <f t="array" ref="J384">IF(C384=20,INDEX(CUOC!$C$28:$C$37,MATCH(N384,CUOC!$A$28:$A$37,0),0),INDEX(CUOC!$D$28:$D$37,MATCH(N384,CUOC!$A$28:$A$37,0),0))</f>
        <v>386100</v>
      </c>
      <c r="K384" s="41">
        <f t="shared" si="23"/>
        <v>30888</v>
      </c>
      <c r="L384" s="41">
        <f t="shared" si="24"/>
        <v>416988</v>
      </c>
      <c r="M384" s="70" t="s">
        <v>566</v>
      </c>
      <c r="N384" s="73">
        <v>5</v>
      </c>
      <c r="O384" s="74">
        <v>34832</v>
      </c>
      <c r="P384" s="71" t="str">
        <f t="shared" si="25"/>
        <v>Cước vận chuyển cont Hàng 20 tuyến đường HẢI AN - NHĐV. Số xe: 15H08574</v>
      </c>
      <c r="Q384" s="72">
        <v>1</v>
      </c>
    </row>
    <row r="385" spans="1:17" s="72" customFormat="1" ht="15" customHeight="1">
      <c r="A385" s="39">
        <v>372</v>
      </c>
      <c r="B385" s="69" t="s">
        <v>517</v>
      </c>
      <c r="C385" s="69">
        <v>20</v>
      </c>
      <c r="D385" s="69" t="s">
        <v>100</v>
      </c>
      <c r="E385" s="69" t="s">
        <v>220</v>
      </c>
      <c r="F385" s="69" t="s">
        <v>506</v>
      </c>
      <c r="G385" s="69" t="s">
        <v>15</v>
      </c>
      <c r="H385" s="69" t="s">
        <v>53</v>
      </c>
      <c r="I385" s="69" t="s">
        <v>67</v>
      </c>
      <c r="J385" s="41" cm="1">
        <f t="array" ref="J385">IF(C385=20,INDEX(CUOC!$C$28:$C$37,MATCH(N385,CUOC!$A$28:$A$37,0),0),INDEX(CUOC!$D$28:$D$37,MATCH(N385,CUOC!$A$28:$A$37,0),0))</f>
        <v>386100</v>
      </c>
      <c r="K385" s="41">
        <f t="shared" si="23"/>
        <v>30888</v>
      </c>
      <c r="L385" s="41">
        <f t="shared" si="24"/>
        <v>416988</v>
      </c>
      <c r="M385" s="70" t="s">
        <v>566</v>
      </c>
      <c r="N385" s="73">
        <v>5</v>
      </c>
      <c r="O385" s="74">
        <v>34832</v>
      </c>
      <c r="P385" s="71" t="str">
        <f t="shared" si="25"/>
        <v>Cước vận chuyển cont Hàng 20 tuyến đường HẢI AN - NHĐV. Số xe: 15H08574</v>
      </c>
      <c r="Q385" s="72">
        <v>1</v>
      </c>
    </row>
    <row r="386" spans="1:17" s="72" customFormat="1" ht="15" customHeight="1">
      <c r="A386" s="39">
        <v>373</v>
      </c>
      <c r="B386" s="69" t="s">
        <v>518</v>
      </c>
      <c r="C386" s="69">
        <v>40</v>
      </c>
      <c r="D386" s="69" t="s">
        <v>100</v>
      </c>
      <c r="E386" s="69" t="s">
        <v>220</v>
      </c>
      <c r="F386" s="69" t="s">
        <v>506</v>
      </c>
      <c r="G386" s="69" t="s">
        <v>15</v>
      </c>
      <c r="H386" s="69" t="s">
        <v>53</v>
      </c>
      <c r="I386" s="69" t="s">
        <v>67</v>
      </c>
      <c r="J386" s="41" cm="1">
        <f t="array" ref="J386">IF(C386=20,INDEX(CUOC!$C$28:$C$37,MATCH(N386,CUOC!$A$28:$A$37,0),0),INDEX(CUOC!$D$28:$D$37,MATCH(N386,CUOC!$A$28:$A$37,0),0))</f>
        <v>448500</v>
      </c>
      <c r="K386" s="41">
        <f t="shared" si="23"/>
        <v>35880</v>
      </c>
      <c r="L386" s="41">
        <f t="shared" si="24"/>
        <v>484380</v>
      </c>
      <c r="M386" s="70" t="s">
        <v>566</v>
      </c>
      <c r="N386" s="73">
        <v>5</v>
      </c>
      <c r="O386" s="74">
        <v>34832</v>
      </c>
      <c r="P386" s="71" t="str">
        <f t="shared" si="25"/>
        <v>Cước vận chuyển cont Hàng 40 tuyến đường HẢI AN - NHĐV. Số xe: 15H08574</v>
      </c>
      <c r="Q386" s="72">
        <v>1</v>
      </c>
    </row>
    <row r="387" spans="1:17" s="72" customFormat="1" ht="15" customHeight="1">
      <c r="A387" s="39">
        <v>374</v>
      </c>
      <c r="B387" s="69" t="s">
        <v>519</v>
      </c>
      <c r="C387" s="69">
        <v>40</v>
      </c>
      <c r="D387" s="69" t="s">
        <v>100</v>
      </c>
      <c r="E387" s="69" t="s">
        <v>220</v>
      </c>
      <c r="F387" s="69" t="s">
        <v>506</v>
      </c>
      <c r="G387" s="69" t="s">
        <v>15</v>
      </c>
      <c r="H387" s="69" t="s">
        <v>53</v>
      </c>
      <c r="I387" s="69" t="s">
        <v>67</v>
      </c>
      <c r="J387" s="41" cm="1">
        <f t="array" ref="J387">IF(C387=20,INDEX(CUOC!$C$28:$C$37,MATCH(N387,CUOC!$A$28:$A$37,0),0),INDEX(CUOC!$D$28:$D$37,MATCH(N387,CUOC!$A$28:$A$37,0),0))</f>
        <v>448500</v>
      </c>
      <c r="K387" s="41">
        <f t="shared" si="23"/>
        <v>35880</v>
      </c>
      <c r="L387" s="41">
        <f t="shared" si="24"/>
        <v>484380</v>
      </c>
      <c r="M387" s="70" t="s">
        <v>566</v>
      </c>
      <c r="N387" s="73">
        <v>5</v>
      </c>
      <c r="O387" s="74">
        <v>34832</v>
      </c>
      <c r="P387" s="71" t="str">
        <f t="shared" si="25"/>
        <v>Cước vận chuyển cont Hàng 40 tuyến đường HẢI AN - NHĐV. Số xe: 15H08574</v>
      </c>
      <c r="Q387" s="72">
        <v>1</v>
      </c>
    </row>
    <row r="388" spans="1:17" s="72" customFormat="1" ht="15" customHeight="1">
      <c r="A388" s="39">
        <v>375</v>
      </c>
      <c r="B388" s="69" t="s">
        <v>520</v>
      </c>
      <c r="C388" s="69">
        <v>40</v>
      </c>
      <c r="D388" s="69" t="s">
        <v>100</v>
      </c>
      <c r="E388" s="69" t="s">
        <v>220</v>
      </c>
      <c r="F388" s="69" t="s">
        <v>506</v>
      </c>
      <c r="G388" s="69" t="s">
        <v>15</v>
      </c>
      <c r="H388" s="69" t="s">
        <v>53</v>
      </c>
      <c r="I388" s="69" t="s">
        <v>64</v>
      </c>
      <c r="J388" s="41" cm="1">
        <f t="array" ref="J388">IF(C388=20,INDEX(CUOC!$C$28:$C$37,MATCH(N388,CUOC!$A$28:$A$37,0),0),INDEX(CUOC!$D$28:$D$37,MATCH(N388,CUOC!$A$28:$A$37,0),0))</f>
        <v>448500</v>
      </c>
      <c r="K388" s="41">
        <f t="shared" si="23"/>
        <v>35880</v>
      </c>
      <c r="L388" s="41">
        <f t="shared" si="24"/>
        <v>484380</v>
      </c>
      <c r="M388" s="70" t="s">
        <v>566</v>
      </c>
      <c r="N388" s="73">
        <v>5</v>
      </c>
      <c r="O388" s="74">
        <v>34832</v>
      </c>
      <c r="P388" s="71" t="str">
        <f t="shared" si="25"/>
        <v>Cước vận chuyển cont Hàng 40 tuyến đường HẢI AN - NHĐV. Số xe: 15C09877</v>
      </c>
      <c r="Q388" s="72">
        <v>1</v>
      </c>
    </row>
    <row r="389" spans="1:17" s="72" customFormat="1" ht="15" customHeight="1">
      <c r="A389" s="39">
        <v>376</v>
      </c>
      <c r="B389" s="69" t="s">
        <v>521</v>
      </c>
      <c r="C389" s="69">
        <v>40</v>
      </c>
      <c r="D389" s="69" t="s">
        <v>100</v>
      </c>
      <c r="E389" s="69" t="s">
        <v>220</v>
      </c>
      <c r="F389" s="69" t="s">
        <v>506</v>
      </c>
      <c r="G389" s="69" t="s">
        <v>15</v>
      </c>
      <c r="H389" s="69" t="s">
        <v>53</v>
      </c>
      <c r="I389" s="69" t="s">
        <v>64</v>
      </c>
      <c r="J389" s="41" cm="1">
        <f t="array" ref="J389">IF(C389=20,INDEX(CUOC!$C$28:$C$37,MATCH(N389,CUOC!$A$28:$A$37,0),0),INDEX(CUOC!$D$28:$D$37,MATCH(N389,CUOC!$A$28:$A$37,0),0))</f>
        <v>448500</v>
      </c>
      <c r="K389" s="41">
        <f t="shared" si="23"/>
        <v>35880</v>
      </c>
      <c r="L389" s="41">
        <f t="shared" si="24"/>
        <v>484380</v>
      </c>
      <c r="M389" s="70" t="s">
        <v>566</v>
      </c>
      <c r="N389" s="73">
        <v>5</v>
      </c>
      <c r="O389" s="74">
        <v>34832</v>
      </c>
      <c r="P389" s="71" t="str">
        <f t="shared" si="25"/>
        <v>Cước vận chuyển cont Hàng 40 tuyến đường HẢI AN - NHĐV. Số xe: 15C09877</v>
      </c>
      <c r="Q389" s="72">
        <v>1</v>
      </c>
    </row>
    <row r="390" spans="1:17" s="72" customFormat="1" ht="15" customHeight="1">
      <c r="A390" s="39">
        <v>377</v>
      </c>
      <c r="B390" s="69" t="s">
        <v>522</v>
      </c>
      <c r="C390" s="69">
        <v>40</v>
      </c>
      <c r="D390" s="69" t="s">
        <v>100</v>
      </c>
      <c r="E390" s="69" t="s">
        <v>220</v>
      </c>
      <c r="F390" s="69" t="s">
        <v>506</v>
      </c>
      <c r="G390" s="69" t="s">
        <v>15</v>
      </c>
      <c r="H390" s="69" t="s">
        <v>53</v>
      </c>
      <c r="I390" s="69" t="s">
        <v>67</v>
      </c>
      <c r="J390" s="41" cm="1">
        <f t="array" ref="J390">IF(C390=20,INDEX(CUOC!$C$28:$C$37,MATCH(N390,CUOC!$A$28:$A$37,0),0),INDEX(CUOC!$D$28:$D$37,MATCH(N390,CUOC!$A$28:$A$37,0),0))</f>
        <v>448500</v>
      </c>
      <c r="K390" s="41">
        <f t="shared" si="23"/>
        <v>35880</v>
      </c>
      <c r="L390" s="41">
        <f t="shared" si="24"/>
        <v>484380</v>
      </c>
      <c r="M390" s="70" t="s">
        <v>566</v>
      </c>
      <c r="N390" s="73">
        <v>5</v>
      </c>
      <c r="O390" s="74">
        <v>34832</v>
      </c>
      <c r="P390" s="71" t="str">
        <f t="shared" si="25"/>
        <v>Cước vận chuyển cont Hàng 40 tuyến đường HẢI AN - NHĐV. Số xe: 15H08574</v>
      </c>
      <c r="Q390" s="72">
        <v>1</v>
      </c>
    </row>
    <row r="391" spans="1:17" s="72" customFormat="1" ht="15" customHeight="1">
      <c r="A391" s="39">
        <v>378</v>
      </c>
      <c r="B391" s="69" t="s">
        <v>523</v>
      </c>
      <c r="C391" s="69">
        <v>40</v>
      </c>
      <c r="D391" s="69" t="s">
        <v>100</v>
      </c>
      <c r="E391" s="69" t="s">
        <v>220</v>
      </c>
      <c r="F391" s="69" t="s">
        <v>506</v>
      </c>
      <c r="G391" s="69" t="s">
        <v>15</v>
      </c>
      <c r="H391" s="69" t="s">
        <v>53</v>
      </c>
      <c r="I391" s="69" t="s">
        <v>67</v>
      </c>
      <c r="J391" s="41" cm="1">
        <f t="array" ref="J391">IF(C391=20,INDEX(CUOC!$C$28:$C$37,MATCH(N391,CUOC!$A$28:$A$37,0),0),INDEX(CUOC!$D$28:$D$37,MATCH(N391,CUOC!$A$28:$A$37,0),0))</f>
        <v>448500</v>
      </c>
      <c r="K391" s="41">
        <f t="shared" si="23"/>
        <v>35880</v>
      </c>
      <c r="L391" s="41">
        <f t="shared" si="24"/>
        <v>484380</v>
      </c>
      <c r="M391" s="70" t="s">
        <v>566</v>
      </c>
      <c r="N391" s="73">
        <v>5</v>
      </c>
      <c r="O391" s="74">
        <v>34832</v>
      </c>
      <c r="P391" s="71" t="str">
        <f t="shared" si="25"/>
        <v>Cước vận chuyển cont Hàng 40 tuyến đường HẢI AN - NHĐV. Số xe: 15H08574</v>
      </c>
      <c r="Q391" s="72">
        <v>1</v>
      </c>
    </row>
    <row r="392" spans="1:17" s="72" customFormat="1" ht="15" customHeight="1">
      <c r="A392" s="39">
        <v>379</v>
      </c>
      <c r="B392" s="69" t="s">
        <v>524</v>
      </c>
      <c r="C392" s="69">
        <v>40</v>
      </c>
      <c r="D392" s="69" t="s">
        <v>100</v>
      </c>
      <c r="E392" s="69" t="s">
        <v>220</v>
      </c>
      <c r="F392" s="69" t="s">
        <v>506</v>
      </c>
      <c r="G392" s="69" t="s">
        <v>15</v>
      </c>
      <c r="H392" s="69" t="s">
        <v>53</v>
      </c>
      <c r="I392" s="69" t="s">
        <v>67</v>
      </c>
      <c r="J392" s="41" cm="1">
        <f t="array" ref="J392">IF(C392=20,INDEX(CUOC!$C$28:$C$37,MATCH(N392,CUOC!$A$28:$A$37,0),0),INDEX(CUOC!$D$28:$D$37,MATCH(N392,CUOC!$A$28:$A$37,0),0))</f>
        <v>448500</v>
      </c>
      <c r="K392" s="41">
        <f t="shared" si="23"/>
        <v>35880</v>
      </c>
      <c r="L392" s="41">
        <f t="shared" si="24"/>
        <v>484380</v>
      </c>
      <c r="M392" s="70" t="s">
        <v>566</v>
      </c>
      <c r="N392" s="73">
        <v>5</v>
      </c>
      <c r="O392" s="74">
        <v>34832</v>
      </c>
      <c r="P392" s="71" t="str">
        <f t="shared" si="25"/>
        <v>Cước vận chuyển cont Hàng 40 tuyến đường HẢI AN - NHĐV. Số xe: 15H08574</v>
      </c>
      <c r="Q392" s="72">
        <v>1</v>
      </c>
    </row>
    <row r="393" spans="1:17" s="72" customFormat="1" ht="15" customHeight="1">
      <c r="A393" s="39">
        <v>380</v>
      </c>
      <c r="B393" s="69" t="s">
        <v>525</v>
      </c>
      <c r="C393" s="69">
        <v>40</v>
      </c>
      <c r="D393" s="69" t="s">
        <v>100</v>
      </c>
      <c r="E393" s="69" t="s">
        <v>220</v>
      </c>
      <c r="F393" s="69" t="s">
        <v>506</v>
      </c>
      <c r="G393" s="69" t="s">
        <v>15</v>
      </c>
      <c r="H393" s="69" t="s">
        <v>53</v>
      </c>
      <c r="I393" s="69" t="s">
        <v>64</v>
      </c>
      <c r="J393" s="41" cm="1">
        <f t="array" ref="J393">IF(C393=20,INDEX(CUOC!$C$28:$C$37,MATCH(N393,CUOC!$A$28:$A$37,0),0),INDEX(CUOC!$D$28:$D$37,MATCH(N393,CUOC!$A$28:$A$37,0),0))</f>
        <v>448500</v>
      </c>
      <c r="K393" s="41">
        <f t="shared" si="23"/>
        <v>35880</v>
      </c>
      <c r="L393" s="41">
        <f t="shared" si="24"/>
        <v>484380</v>
      </c>
      <c r="M393" s="70" t="s">
        <v>566</v>
      </c>
      <c r="N393" s="73">
        <v>5</v>
      </c>
      <c r="O393" s="74">
        <v>34832</v>
      </c>
      <c r="P393" s="71" t="str">
        <f t="shared" si="25"/>
        <v>Cước vận chuyển cont Hàng 40 tuyến đường HẢI AN - NHĐV. Số xe: 15C09877</v>
      </c>
      <c r="Q393" s="72">
        <v>1</v>
      </c>
    </row>
    <row r="394" spans="1:17" s="72" customFormat="1" ht="15" customHeight="1">
      <c r="A394" s="39">
        <v>381</v>
      </c>
      <c r="B394" s="69" t="s">
        <v>526</v>
      </c>
      <c r="C394" s="69">
        <v>20</v>
      </c>
      <c r="D394" s="69" t="s">
        <v>100</v>
      </c>
      <c r="E394" s="69" t="s">
        <v>220</v>
      </c>
      <c r="F394" s="69" t="s">
        <v>527</v>
      </c>
      <c r="G394" s="69" t="s">
        <v>15</v>
      </c>
      <c r="H394" s="69" t="s">
        <v>53</v>
      </c>
      <c r="I394" s="69" t="s">
        <v>64</v>
      </c>
      <c r="J394" s="41" cm="1">
        <f t="array" ref="J394">IF(C394=20,INDEX(CUOC!$C$28:$C$37,MATCH(N394,CUOC!$A$28:$A$37,0),0),INDEX(CUOC!$D$28:$D$37,MATCH(N394,CUOC!$A$28:$A$37,0),0))</f>
        <v>386100</v>
      </c>
      <c r="K394" s="41">
        <f t="shared" si="23"/>
        <v>30888</v>
      </c>
      <c r="L394" s="41">
        <f t="shared" si="24"/>
        <v>416988</v>
      </c>
      <c r="M394" s="70" t="s">
        <v>567</v>
      </c>
      <c r="N394" s="73">
        <v>5</v>
      </c>
      <c r="O394" s="74">
        <v>34832</v>
      </c>
      <c r="P394" s="71" t="str">
        <f t="shared" si="25"/>
        <v>Cước vận chuyển cont Hàng 20 tuyến đường HẢI AN - NHĐV. Số xe: 15C09877</v>
      </c>
      <c r="Q394" s="72">
        <v>1</v>
      </c>
    </row>
    <row r="395" spans="1:17" s="72" customFormat="1" ht="15" customHeight="1">
      <c r="A395" s="39">
        <v>382</v>
      </c>
      <c r="B395" s="69" t="s">
        <v>528</v>
      </c>
      <c r="C395" s="69">
        <v>20</v>
      </c>
      <c r="D395" s="69" t="s">
        <v>100</v>
      </c>
      <c r="E395" s="69" t="s">
        <v>220</v>
      </c>
      <c r="F395" s="69" t="s">
        <v>527</v>
      </c>
      <c r="G395" s="69" t="s">
        <v>15</v>
      </c>
      <c r="H395" s="69" t="s">
        <v>53</v>
      </c>
      <c r="I395" s="69" t="s">
        <v>67</v>
      </c>
      <c r="J395" s="41" cm="1">
        <f t="array" ref="J395">IF(C395=20,INDEX(CUOC!$C$28:$C$37,MATCH(N395,CUOC!$A$28:$A$37,0),0),INDEX(CUOC!$D$28:$D$37,MATCH(N395,CUOC!$A$28:$A$37,0),0))</f>
        <v>386100</v>
      </c>
      <c r="K395" s="41">
        <f t="shared" si="23"/>
        <v>30888</v>
      </c>
      <c r="L395" s="41">
        <f t="shared" si="24"/>
        <v>416988</v>
      </c>
      <c r="M395" s="70" t="s">
        <v>567</v>
      </c>
      <c r="N395" s="73">
        <v>5</v>
      </c>
      <c r="O395" s="74">
        <v>34832</v>
      </c>
      <c r="P395" s="71" t="str">
        <f t="shared" si="25"/>
        <v>Cước vận chuyển cont Hàng 20 tuyến đường HẢI AN - NHĐV. Số xe: 15H08574</v>
      </c>
      <c r="Q395" s="72">
        <v>1</v>
      </c>
    </row>
    <row r="396" spans="1:17" s="72" customFormat="1" ht="15" customHeight="1">
      <c r="A396" s="39">
        <v>383</v>
      </c>
      <c r="B396" s="69" t="s">
        <v>529</v>
      </c>
      <c r="C396" s="69">
        <v>20</v>
      </c>
      <c r="D396" s="69" t="s">
        <v>100</v>
      </c>
      <c r="E396" s="69" t="s">
        <v>220</v>
      </c>
      <c r="F396" s="69" t="s">
        <v>527</v>
      </c>
      <c r="G396" s="69" t="s">
        <v>15</v>
      </c>
      <c r="H396" s="69" t="s">
        <v>53</v>
      </c>
      <c r="I396" s="69" t="s">
        <v>67</v>
      </c>
      <c r="J396" s="41" cm="1">
        <f t="array" ref="J396">IF(C396=20,INDEX(CUOC!$C$28:$C$37,MATCH(N396,CUOC!$A$28:$A$37,0),0),INDEX(CUOC!$D$28:$D$37,MATCH(N396,CUOC!$A$28:$A$37,0),0))</f>
        <v>386100</v>
      </c>
      <c r="K396" s="41">
        <f t="shared" si="23"/>
        <v>30888</v>
      </c>
      <c r="L396" s="41">
        <f t="shared" si="24"/>
        <v>416988</v>
      </c>
      <c r="M396" s="70" t="s">
        <v>567</v>
      </c>
      <c r="N396" s="73">
        <v>5</v>
      </c>
      <c r="O396" s="74">
        <v>34832</v>
      </c>
      <c r="P396" s="71" t="str">
        <f t="shared" si="25"/>
        <v>Cước vận chuyển cont Hàng 20 tuyến đường HẢI AN - NHĐV. Số xe: 15H08574</v>
      </c>
      <c r="Q396" s="72">
        <v>1</v>
      </c>
    </row>
    <row r="397" spans="1:17" s="72" customFormat="1" ht="15" customHeight="1">
      <c r="A397" s="39">
        <v>384</v>
      </c>
      <c r="B397" s="69" t="s">
        <v>530</v>
      </c>
      <c r="C397" s="69">
        <v>20</v>
      </c>
      <c r="D397" s="69" t="s">
        <v>100</v>
      </c>
      <c r="E397" s="69" t="s">
        <v>220</v>
      </c>
      <c r="F397" s="69" t="s">
        <v>527</v>
      </c>
      <c r="G397" s="69" t="s">
        <v>15</v>
      </c>
      <c r="H397" s="69" t="s">
        <v>53</v>
      </c>
      <c r="I397" s="69" t="s">
        <v>67</v>
      </c>
      <c r="J397" s="41" cm="1">
        <f t="array" ref="J397">IF(C397=20,INDEX(CUOC!$C$28:$C$37,MATCH(N397,CUOC!$A$28:$A$37,0),0),INDEX(CUOC!$D$28:$D$37,MATCH(N397,CUOC!$A$28:$A$37,0),0))</f>
        <v>386100</v>
      </c>
      <c r="K397" s="41">
        <f t="shared" si="23"/>
        <v>30888</v>
      </c>
      <c r="L397" s="41">
        <f t="shared" si="24"/>
        <v>416988</v>
      </c>
      <c r="M397" s="70" t="s">
        <v>567</v>
      </c>
      <c r="N397" s="73">
        <v>5</v>
      </c>
      <c r="O397" s="74">
        <v>34832</v>
      </c>
      <c r="P397" s="71" t="str">
        <f t="shared" si="25"/>
        <v>Cước vận chuyển cont Hàng 20 tuyến đường HẢI AN - NHĐV. Số xe: 15H08574</v>
      </c>
      <c r="Q397" s="72">
        <v>1</v>
      </c>
    </row>
    <row r="398" spans="1:17" s="72" customFormat="1" ht="15" customHeight="1">
      <c r="A398" s="39">
        <v>385</v>
      </c>
      <c r="B398" s="69" t="s">
        <v>531</v>
      </c>
      <c r="C398" s="69">
        <v>20</v>
      </c>
      <c r="D398" s="69" t="s">
        <v>100</v>
      </c>
      <c r="E398" s="69" t="s">
        <v>220</v>
      </c>
      <c r="F398" s="69" t="s">
        <v>527</v>
      </c>
      <c r="G398" s="69" t="s">
        <v>15</v>
      </c>
      <c r="H398" s="69" t="s">
        <v>53</v>
      </c>
      <c r="I398" s="69" t="s">
        <v>64</v>
      </c>
      <c r="J398" s="41" cm="1">
        <f t="array" ref="J398">IF(C398=20,INDEX(CUOC!$C$28:$C$37,MATCH(N398,CUOC!$A$28:$A$37,0),0),INDEX(CUOC!$D$28:$D$37,MATCH(N398,CUOC!$A$28:$A$37,0),0))</f>
        <v>386100</v>
      </c>
      <c r="K398" s="41">
        <f t="shared" si="23"/>
        <v>30888</v>
      </c>
      <c r="L398" s="41">
        <f t="shared" si="24"/>
        <v>416988</v>
      </c>
      <c r="M398" s="70" t="s">
        <v>567</v>
      </c>
      <c r="N398" s="73">
        <v>5</v>
      </c>
      <c r="O398" s="74">
        <v>34832</v>
      </c>
      <c r="P398" s="71" t="str">
        <f t="shared" si="25"/>
        <v>Cước vận chuyển cont Hàng 20 tuyến đường HẢI AN - NHĐV. Số xe: 15C09877</v>
      </c>
      <c r="Q398" s="72">
        <v>1</v>
      </c>
    </row>
    <row r="399" spans="1:17" s="72" customFormat="1" ht="15" customHeight="1">
      <c r="A399" s="39">
        <v>386</v>
      </c>
      <c r="B399" s="69" t="s">
        <v>532</v>
      </c>
      <c r="C399" s="69">
        <v>20</v>
      </c>
      <c r="D399" s="69" t="s">
        <v>100</v>
      </c>
      <c r="E399" s="69" t="s">
        <v>220</v>
      </c>
      <c r="F399" s="69" t="s">
        <v>527</v>
      </c>
      <c r="G399" s="69" t="s">
        <v>15</v>
      </c>
      <c r="H399" s="69" t="s">
        <v>53</v>
      </c>
      <c r="I399" s="69" t="s">
        <v>67</v>
      </c>
      <c r="J399" s="41" cm="1">
        <f t="array" ref="J399">IF(C399=20,INDEX(CUOC!$C$28:$C$37,MATCH(N399,CUOC!$A$28:$A$37,0),0),INDEX(CUOC!$D$28:$D$37,MATCH(N399,CUOC!$A$28:$A$37,0),0))</f>
        <v>386100</v>
      </c>
      <c r="K399" s="41">
        <f t="shared" si="23"/>
        <v>30888</v>
      </c>
      <c r="L399" s="41">
        <f t="shared" si="24"/>
        <v>416988</v>
      </c>
      <c r="M399" s="70" t="s">
        <v>567</v>
      </c>
      <c r="N399" s="73">
        <v>5</v>
      </c>
      <c r="O399" s="74">
        <v>34832</v>
      </c>
      <c r="P399" s="71" t="str">
        <f t="shared" si="25"/>
        <v>Cước vận chuyển cont Hàng 20 tuyến đường HẢI AN - NHĐV. Số xe: 15H08574</v>
      </c>
      <c r="Q399" s="72">
        <v>1</v>
      </c>
    </row>
    <row r="400" spans="1:17" s="72" customFormat="1" ht="15" customHeight="1">
      <c r="A400" s="39">
        <v>387</v>
      </c>
      <c r="B400" s="69" t="s">
        <v>533</v>
      </c>
      <c r="C400" s="69">
        <v>20</v>
      </c>
      <c r="D400" s="69" t="s">
        <v>100</v>
      </c>
      <c r="E400" s="69" t="s">
        <v>220</v>
      </c>
      <c r="F400" s="69" t="s">
        <v>527</v>
      </c>
      <c r="G400" s="69" t="s">
        <v>15</v>
      </c>
      <c r="H400" s="69" t="s">
        <v>53</v>
      </c>
      <c r="I400" s="69" t="s">
        <v>67</v>
      </c>
      <c r="J400" s="41" cm="1">
        <f t="array" ref="J400">IF(C400=20,INDEX(CUOC!$C$28:$C$37,MATCH(N400,CUOC!$A$28:$A$37,0),0),INDEX(CUOC!$D$28:$D$37,MATCH(N400,CUOC!$A$28:$A$37,0),0))</f>
        <v>386100</v>
      </c>
      <c r="K400" s="41">
        <f t="shared" si="23"/>
        <v>30888</v>
      </c>
      <c r="L400" s="41">
        <f t="shared" si="24"/>
        <v>416988</v>
      </c>
      <c r="M400" s="70" t="s">
        <v>567</v>
      </c>
      <c r="N400" s="73">
        <v>5</v>
      </c>
      <c r="O400" s="74">
        <v>34832</v>
      </c>
      <c r="P400" s="71" t="str">
        <f t="shared" si="25"/>
        <v>Cước vận chuyển cont Hàng 20 tuyến đường HẢI AN - NHĐV. Số xe: 15H08574</v>
      </c>
      <c r="Q400" s="72">
        <v>1</v>
      </c>
    </row>
    <row r="401" spans="1:17" s="72" customFormat="1" ht="15" customHeight="1">
      <c r="A401" s="39">
        <v>388</v>
      </c>
      <c r="B401" s="69" t="s">
        <v>534</v>
      </c>
      <c r="C401" s="69">
        <v>20</v>
      </c>
      <c r="D401" s="69" t="s">
        <v>100</v>
      </c>
      <c r="E401" s="69" t="s">
        <v>220</v>
      </c>
      <c r="F401" s="69" t="s">
        <v>527</v>
      </c>
      <c r="G401" s="69" t="s">
        <v>15</v>
      </c>
      <c r="H401" s="69" t="s">
        <v>53</v>
      </c>
      <c r="I401" s="69" t="s">
        <v>64</v>
      </c>
      <c r="J401" s="41" cm="1">
        <f t="array" ref="J401">IF(C401=20,INDEX(CUOC!$C$28:$C$37,MATCH(N401,CUOC!$A$28:$A$37,0),0),INDEX(CUOC!$D$28:$D$37,MATCH(N401,CUOC!$A$28:$A$37,0),0))</f>
        <v>386100</v>
      </c>
      <c r="K401" s="41">
        <f t="shared" si="23"/>
        <v>30888</v>
      </c>
      <c r="L401" s="41">
        <f t="shared" si="24"/>
        <v>416988</v>
      </c>
      <c r="M401" s="70" t="s">
        <v>567</v>
      </c>
      <c r="N401" s="73">
        <v>5</v>
      </c>
      <c r="O401" s="74">
        <v>34832</v>
      </c>
      <c r="P401" s="71" t="str">
        <f t="shared" si="25"/>
        <v>Cước vận chuyển cont Hàng 20 tuyến đường HẢI AN - NHĐV. Số xe: 15C09877</v>
      </c>
      <c r="Q401" s="72">
        <v>1</v>
      </c>
    </row>
    <row r="402" spans="1:17" s="72" customFormat="1" ht="15" customHeight="1">
      <c r="A402" s="39">
        <v>389</v>
      </c>
      <c r="B402" s="69" t="s">
        <v>535</v>
      </c>
      <c r="C402" s="69">
        <v>40</v>
      </c>
      <c r="D402" s="69" t="s">
        <v>100</v>
      </c>
      <c r="E402" s="69" t="s">
        <v>220</v>
      </c>
      <c r="F402" s="69" t="s">
        <v>527</v>
      </c>
      <c r="G402" s="69" t="s">
        <v>15</v>
      </c>
      <c r="H402" s="69" t="s">
        <v>53</v>
      </c>
      <c r="I402" s="69" t="s">
        <v>64</v>
      </c>
      <c r="J402" s="41" cm="1">
        <f t="array" ref="J402">IF(C402=20,INDEX(CUOC!$C$28:$C$37,MATCH(N402,CUOC!$A$28:$A$37,0),0),INDEX(CUOC!$D$28:$D$37,MATCH(N402,CUOC!$A$28:$A$37,0),0))</f>
        <v>448500</v>
      </c>
      <c r="K402" s="41">
        <f t="shared" si="23"/>
        <v>35880</v>
      </c>
      <c r="L402" s="41">
        <f t="shared" si="24"/>
        <v>484380</v>
      </c>
      <c r="M402" s="70" t="s">
        <v>567</v>
      </c>
      <c r="N402" s="73">
        <v>5</v>
      </c>
      <c r="O402" s="74">
        <v>34832</v>
      </c>
      <c r="P402" s="71" t="str">
        <f t="shared" si="25"/>
        <v>Cước vận chuyển cont Hàng 40 tuyến đường HẢI AN - NHĐV. Số xe: 15C09877</v>
      </c>
      <c r="Q402" s="72">
        <v>1</v>
      </c>
    </row>
    <row r="403" spans="1:17" s="72" customFormat="1" ht="15" customHeight="1">
      <c r="A403" s="39">
        <v>390</v>
      </c>
      <c r="B403" s="69" t="s">
        <v>536</v>
      </c>
      <c r="C403" s="69">
        <v>40</v>
      </c>
      <c r="D403" s="69" t="s">
        <v>100</v>
      </c>
      <c r="E403" s="69" t="s">
        <v>220</v>
      </c>
      <c r="F403" s="69" t="s">
        <v>527</v>
      </c>
      <c r="G403" s="69" t="s">
        <v>15</v>
      </c>
      <c r="H403" s="69" t="s">
        <v>53</v>
      </c>
      <c r="I403" s="69" t="s">
        <v>64</v>
      </c>
      <c r="J403" s="41" cm="1">
        <f t="array" ref="J403">IF(C403=20,INDEX(CUOC!$C$28:$C$37,MATCH(N403,CUOC!$A$28:$A$37,0),0),INDEX(CUOC!$D$28:$D$37,MATCH(N403,CUOC!$A$28:$A$37,0),0))</f>
        <v>448500</v>
      </c>
      <c r="K403" s="41">
        <f t="shared" si="23"/>
        <v>35880</v>
      </c>
      <c r="L403" s="41">
        <f t="shared" si="24"/>
        <v>484380</v>
      </c>
      <c r="M403" s="70" t="s">
        <v>567</v>
      </c>
      <c r="N403" s="73">
        <v>5</v>
      </c>
      <c r="O403" s="74">
        <v>34832</v>
      </c>
      <c r="P403" s="71" t="str">
        <f t="shared" si="25"/>
        <v>Cước vận chuyển cont Hàng 40 tuyến đường HẢI AN - NHĐV. Số xe: 15C09877</v>
      </c>
      <c r="Q403" s="72">
        <v>1</v>
      </c>
    </row>
    <row r="404" spans="1:17" s="72" customFormat="1" ht="15" customHeight="1">
      <c r="A404" s="39">
        <v>391</v>
      </c>
      <c r="B404" s="69" t="s">
        <v>537</v>
      </c>
      <c r="C404" s="69">
        <v>40</v>
      </c>
      <c r="D404" s="69" t="s">
        <v>100</v>
      </c>
      <c r="E404" s="69" t="s">
        <v>220</v>
      </c>
      <c r="F404" s="69" t="s">
        <v>527</v>
      </c>
      <c r="G404" s="69" t="s">
        <v>15</v>
      </c>
      <c r="H404" s="69" t="s">
        <v>53</v>
      </c>
      <c r="I404" s="69" t="s">
        <v>64</v>
      </c>
      <c r="J404" s="41" cm="1">
        <f t="array" ref="J404">IF(C404=20,INDEX(CUOC!$C$28:$C$37,MATCH(N404,CUOC!$A$28:$A$37,0),0),INDEX(CUOC!$D$28:$D$37,MATCH(N404,CUOC!$A$28:$A$37,0),0))</f>
        <v>448500</v>
      </c>
      <c r="K404" s="41">
        <f t="shared" si="23"/>
        <v>35880</v>
      </c>
      <c r="L404" s="41">
        <f t="shared" si="24"/>
        <v>484380</v>
      </c>
      <c r="M404" s="70" t="s">
        <v>567</v>
      </c>
      <c r="N404" s="73">
        <v>5</v>
      </c>
      <c r="O404" s="74">
        <v>34832</v>
      </c>
      <c r="P404" s="71" t="str">
        <f t="shared" si="25"/>
        <v>Cước vận chuyển cont Hàng 40 tuyến đường HẢI AN - NHĐV. Số xe: 15C09877</v>
      </c>
      <c r="Q404" s="72">
        <v>1</v>
      </c>
    </row>
    <row r="405" spans="1:17" s="72" customFormat="1" ht="15" customHeight="1">
      <c r="A405" s="39">
        <v>392</v>
      </c>
      <c r="B405" s="69" t="s">
        <v>538</v>
      </c>
      <c r="C405" s="69">
        <v>40</v>
      </c>
      <c r="D405" s="69" t="s">
        <v>100</v>
      </c>
      <c r="E405" s="69" t="s">
        <v>220</v>
      </c>
      <c r="F405" s="69" t="s">
        <v>527</v>
      </c>
      <c r="G405" s="69" t="s">
        <v>15</v>
      </c>
      <c r="H405" s="69" t="s">
        <v>53</v>
      </c>
      <c r="I405" s="69" t="s">
        <v>64</v>
      </c>
      <c r="J405" s="41" cm="1">
        <f t="array" ref="J405">IF(C405=20,INDEX(CUOC!$C$28:$C$37,MATCH(N405,CUOC!$A$28:$A$37,0),0),INDEX(CUOC!$D$28:$D$37,MATCH(N405,CUOC!$A$28:$A$37,0),0))</f>
        <v>448500</v>
      </c>
      <c r="K405" s="41">
        <f t="shared" si="23"/>
        <v>35880</v>
      </c>
      <c r="L405" s="41">
        <f t="shared" si="24"/>
        <v>484380</v>
      </c>
      <c r="M405" s="70" t="s">
        <v>567</v>
      </c>
      <c r="N405" s="73">
        <v>5</v>
      </c>
      <c r="O405" s="74">
        <v>34832</v>
      </c>
      <c r="P405" s="71" t="str">
        <f t="shared" si="25"/>
        <v>Cước vận chuyển cont Hàng 40 tuyến đường HẢI AN - NHĐV. Số xe: 15C09877</v>
      </c>
      <c r="Q405" s="72">
        <v>1</v>
      </c>
    </row>
    <row r="406" spans="1:17" s="72" customFormat="1" ht="15" customHeight="1">
      <c r="A406" s="39">
        <v>393</v>
      </c>
      <c r="B406" s="69" t="s">
        <v>539</v>
      </c>
      <c r="C406" s="69">
        <v>40</v>
      </c>
      <c r="D406" s="69" t="s">
        <v>100</v>
      </c>
      <c r="E406" s="69" t="s">
        <v>220</v>
      </c>
      <c r="F406" s="69" t="s">
        <v>527</v>
      </c>
      <c r="G406" s="69" t="s">
        <v>15</v>
      </c>
      <c r="H406" s="69" t="s">
        <v>53</v>
      </c>
      <c r="I406" s="69" t="s">
        <v>64</v>
      </c>
      <c r="J406" s="41" cm="1">
        <f t="array" ref="J406">IF(C406=20,INDEX(CUOC!$C$28:$C$37,MATCH(N406,CUOC!$A$28:$A$37,0),0),INDEX(CUOC!$D$28:$D$37,MATCH(N406,CUOC!$A$28:$A$37,0),0))</f>
        <v>448500</v>
      </c>
      <c r="K406" s="41">
        <f t="shared" si="23"/>
        <v>35880</v>
      </c>
      <c r="L406" s="41">
        <f t="shared" si="24"/>
        <v>484380</v>
      </c>
      <c r="M406" s="70" t="s">
        <v>567</v>
      </c>
      <c r="N406" s="73">
        <v>5</v>
      </c>
      <c r="O406" s="74">
        <v>34832</v>
      </c>
      <c r="P406" s="71" t="str">
        <f t="shared" si="25"/>
        <v>Cước vận chuyển cont Hàng 40 tuyến đường HẢI AN - NHĐV. Số xe: 15C09877</v>
      </c>
      <c r="Q406" s="72">
        <v>1</v>
      </c>
    </row>
    <row r="407" spans="1:17" s="72" customFormat="1" ht="15" customHeight="1">
      <c r="A407" s="39">
        <v>394</v>
      </c>
      <c r="B407" s="69" t="s">
        <v>540</v>
      </c>
      <c r="C407" s="69">
        <v>40</v>
      </c>
      <c r="D407" s="69" t="s">
        <v>100</v>
      </c>
      <c r="E407" s="69" t="s">
        <v>220</v>
      </c>
      <c r="F407" s="69" t="s">
        <v>527</v>
      </c>
      <c r="G407" s="69" t="s">
        <v>15</v>
      </c>
      <c r="H407" s="69" t="s">
        <v>53</v>
      </c>
      <c r="I407" s="69" t="s">
        <v>67</v>
      </c>
      <c r="J407" s="41" cm="1">
        <f t="array" ref="J407">IF(C407=20,INDEX(CUOC!$C$28:$C$37,MATCH(N407,CUOC!$A$28:$A$37,0),0),INDEX(CUOC!$D$28:$D$37,MATCH(N407,CUOC!$A$28:$A$37,0),0))</f>
        <v>448500</v>
      </c>
      <c r="K407" s="41">
        <f t="shared" si="23"/>
        <v>35880</v>
      </c>
      <c r="L407" s="41">
        <f t="shared" si="24"/>
        <v>484380</v>
      </c>
      <c r="M407" s="70" t="s">
        <v>567</v>
      </c>
      <c r="N407" s="73">
        <v>5</v>
      </c>
      <c r="O407" s="74">
        <v>34832</v>
      </c>
      <c r="P407" s="71" t="str">
        <f t="shared" si="25"/>
        <v>Cước vận chuyển cont Hàng 40 tuyến đường HẢI AN - NHĐV. Số xe: 15H08574</v>
      </c>
      <c r="Q407" s="72">
        <v>1</v>
      </c>
    </row>
    <row r="408" spans="1:17" s="72" customFormat="1" ht="15" customHeight="1">
      <c r="A408" s="39">
        <v>395</v>
      </c>
      <c r="B408" s="69" t="s">
        <v>541</v>
      </c>
      <c r="C408" s="69">
        <v>20</v>
      </c>
      <c r="D408" s="69" t="s">
        <v>100</v>
      </c>
      <c r="E408" s="69" t="s">
        <v>95</v>
      </c>
      <c r="F408" s="69" t="s">
        <v>542</v>
      </c>
      <c r="G408" s="69" t="s">
        <v>15</v>
      </c>
      <c r="H408" s="69" t="s">
        <v>53</v>
      </c>
      <c r="I408" s="69" t="s">
        <v>67</v>
      </c>
      <c r="J408" s="41" cm="1">
        <f t="array" ref="J408">IF(C408=20,INDEX(CUOC!$C$28:$C$37,MATCH(N408,CUOC!$A$28:$A$37,0),0),INDEX(CUOC!$D$28:$D$37,MATCH(N408,CUOC!$A$28:$A$37,0),0))</f>
        <v>386100</v>
      </c>
      <c r="K408" s="41">
        <f t="shared" si="23"/>
        <v>30888</v>
      </c>
      <c r="L408" s="41">
        <f t="shared" si="24"/>
        <v>416988</v>
      </c>
      <c r="M408" s="70" t="s">
        <v>568</v>
      </c>
      <c r="N408" s="73">
        <v>5</v>
      </c>
      <c r="O408" s="74">
        <v>34832</v>
      </c>
      <c r="P408" s="71" t="str">
        <f t="shared" si="25"/>
        <v>Cước vận chuyển cont Hàng 20 tuyến đường HẢI AN - NHĐV. Số xe: 15H08574</v>
      </c>
      <c r="Q408" s="72">
        <v>1</v>
      </c>
    </row>
    <row r="409" spans="1:17" s="72" customFormat="1" ht="15" customHeight="1">
      <c r="A409" s="39">
        <v>396</v>
      </c>
      <c r="B409" s="69" t="s">
        <v>543</v>
      </c>
      <c r="C409" s="69">
        <v>20</v>
      </c>
      <c r="D409" s="69" t="s">
        <v>100</v>
      </c>
      <c r="E409" s="69" t="s">
        <v>95</v>
      </c>
      <c r="F409" s="69" t="s">
        <v>542</v>
      </c>
      <c r="G409" s="69" t="s">
        <v>15</v>
      </c>
      <c r="H409" s="69" t="s">
        <v>53</v>
      </c>
      <c r="I409" s="69" t="s">
        <v>64</v>
      </c>
      <c r="J409" s="41" cm="1">
        <f t="array" ref="J409">IF(C409=20,INDEX(CUOC!$C$28:$C$37,MATCH(N409,CUOC!$A$28:$A$37,0),0),INDEX(CUOC!$D$28:$D$37,MATCH(N409,CUOC!$A$28:$A$37,0),0))</f>
        <v>386100</v>
      </c>
      <c r="K409" s="41">
        <f t="shared" si="23"/>
        <v>30888</v>
      </c>
      <c r="L409" s="41">
        <f t="shared" si="24"/>
        <v>416988</v>
      </c>
      <c r="M409" s="70" t="s">
        <v>568</v>
      </c>
      <c r="N409" s="73">
        <v>5</v>
      </c>
      <c r="O409" s="74">
        <v>34832</v>
      </c>
      <c r="P409" s="71" t="str">
        <f t="shared" si="25"/>
        <v>Cước vận chuyển cont Hàng 20 tuyến đường HẢI AN - NHĐV. Số xe: 15C09877</v>
      </c>
      <c r="Q409" s="72">
        <v>1</v>
      </c>
    </row>
    <row r="410" spans="1:17" s="72" customFormat="1" ht="15" customHeight="1">
      <c r="A410" s="39">
        <v>397</v>
      </c>
      <c r="B410" s="69" t="s">
        <v>544</v>
      </c>
      <c r="C410" s="69">
        <v>20</v>
      </c>
      <c r="D410" s="69" t="s">
        <v>100</v>
      </c>
      <c r="E410" s="69" t="s">
        <v>95</v>
      </c>
      <c r="F410" s="69" t="s">
        <v>542</v>
      </c>
      <c r="G410" s="69" t="s">
        <v>15</v>
      </c>
      <c r="H410" s="69" t="s">
        <v>53</v>
      </c>
      <c r="I410" s="69" t="s">
        <v>64</v>
      </c>
      <c r="J410" s="41" cm="1">
        <f t="array" ref="J410">IF(C410=20,INDEX(CUOC!$C$28:$C$37,MATCH(N410,CUOC!$A$28:$A$37,0),0),INDEX(CUOC!$D$28:$D$37,MATCH(N410,CUOC!$A$28:$A$37,0),0))</f>
        <v>386100</v>
      </c>
      <c r="K410" s="41">
        <f t="shared" si="23"/>
        <v>30888</v>
      </c>
      <c r="L410" s="41">
        <f t="shared" si="24"/>
        <v>416988</v>
      </c>
      <c r="M410" s="70" t="s">
        <v>568</v>
      </c>
      <c r="N410" s="73">
        <v>5</v>
      </c>
      <c r="O410" s="74">
        <v>34832</v>
      </c>
      <c r="P410" s="71" t="str">
        <f t="shared" si="25"/>
        <v>Cước vận chuyển cont Hàng 20 tuyến đường HẢI AN - NHĐV. Số xe: 15C09877</v>
      </c>
      <c r="Q410" s="72">
        <v>1</v>
      </c>
    </row>
    <row r="411" spans="1:17" s="72" customFormat="1" ht="15" customHeight="1">
      <c r="A411" s="39">
        <v>398</v>
      </c>
      <c r="B411" s="69" t="s">
        <v>545</v>
      </c>
      <c r="C411" s="69">
        <v>20</v>
      </c>
      <c r="D411" s="69" t="s">
        <v>100</v>
      </c>
      <c r="E411" s="69" t="s">
        <v>95</v>
      </c>
      <c r="F411" s="69" t="s">
        <v>542</v>
      </c>
      <c r="G411" s="69" t="s">
        <v>15</v>
      </c>
      <c r="H411" s="69" t="s">
        <v>53</v>
      </c>
      <c r="I411" s="69" t="s">
        <v>67</v>
      </c>
      <c r="J411" s="41" cm="1">
        <f t="array" ref="J411">IF(C411=20,INDEX(CUOC!$C$28:$C$37,MATCH(N411,CUOC!$A$28:$A$37,0),0),INDEX(CUOC!$D$28:$D$37,MATCH(N411,CUOC!$A$28:$A$37,0),0))</f>
        <v>386100</v>
      </c>
      <c r="K411" s="41">
        <f t="shared" si="23"/>
        <v>30888</v>
      </c>
      <c r="L411" s="41">
        <f t="shared" si="24"/>
        <v>416988</v>
      </c>
      <c r="M411" s="70" t="s">
        <v>568</v>
      </c>
      <c r="N411" s="73">
        <v>5</v>
      </c>
      <c r="O411" s="74">
        <v>34832</v>
      </c>
      <c r="P411" s="71" t="str">
        <f t="shared" si="25"/>
        <v>Cước vận chuyển cont Hàng 20 tuyến đường HẢI AN - NHĐV. Số xe: 15H08574</v>
      </c>
      <c r="Q411" s="72">
        <v>1</v>
      </c>
    </row>
    <row r="412" spans="1:17" s="72" customFormat="1" ht="15" customHeight="1">
      <c r="A412" s="39">
        <v>399</v>
      </c>
      <c r="B412" s="69" t="s">
        <v>546</v>
      </c>
      <c r="C412" s="69">
        <v>20</v>
      </c>
      <c r="D412" s="69" t="s">
        <v>100</v>
      </c>
      <c r="E412" s="69" t="s">
        <v>95</v>
      </c>
      <c r="F412" s="69" t="s">
        <v>542</v>
      </c>
      <c r="G412" s="69" t="s">
        <v>15</v>
      </c>
      <c r="H412" s="69" t="s">
        <v>53</v>
      </c>
      <c r="I412" s="69" t="s">
        <v>67</v>
      </c>
      <c r="J412" s="41" cm="1">
        <f t="array" ref="J412">IF(C412=20,INDEX(CUOC!$C$28:$C$37,MATCH(N412,CUOC!$A$28:$A$37,0),0),INDEX(CUOC!$D$28:$D$37,MATCH(N412,CUOC!$A$28:$A$37,0),0))</f>
        <v>386100</v>
      </c>
      <c r="K412" s="41">
        <f t="shared" si="23"/>
        <v>30888</v>
      </c>
      <c r="L412" s="41">
        <f t="shared" si="24"/>
        <v>416988</v>
      </c>
      <c r="M412" s="70" t="s">
        <v>568</v>
      </c>
      <c r="N412" s="73">
        <v>5</v>
      </c>
      <c r="O412" s="74">
        <v>34832</v>
      </c>
      <c r="P412" s="71" t="str">
        <f t="shared" si="25"/>
        <v>Cước vận chuyển cont Hàng 20 tuyến đường HẢI AN - NHĐV. Số xe: 15H08574</v>
      </c>
      <c r="Q412" s="72">
        <v>1</v>
      </c>
    </row>
    <row r="413" spans="1:17" s="72" customFormat="1" ht="15" customHeight="1">
      <c r="A413" s="39">
        <v>400</v>
      </c>
      <c r="B413" s="69" t="s">
        <v>547</v>
      </c>
      <c r="C413" s="69">
        <v>20</v>
      </c>
      <c r="D413" s="69" t="s">
        <v>100</v>
      </c>
      <c r="E413" s="69" t="s">
        <v>95</v>
      </c>
      <c r="F413" s="69" t="s">
        <v>542</v>
      </c>
      <c r="G413" s="69" t="s">
        <v>15</v>
      </c>
      <c r="H413" s="69" t="s">
        <v>53</v>
      </c>
      <c r="I413" s="69" t="s">
        <v>67</v>
      </c>
      <c r="J413" s="41" cm="1">
        <f t="array" ref="J413">IF(C413=20,INDEX(CUOC!$C$28:$C$37,MATCH(N413,CUOC!$A$28:$A$37,0),0),INDEX(CUOC!$D$28:$D$37,MATCH(N413,CUOC!$A$28:$A$37,0),0))</f>
        <v>386100</v>
      </c>
      <c r="K413" s="41">
        <f t="shared" si="23"/>
        <v>30888</v>
      </c>
      <c r="L413" s="41">
        <f t="shared" si="24"/>
        <v>416988</v>
      </c>
      <c r="M413" s="70" t="s">
        <v>568</v>
      </c>
      <c r="N413" s="73">
        <v>5</v>
      </c>
      <c r="O413" s="74">
        <v>34832</v>
      </c>
      <c r="P413" s="71" t="str">
        <f t="shared" si="25"/>
        <v>Cước vận chuyển cont Hàng 20 tuyến đường HẢI AN - NHĐV. Số xe: 15H08574</v>
      </c>
      <c r="Q413" s="72">
        <v>1</v>
      </c>
    </row>
    <row r="414" spans="1:17" s="72" customFormat="1" ht="15" customHeight="1">
      <c r="A414" s="39">
        <v>401</v>
      </c>
      <c r="B414" s="69" t="s">
        <v>548</v>
      </c>
      <c r="C414" s="69">
        <v>20</v>
      </c>
      <c r="D414" s="69" t="s">
        <v>100</v>
      </c>
      <c r="E414" s="69" t="s">
        <v>95</v>
      </c>
      <c r="F414" s="69" t="s">
        <v>542</v>
      </c>
      <c r="G414" s="69" t="s">
        <v>15</v>
      </c>
      <c r="H414" s="69" t="s">
        <v>53</v>
      </c>
      <c r="I414" s="69" t="s">
        <v>64</v>
      </c>
      <c r="J414" s="41" cm="1">
        <f t="array" ref="J414">IF(C414=20,INDEX(CUOC!$C$28:$C$37,MATCH(N414,CUOC!$A$28:$A$37,0),0),INDEX(CUOC!$D$28:$D$37,MATCH(N414,CUOC!$A$28:$A$37,0),0))</f>
        <v>386100</v>
      </c>
      <c r="K414" s="41">
        <f t="shared" si="23"/>
        <v>30888</v>
      </c>
      <c r="L414" s="41">
        <f t="shared" si="24"/>
        <v>416988</v>
      </c>
      <c r="M414" s="70" t="s">
        <v>568</v>
      </c>
      <c r="N414" s="73">
        <v>5</v>
      </c>
      <c r="O414" s="74">
        <v>34832</v>
      </c>
      <c r="P414" s="71" t="str">
        <f t="shared" si="25"/>
        <v>Cước vận chuyển cont Hàng 20 tuyến đường HẢI AN - NHĐV. Số xe: 15C09877</v>
      </c>
      <c r="Q414" s="72">
        <v>1</v>
      </c>
    </row>
    <row r="415" spans="1:17" s="72" customFormat="1" ht="15" customHeight="1">
      <c r="A415" s="39">
        <v>402</v>
      </c>
      <c r="B415" s="69" t="s">
        <v>549</v>
      </c>
      <c r="C415" s="69">
        <v>20</v>
      </c>
      <c r="D415" s="69" t="s">
        <v>100</v>
      </c>
      <c r="E415" s="69" t="s">
        <v>95</v>
      </c>
      <c r="F415" s="69" t="s">
        <v>542</v>
      </c>
      <c r="G415" s="69" t="s">
        <v>15</v>
      </c>
      <c r="H415" s="69" t="s">
        <v>53</v>
      </c>
      <c r="I415" s="69" t="s">
        <v>64</v>
      </c>
      <c r="J415" s="41" cm="1">
        <f t="array" ref="J415">IF(C415=20,INDEX(CUOC!$C$28:$C$37,MATCH(N415,CUOC!$A$28:$A$37,0),0),INDEX(CUOC!$D$28:$D$37,MATCH(N415,CUOC!$A$28:$A$37,0),0))</f>
        <v>386100</v>
      </c>
      <c r="K415" s="41">
        <f t="shared" si="23"/>
        <v>30888</v>
      </c>
      <c r="L415" s="41">
        <f t="shared" si="24"/>
        <v>416988</v>
      </c>
      <c r="M415" s="70" t="s">
        <v>568</v>
      </c>
      <c r="N415" s="73">
        <v>5</v>
      </c>
      <c r="O415" s="74">
        <v>34832</v>
      </c>
      <c r="P415" s="71" t="str">
        <f t="shared" si="25"/>
        <v>Cước vận chuyển cont Hàng 20 tuyến đường HẢI AN - NHĐV. Số xe: 15C09877</v>
      </c>
      <c r="Q415" s="72">
        <v>1</v>
      </c>
    </row>
    <row r="416" spans="1:17" s="72" customFormat="1" ht="15" customHeight="1">
      <c r="A416" s="39">
        <v>403</v>
      </c>
      <c r="B416" s="69" t="s">
        <v>550</v>
      </c>
      <c r="C416" s="69">
        <v>20</v>
      </c>
      <c r="D416" s="69" t="s">
        <v>100</v>
      </c>
      <c r="E416" s="69" t="s">
        <v>186</v>
      </c>
      <c r="F416" s="69" t="s">
        <v>551</v>
      </c>
      <c r="G416" s="69" t="s">
        <v>15</v>
      </c>
      <c r="H416" s="69" t="s">
        <v>53</v>
      </c>
      <c r="I416" s="69" t="s">
        <v>64</v>
      </c>
      <c r="J416" s="41" cm="1">
        <f t="array" ref="J416">IF(C416=20,INDEX(CUOC!$C$28:$C$37,MATCH(N416,CUOC!$A$28:$A$37,0),0),INDEX(CUOC!$D$28:$D$37,MATCH(N416,CUOC!$A$28:$A$37,0),0))</f>
        <v>386100</v>
      </c>
      <c r="K416" s="41">
        <f t="shared" si="23"/>
        <v>30888</v>
      </c>
      <c r="L416" s="41">
        <f t="shared" si="24"/>
        <v>416988</v>
      </c>
      <c r="M416" s="70" t="s">
        <v>569</v>
      </c>
      <c r="N416" s="73">
        <v>5</v>
      </c>
      <c r="O416" s="74">
        <v>34832</v>
      </c>
      <c r="P416" s="71" t="str">
        <f t="shared" si="25"/>
        <v>Cước vận chuyển cont Hàng 20 tuyến đường HẢI AN - NHĐV. Số xe: 15C09877</v>
      </c>
      <c r="Q416" s="72">
        <v>1</v>
      </c>
    </row>
    <row r="417" spans="1:17" s="72" customFormat="1" ht="15" customHeight="1">
      <c r="A417" s="39">
        <v>404</v>
      </c>
      <c r="B417" s="69" t="s">
        <v>552</v>
      </c>
      <c r="C417" s="69">
        <v>20</v>
      </c>
      <c r="D417" s="69" t="s">
        <v>100</v>
      </c>
      <c r="E417" s="69" t="s">
        <v>186</v>
      </c>
      <c r="F417" s="69" t="s">
        <v>551</v>
      </c>
      <c r="G417" s="69" t="s">
        <v>15</v>
      </c>
      <c r="H417" s="69" t="s">
        <v>53</v>
      </c>
      <c r="I417" s="69" t="s">
        <v>64</v>
      </c>
      <c r="J417" s="41" cm="1">
        <f t="array" ref="J417">IF(C417=20,INDEX(CUOC!$C$28:$C$37,MATCH(N417,CUOC!$A$28:$A$37,0),0),INDEX(CUOC!$D$28:$D$37,MATCH(N417,CUOC!$A$28:$A$37,0),0))</f>
        <v>386100</v>
      </c>
      <c r="K417" s="41">
        <f t="shared" si="23"/>
        <v>30888</v>
      </c>
      <c r="L417" s="41">
        <f t="shared" si="24"/>
        <v>416988</v>
      </c>
      <c r="M417" s="70" t="s">
        <v>569</v>
      </c>
      <c r="N417" s="73">
        <v>5</v>
      </c>
      <c r="O417" s="74">
        <v>34832</v>
      </c>
      <c r="P417" s="71" t="str">
        <f t="shared" si="25"/>
        <v>Cước vận chuyển cont Hàng 20 tuyến đường HẢI AN - NHĐV. Số xe: 15C09877</v>
      </c>
      <c r="Q417" s="72">
        <v>1</v>
      </c>
    </row>
    <row r="418" spans="1:17" s="72" customFormat="1" ht="15" customHeight="1">
      <c r="A418" s="39">
        <v>405</v>
      </c>
      <c r="B418" s="69" t="s">
        <v>553</v>
      </c>
      <c r="C418" s="69">
        <v>20</v>
      </c>
      <c r="D418" s="69" t="s">
        <v>100</v>
      </c>
      <c r="E418" s="69" t="s">
        <v>186</v>
      </c>
      <c r="F418" s="69" t="s">
        <v>551</v>
      </c>
      <c r="G418" s="69" t="s">
        <v>15</v>
      </c>
      <c r="H418" s="69" t="s">
        <v>53</v>
      </c>
      <c r="I418" s="69" t="s">
        <v>64</v>
      </c>
      <c r="J418" s="41" cm="1">
        <f t="array" ref="J418">IF(C418=20,INDEX(CUOC!$C$28:$C$37,MATCH(N418,CUOC!$A$28:$A$37,0),0),INDEX(CUOC!$D$28:$D$37,MATCH(N418,CUOC!$A$28:$A$37,0),0))</f>
        <v>386100</v>
      </c>
      <c r="K418" s="41">
        <f t="shared" si="23"/>
        <v>30888</v>
      </c>
      <c r="L418" s="41">
        <f t="shared" si="24"/>
        <v>416988</v>
      </c>
      <c r="M418" s="70" t="s">
        <v>569</v>
      </c>
      <c r="N418" s="73">
        <v>5</v>
      </c>
      <c r="O418" s="74">
        <v>34832</v>
      </c>
      <c r="P418" s="71" t="str">
        <f t="shared" si="25"/>
        <v>Cước vận chuyển cont Hàng 20 tuyến đường HẢI AN - NHĐV. Số xe: 15C09877</v>
      </c>
      <c r="Q418" s="72">
        <v>1</v>
      </c>
    </row>
    <row r="419" spans="1:17" s="72" customFormat="1" ht="15" customHeight="1">
      <c r="A419" s="39">
        <v>406</v>
      </c>
      <c r="B419" s="69" t="s">
        <v>554</v>
      </c>
      <c r="C419" s="69">
        <v>20</v>
      </c>
      <c r="D419" s="69" t="s">
        <v>100</v>
      </c>
      <c r="E419" s="69" t="s">
        <v>186</v>
      </c>
      <c r="F419" s="69" t="s">
        <v>551</v>
      </c>
      <c r="G419" s="69" t="s">
        <v>15</v>
      </c>
      <c r="H419" s="69" t="s">
        <v>53</v>
      </c>
      <c r="I419" s="69" t="s">
        <v>64</v>
      </c>
      <c r="J419" s="41" cm="1">
        <f t="array" ref="J419">IF(C419=20,INDEX(CUOC!$C$28:$C$37,MATCH(N419,CUOC!$A$28:$A$37,0),0),INDEX(CUOC!$D$28:$D$37,MATCH(N419,CUOC!$A$28:$A$37,0),0))</f>
        <v>386100</v>
      </c>
      <c r="K419" s="41">
        <f t="shared" si="23"/>
        <v>30888</v>
      </c>
      <c r="L419" s="41">
        <f t="shared" si="24"/>
        <v>416988</v>
      </c>
      <c r="M419" s="70" t="s">
        <v>569</v>
      </c>
      <c r="N419" s="73">
        <v>5</v>
      </c>
      <c r="O419" s="74">
        <v>34832</v>
      </c>
      <c r="P419" s="71" t="str">
        <f t="shared" si="25"/>
        <v>Cước vận chuyển cont Hàng 20 tuyến đường HẢI AN - NHĐV. Số xe: 15C09877</v>
      </c>
      <c r="Q419" s="72">
        <v>1</v>
      </c>
    </row>
    <row r="420" spans="1:17" s="72" customFormat="1" ht="15" customHeight="1">
      <c r="A420" s="39">
        <v>407</v>
      </c>
      <c r="B420" s="69" t="s">
        <v>555</v>
      </c>
      <c r="C420" s="69">
        <v>20</v>
      </c>
      <c r="D420" s="69" t="s">
        <v>100</v>
      </c>
      <c r="E420" s="69" t="s">
        <v>186</v>
      </c>
      <c r="F420" s="69" t="s">
        <v>551</v>
      </c>
      <c r="G420" s="69" t="s">
        <v>15</v>
      </c>
      <c r="H420" s="69" t="s">
        <v>53</v>
      </c>
      <c r="I420" s="69" t="s">
        <v>67</v>
      </c>
      <c r="J420" s="41" cm="1">
        <f t="array" ref="J420">IF(C420=20,INDEX(CUOC!$C$28:$C$37,MATCH(N420,CUOC!$A$28:$A$37,0),0),INDEX(CUOC!$D$28:$D$37,MATCH(N420,CUOC!$A$28:$A$37,0),0))</f>
        <v>386100</v>
      </c>
      <c r="K420" s="41">
        <f t="shared" si="23"/>
        <v>30888</v>
      </c>
      <c r="L420" s="41">
        <f t="shared" si="24"/>
        <v>416988</v>
      </c>
      <c r="M420" s="70" t="s">
        <v>569</v>
      </c>
      <c r="N420" s="73">
        <v>5</v>
      </c>
      <c r="O420" s="74">
        <v>34832</v>
      </c>
      <c r="P420" s="71" t="str">
        <f t="shared" si="25"/>
        <v>Cước vận chuyển cont Hàng 20 tuyến đường HẢI AN - NHĐV. Số xe: 15H08574</v>
      </c>
      <c r="Q420" s="72">
        <v>1</v>
      </c>
    </row>
    <row r="421" spans="1:17" s="72" customFormat="1" ht="15" customHeight="1">
      <c r="A421" s="39">
        <v>408</v>
      </c>
      <c r="B421" s="69" t="s">
        <v>556</v>
      </c>
      <c r="C421" s="69">
        <v>20</v>
      </c>
      <c r="D421" s="69" t="s">
        <v>100</v>
      </c>
      <c r="E421" s="69" t="s">
        <v>186</v>
      </c>
      <c r="F421" s="69" t="s">
        <v>551</v>
      </c>
      <c r="G421" s="69" t="s">
        <v>15</v>
      </c>
      <c r="H421" s="69" t="s">
        <v>53</v>
      </c>
      <c r="I421" s="69" t="s">
        <v>64</v>
      </c>
      <c r="J421" s="41" cm="1">
        <f t="array" ref="J421">IF(C421=20,INDEX(CUOC!$C$28:$C$37,MATCH(N421,CUOC!$A$28:$A$37,0),0),INDEX(CUOC!$D$28:$D$37,MATCH(N421,CUOC!$A$28:$A$37,0),0))</f>
        <v>386100</v>
      </c>
      <c r="K421" s="41">
        <f t="shared" si="23"/>
        <v>30888</v>
      </c>
      <c r="L421" s="41">
        <f t="shared" si="24"/>
        <v>416988</v>
      </c>
      <c r="M421" s="70" t="s">
        <v>569</v>
      </c>
      <c r="N421" s="73">
        <v>5</v>
      </c>
      <c r="O421" s="74">
        <v>34832</v>
      </c>
      <c r="P421" s="71" t="str">
        <f t="shared" si="25"/>
        <v>Cước vận chuyển cont Hàng 20 tuyến đường HẢI AN - NHĐV. Số xe: 15C09877</v>
      </c>
      <c r="Q421" s="72">
        <v>1</v>
      </c>
    </row>
    <row r="422" spans="1:17" s="72" customFormat="1" ht="15" customHeight="1">
      <c r="A422" s="39">
        <v>409</v>
      </c>
      <c r="B422" s="69" t="s">
        <v>557</v>
      </c>
      <c r="C422" s="69">
        <v>20</v>
      </c>
      <c r="D422" s="69" t="s">
        <v>100</v>
      </c>
      <c r="E422" s="69" t="s">
        <v>558</v>
      </c>
      <c r="F422" s="69" t="s">
        <v>559</v>
      </c>
      <c r="G422" s="69" t="s">
        <v>15</v>
      </c>
      <c r="H422" s="69" t="s">
        <v>53</v>
      </c>
      <c r="I422" s="69" t="s">
        <v>64</v>
      </c>
      <c r="J422" s="41" cm="1">
        <f t="array" ref="J422">IF(C422=20,INDEX(CUOC!$C$28:$C$37,MATCH(N422,CUOC!$A$28:$A$37,0),0),INDEX(CUOC!$D$28:$D$37,MATCH(N422,CUOC!$A$28:$A$37,0),0))</f>
        <v>386100</v>
      </c>
      <c r="K422" s="41">
        <f t="shared" si="23"/>
        <v>30888</v>
      </c>
      <c r="L422" s="41">
        <f t="shared" si="24"/>
        <v>416988</v>
      </c>
      <c r="M422" s="70" t="s">
        <v>570</v>
      </c>
      <c r="N422" s="73">
        <v>5</v>
      </c>
      <c r="O422" s="74">
        <v>34832</v>
      </c>
      <c r="P422" s="71" t="str">
        <f t="shared" si="25"/>
        <v>Cước vận chuyển cont Hàng 20 tuyến đường HẢI AN - NHĐV. Số xe: 15C09877</v>
      </c>
      <c r="Q422" s="72">
        <v>1</v>
      </c>
    </row>
    <row r="423" spans="1:17" s="72" customFormat="1" ht="15" customHeight="1">
      <c r="A423" s="39">
        <v>410</v>
      </c>
      <c r="B423" s="69" t="s">
        <v>560</v>
      </c>
      <c r="C423" s="69">
        <v>20</v>
      </c>
      <c r="D423" s="69" t="s">
        <v>100</v>
      </c>
      <c r="E423" s="69" t="s">
        <v>558</v>
      </c>
      <c r="F423" s="69" t="s">
        <v>559</v>
      </c>
      <c r="G423" s="69" t="s">
        <v>15</v>
      </c>
      <c r="H423" s="69" t="s">
        <v>53</v>
      </c>
      <c r="I423" s="69" t="s">
        <v>64</v>
      </c>
      <c r="J423" s="41" cm="1">
        <f t="array" ref="J423">IF(C423=20,INDEX(CUOC!$C$28:$C$37,MATCH(N423,CUOC!$A$28:$A$37,0),0),INDEX(CUOC!$D$28:$D$37,MATCH(N423,CUOC!$A$28:$A$37,0),0))</f>
        <v>386100</v>
      </c>
      <c r="K423" s="41">
        <f t="shared" si="23"/>
        <v>30888</v>
      </c>
      <c r="L423" s="41">
        <f t="shared" si="24"/>
        <v>416988</v>
      </c>
      <c r="M423" s="70" t="s">
        <v>570</v>
      </c>
      <c r="N423" s="73">
        <v>5</v>
      </c>
      <c r="O423" s="74">
        <v>34832</v>
      </c>
      <c r="P423" s="71" t="str">
        <f t="shared" si="25"/>
        <v>Cước vận chuyển cont Hàng 20 tuyến đường HẢI AN - NHĐV. Số xe: 15C09877</v>
      </c>
      <c r="Q423" s="72">
        <v>1</v>
      </c>
    </row>
    <row r="424" spans="1:17" s="72" customFormat="1" ht="15" customHeight="1">
      <c r="A424" s="39">
        <v>411</v>
      </c>
      <c r="B424" s="69" t="s">
        <v>561</v>
      </c>
      <c r="C424" s="69">
        <v>20</v>
      </c>
      <c r="D424" s="69" t="s">
        <v>100</v>
      </c>
      <c r="E424" s="69" t="s">
        <v>558</v>
      </c>
      <c r="F424" s="69" t="s">
        <v>559</v>
      </c>
      <c r="G424" s="69" t="s">
        <v>15</v>
      </c>
      <c r="H424" s="69" t="s">
        <v>53</v>
      </c>
      <c r="I424" s="69" t="s">
        <v>67</v>
      </c>
      <c r="J424" s="41" cm="1">
        <f t="array" ref="J424">IF(C424=20,INDEX(CUOC!$C$28:$C$37,MATCH(N424,CUOC!$A$28:$A$37,0),0),INDEX(CUOC!$D$28:$D$37,MATCH(N424,CUOC!$A$28:$A$37,0),0))</f>
        <v>386100</v>
      </c>
      <c r="K424" s="41">
        <f t="shared" si="23"/>
        <v>30888</v>
      </c>
      <c r="L424" s="41">
        <f t="shared" si="24"/>
        <v>416988</v>
      </c>
      <c r="M424" s="70" t="s">
        <v>570</v>
      </c>
      <c r="N424" s="73">
        <v>5</v>
      </c>
      <c r="O424" s="74">
        <v>34832</v>
      </c>
      <c r="P424" s="71" t="str">
        <f t="shared" si="25"/>
        <v>Cước vận chuyển cont Hàng 20 tuyến đường HẢI AN - NHĐV. Số xe: 15H08574</v>
      </c>
      <c r="Q424" s="72">
        <v>1</v>
      </c>
    </row>
    <row r="425" spans="1:17" s="72" customFormat="1" ht="15" customHeight="1">
      <c r="A425" s="39">
        <v>412</v>
      </c>
      <c r="B425" s="69" t="s">
        <v>562</v>
      </c>
      <c r="C425" s="69">
        <v>20</v>
      </c>
      <c r="D425" s="69" t="s">
        <v>100</v>
      </c>
      <c r="E425" s="69" t="s">
        <v>558</v>
      </c>
      <c r="F425" s="69" t="s">
        <v>559</v>
      </c>
      <c r="G425" s="69" t="s">
        <v>15</v>
      </c>
      <c r="H425" s="69" t="s">
        <v>53</v>
      </c>
      <c r="I425" s="69" t="s">
        <v>67</v>
      </c>
      <c r="J425" s="41" cm="1">
        <f t="array" ref="J425">IF(C425=20,INDEX(CUOC!$C$28:$C$37,MATCH(N425,CUOC!$A$28:$A$37,0),0),INDEX(CUOC!$D$28:$D$37,MATCH(N425,CUOC!$A$28:$A$37,0),0))</f>
        <v>386100</v>
      </c>
      <c r="K425" s="41">
        <f t="shared" si="23"/>
        <v>30888</v>
      </c>
      <c r="L425" s="41">
        <f t="shared" si="24"/>
        <v>416988</v>
      </c>
      <c r="M425" s="70" t="s">
        <v>570</v>
      </c>
      <c r="N425" s="73">
        <v>5</v>
      </c>
      <c r="O425" s="74">
        <v>34832</v>
      </c>
      <c r="P425" s="71" t="str">
        <f t="shared" si="25"/>
        <v>Cước vận chuyển cont Hàng 20 tuyến đường HẢI AN - NHĐV. Số xe: 15H08574</v>
      </c>
      <c r="Q425" s="72">
        <v>1</v>
      </c>
    </row>
    <row r="426" spans="1:17" s="72" customFormat="1" ht="15" customHeight="1">
      <c r="A426" s="39">
        <v>413</v>
      </c>
      <c r="B426" s="69" t="s">
        <v>563</v>
      </c>
      <c r="C426" s="69">
        <v>40</v>
      </c>
      <c r="D426" s="69" t="s">
        <v>100</v>
      </c>
      <c r="E426" s="69" t="s">
        <v>558</v>
      </c>
      <c r="F426" s="69" t="s">
        <v>559</v>
      </c>
      <c r="G426" s="69" t="s">
        <v>15</v>
      </c>
      <c r="H426" s="69" t="s">
        <v>53</v>
      </c>
      <c r="I426" s="69" t="s">
        <v>67</v>
      </c>
      <c r="J426" s="41" cm="1">
        <f t="array" ref="J426">IF(C426=20,INDEX(CUOC!$C$28:$C$37,MATCH(N426,CUOC!$A$28:$A$37,0),0),INDEX(CUOC!$D$28:$D$37,MATCH(N426,CUOC!$A$28:$A$37,0),0))</f>
        <v>448500</v>
      </c>
      <c r="K426" s="41">
        <f t="shared" si="23"/>
        <v>35880</v>
      </c>
      <c r="L426" s="41">
        <f t="shared" si="24"/>
        <v>484380</v>
      </c>
      <c r="M426" s="70" t="s">
        <v>570</v>
      </c>
      <c r="N426" s="73">
        <v>5</v>
      </c>
      <c r="O426" s="74">
        <v>34832</v>
      </c>
      <c r="P426" s="71" t="str">
        <f t="shared" si="25"/>
        <v>Cước vận chuyển cont Hàng 40 tuyến đường HẢI AN - NHĐV. Số xe: 15H08574</v>
      </c>
      <c r="Q426" s="72">
        <v>1</v>
      </c>
    </row>
    <row r="427" spans="1:17" s="72" customFormat="1" ht="15" customHeight="1">
      <c r="A427" s="39">
        <v>414</v>
      </c>
      <c r="B427" s="69" t="s">
        <v>564</v>
      </c>
      <c r="C427" s="69">
        <v>40</v>
      </c>
      <c r="D427" s="69" t="s">
        <v>100</v>
      </c>
      <c r="E427" s="69" t="s">
        <v>558</v>
      </c>
      <c r="F427" s="69" t="s">
        <v>559</v>
      </c>
      <c r="G427" s="69" t="s">
        <v>15</v>
      </c>
      <c r="H427" s="69" t="s">
        <v>53</v>
      </c>
      <c r="I427" s="69" t="s">
        <v>67</v>
      </c>
      <c r="J427" s="41" cm="1">
        <f t="array" ref="J427">IF(C427=20,INDEX(CUOC!$C$28:$C$37,MATCH(N427,CUOC!$A$28:$A$37,0),0),INDEX(CUOC!$D$28:$D$37,MATCH(N427,CUOC!$A$28:$A$37,0),0))</f>
        <v>448500</v>
      </c>
      <c r="K427" s="41">
        <f t="shared" si="23"/>
        <v>35880</v>
      </c>
      <c r="L427" s="41">
        <f t="shared" si="24"/>
        <v>484380</v>
      </c>
      <c r="M427" s="70" t="s">
        <v>570</v>
      </c>
      <c r="N427" s="73">
        <v>5</v>
      </c>
      <c r="O427" s="74">
        <v>34832</v>
      </c>
      <c r="P427" s="71" t="str">
        <f t="shared" si="25"/>
        <v>Cước vận chuyển cont Hàng 40 tuyến đường HẢI AN - NHĐV. Số xe: 15H08574</v>
      </c>
      <c r="Q427" s="72">
        <v>1</v>
      </c>
    </row>
    <row r="428" spans="1:17" ht="15" customHeight="1">
      <c r="A428" s="39"/>
      <c r="B428" s="40"/>
      <c r="C428" s="40"/>
      <c r="D428" s="40"/>
      <c r="E428" s="40"/>
      <c r="F428" s="40"/>
      <c r="G428" s="40"/>
      <c r="H428" s="40"/>
      <c r="I428" s="40"/>
      <c r="J428" s="41"/>
      <c r="K428" s="41"/>
      <c r="L428" s="41"/>
      <c r="N428" s="42"/>
      <c r="P428" s="43"/>
    </row>
    <row r="429" spans="1:17" ht="15" customHeight="1">
      <c r="A429" s="39"/>
      <c r="B429" s="40"/>
      <c r="C429" s="40"/>
      <c r="D429" s="40"/>
      <c r="E429" s="40"/>
      <c r="F429" s="40"/>
      <c r="G429" s="40"/>
      <c r="H429" s="40"/>
      <c r="I429" s="40"/>
      <c r="J429" s="41"/>
      <c r="K429" s="41"/>
      <c r="L429" s="41"/>
      <c r="N429" s="42"/>
      <c r="P429" s="43"/>
    </row>
    <row r="430" spans="1:17" s="7" customFormat="1" ht="15" customHeight="1">
      <c r="A430" s="78" t="s">
        <v>14</v>
      </c>
      <c r="B430" s="78"/>
      <c r="C430" s="78"/>
      <c r="D430" s="78"/>
      <c r="E430" s="78"/>
      <c r="F430" s="78"/>
      <c r="G430" s="78"/>
      <c r="H430" s="78"/>
      <c r="I430" s="78"/>
      <c r="J430" s="19">
        <f>SUM(J14:J427)</f>
        <v>168831000</v>
      </c>
      <c r="K430" s="19">
        <f t="shared" ref="K430:L430" si="26">SUM(K14:K427)</f>
        <v>13506480</v>
      </c>
      <c r="L430" s="19">
        <f t="shared" si="26"/>
        <v>182337480</v>
      </c>
      <c r="M430" s="38"/>
      <c r="N430" s="6"/>
    </row>
    <row r="431" spans="1:17" s="4" customFormat="1">
      <c r="A431" s="17"/>
      <c r="B431" s="12"/>
      <c r="C431" s="12"/>
      <c r="D431" s="12"/>
      <c r="E431" s="12"/>
      <c r="F431" s="12"/>
      <c r="G431" s="12"/>
      <c r="H431" s="12"/>
      <c r="I431" s="12"/>
      <c r="J431" s="18"/>
      <c r="K431" s="18"/>
      <c r="L431" s="18"/>
      <c r="M431" s="37"/>
      <c r="N431" s="3"/>
      <c r="P431" s="3"/>
      <c r="Q431" s="3"/>
    </row>
    <row r="432" spans="1:17" s="4" customFormat="1" ht="15" customHeight="1">
      <c r="A432" s="9"/>
      <c r="E432" s="11"/>
      <c r="F432" s="8"/>
      <c r="H432" s="10"/>
      <c r="I432" s="10"/>
      <c r="J432" s="10" t="s">
        <v>492</v>
      </c>
      <c r="K432" s="10"/>
      <c r="L432" s="10"/>
      <c r="M432" s="37"/>
      <c r="N432" s="3"/>
      <c r="P432" s="3"/>
      <c r="Q432" s="3"/>
    </row>
    <row r="433" spans="1:17" s="4" customFormat="1" ht="15" customHeight="1">
      <c r="A433" s="79" t="s">
        <v>110</v>
      </c>
      <c r="B433" s="79"/>
      <c r="C433" s="79"/>
      <c r="D433" s="79"/>
      <c r="E433" s="79"/>
      <c r="F433" s="79"/>
      <c r="G433" s="12"/>
      <c r="H433" s="79" t="s">
        <v>41</v>
      </c>
      <c r="I433" s="79"/>
      <c r="J433" s="79"/>
      <c r="K433" s="79"/>
      <c r="L433" s="79"/>
      <c r="M433" s="37"/>
      <c r="N433" s="3"/>
      <c r="P433" s="3"/>
      <c r="Q433" s="3"/>
    </row>
    <row r="434" spans="1:17">
      <c r="A434" s="77" t="s">
        <v>10</v>
      </c>
      <c r="B434" s="77"/>
      <c r="C434" s="77" t="s">
        <v>11</v>
      </c>
      <c r="D434" s="77"/>
      <c r="E434" s="77"/>
    </row>
  </sheetData>
  <autoFilter ref="A13:T362" xr:uid="{00000000-0009-0000-0000-000000000000}"/>
  <mergeCells count="8">
    <mergeCell ref="A1:L1"/>
    <mergeCell ref="A2:L2"/>
    <mergeCell ref="A3:L3"/>
    <mergeCell ref="A434:B434"/>
    <mergeCell ref="C434:E434"/>
    <mergeCell ref="A430:I430"/>
    <mergeCell ref="H433:L433"/>
    <mergeCell ref="A433:F433"/>
  </mergeCells>
  <conditionalFormatting sqref="B1:B1048576">
    <cfRule type="duplicateValues" dxfId="1" priority="1"/>
    <cfRule type="duplicateValues" dxfId="0" priority="2"/>
  </conditionalFormatting>
  <pageMargins left="0.23622047244094491" right="0.23622047244094491" top="0.43307086614173229" bottom="0.51181102362204722" header="0.31496062992125984" footer="0.31496062992125984"/>
  <pageSetup paperSize="9" orientation="landscape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62"/>
  <sheetViews>
    <sheetView tabSelected="1" topLeftCell="A34" workbookViewId="0">
      <selection activeCell="G4" activeCellId="1" sqref="E4:E60 G4:G60"/>
    </sheetView>
  </sheetViews>
  <sheetFormatPr defaultRowHeight="14.4"/>
  <cols>
    <col min="1" max="1" width="65.44140625" bestFit="1" customWidth="1"/>
    <col min="2" max="2" width="17.44140625" bestFit="1" customWidth="1"/>
    <col min="3" max="3" width="15.21875" bestFit="1" customWidth="1"/>
    <col min="5" max="5" width="3" bestFit="1" customWidth="1"/>
    <col min="6" max="6" width="9" bestFit="1" customWidth="1"/>
  </cols>
  <sheetData>
    <row r="3" spans="1:7">
      <c r="A3" s="35" t="s">
        <v>49</v>
      </c>
      <c r="B3" t="s">
        <v>51</v>
      </c>
      <c r="C3" t="s">
        <v>52</v>
      </c>
    </row>
    <row r="4" spans="1:7">
      <c r="A4" s="36" t="s">
        <v>78</v>
      </c>
      <c r="B4" s="88">
        <v>39</v>
      </c>
      <c r="C4" s="88">
        <v>15057900</v>
      </c>
      <c r="E4">
        <v>39</v>
      </c>
      <c r="F4">
        <v>15057900</v>
      </c>
      <c r="G4">
        <f>F4/E4</f>
        <v>386100</v>
      </c>
    </row>
    <row r="5" spans="1:7">
      <c r="A5" s="36" t="s">
        <v>57</v>
      </c>
      <c r="B5" s="88">
        <v>15</v>
      </c>
      <c r="C5" s="88">
        <v>5791500</v>
      </c>
      <c r="E5">
        <v>15</v>
      </c>
      <c r="F5">
        <v>5791500</v>
      </c>
      <c r="G5">
        <f t="shared" ref="G5:G60" si="0">F5/E5</f>
        <v>386100</v>
      </c>
    </row>
    <row r="6" spans="1:7">
      <c r="A6" s="36" t="s">
        <v>106</v>
      </c>
      <c r="B6" s="88">
        <v>16</v>
      </c>
      <c r="C6" s="88">
        <v>6177600</v>
      </c>
      <c r="E6">
        <v>16</v>
      </c>
      <c r="F6">
        <v>6177600</v>
      </c>
      <c r="G6">
        <f t="shared" si="0"/>
        <v>386100</v>
      </c>
    </row>
    <row r="7" spans="1:7">
      <c r="A7" s="36" t="s">
        <v>60</v>
      </c>
      <c r="B7" s="88">
        <v>8</v>
      </c>
      <c r="C7" s="88">
        <v>3088800</v>
      </c>
      <c r="E7">
        <v>8</v>
      </c>
      <c r="F7">
        <v>3088800</v>
      </c>
      <c r="G7">
        <f t="shared" si="0"/>
        <v>386100</v>
      </c>
    </row>
    <row r="8" spans="1:7">
      <c r="A8" s="36" t="s">
        <v>105</v>
      </c>
      <c r="B8" s="88">
        <v>14</v>
      </c>
      <c r="C8" s="88">
        <v>5405400</v>
      </c>
      <c r="E8">
        <v>14</v>
      </c>
      <c r="F8">
        <v>5405400</v>
      </c>
      <c r="G8">
        <f t="shared" si="0"/>
        <v>386100</v>
      </c>
    </row>
    <row r="9" spans="1:7">
      <c r="A9" s="36" t="s">
        <v>58</v>
      </c>
      <c r="B9" s="88">
        <v>2</v>
      </c>
      <c r="C9" s="88">
        <v>772200</v>
      </c>
      <c r="E9">
        <v>2</v>
      </c>
      <c r="F9">
        <v>772200</v>
      </c>
      <c r="G9">
        <f t="shared" si="0"/>
        <v>386100</v>
      </c>
    </row>
    <row r="10" spans="1:7">
      <c r="A10" s="36" t="s">
        <v>56</v>
      </c>
      <c r="B10" s="88">
        <v>16</v>
      </c>
      <c r="C10" s="88">
        <v>6177600</v>
      </c>
      <c r="E10">
        <v>16</v>
      </c>
      <c r="F10">
        <v>6177600</v>
      </c>
      <c r="G10">
        <f t="shared" si="0"/>
        <v>386100</v>
      </c>
    </row>
    <row r="11" spans="1:7">
      <c r="A11" s="36" t="s">
        <v>591</v>
      </c>
      <c r="B11" s="88">
        <v>24</v>
      </c>
      <c r="C11" s="88">
        <v>9266400</v>
      </c>
      <c r="E11">
        <v>24</v>
      </c>
      <c r="F11">
        <v>9266400</v>
      </c>
      <c r="G11">
        <f t="shared" si="0"/>
        <v>386100</v>
      </c>
    </row>
    <row r="12" spans="1:7">
      <c r="A12" s="36" t="s">
        <v>63</v>
      </c>
      <c r="B12" s="88">
        <v>12</v>
      </c>
      <c r="C12" s="88">
        <v>4633200</v>
      </c>
      <c r="E12">
        <v>12</v>
      </c>
      <c r="F12">
        <v>4633200</v>
      </c>
      <c r="G12">
        <f t="shared" si="0"/>
        <v>386100</v>
      </c>
    </row>
    <row r="13" spans="1:7">
      <c r="A13" s="36" t="s">
        <v>59</v>
      </c>
      <c r="B13" s="88">
        <v>20</v>
      </c>
      <c r="C13" s="88">
        <v>7722000</v>
      </c>
      <c r="E13">
        <v>20</v>
      </c>
      <c r="F13">
        <v>7722000</v>
      </c>
      <c r="G13">
        <f t="shared" si="0"/>
        <v>386100</v>
      </c>
    </row>
    <row r="14" spans="1:7">
      <c r="A14" s="36" t="s">
        <v>61</v>
      </c>
      <c r="B14" s="88">
        <v>39</v>
      </c>
      <c r="C14" s="88">
        <v>15057900</v>
      </c>
      <c r="E14">
        <v>39</v>
      </c>
      <c r="F14">
        <v>15057900</v>
      </c>
      <c r="G14">
        <f t="shared" si="0"/>
        <v>386100</v>
      </c>
    </row>
    <row r="15" spans="1:7">
      <c r="A15" s="36" t="s">
        <v>602</v>
      </c>
      <c r="B15" s="88">
        <v>1</v>
      </c>
      <c r="C15" s="88">
        <v>386100</v>
      </c>
      <c r="E15">
        <v>1</v>
      </c>
      <c r="F15">
        <v>386100</v>
      </c>
      <c r="G15">
        <f t="shared" si="0"/>
        <v>386100</v>
      </c>
    </row>
    <row r="16" spans="1:7">
      <c r="A16" s="36" t="s">
        <v>605</v>
      </c>
      <c r="B16" s="88">
        <v>4</v>
      </c>
      <c r="C16" s="88">
        <v>1544400</v>
      </c>
      <c r="E16">
        <v>4</v>
      </c>
      <c r="F16">
        <v>1544400</v>
      </c>
      <c r="G16">
        <f t="shared" si="0"/>
        <v>386100</v>
      </c>
    </row>
    <row r="17" spans="1:7">
      <c r="A17" s="36" t="s">
        <v>603</v>
      </c>
      <c r="B17" s="88">
        <v>1</v>
      </c>
      <c r="C17" s="88">
        <v>386100</v>
      </c>
      <c r="E17">
        <v>1</v>
      </c>
      <c r="F17">
        <v>386100</v>
      </c>
      <c r="G17">
        <f t="shared" si="0"/>
        <v>386100</v>
      </c>
    </row>
    <row r="18" spans="1:7">
      <c r="A18" s="36" t="s">
        <v>606</v>
      </c>
      <c r="B18" s="88">
        <v>1</v>
      </c>
      <c r="C18" s="88">
        <v>386100</v>
      </c>
      <c r="E18">
        <v>1</v>
      </c>
      <c r="F18">
        <v>386100</v>
      </c>
      <c r="G18">
        <f t="shared" si="0"/>
        <v>386100</v>
      </c>
    </row>
    <row r="19" spans="1:7">
      <c r="A19" s="36" t="s">
        <v>597</v>
      </c>
      <c r="B19" s="88">
        <v>6</v>
      </c>
      <c r="C19" s="88">
        <v>2316600</v>
      </c>
      <c r="E19">
        <v>6</v>
      </c>
      <c r="F19">
        <v>2316600</v>
      </c>
      <c r="G19">
        <f t="shared" si="0"/>
        <v>386100</v>
      </c>
    </row>
    <row r="20" spans="1:7">
      <c r="A20" s="36" t="s">
        <v>571</v>
      </c>
      <c r="B20" s="88">
        <v>6</v>
      </c>
      <c r="C20" s="88">
        <v>2316600</v>
      </c>
      <c r="E20">
        <v>6</v>
      </c>
      <c r="F20">
        <v>2316600</v>
      </c>
      <c r="G20">
        <f t="shared" si="0"/>
        <v>386100</v>
      </c>
    </row>
    <row r="21" spans="1:7">
      <c r="A21" s="36" t="s">
        <v>573</v>
      </c>
      <c r="B21" s="88">
        <v>6</v>
      </c>
      <c r="C21" s="88">
        <v>2316600</v>
      </c>
      <c r="E21">
        <v>6</v>
      </c>
      <c r="F21">
        <v>2316600</v>
      </c>
      <c r="G21">
        <f t="shared" si="0"/>
        <v>386100</v>
      </c>
    </row>
    <row r="22" spans="1:7">
      <c r="A22" s="36" t="s">
        <v>575</v>
      </c>
      <c r="B22" s="88">
        <v>8</v>
      </c>
      <c r="C22" s="88">
        <v>3088800</v>
      </c>
      <c r="E22">
        <v>8</v>
      </c>
      <c r="F22">
        <v>3088800</v>
      </c>
      <c r="G22">
        <f t="shared" si="0"/>
        <v>386100</v>
      </c>
    </row>
    <row r="23" spans="1:7">
      <c r="A23" s="36" t="s">
        <v>599</v>
      </c>
      <c r="B23" s="88">
        <v>16</v>
      </c>
      <c r="C23" s="88">
        <v>6177600</v>
      </c>
      <c r="E23">
        <v>16</v>
      </c>
      <c r="F23">
        <v>6177600</v>
      </c>
      <c r="G23">
        <f t="shared" si="0"/>
        <v>386100</v>
      </c>
    </row>
    <row r="24" spans="1:7">
      <c r="A24" s="36" t="s">
        <v>572</v>
      </c>
      <c r="B24" s="88">
        <v>2</v>
      </c>
      <c r="C24" s="88">
        <v>772200</v>
      </c>
      <c r="E24">
        <v>2</v>
      </c>
      <c r="F24">
        <v>772200</v>
      </c>
      <c r="G24">
        <f t="shared" si="0"/>
        <v>386100</v>
      </c>
    </row>
    <row r="25" spans="1:7">
      <c r="A25" s="36" t="s">
        <v>574</v>
      </c>
      <c r="B25" s="88">
        <v>4</v>
      </c>
      <c r="C25" s="88">
        <v>1544400</v>
      </c>
      <c r="E25">
        <v>4</v>
      </c>
      <c r="F25">
        <v>1544400</v>
      </c>
      <c r="G25">
        <f t="shared" si="0"/>
        <v>386100</v>
      </c>
    </row>
    <row r="26" spans="1:7">
      <c r="A26" s="36" t="s">
        <v>576</v>
      </c>
      <c r="B26" s="88">
        <v>4</v>
      </c>
      <c r="C26" s="88">
        <v>1544400</v>
      </c>
      <c r="E26">
        <v>4</v>
      </c>
      <c r="F26">
        <v>1544400</v>
      </c>
      <c r="G26">
        <f t="shared" si="0"/>
        <v>386100</v>
      </c>
    </row>
    <row r="27" spans="1:7">
      <c r="A27" s="36" t="s">
        <v>577</v>
      </c>
      <c r="B27" s="88">
        <v>6</v>
      </c>
      <c r="C27" s="88">
        <v>2316600</v>
      </c>
      <c r="E27">
        <v>6</v>
      </c>
      <c r="F27">
        <v>2316600</v>
      </c>
      <c r="G27">
        <f t="shared" si="0"/>
        <v>386100</v>
      </c>
    </row>
    <row r="28" spans="1:7">
      <c r="A28" s="36" t="s">
        <v>89</v>
      </c>
      <c r="B28" s="88">
        <v>11</v>
      </c>
      <c r="C28" s="88">
        <v>4933500</v>
      </c>
      <c r="E28">
        <v>11</v>
      </c>
      <c r="F28">
        <v>4933500</v>
      </c>
      <c r="G28">
        <f t="shared" si="0"/>
        <v>448500</v>
      </c>
    </row>
    <row r="29" spans="1:7">
      <c r="A29" s="36" t="s">
        <v>90</v>
      </c>
      <c r="B29" s="88">
        <v>2</v>
      </c>
      <c r="C29" s="88">
        <v>897000</v>
      </c>
      <c r="E29">
        <v>2</v>
      </c>
      <c r="F29">
        <v>897000</v>
      </c>
      <c r="G29">
        <f t="shared" si="0"/>
        <v>448500</v>
      </c>
    </row>
    <row r="30" spans="1:7">
      <c r="A30" s="36" t="s">
        <v>592</v>
      </c>
      <c r="B30" s="88">
        <v>2</v>
      </c>
      <c r="C30" s="88">
        <v>897000</v>
      </c>
      <c r="E30">
        <v>2</v>
      </c>
      <c r="F30">
        <v>897000</v>
      </c>
      <c r="G30">
        <f t="shared" si="0"/>
        <v>448500</v>
      </c>
    </row>
    <row r="31" spans="1:7">
      <c r="A31" s="36" t="s">
        <v>88</v>
      </c>
      <c r="B31" s="88">
        <v>4</v>
      </c>
      <c r="C31" s="88">
        <v>1794000</v>
      </c>
      <c r="E31">
        <v>4</v>
      </c>
      <c r="F31">
        <v>1794000</v>
      </c>
      <c r="G31">
        <f t="shared" si="0"/>
        <v>448500</v>
      </c>
    </row>
    <row r="32" spans="1:7">
      <c r="A32" s="36" t="s">
        <v>598</v>
      </c>
      <c r="B32" s="88">
        <v>1</v>
      </c>
      <c r="C32" s="88">
        <v>448500</v>
      </c>
      <c r="E32">
        <v>1</v>
      </c>
      <c r="F32">
        <v>448500</v>
      </c>
      <c r="G32">
        <f t="shared" si="0"/>
        <v>448500</v>
      </c>
    </row>
    <row r="33" spans="1:7">
      <c r="A33" s="36" t="s">
        <v>604</v>
      </c>
      <c r="B33" s="88">
        <v>1</v>
      </c>
      <c r="C33" s="88">
        <v>448500</v>
      </c>
      <c r="E33">
        <v>1</v>
      </c>
      <c r="F33">
        <v>448500</v>
      </c>
      <c r="G33">
        <f t="shared" si="0"/>
        <v>448500</v>
      </c>
    </row>
    <row r="34" spans="1:7">
      <c r="A34" s="36" t="s">
        <v>80</v>
      </c>
      <c r="B34" s="88">
        <v>5</v>
      </c>
      <c r="C34" s="88">
        <v>2242500</v>
      </c>
      <c r="E34">
        <v>5</v>
      </c>
      <c r="F34">
        <v>2242500</v>
      </c>
      <c r="G34">
        <f t="shared" si="0"/>
        <v>448500</v>
      </c>
    </row>
    <row r="35" spans="1:7">
      <c r="A35" s="36" t="s">
        <v>108</v>
      </c>
      <c r="B35" s="88">
        <v>1</v>
      </c>
      <c r="C35" s="88">
        <v>448500</v>
      </c>
      <c r="E35">
        <v>1</v>
      </c>
      <c r="F35">
        <v>448500</v>
      </c>
      <c r="G35">
        <f t="shared" si="0"/>
        <v>448500</v>
      </c>
    </row>
    <row r="36" spans="1:7">
      <c r="A36" s="36" t="s">
        <v>593</v>
      </c>
      <c r="B36" s="88">
        <v>1</v>
      </c>
      <c r="C36" s="88">
        <v>448500</v>
      </c>
      <c r="E36">
        <v>1</v>
      </c>
      <c r="F36">
        <v>448500</v>
      </c>
      <c r="G36">
        <f t="shared" si="0"/>
        <v>448500</v>
      </c>
    </row>
    <row r="37" spans="1:7">
      <c r="A37" s="36" t="s">
        <v>601</v>
      </c>
      <c r="B37" s="88">
        <v>1</v>
      </c>
      <c r="C37" s="88">
        <v>448500</v>
      </c>
      <c r="E37">
        <v>1</v>
      </c>
      <c r="F37">
        <v>448500</v>
      </c>
      <c r="G37">
        <f t="shared" si="0"/>
        <v>448500</v>
      </c>
    </row>
    <row r="38" spans="1:7">
      <c r="A38" s="36" t="s">
        <v>62</v>
      </c>
      <c r="B38" s="88">
        <v>10</v>
      </c>
      <c r="C38" s="88">
        <v>4485000</v>
      </c>
      <c r="E38">
        <v>10</v>
      </c>
      <c r="F38">
        <v>4485000</v>
      </c>
      <c r="G38">
        <f t="shared" si="0"/>
        <v>448500</v>
      </c>
    </row>
    <row r="39" spans="1:7">
      <c r="A39" s="36" t="s">
        <v>85</v>
      </c>
      <c r="B39" s="88">
        <v>4</v>
      </c>
      <c r="C39" s="88">
        <v>1794000</v>
      </c>
      <c r="E39">
        <v>4</v>
      </c>
      <c r="F39">
        <v>1794000</v>
      </c>
      <c r="G39">
        <f t="shared" si="0"/>
        <v>448500</v>
      </c>
    </row>
    <row r="40" spans="1:7">
      <c r="A40" s="36" t="s">
        <v>109</v>
      </c>
      <c r="B40" s="88">
        <v>4</v>
      </c>
      <c r="C40" s="88">
        <v>1794000</v>
      </c>
      <c r="E40">
        <v>4</v>
      </c>
      <c r="F40">
        <v>1794000</v>
      </c>
      <c r="G40">
        <f t="shared" si="0"/>
        <v>448500</v>
      </c>
    </row>
    <row r="41" spans="1:7">
      <c r="A41" s="36" t="s">
        <v>595</v>
      </c>
      <c r="B41" s="88">
        <v>3</v>
      </c>
      <c r="C41" s="88">
        <v>1345500</v>
      </c>
      <c r="E41">
        <v>3</v>
      </c>
      <c r="F41">
        <v>1345500</v>
      </c>
      <c r="G41">
        <f t="shared" si="0"/>
        <v>448500</v>
      </c>
    </row>
    <row r="42" spans="1:7">
      <c r="A42" s="36" t="s">
        <v>87</v>
      </c>
      <c r="B42" s="88">
        <v>5</v>
      </c>
      <c r="C42" s="88">
        <v>2242500</v>
      </c>
      <c r="E42">
        <v>5</v>
      </c>
      <c r="F42">
        <v>2242500</v>
      </c>
      <c r="G42">
        <f t="shared" si="0"/>
        <v>448500</v>
      </c>
    </row>
    <row r="43" spans="1:7">
      <c r="A43" s="36" t="s">
        <v>104</v>
      </c>
      <c r="B43" s="88">
        <v>6</v>
      </c>
      <c r="C43" s="88">
        <v>2691000</v>
      </c>
      <c r="E43">
        <v>6</v>
      </c>
      <c r="F43">
        <v>2691000</v>
      </c>
      <c r="G43">
        <f t="shared" si="0"/>
        <v>448500</v>
      </c>
    </row>
    <row r="44" spans="1:7">
      <c r="A44" s="36" t="s">
        <v>107</v>
      </c>
      <c r="B44" s="88">
        <v>7</v>
      </c>
      <c r="C44" s="88">
        <v>3139500</v>
      </c>
      <c r="E44">
        <v>7</v>
      </c>
      <c r="F44">
        <v>3139500</v>
      </c>
      <c r="G44">
        <f t="shared" si="0"/>
        <v>448500</v>
      </c>
    </row>
    <row r="45" spans="1:7">
      <c r="A45" s="36" t="s">
        <v>596</v>
      </c>
      <c r="B45" s="88">
        <v>4</v>
      </c>
      <c r="C45" s="88">
        <v>1794000</v>
      </c>
      <c r="E45">
        <v>4</v>
      </c>
      <c r="F45">
        <v>1794000</v>
      </c>
      <c r="G45">
        <f t="shared" si="0"/>
        <v>448500</v>
      </c>
    </row>
    <row r="46" spans="1:7">
      <c r="A46" s="36" t="s">
        <v>584</v>
      </c>
      <c r="B46" s="88">
        <v>1</v>
      </c>
      <c r="C46" s="88">
        <v>448500</v>
      </c>
      <c r="E46">
        <v>1</v>
      </c>
      <c r="F46">
        <v>448500</v>
      </c>
      <c r="G46">
        <f t="shared" si="0"/>
        <v>448500</v>
      </c>
    </row>
    <row r="47" spans="1:7">
      <c r="A47" s="36" t="s">
        <v>581</v>
      </c>
      <c r="B47" s="88">
        <v>5</v>
      </c>
      <c r="C47" s="88">
        <v>2242500</v>
      </c>
      <c r="E47">
        <v>5</v>
      </c>
      <c r="F47">
        <v>2242500</v>
      </c>
      <c r="G47">
        <f t="shared" si="0"/>
        <v>448500</v>
      </c>
    </row>
    <row r="48" spans="1:7">
      <c r="A48" s="36" t="s">
        <v>594</v>
      </c>
      <c r="B48" s="88">
        <v>1</v>
      </c>
      <c r="C48" s="88">
        <v>448500</v>
      </c>
      <c r="E48">
        <v>1</v>
      </c>
      <c r="F48">
        <v>448500</v>
      </c>
      <c r="G48">
        <f t="shared" si="0"/>
        <v>448500</v>
      </c>
    </row>
    <row r="49" spans="1:7">
      <c r="A49" s="36" t="s">
        <v>589</v>
      </c>
      <c r="B49" s="88">
        <v>8</v>
      </c>
      <c r="C49" s="88">
        <v>3588000</v>
      </c>
      <c r="E49">
        <v>8</v>
      </c>
      <c r="F49">
        <v>3588000</v>
      </c>
      <c r="G49">
        <f t="shared" si="0"/>
        <v>448500</v>
      </c>
    </row>
    <row r="50" spans="1:7">
      <c r="A50" s="36" t="s">
        <v>600</v>
      </c>
      <c r="B50" s="88">
        <v>3</v>
      </c>
      <c r="C50" s="88">
        <v>1345500</v>
      </c>
      <c r="E50">
        <v>3</v>
      </c>
      <c r="F50">
        <v>1345500</v>
      </c>
      <c r="G50">
        <f t="shared" si="0"/>
        <v>448500</v>
      </c>
    </row>
    <row r="51" spans="1:7">
      <c r="A51" s="36" t="s">
        <v>590</v>
      </c>
      <c r="B51" s="88">
        <v>5</v>
      </c>
      <c r="C51" s="88">
        <v>2242500</v>
      </c>
      <c r="E51">
        <v>5</v>
      </c>
      <c r="F51">
        <v>2242500</v>
      </c>
      <c r="G51">
        <f t="shared" si="0"/>
        <v>448500</v>
      </c>
    </row>
    <row r="52" spans="1:7">
      <c r="A52" s="36" t="s">
        <v>583</v>
      </c>
      <c r="B52" s="88">
        <v>4</v>
      </c>
      <c r="C52" s="88">
        <v>1794000</v>
      </c>
      <c r="E52">
        <v>4</v>
      </c>
      <c r="F52">
        <v>1794000</v>
      </c>
      <c r="G52">
        <f t="shared" si="0"/>
        <v>448500</v>
      </c>
    </row>
    <row r="53" spans="1:7">
      <c r="A53" s="36" t="s">
        <v>588</v>
      </c>
      <c r="B53" s="88">
        <v>5</v>
      </c>
      <c r="C53" s="88">
        <v>2242500</v>
      </c>
      <c r="E53">
        <v>5</v>
      </c>
      <c r="F53">
        <v>2242500</v>
      </c>
      <c r="G53">
        <f t="shared" si="0"/>
        <v>448500</v>
      </c>
    </row>
    <row r="54" spans="1:7">
      <c r="A54" s="36" t="s">
        <v>580</v>
      </c>
      <c r="B54" s="88">
        <v>10</v>
      </c>
      <c r="C54" s="88">
        <v>4485000</v>
      </c>
      <c r="E54">
        <v>10</v>
      </c>
      <c r="F54">
        <v>4485000</v>
      </c>
      <c r="G54">
        <f t="shared" si="0"/>
        <v>448500</v>
      </c>
    </row>
    <row r="55" spans="1:7">
      <c r="A55" s="36" t="s">
        <v>585</v>
      </c>
      <c r="B55" s="88">
        <v>3</v>
      </c>
      <c r="C55" s="88">
        <v>1345500</v>
      </c>
      <c r="E55">
        <v>3</v>
      </c>
      <c r="F55">
        <v>1345500</v>
      </c>
      <c r="G55">
        <f t="shared" si="0"/>
        <v>448500</v>
      </c>
    </row>
    <row r="56" spans="1:7">
      <c r="A56" s="36" t="s">
        <v>586</v>
      </c>
      <c r="B56" s="88">
        <v>7</v>
      </c>
      <c r="C56" s="88">
        <v>3139500</v>
      </c>
      <c r="E56">
        <v>7</v>
      </c>
      <c r="F56">
        <v>3139500</v>
      </c>
      <c r="G56">
        <f t="shared" si="0"/>
        <v>448500</v>
      </c>
    </row>
    <row r="57" spans="1:7">
      <c r="A57" s="36" t="s">
        <v>587</v>
      </c>
      <c r="B57" s="88">
        <v>3</v>
      </c>
      <c r="C57" s="88">
        <v>1345500</v>
      </c>
      <c r="E57">
        <v>3</v>
      </c>
      <c r="F57">
        <v>1345500</v>
      </c>
      <c r="G57">
        <f t="shared" si="0"/>
        <v>448500</v>
      </c>
    </row>
    <row r="58" spans="1:7">
      <c r="A58" s="36" t="s">
        <v>582</v>
      </c>
      <c r="B58" s="88">
        <v>5</v>
      </c>
      <c r="C58" s="88">
        <v>2242500</v>
      </c>
      <c r="E58">
        <v>5</v>
      </c>
      <c r="F58">
        <v>2242500</v>
      </c>
      <c r="G58">
        <f t="shared" si="0"/>
        <v>448500</v>
      </c>
    </row>
    <row r="59" spans="1:7">
      <c r="A59" s="36" t="s">
        <v>578</v>
      </c>
      <c r="B59" s="88">
        <v>5</v>
      </c>
      <c r="C59" s="88">
        <v>2242500</v>
      </c>
      <c r="E59">
        <v>5</v>
      </c>
      <c r="F59">
        <v>2242500</v>
      </c>
      <c r="G59">
        <f t="shared" si="0"/>
        <v>448500</v>
      </c>
    </row>
    <row r="60" spans="1:7">
      <c r="A60" s="36" t="s">
        <v>579</v>
      </c>
      <c r="B60" s="88">
        <v>7</v>
      </c>
      <c r="C60" s="88">
        <v>3139500</v>
      </c>
      <c r="E60">
        <v>7</v>
      </c>
      <c r="F60">
        <v>3139500</v>
      </c>
      <c r="G60">
        <f t="shared" si="0"/>
        <v>448500</v>
      </c>
    </row>
    <row r="61" spans="1:7">
      <c r="A61" s="36" t="s">
        <v>91</v>
      </c>
      <c r="B61" s="88"/>
      <c r="C61" s="88"/>
    </row>
    <row r="62" spans="1:7">
      <c r="A62" s="36" t="s">
        <v>50</v>
      </c>
      <c r="B62" s="88">
        <v>414</v>
      </c>
      <c r="C62" s="88">
        <v>168831000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15"/>
  <sheetViews>
    <sheetView topLeftCell="A389" workbookViewId="0">
      <selection activeCell="B2" sqref="B2:C415"/>
    </sheetView>
  </sheetViews>
  <sheetFormatPr defaultRowHeight="14.4"/>
  <cols>
    <col min="1" max="1" width="70" bestFit="1" customWidth="1"/>
    <col min="2" max="2" width="11.5546875" customWidth="1"/>
    <col min="3" max="3" width="11" bestFit="1" customWidth="1"/>
    <col min="4" max="4" width="15.88671875" customWidth="1"/>
    <col min="6" max="6" width="74" customWidth="1"/>
  </cols>
  <sheetData>
    <row r="1" spans="1:3">
      <c r="A1" t="s">
        <v>46</v>
      </c>
      <c r="B1" t="s">
        <v>12</v>
      </c>
      <c r="C1" t="s">
        <v>48</v>
      </c>
    </row>
    <row r="2" spans="1:3">
      <c r="A2" t="s">
        <v>571</v>
      </c>
      <c r="B2">
        <v>386100</v>
      </c>
      <c r="C2">
        <v>1</v>
      </c>
    </row>
    <row r="3" spans="1:3">
      <c r="A3" t="s">
        <v>572</v>
      </c>
      <c r="B3">
        <v>386100</v>
      </c>
      <c r="C3">
        <v>1</v>
      </c>
    </row>
    <row r="4" spans="1:3">
      <c r="A4" t="s">
        <v>572</v>
      </c>
      <c r="B4">
        <v>386100</v>
      </c>
      <c r="C4">
        <v>1</v>
      </c>
    </row>
    <row r="5" spans="1:3">
      <c r="A5" t="s">
        <v>573</v>
      </c>
      <c r="B5">
        <v>386100</v>
      </c>
      <c r="C5">
        <v>1</v>
      </c>
    </row>
    <row r="6" spans="1:3">
      <c r="A6" t="s">
        <v>574</v>
      </c>
      <c r="B6">
        <v>386100</v>
      </c>
      <c r="C6">
        <v>1</v>
      </c>
    </row>
    <row r="7" spans="1:3">
      <c r="A7" t="s">
        <v>574</v>
      </c>
      <c r="B7">
        <v>386100</v>
      </c>
      <c r="C7">
        <v>1</v>
      </c>
    </row>
    <row r="8" spans="1:3">
      <c r="A8" t="s">
        <v>575</v>
      </c>
      <c r="B8">
        <v>386100</v>
      </c>
      <c r="C8">
        <v>1</v>
      </c>
    </row>
    <row r="9" spans="1:3">
      <c r="A9" t="s">
        <v>573</v>
      </c>
      <c r="B9">
        <v>386100</v>
      </c>
      <c r="C9">
        <v>1</v>
      </c>
    </row>
    <row r="10" spans="1:3">
      <c r="A10" t="s">
        <v>573</v>
      </c>
      <c r="B10">
        <v>386100</v>
      </c>
      <c r="C10">
        <v>1</v>
      </c>
    </row>
    <row r="11" spans="1:3">
      <c r="A11" t="s">
        <v>575</v>
      </c>
      <c r="B11">
        <v>386100</v>
      </c>
      <c r="C11">
        <v>1</v>
      </c>
    </row>
    <row r="12" spans="1:3">
      <c r="A12" t="s">
        <v>576</v>
      </c>
      <c r="B12">
        <v>386100</v>
      </c>
      <c r="C12">
        <v>1</v>
      </c>
    </row>
    <row r="13" spans="1:3">
      <c r="A13" t="s">
        <v>577</v>
      </c>
      <c r="B13">
        <v>386100</v>
      </c>
      <c r="C13">
        <v>1</v>
      </c>
    </row>
    <row r="14" spans="1:3">
      <c r="A14" t="s">
        <v>571</v>
      </c>
      <c r="B14">
        <v>386100</v>
      </c>
      <c r="C14">
        <v>1</v>
      </c>
    </row>
    <row r="15" spans="1:3">
      <c r="A15" t="s">
        <v>571</v>
      </c>
      <c r="B15">
        <v>386100</v>
      </c>
      <c r="C15">
        <v>1</v>
      </c>
    </row>
    <row r="16" spans="1:3">
      <c r="A16" t="s">
        <v>575</v>
      </c>
      <c r="B16">
        <v>386100</v>
      </c>
      <c r="C16">
        <v>1</v>
      </c>
    </row>
    <row r="17" spans="1:3">
      <c r="A17" t="s">
        <v>571</v>
      </c>
      <c r="B17">
        <v>386100</v>
      </c>
      <c r="C17">
        <v>1</v>
      </c>
    </row>
    <row r="18" spans="1:3">
      <c r="A18" t="s">
        <v>574</v>
      </c>
      <c r="B18">
        <v>386100</v>
      </c>
      <c r="C18">
        <v>1</v>
      </c>
    </row>
    <row r="19" spans="1:3">
      <c r="A19" t="s">
        <v>577</v>
      </c>
      <c r="B19">
        <v>386100</v>
      </c>
      <c r="C19">
        <v>1</v>
      </c>
    </row>
    <row r="20" spans="1:3">
      <c r="A20" t="s">
        <v>571</v>
      </c>
      <c r="B20">
        <v>386100</v>
      </c>
      <c r="C20">
        <v>1</v>
      </c>
    </row>
    <row r="21" spans="1:3">
      <c r="A21" t="s">
        <v>576</v>
      </c>
      <c r="B21">
        <v>386100</v>
      </c>
      <c r="C21">
        <v>1</v>
      </c>
    </row>
    <row r="22" spans="1:3">
      <c r="A22" t="s">
        <v>575</v>
      </c>
      <c r="B22">
        <v>386100</v>
      </c>
      <c r="C22">
        <v>1</v>
      </c>
    </row>
    <row r="23" spans="1:3">
      <c r="A23" t="s">
        <v>576</v>
      </c>
      <c r="B23">
        <v>386100</v>
      </c>
      <c r="C23">
        <v>1</v>
      </c>
    </row>
    <row r="24" spans="1:3">
      <c r="A24" t="s">
        <v>575</v>
      </c>
      <c r="B24">
        <v>386100</v>
      </c>
      <c r="C24">
        <v>1</v>
      </c>
    </row>
    <row r="25" spans="1:3">
      <c r="A25" t="s">
        <v>573</v>
      </c>
      <c r="B25">
        <v>386100</v>
      </c>
      <c r="C25">
        <v>1</v>
      </c>
    </row>
    <row r="26" spans="1:3">
      <c r="A26" t="s">
        <v>574</v>
      </c>
      <c r="B26">
        <v>386100</v>
      </c>
      <c r="C26">
        <v>1</v>
      </c>
    </row>
    <row r="27" spans="1:3">
      <c r="A27" t="s">
        <v>573</v>
      </c>
      <c r="B27">
        <v>386100</v>
      </c>
      <c r="C27">
        <v>1</v>
      </c>
    </row>
    <row r="28" spans="1:3">
      <c r="A28" t="s">
        <v>576</v>
      </c>
      <c r="B28">
        <v>386100</v>
      </c>
      <c r="C28">
        <v>1</v>
      </c>
    </row>
    <row r="29" spans="1:3">
      <c r="A29" t="s">
        <v>571</v>
      </c>
      <c r="B29">
        <v>386100</v>
      </c>
      <c r="C29">
        <v>1</v>
      </c>
    </row>
    <row r="30" spans="1:3">
      <c r="A30" t="s">
        <v>573</v>
      </c>
      <c r="B30">
        <v>386100</v>
      </c>
      <c r="C30">
        <v>1</v>
      </c>
    </row>
    <row r="31" spans="1:3">
      <c r="A31" t="s">
        <v>575</v>
      </c>
      <c r="B31">
        <v>386100</v>
      </c>
      <c r="C31">
        <v>1</v>
      </c>
    </row>
    <row r="32" spans="1:3">
      <c r="A32" t="s">
        <v>578</v>
      </c>
      <c r="B32">
        <v>448500</v>
      </c>
      <c r="C32">
        <v>1</v>
      </c>
    </row>
    <row r="33" spans="1:3">
      <c r="A33" t="s">
        <v>579</v>
      </c>
      <c r="B33">
        <v>448500</v>
      </c>
      <c r="C33">
        <v>1</v>
      </c>
    </row>
    <row r="34" spans="1:3">
      <c r="A34" t="s">
        <v>580</v>
      </c>
      <c r="B34">
        <v>448500</v>
      </c>
      <c r="C34">
        <v>1</v>
      </c>
    </row>
    <row r="35" spans="1:3">
      <c r="A35" t="s">
        <v>581</v>
      </c>
      <c r="B35">
        <v>448500</v>
      </c>
      <c r="C35">
        <v>1</v>
      </c>
    </row>
    <row r="36" spans="1:3">
      <c r="A36" t="s">
        <v>582</v>
      </c>
      <c r="B36">
        <v>448500</v>
      </c>
      <c r="C36">
        <v>1</v>
      </c>
    </row>
    <row r="37" spans="1:3">
      <c r="A37" t="s">
        <v>581</v>
      </c>
      <c r="B37">
        <v>448500</v>
      </c>
      <c r="C37">
        <v>1</v>
      </c>
    </row>
    <row r="38" spans="1:3">
      <c r="A38" t="s">
        <v>580</v>
      </c>
      <c r="B38">
        <v>448500</v>
      </c>
      <c r="C38">
        <v>1</v>
      </c>
    </row>
    <row r="39" spans="1:3">
      <c r="A39" t="s">
        <v>583</v>
      </c>
      <c r="B39">
        <v>448500</v>
      </c>
      <c r="C39">
        <v>1</v>
      </c>
    </row>
    <row r="40" spans="1:3">
      <c r="A40" t="s">
        <v>578</v>
      </c>
      <c r="B40">
        <v>448500</v>
      </c>
      <c r="C40">
        <v>1</v>
      </c>
    </row>
    <row r="41" spans="1:3">
      <c r="A41" t="s">
        <v>583</v>
      </c>
      <c r="B41">
        <v>448500</v>
      </c>
      <c r="C41">
        <v>1</v>
      </c>
    </row>
    <row r="42" spans="1:3">
      <c r="A42" t="s">
        <v>584</v>
      </c>
      <c r="B42">
        <v>448500</v>
      </c>
      <c r="C42">
        <v>1</v>
      </c>
    </row>
    <row r="43" spans="1:3">
      <c r="A43" t="s">
        <v>578</v>
      </c>
      <c r="B43">
        <v>448500</v>
      </c>
      <c r="C43">
        <v>1</v>
      </c>
    </row>
    <row r="44" spans="1:3">
      <c r="A44" t="s">
        <v>580</v>
      </c>
      <c r="B44">
        <v>448500</v>
      </c>
      <c r="C44">
        <v>1</v>
      </c>
    </row>
    <row r="45" spans="1:3">
      <c r="A45" t="s">
        <v>585</v>
      </c>
      <c r="B45">
        <v>448500</v>
      </c>
      <c r="C45">
        <v>1</v>
      </c>
    </row>
    <row r="46" spans="1:3">
      <c r="A46" t="s">
        <v>586</v>
      </c>
      <c r="B46">
        <v>448500</v>
      </c>
      <c r="C46">
        <v>1</v>
      </c>
    </row>
    <row r="47" spans="1:3">
      <c r="A47" t="s">
        <v>587</v>
      </c>
      <c r="B47">
        <v>448500</v>
      </c>
      <c r="C47">
        <v>1</v>
      </c>
    </row>
    <row r="48" spans="1:3">
      <c r="A48" t="s">
        <v>579</v>
      </c>
      <c r="B48">
        <v>448500</v>
      </c>
      <c r="C48">
        <v>1</v>
      </c>
    </row>
    <row r="49" spans="1:3">
      <c r="A49" t="s">
        <v>586</v>
      </c>
      <c r="B49">
        <v>448500</v>
      </c>
      <c r="C49">
        <v>1</v>
      </c>
    </row>
    <row r="50" spans="1:3">
      <c r="A50" t="s">
        <v>588</v>
      </c>
      <c r="B50">
        <v>448500</v>
      </c>
      <c r="C50">
        <v>1</v>
      </c>
    </row>
    <row r="51" spans="1:3">
      <c r="A51" t="s">
        <v>585</v>
      </c>
      <c r="B51">
        <v>448500</v>
      </c>
      <c r="C51">
        <v>1</v>
      </c>
    </row>
    <row r="52" spans="1:3">
      <c r="A52" t="s">
        <v>586</v>
      </c>
      <c r="B52">
        <v>448500</v>
      </c>
      <c r="C52">
        <v>1</v>
      </c>
    </row>
    <row r="53" spans="1:3">
      <c r="A53" t="s">
        <v>589</v>
      </c>
      <c r="B53">
        <v>448500</v>
      </c>
      <c r="C53">
        <v>1</v>
      </c>
    </row>
    <row r="54" spans="1:3">
      <c r="A54" t="s">
        <v>582</v>
      </c>
      <c r="B54">
        <v>448500</v>
      </c>
      <c r="C54">
        <v>1</v>
      </c>
    </row>
    <row r="55" spans="1:3">
      <c r="A55" t="s">
        <v>590</v>
      </c>
      <c r="B55">
        <v>448500</v>
      </c>
      <c r="C55">
        <v>1</v>
      </c>
    </row>
    <row r="56" spans="1:3">
      <c r="A56" t="s">
        <v>586</v>
      </c>
      <c r="B56">
        <v>448500</v>
      </c>
      <c r="C56">
        <v>1</v>
      </c>
    </row>
    <row r="57" spans="1:3">
      <c r="A57" t="s">
        <v>588</v>
      </c>
      <c r="B57">
        <v>448500</v>
      </c>
      <c r="C57">
        <v>1</v>
      </c>
    </row>
    <row r="58" spans="1:3">
      <c r="A58" t="s">
        <v>586</v>
      </c>
      <c r="B58">
        <v>448500</v>
      </c>
      <c r="C58">
        <v>1</v>
      </c>
    </row>
    <row r="59" spans="1:3">
      <c r="A59" t="s">
        <v>580</v>
      </c>
      <c r="B59">
        <v>448500</v>
      </c>
      <c r="C59">
        <v>1</v>
      </c>
    </row>
    <row r="60" spans="1:3">
      <c r="A60" t="s">
        <v>578</v>
      </c>
      <c r="B60">
        <v>448500</v>
      </c>
      <c r="C60">
        <v>1</v>
      </c>
    </row>
    <row r="61" spans="1:3">
      <c r="A61" t="s">
        <v>583</v>
      </c>
      <c r="B61">
        <v>448500</v>
      </c>
      <c r="C61">
        <v>1</v>
      </c>
    </row>
    <row r="62" spans="1:3">
      <c r="A62" t="s">
        <v>586</v>
      </c>
      <c r="B62">
        <v>448500</v>
      </c>
      <c r="C62">
        <v>1</v>
      </c>
    </row>
    <row r="63" spans="1:3">
      <c r="A63" t="s">
        <v>590</v>
      </c>
      <c r="B63">
        <v>448500</v>
      </c>
      <c r="C63">
        <v>1</v>
      </c>
    </row>
    <row r="64" spans="1:3">
      <c r="A64" t="s">
        <v>578</v>
      </c>
      <c r="B64">
        <v>448500</v>
      </c>
      <c r="C64">
        <v>1</v>
      </c>
    </row>
    <row r="65" spans="1:3">
      <c r="A65" t="s">
        <v>579</v>
      </c>
      <c r="B65">
        <v>448500</v>
      </c>
      <c r="C65">
        <v>1</v>
      </c>
    </row>
    <row r="66" spans="1:3">
      <c r="A66" t="s">
        <v>579</v>
      </c>
      <c r="B66">
        <v>448500</v>
      </c>
      <c r="C66">
        <v>1</v>
      </c>
    </row>
    <row r="67" spans="1:3">
      <c r="A67" t="s">
        <v>581</v>
      </c>
      <c r="B67">
        <v>448500</v>
      </c>
      <c r="C67">
        <v>1</v>
      </c>
    </row>
    <row r="68" spans="1:3">
      <c r="A68" t="s">
        <v>587</v>
      </c>
      <c r="B68">
        <v>448500</v>
      </c>
      <c r="C68">
        <v>1</v>
      </c>
    </row>
    <row r="69" spans="1:3">
      <c r="A69" t="s">
        <v>588</v>
      </c>
      <c r="B69">
        <v>448500</v>
      </c>
      <c r="C69">
        <v>1</v>
      </c>
    </row>
    <row r="70" spans="1:3">
      <c r="A70" t="s">
        <v>589</v>
      </c>
      <c r="B70">
        <v>448500</v>
      </c>
      <c r="C70">
        <v>1</v>
      </c>
    </row>
    <row r="71" spans="1:3">
      <c r="A71" t="s">
        <v>581</v>
      </c>
      <c r="B71">
        <v>448500</v>
      </c>
      <c r="C71">
        <v>1</v>
      </c>
    </row>
    <row r="72" spans="1:3">
      <c r="A72" t="s">
        <v>590</v>
      </c>
      <c r="B72">
        <v>448500</v>
      </c>
      <c r="C72">
        <v>1</v>
      </c>
    </row>
    <row r="73" spans="1:3">
      <c r="A73" t="s">
        <v>587</v>
      </c>
      <c r="B73">
        <v>448500</v>
      </c>
      <c r="C73">
        <v>1</v>
      </c>
    </row>
    <row r="74" spans="1:3">
      <c r="A74" t="s">
        <v>579</v>
      </c>
      <c r="B74">
        <v>448500</v>
      </c>
      <c r="C74">
        <v>1</v>
      </c>
    </row>
    <row r="75" spans="1:3">
      <c r="A75" t="s">
        <v>63</v>
      </c>
      <c r="B75">
        <v>386100</v>
      </c>
      <c r="C75">
        <v>1</v>
      </c>
    </row>
    <row r="76" spans="1:3">
      <c r="A76" t="s">
        <v>106</v>
      </c>
      <c r="B76">
        <v>386100</v>
      </c>
      <c r="C76">
        <v>1</v>
      </c>
    </row>
    <row r="77" spans="1:3">
      <c r="A77" t="s">
        <v>106</v>
      </c>
      <c r="B77">
        <v>386100</v>
      </c>
      <c r="C77">
        <v>1</v>
      </c>
    </row>
    <row r="78" spans="1:3">
      <c r="A78" t="s">
        <v>78</v>
      </c>
      <c r="B78">
        <v>386100</v>
      </c>
      <c r="C78">
        <v>1</v>
      </c>
    </row>
    <row r="79" spans="1:3">
      <c r="A79" t="s">
        <v>58</v>
      </c>
      <c r="B79">
        <v>386100</v>
      </c>
      <c r="C79">
        <v>1</v>
      </c>
    </row>
    <row r="80" spans="1:3">
      <c r="A80" t="s">
        <v>106</v>
      </c>
      <c r="B80">
        <v>386100</v>
      </c>
      <c r="C80">
        <v>1</v>
      </c>
    </row>
    <row r="81" spans="1:3">
      <c r="A81" t="s">
        <v>60</v>
      </c>
      <c r="B81">
        <v>386100</v>
      </c>
      <c r="C81">
        <v>1</v>
      </c>
    </row>
    <row r="82" spans="1:3">
      <c r="A82" t="s">
        <v>106</v>
      </c>
      <c r="B82">
        <v>386100</v>
      </c>
      <c r="C82">
        <v>1</v>
      </c>
    </row>
    <row r="83" spans="1:3">
      <c r="A83" t="s">
        <v>59</v>
      </c>
      <c r="B83">
        <v>386100</v>
      </c>
      <c r="C83">
        <v>1</v>
      </c>
    </row>
    <row r="84" spans="1:3">
      <c r="A84" t="s">
        <v>59</v>
      </c>
      <c r="B84">
        <v>386100</v>
      </c>
      <c r="C84">
        <v>1</v>
      </c>
    </row>
    <row r="85" spans="1:3">
      <c r="A85" t="s">
        <v>591</v>
      </c>
      <c r="B85">
        <v>386100</v>
      </c>
      <c r="C85">
        <v>1</v>
      </c>
    </row>
    <row r="86" spans="1:3">
      <c r="A86" t="s">
        <v>63</v>
      </c>
      <c r="B86">
        <v>386100</v>
      </c>
      <c r="C86">
        <v>1</v>
      </c>
    </row>
    <row r="87" spans="1:3">
      <c r="A87" t="s">
        <v>63</v>
      </c>
      <c r="B87">
        <v>386100</v>
      </c>
      <c r="C87">
        <v>1</v>
      </c>
    </row>
    <row r="88" spans="1:3">
      <c r="A88" t="s">
        <v>106</v>
      </c>
      <c r="B88">
        <v>386100</v>
      </c>
      <c r="C88">
        <v>1</v>
      </c>
    </row>
    <row r="89" spans="1:3">
      <c r="A89" t="s">
        <v>591</v>
      </c>
      <c r="B89">
        <v>386100</v>
      </c>
      <c r="C89">
        <v>1</v>
      </c>
    </row>
    <row r="90" spans="1:3">
      <c r="A90" t="s">
        <v>63</v>
      </c>
      <c r="B90">
        <v>386100</v>
      </c>
      <c r="C90">
        <v>1</v>
      </c>
    </row>
    <row r="91" spans="1:3">
      <c r="A91" t="s">
        <v>78</v>
      </c>
      <c r="B91">
        <v>386100</v>
      </c>
      <c r="C91">
        <v>1</v>
      </c>
    </row>
    <row r="92" spans="1:3">
      <c r="A92" t="s">
        <v>63</v>
      </c>
      <c r="B92">
        <v>386100</v>
      </c>
      <c r="C92">
        <v>1</v>
      </c>
    </row>
    <row r="93" spans="1:3">
      <c r="A93" t="s">
        <v>59</v>
      </c>
      <c r="B93">
        <v>386100</v>
      </c>
      <c r="C93">
        <v>1</v>
      </c>
    </row>
    <row r="94" spans="1:3">
      <c r="A94" t="s">
        <v>59</v>
      </c>
      <c r="B94">
        <v>386100</v>
      </c>
      <c r="C94">
        <v>1</v>
      </c>
    </row>
    <row r="95" spans="1:3">
      <c r="A95" t="s">
        <v>106</v>
      </c>
      <c r="B95">
        <v>386100</v>
      </c>
      <c r="C95">
        <v>1</v>
      </c>
    </row>
    <row r="96" spans="1:3">
      <c r="A96" t="s">
        <v>106</v>
      </c>
      <c r="B96">
        <v>386100</v>
      </c>
      <c r="C96">
        <v>1</v>
      </c>
    </row>
    <row r="97" spans="1:3">
      <c r="A97" t="s">
        <v>106</v>
      </c>
      <c r="B97">
        <v>386100</v>
      </c>
      <c r="C97">
        <v>1</v>
      </c>
    </row>
    <row r="98" spans="1:3">
      <c r="A98" t="s">
        <v>59</v>
      </c>
      <c r="B98">
        <v>386100</v>
      </c>
      <c r="C98">
        <v>1</v>
      </c>
    </row>
    <row r="99" spans="1:3">
      <c r="A99" t="s">
        <v>59</v>
      </c>
      <c r="B99">
        <v>386100</v>
      </c>
      <c r="C99">
        <v>1</v>
      </c>
    </row>
    <row r="100" spans="1:3">
      <c r="A100" t="s">
        <v>591</v>
      </c>
      <c r="B100">
        <v>386100</v>
      </c>
      <c r="C100">
        <v>1</v>
      </c>
    </row>
    <row r="101" spans="1:3">
      <c r="A101" t="s">
        <v>106</v>
      </c>
      <c r="B101">
        <v>386100</v>
      </c>
      <c r="C101">
        <v>1</v>
      </c>
    </row>
    <row r="102" spans="1:3">
      <c r="A102" t="s">
        <v>591</v>
      </c>
      <c r="B102">
        <v>386100</v>
      </c>
      <c r="C102">
        <v>1</v>
      </c>
    </row>
    <row r="103" spans="1:3">
      <c r="A103" t="s">
        <v>58</v>
      </c>
      <c r="B103">
        <v>386100</v>
      </c>
      <c r="C103">
        <v>1</v>
      </c>
    </row>
    <row r="104" spans="1:3">
      <c r="A104" t="s">
        <v>106</v>
      </c>
      <c r="B104">
        <v>386100</v>
      </c>
      <c r="C104">
        <v>1</v>
      </c>
    </row>
    <row r="105" spans="1:3">
      <c r="A105" t="s">
        <v>63</v>
      </c>
      <c r="B105">
        <v>386100</v>
      </c>
      <c r="C105">
        <v>1</v>
      </c>
    </row>
    <row r="106" spans="1:3">
      <c r="A106" t="s">
        <v>60</v>
      </c>
      <c r="B106">
        <v>386100</v>
      </c>
      <c r="C106">
        <v>1</v>
      </c>
    </row>
    <row r="107" spans="1:3">
      <c r="A107" t="s">
        <v>592</v>
      </c>
      <c r="B107">
        <v>448500</v>
      </c>
      <c r="C107">
        <v>1</v>
      </c>
    </row>
    <row r="108" spans="1:3">
      <c r="A108" t="s">
        <v>592</v>
      </c>
      <c r="B108">
        <v>448500</v>
      </c>
      <c r="C108">
        <v>1</v>
      </c>
    </row>
    <row r="109" spans="1:3">
      <c r="A109" t="s">
        <v>85</v>
      </c>
      <c r="B109">
        <v>448500</v>
      </c>
      <c r="C109">
        <v>1</v>
      </c>
    </row>
    <row r="110" spans="1:3">
      <c r="A110" t="s">
        <v>593</v>
      </c>
      <c r="B110">
        <v>448500</v>
      </c>
      <c r="C110">
        <v>1</v>
      </c>
    </row>
    <row r="111" spans="1:3">
      <c r="A111" t="s">
        <v>90</v>
      </c>
      <c r="B111">
        <v>448500</v>
      </c>
      <c r="C111">
        <v>1</v>
      </c>
    </row>
    <row r="112" spans="1:3">
      <c r="A112" t="s">
        <v>78</v>
      </c>
      <c r="B112">
        <v>386100</v>
      </c>
      <c r="C112">
        <v>1</v>
      </c>
    </row>
    <row r="113" spans="1:3">
      <c r="A113" t="s">
        <v>78</v>
      </c>
      <c r="B113">
        <v>386100</v>
      </c>
      <c r="C113">
        <v>1</v>
      </c>
    </row>
    <row r="114" spans="1:3">
      <c r="A114" t="s">
        <v>89</v>
      </c>
      <c r="B114">
        <v>448500</v>
      </c>
      <c r="C114">
        <v>1</v>
      </c>
    </row>
    <row r="115" spans="1:3">
      <c r="A115" t="s">
        <v>78</v>
      </c>
      <c r="B115">
        <v>386100</v>
      </c>
      <c r="C115">
        <v>1</v>
      </c>
    </row>
    <row r="116" spans="1:3">
      <c r="A116" t="s">
        <v>57</v>
      </c>
      <c r="B116">
        <v>386100</v>
      </c>
      <c r="C116">
        <v>1</v>
      </c>
    </row>
    <row r="117" spans="1:3">
      <c r="A117" t="s">
        <v>89</v>
      </c>
      <c r="B117">
        <v>448500</v>
      </c>
      <c r="C117">
        <v>1</v>
      </c>
    </row>
    <row r="118" spans="1:3">
      <c r="A118" t="s">
        <v>87</v>
      </c>
      <c r="B118">
        <v>448500</v>
      </c>
      <c r="C118">
        <v>1</v>
      </c>
    </row>
    <row r="119" spans="1:3">
      <c r="A119" t="s">
        <v>87</v>
      </c>
      <c r="B119">
        <v>448500</v>
      </c>
      <c r="C119">
        <v>1</v>
      </c>
    </row>
    <row r="120" spans="1:3">
      <c r="A120" t="s">
        <v>87</v>
      </c>
      <c r="B120">
        <v>448500</v>
      </c>
      <c r="C120">
        <v>1</v>
      </c>
    </row>
    <row r="121" spans="1:3">
      <c r="A121" t="s">
        <v>582</v>
      </c>
      <c r="B121">
        <v>448500</v>
      </c>
      <c r="C121">
        <v>1</v>
      </c>
    </row>
    <row r="122" spans="1:3">
      <c r="A122" t="s">
        <v>60</v>
      </c>
      <c r="B122">
        <v>386100</v>
      </c>
      <c r="C122">
        <v>1</v>
      </c>
    </row>
    <row r="123" spans="1:3">
      <c r="A123" t="s">
        <v>60</v>
      </c>
      <c r="B123">
        <v>386100</v>
      </c>
      <c r="C123">
        <v>1</v>
      </c>
    </row>
    <row r="124" spans="1:3">
      <c r="A124" t="s">
        <v>60</v>
      </c>
      <c r="B124">
        <v>386100</v>
      </c>
      <c r="C124">
        <v>1</v>
      </c>
    </row>
    <row r="125" spans="1:3">
      <c r="A125" t="s">
        <v>60</v>
      </c>
      <c r="B125">
        <v>386100</v>
      </c>
      <c r="C125">
        <v>1</v>
      </c>
    </row>
    <row r="126" spans="1:3">
      <c r="A126" t="s">
        <v>88</v>
      </c>
      <c r="B126">
        <v>448500</v>
      </c>
      <c r="C126">
        <v>1</v>
      </c>
    </row>
    <row r="127" spans="1:3">
      <c r="A127" t="s">
        <v>88</v>
      </c>
      <c r="B127">
        <v>448500</v>
      </c>
      <c r="C127">
        <v>1</v>
      </c>
    </row>
    <row r="128" spans="1:3">
      <c r="A128" t="s">
        <v>88</v>
      </c>
      <c r="B128">
        <v>448500</v>
      </c>
      <c r="C128">
        <v>1</v>
      </c>
    </row>
    <row r="129" spans="1:3">
      <c r="A129" t="s">
        <v>594</v>
      </c>
      <c r="B129">
        <v>448500</v>
      </c>
      <c r="C129">
        <v>1</v>
      </c>
    </row>
    <row r="130" spans="1:3">
      <c r="A130" t="s">
        <v>591</v>
      </c>
      <c r="B130">
        <v>386100</v>
      </c>
      <c r="C130">
        <v>1</v>
      </c>
    </row>
    <row r="131" spans="1:3">
      <c r="A131" t="s">
        <v>591</v>
      </c>
      <c r="B131">
        <v>386100</v>
      </c>
      <c r="C131">
        <v>1</v>
      </c>
    </row>
    <row r="132" spans="1:3">
      <c r="A132" t="s">
        <v>591</v>
      </c>
      <c r="B132">
        <v>386100</v>
      </c>
      <c r="C132">
        <v>1</v>
      </c>
    </row>
    <row r="133" spans="1:3">
      <c r="A133" t="s">
        <v>591</v>
      </c>
      <c r="B133">
        <v>386100</v>
      </c>
      <c r="C133">
        <v>1</v>
      </c>
    </row>
    <row r="134" spans="1:3">
      <c r="A134" t="s">
        <v>591</v>
      </c>
      <c r="B134">
        <v>386100</v>
      </c>
      <c r="C134">
        <v>1</v>
      </c>
    </row>
    <row r="135" spans="1:3">
      <c r="A135" t="s">
        <v>591</v>
      </c>
      <c r="B135">
        <v>386100</v>
      </c>
      <c r="C135">
        <v>1</v>
      </c>
    </row>
    <row r="136" spans="1:3">
      <c r="A136" t="s">
        <v>591</v>
      </c>
      <c r="B136">
        <v>386100</v>
      </c>
      <c r="C136">
        <v>1</v>
      </c>
    </row>
    <row r="137" spans="1:3">
      <c r="A137" t="s">
        <v>591</v>
      </c>
      <c r="B137">
        <v>386100</v>
      </c>
      <c r="C137">
        <v>1</v>
      </c>
    </row>
    <row r="138" spans="1:3">
      <c r="A138" t="s">
        <v>108</v>
      </c>
      <c r="B138">
        <v>448500</v>
      </c>
      <c r="C138">
        <v>1</v>
      </c>
    </row>
    <row r="139" spans="1:3">
      <c r="A139" t="s">
        <v>590</v>
      </c>
      <c r="B139">
        <v>448500</v>
      </c>
      <c r="C139">
        <v>1</v>
      </c>
    </row>
    <row r="140" spans="1:3">
      <c r="A140" t="s">
        <v>109</v>
      </c>
      <c r="B140">
        <v>448500</v>
      </c>
      <c r="C140">
        <v>1</v>
      </c>
    </row>
    <row r="141" spans="1:3">
      <c r="A141" t="s">
        <v>109</v>
      </c>
      <c r="B141">
        <v>448500</v>
      </c>
      <c r="C141">
        <v>1</v>
      </c>
    </row>
    <row r="142" spans="1:3">
      <c r="A142" t="s">
        <v>586</v>
      </c>
      <c r="B142">
        <v>448500</v>
      </c>
      <c r="C142">
        <v>1</v>
      </c>
    </row>
    <row r="143" spans="1:3">
      <c r="A143" t="s">
        <v>595</v>
      </c>
      <c r="B143">
        <v>448500</v>
      </c>
      <c r="C143">
        <v>1</v>
      </c>
    </row>
    <row r="144" spans="1:3">
      <c r="A144" t="s">
        <v>595</v>
      </c>
      <c r="B144">
        <v>448500</v>
      </c>
      <c r="C144">
        <v>1</v>
      </c>
    </row>
    <row r="145" spans="1:3">
      <c r="A145" t="s">
        <v>104</v>
      </c>
      <c r="B145">
        <v>448500</v>
      </c>
      <c r="C145">
        <v>1</v>
      </c>
    </row>
    <row r="146" spans="1:3">
      <c r="A146" t="s">
        <v>104</v>
      </c>
      <c r="B146">
        <v>448500</v>
      </c>
      <c r="C146">
        <v>1</v>
      </c>
    </row>
    <row r="147" spans="1:3">
      <c r="A147" t="s">
        <v>579</v>
      </c>
      <c r="B147">
        <v>448500</v>
      </c>
      <c r="C147">
        <v>1</v>
      </c>
    </row>
    <row r="148" spans="1:3">
      <c r="A148" t="s">
        <v>579</v>
      </c>
      <c r="B148">
        <v>448500</v>
      </c>
      <c r="C148">
        <v>1</v>
      </c>
    </row>
    <row r="149" spans="1:3">
      <c r="A149" t="s">
        <v>107</v>
      </c>
      <c r="B149">
        <v>448500</v>
      </c>
      <c r="C149">
        <v>1</v>
      </c>
    </row>
    <row r="150" spans="1:3">
      <c r="A150" t="s">
        <v>107</v>
      </c>
      <c r="B150">
        <v>448500</v>
      </c>
      <c r="C150">
        <v>1</v>
      </c>
    </row>
    <row r="151" spans="1:3">
      <c r="A151" t="s">
        <v>107</v>
      </c>
      <c r="B151">
        <v>448500</v>
      </c>
      <c r="C151">
        <v>1</v>
      </c>
    </row>
    <row r="152" spans="1:3">
      <c r="A152" t="s">
        <v>107</v>
      </c>
      <c r="B152">
        <v>448500</v>
      </c>
      <c r="C152">
        <v>1</v>
      </c>
    </row>
    <row r="153" spans="1:3">
      <c r="A153" t="s">
        <v>107</v>
      </c>
      <c r="B153">
        <v>448500</v>
      </c>
      <c r="C153">
        <v>1</v>
      </c>
    </row>
    <row r="154" spans="1:3">
      <c r="A154" t="s">
        <v>107</v>
      </c>
      <c r="B154">
        <v>448500</v>
      </c>
      <c r="C154">
        <v>1</v>
      </c>
    </row>
    <row r="155" spans="1:3">
      <c r="A155" t="s">
        <v>107</v>
      </c>
      <c r="B155">
        <v>448500</v>
      </c>
      <c r="C155">
        <v>1</v>
      </c>
    </row>
    <row r="156" spans="1:3">
      <c r="A156" t="s">
        <v>596</v>
      </c>
      <c r="B156">
        <v>448500</v>
      </c>
      <c r="C156">
        <v>1</v>
      </c>
    </row>
    <row r="157" spans="1:3">
      <c r="A157" t="s">
        <v>597</v>
      </c>
      <c r="B157">
        <v>386100</v>
      </c>
      <c r="C157">
        <v>1</v>
      </c>
    </row>
    <row r="158" spans="1:3">
      <c r="A158" t="s">
        <v>597</v>
      </c>
      <c r="B158">
        <v>386100</v>
      </c>
      <c r="C158">
        <v>1</v>
      </c>
    </row>
    <row r="159" spans="1:3">
      <c r="A159" t="s">
        <v>78</v>
      </c>
      <c r="B159">
        <v>386100</v>
      </c>
      <c r="C159">
        <v>1</v>
      </c>
    </row>
    <row r="160" spans="1:3">
      <c r="A160" t="s">
        <v>78</v>
      </c>
      <c r="B160">
        <v>386100</v>
      </c>
      <c r="C160">
        <v>1</v>
      </c>
    </row>
    <row r="161" spans="1:3">
      <c r="A161" t="s">
        <v>78</v>
      </c>
      <c r="B161">
        <v>386100</v>
      </c>
      <c r="C161">
        <v>1</v>
      </c>
    </row>
    <row r="162" spans="1:3">
      <c r="A162" t="s">
        <v>78</v>
      </c>
      <c r="B162">
        <v>386100</v>
      </c>
      <c r="C162">
        <v>1</v>
      </c>
    </row>
    <row r="163" spans="1:3">
      <c r="A163" t="s">
        <v>105</v>
      </c>
      <c r="B163">
        <v>386100</v>
      </c>
      <c r="C163">
        <v>1</v>
      </c>
    </row>
    <row r="164" spans="1:3">
      <c r="A164" t="s">
        <v>105</v>
      </c>
      <c r="B164">
        <v>386100</v>
      </c>
      <c r="C164">
        <v>1</v>
      </c>
    </row>
    <row r="165" spans="1:3">
      <c r="A165" t="s">
        <v>105</v>
      </c>
      <c r="B165">
        <v>386100</v>
      </c>
      <c r="C165">
        <v>1</v>
      </c>
    </row>
    <row r="166" spans="1:3">
      <c r="A166" t="s">
        <v>105</v>
      </c>
      <c r="B166">
        <v>386100</v>
      </c>
      <c r="C166">
        <v>1</v>
      </c>
    </row>
    <row r="167" spans="1:3">
      <c r="A167" t="s">
        <v>105</v>
      </c>
      <c r="B167">
        <v>386100</v>
      </c>
      <c r="C167">
        <v>1</v>
      </c>
    </row>
    <row r="168" spans="1:3">
      <c r="A168" t="s">
        <v>105</v>
      </c>
      <c r="B168">
        <v>386100</v>
      </c>
      <c r="C168">
        <v>1</v>
      </c>
    </row>
    <row r="169" spans="1:3">
      <c r="A169" t="s">
        <v>105</v>
      </c>
      <c r="B169">
        <v>386100</v>
      </c>
      <c r="C169">
        <v>1</v>
      </c>
    </row>
    <row r="170" spans="1:3">
      <c r="A170" t="s">
        <v>105</v>
      </c>
      <c r="B170">
        <v>386100</v>
      </c>
      <c r="C170">
        <v>1</v>
      </c>
    </row>
    <row r="171" spans="1:3">
      <c r="A171" t="s">
        <v>105</v>
      </c>
      <c r="B171">
        <v>386100</v>
      </c>
      <c r="C171">
        <v>1</v>
      </c>
    </row>
    <row r="172" spans="1:3">
      <c r="A172" t="s">
        <v>105</v>
      </c>
      <c r="B172">
        <v>386100</v>
      </c>
      <c r="C172">
        <v>1</v>
      </c>
    </row>
    <row r="173" spans="1:3">
      <c r="A173" t="s">
        <v>598</v>
      </c>
      <c r="B173">
        <v>448500</v>
      </c>
      <c r="C173">
        <v>1</v>
      </c>
    </row>
    <row r="174" spans="1:3">
      <c r="A174" t="s">
        <v>589</v>
      </c>
      <c r="B174">
        <v>448500</v>
      </c>
      <c r="C174">
        <v>1</v>
      </c>
    </row>
    <row r="175" spans="1:3">
      <c r="A175" t="s">
        <v>589</v>
      </c>
      <c r="B175">
        <v>448500</v>
      </c>
      <c r="C175">
        <v>1</v>
      </c>
    </row>
    <row r="176" spans="1:3">
      <c r="A176" t="s">
        <v>575</v>
      </c>
      <c r="B176">
        <v>386100</v>
      </c>
      <c r="C176">
        <v>1</v>
      </c>
    </row>
    <row r="177" spans="1:3">
      <c r="A177" t="s">
        <v>575</v>
      </c>
      <c r="B177">
        <v>386100</v>
      </c>
      <c r="C177">
        <v>1</v>
      </c>
    </row>
    <row r="178" spans="1:3">
      <c r="A178" t="s">
        <v>62</v>
      </c>
      <c r="B178">
        <v>448500</v>
      </c>
      <c r="C178">
        <v>1</v>
      </c>
    </row>
    <row r="179" spans="1:3">
      <c r="A179" t="s">
        <v>62</v>
      </c>
      <c r="B179">
        <v>448500</v>
      </c>
      <c r="C179">
        <v>1</v>
      </c>
    </row>
    <row r="180" spans="1:3">
      <c r="A180" t="s">
        <v>580</v>
      </c>
      <c r="B180">
        <v>448500</v>
      </c>
      <c r="C180">
        <v>1</v>
      </c>
    </row>
    <row r="181" spans="1:3">
      <c r="A181" t="s">
        <v>61</v>
      </c>
      <c r="B181">
        <v>386100</v>
      </c>
      <c r="C181">
        <v>1</v>
      </c>
    </row>
    <row r="182" spans="1:3">
      <c r="A182" t="s">
        <v>61</v>
      </c>
      <c r="B182">
        <v>386100</v>
      </c>
      <c r="C182">
        <v>1</v>
      </c>
    </row>
    <row r="183" spans="1:3">
      <c r="A183" t="s">
        <v>61</v>
      </c>
      <c r="B183">
        <v>386100</v>
      </c>
      <c r="C183">
        <v>1</v>
      </c>
    </row>
    <row r="184" spans="1:3">
      <c r="A184" t="s">
        <v>61</v>
      </c>
      <c r="B184">
        <v>386100</v>
      </c>
      <c r="C184">
        <v>1</v>
      </c>
    </row>
    <row r="185" spans="1:3">
      <c r="A185" t="s">
        <v>580</v>
      </c>
      <c r="B185">
        <v>448500</v>
      </c>
      <c r="C185">
        <v>1</v>
      </c>
    </row>
    <row r="186" spans="1:3">
      <c r="A186" t="s">
        <v>577</v>
      </c>
      <c r="B186">
        <v>386100</v>
      </c>
      <c r="C186">
        <v>1</v>
      </c>
    </row>
    <row r="187" spans="1:3">
      <c r="A187" t="s">
        <v>577</v>
      </c>
      <c r="B187">
        <v>386100</v>
      </c>
      <c r="C187">
        <v>1</v>
      </c>
    </row>
    <row r="188" spans="1:3">
      <c r="A188" t="s">
        <v>577</v>
      </c>
      <c r="B188">
        <v>386100</v>
      </c>
      <c r="C188">
        <v>1</v>
      </c>
    </row>
    <row r="189" spans="1:3">
      <c r="A189" t="s">
        <v>577</v>
      </c>
      <c r="B189">
        <v>386100</v>
      </c>
      <c r="C189">
        <v>1</v>
      </c>
    </row>
    <row r="190" spans="1:3">
      <c r="A190" t="s">
        <v>60</v>
      </c>
      <c r="B190">
        <v>386100</v>
      </c>
      <c r="C190">
        <v>1</v>
      </c>
    </row>
    <row r="191" spans="1:3">
      <c r="A191" t="s">
        <v>60</v>
      </c>
      <c r="B191">
        <v>386100</v>
      </c>
      <c r="C191">
        <v>1</v>
      </c>
    </row>
    <row r="192" spans="1:3">
      <c r="A192" t="s">
        <v>57</v>
      </c>
      <c r="B192">
        <v>386100</v>
      </c>
      <c r="C192">
        <v>1</v>
      </c>
    </row>
    <row r="193" spans="1:3">
      <c r="A193" t="s">
        <v>57</v>
      </c>
      <c r="B193">
        <v>386100</v>
      </c>
      <c r="C193">
        <v>1</v>
      </c>
    </row>
    <row r="194" spans="1:3">
      <c r="A194" t="s">
        <v>57</v>
      </c>
      <c r="B194">
        <v>386100</v>
      </c>
      <c r="C194">
        <v>1</v>
      </c>
    </row>
    <row r="195" spans="1:3">
      <c r="A195" t="s">
        <v>57</v>
      </c>
      <c r="B195">
        <v>386100</v>
      </c>
      <c r="C195">
        <v>1</v>
      </c>
    </row>
    <row r="196" spans="1:3">
      <c r="A196" t="s">
        <v>85</v>
      </c>
      <c r="B196">
        <v>448500</v>
      </c>
      <c r="C196">
        <v>1</v>
      </c>
    </row>
    <row r="197" spans="1:3">
      <c r="A197" t="s">
        <v>85</v>
      </c>
      <c r="B197">
        <v>448500</v>
      </c>
      <c r="C197">
        <v>1</v>
      </c>
    </row>
    <row r="198" spans="1:3">
      <c r="A198" t="s">
        <v>87</v>
      </c>
      <c r="B198">
        <v>448500</v>
      </c>
      <c r="C198">
        <v>1</v>
      </c>
    </row>
    <row r="199" spans="1:3">
      <c r="A199" t="s">
        <v>87</v>
      </c>
      <c r="B199">
        <v>448500</v>
      </c>
      <c r="C199">
        <v>1</v>
      </c>
    </row>
    <row r="200" spans="1:3">
      <c r="A200" t="s">
        <v>591</v>
      </c>
      <c r="B200">
        <v>386100</v>
      </c>
      <c r="C200">
        <v>1</v>
      </c>
    </row>
    <row r="201" spans="1:3">
      <c r="A201" t="s">
        <v>591</v>
      </c>
      <c r="B201">
        <v>386100</v>
      </c>
      <c r="C201">
        <v>1</v>
      </c>
    </row>
    <row r="202" spans="1:3">
      <c r="A202" t="s">
        <v>591</v>
      </c>
      <c r="B202">
        <v>386100</v>
      </c>
      <c r="C202">
        <v>1</v>
      </c>
    </row>
    <row r="203" spans="1:3">
      <c r="A203" t="s">
        <v>591</v>
      </c>
      <c r="B203">
        <v>386100</v>
      </c>
      <c r="C203">
        <v>1</v>
      </c>
    </row>
    <row r="204" spans="1:3">
      <c r="A204" t="s">
        <v>597</v>
      </c>
      <c r="B204">
        <v>386100</v>
      </c>
      <c r="C204">
        <v>1</v>
      </c>
    </row>
    <row r="205" spans="1:3">
      <c r="A205" t="s">
        <v>597</v>
      </c>
      <c r="B205">
        <v>386100</v>
      </c>
      <c r="C205">
        <v>1</v>
      </c>
    </row>
    <row r="206" spans="1:3">
      <c r="A206" t="s">
        <v>597</v>
      </c>
      <c r="B206">
        <v>386100</v>
      </c>
      <c r="C206">
        <v>1</v>
      </c>
    </row>
    <row r="207" spans="1:3">
      <c r="A207" t="s">
        <v>597</v>
      </c>
      <c r="B207">
        <v>386100</v>
      </c>
      <c r="C207">
        <v>1</v>
      </c>
    </row>
    <row r="208" spans="1:3">
      <c r="A208" t="s">
        <v>596</v>
      </c>
      <c r="B208">
        <v>448500</v>
      </c>
      <c r="C208">
        <v>1</v>
      </c>
    </row>
    <row r="209" spans="1:3">
      <c r="A209" t="s">
        <v>596</v>
      </c>
      <c r="B209">
        <v>448500</v>
      </c>
      <c r="C209">
        <v>1</v>
      </c>
    </row>
    <row r="210" spans="1:3">
      <c r="A210" t="s">
        <v>56</v>
      </c>
      <c r="B210">
        <v>386100</v>
      </c>
      <c r="C210">
        <v>1</v>
      </c>
    </row>
    <row r="211" spans="1:3">
      <c r="A211" t="s">
        <v>56</v>
      </c>
      <c r="B211">
        <v>386100</v>
      </c>
      <c r="C211">
        <v>1</v>
      </c>
    </row>
    <row r="212" spans="1:3">
      <c r="A212" t="s">
        <v>80</v>
      </c>
      <c r="B212">
        <v>448500</v>
      </c>
      <c r="C212">
        <v>1</v>
      </c>
    </row>
    <row r="213" spans="1:3">
      <c r="A213" t="s">
        <v>80</v>
      </c>
      <c r="B213">
        <v>448500</v>
      </c>
      <c r="C213">
        <v>1</v>
      </c>
    </row>
    <row r="214" spans="1:3">
      <c r="A214" t="s">
        <v>599</v>
      </c>
      <c r="B214">
        <v>386100</v>
      </c>
      <c r="C214">
        <v>1</v>
      </c>
    </row>
    <row r="215" spans="1:3">
      <c r="A215" t="s">
        <v>599</v>
      </c>
      <c r="B215">
        <v>386100</v>
      </c>
      <c r="C215">
        <v>1</v>
      </c>
    </row>
    <row r="216" spans="1:3">
      <c r="A216" t="s">
        <v>599</v>
      </c>
      <c r="B216">
        <v>386100</v>
      </c>
      <c r="C216">
        <v>1</v>
      </c>
    </row>
    <row r="217" spans="1:3">
      <c r="A217" t="s">
        <v>599</v>
      </c>
      <c r="B217">
        <v>386100</v>
      </c>
      <c r="C217">
        <v>1</v>
      </c>
    </row>
    <row r="218" spans="1:3">
      <c r="A218" t="s">
        <v>599</v>
      </c>
      <c r="B218">
        <v>386100</v>
      </c>
      <c r="C218">
        <v>1</v>
      </c>
    </row>
    <row r="219" spans="1:3">
      <c r="A219" t="s">
        <v>599</v>
      </c>
      <c r="B219">
        <v>386100</v>
      </c>
      <c r="C219">
        <v>1</v>
      </c>
    </row>
    <row r="220" spans="1:3">
      <c r="A220" t="s">
        <v>600</v>
      </c>
      <c r="B220">
        <v>448500</v>
      </c>
      <c r="C220">
        <v>1</v>
      </c>
    </row>
    <row r="221" spans="1:3">
      <c r="A221" t="s">
        <v>600</v>
      </c>
      <c r="B221">
        <v>448500</v>
      </c>
      <c r="C221">
        <v>1</v>
      </c>
    </row>
    <row r="222" spans="1:3">
      <c r="A222" t="s">
        <v>599</v>
      </c>
      <c r="B222">
        <v>386100</v>
      </c>
      <c r="C222">
        <v>1</v>
      </c>
    </row>
    <row r="223" spans="1:3">
      <c r="A223" t="s">
        <v>599</v>
      </c>
      <c r="B223">
        <v>386100</v>
      </c>
      <c r="C223">
        <v>1</v>
      </c>
    </row>
    <row r="224" spans="1:3">
      <c r="A224" t="s">
        <v>599</v>
      </c>
      <c r="B224">
        <v>386100</v>
      </c>
      <c r="C224">
        <v>1</v>
      </c>
    </row>
    <row r="225" spans="1:3">
      <c r="A225" t="s">
        <v>599</v>
      </c>
      <c r="B225">
        <v>386100</v>
      </c>
      <c r="C225">
        <v>1</v>
      </c>
    </row>
    <row r="226" spans="1:3">
      <c r="A226" t="s">
        <v>56</v>
      </c>
      <c r="B226">
        <v>386100</v>
      </c>
      <c r="C226">
        <v>1</v>
      </c>
    </row>
    <row r="227" spans="1:3">
      <c r="A227" t="s">
        <v>56</v>
      </c>
      <c r="B227">
        <v>386100</v>
      </c>
      <c r="C227">
        <v>1</v>
      </c>
    </row>
    <row r="228" spans="1:3">
      <c r="A228" t="s">
        <v>80</v>
      </c>
      <c r="B228">
        <v>448500</v>
      </c>
      <c r="C228">
        <v>1</v>
      </c>
    </row>
    <row r="229" spans="1:3">
      <c r="A229" t="s">
        <v>80</v>
      </c>
      <c r="B229">
        <v>448500</v>
      </c>
      <c r="C229">
        <v>1</v>
      </c>
    </row>
    <row r="230" spans="1:3">
      <c r="A230" t="s">
        <v>56</v>
      </c>
      <c r="B230">
        <v>386100</v>
      </c>
      <c r="C230">
        <v>1</v>
      </c>
    </row>
    <row r="231" spans="1:3">
      <c r="A231" t="s">
        <v>56</v>
      </c>
      <c r="B231">
        <v>386100</v>
      </c>
      <c r="C231">
        <v>1</v>
      </c>
    </row>
    <row r="232" spans="1:3">
      <c r="A232" t="s">
        <v>56</v>
      </c>
      <c r="B232">
        <v>386100</v>
      </c>
      <c r="C232">
        <v>1</v>
      </c>
    </row>
    <row r="233" spans="1:3">
      <c r="A233" t="s">
        <v>56</v>
      </c>
      <c r="B233">
        <v>386100</v>
      </c>
      <c r="C233">
        <v>1</v>
      </c>
    </row>
    <row r="234" spans="1:3">
      <c r="A234" t="s">
        <v>56</v>
      </c>
      <c r="B234">
        <v>386100</v>
      </c>
      <c r="C234">
        <v>1</v>
      </c>
    </row>
    <row r="235" spans="1:3">
      <c r="A235" t="s">
        <v>56</v>
      </c>
      <c r="B235">
        <v>386100</v>
      </c>
      <c r="C235">
        <v>1</v>
      </c>
    </row>
    <row r="236" spans="1:3">
      <c r="A236" t="s">
        <v>56</v>
      </c>
      <c r="B236">
        <v>386100</v>
      </c>
      <c r="C236">
        <v>1</v>
      </c>
    </row>
    <row r="237" spans="1:3">
      <c r="A237" t="s">
        <v>56</v>
      </c>
      <c r="B237">
        <v>386100</v>
      </c>
      <c r="C237">
        <v>1</v>
      </c>
    </row>
    <row r="238" spans="1:3">
      <c r="A238" t="s">
        <v>599</v>
      </c>
      <c r="B238">
        <v>386100</v>
      </c>
      <c r="C238">
        <v>1</v>
      </c>
    </row>
    <row r="239" spans="1:3">
      <c r="A239" t="s">
        <v>599</v>
      </c>
      <c r="B239">
        <v>386100</v>
      </c>
      <c r="C239">
        <v>1</v>
      </c>
    </row>
    <row r="240" spans="1:3">
      <c r="A240" t="s">
        <v>600</v>
      </c>
      <c r="B240">
        <v>448500</v>
      </c>
      <c r="C240">
        <v>1</v>
      </c>
    </row>
    <row r="241" spans="1:3">
      <c r="A241" t="s">
        <v>599</v>
      </c>
      <c r="B241">
        <v>386100</v>
      </c>
      <c r="C241">
        <v>1</v>
      </c>
    </row>
    <row r="242" spans="1:3">
      <c r="A242" t="s">
        <v>599</v>
      </c>
      <c r="B242">
        <v>386100</v>
      </c>
      <c r="C242">
        <v>1</v>
      </c>
    </row>
    <row r="243" spans="1:3">
      <c r="A243" t="s">
        <v>599</v>
      </c>
      <c r="B243">
        <v>386100</v>
      </c>
      <c r="C243">
        <v>1</v>
      </c>
    </row>
    <row r="244" spans="1:3">
      <c r="A244" t="s">
        <v>599</v>
      </c>
      <c r="B244">
        <v>386100</v>
      </c>
      <c r="C244">
        <v>1</v>
      </c>
    </row>
    <row r="245" spans="1:3">
      <c r="A245" t="s">
        <v>106</v>
      </c>
      <c r="B245">
        <v>386100</v>
      </c>
      <c r="C245">
        <v>1</v>
      </c>
    </row>
    <row r="246" spans="1:3">
      <c r="A246" t="s">
        <v>106</v>
      </c>
      <c r="B246">
        <v>386100</v>
      </c>
      <c r="C246">
        <v>1</v>
      </c>
    </row>
    <row r="247" spans="1:3">
      <c r="A247" t="s">
        <v>589</v>
      </c>
      <c r="B247">
        <v>448500</v>
      </c>
      <c r="C247">
        <v>1</v>
      </c>
    </row>
    <row r="248" spans="1:3">
      <c r="A248" t="s">
        <v>589</v>
      </c>
      <c r="B248">
        <v>448500</v>
      </c>
      <c r="C248">
        <v>1</v>
      </c>
    </row>
    <row r="249" spans="1:3">
      <c r="A249" t="s">
        <v>589</v>
      </c>
      <c r="B249">
        <v>448500</v>
      </c>
      <c r="C249">
        <v>1</v>
      </c>
    </row>
    <row r="250" spans="1:3">
      <c r="A250" t="s">
        <v>589</v>
      </c>
      <c r="B250">
        <v>448500</v>
      </c>
      <c r="C250">
        <v>1</v>
      </c>
    </row>
    <row r="251" spans="1:3">
      <c r="A251" t="s">
        <v>104</v>
      </c>
      <c r="B251">
        <v>448500</v>
      </c>
      <c r="C251">
        <v>1</v>
      </c>
    </row>
    <row r="252" spans="1:3">
      <c r="A252" t="s">
        <v>104</v>
      </c>
      <c r="B252">
        <v>448500</v>
      </c>
      <c r="C252">
        <v>1</v>
      </c>
    </row>
    <row r="253" spans="1:3">
      <c r="A253" t="s">
        <v>104</v>
      </c>
      <c r="B253">
        <v>448500</v>
      </c>
      <c r="C253">
        <v>1</v>
      </c>
    </row>
    <row r="254" spans="1:3">
      <c r="A254" t="s">
        <v>104</v>
      </c>
      <c r="B254">
        <v>448500</v>
      </c>
      <c r="C254">
        <v>1</v>
      </c>
    </row>
    <row r="255" spans="1:3">
      <c r="A255" t="s">
        <v>588</v>
      </c>
      <c r="B255">
        <v>448500</v>
      </c>
      <c r="C255">
        <v>1</v>
      </c>
    </row>
    <row r="256" spans="1:3">
      <c r="A256" t="s">
        <v>588</v>
      </c>
      <c r="B256">
        <v>448500</v>
      </c>
      <c r="C256">
        <v>1</v>
      </c>
    </row>
    <row r="257" spans="1:3">
      <c r="A257" t="s">
        <v>59</v>
      </c>
      <c r="B257">
        <v>386100</v>
      </c>
      <c r="C257">
        <v>1</v>
      </c>
    </row>
    <row r="258" spans="1:3">
      <c r="A258" t="s">
        <v>59</v>
      </c>
      <c r="B258">
        <v>386100</v>
      </c>
      <c r="C258">
        <v>1</v>
      </c>
    </row>
    <row r="259" spans="1:3">
      <c r="A259" t="s">
        <v>59</v>
      </c>
      <c r="B259">
        <v>386100</v>
      </c>
      <c r="C259">
        <v>1</v>
      </c>
    </row>
    <row r="260" spans="1:3">
      <c r="A260" t="s">
        <v>59</v>
      </c>
      <c r="B260">
        <v>386100</v>
      </c>
      <c r="C260">
        <v>1</v>
      </c>
    </row>
    <row r="261" spans="1:3">
      <c r="A261" t="s">
        <v>601</v>
      </c>
      <c r="B261">
        <v>448500</v>
      </c>
      <c r="C261">
        <v>1</v>
      </c>
    </row>
    <row r="262" spans="1:3">
      <c r="A262" t="s">
        <v>59</v>
      </c>
      <c r="B262">
        <v>386100</v>
      </c>
      <c r="C262">
        <v>1</v>
      </c>
    </row>
    <row r="263" spans="1:3">
      <c r="A263" t="s">
        <v>59</v>
      </c>
      <c r="B263">
        <v>386100</v>
      </c>
      <c r="C263">
        <v>1</v>
      </c>
    </row>
    <row r="264" spans="1:3">
      <c r="A264" t="s">
        <v>59</v>
      </c>
      <c r="B264">
        <v>386100</v>
      </c>
      <c r="C264">
        <v>1</v>
      </c>
    </row>
    <row r="265" spans="1:3">
      <c r="A265" t="s">
        <v>59</v>
      </c>
      <c r="B265">
        <v>386100</v>
      </c>
      <c r="C265">
        <v>1</v>
      </c>
    </row>
    <row r="266" spans="1:3">
      <c r="A266" t="s">
        <v>59</v>
      </c>
      <c r="B266">
        <v>386100</v>
      </c>
      <c r="C266">
        <v>1</v>
      </c>
    </row>
    <row r="267" spans="1:3">
      <c r="A267" t="s">
        <v>59</v>
      </c>
      <c r="B267">
        <v>386100</v>
      </c>
      <c r="C267">
        <v>1</v>
      </c>
    </row>
    <row r="268" spans="1:3">
      <c r="A268" t="s">
        <v>59</v>
      </c>
      <c r="B268">
        <v>386100</v>
      </c>
      <c r="C268">
        <v>1</v>
      </c>
    </row>
    <row r="269" spans="1:3">
      <c r="A269" t="s">
        <v>59</v>
      </c>
      <c r="B269">
        <v>386100</v>
      </c>
      <c r="C269">
        <v>1</v>
      </c>
    </row>
    <row r="270" spans="1:3">
      <c r="A270" t="s">
        <v>581</v>
      </c>
      <c r="B270">
        <v>448500</v>
      </c>
      <c r="C270">
        <v>1</v>
      </c>
    </row>
    <row r="271" spans="1:3">
      <c r="A271" t="s">
        <v>590</v>
      </c>
      <c r="B271">
        <v>448500</v>
      </c>
      <c r="C271">
        <v>1</v>
      </c>
    </row>
    <row r="272" spans="1:3">
      <c r="A272" t="s">
        <v>591</v>
      </c>
      <c r="B272">
        <v>386100</v>
      </c>
      <c r="C272">
        <v>1</v>
      </c>
    </row>
    <row r="273" spans="1:3">
      <c r="A273" t="s">
        <v>591</v>
      </c>
      <c r="B273">
        <v>386100</v>
      </c>
      <c r="C273">
        <v>1</v>
      </c>
    </row>
    <row r="274" spans="1:3">
      <c r="A274" t="s">
        <v>591</v>
      </c>
      <c r="B274">
        <v>386100</v>
      </c>
      <c r="C274">
        <v>1</v>
      </c>
    </row>
    <row r="275" spans="1:3">
      <c r="A275" t="s">
        <v>591</v>
      </c>
      <c r="B275">
        <v>386100</v>
      </c>
      <c r="C275">
        <v>1</v>
      </c>
    </row>
    <row r="276" spans="1:3">
      <c r="A276" t="s">
        <v>106</v>
      </c>
      <c r="B276">
        <v>386100</v>
      </c>
      <c r="C276">
        <v>1</v>
      </c>
    </row>
    <row r="277" spans="1:3">
      <c r="A277" t="s">
        <v>106</v>
      </c>
      <c r="B277">
        <v>386100</v>
      </c>
      <c r="C277">
        <v>1</v>
      </c>
    </row>
    <row r="278" spans="1:3">
      <c r="A278" t="s">
        <v>580</v>
      </c>
      <c r="B278">
        <v>448500</v>
      </c>
      <c r="C278">
        <v>1</v>
      </c>
    </row>
    <row r="279" spans="1:3">
      <c r="A279" t="s">
        <v>580</v>
      </c>
      <c r="B279">
        <v>448500</v>
      </c>
      <c r="C279">
        <v>1</v>
      </c>
    </row>
    <row r="280" spans="1:3">
      <c r="A280" t="s">
        <v>580</v>
      </c>
      <c r="B280">
        <v>448500</v>
      </c>
      <c r="C280">
        <v>1</v>
      </c>
    </row>
    <row r="281" spans="1:3">
      <c r="A281" t="s">
        <v>580</v>
      </c>
      <c r="B281">
        <v>448500</v>
      </c>
      <c r="C281">
        <v>1</v>
      </c>
    </row>
    <row r="282" spans="1:3">
      <c r="A282" t="s">
        <v>61</v>
      </c>
      <c r="B282">
        <v>386100</v>
      </c>
      <c r="C282">
        <v>1</v>
      </c>
    </row>
    <row r="283" spans="1:3">
      <c r="A283" t="s">
        <v>61</v>
      </c>
      <c r="B283">
        <v>386100</v>
      </c>
      <c r="C283">
        <v>1</v>
      </c>
    </row>
    <row r="284" spans="1:3">
      <c r="A284" t="s">
        <v>61</v>
      </c>
      <c r="B284">
        <v>386100</v>
      </c>
      <c r="C284">
        <v>1</v>
      </c>
    </row>
    <row r="285" spans="1:3">
      <c r="A285" t="s">
        <v>61</v>
      </c>
      <c r="B285">
        <v>386100</v>
      </c>
      <c r="C285">
        <v>1</v>
      </c>
    </row>
    <row r="286" spans="1:3">
      <c r="A286" t="s">
        <v>61</v>
      </c>
      <c r="B286">
        <v>386100</v>
      </c>
      <c r="C286">
        <v>1</v>
      </c>
    </row>
    <row r="287" spans="1:3">
      <c r="A287" t="s">
        <v>61</v>
      </c>
      <c r="B287">
        <v>386100</v>
      </c>
      <c r="C287">
        <v>1</v>
      </c>
    </row>
    <row r="288" spans="1:3">
      <c r="A288" t="s">
        <v>61</v>
      </c>
      <c r="B288">
        <v>386100</v>
      </c>
      <c r="C288">
        <v>1</v>
      </c>
    </row>
    <row r="289" spans="1:3">
      <c r="A289" t="s">
        <v>61</v>
      </c>
      <c r="B289">
        <v>386100</v>
      </c>
      <c r="C289">
        <v>1</v>
      </c>
    </row>
    <row r="290" spans="1:3">
      <c r="A290" t="s">
        <v>63</v>
      </c>
      <c r="B290">
        <v>386100</v>
      </c>
      <c r="C290">
        <v>1</v>
      </c>
    </row>
    <row r="291" spans="1:3">
      <c r="A291" t="s">
        <v>63</v>
      </c>
      <c r="B291">
        <v>386100</v>
      </c>
      <c r="C291">
        <v>1</v>
      </c>
    </row>
    <row r="292" spans="1:3">
      <c r="A292" t="s">
        <v>63</v>
      </c>
      <c r="B292">
        <v>386100</v>
      </c>
      <c r="C292">
        <v>1</v>
      </c>
    </row>
    <row r="293" spans="1:3">
      <c r="A293" t="s">
        <v>63</v>
      </c>
      <c r="B293">
        <v>386100</v>
      </c>
      <c r="C293">
        <v>1</v>
      </c>
    </row>
    <row r="294" spans="1:3">
      <c r="A294" t="s">
        <v>63</v>
      </c>
      <c r="B294">
        <v>386100</v>
      </c>
      <c r="C294">
        <v>1</v>
      </c>
    </row>
    <row r="295" spans="1:3">
      <c r="A295" t="s">
        <v>63</v>
      </c>
      <c r="B295">
        <v>386100</v>
      </c>
      <c r="C295">
        <v>1</v>
      </c>
    </row>
    <row r="296" spans="1:3">
      <c r="A296" t="s">
        <v>583</v>
      </c>
      <c r="B296">
        <v>448500</v>
      </c>
      <c r="C296">
        <v>1</v>
      </c>
    </row>
    <row r="297" spans="1:3">
      <c r="A297" t="s">
        <v>585</v>
      </c>
      <c r="B297">
        <v>448500</v>
      </c>
      <c r="C297">
        <v>1</v>
      </c>
    </row>
    <row r="298" spans="1:3">
      <c r="A298" t="s">
        <v>602</v>
      </c>
      <c r="B298">
        <v>386100</v>
      </c>
      <c r="C298">
        <v>1</v>
      </c>
    </row>
    <row r="299" spans="1:3">
      <c r="A299" t="s">
        <v>85</v>
      </c>
      <c r="B299">
        <v>448500</v>
      </c>
      <c r="C299">
        <v>1</v>
      </c>
    </row>
    <row r="300" spans="1:3">
      <c r="A300" t="s">
        <v>582</v>
      </c>
      <c r="B300">
        <v>448500</v>
      </c>
      <c r="C300">
        <v>1</v>
      </c>
    </row>
    <row r="301" spans="1:3">
      <c r="A301" t="s">
        <v>582</v>
      </c>
      <c r="B301">
        <v>448500</v>
      </c>
      <c r="C301">
        <v>1</v>
      </c>
    </row>
    <row r="302" spans="1:3">
      <c r="A302" t="s">
        <v>88</v>
      </c>
      <c r="B302">
        <v>448500</v>
      </c>
      <c r="C302">
        <v>1</v>
      </c>
    </row>
    <row r="303" spans="1:3">
      <c r="A303" t="s">
        <v>603</v>
      </c>
      <c r="B303">
        <v>386100</v>
      </c>
      <c r="C303">
        <v>1</v>
      </c>
    </row>
    <row r="304" spans="1:3">
      <c r="A304" t="s">
        <v>57</v>
      </c>
      <c r="B304">
        <v>386100</v>
      </c>
      <c r="C304">
        <v>1</v>
      </c>
    </row>
    <row r="305" spans="1:3">
      <c r="A305" t="s">
        <v>57</v>
      </c>
      <c r="B305">
        <v>386100</v>
      </c>
      <c r="C305">
        <v>1</v>
      </c>
    </row>
    <row r="306" spans="1:3">
      <c r="A306" t="s">
        <v>57</v>
      </c>
      <c r="B306">
        <v>386100</v>
      </c>
      <c r="C306">
        <v>1</v>
      </c>
    </row>
    <row r="307" spans="1:3">
      <c r="A307" t="s">
        <v>57</v>
      </c>
      <c r="B307">
        <v>386100</v>
      </c>
      <c r="C307">
        <v>1</v>
      </c>
    </row>
    <row r="308" spans="1:3">
      <c r="A308" t="s">
        <v>57</v>
      </c>
      <c r="B308">
        <v>386100</v>
      </c>
      <c r="C308">
        <v>1</v>
      </c>
    </row>
    <row r="309" spans="1:3">
      <c r="A309" t="s">
        <v>57</v>
      </c>
      <c r="B309">
        <v>386100</v>
      </c>
      <c r="C309">
        <v>1</v>
      </c>
    </row>
    <row r="310" spans="1:3">
      <c r="A310" t="s">
        <v>596</v>
      </c>
      <c r="B310">
        <v>448500</v>
      </c>
      <c r="C310">
        <v>1</v>
      </c>
    </row>
    <row r="311" spans="1:3">
      <c r="A311" t="s">
        <v>78</v>
      </c>
      <c r="B311">
        <v>386100</v>
      </c>
      <c r="C311">
        <v>1</v>
      </c>
    </row>
    <row r="312" spans="1:3">
      <c r="A312" t="s">
        <v>78</v>
      </c>
      <c r="B312">
        <v>386100</v>
      </c>
      <c r="C312">
        <v>1</v>
      </c>
    </row>
    <row r="313" spans="1:3">
      <c r="A313" t="s">
        <v>78</v>
      </c>
      <c r="B313">
        <v>386100</v>
      </c>
      <c r="C313">
        <v>1</v>
      </c>
    </row>
    <row r="314" spans="1:3">
      <c r="A314" t="s">
        <v>78</v>
      </c>
      <c r="B314">
        <v>386100</v>
      </c>
      <c r="C314">
        <v>1</v>
      </c>
    </row>
    <row r="315" spans="1:3">
      <c r="A315" t="s">
        <v>595</v>
      </c>
      <c r="B315">
        <v>448500</v>
      </c>
      <c r="C315">
        <v>1</v>
      </c>
    </row>
    <row r="316" spans="1:3">
      <c r="A316" t="s">
        <v>109</v>
      </c>
      <c r="B316">
        <v>448500</v>
      </c>
      <c r="C316">
        <v>1</v>
      </c>
    </row>
    <row r="317" spans="1:3">
      <c r="A317" t="s">
        <v>109</v>
      </c>
      <c r="B317">
        <v>448500</v>
      </c>
      <c r="C317">
        <v>1</v>
      </c>
    </row>
    <row r="318" spans="1:3">
      <c r="A318" t="s">
        <v>56</v>
      </c>
      <c r="B318">
        <v>386100</v>
      </c>
      <c r="C318">
        <v>1</v>
      </c>
    </row>
    <row r="319" spans="1:3">
      <c r="A319" t="s">
        <v>56</v>
      </c>
      <c r="B319">
        <v>386100</v>
      </c>
      <c r="C319">
        <v>1</v>
      </c>
    </row>
    <row r="320" spans="1:3">
      <c r="A320" t="s">
        <v>56</v>
      </c>
      <c r="B320">
        <v>386100</v>
      </c>
      <c r="C320">
        <v>1</v>
      </c>
    </row>
    <row r="321" spans="1:3">
      <c r="A321" t="s">
        <v>56</v>
      </c>
      <c r="B321">
        <v>386100</v>
      </c>
      <c r="C321">
        <v>1</v>
      </c>
    </row>
    <row r="322" spans="1:3">
      <c r="A322" t="s">
        <v>604</v>
      </c>
      <c r="B322">
        <v>448500</v>
      </c>
      <c r="C322">
        <v>1</v>
      </c>
    </row>
    <row r="323" spans="1:3">
      <c r="A323" t="s">
        <v>605</v>
      </c>
      <c r="B323">
        <v>386100</v>
      </c>
      <c r="C323">
        <v>1</v>
      </c>
    </row>
    <row r="324" spans="1:3">
      <c r="A324" t="s">
        <v>106</v>
      </c>
      <c r="B324">
        <v>386100</v>
      </c>
      <c r="C324">
        <v>1</v>
      </c>
    </row>
    <row r="325" spans="1:3">
      <c r="A325" t="s">
        <v>57</v>
      </c>
      <c r="B325">
        <v>386100</v>
      </c>
      <c r="C325">
        <v>1</v>
      </c>
    </row>
    <row r="326" spans="1:3">
      <c r="A326" t="s">
        <v>57</v>
      </c>
      <c r="B326">
        <v>386100</v>
      </c>
      <c r="C326">
        <v>1</v>
      </c>
    </row>
    <row r="327" spans="1:3">
      <c r="A327" t="s">
        <v>61</v>
      </c>
      <c r="B327">
        <v>386100</v>
      </c>
      <c r="C327">
        <v>1</v>
      </c>
    </row>
    <row r="328" spans="1:3">
      <c r="A328" t="s">
        <v>605</v>
      </c>
      <c r="B328">
        <v>386100</v>
      </c>
      <c r="C328">
        <v>1</v>
      </c>
    </row>
    <row r="329" spans="1:3">
      <c r="A329" t="s">
        <v>78</v>
      </c>
      <c r="B329">
        <v>386100</v>
      </c>
      <c r="C329">
        <v>1</v>
      </c>
    </row>
    <row r="330" spans="1:3">
      <c r="A330" t="s">
        <v>106</v>
      </c>
      <c r="B330">
        <v>386100</v>
      </c>
      <c r="C330">
        <v>1</v>
      </c>
    </row>
    <row r="331" spans="1:3">
      <c r="A331" t="s">
        <v>591</v>
      </c>
      <c r="B331">
        <v>386100</v>
      </c>
      <c r="C331">
        <v>1</v>
      </c>
    </row>
    <row r="332" spans="1:3">
      <c r="A332" t="s">
        <v>105</v>
      </c>
      <c r="B332">
        <v>386100</v>
      </c>
      <c r="C332">
        <v>1</v>
      </c>
    </row>
    <row r="333" spans="1:3">
      <c r="A333" t="s">
        <v>105</v>
      </c>
      <c r="B333">
        <v>386100</v>
      </c>
      <c r="C333">
        <v>1</v>
      </c>
    </row>
    <row r="334" spans="1:3">
      <c r="A334" t="s">
        <v>591</v>
      </c>
      <c r="B334">
        <v>386100</v>
      </c>
      <c r="C334">
        <v>1</v>
      </c>
    </row>
    <row r="335" spans="1:3">
      <c r="A335" t="s">
        <v>57</v>
      </c>
      <c r="B335">
        <v>386100</v>
      </c>
      <c r="C335">
        <v>1</v>
      </c>
    </row>
    <row r="336" spans="1:3">
      <c r="A336" t="s">
        <v>61</v>
      </c>
      <c r="B336">
        <v>386100</v>
      </c>
      <c r="C336">
        <v>1</v>
      </c>
    </row>
    <row r="337" spans="1:3">
      <c r="A337" t="s">
        <v>105</v>
      </c>
      <c r="B337">
        <v>386100</v>
      </c>
      <c r="C337">
        <v>1</v>
      </c>
    </row>
    <row r="338" spans="1:3">
      <c r="A338" t="s">
        <v>105</v>
      </c>
      <c r="B338">
        <v>386100</v>
      </c>
      <c r="C338">
        <v>1</v>
      </c>
    </row>
    <row r="339" spans="1:3">
      <c r="A339" t="s">
        <v>61</v>
      </c>
      <c r="B339">
        <v>386100</v>
      </c>
      <c r="C339">
        <v>1</v>
      </c>
    </row>
    <row r="340" spans="1:3">
      <c r="A340" t="s">
        <v>57</v>
      </c>
      <c r="B340">
        <v>386100</v>
      </c>
      <c r="C340">
        <v>1</v>
      </c>
    </row>
    <row r="341" spans="1:3">
      <c r="A341" t="s">
        <v>78</v>
      </c>
      <c r="B341">
        <v>386100</v>
      </c>
      <c r="C341">
        <v>1</v>
      </c>
    </row>
    <row r="342" spans="1:3">
      <c r="A342" t="s">
        <v>606</v>
      </c>
      <c r="B342">
        <v>386100</v>
      </c>
      <c r="C342">
        <v>1</v>
      </c>
    </row>
    <row r="343" spans="1:3">
      <c r="A343" t="s">
        <v>591</v>
      </c>
      <c r="B343">
        <v>386100</v>
      </c>
      <c r="C343">
        <v>1</v>
      </c>
    </row>
    <row r="344" spans="1:3">
      <c r="A344" t="s">
        <v>59</v>
      </c>
      <c r="B344">
        <v>386100</v>
      </c>
      <c r="C344">
        <v>1</v>
      </c>
    </row>
    <row r="345" spans="1:3">
      <c r="A345" t="s">
        <v>59</v>
      </c>
      <c r="B345">
        <v>386100</v>
      </c>
      <c r="C345">
        <v>1</v>
      </c>
    </row>
    <row r="346" spans="1:3">
      <c r="A346" t="s">
        <v>605</v>
      </c>
      <c r="B346">
        <v>386100</v>
      </c>
      <c r="C346">
        <v>1</v>
      </c>
    </row>
    <row r="347" spans="1:3">
      <c r="A347" t="s">
        <v>90</v>
      </c>
      <c r="B347">
        <v>448500</v>
      </c>
      <c r="C347">
        <v>1</v>
      </c>
    </row>
    <row r="348" spans="1:3">
      <c r="A348" t="s">
        <v>89</v>
      </c>
      <c r="B348">
        <v>448500</v>
      </c>
      <c r="C348">
        <v>1</v>
      </c>
    </row>
    <row r="349" spans="1:3">
      <c r="A349" t="s">
        <v>591</v>
      </c>
      <c r="B349">
        <v>386100</v>
      </c>
      <c r="C349">
        <v>1</v>
      </c>
    </row>
    <row r="350" spans="1:3">
      <c r="A350" t="s">
        <v>605</v>
      </c>
      <c r="B350">
        <v>386100</v>
      </c>
      <c r="C350">
        <v>1</v>
      </c>
    </row>
    <row r="351" spans="1:3">
      <c r="A351" t="s">
        <v>80</v>
      </c>
      <c r="B351">
        <v>448500</v>
      </c>
      <c r="C351">
        <v>1</v>
      </c>
    </row>
    <row r="352" spans="1:3">
      <c r="A352" t="s">
        <v>78</v>
      </c>
      <c r="B352">
        <v>386100</v>
      </c>
      <c r="C352">
        <v>1</v>
      </c>
    </row>
    <row r="353" spans="1:3">
      <c r="A353" t="s">
        <v>78</v>
      </c>
      <c r="B353">
        <v>386100</v>
      </c>
      <c r="C353">
        <v>1</v>
      </c>
    </row>
    <row r="354" spans="1:3">
      <c r="A354" t="s">
        <v>61</v>
      </c>
      <c r="B354">
        <v>386100</v>
      </c>
      <c r="C354">
        <v>1</v>
      </c>
    </row>
    <row r="355" spans="1:3">
      <c r="A355" t="s">
        <v>78</v>
      </c>
      <c r="B355">
        <v>386100</v>
      </c>
      <c r="C355">
        <v>1</v>
      </c>
    </row>
    <row r="356" spans="1:3">
      <c r="A356" t="s">
        <v>78</v>
      </c>
      <c r="B356">
        <v>386100</v>
      </c>
      <c r="C356">
        <v>1</v>
      </c>
    </row>
    <row r="357" spans="1:3">
      <c r="A357" t="s">
        <v>78</v>
      </c>
      <c r="B357">
        <v>386100</v>
      </c>
      <c r="C357">
        <v>1</v>
      </c>
    </row>
    <row r="358" spans="1:3">
      <c r="A358" t="s">
        <v>61</v>
      </c>
      <c r="B358">
        <v>386100</v>
      </c>
      <c r="C358">
        <v>1</v>
      </c>
    </row>
    <row r="359" spans="1:3">
      <c r="A359" t="s">
        <v>61</v>
      </c>
      <c r="B359">
        <v>386100</v>
      </c>
      <c r="C359">
        <v>1</v>
      </c>
    </row>
    <row r="360" spans="1:3">
      <c r="A360" t="s">
        <v>61</v>
      </c>
      <c r="B360">
        <v>386100</v>
      </c>
      <c r="C360">
        <v>1</v>
      </c>
    </row>
    <row r="361" spans="1:3">
      <c r="A361" t="s">
        <v>61</v>
      </c>
      <c r="B361">
        <v>386100</v>
      </c>
      <c r="C361">
        <v>1</v>
      </c>
    </row>
    <row r="362" spans="1:3">
      <c r="A362" t="s">
        <v>61</v>
      </c>
      <c r="B362">
        <v>386100</v>
      </c>
      <c r="C362">
        <v>1</v>
      </c>
    </row>
    <row r="363" spans="1:3">
      <c r="A363" t="s">
        <v>78</v>
      </c>
      <c r="B363">
        <v>386100</v>
      </c>
      <c r="C363">
        <v>1</v>
      </c>
    </row>
    <row r="364" spans="1:3">
      <c r="A364" t="s">
        <v>78</v>
      </c>
      <c r="B364">
        <v>386100</v>
      </c>
      <c r="C364">
        <v>1</v>
      </c>
    </row>
    <row r="365" spans="1:3">
      <c r="A365" t="s">
        <v>61</v>
      </c>
      <c r="B365">
        <v>386100</v>
      </c>
      <c r="C365">
        <v>1</v>
      </c>
    </row>
    <row r="366" spans="1:3">
      <c r="A366" t="s">
        <v>61</v>
      </c>
      <c r="B366">
        <v>386100</v>
      </c>
      <c r="C366">
        <v>1</v>
      </c>
    </row>
    <row r="367" spans="1:3">
      <c r="A367" t="s">
        <v>61</v>
      </c>
      <c r="B367">
        <v>386100</v>
      </c>
      <c r="C367">
        <v>1</v>
      </c>
    </row>
    <row r="368" spans="1:3">
      <c r="A368" t="s">
        <v>61</v>
      </c>
      <c r="B368">
        <v>386100</v>
      </c>
      <c r="C368">
        <v>1</v>
      </c>
    </row>
    <row r="369" spans="1:3">
      <c r="A369" t="s">
        <v>78</v>
      </c>
      <c r="B369">
        <v>386100</v>
      </c>
      <c r="C369">
        <v>1</v>
      </c>
    </row>
    <row r="370" spans="1:3">
      <c r="A370" t="s">
        <v>78</v>
      </c>
      <c r="B370">
        <v>386100</v>
      </c>
      <c r="C370">
        <v>1</v>
      </c>
    </row>
    <row r="371" spans="1:3">
      <c r="A371" t="s">
        <v>78</v>
      </c>
      <c r="B371">
        <v>386100</v>
      </c>
      <c r="C371">
        <v>1</v>
      </c>
    </row>
    <row r="372" spans="1:3">
      <c r="A372" t="s">
        <v>61</v>
      </c>
      <c r="B372">
        <v>386100</v>
      </c>
      <c r="C372">
        <v>1</v>
      </c>
    </row>
    <row r="373" spans="1:3">
      <c r="A373" t="s">
        <v>61</v>
      </c>
      <c r="B373">
        <v>386100</v>
      </c>
      <c r="C373">
        <v>1</v>
      </c>
    </row>
    <row r="374" spans="1:3">
      <c r="A374" t="s">
        <v>62</v>
      </c>
      <c r="B374">
        <v>448500</v>
      </c>
      <c r="C374">
        <v>1</v>
      </c>
    </row>
    <row r="375" spans="1:3">
      <c r="A375" t="s">
        <v>62</v>
      </c>
      <c r="B375">
        <v>448500</v>
      </c>
      <c r="C375">
        <v>1</v>
      </c>
    </row>
    <row r="376" spans="1:3">
      <c r="A376" t="s">
        <v>89</v>
      </c>
      <c r="B376">
        <v>448500</v>
      </c>
      <c r="C376">
        <v>1</v>
      </c>
    </row>
    <row r="377" spans="1:3">
      <c r="A377" t="s">
        <v>89</v>
      </c>
      <c r="B377">
        <v>448500</v>
      </c>
      <c r="C377">
        <v>1</v>
      </c>
    </row>
    <row r="378" spans="1:3">
      <c r="A378" t="s">
        <v>62</v>
      </c>
      <c r="B378">
        <v>448500</v>
      </c>
      <c r="C378">
        <v>1</v>
      </c>
    </row>
    <row r="379" spans="1:3">
      <c r="A379" t="s">
        <v>62</v>
      </c>
      <c r="B379">
        <v>448500</v>
      </c>
      <c r="C379">
        <v>1</v>
      </c>
    </row>
    <row r="380" spans="1:3">
      <c r="A380" t="s">
        <v>62</v>
      </c>
      <c r="B380">
        <v>448500</v>
      </c>
      <c r="C380">
        <v>1</v>
      </c>
    </row>
    <row r="381" spans="1:3">
      <c r="A381" t="s">
        <v>89</v>
      </c>
      <c r="B381">
        <v>448500</v>
      </c>
      <c r="C381">
        <v>1</v>
      </c>
    </row>
    <row r="382" spans="1:3">
      <c r="A382" t="s">
        <v>78</v>
      </c>
      <c r="B382">
        <v>386100</v>
      </c>
      <c r="C382">
        <v>1</v>
      </c>
    </row>
    <row r="383" spans="1:3">
      <c r="A383" t="s">
        <v>61</v>
      </c>
      <c r="B383">
        <v>386100</v>
      </c>
      <c r="C383">
        <v>1</v>
      </c>
    </row>
    <row r="384" spans="1:3">
      <c r="A384" t="s">
        <v>61</v>
      </c>
      <c r="B384">
        <v>386100</v>
      </c>
      <c r="C384">
        <v>1</v>
      </c>
    </row>
    <row r="385" spans="1:3">
      <c r="A385" t="s">
        <v>61</v>
      </c>
      <c r="B385">
        <v>386100</v>
      </c>
      <c r="C385">
        <v>1</v>
      </c>
    </row>
    <row r="386" spans="1:3">
      <c r="A386" t="s">
        <v>78</v>
      </c>
      <c r="B386">
        <v>386100</v>
      </c>
      <c r="C386">
        <v>1</v>
      </c>
    </row>
    <row r="387" spans="1:3">
      <c r="A387" t="s">
        <v>61</v>
      </c>
      <c r="B387">
        <v>386100</v>
      </c>
      <c r="C387">
        <v>1</v>
      </c>
    </row>
    <row r="388" spans="1:3">
      <c r="A388" t="s">
        <v>61</v>
      </c>
      <c r="B388">
        <v>386100</v>
      </c>
      <c r="C388">
        <v>1</v>
      </c>
    </row>
    <row r="389" spans="1:3">
      <c r="A389" t="s">
        <v>78</v>
      </c>
      <c r="B389">
        <v>386100</v>
      </c>
      <c r="C389">
        <v>1</v>
      </c>
    </row>
    <row r="390" spans="1:3">
      <c r="A390" t="s">
        <v>89</v>
      </c>
      <c r="B390">
        <v>448500</v>
      </c>
      <c r="C390">
        <v>1</v>
      </c>
    </row>
    <row r="391" spans="1:3">
      <c r="A391" t="s">
        <v>89</v>
      </c>
      <c r="B391">
        <v>448500</v>
      </c>
      <c r="C391">
        <v>1</v>
      </c>
    </row>
    <row r="392" spans="1:3">
      <c r="A392" t="s">
        <v>89</v>
      </c>
      <c r="B392">
        <v>448500</v>
      </c>
      <c r="C392">
        <v>1</v>
      </c>
    </row>
    <row r="393" spans="1:3">
      <c r="A393" t="s">
        <v>89</v>
      </c>
      <c r="B393">
        <v>448500</v>
      </c>
      <c r="C393">
        <v>1</v>
      </c>
    </row>
    <row r="394" spans="1:3">
      <c r="A394" t="s">
        <v>89</v>
      </c>
      <c r="B394">
        <v>448500</v>
      </c>
      <c r="C394">
        <v>1</v>
      </c>
    </row>
    <row r="395" spans="1:3">
      <c r="A395" t="s">
        <v>62</v>
      </c>
      <c r="B395">
        <v>448500</v>
      </c>
      <c r="C395">
        <v>1</v>
      </c>
    </row>
    <row r="396" spans="1:3">
      <c r="A396" t="s">
        <v>61</v>
      </c>
      <c r="B396">
        <v>386100</v>
      </c>
      <c r="C396">
        <v>1</v>
      </c>
    </row>
    <row r="397" spans="1:3">
      <c r="A397" t="s">
        <v>78</v>
      </c>
      <c r="B397">
        <v>386100</v>
      </c>
      <c r="C397">
        <v>1</v>
      </c>
    </row>
    <row r="398" spans="1:3">
      <c r="A398" t="s">
        <v>78</v>
      </c>
      <c r="B398">
        <v>386100</v>
      </c>
      <c r="C398">
        <v>1</v>
      </c>
    </row>
    <row r="399" spans="1:3">
      <c r="A399" t="s">
        <v>61</v>
      </c>
      <c r="B399">
        <v>386100</v>
      </c>
      <c r="C399">
        <v>1</v>
      </c>
    </row>
    <row r="400" spans="1:3">
      <c r="A400" t="s">
        <v>61</v>
      </c>
      <c r="B400">
        <v>386100</v>
      </c>
      <c r="C400">
        <v>1</v>
      </c>
    </row>
    <row r="401" spans="1:3">
      <c r="A401" t="s">
        <v>61</v>
      </c>
      <c r="B401">
        <v>386100</v>
      </c>
      <c r="C401">
        <v>1</v>
      </c>
    </row>
    <row r="402" spans="1:3">
      <c r="A402" t="s">
        <v>78</v>
      </c>
      <c r="B402">
        <v>386100</v>
      </c>
      <c r="C402">
        <v>1</v>
      </c>
    </row>
    <row r="403" spans="1:3">
      <c r="A403" t="s">
        <v>78</v>
      </c>
      <c r="B403">
        <v>386100</v>
      </c>
      <c r="C403">
        <v>1</v>
      </c>
    </row>
    <row r="404" spans="1:3">
      <c r="A404" t="s">
        <v>78</v>
      </c>
      <c r="B404">
        <v>386100</v>
      </c>
      <c r="C404">
        <v>1</v>
      </c>
    </row>
    <row r="405" spans="1:3">
      <c r="A405" t="s">
        <v>78</v>
      </c>
      <c r="B405">
        <v>386100</v>
      </c>
      <c r="C405">
        <v>1</v>
      </c>
    </row>
    <row r="406" spans="1:3">
      <c r="A406" t="s">
        <v>78</v>
      </c>
      <c r="B406">
        <v>386100</v>
      </c>
      <c r="C406">
        <v>1</v>
      </c>
    </row>
    <row r="407" spans="1:3">
      <c r="A407" t="s">
        <v>78</v>
      </c>
      <c r="B407">
        <v>386100</v>
      </c>
      <c r="C407">
        <v>1</v>
      </c>
    </row>
    <row r="408" spans="1:3">
      <c r="A408" t="s">
        <v>61</v>
      </c>
      <c r="B408">
        <v>386100</v>
      </c>
      <c r="C408">
        <v>1</v>
      </c>
    </row>
    <row r="409" spans="1:3">
      <c r="A409" t="s">
        <v>78</v>
      </c>
      <c r="B409">
        <v>386100</v>
      </c>
      <c r="C409">
        <v>1</v>
      </c>
    </row>
    <row r="410" spans="1:3">
      <c r="A410" t="s">
        <v>78</v>
      </c>
      <c r="B410">
        <v>386100</v>
      </c>
      <c r="C410">
        <v>1</v>
      </c>
    </row>
    <row r="411" spans="1:3">
      <c r="A411" t="s">
        <v>78</v>
      </c>
      <c r="B411">
        <v>386100</v>
      </c>
      <c r="C411">
        <v>1</v>
      </c>
    </row>
    <row r="412" spans="1:3">
      <c r="A412" t="s">
        <v>61</v>
      </c>
      <c r="B412">
        <v>386100</v>
      </c>
      <c r="C412">
        <v>1</v>
      </c>
    </row>
    <row r="413" spans="1:3">
      <c r="A413" t="s">
        <v>61</v>
      </c>
      <c r="B413">
        <v>386100</v>
      </c>
      <c r="C413">
        <v>1</v>
      </c>
    </row>
    <row r="414" spans="1:3">
      <c r="A414" t="s">
        <v>62</v>
      </c>
      <c r="B414">
        <v>448500</v>
      </c>
      <c r="C414">
        <v>1</v>
      </c>
    </row>
    <row r="415" spans="1:3">
      <c r="A415" t="s">
        <v>62</v>
      </c>
      <c r="B415">
        <v>448500</v>
      </c>
      <c r="C41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"/>
  <sheetViews>
    <sheetView topLeftCell="A13" workbookViewId="0">
      <selection activeCell="A32" sqref="A32:XFD32"/>
    </sheetView>
  </sheetViews>
  <sheetFormatPr defaultRowHeight="14.4"/>
  <cols>
    <col min="2" max="2" width="47.33203125" customWidth="1"/>
    <col min="3" max="6" width="12.33203125" customWidth="1"/>
  </cols>
  <sheetData>
    <row r="1" spans="1:6">
      <c r="A1" s="20"/>
      <c r="B1" s="80" t="s">
        <v>16</v>
      </c>
      <c r="C1" s="83" t="s">
        <v>17</v>
      </c>
      <c r="D1" s="84"/>
      <c r="E1" s="83" t="s">
        <v>18</v>
      </c>
      <c r="F1" s="84"/>
    </row>
    <row r="2" spans="1:6" ht="15" thickBot="1">
      <c r="A2" s="21" t="s">
        <v>19</v>
      </c>
      <c r="B2" s="81"/>
      <c r="C2" s="85"/>
      <c r="D2" s="86"/>
      <c r="E2" s="85"/>
      <c r="F2" s="86"/>
    </row>
    <row r="3" spans="1:6" ht="15" thickBot="1">
      <c r="A3" s="23"/>
      <c r="B3" s="82"/>
      <c r="C3" s="22" t="s">
        <v>20</v>
      </c>
      <c r="D3" s="22" t="s">
        <v>21</v>
      </c>
      <c r="E3" s="22" t="s">
        <v>20</v>
      </c>
      <c r="F3" s="22" t="s">
        <v>21</v>
      </c>
    </row>
    <row r="4" spans="1:6" ht="15" thickBot="1">
      <c r="A4" s="24">
        <v>1</v>
      </c>
      <c r="B4" s="25" t="s">
        <v>22</v>
      </c>
      <c r="C4" s="26">
        <v>308000</v>
      </c>
      <c r="D4" s="26">
        <v>356000</v>
      </c>
      <c r="E4" s="26">
        <v>194000</v>
      </c>
      <c r="F4" s="26">
        <v>318000</v>
      </c>
    </row>
    <row r="5" spans="1:6" ht="15" thickBot="1">
      <c r="A5" s="24">
        <v>2</v>
      </c>
      <c r="B5" s="25" t="s">
        <v>23</v>
      </c>
      <c r="C5" s="26">
        <v>297000</v>
      </c>
      <c r="D5" s="26">
        <v>345000</v>
      </c>
      <c r="E5" s="26">
        <v>186000</v>
      </c>
      <c r="F5" s="26">
        <v>308000</v>
      </c>
    </row>
    <row r="6" spans="1:6" ht="15" thickBot="1">
      <c r="A6" s="24">
        <v>3</v>
      </c>
      <c r="B6" s="25" t="s">
        <v>24</v>
      </c>
      <c r="C6" s="26">
        <v>273000</v>
      </c>
      <c r="D6" s="26">
        <v>344000</v>
      </c>
      <c r="E6" s="26">
        <v>166000</v>
      </c>
      <c r="F6" s="26">
        <v>293000</v>
      </c>
    </row>
    <row r="7" spans="1:6" ht="15" thickBot="1">
      <c r="A7" s="24">
        <v>4</v>
      </c>
      <c r="B7" s="25" t="s">
        <v>25</v>
      </c>
      <c r="C7" s="26">
        <v>273000</v>
      </c>
      <c r="D7" s="26">
        <v>344000</v>
      </c>
      <c r="E7" s="26">
        <v>166000</v>
      </c>
      <c r="F7" s="26">
        <v>293000</v>
      </c>
    </row>
    <row r="8" spans="1:6" ht="15" thickBot="1">
      <c r="A8" s="24">
        <v>5</v>
      </c>
      <c r="B8" s="25" t="s">
        <v>26</v>
      </c>
      <c r="C8" s="26">
        <v>273000</v>
      </c>
      <c r="D8" s="26">
        <v>344000</v>
      </c>
      <c r="E8" s="26">
        <v>166000</v>
      </c>
      <c r="F8" s="26">
        <v>293000</v>
      </c>
    </row>
    <row r="9" spans="1:6" ht="15" thickBot="1">
      <c r="A9" s="24">
        <v>6</v>
      </c>
      <c r="B9" s="25" t="s">
        <v>27</v>
      </c>
      <c r="C9" s="26">
        <v>273000</v>
      </c>
      <c r="D9" s="26">
        <v>344000</v>
      </c>
      <c r="E9" s="26">
        <v>166000</v>
      </c>
      <c r="F9" s="26">
        <v>293000</v>
      </c>
    </row>
    <row r="10" spans="1:6" ht="15" thickBot="1">
      <c r="A10" s="24">
        <v>7</v>
      </c>
      <c r="B10" s="25" t="s">
        <v>28</v>
      </c>
      <c r="C10" s="26">
        <v>308000</v>
      </c>
      <c r="D10" s="26">
        <v>356000</v>
      </c>
      <c r="E10" s="26">
        <v>194000</v>
      </c>
      <c r="F10" s="26">
        <v>318000</v>
      </c>
    </row>
    <row r="11" spans="1:6" ht="15" thickBot="1">
      <c r="A11" s="24">
        <v>8</v>
      </c>
      <c r="B11" s="25" t="s">
        <v>29</v>
      </c>
      <c r="C11" s="26">
        <v>273000</v>
      </c>
      <c r="D11" s="26">
        <v>344000</v>
      </c>
      <c r="E11" s="26">
        <v>166000</v>
      </c>
      <c r="F11" s="26">
        <v>293000</v>
      </c>
    </row>
    <row r="12" spans="1:6" ht="15" thickBot="1">
      <c r="A12" s="24">
        <v>9</v>
      </c>
      <c r="B12" s="25" t="s">
        <v>30</v>
      </c>
      <c r="C12" s="26">
        <v>213000</v>
      </c>
      <c r="D12" s="26">
        <v>273000</v>
      </c>
      <c r="E12" s="26">
        <v>136000</v>
      </c>
      <c r="F12" s="26">
        <v>223000</v>
      </c>
    </row>
    <row r="13" spans="1:6" ht="15" thickBot="1">
      <c r="A13" s="24">
        <v>10</v>
      </c>
      <c r="B13" s="25" t="s">
        <v>31</v>
      </c>
      <c r="C13" s="26">
        <v>424000</v>
      </c>
      <c r="D13" s="26">
        <v>424000</v>
      </c>
      <c r="E13" s="26">
        <v>194000</v>
      </c>
      <c r="F13" s="26">
        <v>388000</v>
      </c>
    </row>
    <row r="14" spans="1:6" ht="15" thickBot="1">
      <c r="A14" s="24">
        <v>11</v>
      </c>
      <c r="B14" s="25" t="s">
        <v>32</v>
      </c>
      <c r="C14" s="26">
        <v>368000</v>
      </c>
      <c r="D14" s="26">
        <v>368000</v>
      </c>
      <c r="E14" s="26">
        <v>330000</v>
      </c>
      <c r="F14" s="26">
        <v>330000</v>
      </c>
    </row>
    <row r="15" spans="1:6" ht="15" thickBot="1">
      <c r="A15" s="24">
        <v>12</v>
      </c>
      <c r="B15" s="25" t="s">
        <v>75</v>
      </c>
      <c r="C15" s="26">
        <v>800000</v>
      </c>
      <c r="D15" s="26">
        <v>800000</v>
      </c>
      <c r="E15" s="26">
        <v>800000</v>
      </c>
      <c r="F15" s="26">
        <v>750000</v>
      </c>
    </row>
    <row r="16" spans="1:6" ht="15" thickBot="1">
      <c r="A16" s="24">
        <v>13</v>
      </c>
      <c r="B16" s="25" t="s">
        <v>76</v>
      </c>
      <c r="C16" s="26"/>
      <c r="D16" s="26"/>
      <c r="E16" s="26"/>
      <c r="F16" s="26">
        <f t="shared" ref="F16" si="0">F15*2</f>
        <v>1500000</v>
      </c>
    </row>
    <row r="17" spans="1:5" s="29" customFormat="1" ht="66">
      <c r="A17" s="27" t="s">
        <v>19</v>
      </c>
      <c r="B17" s="27" t="s">
        <v>33</v>
      </c>
      <c r="C17" s="28" t="s">
        <v>34</v>
      </c>
    </row>
    <row r="18" spans="1:5">
      <c r="A18" s="30">
        <v>1</v>
      </c>
      <c r="B18" s="31" t="s">
        <v>35</v>
      </c>
      <c r="C18" s="32">
        <v>600000</v>
      </c>
    </row>
    <row r="19" spans="1:5">
      <c r="A19" s="87">
        <v>2</v>
      </c>
      <c r="B19" s="31" t="s">
        <v>36</v>
      </c>
      <c r="C19" s="33">
        <v>800000</v>
      </c>
    </row>
    <row r="20" spans="1:5">
      <c r="A20" s="87"/>
      <c r="B20" s="31" t="s">
        <v>37</v>
      </c>
      <c r="C20" s="33"/>
    </row>
    <row r="21" spans="1:5">
      <c r="A21" s="87">
        <v>3</v>
      </c>
      <c r="B21" s="31" t="s">
        <v>23</v>
      </c>
      <c r="C21" s="33">
        <v>1000000</v>
      </c>
    </row>
    <row r="22" spans="1:5">
      <c r="A22" s="87"/>
      <c r="B22" s="31" t="s">
        <v>37</v>
      </c>
      <c r="C22" s="34"/>
    </row>
    <row r="26" spans="1:5">
      <c r="B26" s="67"/>
      <c r="C26" s="67" t="s">
        <v>81</v>
      </c>
      <c r="D26" s="67" t="s">
        <v>82</v>
      </c>
      <c r="E26" s="67"/>
    </row>
    <row r="27" spans="1:5">
      <c r="B27" s="67" t="s">
        <v>465</v>
      </c>
      <c r="C27" s="68">
        <v>297000</v>
      </c>
      <c r="D27" s="68">
        <v>345000</v>
      </c>
      <c r="E27" s="67"/>
    </row>
    <row r="28" spans="1:5">
      <c r="A28" s="29">
        <v>1</v>
      </c>
      <c r="B28" s="65" t="s">
        <v>466</v>
      </c>
      <c r="C28" s="66">
        <v>326700</v>
      </c>
      <c r="D28" s="66">
        <v>379500.00000000006</v>
      </c>
      <c r="E28" s="65" t="s">
        <v>467</v>
      </c>
    </row>
    <row r="29" spans="1:5">
      <c r="A29" s="29">
        <v>2</v>
      </c>
      <c r="B29" s="65" t="s">
        <v>468</v>
      </c>
      <c r="C29" s="66">
        <v>341550</v>
      </c>
      <c r="D29" s="66">
        <v>396749.99999999994</v>
      </c>
      <c r="E29" s="65" t="s">
        <v>469</v>
      </c>
    </row>
    <row r="30" spans="1:5">
      <c r="A30" s="29">
        <v>3</v>
      </c>
      <c r="B30" s="65" t="s">
        <v>470</v>
      </c>
      <c r="C30" s="66">
        <v>356400</v>
      </c>
      <c r="D30" s="66">
        <v>414000</v>
      </c>
      <c r="E30" s="65" t="s">
        <v>471</v>
      </c>
    </row>
    <row r="31" spans="1:5">
      <c r="A31" s="29">
        <v>4</v>
      </c>
      <c r="B31" s="65" t="s">
        <v>472</v>
      </c>
      <c r="C31" s="66">
        <v>371250</v>
      </c>
      <c r="D31" s="66">
        <v>431250</v>
      </c>
      <c r="E31" s="65" t="s">
        <v>473</v>
      </c>
    </row>
    <row r="32" spans="1:5">
      <c r="A32" s="29">
        <v>5</v>
      </c>
      <c r="B32" s="65" t="s">
        <v>474</v>
      </c>
      <c r="C32" s="66">
        <v>386100</v>
      </c>
      <c r="D32" s="66">
        <v>448500</v>
      </c>
      <c r="E32" s="65" t="s">
        <v>475</v>
      </c>
    </row>
    <row r="33" spans="1:5">
      <c r="A33" s="29">
        <v>6</v>
      </c>
      <c r="B33" s="65" t="s">
        <v>476</v>
      </c>
      <c r="C33" s="66">
        <v>400950</v>
      </c>
      <c r="D33" s="66">
        <v>465750.00000000006</v>
      </c>
      <c r="E33" s="65" t="s">
        <v>477</v>
      </c>
    </row>
    <row r="34" spans="1:5">
      <c r="A34" s="29">
        <v>7</v>
      </c>
      <c r="B34" s="65" t="s">
        <v>478</v>
      </c>
      <c r="C34" s="66">
        <v>415800</v>
      </c>
      <c r="D34" s="66">
        <v>482999.99999999994</v>
      </c>
      <c r="E34" s="65" t="s">
        <v>479</v>
      </c>
    </row>
    <row r="35" spans="1:5">
      <c r="A35" s="29">
        <v>8</v>
      </c>
      <c r="B35" s="65" t="s">
        <v>480</v>
      </c>
      <c r="C35" s="66">
        <v>430650</v>
      </c>
      <c r="D35" s="66">
        <v>500250</v>
      </c>
      <c r="E35" s="65" t="s">
        <v>481</v>
      </c>
    </row>
    <row r="36" spans="1:5">
      <c r="A36" s="29">
        <v>9</v>
      </c>
      <c r="B36" s="65" t="s">
        <v>482</v>
      </c>
      <c r="C36" s="66">
        <v>445500</v>
      </c>
      <c r="D36" s="66">
        <v>517500</v>
      </c>
      <c r="E36" s="65" t="s">
        <v>483</v>
      </c>
    </row>
    <row r="37" spans="1:5">
      <c r="A37" s="29">
        <v>10</v>
      </c>
      <c r="B37" s="65" t="s">
        <v>484</v>
      </c>
      <c r="C37" s="66">
        <v>460350</v>
      </c>
      <c r="D37" s="66">
        <v>534750</v>
      </c>
      <c r="E37" s="65" t="s">
        <v>485</v>
      </c>
    </row>
  </sheetData>
  <mergeCells count="5">
    <mergeCell ref="B1:B3"/>
    <mergeCell ref="C1:D2"/>
    <mergeCell ref="E1:F2"/>
    <mergeCell ref="A19:A20"/>
    <mergeCell ref="A21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Bảng kê SS</vt:lpstr>
      <vt:lpstr>Sheet2</vt:lpstr>
      <vt:lpstr>Sheet1</vt:lpstr>
      <vt:lpstr>CUOC</vt:lpstr>
      <vt:lpstr>'Bảng kê SS'!Print_Area</vt:lpstr>
      <vt:lpstr>'Bảng kê SS'!Print_Titles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</dc:creator>
  <cp:lastModifiedBy>Huyen Nguyen Thi</cp:lastModifiedBy>
  <cp:lastPrinted>2026-02-02T04:36:26Z</cp:lastPrinted>
  <dcterms:created xsi:type="dcterms:W3CDTF">2019-12-04T03:07:31Z</dcterms:created>
  <dcterms:modified xsi:type="dcterms:W3CDTF">2026-04-28T11:42:41Z</dcterms:modified>
</cp:coreProperties>
</file>