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G:\My Drive\2026\THÁNG 4\ĐNTT\VẬN CHUYỂN T4.26\"/>
    </mc:Choice>
  </mc:AlternateContent>
  <xr:revisionPtr revIDLastSave="0" documentId="13_ncr:1_{A2E5261E-E843-4FC7-9985-99118C1883AA}" xr6:coauthVersionLast="47" xr6:coauthVersionMax="47" xr10:uidLastSave="{00000000-0000-0000-0000-000000000000}"/>
  <bookViews>
    <workbookView xWindow="-120" yWindow="-120" windowWidth="29040" windowHeight="15840" tabRatio="749" xr2:uid="{00000000-000D-0000-FFFF-FFFF00000000}"/>
  </bookViews>
  <sheets>
    <sheet name="BKTT T4.26" sheetId="6" r:id="rId1"/>
    <sheet name="SL T4.26" sheetId="16" r:id="rId2"/>
    <sheet name="Sheet1" sheetId="20" r:id="rId3"/>
    <sheet name="Sheet4" sheetId="19" r:id="rId4"/>
    <sheet name="HĐơn" sheetId="18" r:id="rId5"/>
    <sheet name="Trucking (HD)" sheetId="15" r:id="rId6"/>
    <sheet name="Sheet2" sheetId="7" state="hidden" r:id="rId7"/>
  </sheets>
  <externalReferences>
    <externalReference r:id="rId8"/>
  </externalReferences>
  <definedNames>
    <definedName name="_xlnm._FilterDatabase" localSheetId="0" hidden="1">'BKTT T4.26'!$A$11:$R$54</definedName>
    <definedName name="_xlnm._FilterDatabase" localSheetId="4" hidden="1">HĐơn!$A$1:$D$1089</definedName>
    <definedName name="_xlnm._FilterDatabase" localSheetId="3" hidden="1">Sheet4!$E$3:$G$168</definedName>
    <definedName name="_xlnm._FilterDatabase" localSheetId="1" hidden="1">'SL T4.26'!$A$11:$X$1221</definedName>
    <definedName name="_xlnm.Print_Area" localSheetId="0">'BKTT T4.26'!$A$1:$L$62</definedName>
    <definedName name="_xlnm.Print_Area" localSheetId="1">'SL T4.26'!$A$1:$P$1145</definedName>
    <definedName name="_xlnm.Print_Titles" localSheetId="0">'BKTT T4.26'!$9:$11</definedName>
    <definedName name="_xlnm.Print_Titles" localSheetId="1">'SL T4.26'!$10:$10</definedName>
  </definedNames>
  <calcPr calcId="191029"/>
  <pivotCaches>
    <pivotCache cacheId="5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9" l="1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L1218" i="16"/>
  <c r="M1218" i="16" a="1"/>
  <c r="M1218" i="16" s="1"/>
  <c r="S1218" i="16"/>
  <c r="R1218" i="16" s="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3" i="20"/>
  <c r="N1218" i="16" l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5" i="16"/>
  <c r="L426" i="16"/>
  <c r="L427" i="16"/>
  <c r="L428" i="16"/>
  <c r="L429" i="16"/>
  <c r="L430" i="16"/>
  <c r="L431" i="16"/>
  <c r="L432" i="16"/>
  <c r="L433" i="16"/>
  <c r="L434" i="16"/>
  <c r="L435" i="16"/>
  <c r="L436" i="16"/>
  <c r="L437" i="16"/>
  <c r="L438" i="16"/>
  <c r="L439" i="16"/>
  <c r="L440" i="16"/>
  <c r="L441" i="16"/>
  <c r="L442" i="16"/>
  <c r="L443" i="16"/>
  <c r="L444" i="16"/>
  <c r="L445" i="16"/>
  <c r="L446" i="16"/>
  <c r="L447" i="16"/>
  <c r="L448" i="16"/>
  <c r="L449" i="16"/>
  <c r="L450" i="16"/>
  <c r="L451" i="16"/>
  <c r="L452" i="16"/>
  <c r="L453" i="16"/>
  <c r="L454" i="16"/>
  <c r="L455" i="16"/>
  <c r="L456" i="16"/>
  <c r="L457" i="16"/>
  <c r="L458" i="16"/>
  <c r="L459" i="16"/>
  <c r="L460" i="16"/>
  <c r="L461" i="16"/>
  <c r="L462" i="16"/>
  <c r="L463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502" i="16"/>
  <c r="L503" i="16"/>
  <c r="L504" i="16"/>
  <c r="L505" i="16"/>
  <c r="L506" i="16"/>
  <c r="L507" i="16"/>
  <c r="L508" i="16"/>
  <c r="L509" i="16"/>
  <c r="L510" i="16"/>
  <c r="L511" i="16"/>
  <c r="L512" i="16"/>
  <c r="L513" i="16"/>
  <c r="L514" i="16"/>
  <c r="L515" i="16"/>
  <c r="L516" i="16"/>
  <c r="L517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5" i="16"/>
  <c r="L536" i="16"/>
  <c r="L537" i="16"/>
  <c r="L538" i="16"/>
  <c r="L539" i="16"/>
  <c r="L540" i="16"/>
  <c r="L541" i="16"/>
  <c r="L542" i="16"/>
  <c r="L543" i="16"/>
  <c r="L544" i="16"/>
  <c r="L545" i="16"/>
  <c r="L546" i="16"/>
  <c r="L547" i="16"/>
  <c r="L548" i="16"/>
  <c r="L549" i="16"/>
  <c r="L550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69" i="16"/>
  <c r="L570" i="16"/>
  <c r="L571" i="16"/>
  <c r="L572" i="16"/>
  <c r="L573" i="16"/>
  <c r="L574" i="16"/>
  <c r="L575" i="16"/>
  <c r="L576" i="16"/>
  <c r="L577" i="16"/>
  <c r="L578" i="16"/>
  <c r="L579" i="16"/>
  <c r="L580" i="16"/>
  <c r="L581" i="16"/>
  <c r="L582" i="16"/>
  <c r="L583" i="16"/>
  <c r="L584" i="16"/>
  <c r="L585" i="16"/>
  <c r="L586" i="16"/>
  <c r="L587" i="16"/>
  <c r="L588" i="16"/>
  <c r="L589" i="16"/>
  <c r="L590" i="16"/>
  <c r="L591" i="16"/>
  <c r="L592" i="16"/>
  <c r="L593" i="16"/>
  <c r="L594" i="16"/>
  <c r="L595" i="16"/>
  <c r="L596" i="16"/>
  <c r="L597" i="16"/>
  <c r="L598" i="16"/>
  <c r="L599" i="16"/>
  <c r="L600" i="16"/>
  <c r="L601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6" i="16"/>
  <c r="L617" i="16"/>
  <c r="L618" i="16"/>
  <c r="L619" i="16"/>
  <c r="L620" i="16"/>
  <c r="L621" i="16"/>
  <c r="L622" i="16"/>
  <c r="L623" i="16"/>
  <c r="L624" i="16"/>
  <c r="L625" i="16"/>
  <c r="L626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46" i="16"/>
  <c r="L647" i="16"/>
  <c r="L648" i="16"/>
  <c r="L649" i="16"/>
  <c r="L650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L664" i="16"/>
  <c r="L665" i="16"/>
  <c r="L666" i="16"/>
  <c r="L667" i="16"/>
  <c r="L668" i="16"/>
  <c r="L669" i="16"/>
  <c r="L670" i="16"/>
  <c r="L671" i="16"/>
  <c r="L672" i="16"/>
  <c r="L673" i="16"/>
  <c r="L674" i="16"/>
  <c r="L675" i="16"/>
  <c r="L676" i="16"/>
  <c r="L677" i="16"/>
  <c r="L678" i="16"/>
  <c r="L679" i="16"/>
  <c r="L680" i="16"/>
  <c r="L681" i="16"/>
  <c r="L682" i="16"/>
  <c r="L683" i="16"/>
  <c r="L684" i="16"/>
  <c r="L685" i="16"/>
  <c r="L686" i="16"/>
  <c r="L687" i="16"/>
  <c r="L688" i="16"/>
  <c r="L689" i="16"/>
  <c r="L690" i="16"/>
  <c r="L691" i="16"/>
  <c r="L692" i="16"/>
  <c r="L693" i="16"/>
  <c r="L694" i="16"/>
  <c r="L695" i="16"/>
  <c r="L696" i="16"/>
  <c r="L697" i="16"/>
  <c r="L698" i="16"/>
  <c r="L699" i="16"/>
  <c r="L700" i="16"/>
  <c r="L701" i="16"/>
  <c r="L702" i="16"/>
  <c r="L703" i="16"/>
  <c r="L704" i="16"/>
  <c r="L705" i="16"/>
  <c r="L706" i="16"/>
  <c r="L707" i="16"/>
  <c r="L708" i="16"/>
  <c r="L709" i="16"/>
  <c r="L710" i="16"/>
  <c r="L711" i="16"/>
  <c r="L712" i="16"/>
  <c r="L713" i="16"/>
  <c r="L714" i="16"/>
  <c r="L715" i="16"/>
  <c r="L716" i="16"/>
  <c r="L717" i="16"/>
  <c r="L718" i="16"/>
  <c r="L719" i="16"/>
  <c r="L720" i="16"/>
  <c r="L721" i="16"/>
  <c r="L722" i="16"/>
  <c r="L723" i="16"/>
  <c r="L724" i="16"/>
  <c r="L725" i="16"/>
  <c r="L726" i="16"/>
  <c r="L727" i="16"/>
  <c r="L728" i="16"/>
  <c r="L729" i="16"/>
  <c r="L730" i="16"/>
  <c r="L731" i="16"/>
  <c r="L732" i="16"/>
  <c r="L733" i="16"/>
  <c r="L734" i="16"/>
  <c r="L735" i="16"/>
  <c r="L736" i="16"/>
  <c r="L737" i="16"/>
  <c r="L738" i="16"/>
  <c r="L739" i="16"/>
  <c r="L740" i="16"/>
  <c r="L741" i="16"/>
  <c r="L742" i="16"/>
  <c r="L743" i="16"/>
  <c r="L744" i="16"/>
  <c r="L745" i="16"/>
  <c r="L746" i="16"/>
  <c r="L747" i="16"/>
  <c r="L748" i="16"/>
  <c r="L749" i="16"/>
  <c r="L750" i="16"/>
  <c r="L751" i="16"/>
  <c r="L752" i="16"/>
  <c r="L753" i="16"/>
  <c r="L754" i="16"/>
  <c r="L755" i="16"/>
  <c r="L756" i="16"/>
  <c r="L757" i="16"/>
  <c r="L758" i="16"/>
  <c r="L759" i="16"/>
  <c r="L760" i="16"/>
  <c r="L761" i="16"/>
  <c r="L762" i="16"/>
  <c r="L763" i="16"/>
  <c r="L764" i="16"/>
  <c r="L765" i="16"/>
  <c r="L766" i="16"/>
  <c r="L767" i="16"/>
  <c r="L768" i="16"/>
  <c r="L769" i="16"/>
  <c r="L770" i="16"/>
  <c r="L771" i="16"/>
  <c r="L772" i="16"/>
  <c r="L773" i="16"/>
  <c r="L774" i="16"/>
  <c r="L775" i="16"/>
  <c r="L776" i="16"/>
  <c r="L777" i="16"/>
  <c r="L778" i="16"/>
  <c r="L779" i="16"/>
  <c r="L780" i="16"/>
  <c r="L781" i="16"/>
  <c r="L782" i="16"/>
  <c r="L783" i="16"/>
  <c r="L784" i="16"/>
  <c r="L785" i="16"/>
  <c r="L786" i="16"/>
  <c r="L787" i="16"/>
  <c r="L788" i="16"/>
  <c r="L789" i="16"/>
  <c r="L790" i="16"/>
  <c r="L791" i="16"/>
  <c r="L792" i="16"/>
  <c r="L793" i="16"/>
  <c r="L794" i="16"/>
  <c r="L795" i="16"/>
  <c r="L796" i="16"/>
  <c r="L797" i="16"/>
  <c r="L798" i="16"/>
  <c r="L799" i="16"/>
  <c r="L800" i="16"/>
  <c r="L801" i="16"/>
  <c r="L802" i="16"/>
  <c r="L803" i="16"/>
  <c r="L804" i="16"/>
  <c r="L805" i="16"/>
  <c r="L806" i="16"/>
  <c r="L807" i="16"/>
  <c r="L808" i="16"/>
  <c r="L809" i="16"/>
  <c r="L810" i="16"/>
  <c r="L811" i="16"/>
  <c r="L812" i="16"/>
  <c r="L813" i="16"/>
  <c r="L814" i="16"/>
  <c r="L815" i="16"/>
  <c r="L816" i="16"/>
  <c r="L817" i="16"/>
  <c r="L818" i="16"/>
  <c r="L819" i="16"/>
  <c r="L820" i="16"/>
  <c r="L821" i="16"/>
  <c r="L822" i="16"/>
  <c r="L823" i="16"/>
  <c r="L824" i="16"/>
  <c r="L825" i="16"/>
  <c r="L826" i="16"/>
  <c r="L827" i="16"/>
  <c r="L828" i="16"/>
  <c r="L829" i="16"/>
  <c r="L830" i="16"/>
  <c r="L831" i="16"/>
  <c r="L832" i="16"/>
  <c r="L833" i="16"/>
  <c r="L834" i="16"/>
  <c r="L835" i="16"/>
  <c r="L836" i="16"/>
  <c r="L837" i="16"/>
  <c r="L838" i="16"/>
  <c r="L839" i="16"/>
  <c r="L840" i="16"/>
  <c r="L841" i="16"/>
  <c r="L842" i="16"/>
  <c r="L843" i="16"/>
  <c r="L844" i="16"/>
  <c r="L845" i="16"/>
  <c r="L846" i="16"/>
  <c r="L847" i="16"/>
  <c r="L848" i="16"/>
  <c r="L849" i="16"/>
  <c r="L850" i="16"/>
  <c r="L851" i="16"/>
  <c r="L852" i="16"/>
  <c r="L853" i="16"/>
  <c r="L854" i="16"/>
  <c r="L855" i="16"/>
  <c r="L856" i="16"/>
  <c r="L857" i="16"/>
  <c r="L858" i="16"/>
  <c r="L859" i="16"/>
  <c r="L860" i="16"/>
  <c r="L861" i="16"/>
  <c r="L862" i="16"/>
  <c r="L863" i="16"/>
  <c r="L864" i="16"/>
  <c r="L865" i="16"/>
  <c r="L866" i="16"/>
  <c r="L867" i="16"/>
  <c r="L868" i="16"/>
  <c r="L869" i="16"/>
  <c r="L870" i="16"/>
  <c r="L871" i="16"/>
  <c r="L872" i="16"/>
  <c r="L873" i="16"/>
  <c r="L874" i="16"/>
  <c r="L875" i="16"/>
  <c r="L876" i="16"/>
  <c r="L877" i="16"/>
  <c r="L878" i="16"/>
  <c r="L879" i="16"/>
  <c r="L880" i="16"/>
  <c r="L881" i="16"/>
  <c r="L882" i="16"/>
  <c r="L883" i="16"/>
  <c r="L884" i="16"/>
  <c r="L885" i="16"/>
  <c r="L886" i="16"/>
  <c r="L887" i="16"/>
  <c r="L888" i="16"/>
  <c r="L889" i="16"/>
  <c r="L890" i="16"/>
  <c r="L891" i="16"/>
  <c r="L892" i="16"/>
  <c r="L893" i="16"/>
  <c r="L894" i="16"/>
  <c r="L895" i="16"/>
  <c r="L896" i="16"/>
  <c r="L897" i="16"/>
  <c r="L898" i="16"/>
  <c r="L899" i="16"/>
  <c r="L900" i="16"/>
  <c r="L901" i="16"/>
  <c r="L902" i="16"/>
  <c r="L903" i="16"/>
  <c r="L904" i="16"/>
  <c r="L905" i="16"/>
  <c r="L906" i="16"/>
  <c r="L907" i="16"/>
  <c r="L908" i="16"/>
  <c r="L909" i="16"/>
  <c r="L910" i="16"/>
  <c r="L911" i="16"/>
  <c r="L912" i="16"/>
  <c r="L913" i="16"/>
  <c r="L914" i="16"/>
  <c r="L915" i="16"/>
  <c r="L916" i="16"/>
  <c r="L917" i="16"/>
  <c r="L918" i="16"/>
  <c r="L919" i="16"/>
  <c r="L920" i="16"/>
  <c r="L921" i="16"/>
  <c r="L922" i="16"/>
  <c r="L923" i="16"/>
  <c r="L924" i="16"/>
  <c r="L925" i="16"/>
  <c r="L926" i="16"/>
  <c r="L927" i="16"/>
  <c r="L928" i="16"/>
  <c r="L929" i="16"/>
  <c r="L930" i="16"/>
  <c r="L931" i="16"/>
  <c r="L932" i="16"/>
  <c r="L933" i="16"/>
  <c r="L934" i="16"/>
  <c r="L935" i="16"/>
  <c r="L936" i="16"/>
  <c r="L937" i="16"/>
  <c r="L938" i="16"/>
  <c r="L939" i="16"/>
  <c r="L940" i="16"/>
  <c r="L941" i="16"/>
  <c r="L942" i="16"/>
  <c r="L943" i="16"/>
  <c r="L944" i="16"/>
  <c r="L945" i="16"/>
  <c r="L946" i="16"/>
  <c r="L947" i="16"/>
  <c r="L948" i="16"/>
  <c r="L949" i="16"/>
  <c r="L950" i="16"/>
  <c r="L951" i="16"/>
  <c r="L952" i="16"/>
  <c r="L953" i="16"/>
  <c r="L954" i="16"/>
  <c r="L955" i="16"/>
  <c r="L956" i="16"/>
  <c r="L957" i="16"/>
  <c r="L958" i="16"/>
  <c r="L959" i="16"/>
  <c r="L960" i="16"/>
  <c r="L961" i="16"/>
  <c r="L962" i="16"/>
  <c r="L963" i="16"/>
  <c r="L964" i="16"/>
  <c r="L965" i="16"/>
  <c r="L966" i="16"/>
  <c r="L967" i="16"/>
  <c r="L968" i="16"/>
  <c r="L969" i="16"/>
  <c r="L970" i="16"/>
  <c r="L971" i="16"/>
  <c r="L972" i="16"/>
  <c r="L973" i="16"/>
  <c r="L974" i="16"/>
  <c r="L975" i="16"/>
  <c r="L976" i="16"/>
  <c r="L977" i="16"/>
  <c r="L978" i="16"/>
  <c r="L979" i="16"/>
  <c r="L980" i="16"/>
  <c r="L981" i="16"/>
  <c r="L982" i="16"/>
  <c r="L983" i="16"/>
  <c r="L984" i="16"/>
  <c r="L985" i="16"/>
  <c r="L986" i="16"/>
  <c r="L987" i="16"/>
  <c r="L988" i="16"/>
  <c r="L989" i="16"/>
  <c r="L990" i="16"/>
  <c r="L991" i="16"/>
  <c r="L992" i="16"/>
  <c r="L993" i="16"/>
  <c r="L994" i="16"/>
  <c r="L995" i="16"/>
  <c r="L996" i="16"/>
  <c r="L997" i="16"/>
  <c r="L998" i="16"/>
  <c r="L999" i="16"/>
  <c r="L1000" i="16"/>
  <c r="L1001" i="16"/>
  <c r="L1002" i="16"/>
  <c r="L1003" i="16"/>
  <c r="L1004" i="16"/>
  <c r="L1005" i="16"/>
  <c r="L1006" i="16"/>
  <c r="L1007" i="16"/>
  <c r="L1008" i="16"/>
  <c r="L1009" i="16"/>
  <c r="L1010" i="16"/>
  <c r="L1011" i="16"/>
  <c r="L1012" i="16"/>
  <c r="L1013" i="16"/>
  <c r="L1014" i="16"/>
  <c r="L1015" i="16"/>
  <c r="L1016" i="16"/>
  <c r="L1017" i="16"/>
  <c r="L1018" i="16"/>
  <c r="L1019" i="16"/>
  <c r="L1020" i="16"/>
  <c r="L1021" i="16"/>
  <c r="L1022" i="16"/>
  <c r="L1023" i="16"/>
  <c r="L1024" i="16"/>
  <c r="L1025" i="16"/>
  <c r="L1026" i="16"/>
  <c r="L1027" i="16"/>
  <c r="L1028" i="16"/>
  <c r="L1029" i="16"/>
  <c r="L1030" i="16"/>
  <c r="L1031" i="16"/>
  <c r="L1032" i="16"/>
  <c r="L1033" i="16"/>
  <c r="L1034" i="16"/>
  <c r="L1035" i="16"/>
  <c r="L1036" i="16"/>
  <c r="L1037" i="16"/>
  <c r="L1038" i="16"/>
  <c r="L1039" i="16"/>
  <c r="L1040" i="16"/>
  <c r="L1041" i="16"/>
  <c r="L1042" i="16"/>
  <c r="L1043" i="16"/>
  <c r="L1044" i="16"/>
  <c r="L1045" i="16"/>
  <c r="L1046" i="16"/>
  <c r="L1047" i="16"/>
  <c r="L1048" i="16"/>
  <c r="L1049" i="16"/>
  <c r="L1050" i="16"/>
  <c r="L1051" i="16"/>
  <c r="L1052" i="16"/>
  <c r="L1053" i="16"/>
  <c r="L1054" i="16"/>
  <c r="L1055" i="16"/>
  <c r="L1056" i="16"/>
  <c r="L1057" i="16"/>
  <c r="L1058" i="16"/>
  <c r="L1059" i="16"/>
  <c r="L1060" i="16"/>
  <c r="L1061" i="16"/>
  <c r="L1062" i="16"/>
  <c r="L1063" i="16"/>
  <c r="L1064" i="16"/>
  <c r="L1065" i="16"/>
  <c r="L1066" i="16"/>
  <c r="L1067" i="16"/>
  <c r="L1068" i="16"/>
  <c r="L1069" i="16"/>
  <c r="L1070" i="16"/>
  <c r="L1071" i="16"/>
  <c r="L1072" i="16"/>
  <c r="L1073" i="16"/>
  <c r="L1074" i="16"/>
  <c r="L1075" i="16"/>
  <c r="L1076" i="16"/>
  <c r="L1077" i="16"/>
  <c r="L1078" i="16"/>
  <c r="L1079" i="16"/>
  <c r="L1080" i="16"/>
  <c r="L1081" i="16"/>
  <c r="L1082" i="16"/>
  <c r="L1083" i="16"/>
  <c r="L1084" i="16"/>
  <c r="L1085" i="16"/>
  <c r="L1086" i="16"/>
  <c r="L1087" i="16"/>
  <c r="L1088" i="16"/>
  <c r="L1089" i="16"/>
  <c r="L1090" i="16"/>
  <c r="L1091" i="16"/>
  <c r="L1092" i="16"/>
  <c r="L1093" i="16"/>
  <c r="L1094" i="16"/>
  <c r="L1095" i="16"/>
  <c r="L1096" i="16"/>
  <c r="L1097" i="16"/>
  <c r="L1098" i="16"/>
  <c r="L1099" i="16"/>
  <c r="L1100" i="16"/>
  <c r="L1101" i="16"/>
  <c r="L1102" i="16"/>
  <c r="L1103" i="16"/>
  <c r="L1104" i="16"/>
  <c r="L1105" i="16"/>
  <c r="L1106" i="16"/>
  <c r="L1107" i="16"/>
  <c r="L1108" i="16"/>
  <c r="L1109" i="16"/>
  <c r="L1110" i="16"/>
  <c r="L1111" i="16"/>
  <c r="L1112" i="16"/>
  <c r="L1113" i="16"/>
  <c r="L1114" i="16"/>
  <c r="L1115" i="16"/>
  <c r="L1116" i="16"/>
  <c r="L1117" i="16"/>
  <c r="L1118" i="16"/>
  <c r="L1119" i="16"/>
  <c r="L1120" i="16"/>
  <c r="L1121" i="16"/>
  <c r="L1122" i="16"/>
  <c r="L1123" i="16"/>
  <c r="L1124" i="16"/>
  <c r="L1125" i="16"/>
  <c r="L1126" i="16"/>
  <c r="L1127" i="16"/>
  <c r="L1128" i="16"/>
  <c r="L1129" i="16"/>
  <c r="L1130" i="16"/>
  <c r="L1131" i="16"/>
  <c r="L1132" i="16"/>
  <c r="L1133" i="16"/>
  <c r="L1134" i="16"/>
  <c r="L1135" i="16"/>
  <c r="L1136" i="16"/>
  <c r="L1137" i="16"/>
  <c r="L1138" i="16"/>
  <c r="L1139" i="16"/>
  <c r="L1140" i="16"/>
  <c r="L1141" i="16"/>
  <c r="L1142" i="16"/>
  <c r="L1143" i="16"/>
  <c r="L1144" i="16"/>
  <c r="L1145" i="16"/>
  <c r="L1146" i="16"/>
  <c r="L1147" i="16"/>
  <c r="L1148" i="16"/>
  <c r="L1149" i="16"/>
  <c r="L1150" i="16"/>
  <c r="L1151" i="16"/>
  <c r="L1152" i="16"/>
  <c r="L1153" i="16"/>
  <c r="L1154" i="16"/>
  <c r="L1155" i="16"/>
  <c r="L1156" i="16"/>
  <c r="L1157" i="16"/>
  <c r="L1158" i="16"/>
  <c r="L1159" i="16"/>
  <c r="L1160" i="16"/>
  <c r="L1161" i="16"/>
  <c r="L1162" i="16"/>
  <c r="L1163" i="16"/>
  <c r="L1164" i="16"/>
  <c r="L1165" i="16"/>
  <c r="L1166" i="16"/>
  <c r="L1167" i="16"/>
  <c r="L1168" i="16"/>
  <c r="L1169" i="16"/>
  <c r="L1170" i="16"/>
  <c r="L1171" i="16"/>
  <c r="L1172" i="16"/>
  <c r="L1173" i="16"/>
  <c r="L1174" i="16"/>
  <c r="L1175" i="16"/>
  <c r="L1176" i="16"/>
  <c r="L1177" i="16"/>
  <c r="L1178" i="16"/>
  <c r="L1179" i="16"/>
  <c r="L1180" i="16"/>
  <c r="L1181" i="16"/>
  <c r="L1182" i="16"/>
  <c r="L1183" i="16"/>
  <c r="L1184" i="16"/>
  <c r="L1185" i="16"/>
  <c r="L1186" i="16"/>
  <c r="L1187" i="16"/>
  <c r="L1188" i="16"/>
  <c r="L1189" i="16"/>
  <c r="L1190" i="16"/>
  <c r="L1191" i="16"/>
  <c r="L1192" i="16"/>
  <c r="L1193" i="16"/>
  <c r="L1194" i="16"/>
  <c r="L1195" i="16"/>
  <c r="L1196" i="16"/>
  <c r="L1197" i="16"/>
  <c r="L1198" i="16"/>
  <c r="L1199" i="16"/>
  <c r="L1200" i="16"/>
  <c r="L1201" i="16"/>
  <c r="L1202" i="16"/>
  <c r="L1203" i="16"/>
  <c r="L1204" i="16"/>
  <c r="L1205" i="16"/>
  <c r="L1206" i="16"/>
  <c r="L1207" i="16"/>
  <c r="L1208" i="16"/>
  <c r="L1209" i="16"/>
  <c r="L1210" i="16"/>
  <c r="L1211" i="16"/>
  <c r="L1212" i="16"/>
  <c r="L1213" i="16"/>
  <c r="L1214" i="16"/>
  <c r="L1215" i="16"/>
  <c r="L1216" i="16"/>
  <c r="L1217" i="16"/>
  <c r="G28" i="19"/>
  <c r="G29" i="19"/>
  <c r="G30" i="19"/>
  <c r="U43" i="15"/>
  <c r="X43" i="15" s="1"/>
  <c r="AA43" i="15" s="1"/>
  <c r="AD43" i="15" s="1"/>
  <c r="AH43" i="15" s="1"/>
  <c r="O43" i="15"/>
  <c r="R43" i="15" s="1"/>
  <c r="L43" i="15"/>
  <c r="P43" i="15" s="1"/>
  <c r="S43" i="15" s="1"/>
  <c r="K43" i="15"/>
  <c r="J43" i="15"/>
  <c r="N43" i="15" s="1"/>
  <c r="Q43" i="15" s="1"/>
  <c r="I43" i="15"/>
  <c r="H43" i="15"/>
  <c r="G43" i="15"/>
  <c r="V42" i="15"/>
  <c r="Y42" i="15" s="1"/>
  <c r="AB42" i="15" s="1"/>
  <c r="AE42" i="15" s="1"/>
  <c r="AI42" i="15" s="1"/>
  <c r="T42" i="15"/>
  <c r="W42" i="15" s="1"/>
  <c r="Z42" i="15" s="1"/>
  <c r="AC42" i="15" s="1"/>
  <c r="P42" i="15"/>
  <c r="S42" i="15" s="1"/>
  <c r="N42" i="15"/>
  <c r="Q42" i="15" s="1"/>
  <c r="L42" i="15"/>
  <c r="K42" i="15"/>
  <c r="O42" i="15" s="1"/>
  <c r="R42" i="15" s="1"/>
  <c r="J42" i="15"/>
  <c r="I42" i="15"/>
  <c r="H42" i="15"/>
  <c r="G42" i="15"/>
  <c r="U38" i="15"/>
  <c r="X38" i="15" s="1"/>
  <c r="AA38" i="15" s="1"/>
  <c r="AD38" i="15" s="1"/>
  <c r="O38" i="15"/>
  <c r="R38" i="15" s="1"/>
  <c r="L38" i="15"/>
  <c r="P38" i="15" s="1"/>
  <c r="S38" i="15" s="1"/>
  <c r="K38" i="15"/>
  <c r="J38" i="15"/>
  <c r="T38" i="15" s="1"/>
  <c r="W38" i="15" s="1"/>
  <c r="Z38" i="15" s="1"/>
  <c r="AC38" i="15" s="1"/>
  <c r="AF38" i="15" s="1"/>
  <c r="I38" i="15"/>
  <c r="H38" i="15"/>
  <c r="G38" i="15"/>
  <c r="U37" i="15"/>
  <c r="X37" i="15" s="1"/>
  <c r="AA37" i="15" s="1"/>
  <c r="AD37" i="15" s="1"/>
  <c r="AH37" i="15" s="1"/>
  <c r="O37" i="15"/>
  <c r="R37" i="15" s="1"/>
  <c r="L37" i="15"/>
  <c r="P37" i="15" s="1"/>
  <c r="S37" i="15" s="1"/>
  <c r="K37" i="15"/>
  <c r="J37" i="15"/>
  <c r="T37" i="15" s="1"/>
  <c r="W37" i="15" s="1"/>
  <c r="Z37" i="15" s="1"/>
  <c r="AC37" i="15" s="1"/>
  <c r="AG37" i="15" s="1"/>
  <c r="I37" i="15"/>
  <c r="H37" i="15"/>
  <c r="G37" i="15"/>
  <c r="U36" i="15"/>
  <c r="X36" i="15" s="1"/>
  <c r="AA36" i="15" s="1"/>
  <c r="AD36" i="15" s="1"/>
  <c r="AH36" i="15" s="1"/>
  <c r="O36" i="15"/>
  <c r="R36" i="15" s="1"/>
  <c r="L36" i="15"/>
  <c r="P36" i="15" s="1"/>
  <c r="S36" i="15" s="1"/>
  <c r="K36" i="15"/>
  <c r="J36" i="15"/>
  <c r="N36" i="15" s="1"/>
  <c r="Q36" i="15" s="1"/>
  <c r="I36" i="15"/>
  <c r="H36" i="15"/>
  <c r="G36" i="15"/>
  <c r="U35" i="15"/>
  <c r="X35" i="15" s="1"/>
  <c r="AA35" i="15" s="1"/>
  <c r="AD35" i="15" s="1"/>
  <c r="AH35" i="15" s="1"/>
  <c r="O35" i="15"/>
  <c r="R35" i="15" s="1"/>
  <c r="L35" i="15"/>
  <c r="P35" i="15" s="1"/>
  <c r="S35" i="15" s="1"/>
  <c r="K35" i="15"/>
  <c r="J35" i="15"/>
  <c r="N35" i="15" s="1"/>
  <c r="Q35" i="15" s="1"/>
  <c r="I35" i="15"/>
  <c r="H35" i="15"/>
  <c r="G35" i="15"/>
  <c r="U34" i="15"/>
  <c r="X34" i="15" s="1"/>
  <c r="AA34" i="15" s="1"/>
  <c r="AD34" i="15" s="1"/>
  <c r="AH34" i="15" s="1"/>
  <c r="O34" i="15"/>
  <c r="R34" i="15" s="1"/>
  <c r="L34" i="15"/>
  <c r="P34" i="15" s="1"/>
  <c r="S34" i="15" s="1"/>
  <c r="K34" i="15"/>
  <c r="J34" i="15"/>
  <c r="T34" i="15" s="1"/>
  <c r="W34" i="15" s="1"/>
  <c r="Z34" i="15" s="1"/>
  <c r="AC34" i="15" s="1"/>
  <c r="I34" i="15"/>
  <c r="H34" i="15"/>
  <c r="G34" i="15"/>
  <c r="U33" i="15"/>
  <c r="X33" i="15" s="1"/>
  <c r="AA33" i="15" s="1"/>
  <c r="AD33" i="15" s="1"/>
  <c r="AH33" i="15" s="1"/>
  <c r="O33" i="15"/>
  <c r="R33" i="15" s="1"/>
  <c r="L33" i="15"/>
  <c r="P33" i="15" s="1"/>
  <c r="S33" i="15" s="1"/>
  <c r="K33" i="15"/>
  <c r="J33" i="15"/>
  <c r="T33" i="15" s="1"/>
  <c r="W33" i="15" s="1"/>
  <c r="Z33" i="15" s="1"/>
  <c r="AC33" i="15" s="1"/>
  <c r="AF33" i="15" s="1"/>
  <c r="I33" i="15"/>
  <c r="H33" i="15"/>
  <c r="G33" i="15"/>
  <c r="U32" i="15"/>
  <c r="X32" i="15" s="1"/>
  <c r="AA32" i="15" s="1"/>
  <c r="AD32" i="15" s="1"/>
  <c r="AH32" i="15" s="1"/>
  <c r="O32" i="15"/>
  <c r="R32" i="15" s="1"/>
  <c r="L32" i="15"/>
  <c r="P32" i="15" s="1"/>
  <c r="S32" i="15" s="1"/>
  <c r="K32" i="15"/>
  <c r="J32" i="15"/>
  <c r="N32" i="15" s="1"/>
  <c r="Q32" i="15" s="1"/>
  <c r="I32" i="15"/>
  <c r="H32" i="15"/>
  <c r="G32" i="15"/>
  <c r="U31" i="15"/>
  <c r="X31" i="15" s="1"/>
  <c r="AA31" i="15" s="1"/>
  <c r="AD31" i="15" s="1"/>
  <c r="AH31" i="15" s="1"/>
  <c r="O31" i="15"/>
  <c r="R31" i="15" s="1"/>
  <c r="L31" i="15"/>
  <c r="P31" i="15" s="1"/>
  <c r="S31" i="15" s="1"/>
  <c r="K31" i="15"/>
  <c r="J31" i="15"/>
  <c r="N31" i="15" s="1"/>
  <c r="Q31" i="15" s="1"/>
  <c r="I31" i="15"/>
  <c r="H31" i="15"/>
  <c r="G31" i="15"/>
  <c r="U30" i="15"/>
  <c r="X30" i="15" s="1"/>
  <c r="AA30" i="15" s="1"/>
  <c r="AD30" i="15" s="1"/>
  <c r="AH30" i="15" s="1"/>
  <c r="O30" i="15"/>
  <c r="R30" i="15" s="1"/>
  <c r="L30" i="15"/>
  <c r="P30" i="15" s="1"/>
  <c r="S30" i="15" s="1"/>
  <c r="K30" i="15"/>
  <c r="J30" i="15"/>
  <c r="T30" i="15" s="1"/>
  <c r="W30" i="15" s="1"/>
  <c r="Z30" i="15" s="1"/>
  <c r="AC30" i="15" s="1"/>
  <c r="I30" i="15"/>
  <c r="H30" i="15"/>
  <c r="G30" i="15"/>
  <c r="U29" i="15"/>
  <c r="X29" i="15" s="1"/>
  <c r="AA29" i="15" s="1"/>
  <c r="AD29" i="15" s="1"/>
  <c r="AH29" i="15" s="1"/>
  <c r="O29" i="15"/>
  <c r="R29" i="15" s="1"/>
  <c r="L29" i="15"/>
  <c r="P29" i="15" s="1"/>
  <c r="S29" i="15" s="1"/>
  <c r="K29" i="15"/>
  <c r="J29" i="15"/>
  <c r="T29" i="15" s="1"/>
  <c r="W29" i="15" s="1"/>
  <c r="Z29" i="15" s="1"/>
  <c r="AC29" i="15" s="1"/>
  <c r="AG29" i="15" s="1"/>
  <c r="I29" i="15"/>
  <c r="H29" i="15"/>
  <c r="G29" i="15"/>
  <c r="U28" i="15"/>
  <c r="X28" i="15" s="1"/>
  <c r="AA28" i="15" s="1"/>
  <c r="AD28" i="15" s="1"/>
  <c r="AH28" i="15" s="1"/>
  <c r="O28" i="15"/>
  <c r="R28" i="15" s="1"/>
  <c r="L28" i="15"/>
  <c r="P28" i="15" s="1"/>
  <c r="S28" i="15" s="1"/>
  <c r="K28" i="15"/>
  <c r="J28" i="15"/>
  <c r="N28" i="15" s="1"/>
  <c r="Q28" i="15" s="1"/>
  <c r="I28" i="15"/>
  <c r="H28" i="15"/>
  <c r="G28" i="15"/>
  <c r="U27" i="15"/>
  <c r="X27" i="15" s="1"/>
  <c r="AA27" i="15" s="1"/>
  <c r="AD27" i="15" s="1"/>
  <c r="AH27" i="15" s="1"/>
  <c r="O27" i="15"/>
  <c r="R27" i="15" s="1"/>
  <c r="L27" i="15"/>
  <c r="P27" i="15" s="1"/>
  <c r="S27" i="15" s="1"/>
  <c r="K27" i="15"/>
  <c r="J27" i="15"/>
  <c r="N27" i="15" s="1"/>
  <c r="Q27" i="15" s="1"/>
  <c r="I27" i="15"/>
  <c r="H27" i="15"/>
  <c r="G27" i="15"/>
  <c r="U26" i="15"/>
  <c r="X26" i="15" s="1"/>
  <c r="AA26" i="15" s="1"/>
  <c r="AD26" i="15" s="1"/>
  <c r="AH26" i="15" s="1"/>
  <c r="O26" i="15"/>
  <c r="R26" i="15" s="1"/>
  <c r="L26" i="15"/>
  <c r="P26" i="15" s="1"/>
  <c r="S26" i="15" s="1"/>
  <c r="K26" i="15"/>
  <c r="J26" i="15"/>
  <c r="T26" i="15" s="1"/>
  <c r="W26" i="15" s="1"/>
  <c r="Z26" i="15" s="1"/>
  <c r="AC26" i="15" s="1"/>
  <c r="I26" i="15"/>
  <c r="H26" i="15"/>
  <c r="G26" i="15"/>
  <c r="U25" i="15"/>
  <c r="X25" i="15" s="1"/>
  <c r="AA25" i="15" s="1"/>
  <c r="AD25" i="15" s="1"/>
  <c r="AH25" i="15" s="1"/>
  <c r="O25" i="15"/>
  <c r="R25" i="15" s="1"/>
  <c r="L25" i="15"/>
  <c r="P25" i="15" s="1"/>
  <c r="S25" i="15" s="1"/>
  <c r="K25" i="15"/>
  <c r="J25" i="15"/>
  <c r="T25" i="15" s="1"/>
  <c r="W25" i="15" s="1"/>
  <c r="Z25" i="15" s="1"/>
  <c r="AC25" i="15" s="1"/>
  <c r="AF25" i="15" s="1"/>
  <c r="I25" i="15"/>
  <c r="H25" i="15"/>
  <c r="G25" i="15"/>
  <c r="V20" i="15"/>
  <c r="T20" i="15"/>
  <c r="P20" i="15"/>
  <c r="S20" i="15" s="1"/>
  <c r="N20" i="15"/>
  <c r="Q20" i="15" s="1"/>
  <c r="L20" i="15"/>
  <c r="K20" i="15"/>
  <c r="O20" i="15" s="1"/>
  <c r="R20" i="15" s="1"/>
  <c r="J20" i="15"/>
  <c r="U19" i="15"/>
  <c r="X19" i="15" s="1"/>
  <c r="AA19" i="15" s="1"/>
  <c r="AD19" i="15" s="1"/>
  <c r="AH19" i="15" s="1"/>
  <c r="O19" i="15"/>
  <c r="R19" i="15" s="1"/>
  <c r="L19" i="15"/>
  <c r="P19" i="15" s="1"/>
  <c r="S19" i="15" s="1"/>
  <c r="K19" i="15"/>
  <c r="J19" i="15"/>
  <c r="N19" i="15" s="1"/>
  <c r="Q19" i="15" s="1"/>
  <c r="I19" i="15"/>
  <c r="H19" i="15"/>
  <c r="G19" i="15"/>
  <c r="U18" i="15"/>
  <c r="X18" i="15" s="1"/>
  <c r="AA18" i="15" s="1"/>
  <c r="AD18" i="15" s="1"/>
  <c r="AH18" i="15" s="1"/>
  <c r="O18" i="15"/>
  <c r="R18" i="15" s="1"/>
  <c r="L18" i="15"/>
  <c r="P18" i="15" s="1"/>
  <c r="S18" i="15" s="1"/>
  <c r="K18" i="15"/>
  <c r="J18" i="15"/>
  <c r="T18" i="15" s="1"/>
  <c r="W18" i="15" s="1"/>
  <c r="Z18" i="15" s="1"/>
  <c r="AC18" i="15" s="1"/>
  <c r="I18" i="15"/>
  <c r="H18" i="15"/>
  <c r="G18" i="15"/>
  <c r="U17" i="15"/>
  <c r="X17" i="15" s="1"/>
  <c r="AA17" i="15" s="1"/>
  <c r="AD17" i="15" s="1"/>
  <c r="AH17" i="15" s="1"/>
  <c r="O17" i="15"/>
  <c r="R17" i="15" s="1"/>
  <c r="L17" i="15"/>
  <c r="P17" i="15" s="1"/>
  <c r="S17" i="15" s="1"/>
  <c r="K17" i="15"/>
  <c r="J17" i="15"/>
  <c r="T17" i="15" s="1"/>
  <c r="W17" i="15" s="1"/>
  <c r="Z17" i="15" s="1"/>
  <c r="AC17" i="15" s="1"/>
  <c r="AF17" i="15" s="1"/>
  <c r="I17" i="15"/>
  <c r="H17" i="15"/>
  <c r="G17" i="15"/>
  <c r="U16" i="15"/>
  <c r="X16" i="15" s="1"/>
  <c r="AA16" i="15" s="1"/>
  <c r="AD16" i="15" s="1"/>
  <c r="AH16" i="15" s="1"/>
  <c r="O16" i="15"/>
  <c r="R16" i="15" s="1"/>
  <c r="L16" i="15"/>
  <c r="P16" i="15" s="1"/>
  <c r="S16" i="15" s="1"/>
  <c r="K16" i="15"/>
  <c r="J16" i="15"/>
  <c r="N16" i="15" s="1"/>
  <c r="Q16" i="15" s="1"/>
  <c r="I16" i="15"/>
  <c r="H16" i="15"/>
  <c r="G16" i="15"/>
  <c r="U15" i="15"/>
  <c r="X15" i="15" s="1"/>
  <c r="AA15" i="15" s="1"/>
  <c r="AD15" i="15" s="1"/>
  <c r="AH15" i="15" s="1"/>
  <c r="O15" i="15"/>
  <c r="R15" i="15" s="1"/>
  <c r="L15" i="15"/>
  <c r="P15" i="15" s="1"/>
  <c r="S15" i="15" s="1"/>
  <c r="K15" i="15"/>
  <c r="J15" i="15"/>
  <c r="N15" i="15" s="1"/>
  <c r="Q15" i="15" s="1"/>
  <c r="I15" i="15"/>
  <c r="H15" i="15"/>
  <c r="G15" i="15"/>
  <c r="U14" i="15"/>
  <c r="X14" i="15" s="1"/>
  <c r="AA14" i="15" s="1"/>
  <c r="AD14" i="15" s="1"/>
  <c r="AH14" i="15" s="1"/>
  <c r="O14" i="15"/>
  <c r="R14" i="15" s="1"/>
  <c r="L14" i="15"/>
  <c r="P14" i="15" s="1"/>
  <c r="S14" i="15" s="1"/>
  <c r="K14" i="15"/>
  <c r="J14" i="15"/>
  <c r="T14" i="15" s="1"/>
  <c r="W14" i="15" s="1"/>
  <c r="Z14" i="15" s="1"/>
  <c r="AC14" i="15" s="1"/>
  <c r="I14" i="15"/>
  <c r="H14" i="15"/>
  <c r="G14" i="15"/>
  <c r="U13" i="15"/>
  <c r="X13" i="15" s="1"/>
  <c r="AA13" i="15" s="1"/>
  <c r="AD13" i="15" s="1"/>
  <c r="AH13" i="15" s="1"/>
  <c r="O13" i="15"/>
  <c r="R13" i="15" s="1"/>
  <c r="L13" i="15"/>
  <c r="P13" i="15" s="1"/>
  <c r="S13" i="15" s="1"/>
  <c r="K13" i="15"/>
  <c r="J13" i="15"/>
  <c r="T13" i="15" s="1"/>
  <c r="W13" i="15" s="1"/>
  <c r="Z13" i="15" s="1"/>
  <c r="AC13" i="15" s="1"/>
  <c r="AF13" i="15" s="1"/>
  <c r="I13" i="15"/>
  <c r="H13" i="15"/>
  <c r="G13" i="15"/>
  <c r="U12" i="15"/>
  <c r="X12" i="15" s="1"/>
  <c r="AA12" i="15" s="1"/>
  <c r="AD12" i="15" s="1"/>
  <c r="AH12" i="15" s="1"/>
  <c r="O12" i="15"/>
  <c r="R12" i="15" s="1"/>
  <c r="L12" i="15"/>
  <c r="P12" i="15" s="1"/>
  <c r="S12" i="15" s="1"/>
  <c r="K12" i="15"/>
  <c r="J12" i="15"/>
  <c r="N12" i="15" s="1"/>
  <c r="Q12" i="15" s="1"/>
  <c r="I12" i="15"/>
  <c r="H12" i="15"/>
  <c r="G12" i="15"/>
  <c r="U11" i="15"/>
  <c r="X11" i="15" s="1"/>
  <c r="AA11" i="15" s="1"/>
  <c r="AD11" i="15" s="1"/>
  <c r="AH11" i="15" s="1"/>
  <c r="O11" i="15"/>
  <c r="R11" i="15" s="1"/>
  <c r="L11" i="15"/>
  <c r="P11" i="15" s="1"/>
  <c r="S11" i="15" s="1"/>
  <c r="K11" i="15"/>
  <c r="J11" i="15"/>
  <c r="N11" i="15" s="1"/>
  <c r="Q11" i="15" s="1"/>
  <c r="I11" i="15"/>
  <c r="H11" i="15"/>
  <c r="G11" i="15"/>
  <c r="U10" i="15"/>
  <c r="X10" i="15" s="1"/>
  <c r="AA10" i="15" s="1"/>
  <c r="AD10" i="15" s="1"/>
  <c r="AH10" i="15" s="1"/>
  <c r="O10" i="15"/>
  <c r="R10" i="15" s="1"/>
  <c r="L10" i="15"/>
  <c r="P10" i="15" s="1"/>
  <c r="S10" i="15" s="1"/>
  <c r="K10" i="15"/>
  <c r="J10" i="15"/>
  <c r="T10" i="15" s="1"/>
  <c r="W10" i="15" s="1"/>
  <c r="Z10" i="15" s="1"/>
  <c r="AC10" i="15" s="1"/>
  <c r="I10" i="15"/>
  <c r="H10" i="15"/>
  <c r="G10" i="15"/>
  <c r="U9" i="15"/>
  <c r="X9" i="15" s="1"/>
  <c r="AA9" i="15" s="1"/>
  <c r="AD9" i="15" s="1"/>
  <c r="AH9" i="15" s="1"/>
  <c r="O9" i="15"/>
  <c r="R9" i="15" s="1"/>
  <c r="L9" i="15"/>
  <c r="P9" i="15" s="1"/>
  <c r="S9" i="15" s="1"/>
  <c r="K9" i="15"/>
  <c r="J9" i="15"/>
  <c r="T9" i="15" s="1"/>
  <c r="W9" i="15" s="1"/>
  <c r="Z9" i="15" s="1"/>
  <c r="AC9" i="15" s="1"/>
  <c r="AG9" i="15" s="1"/>
  <c r="I9" i="15"/>
  <c r="H9" i="15"/>
  <c r="G9" i="15"/>
  <c r="U8" i="15"/>
  <c r="X8" i="15" s="1"/>
  <c r="AA8" i="15" s="1"/>
  <c r="AD8" i="15" s="1"/>
  <c r="AH8" i="15" s="1"/>
  <c r="O8" i="15"/>
  <c r="R8" i="15" s="1"/>
  <c r="L8" i="15"/>
  <c r="P8" i="15" s="1"/>
  <c r="S8" i="15" s="1"/>
  <c r="K8" i="15"/>
  <c r="J8" i="15"/>
  <c r="N8" i="15" s="1"/>
  <c r="Q8" i="15" s="1"/>
  <c r="I8" i="15"/>
  <c r="H8" i="15"/>
  <c r="G8" i="15"/>
  <c r="U7" i="15"/>
  <c r="X7" i="15" s="1"/>
  <c r="AA7" i="15" s="1"/>
  <c r="AD7" i="15" s="1"/>
  <c r="AH7" i="15" s="1"/>
  <c r="O7" i="15"/>
  <c r="R7" i="15" s="1"/>
  <c r="L7" i="15"/>
  <c r="P7" i="15" s="1"/>
  <c r="S7" i="15" s="1"/>
  <c r="K7" i="15"/>
  <c r="J7" i="15"/>
  <c r="N7" i="15" s="1"/>
  <c r="Q7" i="15" s="1"/>
  <c r="I7" i="15"/>
  <c r="H7" i="15"/>
  <c r="G7" i="15"/>
  <c r="D4" i="15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S1217" i="16"/>
  <c r="R1217" i="16" s="1"/>
  <c r="S1216" i="16"/>
  <c r="R1216" i="16" s="1"/>
  <c r="S1215" i="16"/>
  <c r="R1215" i="16" s="1"/>
  <c r="S1214" i="16"/>
  <c r="R1214" i="16" s="1"/>
  <c r="S1213" i="16"/>
  <c r="R1213" i="16" s="1"/>
  <c r="S1212" i="16"/>
  <c r="R1212" i="16" s="1"/>
  <c r="S1211" i="16"/>
  <c r="R1211" i="16" s="1"/>
  <c r="S1210" i="16"/>
  <c r="R1210" i="16" s="1"/>
  <c r="S1209" i="16"/>
  <c r="R1209" i="16" s="1"/>
  <c r="S1208" i="16"/>
  <c r="R1208" i="16" s="1"/>
  <c r="S1207" i="16"/>
  <c r="R1207" i="16" s="1"/>
  <c r="S1206" i="16"/>
  <c r="R1206" i="16" s="1"/>
  <c r="S1205" i="16"/>
  <c r="R1205" i="16" s="1"/>
  <c r="S1204" i="16"/>
  <c r="R1204" i="16" s="1"/>
  <c r="S1203" i="16"/>
  <c r="R1203" i="16" s="1"/>
  <c r="S1202" i="16"/>
  <c r="R1202" i="16" s="1"/>
  <c r="S1201" i="16"/>
  <c r="R1201" i="16" s="1"/>
  <c r="S1200" i="16"/>
  <c r="R1200" i="16" s="1"/>
  <c r="S1199" i="16"/>
  <c r="R1199" i="16" s="1"/>
  <c r="S1198" i="16"/>
  <c r="R1198" i="16" s="1"/>
  <c r="S1197" i="16"/>
  <c r="R1197" i="16" s="1"/>
  <c r="S1196" i="16"/>
  <c r="R1196" i="16" s="1"/>
  <c r="S1195" i="16"/>
  <c r="R1195" i="16" s="1"/>
  <c r="S1194" i="16"/>
  <c r="R1194" i="16" s="1"/>
  <c r="S1193" i="16"/>
  <c r="R1193" i="16" s="1"/>
  <c r="S1192" i="16"/>
  <c r="R1192" i="16" s="1"/>
  <c r="S1191" i="16"/>
  <c r="R1191" i="16" s="1"/>
  <c r="S1190" i="16"/>
  <c r="R1190" i="16" s="1"/>
  <c r="S1189" i="16"/>
  <c r="R1189" i="16" s="1"/>
  <c r="S1188" i="16"/>
  <c r="R1188" i="16" s="1"/>
  <c r="S1187" i="16"/>
  <c r="R1187" i="16" s="1"/>
  <c r="S1186" i="16"/>
  <c r="R1186" i="16" s="1"/>
  <c r="S1185" i="16"/>
  <c r="R1185" i="16" s="1"/>
  <c r="S1184" i="16"/>
  <c r="R1184" i="16" s="1"/>
  <c r="S1183" i="16"/>
  <c r="R1183" i="16" s="1"/>
  <c r="S1182" i="16"/>
  <c r="R1182" i="16" s="1"/>
  <c r="S1181" i="16"/>
  <c r="R1181" i="16" s="1"/>
  <c r="S1180" i="16"/>
  <c r="R1180" i="16" s="1"/>
  <c r="S1179" i="16"/>
  <c r="R1179" i="16" s="1"/>
  <c r="S1178" i="16"/>
  <c r="R1178" i="16" s="1"/>
  <c r="S1177" i="16"/>
  <c r="R1177" i="16" s="1"/>
  <c r="S1176" i="16"/>
  <c r="R1176" i="16" s="1"/>
  <c r="S1175" i="16"/>
  <c r="R1175" i="16" s="1"/>
  <c r="S1174" i="16"/>
  <c r="R1174" i="16" s="1"/>
  <c r="S1173" i="16"/>
  <c r="R1173" i="16" s="1"/>
  <c r="S1172" i="16"/>
  <c r="R1172" i="16" s="1"/>
  <c r="S1171" i="16"/>
  <c r="R1171" i="16" s="1"/>
  <c r="S1170" i="16"/>
  <c r="R1170" i="16" s="1"/>
  <c r="S1169" i="16"/>
  <c r="R1169" i="16" s="1"/>
  <c r="S1168" i="16"/>
  <c r="R1168" i="16" s="1"/>
  <c r="S1167" i="16"/>
  <c r="R1167" i="16" s="1"/>
  <c r="S1166" i="16"/>
  <c r="R1166" i="16" s="1"/>
  <c r="S1165" i="16"/>
  <c r="R1165" i="16" s="1"/>
  <c r="S1164" i="16"/>
  <c r="R1164" i="16" s="1"/>
  <c r="S1163" i="16"/>
  <c r="R1163" i="16" s="1"/>
  <c r="S1162" i="16"/>
  <c r="R1162" i="16" s="1"/>
  <c r="S1161" i="16"/>
  <c r="R1161" i="16" s="1"/>
  <c r="S1160" i="16"/>
  <c r="R1160" i="16" s="1"/>
  <c r="S1159" i="16"/>
  <c r="R1159" i="16" s="1"/>
  <c r="S1158" i="16"/>
  <c r="R1158" i="16" s="1"/>
  <c r="S1157" i="16"/>
  <c r="R1157" i="16" s="1"/>
  <c r="S1156" i="16"/>
  <c r="R1156" i="16" s="1"/>
  <c r="S1155" i="16"/>
  <c r="R1155" i="16" s="1"/>
  <c r="S1154" i="16"/>
  <c r="R1154" i="16" s="1"/>
  <c r="S1153" i="16"/>
  <c r="R1153" i="16" s="1"/>
  <c r="S1152" i="16"/>
  <c r="R1152" i="16" s="1"/>
  <c r="S1151" i="16"/>
  <c r="R1151" i="16" s="1"/>
  <c r="S1150" i="16"/>
  <c r="R1150" i="16" s="1"/>
  <c r="S1149" i="16"/>
  <c r="R1149" i="16" s="1"/>
  <c r="S1148" i="16"/>
  <c r="R1148" i="16" s="1"/>
  <c r="S1147" i="16"/>
  <c r="R1147" i="16" s="1"/>
  <c r="S1146" i="16"/>
  <c r="R1146" i="16" s="1"/>
  <c r="S1145" i="16"/>
  <c r="R1145" i="16" s="1"/>
  <c r="S1144" i="16"/>
  <c r="R1144" i="16" s="1"/>
  <c r="S1143" i="16"/>
  <c r="R1143" i="16" s="1"/>
  <c r="S1142" i="16"/>
  <c r="R1142" i="16" s="1"/>
  <c r="S1141" i="16"/>
  <c r="R1141" i="16" s="1"/>
  <c r="S1140" i="16"/>
  <c r="R1140" i="16" s="1"/>
  <c r="S1139" i="16"/>
  <c r="R1139" i="16" s="1"/>
  <c r="S1138" i="16"/>
  <c r="R1138" i="16" s="1"/>
  <c r="S1137" i="16"/>
  <c r="R1137" i="16" s="1"/>
  <c r="S1136" i="16"/>
  <c r="R1136" i="16" s="1"/>
  <c r="S1135" i="16"/>
  <c r="R1135" i="16" s="1"/>
  <c r="S1134" i="16"/>
  <c r="R1134" i="16" s="1"/>
  <c r="S1133" i="16"/>
  <c r="R1133" i="16" s="1"/>
  <c r="S1132" i="16"/>
  <c r="R1132" i="16" s="1"/>
  <c r="S1131" i="16"/>
  <c r="R1131" i="16" s="1"/>
  <c r="S1130" i="16"/>
  <c r="R1130" i="16" s="1"/>
  <c r="S1129" i="16"/>
  <c r="R1129" i="16" s="1"/>
  <c r="S1128" i="16"/>
  <c r="R1128" i="16" s="1"/>
  <c r="S1127" i="16"/>
  <c r="R1127" i="16" s="1"/>
  <c r="S1126" i="16"/>
  <c r="R1126" i="16" s="1"/>
  <c r="S1125" i="16"/>
  <c r="R1125" i="16" s="1"/>
  <c r="S1124" i="16"/>
  <c r="R1124" i="16" s="1"/>
  <c r="S1123" i="16"/>
  <c r="R1123" i="16" s="1"/>
  <c r="S1122" i="16"/>
  <c r="R1122" i="16" s="1"/>
  <c r="S1121" i="16"/>
  <c r="R1121" i="16" s="1"/>
  <c r="S1120" i="16"/>
  <c r="R1120" i="16" s="1"/>
  <c r="S1119" i="16"/>
  <c r="R1119" i="16" s="1"/>
  <c r="S1118" i="16"/>
  <c r="R1118" i="16" s="1"/>
  <c r="S1117" i="16"/>
  <c r="R1117" i="16" s="1"/>
  <c r="S1116" i="16"/>
  <c r="R1116" i="16" s="1"/>
  <c r="S1115" i="16"/>
  <c r="R1115" i="16" s="1"/>
  <c r="S1114" i="16"/>
  <c r="R1114" i="16" s="1"/>
  <c r="S1113" i="16"/>
  <c r="R1113" i="16" s="1"/>
  <c r="S1112" i="16"/>
  <c r="R1112" i="16" s="1"/>
  <c r="S1111" i="16"/>
  <c r="R1111" i="16" s="1"/>
  <c r="S1110" i="16"/>
  <c r="R1110" i="16" s="1"/>
  <c r="S1109" i="16"/>
  <c r="R1109" i="16" s="1"/>
  <c r="S1108" i="16"/>
  <c r="R1108" i="16" s="1"/>
  <c r="S1107" i="16"/>
  <c r="R1107" i="16" s="1"/>
  <c r="S1106" i="16"/>
  <c r="R1106" i="16" s="1"/>
  <c r="S1105" i="16"/>
  <c r="R1105" i="16" s="1"/>
  <c r="S1104" i="16"/>
  <c r="R1104" i="16" s="1"/>
  <c r="S1103" i="16"/>
  <c r="R1103" i="16" s="1"/>
  <c r="S1102" i="16"/>
  <c r="R1102" i="16" s="1"/>
  <c r="S1101" i="16"/>
  <c r="R1101" i="16" s="1"/>
  <c r="S1100" i="16"/>
  <c r="R1100" i="16" s="1"/>
  <c r="S1099" i="16"/>
  <c r="R1099" i="16" s="1"/>
  <c r="S1098" i="16"/>
  <c r="R1098" i="16" s="1"/>
  <c r="S1097" i="16"/>
  <c r="R1097" i="16" s="1"/>
  <c r="S1096" i="16"/>
  <c r="R1096" i="16" s="1"/>
  <c r="S1095" i="16"/>
  <c r="R1095" i="16" s="1"/>
  <c r="S1094" i="16"/>
  <c r="R1094" i="16" s="1"/>
  <c r="S1093" i="16"/>
  <c r="R1093" i="16" s="1"/>
  <c r="S1092" i="16"/>
  <c r="R1092" i="16" s="1"/>
  <c r="S1091" i="16"/>
  <c r="R1091" i="16" s="1"/>
  <c r="S1090" i="16"/>
  <c r="R1090" i="16" s="1"/>
  <c r="S1089" i="16"/>
  <c r="R1089" i="16" s="1"/>
  <c r="S1088" i="16"/>
  <c r="R1088" i="16" s="1"/>
  <c r="S1087" i="16"/>
  <c r="R1087" i="16" s="1"/>
  <c r="S1086" i="16"/>
  <c r="R1086" i="16" s="1"/>
  <c r="S1085" i="16"/>
  <c r="R1085" i="16" s="1"/>
  <c r="S1084" i="16"/>
  <c r="R1084" i="16" s="1"/>
  <c r="S1083" i="16"/>
  <c r="R1083" i="16" s="1"/>
  <c r="S1082" i="16"/>
  <c r="R1082" i="16" s="1"/>
  <c r="S1081" i="16"/>
  <c r="R1081" i="16" s="1"/>
  <c r="S1080" i="16"/>
  <c r="R1080" i="16" s="1"/>
  <c r="S1079" i="16"/>
  <c r="R1079" i="16" s="1"/>
  <c r="S1078" i="16"/>
  <c r="R1078" i="16" s="1"/>
  <c r="S1077" i="16"/>
  <c r="R1077" i="16" s="1"/>
  <c r="S1076" i="16"/>
  <c r="R1076" i="16" s="1"/>
  <c r="S1075" i="16"/>
  <c r="R1075" i="16" s="1"/>
  <c r="S1074" i="16"/>
  <c r="R1074" i="16" s="1"/>
  <c r="S1073" i="16"/>
  <c r="R1073" i="16" s="1"/>
  <c r="S1072" i="16"/>
  <c r="R1072" i="16" s="1"/>
  <c r="S1071" i="16"/>
  <c r="R1071" i="16" s="1"/>
  <c r="S1070" i="16"/>
  <c r="R1070" i="16" s="1"/>
  <c r="S1069" i="16"/>
  <c r="R1069" i="16" s="1"/>
  <c r="S1068" i="16"/>
  <c r="R1068" i="16" s="1"/>
  <c r="S1067" i="16"/>
  <c r="R1067" i="16" s="1"/>
  <c r="S1066" i="16"/>
  <c r="R1066" i="16" s="1"/>
  <c r="S1065" i="16"/>
  <c r="R1065" i="16" s="1"/>
  <c r="S1064" i="16"/>
  <c r="R1064" i="16" s="1"/>
  <c r="S1063" i="16"/>
  <c r="R1063" i="16" s="1"/>
  <c r="S1062" i="16"/>
  <c r="R1062" i="16" s="1"/>
  <c r="S1061" i="16"/>
  <c r="R1061" i="16" s="1"/>
  <c r="S1060" i="16"/>
  <c r="R1060" i="16" s="1"/>
  <c r="S1059" i="16"/>
  <c r="R1059" i="16" s="1"/>
  <c r="S1058" i="16"/>
  <c r="R1058" i="16" s="1"/>
  <c r="S1057" i="16"/>
  <c r="R1057" i="16" s="1"/>
  <c r="S1056" i="16"/>
  <c r="R1056" i="16" s="1"/>
  <c r="S1055" i="16"/>
  <c r="R1055" i="16" s="1"/>
  <c r="S1054" i="16"/>
  <c r="R1054" i="16" s="1"/>
  <c r="S1053" i="16"/>
  <c r="R1053" i="16" s="1"/>
  <c r="S1052" i="16"/>
  <c r="R1052" i="16" s="1"/>
  <c r="S1051" i="16"/>
  <c r="R1051" i="16" s="1"/>
  <c r="S1050" i="16"/>
  <c r="R1050" i="16" s="1"/>
  <c r="S1049" i="16"/>
  <c r="R1049" i="16" s="1"/>
  <c r="S1048" i="16"/>
  <c r="R1048" i="16" s="1"/>
  <c r="S1047" i="16"/>
  <c r="R1047" i="16" s="1"/>
  <c r="S1046" i="16"/>
  <c r="R1046" i="16" s="1"/>
  <c r="S1045" i="16"/>
  <c r="R1045" i="16" s="1"/>
  <c r="S1044" i="16"/>
  <c r="R1044" i="16" s="1"/>
  <c r="S1043" i="16"/>
  <c r="R1043" i="16" s="1"/>
  <c r="S1042" i="16"/>
  <c r="R1042" i="16" s="1"/>
  <c r="S1041" i="16"/>
  <c r="R1041" i="16" s="1"/>
  <c r="S1040" i="16"/>
  <c r="R1040" i="16" s="1"/>
  <c r="S1039" i="16"/>
  <c r="R1039" i="16" s="1"/>
  <c r="S1038" i="16"/>
  <c r="R1038" i="16" s="1"/>
  <c r="S1037" i="16"/>
  <c r="R1037" i="16" s="1"/>
  <c r="S1036" i="16"/>
  <c r="R1036" i="16" s="1"/>
  <c r="S1035" i="16"/>
  <c r="R1035" i="16" s="1"/>
  <c r="S1034" i="16"/>
  <c r="R1034" i="16" s="1"/>
  <c r="S1033" i="16"/>
  <c r="R1033" i="16" s="1"/>
  <c r="S1032" i="16"/>
  <c r="R1032" i="16" s="1"/>
  <c r="S1031" i="16"/>
  <c r="R1031" i="16" s="1"/>
  <c r="S1030" i="16"/>
  <c r="R1030" i="16" s="1"/>
  <c r="S1029" i="16"/>
  <c r="R1029" i="16" s="1"/>
  <c r="S1028" i="16"/>
  <c r="R1028" i="16" s="1"/>
  <c r="S1027" i="16"/>
  <c r="R1027" i="16" s="1"/>
  <c r="S1026" i="16"/>
  <c r="R1026" i="16" s="1"/>
  <c r="S1025" i="16"/>
  <c r="R1025" i="16" s="1"/>
  <c r="S1024" i="16"/>
  <c r="R1024" i="16" s="1"/>
  <c r="S1023" i="16"/>
  <c r="R1023" i="16" s="1"/>
  <c r="S1022" i="16"/>
  <c r="R1022" i="16" s="1"/>
  <c r="S1021" i="16"/>
  <c r="R1021" i="16" s="1"/>
  <c r="S1020" i="16"/>
  <c r="R1020" i="16" s="1"/>
  <c r="S1019" i="16"/>
  <c r="R1019" i="16" s="1"/>
  <c r="S1018" i="16"/>
  <c r="R1018" i="16" s="1"/>
  <c r="S1017" i="16"/>
  <c r="R1017" i="16" s="1"/>
  <c r="S1016" i="16"/>
  <c r="R1016" i="16" s="1"/>
  <c r="S1015" i="16"/>
  <c r="R1015" i="16" s="1"/>
  <c r="S1014" i="16"/>
  <c r="R1014" i="16" s="1"/>
  <c r="S1013" i="16"/>
  <c r="R1013" i="16" s="1"/>
  <c r="S1012" i="16"/>
  <c r="R1012" i="16" s="1"/>
  <c r="S1011" i="16"/>
  <c r="R1011" i="16" s="1"/>
  <c r="S1010" i="16"/>
  <c r="R1010" i="16" s="1"/>
  <c r="S1009" i="16"/>
  <c r="R1009" i="16" s="1"/>
  <c r="S1008" i="16"/>
  <c r="R1008" i="16" s="1"/>
  <c r="S1007" i="16"/>
  <c r="R1007" i="16" s="1"/>
  <c r="S1006" i="16"/>
  <c r="R1006" i="16" s="1"/>
  <c r="S1005" i="16"/>
  <c r="R1005" i="16" s="1"/>
  <c r="S1004" i="16"/>
  <c r="R1004" i="16" s="1"/>
  <c r="S1003" i="16"/>
  <c r="R1003" i="16" s="1"/>
  <c r="S1002" i="16"/>
  <c r="R1002" i="16" s="1"/>
  <c r="S1001" i="16"/>
  <c r="R1001" i="16" s="1"/>
  <c r="S1000" i="16"/>
  <c r="R1000" i="16" s="1"/>
  <c r="S999" i="16"/>
  <c r="R999" i="16" s="1"/>
  <c r="S998" i="16"/>
  <c r="R998" i="16" s="1"/>
  <c r="S997" i="16"/>
  <c r="R997" i="16" s="1"/>
  <c r="S996" i="16"/>
  <c r="R996" i="16" s="1"/>
  <c r="S995" i="16"/>
  <c r="R995" i="16" s="1"/>
  <c r="S994" i="16"/>
  <c r="R994" i="16" s="1"/>
  <c r="S993" i="16"/>
  <c r="R993" i="16" s="1"/>
  <c r="S992" i="16"/>
  <c r="R992" i="16" s="1"/>
  <c r="S991" i="16"/>
  <c r="R991" i="16" s="1"/>
  <c r="S990" i="16"/>
  <c r="R990" i="16" s="1"/>
  <c r="S989" i="16"/>
  <c r="R989" i="16" s="1"/>
  <c r="S988" i="16"/>
  <c r="R988" i="16" s="1"/>
  <c r="S987" i="16"/>
  <c r="R987" i="16" s="1"/>
  <c r="S986" i="16"/>
  <c r="R986" i="16" s="1"/>
  <c r="S985" i="16"/>
  <c r="R985" i="16" s="1"/>
  <c r="S984" i="16"/>
  <c r="R984" i="16" s="1"/>
  <c r="S983" i="16"/>
  <c r="R983" i="16" s="1"/>
  <c r="S982" i="16"/>
  <c r="R982" i="16" s="1"/>
  <c r="S981" i="16"/>
  <c r="R981" i="16" s="1"/>
  <c r="S980" i="16"/>
  <c r="R980" i="16" s="1"/>
  <c r="S979" i="16"/>
  <c r="R979" i="16" s="1"/>
  <c r="S978" i="16"/>
  <c r="R978" i="16" s="1"/>
  <c r="S977" i="16"/>
  <c r="R977" i="16" s="1"/>
  <c r="S976" i="16"/>
  <c r="R976" i="16" s="1"/>
  <c r="S975" i="16"/>
  <c r="R975" i="16" s="1"/>
  <c r="S974" i="16"/>
  <c r="R974" i="16" s="1"/>
  <c r="S973" i="16"/>
  <c r="R973" i="16" s="1"/>
  <c r="S972" i="16"/>
  <c r="R972" i="16" s="1"/>
  <c r="S971" i="16"/>
  <c r="R971" i="16" s="1"/>
  <c r="S970" i="16"/>
  <c r="R970" i="16" s="1"/>
  <c r="S969" i="16"/>
  <c r="R969" i="16" s="1"/>
  <c r="S968" i="16"/>
  <c r="R968" i="16" s="1"/>
  <c r="S967" i="16"/>
  <c r="R967" i="16" s="1"/>
  <c r="S966" i="16"/>
  <c r="R966" i="16" s="1"/>
  <c r="S965" i="16"/>
  <c r="R965" i="16" s="1"/>
  <c r="S964" i="16"/>
  <c r="R964" i="16" s="1"/>
  <c r="S963" i="16"/>
  <c r="R963" i="16" s="1"/>
  <c r="S962" i="16"/>
  <c r="R962" i="16" s="1"/>
  <c r="S961" i="16"/>
  <c r="R961" i="16" s="1"/>
  <c r="S960" i="16"/>
  <c r="R960" i="16" s="1"/>
  <c r="S959" i="16"/>
  <c r="R959" i="16" s="1"/>
  <c r="S958" i="16"/>
  <c r="R958" i="16" s="1"/>
  <c r="S957" i="16"/>
  <c r="R957" i="16" s="1"/>
  <c r="S956" i="16"/>
  <c r="R956" i="16" s="1"/>
  <c r="S955" i="16"/>
  <c r="R955" i="16" s="1"/>
  <c r="S954" i="16"/>
  <c r="R954" i="16" s="1"/>
  <c r="S953" i="16"/>
  <c r="R953" i="16" s="1"/>
  <c r="S952" i="16"/>
  <c r="R952" i="16" s="1"/>
  <c r="S951" i="16"/>
  <c r="R951" i="16" s="1"/>
  <c r="S950" i="16"/>
  <c r="R950" i="16" s="1"/>
  <c r="S949" i="16"/>
  <c r="R949" i="16" s="1"/>
  <c r="S948" i="16"/>
  <c r="R948" i="16" s="1"/>
  <c r="S947" i="16"/>
  <c r="R947" i="16" s="1"/>
  <c r="S946" i="16"/>
  <c r="R946" i="16" s="1"/>
  <c r="S945" i="16"/>
  <c r="R945" i="16" s="1"/>
  <c r="S944" i="16"/>
  <c r="R944" i="16" s="1"/>
  <c r="S943" i="16"/>
  <c r="R943" i="16" s="1"/>
  <c r="S942" i="16"/>
  <c r="R942" i="16" s="1"/>
  <c r="S941" i="16"/>
  <c r="R941" i="16" s="1"/>
  <c r="S940" i="16"/>
  <c r="R940" i="16" s="1"/>
  <c r="S939" i="16"/>
  <c r="R939" i="16" s="1"/>
  <c r="S938" i="16"/>
  <c r="R938" i="16" s="1"/>
  <c r="S937" i="16"/>
  <c r="R937" i="16" s="1"/>
  <c r="S936" i="16"/>
  <c r="R936" i="16" s="1"/>
  <c r="S935" i="16"/>
  <c r="R935" i="16" s="1"/>
  <c r="S934" i="16"/>
  <c r="R934" i="16" s="1"/>
  <c r="S933" i="16"/>
  <c r="R933" i="16" s="1"/>
  <c r="S932" i="16"/>
  <c r="R932" i="16" s="1"/>
  <c r="S931" i="16"/>
  <c r="R931" i="16" s="1"/>
  <c r="S930" i="16"/>
  <c r="R930" i="16" s="1"/>
  <c r="S929" i="16"/>
  <c r="R929" i="16" s="1"/>
  <c r="S928" i="16"/>
  <c r="R928" i="16" s="1"/>
  <c r="S927" i="16"/>
  <c r="R927" i="16" s="1"/>
  <c r="S926" i="16"/>
  <c r="R926" i="16" s="1"/>
  <c r="S925" i="16"/>
  <c r="R925" i="16" s="1"/>
  <c r="S924" i="16"/>
  <c r="R924" i="16" s="1"/>
  <c r="S923" i="16"/>
  <c r="R923" i="16" s="1"/>
  <c r="S922" i="16"/>
  <c r="R922" i="16" s="1"/>
  <c r="S921" i="16"/>
  <c r="R921" i="16" s="1"/>
  <c r="S920" i="16"/>
  <c r="R920" i="16" s="1"/>
  <c r="S919" i="16"/>
  <c r="R919" i="16" s="1"/>
  <c r="S918" i="16"/>
  <c r="R918" i="16" s="1"/>
  <c r="S917" i="16"/>
  <c r="R917" i="16" s="1"/>
  <c r="S916" i="16"/>
  <c r="R916" i="16" s="1"/>
  <c r="S915" i="16"/>
  <c r="R915" i="16" s="1"/>
  <c r="S914" i="16"/>
  <c r="R914" i="16" s="1"/>
  <c r="S913" i="16"/>
  <c r="R913" i="16" s="1"/>
  <c r="S912" i="16"/>
  <c r="R912" i="16" s="1"/>
  <c r="S911" i="16"/>
  <c r="R911" i="16" s="1"/>
  <c r="S910" i="16"/>
  <c r="R910" i="16" s="1"/>
  <c r="S909" i="16"/>
  <c r="R909" i="16" s="1"/>
  <c r="S908" i="16"/>
  <c r="R908" i="16" s="1"/>
  <c r="S907" i="16"/>
  <c r="R907" i="16" s="1"/>
  <c r="S906" i="16"/>
  <c r="R906" i="16" s="1"/>
  <c r="S905" i="16"/>
  <c r="R905" i="16" s="1"/>
  <c r="S904" i="16"/>
  <c r="R904" i="16" s="1"/>
  <c r="S903" i="16"/>
  <c r="R903" i="16" s="1"/>
  <c r="S902" i="16"/>
  <c r="R902" i="16" s="1"/>
  <c r="S901" i="16"/>
  <c r="R901" i="16" s="1"/>
  <c r="S900" i="16"/>
  <c r="R900" i="16" s="1"/>
  <c r="S899" i="16"/>
  <c r="R899" i="16" s="1"/>
  <c r="S898" i="16"/>
  <c r="R898" i="16" s="1"/>
  <c r="S897" i="16"/>
  <c r="R897" i="16" s="1"/>
  <c r="S896" i="16"/>
  <c r="R896" i="16" s="1"/>
  <c r="S895" i="16"/>
  <c r="R895" i="16" s="1"/>
  <c r="S894" i="16"/>
  <c r="R894" i="16" s="1"/>
  <c r="S893" i="16"/>
  <c r="R893" i="16" s="1"/>
  <c r="S892" i="16"/>
  <c r="R892" i="16" s="1"/>
  <c r="S891" i="16"/>
  <c r="R891" i="16" s="1"/>
  <c r="S890" i="16"/>
  <c r="R890" i="16" s="1"/>
  <c r="S889" i="16"/>
  <c r="R889" i="16" s="1"/>
  <c r="S888" i="16"/>
  <c r="R888" i="16" s="1"/>
  <c r="S887" i="16"/>
  <c r="R887" i="16" s="1"/>
  <c r="S886" i="16"/>
  <c r="R886" i="16" s="1"/>
  <c r="S885" i="16"/>
  <c r="R885" i="16" s="1"/>
  <c r="S884" i="16"/>
  <c r="R884" i="16" s="1"/>
  <c r="S883" i="16"/>
  <c r="R883" i="16" s="1"/>
  <c r="S882" i="16"/>
  <c r="R882" i="16" s="1"/>
  <c r="S881" i="16"/>
  <c r="R881" i="16" s="1"/>
  <c r="S880" i="16"/>
  <c r="R880" i="16" s="1"/>
  <c r="S879" i="16"/>
  <c r="R879" i="16" s="1"/>
  <c r="S878" i="16"/>
  <c r="R878" i="16" s="1"/>
  <c r="S877" i="16"/>
  <c r="R877" i="16" s="1"/>
  <c r="S876" i="16"/>
  <c r="R876" i="16" s="1"/>
  <c r="S875" i="16"/>
  <c r="R875" i="16" s="1"/>
  <c r="S874" i="16"/>
  <c r="R874" i="16" s="1"/>
  <c r="S873" i="16"/>
  <c r="R873" i="16" s="1"/>
  <c r="S872" i="16"/>
  <c r="R872" i="16" s="1"/>
  <c r="S871" i="16"/>
  <c r="R871" i="16" s="1"/>
  <c r="S870" i="16"/>
  <c r="R870" i="16" s="1"/>
  <c r="S869" i="16"/>
  <c r="R869" i="16" s="1"/>
  <c r="S868" i="16"/>
  <c r="R868" i="16" s="1"/>
  <c r="S867" i="16"/>
  <c r="R867" i="16" s="1"/>
  <c r="S866" i="16"/>
  <c r="R866" i="16" s="1"/>
  <c r="S865" i="16"/>
  <c r="R865" i="16" s="1"/>
  <c r="S864" i="16"/>
  <c r="R864" i="16" s="1"/>
  <c r="S863" i="16"/>
  <c r="R863" i="16" s="1"/>
  <c r="S862" i="16"/>
  <c r="R862" i="16" s="1"/>
  <c r="S861" i="16"/>
  <c r="R861" i="16" s="1"/>
  <c r="S860" i="16"/>
  <c r="R860" i="16" s="1"/>
  <c r="S859" i="16"/>
  <c r="R859" i="16" s="1"/>
  <c r="S858" i="16"/>
  <c r="R858" i="16" s="1"/>
  <c r="S857" i="16"/>
  <c r="R857" i="16" s="1"/>
  <c r="S856" i="16"/>
  <c r="R856" i="16" s="1"/>
  <c r="S855" i="16"/>
  <c r="R855" i="16" s="1"/>
  <c r="S854" i="16"/>
  <c r="R854" i="16" s="1"/>
  <c r="S853" i="16"/>
  <c r="R853" i="16" s="1"/>
  <c r="S852" i="16"/>
  <c r="R852" i="16" s="1"/>
  <c r="S851" i="16"/>
  <c r="R851" i="16" s="1"/>
  <c r="S850" i="16"/>
  <c r="R850" i="16" s="1"/>
  <c r="S849" i="16"/>
  <c r="R849" i="16" s="1"/>
  <c r="S848" i="16"/>
  <c r="R848" i="16" s="1"/>
  <c r="S847" i="16"/>
  <c r="R847" i="16" s="1"/>
  <c r="S846" i="16"/>
  <c r="R846" i="16" s="1"/>
  <c r="S845" i="16"/>
  <c r="R845" i="16" s="1"/>
  <c r="S844" i="16"/>
  <c r="R844" i="16" s="1"/>
  <c r="S843" i="16"/>
  <c r="R843" i="16" s="1"/>
  <c r="S842" i="16"/>
  <c r="R842" i="16" s="1"/>
  <c r="S841" i="16"/>
  <c r="R841" i="16" s="1"/>
  <c r="S840" i="16"/>
  <c r="R840" i="16" s="1"/>
  <c r="S839" i="16"/>
  <c r="R839" i="16" s="1"/>
  <c r="S838" i="16"/>
  <c r="R838" i="16" s="1"/>
  <c r="S837" i="16"/>
  <c r="R837" i="16" s="1"/>
  <c r="S836" i="16"/>
  <c r="R836" i="16" s="1"/>
  <c r="S835" i="16"/>
  <c r="R835" i="16" s="1"/>
  <c r="S834" i="16"/>
  <c r="R834" i="16" s="1"/>
  <c r="S833" i="16"/>
  <c r="R833" i="16" s="1"/>
  <c r="S832" i="16"/>
  <c r="R832" i="16" s="1"/>
  <c r="S831" i="16"/>
  <c r="R831" i="16" s="1"/>
  <c r="S830" i="16"/>
  <c r="R830" i="16" s="1"/>
  <c r="S829" i="16"/>
  <c r="R829" i="16" s="1"/>
  <c r="S828" i="16"/>
  <c r="R828" i="16" s="1"/>
  <c r="S827" i="16"/>
  <c r="R827" i="16" s="1"/>
  <c r="S826" i="16"/>
  <c r="R826" i="16" s="1"/>
  <c r="S825" i="16"/>
  <c r="R825" i="16" s="1"/>
  <c r="S824" i="16"/>
  <c r="R824" i="16" s="1"/>
  <c r="S823" i="16"/>
  <c r="R823" i="16" s="1"/>
  <c r="S822" i="16"/>
  <c r="R822" i="16" s="1"/>
  <c r="S821" i="16"/>
  <c r="R821" i="16" s="1"/>
  <c r="S820" i="16"/>
  <c r="R820" i="16" s="1"/>
  <c r="S819" i="16"/>
  <c r="R819" i="16" s="1"/>
  <c r="S818" i="16"/>
  <c r="R818" i="16" s="1"/>
  <c r="S817" i="16"/>
  <c r="R817" i="16" s="1"/>
  <c r="S816" i="16"/>
  <c r="R816" i="16" s="1"/>
  <c r="S815" i="16"/>
  <c r="R815" i="16" s="1"/>
  <c r="S814" i="16"/>
  <c r="R814" i="16" s="1"/>
  <c r="S813" i="16"/>
  <c r="R813" i="16" s="1"/>
  <c r="S812" i="16"/>
  <c r="R812" i="16" s="1"/>
  <c r="S811" i="16"/>
  <c r="R811" i="16" s="1"/>
  <c r="S810" i="16"/>
  <c r="R810" i="16" s="1"/>
  <c r="S809" i="16"/>
  <c r="R809" i="16" s="1"/>
  <c r="S808" i="16"/>
  <c r="R808" i="16" s="1"/>
  <c r="S807" i="16"/>
  <c r="R807" i="16" s="1"/>
  <c r="S806" i="16"/>
  <c r="R806" i="16" s="1"/>
  <c r="S805" i="16"/>
  <c r="R805" i="16" s="1"/>
  <c r="S804" i="16"/>
  <c r="R804" i="16" s="1"/>
  <c r="S803" i="16"/>
  <c r="R803" i="16" s="1"/>
  <c r="S802" i="16"/>
  <c r="R802" i="16" s="1"/>
  <c r="S801" i="16"/>
  <c r="R801" i="16" s="1"/>
  <c r="S800" i="16"/>
  <c r="R800" i="16" s="1"/>
  <c r="S799" i="16"/>
  <c r="R799" i="16" s="1"/>
  <c r="S798" i="16"/>
  <c r="R798" i="16" s="1"/>
  <c r="S797" i="16"/>
  <c r="R797" i="16" s="1"/>
  <c r="S796" i="16"/>
  <c r="R796" i="16" s="1"/>
  <c r="S795" i="16"/>
  <c r="R795" i="16" s="1"/>
  <c r="S794" i="16"/>
  <c r="R794" i="16" s="1"/>
  <c r="S793" i="16"/>
  <c r="R793" i="16" s="1"/>
  <c r="S792" i="16"/>
  <c r="R792" i="16" s="1"/>
  <c r="S791" i="16"/>
  <c r="R791" i="16" s="1"/>
  <c r="S790" i="16"/>
  <c r="R790" i="16" s="1"/>
  <c r="S789" i="16"/>
  <c r="R789" i="16" s="1"/>
  <c r="S788" i="16"/>
  <c r="R788" i="16" s="1"/>
  <c r="S787" i="16"/>
  <c r="R787" i="16" s="1"/>
  <c r="S786" i="16"/>
  <c r="R786" i="16" s="1"/>
  <c r="S785" i="16"/>
  <c r="R785" i="16" s="1"/>
  <c r="S784" i="16"/>
  <c r="R784" i="16" s="1"/>
  <c r="S783" i="16"/>
  <c r="R783" i="16" s="1"/>
  <c r="S782" i="16"/>
  <c r="R782" i="16" s="1"/>
  <c r="S781" i="16"/>
  <c r="R781" i="16" s="1"/>
  <c r="S780" i="16"/>
  <c r="R780" i="16" s="1"/>
  <c r="S779" i="16"/>
  <c r="R779" i="16" s="1"/>
  <c r="S778" i="16"/>
  <c r="R778" i="16" s="1"/>
  <c r="S777" i="16"/>
  <c r="R777" i="16" s="1"/>
  <c r="S776" i="16"/>
  <c r="R776" i="16" s="1"/>
  <c r="S775" i="16"/>
  <c r="R775" i="16" s="1"/>
  <c r="S774" i="16"/>
  <c r="R774" i="16" s="1"/>
  <c r="S773" i="16"/>
  <c r="R773" i="16" s="1"/>
  <c r="S772" i="16"/>
  <c r="R772" i="16" s="1"/>
  <c r="S771" i="16"/>
  <c r="R771" i="16" s="1"/>
  <c r="S770" i="16"/>
  <c r="R770" i="16" s="1"/>
  <c r="S769" i="16"/>
  <c r="R769" i="16" s="1"/>
  <c r="S768" i="16"/>
  <c r="R768" i="16" s="1"/>
  <c r="S767" i="16"/>
  <c r="R767" i="16" s="1"/>
  <c r="S766" i="16"/>
  <c r="R766" i="16" s="1"/>
  <c r="S765" i="16"/>
  <c r="R765" i="16" s="1"/>
  <c r="S764" i="16"/>
  <c r="R764" i="16" s="1"/>
  <c r="S763" i="16"/>
  <c r="R763" i="16" s="1"/>
  <c r="S762" i="16"/>
  <c r="R762" i="16" s="1"/>
  <c r="S761" i="16"/>
  <c r="R761" i="16" s="1"/>
  <c r="S760" i="16"/>
  <c r="R760" i="16" s="1"/>
  <c r="S759" i="16"/>
  <c r="R759" i="16" s="1"/>
  <c r="S758" i="16"/>
  <c r="R758" i="16" s="1"/>
  <c r="S757" i="16"/>
  <c r="R757" i="16" s="1"/>
  <c r="S756" i="16"/>
  <c r="R756" i="16" s="1"/>
  <c r="S755" i="16"/>
  <c r="R755" i="16" s="1"/>
  <c r="S754" i="16"/>
  <c r="R754" i="16" s="1"/>
  <c r="S753" i="16"/>
  <c r="R753" i="16" s="1"/>
  <c r="S752" i="16"/>
  <c r="R752" i="16" s="1"/>
  <c r="S751" i="16"/>
  <c r="R751" i="16" s="1"/>
  <c r="S750" i="16"/>
  <c r="R750" i="16" s="1"/>
  <c r="S749" i="16"/>
  <c r="R749" i="16" s="1"/>
  <c r="S748" i="16"/>
  <c r="R748" i="16" s="1"/>
  <c r="S747" i="16"/>
  <c r="R747" i="16" s="1"/>
  <c r="S746" i="16"/>
  <c r="R746" i="16" s="1"/>
  <c r="S745" i="16"/>
  <c r="R745" i="16" s="1"/>
  <c r="S744" i="16"/>
  <c r="R744" i="16" s="1"/>
  <c r="S743" i="16"/>
  <c r="R743" i="16" s="1"/>
  <c r="S742" i="16"/>
  <c r="R742" i="16" s="1"/>
  <c r="S741" i="16"/>
  <c r="R741" i="16" s="1"/>
  <c r="S740" i="16"/>
  <c r="R740" i="16" s="1"/>
  <c r="S739" i="16"/>
  <c r="R739" i="16" s="1"/>
  <c r="S738" i="16"/>
  <c r="R738" i="16" s="1"/>
  <c r="S737" i="16"/>
  <c r="R737" i="16" s="1"/>
  <c r="S736" i="16"/>
  <c r="R736" i="16" s="1"/>
  <c r="S735" i="16"/>
  <c r="R735" i="16" s="1"/>
  <c r="S734" i="16"/>
  <c r="R734" i="16" s="1"/>
  <c r="S733" i="16"/>
  <c r="R733" i="16" s="1"/>
  <c r="S732" i="16"/>
  <c r="R732" i="16" s="1"/>
  <c r="S731" i="16"/>
  <c r="R731" i="16" s="1"/>
  <c r="S730" i="16"/>
  <c r="R730" i="16" s="1"/>
  <c r="S729" i="16"/>
  <c r="R729" i="16" s="1"/>
  <c r="S728" i="16"/>
  <c r="R728" i="16" s="1"/>
  <c r="S727" i="16"/>
  <c r="R727" i="16" s="1"/>
  <c r="S726" i="16"/>
  <c r="R726" i="16" s="1"/>
  <c r="S725" i="16"/>
  <c r="R725" i="16" s="1"/>
  <c r="S724" i="16"/>
  <c r="R724" i="16" s="1"/>
  <c r="S723" i="16"/>
  <c r="R723" i="16" s="1"/>
  <c r="S722" i="16"/>
  <c r="R722" i="16" s="1"/>
  <c r="S721" i="16"/>
  <c r="R721" i="16" s="1"/>
  <c r="S720" i="16"/>
  <c r="R720" i="16" s="1"/>
  <c r="S719" i="16"/>
  <c r="R719" i="16" s="1"/>
  <c r="S718" i="16"/>
  <c r="R718" i="16" s="1"/>
  <c r="S717" i="16"/>
  <c r="R717" i="16" s="1"/>
  <c r="S716" i="16"/>
  <c r="R716" i="16" s="1"/>
  <c r="S715" i="16"/>
  <c r="R715" i="16" s="1"/>
  <c r="S714" i="16"/>
  <c r="R714" i="16" s="1"/>
  <c r="S713" i="16"/>
  <c r="R713" i="16" s="1"/>
  <c r="S712" i="16"/>
  <c r="R712" i="16" s="1"/>
  <c r="S711" i="16"/>
  <c r="R711" i="16" s="1"/>
  <c r="S710" i="16"/>
  <c r="R710" i="16" s="1"/>
  <c r="S709" i="16"/>
  <c r="R709" i="16" s="1"/>
  <c r="S708" i="16"/>
  <c r="R708" i="16" s="1"/>
  <c r="S707" i="16"/>
  <c r="R707" i="16" s="1"/>
  <c r="S706" i="16"/>
  <c r="R706" i="16" s="1"/>
  <c r="S705" i="16"/>
  <c r="R705" i="16" s="1"/>
  <c r="S704" i="16"/>
  <c r="R704" i="16" s="1"/>
  <c r="S703" i="16"/>
  <c r="R703" i="16" s="1"/>
  <c r="S702" i="16"/>
  <c r="R702" i="16" s="1"/>
  <c r="S701" i="16"/>
  <c r="R701" i="16" s="1"/>
  <c r="S700" i="16"/>
  <c r="R700" i="16" s="1"/>
  <c r="S699" i="16"/>
  <c r="R699" i="16" s="1"/>
  <c r="S698" i="16"/>
  <c r="R698" i="16" s="1"/>
  <c r="S697" i="16"/>
  <c r="R697" i="16" s="1"/>
  <c r="S696" i="16"/>
  <c r="R696" i="16" s="1"/>
  <c r="S695" i="16"/>
  <c r="R695" i="16" s="1"/>
  <c r="S694" i="16"/>
  <c r="R694" i="16" s="1"/>
  <c r="S693" i="16"/>
  <c r="R693" i="16" s="1"/>
  <c r="S692" i="16"/>
  <c r="R692" i="16" s="1"/>
  <c r="S691" i="16"/>
  <c r="R691" i="16" s="1"/>
  <c r="S690" i="16"/>
  <c r="R690" i="16" s="1"/>
  <c r="S689" i="16"/>
  <c r="R689" i="16" s="1"/>
  <c r="S688" i="16"/>
  <c r="R688" i="16" s="1"/>
  <c r="S687" i="16"/>
  <c r="R687" i="16" s="1"/>
  <c r="S686" i="16"/>
  <c r="R686" i="16" s="1"/>
  <c r="S685" i="16"/>
  <c r="R685" i="16" s="1"/>
  <c r="S684" i="16"/>
  <c r="R684" i="16" s="1"/>
  <c r="S683" i="16"/>
  <c r="R683" i="16" s="1"/>
  <c r="S682" i="16"/>
  <c r="R682" i="16" s="1"/>
  <c r="S681" i="16"/>
  <c r="R681" i="16" s="1"/>
  <c r="S680" i="16"/>
  <c r="R680" i="16" s="1"/>
  <c r="S679" i="16"/>
  <c r="R679" i="16" s="1"/>
  <c r="S678" i="16"/>
  <c r="R678" i="16" s="1"/>
  <c r="S677" i="16"/>
  <c r="R677" i="16" s="1"/>
  <c r="S676" i="16"/>
  <c r="R676" i="16" s="1"/>
  <c r="S675" i="16"/>
  <c r="R675" i="16" s="1"/>
  <c r="S674" i="16"/>
  <c r="R674" i="16" s="1"/>
  <c r="S673" i="16"/>
  <c r="R673" i="16" s="1"/>
  <c r="S672" i="16"/>
  <c r="R672" i="16" s="1"/>
  <c r="S671" i="16"/>
  <c r="R671" i="16" s="1"/>
  <c r="S670" i="16"/>
  <c r="R670" i="16" s="1"/>
  <c r="S669" i="16"/>
  <c r="R669" i="16" s="1"/>
  <c r="S668" i="16"/>
  <c r="R668" i="16" s="1"/>
  <c r="S667" i="16"/>
  <c r="R667" i="16" s="1"/>
  <c r="S666" i="16"/>
  <c r="R666" i="16" s="1"/>
  <c r="S665" i="16"/>
  <c r="R665" i="16" s="1"/>
  <c r="S664" i="16"/>
  <c r="R664" i="16" s="1"/>
  <c r="S663" i="16"/>
  <c r="R663" i="16" s="1"/>
  <c r="S662" i="16"/>
  <c r="R662" i="16" s="1"/>
  <c r="S661" i="16"/>
  <c r="R661" i="16" s="1"/>
  <c r="S660" i="16"/>
  <c r="R660" i="16" s="1"/>
  <c r="S659" i="16"/>
  <c r="R659" i="16" s="1"/>
  <c r="S658" i="16"/>
  <c r="R658" i="16" s="1"/>
  <c r="S657" i="16"/>
  <c r="R657" i="16" s="1"/>
  <c r="S656" i="16"/>
  <c r="R656" i="16" s="1"/>
  <c r="S655" i="16"/>
  <c r="R655" i="16" s="1"/>
  <c r="S654" i="16"/>
  <c r="R654" i="16" s="1"/>
  <c r="S653" i="16"/>
  <c r="R653" i="16" s="1"/>
  <c r="S652" i="16"/>
  <c r="R652" i="16" s="1"/>
  <c r="S651" i="16"/>
  <c r="R651" i="16" s="1"/>
  <c r="S650" i="16"/>
  <c r="R650" i="16" s="1"/>
  <c r="S649" i="16"/>
  <c r="R649" i="16" s="1"/>
  <c r="S648" i="16"/>
  <c r="R648" i="16" s="1"/>
  <c r="S647" i="16"/>
  <c r="R647" i="16" s="1"/>
  <c r="S646" i="16"/>
  <c r="R646" i="16" s="1"/>
  <c r="S645" i="16"/>
  <c r="R645" i="16" s="1"/>
  <c r="S644" i="16"/>
  <c r="R644" i="16" s="1"/>
  <c r="S643" i="16"/>
  <c r="R643" i="16" s="1"/>
  <c r="S642" i="16"/>
  <c r="R642" i="16" s="1"/>
  <c r="S641" i="16"/>
  <c r="R641" i="16" s="1"/>
  <c r="S640" i="16"/>
  <c r="R640" i="16" s="1"/>
  <c r="S639" i="16"/>
  <c r="R639" i="16" s="1"/>
  <c r="S638" i="16"/>
  <c r="R638" i="16" s="1"/>
  <c r="S637" i="16"/>
  <c r="R637" i="16" s="1"/>
  <c r="S636" i="16"/>
  <c r="R636" i="16" s="1"/>
  <c r="S635" i="16"/>
  <c r="R635" i="16" s="1"/>
  <c r="S634" i="16"/>
  <c r="R634" i="16" s="1"/>
  <c r="S633" i="16"/>
  <c r="R633" i="16" s="1"/>
  <c r="S632" i="16"/>
  <c r="R632" i="16" s="1"/>
  <c r="S631" i="16"/>
  <c r="R631" i="16" s="1"/>
  <c r="S630" i="16"/>
  <c r="R630" i="16" s="1"/>
  <c r="S629" i="16"/>
  <c r="R629" i="16" s="1"/>
  <c r="S628" i="16"/>
  <c r="R628" i="16" s="1"/>
  <c r="S627" i="16"/>
  <c r="R627" i="16" s="1"/>
  <c r="S626" i="16"/>
  <c r="R626" i="16" s="1"/>
  <c r="S625" i="16"/>
  <c r="R625" i="16" s="1"/>
  <c r="S624" i="16"/>
  <c r="R624" i="16" s="1"/>
  <c r="S623" i="16"/>
  <c r="R623" i="16" s="1"/>
  <c r="S622" i="16"/>
  <c r="R622" i="16" s="1"/>
  <c r="S621" i="16"/>
  <c r="R621" i="16" s="1"/>
  <c r="S620" i="16"/>
  <c r="R620" i="16" s="1"/>
  <c r="S619" i="16"/>
  <c r="R619" i="16" s="1"/>
  <c r="S618" i="16"/>
  <c r="R618" i="16" s="1"/>
  <c r="S617" i="16"/>
  <c r="R617" i="16" s="1"/>
  <c r="S616" i="16"/>
  <c r="R616" i="16" s="1"/>
  <c r="S615" i="16"/>
  <c r="R615" i="16" s="1"/>
  <c r="S614" i="16"/>
  <c r="R614" i="16" s="1"/>
  <c r="S613" i="16"/>
  <c r="R613" i="16" s="1"/>
  <c r="S612" i="16"/>
  <c r="R612" i="16" s="1"/>
  <c r="S611" i="16"/>
  <c r="R611" i="16" s="1"/>
  <c r="S610" i="16"/>
  <c r="R610" i="16" s="1"/>
  <c r="S609" i="16"/>
  <c r="R609" i="16" s="1"/>
  <c r="S608" i="16"/>
  <c r="R608" i="16" s="1"/>
  <c r="S607" i="16"/>
  <c r="R607" i="16" s="1"/>
  <c r="S606" i="16"/>
  <c r="R606" i="16" s="1"/>
  <c r="S605" i="16"/>
  <c r="R605" i="16" s="1"/>
  <c r="S604" i="16"/>
  <c r="R604" i="16" s="1"/>
  <c r="S603" i="16"/>
  <c r="R603" i="16" s="1"/>
  <c r="S602" i="16"/>
  <c r="R602" i="16" s="1"/>
  <c r="S601" i="16"/>
  <c r="R601" i="16" s="1"/>
  <c r="S600" i="16"/>
  <c r="R600" i="16" s="1"/>
  <c r="S599" i="16"/>
  <c r="R599" i="16" s="1"/>
  <c r="S598" i="16"/>
  <c r="R598" i="16" s="1"/>
  <c r="S597" i="16"/>
  <c r="R597" i="16" s="1"/>
  <c r="S596" i="16"/>
  <c r="R596" i="16" s="1"/>
  <c r="S595" i="16"/>
  <c r="R595" i="16" s="1"/>
  <c r="S594" i="16"/>
  <c r="R594" i="16" s="1"/>
  <c r="S593" i="16"/>
  <c r="R593" i="16" s="1"/>
  <c r="S592" i="16"/>
  <c r="R592" i="16" s="1"/>
  <c r="S591" i="16"/>
  <c r="R591" i="16" s="1"/>
  <c r="S590" i="16"/>
  <c r="R590" i="16" s="1"/>
  <c r="S589" i="16"/>
  <c r="R589" i="16" s="1"/>
  <c r="S588" i="16"/>
  <c r="R588" i="16" s="1"/>
  <c r="S587" i="16"/>
  <c r="R587" i="16" s="1"/>
  <c r="S586" i="16"/>
  <c r="R586" i="16" s="1"/>
  <c r="S585" i="16"/>
  <c r="R585" i="16" s="1"/>
  <c r="S584" i="16"/>
  <c r="R584" i="16" s="1"/>
  <c r="S583" i="16"/>
  <c r="R583" i="16" s="1"/>
  <c r="S582" i="16"/>
  <c r="R582" i="16" s="1"/>
  <c r="S581" i="16"/>
  <c r="R581" i="16" s="1"/>
  <c r="S580" i="16"/>
  <c r="R580" i="16" s="1"/>
  <c r="S579" i="16"/>
  <c r="R579" i="16" s="1"/>
  <c r="S578" i="16"/>
  <c r="R578" i="16" s="1"/>
  <c r="S577" i="16"/>
  <c r="R577" i="16" s="1"/>
  <c r="S576" i="16"/>
  <c r="R576" i="16" s="1"/>
  <c r="S575" i="16"/>
  <c r="R575" i="16" s="1"/>
  <c r="S574" i="16"/>
  <c r="R574" i="16" s="1"/>
  <c r="S573" i="16"/>
  <c r="R573" i="16" s="1"/>
  <c r="S572" i="16"/>
  <c r="R572" i="16" s="1"/>
  <c r="S571" i="16"/>
  <c r="R571" i="16" s="1"/>
  <c r="S570" i="16"/>
  <c r="R570" i="16" s="1"/>
  <c r="S569" i="16"/>
  <c r="R569" i="16" s="1"/>
  <c r="S568" i="16"/>
  <c r="R568" i="16" s="1"/>
  <c r="S567" i="16"/>
  <c r="R567" i="16" s="1"/>
  <c r="S566" i="16"/>
  <c r="R566" i="16" s="1"/>
  <c r="S565" i="16"/>
  <c r="R565" i="16" s="1"/>
  <c r="S564" i="16"/>
  <c r="R564" i="16" s="1"/>
  <c r="S563" i="16"/>
  <c r="R563" i="16" s="1"/>
  <c r="S562" i="16"/>
  <c r="R562" i="16" s="1"/>
  <c r="S561" i="16"/>
  <c r="R561" i="16" s="1"/>
  <c r="S560" i="16"/>
  <c r="R560" i="16" s="1"/>
  <c r="S559" i="16"/>
  <c r="R559" i="16" s="1"/>
  <c r="S558" i="16"/>
  <c r="R558" i="16" s="1"/>
  <c r="S557" i="16"/>
  <c r="R557" i="16" s="1"/>
  <c r="S556" i="16"/>
  <c r="R556" i="16" s="1"/>
  <c r="S555" i="16"/>
  <c r="R555" i="16" s="1"/>
  <c r="S554" i="16"/>
  <c r="R554" i="16" s="1"/>
  <c r="S553" i="16"/>
  <c r="R553" i="16" s="1"/>
  <c r="S552" i="16"/>
  <c r="R552" i="16" s="1"/>
  <c r="S551" i="16"/>
  <c r="R551" i="16" s="1"/>
  <c r="S550" i="16"/>
  <c r="R550" i="16" s="1"/>
  <c r="S549" i="16"/>
  <c r="R549" i="16" s="1"/>
  <c r="S548" i="16"/>
  <c r="R548" i="16" s="1"/>
  <c r="S547" i="16"/>
  <c r="R547" i="16" s="1"/>
  <c r="S546" i="16"/>
  <c r="R546" i="16" s="1"/>
  <c r="S545" i="16"/>
  <c r="R545" i="16" s="1"/>
  <c r="S544" i="16"/>
  <c r="R544" i="16" s="1"/>
  <c r="S543" i="16"/>
  <c r="R543" i="16" s="1"/>
  <c r="S542" i="16"/>
  <c r="R542" i="16" s="1"/>
  <c r="S541" i="16"/>
  <c r="R541" i="16" s="1"/>
  <c r="S540" i="16"/>
  <c r="R540" i="16" s="1"/>
  <c r="S539" i="16"/>
  <c r="R539" i="16" s="1"/>
  <c r="S538" i="16"/>
  <c r="R538" i="16" s="1"/>
  <c r="S537" i="16"/>
  <c r="R537" i="16" s="1"/>
  <c r="S536" i="16"/>
  <c r="R536" i="16" s="1"/>
  <c r="S535" i="16"/>
  <c r="R535" i="16" s="1"/>
  <c r="S534" i="16"/>
  <c r="R534" i="16" s="1"/>
  <c r="S533" i="16"/>
  <c r="R533" i="16" s="1"/>
  <c r="S532" i="16"/>
  <c r="R532" i="16" s="1"/>
  <c r="S531" i="16"/>
  <c r="R531" i="16" s="1"/>
  <c r="S530" i="16"/>
  <c r="R530" i="16" s="1"/>
  <c r="S529" i="16"/>
  <c r="R529" i="16" s="1"/>
  <c r="S528" i="16"/>
  <c r="R528" i="16" s="1"/>
  <c r="S527" i="16"/>
  <c r="R527" i="16" s="1"/>
  <c r="S526" i="16"/>
  <c r="R526" i="16" s="1"/>
  <c r="S525" i="16"/>
  <c r="R525" i="16" s="1"/>
  <c r="S524" i="16"/>
  <c r="R524" i="16" s="1"/>
  <c r="S523" i="16"/>
  <c r="R523" i="16" s="1"/>
  <c r="S522" i="16"/>
  <c r="R522" i="16" s="1"/>
  <c r="S521" i="16"/>
  <c r="R521" i="16" s="1"/>
  <c r="S520" i="16"/>
  <c r="R520" i="16" s="1"/>
  <c r="S519" i="16"/>
  <c r="R519" i="16" s="1"/>
  <c r="S518" i="16"/>
  <c r="R518" i="16" s="1"/>
  <c r="S517" i="16"/>
  <c r="R517" i="16" s="1"/>
  <c r="S516" i="16"/>
  <c r="R516" i="16" s="1"/>
  <c r="S515" i="16"/>
  <c r="R515" i="16" s="1"/>
  <c r="S514" i="16"/>
  <c r="R514" i="16" s="1"/>
  <c r="S513" i="16"/>
  <c r="R513" i="16" s="1"/>
  <c r="S512" i="16"/>
  <c r="R512" i="16" s="1"/>
  <c r="S511" i="16"/>
  <c r="R511" i="16" s="1"/>
  <c r="S510" i="16"/>
  <c r="R510" i="16" s="1"/>
  <c r="S509" i="16"/>
  <c r="R509" i="16" s="1"/>
  <c r="S508" i="16"/>
  <c r="R508" i="16" s="1"/>
  <c r="S507" i="16"/>
  <c r="R507" i="16" s="1"/>
  <c r="S506" i="16"/>
  <c r="R506" i="16" s="1"/>
  <c r="S505" i="16"/>
  <c r="R505" i="16" s="1"/>
  <c r="S504" i="16"/>
  <c r="R504" i="16" s="1"/>
  <c r="S503" i="16"/>
  <c r="R503" i="16" s="1"/>
  <c r="S502" i="16"/>
  <c r="R502" i="16" s="1"/>
  <c r="S501" i="16"/>
  <c r="R501" i="16" s="1"/>
  <c r="S500" i="16"/>
  <c r="R500" i="16" s="1"/>
  <c r="S499" i="16"/>
  <c r="R499" i="16" s="1"/>
  <c r="S498" i="16"/>
  <c r="R498" i="16" s="1"/>
  <c r="S497" i="16"/>
  <c r="R497" i="16" s="1"/>
  <c r="S496" i="16"/>
  <c r="R496" i="16" s="1"/>
  <c r="S495" i="16"/>
  <c r="R495" i="16" s="1"/>
  <c r="S494" i="16"/>
  <c r="R494" i="16" s="1"/>
  <c r="S493" i="16"/>
  <c r="R493" i="16" s="1"/>
  <c r="S492" i="16"/>
  <c r="R492" i="16" s="1"/>
  <c r="S491" i="16"/>
  <c r="R491" i="16" s="1"/>
  <c r="S490" i="16"/>
  <c r="R490" i="16" s="1"/>
  <c r="S489" i="16"/>
  <c r="R489" i="16" s="1"/>
  <c r="S488" i="16"/>
  <c r="R488" i="16" s="1"/>
  <c r="S487" i="16"/>
  <c r="R487" i="16" s="1"/>
  <c r="S486" i="16"/>
  <c r="R486" i="16" s="1"/>
  <c r="S485" i="16"/>
  <c r="R485" i="16" s="1"/>
  <c r="S484" i="16"/>
  <c r="R484" i="16" s="1"/>
  <c r="S483" i="16"/>
  <c r="R483" i="16" s="1"/>
  <c r="S482" i="16"/>
  <c r="R482" i="16" s="1"/>
  <c r="S481" i="16"/>
  <c r="R481" i="16" s="1"/>
  <c r="S480" i="16"/>
  <c r="R480" i="16" s="1"/>
  <c r="S479" i="16"/>
  <c r="R479" i="16" s="1"/>
  <c r="S478" i="16"/>
  <c r="R478" i="16" s="1"/>
  <c r="S477" i="16"/>
  <c r="R477" i="16" s="1"/>
  <c r="S476" i="16"/>
  <c r="R476" i="16" s="1"/>
  <c r="S475" i="16"/>
  <c r="R475" i="16" s="1"/>
  <c r="S474" i="16"/>
  <c r="R474" i="16" s="1"/>
  <c r="S473" i="16"/>
  <c r="R473" i="16" s="1"/>
  <c r="S472" i="16"/>
  <c r="R472" i="16" s="1"/>
  <c r="S471" i="16"/>
  <c r="R471" i="16" s="1"/>
  <c r="S470" i="16"/>
  <c r="R470" i="16" s="1"/>
  <c r="S469" i="16"/>
  <c r="R469" i="16" s="1"/>
  <c r="S468" i="16"/>
  <c r="R468" i="16" s="1"/>
  <c r="S467" i="16"/>
  <c r="R467" i="16" s="1"/>
  <c r="S466" i="16"/>
  <c r="R466" i="16" s="1"/>
  <c r="S465" i="16"/>
  <c r="R465" i="16" s="1"/>
  <c r="S464" i="16"/>
  <c r="R464" i="16" s="1"/>
  <c r="S463" i="16"/>
  <c r="R463" i="16" s="1"/>
  <c r="S462" i="16"/>
  <c r="R462" i="16" s="1"/>
  <c r="S461" i="16"/>
  <c r="R461" i="16" s="1"/>
  <c r="S460" i="16"/>
  <c r="R460" i="16" s="1"/>
  <c r="S459" i="16"/>
  <c r="R459" i="16" s="1"/>
  <c r="S458" i="16"/>
  <c r="R458" i="16" s="1"/>
  <c r="S457" i="16"/>
  <c r="R457" i="16" s="1"/>
  <c r="S456" i="16"/>
  <c r="R456" i="16" s="1"/>
  <c r="S455" i="16"/>
  <c r="R455" i="16" s="1"/>
  <c r="S454" i="16"/>
  <c r="R454" i="16" s="1"/>
  <c r="S453" i="16"/>
  <c r="R453" i="16" s="1"/>
  <c r="S452" i="16"/>
  <c r="R452" i="16" s="1"/>
  <c r="S451" i="16"/>
  <c r="R451" i="16" s="1"/>
  <c r="S450" i="16"/>
  <c r="R450" i="16" s="1"/>
  <c r="S449" i="16"/>
  <c r="R449" i="16" s="1"/>
  <c r="S448" i="16"/>
  <c r="R448" i="16" s="1"/>
  <c r="S447" i="16"/>
  <c r="R447" i="16" s="1"/>
  <c r="S446" i="16"/>
  <c r="R446" i="16" s="1"/>
  <c r="S445" i="16"/>
  <c r="R445" i="16" s="1"/>
  <c r="S444" i="16"/>
  <c r="R444" i="16" s="1"/>
  <c r="S443" i="16"/>
  <c r="R443" i="16" s="1"/>
  <c r="S442" i="16"/>
  <c r="R442" i="16" s="1"/>
  <c r="S441" i="16"/>
  <c r="R441" i="16" s="1"/>
  <c r="S440" i="16"/>
  <c r="R440" i="16" s="1"/>
  <c r="S439" i="16"/>
  <c r="R439" i="16" s="1"/>
  <c r="S438" i="16"/>
  <c r="R438" i="16" s="1"/>
  <c r="S437" i="16"/>
  <c r="R437" i="16" s="1"/>
  <c r="S436" i="16"/>
  <c r="R436" i="16" s="1"/>
  <c r="S435" i="16"/>
  <c r="R435" i="16" s="1"/>
  <c r="S434" i="16"/>
  <c r="R434" i="16" s="1"/>
  <c r="S433" i="16"/>
  <c r="R433" i="16" s="1"/>
  <c r="S432" i="16"/>
  <c r="R432" i="16" s="1"/>
  <c r="S431" i="16"/>
  <c r="R431" i="16" s="1"/>
  <c r="S430" i="16"/>
  <c r="R430" i="16" s="1"/>
  <c r="S429" i="16"/>
  <c r="R429" i="16" s="1"/>
  <c r="S428" i="16"/>
  <c r="R428" i="16" s="1"/>
  <c r="S427" i="16"/>
  <c r="R427" i="16" s="1"/>
  <c r="S426" i="16"/>
  <c r="R426" i="16" s="1"/>
  <c r="S425" i="16"/>
  <c r="R425" i="16" s="1"/>
  <c r="S424" i="16"/>
  <c r="R424" i="16" s="1"/>
  <c r="S423" i="16"/>
  <c r="R423" i="16" s="1"/>
  <c r="S422" i="16"/>
  <c r="R422" i="16" s="1"/>
  <c r="S421" i="16"/>
  <c r="R421" i="16" s="1"/>
  <c r="S420" i="16"/>
  <c r="R420" i="16" s="1"/>
  <c r="S419" i="16"/>
  <c r="R419" i="16" s="1"/>
  <c r="S418" i="16"/>
  <c r="R418" i="16" s="1"/>
  <c r="S417" i="16"/>
  <c r="R417" i="16" s="1"/>
  <c r="S416" i="16"/>
  <c r="R416" i="16" s="1"/>
  <c r="S415" i="16"/>
  <c r="R415" i="16" s="1"/>
  <c r="S414" i="16"/>
  <c r="R414" i="16" s="1"/>
  <c r="S413" i="16"/>
  <c r="R413" i="16" s="1"/>
  <c r="S412" i="16"/>
  <c r="R412" i="16" s="1"/>
  <c r="S411" i="16"/>
  <c r="R411" i="16" s="1"/>
  <c r="S410" i="16"/>
  <c r="R410" i="16" s="1"/>
  <c r="S409" i="16"/>
  <c r="R409" i="16" s="1"/>
  <c r="S408" i="16"/>
  <c r="R408" i="16" s="1"/>
  <c r="S407" i="16"/>
  <c r="R407" i="16" s="1"/>
  <c r="S406" i="16"/>
  <c r="R406" i="16" s="1"/>
  <c r="S405" i="16"/>
  <c r="R405" i="16" s="1"/>
  <c r="S404" i="16"/>
  <c r="R404" i="16" s="1"/>
  <c r="S403" i="16"/>
  <c r="R403" i="16" s="1"/>
  <c r="S402" i="16"/>
  <c r="R402" i="16" s="1"/>
  <c r="S401" i="16"/>
  <c r="R401" i="16" s="1"/>
  <c r="S400" i="16"/>
  <c r="R400" i="16" s="1"/>
  <c r="S399" i="16"/>
  <c r="R399" i="16" s="1"/>
  <c r="S398" i="16"/>
  <c r="R398" i="16" s="1"/>
  <c r="S397" i="16"/>
  <c r="R397" i="16" s="1"/>
  <c r="S396" i="16"/>
  <c r="R396" i="16" s="1"/>
  <c r="S395" i="16"/>
  <c r="R395" i="16" s="1"/>
  <c r="S394" i="16"/>
  <c r="R394" i="16" s="1"/>
  <c r="S393" i="16"/>
  <c r="R393" i="16" s="1"/>
  <c r="S392" i="16"/>
  <c r="R392" i="16" s="1"/>
  <c r="S391" i="16"/>
  <c r="R391" i="16" s="1"/>
  <c r="S390" i="16"/>
  <c r="R390" i="16" s="1"/>
  <c r="S389" i="16"/>
  <c r="R389" i="16" s="1"/>
  <c r="S388" i="16"/>
  <c r="R388" i="16" s="1"/>
  <c r="S387" i="16"/>
  <c r="R387" i="16" s="1"/>
  <c r="S386" i="16"/>
  <c r="R386" i="16" s="1"/>
  <c r="S385" i="16"/>
  <c r="R385" i="16" s="1"/>
  <c r="S384" i="16"/>
  <c r="R384" i="16" s="1"/>
  <c r="S383" i="16"/>
  <c r="R383" i="16" s="1"/>
  <c r="S382" i="16"/>
  <c r="R382" i="16" s="1"/>
  <c r="S381" i="16"/>
  <c r="R381" i="16" s="1"/>
  <c r="S380" i="16"/>
  <c r="R380" i="16" s="1"/>
  <c r="S379" i="16"/>
  <c r="R379" i="16" s="1"/>
  <c r="S378" i="16"/>
  <c r="R378" i="16" s="1"/>
  <c r="S377" i="16"/>
  <c r="R377" i="16" s="1"/>
  <c r="S376" i="16"/>
  <c r="R376" i="16" s="1"/>
  <c r="S375" i="16"/>
  <c r="R375" i="16" s="1"/>
  <c r="S374" i="16"/>
  <c r="R374" i="16" s="1"/>
  <c r="S373" i="16"/>
  <c r="R373" i="16" s="1"/>
  <c r="S372" i="16"/>
  <c r="R372" i="16" s="1"/>
  <c r="S371" i="16"/>
  <c r="R371" i="16" s="1"/>
  <c r="S370" i="16"/>
  <c r="R370" i="16" s="1"/>
  <c r="S369" i="16"/>
  <c r="R369" i="16" s="1"/>
  <c r="S368" i="16"/>
  <c r="R368" i="16" s="1"/>
  <c r="S367" i="16"/>
  <c r="R367" i="16" s="1"/>
  <c r="S366" i="16"/>
  <c r="R366" i="16" s="1"/>
  <c r="S365" i="16"/>
  <c r="R365" i="16" s="1"/>
  <c r="S364" i="16"/>
  <c r="R364" i="16" s="1"/>
  <c r="S363" i="16"/>
  <c r="R363" i="16" s="1"/>
  <c r="S362" i="16"/>
  <c r="R362" i="16" s="1"/>
  <c r="S361" i="16"/>
  <c r="R361" i="16" s="1"/>
  <c r="S360" i="16"/>
  <c r="R360" i="16" s="1"/>
  <c r="S359" i="16"/>
  <c r="R359" i="16" s="1"/>
  <c r="S358" i="16"/>
  <c r="R358" i="16" s="1"/>
  <c r="S357" i="16"/>
  <c r="R357" i="16" s="1"/>
  <c r="S356" i="16"/>
  <c r="R356" i="16" s="1"/>
  <c r="S355" i="16"/>
  <c r="R355" i="16" s="1"/>
  <c r="S354" i="16"/>
  <c r="R354" i="16" s="1"/>
  <c r="S353" i="16"/>
  <c r="R353" i="16" s="1"/>
  <c r="S352" i="16"/>
  <c r="R352" i="16" s="1"/>
  <c r="S351" i="16"/>
  <c r="R351" i="16" s="1"/>
  <c r="S350" i="16"/>
  <c r="R350" i="16" s="1"/>
  <c r="S349" i="16"/>
  <c r="R349" i="16" s="1"/>
  <c r="S348" i="16"/>
  <c r="R348" i="16" s="1"/>
  <c r="S347" i="16"/>
  <c r="R347" i="16" s="1"/>
  <c r="S346" i="16"/>
  <c r="R346" i="16" s="1"/>
  <c r="S345" i="16"/>
  <c r="R345" i="16" s="1"/>
  <c r="S344" i="16"/>
  <c r="R344" i="16" s="1"/>
  <c r="S343" i="16"/>
  <c r="R343" i="16" s="1"/>
  <c r="S342" i="16"/>
  <c r="R342" i="16" s="1"/>
  <c r="S341" i="16"/>
  <c r="R341" i="16" s="1"/>
  <c r="S340" i="16"/>
  <c r="R340" i="16" s="1"/>
  <c r="S339" i="16"/>
  <c r="R339" i="16" s="1"/>
  <c r="S338" i="16"/>
  <c r="R338" i="16" s="1"/>
  <c r="S337" i="16"/>
  <c r="R337" i="16" s="1"/>
  <c r="S336" i="16"/>
  <c r="R336" i="16" s="1"/>
  <c r="S335" i="16"/>
  <c r="R335" i="16" s="1"/>
  <c r="S334" i="16"/>
  <c r="R334" i="16" s="1"/>
  <c r="S333" i="16"/>
  <c r="R333" i="16" s="1"/>
  <c r="S332" i="16"/>
  <c r="R332" i="16" s="1"/>
  <c r="S331" i="16"/>
  <c r="R331" i="16" s="1"/>
  <c r="S330" i="16"/>
  <c r="R330" i="16" s="1"/>
  <c r="S329" i="16"/>
  <c r="R329" i="16" s="1"/>
  <c r="S328" i="16"/>
  <c r="R328" i="16" s="1"/>
  <c r="S327" i="16"/>
  <c r="R327" i="16" s="1"/>
  <c r="S326" i="16"/>
  <c r="R326" i="16" s="1"/>
  <c r="S325" i="16"/>
  <c r="R325" i="16" s="1"/>
  <c r="S324" i="16"/>
  <c r="R324" i="16" s="1"/>
  <c r="S323" i="16"/>
  <c r="R323" i="16" s="1"/>
  <c r="S322" i="16"/>
  <c r="R322" i="16" s="1"/>
  <c r="S321" i="16"/>
  <c r="R321" i="16" s="1"/>
  <c r="S320" i="16"/>
  <c r="R320" i="16" s="1"/>
  <c r="S319" i="16"/>
  <c r="R319" i="16" s="1"/>
  <c r="S318" i="16"/>
  <c r="R318" i="16" s="1"/>
  <c r="S317" i="16"/>
  <c r="R317" i="16" s="1"/>
  <c r="S316" i="16"/>
  <c r="R316" i="16" s="1"/>
  <c r="S315" i="16"/>
  <c r="R315" i="16" s="1"/>
  <c r="S314" i="16"/>
  <c r="R314" i="16" s="1"/>
  <c r="S313" i="16"/>
  <c r="R313" i="16" s="1"/>
  <c r="S312" i="16"/>
  <c r="R312" i="16" s="1"/>
  <c r="S311" i="16"/>
  <c r="R311" i="16" s="1"/>
  <c r="S310" i="16"/>
  <c r="R310" i="16" s="1"/>
  <c r="S309" i="16"/>
  <c r="R309" i="16" s="1"/>
  <c r="S308" i="16"/>
  <c r="R308" i="16" s="1"/>
  <c r="S307" i="16"/>
  <c r="R307" i="16" s="1"/>
  <c r="S306" i="16"/>
  <c r="R306" i="16" s="1"/>
  <c r="S305" i="16"/>
  <c r="R305" i="16" s="1"/>
  <c r="S304" i="16"/>
  <c r="R304" i="16" s="1"/>
  <c r="S303" i="16"/>
  <c r="R303" i="16" s="1"/>
  <c r="S302" i="16"/>
  <c r="R302" i="16" s="1"/>
  <c r="S301" i="16"/>
  <c r="R301" i="16" s="1"/>
  <c r="S300" i="16"/>
  <c r="R300" i="16" s="1"/>
  <c r="S299" i="16"/>
  <c r="R299" i="16" s="1"/>
  <c r="S298" i="16"/>
  <c r="R298" i="16" s="1"/>
  <c r="S297" i="16"/>
  <c r="R297" i="16" s="1"/>
  <c r="S296" i="16"/>
  <c r="R296" i="16" s="1"/>
  <c r="S295" i="16"/>
  <c r="R295" i="16" s="1"/>
  <c r="S294" i="16"/>
  <c r="R294" i="16" s="1"/>
  <c r="S293" i="16"/>
  <c r="R293" i="16" s="1"/>
  <c r="S292" i="16"/>
  <c r="R292" i="16" s="1"/>
  <c r="S291" i="16"/>
  <c r="R291" i="16" s="1"/>
  <c r="S290" i="16"/>
  <c r="R290" i="16" s="1"/>
  <c r="S289" i="16"/>
  <c r="R289" i="16" s="1"/>
  <c r="S288" i="16"/>
  <c r="R288" i="16" s="1"/>
  <c r="S287" i="16"/>
  <c r="R287" i="16" s="1"/>
  <c r="S286" i="16"/>
  <c r="R286" i="16" s="1"/>
  <c r="S285" i="16"/>
  <c r="R285" i="16" s="1"/>
  <c r="S284" i="16"/>
  <c r="R284" i="16" s="1"/>
  <c r="S283" i="16"/>
  <c r="R283" i="16" s="1"/>
  <c r="S282" i="16"/>
  <c r="R282" i="16" s="1"/>
  <c r="S281" i="16"/>
  <c r="R281" i="16" s="1"/>
  <c r="S280" i="16"/>
  <c r="R280" i="16" s="1"/>
  <c r="S279" i="16"/>
  <c r="R279" i="16" s="1"/>
  <c r="S278" i="16"/>
  <c r="R278" i="16" s="1"/>
  <c r="S277" i="16"/>
  <c r="R277" i="16" s="1"/>
  <c r="S276" i="16"/>
  <c r="R276" i="16" s="1"/>
  <c r="S275" i="16"/>
  <c r="R275" i="16" s="1"/>
  <c r="S274" i="16"/>
  <c r="R274" i="16" s="1"/>
  <c r="S273" i="16"/>
  <c r="R273" i="16" s="1"/>
  <c r="S272" i="16"/>
  <c r="R272" i="16" s="1"/>
  <c r="S271" i="16"/>
  <c r="R271" i="16" s="1"/>
  <c r="S270" i="16"/>
  <c r="R270" i="16" s="1"/>
  <c r="S269" i="16"/>
  <c r="R269" i="16" s="1"/>
  <c r="S268" i="16"/>
  <c r="R268" i="16" s="1"/>
  <c r="S267" i="16"/>
  <c r="R267" i="16" s="1"/>
  <c r="S266" i="16"/>
  <c r="R266" i="16" s="1"/>
  <c r="S265" i="16"/>
  <c r="R265" i="16" s="1"/>
  <c r="S264" i="16"/>
  <c r="R264" i="16" s="1"/>
  <c r="S263" i="16"/>
  <c r="R263" i="16" s="1"/>
  <c r="S262" i="16"/>
  <c r="R262" i="16" s="1"/>
  <c r="S261" i="16"/>
  <c r="R261" i="16" s="1"/>
  <c r="S260" i="16"/>
  <c r="R260" i="16" s="1"/>
  <c r="S259" i="16"/>
  <c r="R259" i="16" s="1"/>
  <c r="S258" i="16"/>
  <c r="R258" i="16" s="1"/>
  <c r="S257" i="16"/>
  <c r="R257" i="16" s="1"/>
  <c r="S256" i="16"/>
  <c r="R256" i="16" s="1"/>
  <c r="S255" i="16"/>
  <c r="R255" i="16" s="1"/>
  <c r="S254" i="16"/>
  <c r="R254" i="16" s="1"/>
  <c r="S253" i="16"/>
  <c r="R253" i="16" s="1"/>
  <c r="S252" i="16"/>
  <c r="R252" i="16" s="1"/>
  <c r="S251" i="16"/>
  <c r="R251" i="16" s="1"/>
  <c r="S250" i="16"/>
  <c r="R250" i="16" s="1"/>
  <c r="S249" i="16"/>
  <c r="R249" i="16" s="1"/>
  <c r="S248" i="16"/>
  <c r="R248" i="16" s="1"/>
  <c r="S247" i="16"/>
  <c r="R247" i="16" s="1"/>
  <c r="S246" i="16"/>
  <c r="R246" i="16" s="1"/>
  <c r="S245" i="16"/>
  <c r="R245" i="16" s="1"/>
  <c r="S244" i="16"/>
  <c r="R244" i="16" s="1"/>
  <c r="S243" i="16"/>
  <c r="R243" i="16" s="1"/>
  <c r="S242" i="16"/>
  <c r="R242" i="16" s="1"/>
  <c r="S241" i="16"/>
  <c r="R241" i="16" s="1"/>
  <c r="S240" i="16"/>
  <c r="R240" i="16" s="1"/>
  <c r="S239" i="16"/>
  <c r="R239" i="16" s="1"/>
  <c r="S238" i="16"/>
  <c r="R238" i="16" s="1"/>
  <c r="S237" i="16"/>
  <c r="R237" i="16" s="1"/>
  <c r="S236" i="16"/>
  <c r="R236" i="16" s="1"/>
  <c r="S235" i="16"/>
  <c r="R235" i="16" s="1"/>
  <c r="S234" i="16"/>
  <c r="R234" i="16" s="1"/>
  <c r="S233" i="16"/>
  <c r="R233" i="16" s="1"/>
  <c r="S232" i="16"/>
  <c r="R232" i="16" s="1"/>
  <c r="S231" i="16"/>
  <c r="R231" i="16" s="1"/>
  <c r="S230" i="16"/>
  <c r="R230" i="16" s="1"/>
  <c r="S229" i="16"/>
  <c r="R229" i="16" s="1"/>
  <c r="S228" i="16"/>
  <c r="R228" i="16" s="1"/>
  <c r="S227" i="16"/>
  <c r="R227" i="16" s="1"/>
  <c r="S226" i="16"/>
  <c r="R226" i="16" s="1"/>
  <c r="S225" i="16"/>
  <c r="R225" i="16" s="1"/>
  <c r="S224" i="16"/>
  <c r="R224" i="16" s="1"/>
  <c r="S223" i="16"/>
  <c r="R223" i="16" s="1"/>
  <c r="S222" i="16"/>
  <c r="R222" i="16" s="1"/>
  <c r="S221" i="16"/>
  <c r="R221" i="16" s="1"/>
  <c r="S220" i="16"/>
  <c r="R220" i="16" s="1"/>
  <c r="S219" i="16"/>
  <c r="R219" i="16" s="1"/>
  <c r="S218" i="16"/>
  <c r="R218" i="16" s="1"/>
  <c r="S217" i="16"/>
  <c r="R217" i="16" s="1"/>
  <c r="S216" i="16"/>
  <c r="R216" i="16" s="1"/>
  <c r="S215" i="16"/>
  <c r="R215" i="16" s="1"/>
  <c r="S214" i="16"/>
  <c r="R214" i="16" s="1"/>
  <c r="S213" i="16"/>
  <c r="R213" i="16" s="1"/>
  <c r="S212" i="16"/>
  <c r="R212" i="16" s="1"/>
  <c r="S211" i="16"/>
  <c r="R211" i="16" s="1"/>
  <c r="S210" i="16"/>
  <c r="R210" i="16" s="1"/>
  <c r="S209" i="16"/>
  <c r="R209" i="16" s="1"/>
  <c r="S208" i="16"/>
  <c r="R208" i="16" s="1"/>
  <c r="S207" i="16"/>
  <c r="R207" i="16" s="1"/>
  <c r="S206" i="16"/>
  <c r="R206" i="16" s="1"/>
  <c r="S205" i="16"/>
  <c r="R205" i="16" s="1"/>
  <c r="S204" i="16"/>
  <c r="R204" i="16" s="1"/>
  <c r="S203" i="16"/>
  <c r="R203" i="16" s="1"/>
  <c r="S202" i="16"/>
  <c r="R202" i="16" s="1"/>
  <c r="S201" i="16"/>
  <c r="R201" i="16" s="1"/>
  <c r="S200" i="16"/>
  <c r="R200" i="16" s="1"/>
  <c r="S199" i="16"/>
  <c r="R199" i="16" s="1"/>
  <c r="S198" i="16"/>
  <c r="R198" i="16" s="1"/>
  <c r="S197" i="16"/>
  <c r="R197" i="16" s="1"/>
  <c r="S196" i="16"/>
  <c r="R196" i="16" s="1"/>
  <c r="S195" i="16"/>
  <c r="R195" i="16" s="1"/>
  <c r="S194" i="16"/>
  <c r="R194" i="16" s="1"/>
  <c r="S193" i="16"/>
  <c r="R193" i="16" s="1"/>
  <c r="S192" i="16"/>
  <c r="R192" i="16" s="1"/>
  <c r="S191" i="16"/>
  <c r="R191" i="16" s="1"/>
  <c r="S190" i="16"/>
  <c r="R190" i="16" s="1"/>
  <c r="S189" i="16"/>
  <c r="R189" i="16" s="1"/>
  <c r="S188" i="16"/>
  <c r="R188" i="16" s="1"/>
  <c r="S187" i="16"/>
  <c r="R187" i="16" s="1"/>
  <c r="S186" i="16"/>
  <c r="R186" i="16" s="1"/>
  <c r="S185" i="16"/>
  <c r="R185" i="16" s="1"/>
  <c r="S184" i="16"/>
  <c r="R184" i="16" s="1"/>
  <c r="S183" i="16"/>
  <c r="R183" i="16" s="1"/>
  <c r="S182" i="16"/>
  <c r="R182" i="16" s="1"/>
  <c r="S181" i="16"/>
  <c r="R181" i="16" s="1"/>
  <c r="S180" i="16"/>
  <c r="R180" i="16" s="1"/>
  <c r="S179" i="16"/>
  <c r="R179" i="16" s="1"/>
  <c r="S178" i="16"/>
  <c r="R178" i="16" s="1"/>
  <c r="S177" i="16"/>
  <c r="R177" i="16" s="1"/>
  <c r="S176" i="16"/>
  <c r="R176" i="16" s="1"/>
  <c r="S175" i="16"/>
  <c r="R175" i="16" s="1"/>
  <c r="S174" i="16"/>
  <c r="R174" i="16" s="1"/>
  <c r="S173" i="16"/>
  <c r="R173" i="16" s="1"/>
  <c r="S172" i="16"/>
  <c r="R172" i="16" s="1"/>
  <c r="S171" i="16"/>
  <c r="R171" i="16" s="1"/>
  <c r="S170" i="16"/>
  <c r="R170" i="16" s="1"/>
  <c r="S169" i="16"/>
  <c r="R169" i="16" s="1"/>
  <c r="S168" i="16"/>
  <c r="R168" i="16" s="1"/>
  <c r="S167" i="16"/>
  <c r="R167" i="16" s="1"/>
  <c r="S166" i="16"/>
  <c r="R166" i="16" s="1"/>
  <c r="S165" i="16"/>
  <c r="R165" i="16" s="1"/>
  <c r="S164" i="16"/>
  <c r="R164" i="16" s="1"/>
  <c r="S163" i="16"/>
  <c r="R163" i="16" s="1"/>
  <c r="S162" i="16"/>
  <c r="R162" i="16" s="1"/>
  <c r="S161" i="16"/>
  <c r="R161" i="16" s="1"/>
  <c r="S160" i="16"/>
  <c r="R160" i="16" s="1"/>
  <c r="S159" i="16"/>
  <c r="R159" i="16" s="1"/>
  <c r="S158" i="16"/>
  <c r="R158" i="16" s="1"/>
  <c r="S157" i="16"/>
  <c r="R157" i="16" s="1"/>
  <c r="S156" i="16"/>
  <c r="R156" i="16" s="1"/>
  <c r="S155" i="16"/>
  <c r="R155" i="16" s="1"/>
  <c r="S154" i="16"/>
  <c r="R154" i="16" s="1"/>
  <c r="S153" i="16"/>
  <c r="R153" i="16" s="1"/>
  <c r="S152" i="16"/>
  <c r="R152" i="16" s="1"/>
  <c r="S151" i="16"/>
  <c r="R151" i="16" s="1"/>
  <c r="S150" i="16"/>
  <c r="R150" i="16" s="1"/>
  <c r="S149" i="16"/>
  <c r="R149" i="16" s="1"/>
  <c r="S148" i="16"/>
  <c r="R148" i="16" s="1"/>
  <c r="S147" i="16"/>
  <c r="R147" i="16" s="1"/>
  <c r="S146" i="16"/>
  <c r="R146" i="16" s="1"/>
  <c r="S145" i="16"/>
  <c r="R145" i="16" s="1"/>
  <c r="S144" i="16"/>
  <c r="R144" i="16" s="1"/>
  <c r="S143" i="16"/>
  <c r="R143" i="16" s="1"/>
  <c r="S142" i="16"/>
  <c r="R142" i="16" s="1"/>
  <c r="S141" i="16"/>
  <c r="R141" i="16" s="1"/>
  <c r="S140" i="16"/>
  <c r="R140" i="16" s="1"/>
  <c r="S139" i="16"/>
  <c r="R139" i="16" s="1"/>
  <c r="S138" i="16"/>
  <c r="R138" i="16" s="1"/>
  <c r="S137" i="16"/>
  <c r="R137" i="16" s="1"/>
  <c r="S136" i="16"/>
  <c r="R136" i="16" s="1"/>
  <c r="S135" i="16"/>
  <c r="R135" i="16" s="1"/>
  <c r="S134" i="16"/>
  <c r="R134" i="16" s="1"/>
  <c r="S133" i="16"/>
  <c r="R133" i="16" s="1"/>
  <c r="S132" i="16"/>
  <c r="R132" i="16" s="1"/>
  <c r="S131" i="16"/>
  <c r="R131" i="16" s="1"/>
  <c r="S130" i="16"/>
  <c r="R130" i="16" s="1"/>
  <c r="S129" i="16"/>
  <c r="R129" i="16" s="1"/>
  <c r="S128" i="16"/>
  <c r="R128" i="16" s="1"/>
  <c r="S127" i="16"/>
  <c r="R127" i="16" s="1"/>
  <c r="S126" i="16"/>
  <c r="R126" i="16" s="1"/>
  <c r="S125" i="16"/>
  <c r="R125" i="16" s="1"/>
  <c r="S124" i="16"/>
  <c r="R124" i="16" s="1"/>
  <c r="S123" i="16"/>
  <c r="R123" i="16" s="1"/>
  <c r="S122" i="16"/>
  <c r="R122" i="16" s="1"/>
  <c r="S121" i="16"/>
  <c r="R121" i="16" s="1"/>
  <c r="S120" i="16"/>
  <c r="R120" i="16" s="1"/>
  <c r="S119" i="16"/>
  <c r="R119" i="16" s="1"/>
  <c r="S118" i="16"/>
  <c r="R118" i="16" s="1"/>
  <c r="S117" i="16"/>
  <c r="R117" i="16" s="1"/>
  <c r="S116" i="16"/>
  <c r="R116" i="16" s="1"/>
  <c r="S115" i="16"/>
  <c r="R115" i="16" s="1"/>
  <c r="S114" i="16"/>
  <c r="R114" i="16" s="1"/>
  <c r="S113" i="16"/>
  <c r="R113" i="16" s="1"/>
  <c r="S112" i="16"/>
  <c r="R112" i="16" s="1"/>
  <c r="S111" i="16"/>
  <c r="R111" i="16" s="1"/>
  <c r="S110" i="16"/>
  <c r="R110" i="16" s="1"/>
  <c r="S109" i="16"/>
  <c r="R109" i="16" s="1"/>
  <c r="S108" i="16"/>
  <c r="R108" i="16" s="1"/>
  <c r="S107" i="16"/>
  <c r="R107" i="16" s="1"/>
  <c r="S106" i="16"/>
  <c r="R106" i="16" s="1"/>
  <c r="S105" i="16"/>
  <c r="R105" i="16" s="1"/>
  <c r="S104" i="16"/>
  <c r="R104" i="16" s="1"/>
  <c r="S103" i="16"/>
  <c r="R103" i="16" s="1"/>
  <c r="S102" i="16"/>
  <c r="R102" i="16" s="1"/>
  <c r="S101" i="16"/>
  <c r="R101" i="16" s="1"/>
  <c r="S100" i="16"/>
  <c r="R100" i="16" s="1"/>
  <c r="S99" i="16"/>
  <c r="R99" i="16" s="1"/>
  <c r="S98" i="16"/>
  <c r="R98" i="16" s="1"/>
  <c r="S97" i="16"/>
  <c r="R97" i="16" s="1"/>
  <c r="S96" i="16"/>
  <c r="R96" i="16" s="1"/>
  <c r="S95" i="16"/>
  <c r="R95" i="16" s="1"/>
  <c r="S94" i="16"/>
  <c r="R94" i="16" s="1"/>
  <c r="S93" i="16"/>
  <c r="R93" i="16" s="1"/>
  <c r="S92" i="16"/>
  <c r="R92" i="16" s="1"/>
  <c r="S91" i="16"/>
  <c r="R91" i="16" s="1"/>
  <c r="S90" i="16"/>
  <c r="R90" i="16" s="1"/>
  <c r="S89" i="16"/>
  <c r="R89" i="16" s="1"/>
  <c r="S88" i="16"/>
  <c r="R88" i="16" s="1"/>
  <c r="S87" i="16"/>
  <c r="R87" i="16" s="1"/>
  <c r="S86" i="16"/>
  <c r="R86" i="16" s="1"/>
  <c r="S85" i="16"/>
  <c r="R85" i="16" s="1"/>
  <c r="S84" i="16"/>
  <c r="R84" i="16" s="1"/>
  <c r="S83" i="16"/>
  <c r="R83" i="16" s="1"/>
  <c r="S82" i="16"/>
  <c r="R82" i="16" s="1"/>
  <c r="S81" i="16"/>
  <c r="R81" i="16" s="1"/>
  <c r="S80" i="16"/>
  <c r="R80" i="16" s="1"/>
  <c r="S79" i="16"/>
  <c r="R79" i="16" s="1"/>
  <c r="S78" i="16"/>
  <c r="R78" i="16" s="1"/>
  <c r="S77" i="16"/>
  <c r="R77" i="16" s="1"/>
  <c r="S76" i="16"/>
  <c r="R76" i="16" s="1"/>
  <c r="S75" i="16"/>
  <c r="R75" i="16" s="1"/>
  <c r="S74" i="16"/>
  <c r="R74" i="16" s="1"/>
  <c r="S73" i="16"/>
  <c r="R73" i="16" s="1"/>
  <c r="S72" i="16"/>
  <c r="R72" i="16" s="1"/>
  <c r="S71" i="16"/>
  <c r="R71" i="16" s="1"/>
  <c r="S70" i="16"/>
  <c r="R70" i="16" s="1"/>
  <c r="S69" i="16"/>
  <c r="R69" i="16" s="1"/>
  <c r="S68" i="16"/>
  <c r="R68" i="16" s="1"/>
  <c r="S67" i="16"/>
  <c r="R67" i="16" s="1"/>
  <c r="S66" i="16"/>
  <c r="R66" i="16" s="1"/>
  <c r="S65" i="16"/>
  <c r="R65" i="16" s="1"/>
  <c r="S64" i="16"/>
  <c r="R64" i="16" s="1"/>
  <c r="S63" i="16"/>
  <c r="R63" i="16" s="1"/>
  <c r="S62" i="16"/>
  <c r="R62" i="16" s="1"/>
  <c r="S61" i="16"/>
  <c r="R61" i="16" s="1"/>
  <c r="S60" i="16"/>
  <c r="R60" i="16" s="1"/>
  <c r="S59" i="16"/>
  <c r="R59" i="16" s="1"/>
  <c r="S58" i="16"/>
  <c r="R58" i="16" s="1"/>
  <c r="S57" i="16"/>
  <c r="R57" i="16" s="1"/>
  <c r="S56" i="16"/>
  <c r="R56" i="16" s="1"/>
  <c r="S55" i="16"/>
  <c r="R55" i="16" s="1"/>
  <c r="S54" i="16"/>
  <c r="R54" i="16" s="1"/>
  <c r="S53" i="16"/>
  <c r="R53" i="16" s="1"/>
  <c r="S52" i="16"/>
  <c r="R52" i="16" s="1"/>
  <c r="S51" i="16"/>
  <c r="R51" i="16" s="1"/>
  <c r="S50" i="16"/>
  <c r="R50" i="16" s="1"/>
  <c r="S49" i="16"/>
  <c r="R49" i="16" s="1"/>
  <c r="S48" i="16"/>
  <c r="R48" i="16" s="1"/>
  <c r="S47" i="16"/>
  <c r="R47" i="16" s="1"/>
  <c r="S46" i="16"/>
  <c r="R46" i="16" s="1"/>
  <c r="S45" i="16"/>
  <c r="R45" i="16" s="1"/>
  <c r="S44" i="16"/>
  <c r="R44" i="16" s="1"/>
  <c r="S43" i="16"/>
  <c r="R43" i="16" s="1"/>
  <c r="S42" i="16"/>
  <c r="R42" i="16" s="1"/>
  <c r="S41" i="16"/>
  <c r="R41" i="16" s="1"/>
  <c r="S40" i="16"/>
  <c r="R40" i="16" s="1"/>
  <c r="S39" i="16"/>
  <c r="R39" i="16" s="1"/>
  <c r="S38" i="16"/>
  <c r="R38" i="16" s="1"/>
  <c r="S37" i="16"/>
  <c r="R37" i="16" s="1"/>
  <c r="S36" i="16"/>
  <c r="R36" i="16" s="1"/>
  <c r="S35" i="16"/>
  <c r="R35" i="16" s="1"/>
  <c r="S34" i="16"/>
  <c r="R34" i="16" s="1"/>
  <c r="S33" i="16"/>
  <c r="R33" i="16" s="1"/>
  <c r="S32" i="16"/>
  <c r="R32" i="16" s="1"/>
  <c r="S31" i="16"/>
  <c r="R31" i="16" s="1"/>
  <c r="S30" i="16"/>
  <c r="R30" i="16" s="1"/>
  <c r="S29" i="16"/>
  <c r="R29" i="16" s="1"/>
  <c r="S28" i="16"/>
  <c r="R28" i="16" s="1"/>
  <c r="S27" i="16"/>
  <c r="R27" i="16" s="1"/>
  <c r="S26" i="16"/>
  <c r="R26" i="16" s="1"/>
  <c r="S25" i="16"/>
  <c r="R25" i="16" s="1"/>
  <c r="S24" i="16"/>
  <c r="R24" i="16" s="1"/>
  <c r="S23" i="16"/>
  <c r="R23" i="16" s="1"/>
  <c r="S22" i="16"/>
  <c r="R22" i="16" s="1"/>
  <c r="S21" i="16"/>
  <c r="R21" i="16" s="1"/>
  <c r="S20" i="16"/>
  <c r="R20" i="16" s="1"/>
  <c r="S19" i="16"/>
  <c r="R19" i="16" s="1"/>
  <c r="S18" i="16"/>
  <c r="R18" i="16" s="1"/>
  <c r="S17" i="16"/>
  <c r="R17" i="16" s="1"/>
  <c r="S16" i="16"/>
  <c r="R16" i="16" s="1"/>
  <c r="S15" i="16"/>
  <c r="R15" i="16" s="1"/>
  <c r="S14" i="16"/>
  <c r="R14" i="16" s="1"/>
  <c r="S13" i="16"/>
  <c r="R13" i="16" s="1"/>
  <c r="S12" i="16"/>
  <c r="R12" i="16" s="1"/>
  <c r="H11" i="16"/>
  <c r="G11" i="16"/>
  <c r="F11" i="16"/>
  <c r="E11" i="16"/>
  <c r="H56" i="6"/>
  <c r="K54" i="6"/>
  <c r="G54" i="6"/>
  <c r="F54" i="6"/>
  <c r="E54" i="6"/>
  <c r="K53" i="6"/>
  <c r="G53" i="6"/>
  <c r="F53" i="6"/>
  <c r="E53" i="6"/>
  <c r="K52" i="6"/>
  <c r="G52" i="6"/>
  <c r="F52" i="6"/>
  <c r="E52" i="6"/>
  <c r="K51" i="6"/>
  <c r="G51" i="6"/>
  <c r="F51" i="6"/>
  <c r="E51" i="6"/>
  <c r="K50" i="6"/>
  <c r="G50" i="6"/>
  <c r="F50" i="6"/>
  <c r="E50" i="6"/>
  <c r="K49" i="6"/>
  <c r="G49" i="6"/>
  <c r="F49" i="6"/>
  <c r="E49" i="6"/>
  <c r="K48" i="6"/>
  <c r="G48" i="6"/>
  <c r="F48" i="6"/>
  <c r="E48" i="6"/>
  <c r="G47" i="6"/>
  <c r="F47" i="6"/>
  <c r="E47" i="6"/>
  <c r="G46" i="6"/>
  <c r="F46" i="6"/>
  <c r="E46" i="6"/>
  <c r="K45" i="6"/>
  <c r="G45" i="6"/>
  <c r="F45" i="6"/>
  <c r="E45" i="6"/>
  <c r="K44" i="6"/>
  <c r="G44" i="6"/>
  <c r="F44" i="6"/>
  <c r="E44" i="6"/>
  <c r="G43" i="6"/>
  <c r="F43" i="6"/>
  <c r="E43" i="6"/>
  <c r="K42" i="6"/>
  <c r="G42" i="6"/>
  <c r="F42" i="6"/>
  <c r="E42" i="6"/>
  <c r="K41" i="6"/>
  <c r="G41" i="6"/>
  <c r="F41" i="6"/>
  <c r="E41" i="6"/>
  <c r="G40" i="6"/>
  <c r="F40" i="6"/>
  <c r="E40" i="6"/>
  <c r="G39" i="6"/>
  <c r="F39" i="6"/>
  <c r="E39" i="6"/>
  <c r="G38" i="6"/>
  <c r="F38" i="6"/>
  <c r="E38" i="6"/>
  <c r="K37" i="6"/>
  <c r="G37" i="6"/>
  <c r="F37" i="6"/>
  <c r="E37" i="6"/>
  <c r="K36" i="6"/>
  <c r="G36" i="6"/>
  <c r="F36" i="6"/>
  <c r="E36" i="6"/>
  <c r="K35" i="6"/>
  <c r="G35" i="6"/>
  <c r="F35" i="6"/>
  <c r="E35" i="6"/>
  <c r="K34" i="6"/>
  <c r="G34" i="6"/>
  <c r="F34" i="6"/>
  <c r="E34" i="6"/>
  <c r="G33" i="6"/>
  <c r="F33" i="6"/>
  <c r="E33" i="6"/>
  <c r="K32" i="6"/>
  <c r="G32" i="6"/>
  <c r="F32" i="6"/>
  <c r="E32" i="6"/>
  <c r="G31" i="6"/>
  <c r="F31" i="6"/>
  <c r="E31" i="6"/>
  <c r="K30" i="6"/>
  <c r="G30" i="6"/>
  <c r="F30" i="6"/>
  <c r="E30" i="6"/>
  <c r="K29" i="6"/>
  <c r="G29" i="6"/>
  <c r="F29" i="6"/>
  <c r="E29" i="6"/>
  <c r="K28" i="6"/>
  <c r="G28" i="6"/>
  <c r="F28" i="6"/>
  <c r="E28" i="6"/>
  <c r="G27" i="6"/>
  <c r="F27" i="6"/>
  <c r="E27" i="6"/>
  <c r="K26" i="6"/>
  <c r="G26" i="6"/>
  <c r="F26" i="6"/>
  <c r="E26" i="6"/>
  <c r="K25" i="6"/>
  <c r="G25" i="6"/>
  <c r="F25" i="6"/>
  <c r="E25" i="6"/>
  <c r="G24" i="6"/>
  <c r="F24" i="6"/>
  <c r="E24" i="6"/>
  <c r="G23" i="6"/>
  <c r="F23" i="6"/>
  <c r="E23" i="6"/>
  <c r="G22" i="6"/>
  <c r="F22" i="6"/>
  <c r="E22" i="6"/>
  <c r="K21" i="6"/>
  <c r="G21" i="6"/>
  <c r="F21" i="6"/>
  <c r="E21" i="6"/>
  <c r="K20" i="6"/>
  <c r="G20" i="6"/>
  <c r="F20" i="6"/>
  <c r="E20" i="6"/>
  <c r="G19" i="6"/>
  <c r="F19" i="6"/>
  <c r="E19" i="6"/>
  <c r="G18" i="6"/>
  <c r="F18" i="6"/>
  <c r="E18" i="6"/>
  <c r="G17" i="6"/>
  <c r="F17" i="6"/>
  <c r="E17" i="6"/>
  <c r="K16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AG26" i="15" l="1"/>
  <c r="AF26" i="15"/>
  <c r="AG30" i="15"/>
  <c r="AF30" i="15"/>
  <c r="AG34" i="15"/>
  <c r="AF34" i="15"/>
  <c r="AG10" i="15"/>
  <c r="AF10" i="15"/>
  <c r="AG14" i="15"/>
  <c r="AF14" i="15"/>
  <c r="AG18" i="15"/>
  <c r="AF18" i="15"/>
  <c r="AG42" i="15"/>
  <c r="AF42" i="15"/>
  <c r="N9" i="15"/>
  <c r="Q9" i="15" s="1"/>
  <c r="V9" i="15"/>
  <c r="Y9" i="15" s="1"/>
  <c r="AB9" i="15" s="1"/>
  <c r="AE9" i="15" s="1"/>
  <c r="AI9" i="15" s="1"/>
  <c r="N10" i="15"/>
  <c r="Q10" i="15" s="1"/>
  <c r="V10" i="15"/>
  <c r="Y10" i="15" s="1"/>
  <c r="AB10" i="15" s="1"/>
  <c r="AE10" i="15" s="1"/>
  <c r="AI10" i="15" s="1"/>
  <c r="N13" i="15"/>
  <c r="Q13" i="15" s="1"/>
  <c r="V13" i="15"/>
  <c r="Y13" i="15" s="1"/>
  <c r="AB13" i="15" s="1"/>
  <c r="AE13" i="15" s="1"/>
  <c r="AI13" i="15" s="1"/>
  <c r="N14" i="15"/>
  <c r="Q14" i="15" s="1"/>
  <c r="V14" i="15"/>
  <c r="Y14" i="15" s="1"/>
  <c r="AB14" i="15" s="1"/>
  <c r="AE14" i="15" s="1"/>
  <c r="AI14" i="15" s="1"/>
  <c r="N17" i="15"/>
  <c r="Q17" i="15" s="1"/>
  <c r="V17" i="15"/>
  <c r="Y17" i="15" s="1"/>
  <c r="AB17" i="15" s="1"/>
  <c r="AE17" i="15" s="1"/>
  <c r="AI17" i="15" s="1"/>
  <c r="N18" i="15"/>
  <c r="Q18" i="15" s="1"/>
  <c r="V18" i="15"/>
  <c r="Y18" i="15" s="1"/>
  <c r="AB18" i="15" s="1"/>
  <c r="AE18" i="15" s="1"/>
  <c r="AI18" i="15" s="1"/>
  <c r="U20" i="15"/>
  <c r="N25" i="15"/>
  <c r="Q25" i="15" s="1"/>
  <c r="V25" i="15"/>
  <c r="Y25" i="15" s="1"/>
  <c r="AB25" i="15" s="1"/>
  <c r="AE25" i="15" s="1"/>
  <c r="AI25" i="15" s="1"/>
  <c r="N26" i="15"/>
  <c r="Q26" i="15" s="1"/>
  <c r="V26" i="15"/>
  <c r="Y26" i="15" s="1"/>
  <c r="AB26" i="15" s="1"/>
  <c r="AE26" i="15" s="1"/>
  <c r="AI26" i="15" s="1"/>
  <c r="N29" i="15"/>
  <c r="Q29" i="15" s="1"/>
  <c r="V29" i="15"/>
  <c r="Y29" i="15" s="1"/>
  <c r="AB29" i="15" s="1"/>
  <c r="AE29" i="15" s="1"/>
  <c r="AI29" i="15" s="1"/>
  <c r="N30" i="15"/>
  <c r="Q30" i="15" s="1"/>
  <c r="V30" i="15"/>
  <c r="Y30" i="15" s="1"/>
  <c r="AB30" i="15" s="1"/>
  <c r="AE30" i="15" s="1"/>
  <c r="AI30" i="15" s="1"/>
  <c r="N33" i="15"/>
  <c r="Q33" i="15" s="1"/>
  <c r="V33" i="15"/>
  <c r="Y33" i="15" s="1"/>
  <c r="AB33" i="15" s="1"/>
  <c r="AE33" i="15" s="1"/>
  <c r="AI33" i="15" s="1"/>
  <c r="N34" i="15"/>
  <c r="Q34" i="15" s="1"/>
  <c r="V34" i="15"/>
  <c r="Y34" i="15" s="1"/>
  <c r="AB34" i="15" s="1"/>
  <c r="AE34" i="15" s="1"/>
  <c r="AI34" i="15" s="1"/>
  <c r="N37" i="15"/>
  <c r="Q37" i="15" s="1"/>
  <c r="V37" i="15"/>
  <c r="Y37" i="15" s="1"/>
  <c r="AB37" i="15" s="1"/>
  <c r="AE37" i="15" s="1"/>
  <c r="AI37" i="15" s="1"/>
  <c r="N38" i="15"/>
  <c r="Q38" i="15" s="1"/>
  <c r="V38" i="15"/>
  <c r="Y38" i="15" s="1"/>
  <c r="AB38" i="15" s="1"/>
  <c r="AE38" i="15" s="1"/>
  <c r="U42" i="15"/>
  <c r="X42" i="15" s="1"/>
  <c r="AA42" i="15" s="1"/>
  <c r="AD42" i="15" s="1"/>
  <c r="AH42" i="15" s="1"/>
  <c r="T7" i="15"/>
  <c r="W7" i="15" s="1"/>
  <c r="Z7" i="15" s="1"/>
  <c r="AC7" i="15" s="1"/>
  <c r="AF7" i="15" s="1"/>
  <c r="T8" i="15"/>
  <c r="W8" i="15" s="1"/>
  <c r="Z8" i="15" s="1"/>
  <c r="AC8" i="15" s="1"/>
  <c r="T11" i="15"/>
  <c r="W11" i="15" s="1"/>
  <c r="Z11" i="15" s="1"/>
  <c r="AC11" i="15" s="1"/>
  <c r="AF11" i="15" s="1"/>
  <c r="T12" i="15"/>
  <c r="W12" i="15" s="1"/>
  <c r="Z12" i="15" s="1"/>
  <c r="AC12" i="15" s="1"/>
  <c r="T15" i="15"/>
  <c r="W15" i="15" s="1"/>
  <c r="Z15" i="15" s="1"/>
  <c r="AC15" i="15" s="1"/>
  <c r="AF15" i="15" s="1"/>
  <c r="T16" i="15"/>
  <c r="W16" i="15" s="1"/>
  <c r="Z16" i="15" s="1"/>
  <c r="AC16" i="15" s="1"/>
  <c r="T19" i="15"/>
  <c r="W19" i="15" s="1"/>
  <c r="Z19" i="15" s="1"/>
  <c r="AC19" i="15" s="1"/>
  <c r="AF19" i="15" s="1"/>
  <c r="T27" i="15"/>
  <c r="W27" i="15" s="1"/>
  <c r="Z27" i="15" s="1"/>
  <c r="AC27" i="15" s="1"/>
  <c r="AF27" i="15" s="1"/>
  <c r="T28" i="15"/>
  <c r="W28" i="15" s="1"/>
  <c r="Z28" i="15" s="1"/>
  <c r="AC28" i="15" s="1"/>
  <c r="T31" i="15"/>
  <c r="W31" i="15" s="1"/>
  <c r="Z31" i="15" s="1"/>
  <c r="AC31" i="15" s="1"/>
  <c r="AG31" i="15" s="1"/>
  <c r="T32" i="15"/>
  <c r="W32" i="15" s="1"/>
  <c r="Z32" i="15" s="1"/>
  <c r="AC32" i="15" s="1"/>
  <c r="T35" i="15"/>
  <c r="W35" i="15" s="1"/>
  <c r="Z35" i="15" s="1"/>
  <c r="AC35" i="15" s="1"/>
  <c r="AG35" i="15" s="1"/>
  <c r="T36" i="15"/>
  <c r="W36" i="15" s="1"/>
  <c r="Z36" i="15" s="1"/>
  <c r="AC36" i="15" s="1"/>
  <c r="T43" i="15"/>
  <c r="W43" i="15" s="1"/>
  <c r="Z43" i="15" s="1"/>
  <c r="AC43" i="15" s="1"/>
  <c r="AG43" i="15" s="1"/>
  <c r="V7" i="15"/>
  <c r="Y7" i="15" s="1"/>
  <c r="AB7" i="15" s="1"/>
  <c r="AE7" i="15" s="1"/>
  <c r="AI7" i="15" s="1"/>
  <c r="V8" i="15"/>
  <c r="Y8" i="15" s="1"/>
  <c r="AB8" i="15" s="1"/>
  <c r="AE8" i="15" s="1"/>
  <c r="AI8" i="15" s="1"/>
  <c r="V11" i="15"/>
  <c r="Y11" i="15" s="1"/>
  <c r="AB11" i="15" s="1"/>
  <c r="AE11" i="15" s="1"/>
  <c r="AI11" i="15" s="1"/>
  <c r="V12" i="15"/>
  <c r="Y12" i="15" s="1"/>
  <c r="AB12" i="15" s="1"/>
  <c r="AE12" i="15" s="1"/>
  <c r="AI12" i="15" s="1"/>
  <c r="V15" i="15"/>
  <c r="Y15" i="15" s="1"/>
  <c r="AB15" i="15" s="1"/>
  <c r="AE15" i="15" s="1"/>
  <c r="AI15" i="15" s="1"/>
  <c r="V16" i="15"/>
  <c r="Y16" i="15" s="1"/>
  <c r="AB16" i="15" s="1"/>
  <c r="AE16" i="15" s="1"/>
  <c r="AI16" i="15" s="1"/>
  <c r="V19" i="15"/>
  <c r="Y19" i="15" s="1"/>
  <c r="AB19" i="15" s="1"/>
  <c r="AE19" i="15" s="1"/>
  <c r="AI19" i="15" s="1"/>
  <c r="V27" i="15"/>
  <c r="Y27" i="15" s="1"/>
  <c r="AB27" i="15" s="1"/>
  <c r="AE27" i="15" s="1"/>
  <c r="AI27" i="15" s="1"/>
  <c r="V28" i="15"/>
  <c r="Y28" i="15" s="1"/>
  <c r="AB28" i="15" s="1"/>
  <c r="AE28" i="15" s="1"/>
  <c r="AI28" i="15" s="1"/>
  <c r="V31" i="15"/>
  <c r="Y31" i="15" s="1"/>
  <c r="AB31" i="15" s="1"/>
  <c r="AE31" i="15" s="1"/>
  <c r="AI31" i="15" s="1"/>
  <c r="V32" i="15"/>
  <c r="Y32" i="15" s="1"/>
  <c r="AB32" i="15" s="1"/>
  <c r="AE32" i="15" s="1"/>
  <c r="AI32" i="15" s="1"/>
  <c r="V35" i="15"/>
  <c r="Y35" i="15" s="1"/>
  <c r="AB35" i="15" s="1"/>
  <c r="AE35" i="15" s="1"/>
  <c r="AI35" i="15" s="1"/>
  <c r="V36" i="15"/>
  <c r="Y36" i="15" s="1"/>
  <c r="AB36" i="15" s="1"/>
  <c r="AE36" i="15" s="1"/>
  <c r="AI36" i="15" s="1"/>
  <c r="V43" i="15"/>
  <c r="Y43" i="15" s="1"/>
  <c r="AB43" i="15" s="1"/>
  <c r="AE43" i="15" s="1"/>
  <c r="AI43" i="15" s="1"/>
  <c r="AF9" i="15"/>
  <c r="AF29" i="15"/>
  <c r="AF31" i="15"/>
  <c r="AF35" i="15"/>
  <c r="AF37" i="15"/>
  <c r="AG7" i="15"/>
  <c r="AG11" i="15"/>
  <c r="AG13" i="15"/>
  <c r="AG15" i="15"/>
  <c r="AG17" i="15"/>
  <c r="AG19" i="15"/>
  <c r="AG25" i="15"/>
  <c r="AG27" i="15"/>
  <c r="AG33" i="15"/>
  <c r="AF43" i="15"/>
  <c r="I44" i="6"/>
  <c r="J44" i="6" s="1"/>
  <c r="I52" i="6"/>
  <c r="J52" i="6" s="1"/>
  <c r="O52" i="6" s="1"/>
  <c r="I20" i="6"/>
  <c r="J20" i="6" s="1"/>
  <c r="I36" i="6"/>
  <c r="J36" i="6" s="1"/>
  <c r="O36" i="6" s="1"/>
  <c r="I17" i="6"/>
  <c r="I53" i="6"/>
  <c r="J53" i="6" s="1"/>
  <c r="O53" i="6" s="1"/>
  <c r="I22" i="6"/>
  <c r="L11" i="16"/>
  <c r="I28" i="6"/>
  <c r="J28" i="6" s="1"/>
  <c r="O28" i="6" s="1"/>
  <c r="I13" i="6"/>
  <c r="I21" i="6"/>
  <c r="J21" i="6" s="1"/>
  <c r="O21" i="6" s="1"/>
  <c r="I29" i="6"/>
  <c r="J29" i="6" s="1"/>
  <c r="O29" i="6" s="1"/>
  <c r="I50" i="6"/>
  <c r="J50" i="6" s="1"/>
  <c r="O50" i="6" s="1"/>
  <c r="I14" i="6"/>
  <c r="I16" i="6"/>
  <c r="J16" i="6" s="1"/>
  <c r="O16" i="6" s="1"/>
  <c r="I26" i="6"/>
  <c r="J26" i="6" s="1"/>
  <c r="O26" i="6" s="1"/>
  <c r="I32" i="6"/>
  <c r="J32" i="6" s="1"/>
  <c r="O32" i="6" s="1"/>
  <c r="I38" i="6"/>
  <c r="I40" i="6"/>
  <c r="I54" i="6"/>
  <c r="J54" i="6" s="1"/>
  <c r="O54" i="6" s="1"/>
  <c r="I30" i="6"/>
  <c r="J30" i="6" s="1"/>
  <c r="I46" i="6"/>
  <c r="I48" i="6"/>
  <c r="J48" i="6" s="1"/>
  <c r="O48" i="6" s="1"/>
  <c r="I12" i="6"/>
  <c r="I49" i="6"/>
  <c r="J49" i="6" s="1"/>
  <c r="O49" i="6" s="1"/>
  <c r="I51" i="6"/>
  <c r="J51" i="6" s="1"/>
  <c r="O51" i="6" s="1"/>
  <c r="G56" i="6"/>
  <c r="I25" i="6"/>
  <c r="J25" i="6" s="1"/>
  <c r="O25" i="6" s="1"/>
  <c r="I33" i="6"/>
  <c r="I37" i="6"/>
  <c r="J37" i="6" s="1"/>
  <c r="O37" i="6" s="1"/>
  <c r="I39" i="6"/>
  <c r="I41" i="6"/>
  <c r="J41" i="6" s="1"/>
  <c r="O41" i="6" s="1"/>
  <c r="I45" i="6"/>
  <c r="J45" i="6" s="1"/>
  <c r="I47" i="6"/>
  <c r="I31" i="6"/>
  <c r="I24" i="6"/>
  <c r="I43" i="6"/>
  <c r="I19" i="6"/>
  <c r="I34" i="6"/>
  <c r="J34" i="6" s="1"/>
  <c r="O34" i="6" s="1"/>
  <c r="E56" i="6"/>
  <c r="I15" i="6"/>
  <c r="I23" i="6"/>
  <c r="I27" i="6"/>
  <c r="I42" i="6"/>
  <c r="J42" i="6" s="1"/>
  <c r="O42" i="6" s="1"/>
  <c r="F56" i="6"/>
  <c r="I18" i="6"/>
  <c r="I35" i="6"/>
  <c r="J35" i="6" s="1"/>
  <c r="O35" i="6" s="1"/>
  <c r="K15" i="6" l="1"/>
  <c r="J15" i="6" s="1"/>
  <c r="O15" i="6" s="1"/>
  <c r="AF12" i="15"/>
  <c r="AG12" i="15"/>
  <c r="AF32" i="15"/>
  <c r="AG32" i="15"/>
  <c r="AF8" i="15"/>
  <c r="AG8" i="15"/>
  <c r="AF28" i="15"/>
  <c r="AG28" i="15"/>
  <c r="AF16" i="15"/>
  <c r="AG16" i="15"/>
  <c r="AF36" i="15"/>
  <c r="AG36" i="15"/>
  <c r="O45" i="6"/>
  <c r="O44" i="6"/>
  <c r="O30" i="6"/>
  <c r="O20" i="6"/>
  <c r="K43" i="6"/>
  <c r="J43" i="6" s="1"/>
  <c r="O43" i="6" s="1"/>
  <c r="K47" i="6"/>
  <c r="J47" i="6" s="1"/>
  <c r="I56" i="6"/>
  <c r="K24" i="6"/>
  <c r="J24" i="6" s="1"/>
  <c r="O47" i="6" l="1"/>
  <c r="O24" i="6"/>
  <c r="M617" i="16" l="1" a="1"/>
  <c r="M617" i="16" s="1"/>
  <c r="N617" i="16" s="1"/>
  <c r="M22" i="16" a="1"/>
  <c r="M22" i="16" s="1"/>
  <c r="N22" i="16" s="1"/>
  <c r="M613" i="16" a="1"/>
  <c r="M613" i="16" s="1"/>
  <c r="N613" i="16" s="1"/>
  <c r="M184" i="16" a="1"/>
  <c r="M184" i="16" s="1"/>
  <c r="N184" i="16" s="1"/>
  <c r="M284" i="16" a="1"/>
  <c r="M284" i="16" s="1"/>
  <c r="N284" i="16" s="1"/>
  <c r="M243" i="16" a="1"/>
  <c r="M243" i="16" s="1"/>
  <c r="N243" i="16" s="1"/>
  <c r="M38" i="16" a="1"/>
  <c r="M38" i="16" s="1"/>
  <c r="N38" i="16" s="1"/>
  <c r="M335" i="16" a="1"/>
  <c r="M335" i="16" s="1"/>
  <c r="N335" i="16" s="1"/>
  <c r="M198" i="16" a="1"/>
  <c r="M198" i="16" s="1"/>
  <c r="N198" i="16" s="1"/>
  <c r="M902" i="16" a="1"/>
  <c r="M902" i="16" s="1"/>
  <c r="N902" i="16" s="1"/>
  <c r="M710" i="16" a="1"/>
  <c r="M710" i="16" s="1"/>
  <c r="N710" i="16" s="1"/>
  <c r="M194" i="16" a="1"/>
  <c r="M194" i="16" s="1"/>
  <c r="N194" i="16" s="1"/>
  <c r="M625" i="16" a="1"/>
  <c r="M625" i="16" s="1"/>
  <c r="N625" i="16" s="1"/>
  <c r="M42" i="16" a="1"/>
  <c r="M42" i="16" s="1"/>
  <c r="N42" i="16" s="1"/>
  <c r="M552" i="16" a="1"/>
  <c r="M552" i="16" s="1"/>
  <c r="N552" i="16" s="1"/>
  <c r="M140" i="16" a="1"/>
  <c r="M140" i="16" s="1"/>
  <c r="N140" i="16" s="1"/>
  <c r="M285" i="16" a="1"/>
  <c r="M285" i="16" s="1"/>
  <c r="N285" i="16" s="1"/>
  <c r="M664" i="16" a="1"/>
  <c r="M664" i="16" s="1"/>
  <c r="N664" i="16" s="1"/>
  <c r="M189" i="16" a="1"/>
  <c r="M189" i="16" s="1"/>
  <c r="N189" i="16" s="1"/>
  <c r="M386" i="16" a="1"/>
  <c r="M386" i="16" s="1"/>
  <c r="N386" i="16" s="1"/>
  <c r="M909" i="16" a="1"/>
  <c r="M909" i="16" s="1"/>
  <c r="N909" i="16" s="1"/>
  <c r="M141" i="16" a="1"/>
  <c r="M141" i="16" s="1"/>
  <c r="N141" i="16" s="1"/>
  <c r="M923" i="16" a="1"/>
  <c r="M923" i="16" s="1"/>
  <c r="N923" i="16" s="1"/>
  <c r="M180" i="16" a="1"/>
  <c r="M180" i="16" s="1"/>
  <c r="N180" i="16" s="1"/>
  <c r="M156" i="16" a="1"/>
  <c r="M156" i="16" s="1"/>
  <c r="N156" i="16" s="1"/>
  <c r="M908" i="16" a="1"/>
  <c r="M908" i="16" s="1"/>
  <c r="N908" i="16" s="1"/>
  <c r="M361" i="16" a="1"/>
  <c r="M361" i="16" s="1"/>
  <c r="N361" i="16" s="1"/>
  <c r="M130" i="16" a="1"/>
  <c r="M130" i="16" s="1"/>
  <c r="N130" i="16" s="1"/>
  <c r="M109" i="16" a="1"/>
  <c r="M109" i="16" s="1"/>
  <c r="N109" i="16" s="1"/>
  <c r="M185" i="16" a="1"/>
  <c r="M185" i="16" s="1"/>
  <c r="N185" i="16" s="1"/>
  <c r="M607" i="16" a="1"/>
  <c r="M607" i="16" s="1"/>
  <c r="N607" i="16" s="1"/>
  <c r="M627" i="16" a="1"/>
  <c r="M627" i="16" s="1"/>
  <c r="N627" i="16" s="1"/>
  <c r="M128" i="16" a="1"/>
  <c r="M128" i="16" s="1"/>
  <c r="N128" i="16" s="1"/>
  <c r="M337" i="16" a="1"/>
  <c r="M337" i="16" s="1"/>
  <c r="N337" i="16" s="1"/>
  <c r="M135" i="16" a="1"/>
  <c r="M135" i="16" s="1"/>
  <c r="N135" i="16" s="1"/>
  <c r="M556" i="16" a="1"/>
  <c r="M556" i="16" s="1"/>
  <c r="N556" i="16" s="1"/>
  <c r="M186" i="16" a="1"/>
  <c r="M186" i="16" s="1"/>
  <c r="N186" i="16" s="1"/>
  <c r="M282" i="16" a="1"/>
  <c r="M282" i="16" s="1"/>
  <c r="N282" i="16" s="1"/>
  <c r="M286" i="16" a="1"/>
  <c r="M286" i="16" s="1"/>
  <c r="N286" i="16" s="1"/>
  <c r="M283" i="16" a="1"/>
  <c r="M283" i="16" s="1"/>
  <c r="N283" i="16" s="1"/>
  <c r="M709" i="16" a="1"/>
  <c r="M709" i="16" s="1"/>
  <c r="N709" i="16" s="1"/>
  <c r="M157" i="16" a="1"/>
  <c r="M157" i="16" s="1"/>
  <c r="N157" i="16" s="1"/>
  <c r="M21" i="16" a="1"/>
  <c r="M21" i="16" s="1"/>
  <c r="N21" i="16" s="1"/>
  <c r="M779" i="16" a="1"/>
  <c r="M779" i="16" s="1"/>
  <c r="N779" i="16" s="1"/>
  <c r="M926" i="16" a="1"/>
  <c r="M926" i="16" s="1"/>
  <c r="N926" i="16" s="1"/>
  <c r="M589" i="16" a="1"/>
  <c r="M589" i="16" s="1"/>
  <c r="N589" i="16" s="1"/>
  <c r="M110" i="16" a="1"/>
  <c r="M110" i="16" s="1"/>
  <c r="N110" i="16" s="1"/>
  <c r="M616" i="16" a="1"/>
  <c r="M616" i="16" s="1"/>
  <c r="N616" i="16" s="1"/>
  <c r="M614" i="16" a="1"/>
  <c r="M614" i="16" s="1"/>
  <c r="N614" i="16" s="1"/>
  <c r="M907" i="16" a="1"/>
  <c r="M907" i="16" s="1"/>
  <c r="N907" i="16" s="1"/>
  <c r="M188" i="16" a="1"/>
  <c r="M188" i="16" s="1"/>
  <c r="N188" i="16" s="1"/>
  <c r="M612" i="16" a="1"/>
  <c r="M612" i="16" s="1"/>
  <c r="N612" i="16" s="1"/>
  <c r="M129" i="16" a="1"/>
  <c r="M129" i="16" s="1"/>
  <c r="N129" i="16" s="1"/>
  <c r="M237" i="16" a="1"/>
  <c r="M237" i="16" s="1"/>
  <c r="N237" i="16" s="1"/>
  <c r="M155" i="16" a="1"/>
  <c r="M155" i="16" s="1"/>
  <c r="N155" i="16" s="1"/>
  <c r="M187" i="16" a="1"/>
  <c r="M187" i="16" s="1"/>
  <c r="N187" i="16" s="1"/>
  <c r="M264" i="16" a="1"/>
  <c r="M264" i="16" s="1"/>
  <c r="N264" i="16" s="1"/>
  <c r="M615" i="16" a="1"/>
  <c r="M615" i="16" s="1"/>
  <c r="N615" i="16" s="1"/>
  <c r="M390" i="16" a="1"/>
  <c r="M390" i="16" s="1"/>
  <c r="N390" i="16" s="1"/>
  <c r="M900" i="16" a="1"/>
  <c r="M900" i="16" s="1"/>
  <c r="N900" i="16" s="1"/>
  <c r="M387" i="16" a="1"/>
  <c r="M387" i="16" s="1"/>
  <c r="N387" i="16" s="1"/>
  <c r="M238" i="16" a="1"/>
  <c r="M238" i="16" s="1"/>
  <c r="N238" i="16" s="1"/>
  <c r="M610" i="16" a="1"/>
  <c r="M610" i="16" s="1"/>
  <c r="N610" i="16" s="1"/>
  <c r="M190" i="16" a="1"/>
  <c r="M190" i="16" s="1"/>
  <c r="N190" i="16" s="1"/>
  <c r="M261" i="16" a="1"/>
  <c r="M261" i="16" s="1"/>
  <c r="N261" i="16" s="1"/>
  <c r="M192" i="16" a="1"/>
  <c r="M192" i="16" s="1"/>
  <c r="N192" i="16" s="1"/>
  <c r="M289" i="16" a="1"/>
  <c r="M289" i="16" s="1"/>
  <c r="N289" i="16" s="1"/>
  <c r="M280" i="16" a="1"/>
  <c r="M280" i="16" s="1"/>
  <c r="N280" i="16" s="1"/>
  <c r="M901" i="16" a="1"/>
  <c r="M901" i="16" s="1"/>
  <c r="N901" i="16" s="1"/>
  <c r="M136" i="16" a="1"/>
  <c r="M136" i="16" s="1"/>
  <c r="N136" i="16" s="1"/>
  <c r="M182" i="16" a="1"/>
  <c r="M182" i="16" s="1"/>
  <c r="N182" i="16" s="1"/>
  <c r="M336" i="16" a="1"/>
  <c r="M336" i="16" s="1"/>
  <c r="N336" i="16" s="1"/>
  <c r="M195" i="16" a="1"/>
  <c r="M195" i="16" s="1"/>
  <c r="N195" i="16" s="1"/>
  <c r="M626" i="16" a="1"/>
  <c r="M626" i="16" s="1"/>
  <c r="N626" i="16" s="1"/>
  <c r="M23" i="16" a="1"/>
  <c r="M23" i="16" s="1"/>
  <c r="N23" i="16" s="1"/>
  <c r="M628" i="16" a="1"/>
  <c r="M628" i="16" s="1"/>
  <c r="N628" i="16" s="1"/>
  <c r="M933" i="16" a="1"/>
  <c r="M933" i="16" s="1"/>
  <c r="N933" i="16" s="1"/>
  <c r="M551" i="16" a="1"/>
  <c r="M551" i="16" s="1"/>
  <c r="N551" i="16" s="1"/>
  <c r="M696" i="16" a="1"/>
  <c r="M696" i="16" s="1"/>
  <c r="N696" i="16" s="1"/>
  <c r="M239" i="16" a="1"/>
  <c r="M239" i="16" s="1"/>
  <c r="N239" i="16" s="1"/>
  <c r="M385" i="16" a="1"/>
  <c r="M385" i="16" s="1"/>
  <c r="N385" i="16" s="1"/>
  <c r="M240" i="16" a="1"/>
  <c r="M240" i="16" s="1"/>
  <c r="N240" i="16" s="1"/>
  <c r="M611" i="16" a="1"/>
  <c r="M611" i="16" s="1"/>
  <c r="N611" i="16" s="1"/>
  <c r="M281" i="16" a="1"/>
  <c r="M281" i="16" s="1"/>
  <c r="N281" i="16" s="1"/>
  <c r="M266" i="16" a="1"/>
  <c r="M266" i="16" s="1"/>
  <c r="N266" i="16" s="1"/>
  <c r="M290" i="16" a="1"/>
  <c r="M290" i="16" s="1"/>
  <c r="N290" i="16" s="1"/>
  <c r="M39" i="16" a="1"/>
  <c r="M39" i="16" s="1"/>
  <c r="N39" i="16" s="1"/>
  <c r="M590" i="16" a="1"/>
  <c r="M590" i="16" s="1"/>
  <c r="N590" i="16" s="1"/>
  <c r="M554" i="16" a="1"/>
  <c r="M554" i="16" s="1"/>
  <c r="N554" i="16" s="1"/>
  <c r="M934" i="16" a="1"/>
  <c r="M934" i="16" s="1"/>
  <c r="N934" i="16" s="1"/>
  <c r="M113" i="16" a="1"/>
  <c r="M113" i="16" s="1"/>
  <c r="N113" i="16" s="1"/>
  <c r="M609" i="16" a="1"/>
  <c r="M609" i="16" s="1"/>
  <c r="N609" i="16" s="1"/>
  <c r="M127" i="16" a="1"/>
  <c r="M127" i="16" s="1"/>
  <c r="N127" i="16" s="1"/>
  <c r="M997" i="16" a="1"/>
  <c r="M997" i="16" s="1"/>
  <c r="N997" i="16" s="1"/>
  <c r="M133" i="16" a="1"/>
  <c r="M133" i="16" s="1"/>
  <c r="N133" i="16" s="1"/>
  <c r="M24" i="16" a="1"/>
  <c r="M24" i="16" s="1"/>
  <c r="N24" i="16" s="1"/>
  <c r="M697" i="16" a="1"/>
  <c r="M697" i="16" s="1"/>
  <c r="N697" i="16" s="1"/>
  <c r="M553" i="16" a="1"/>
  <c r="M553" i="16" s="1"/>
  <c r="N553" i="16" s="1"/>
  <c r="M112" i="16" a="1"/>
  <c r="M112" i="16" s="1"/>
  <c r="N112" i="16" s="1"/>
  <c r="M927" i="16" a="1"/>
  <c r="M927" i="16" s="1"/>
  <c r="N927" i="16" s="1"/>
  <c r="M287" i="16" a="1"/>
  <c r="M287" i="16" s="1"/>
  <c r="N287" i="16" s="1"/>
  <c r="M138" i="16" a="1"/>
  <c r="M138" i="16" s="1"/>
  <c r="N138" i="16" s="1"/>
  <c r="M40" i="16" a="1"/>
  <c r="M40" i="16" s="1"/>
  <c r="N40" i="16" s="1"/>
  <c r="M199" i="16" a="1"/>
  <c r="M199" i="16" s="1"/>
  <c r="N199" i="16" s="1"/>
  <c r="M781" i="16" a="1"/>
  <c r="M781" i="16" s="1"/>
  <c r="N781" i="16" s="1"/>
  <c r="M1201" i="16" a="1"/>
  <c r="M1201" i="16" s="1"/>
  <c r="N1201" i="16" s="1"/>
  <c r="M25" i="16" a="1"/>
  <c r="M25" i="16" s="1"/>
  <c r="N25" i="16" s="1"/>
  <c r="M592" i="16" a="1"/>
  <c r="M592" i="16" s="1"/>
  <c r="N592" i="16" s="1"/>
  <c r="M593" i="16" a="1"/>
  <c r="M593" i="16" s="1"/>
  <c r="N593" i="16" s="1"/>
  <c r="M132" i="16" a="1"/>
  <c r="M132" i="16" s="1"/>
  <c r="N132" i="16" s="1"/>
  <c r="M202" i="16" a="1"/>
  <c r="M202" i="16" s="1"/>
  <c r="N202" i="16" s="1"/>
  <c r="M41" i="16" a="1"/>
  <c r="M41" i="16" s="1"/>
  <c r="N41" i="16" s="1"/>
  <c r="M288" i="16" a="1"/>
  <c r="M288" i="16" s="1"/>
  <c r="N288" i="16" s="1"/>
  <c r="M591" i="16" a="1"/>
  <c r="M591" i="16" s="1"/>
  <c r="N591" i="16" s="1"/>
  <c r="M1137" i="16" a="1"/>
  <c r="M1137" i="16" s="1"/>
  <c r="N1137" i="16" s="1"/>
  <c r="M203" i="16" a="1"/>
  <c r="M203" i="16" s="1"/>
  <c r="N203" i="16" s="1"/>
  <c r="M183" i="16" a="1"/>
  <c r="M183" i="16" s="1"/>
  <c r="N183" i="16" s="1"/>
  <c r="M246" i="16" a="1"/>
  <c r="M246" i="16" s="1"/>
  <c r="N246" i="16" s="1"/>
  <c r="M780" i="16" a="1"/>
  <c r="M780" i="16" s="1"/>
  <c r="N780" i="16" s="1"/>
  <c r="M263" i="16" a="1"/>
  <c r="M263" i="16" s="1"/>
  <c r="N263" i="16" s="1"/>
  <c r="M265" i="16" a="1"/>
  <c r="M265" i="16" s="1"/>
  <c r="N265" i="16" s="1"/>
  <c r="M142" i="16" a="1"/>
  <c r="M142" i="16" s="1"/>
  <c r="N142" i="16" s="1"/>
  <c r="M131" i="16" a="1"/>
  <c r="M131" i="16" s="1"/>
  <c r="N131" i="16" s="1"/>
  <c r="M1105" i="16" a="1"/>
  <c r="M1105" i="16" s="1"/>
  <c r="N1105" i="16" s="1"/>
  <c r="M588" i="16" a="1"/>
  <c r="M588" i="16" s="1"/>
  <c r="N588" i="16" s="1"/>
  <c r="M262" i="16" a="1"/>
  <c r="M262" i="16" s="1"/>
  <c r="N262" i="16" s="1"/>
  <c r="M137" i="16" a="1"/>
  <c r="M137" i="16" s="1"/>
  <c r="N137" i="16" s="1"/>
  <c r="M154" i="16" a="1"/>
  <c r="M154" i="16" s="1"/>
  <c r="N154" i="16" s="1"/>
  <c r="M181" i="16" a="1"/>
  <c r="M181" i="16" s="1"/>
  <c r="N181" i="16" s="1"/>
  <c r="M555" i="16" a="1"/>
  <c r="M555" i="16" s="1"/>
  <c r="N555" i="16" s="1"/>
  <c r="M43" i="16" a="1"/>
  <c r="M43" i="16" s="1"/>
  <c r="N43" i="16" s="1"/>
  <c r="M191" i="16" a="1"/>
  <c r="M191" i="16" s="1"/>
  <c r="N191" i="16" s="1"/>
  <c r="M107" i="16" a="1"/>
  <c r="M107" i="16" s="1"/>
  <c r="N107" i="16" s="1"/>
  <c r="M360" i="16" a="1"/>
  <c r="M360" i="16" s="1"/>
  <c r="N360" i="16" s="1"/>
  <c r="M193" i="16" a="1"/>
  <c r="M193" i="16" s="1"/>
  <c r="N193" i="16" s="1"/>
  <c r="M158" i="16" a="1"/>
  <c r="M158" i="16" s="1"/>
  <c r="N158" i="16" s="1"/>
  <c r="M663" i="16" a="1"/>
  <c r="M663" i="16" s="1"/>
  <c r="N663" i="16" s="1"/>
  <c r="M708" i="16" a="1"/>
  <c r="M708" i="16" s="1"/>
  <c r="N708" i="16" s="1"/>
  <c r="M391" i="16" a="1"/>
  <c r="M391" i="16" s="1"/>
  <c r="N391" i="16" s="1"/>
  <c r="M550" i="16" a="1"/>
  <c r="M550" i="16" s="1"/>
  <c r="N550" i="16" s="1"/>
  <c r="M108" i="16" a="1"/>
  <c r="M108" i="16" s="1"/>
  <c r="N108" i="16" s="1"/>
  <c r="M608" i="16" a="1"/>
  <c r="M608" i="16" s="1"/>
  <c r="N608" i="16" s="1"/>
  <c r="M730" i="16" a="1"/>
  <c r="M730" i="16" s="1"/>
  <c r="N730" i="16" s="1"/>
  <c r="M743" i="16" a="1"/>
  <c r="M743" i="16" s="1"/>
  <c r="N743" i="16" s="1"/>
  <c r="M720" i="16" a="1"/>
  <c r="M720" i="16" s="1"/>
  <c r="N720" i="16" s="1"/>
  <c r="M660" i="16" a="1"/>
  <c r="M660" i="16" s="1"/>
  <c r="N660" i="16" s="1"/>
  <c r="M765" i="16" a="1"/>
  <c r="M765" i="16" s="1"/>
  <c r="N765" i="16" s="1"/>
  <c r="M747" i="16" a="1"/>
  <c r="M747" i="16" s="1"/>
  <c r="N747" i="16" s="1"/>
  <c r="M483" i="16" a="1"/>
  <c r="M483" i="16" s="1"/>
  <c r="N483" i="16" s="1"/>
  <c r="M228" i="16" a="1"/>
  <c r="M228" i="16" s="1"/>
  <c r="N228" i="16" s="1"/>
  <c r="M985" i="16" a="1"/>
  <c r="M985" i="16" s="1"/>
  <c r="N985" i="16" s="1"/>
  <c r="M460" i="16" a="1"/>
  <c r="M460" i="16" s="1"/>
  <c r="N460" i="16" s="1"/>
  <c r="M823" i="16" a="1"/>
  <c r="M823" i="16" s="1"/>
  <c r="N823" i="16" s="1"/>
  <c r="M1043" i="16" a="1"/>
  <c r="M1043" i="16" s="1"/>
  <c r="N1043" i="16" s="1"/>
  <c r="M986" i="16" a="1"/>
  <c r="M986" i="16" s="1"/>
  <c r="N986" i="16" s="1"/>
  <c r="M504" i="16" a="1"/>
  <c r="M504" i="16" s="1"/>
  <c r="N504" i="16" s="1"/>
  <c r="M760" i="16" a="1"/>
  <c r="M760" i="16" s="1"/>
  <c r="N760" i="16" s="1"/>
  <c r="M1205" i="16" a="1"/>
  <c r="M1205" i="16" s="1"/>
  <c r="N1205" i="16" s="1"/>
  <c r="M753" i="16" a="1"/>
  <c r="M753" i="16" s="1"/>
  <c r="N753" i="16" s="1"/>
  <c r="M356" i="16" a="1"/>
  <c r="M356" i="16" s="1"/>
  <c r="N356" i="16" s="1"/>
  <c r="M1014" i="16" a="1"/>
  <c r="M1014" i="16" s="1"/>
  <c r="N1014" i="16" s="1"/>
  <c r="M838" i="16" a="1"/>
  <c r="M838" i="16" s="1"/>
  <c r="N838" i="16" s="1"/>
  <c r="M714" i="16" a="1"/>
  <c r="M714" i="16" s="1"/>
  <c r="N714" i="16" s="1"/>
  <c r="M654" i="16" a="1"/>
  <c r="M654" i="16" s="1"/>
  <c r="N654" i="16" s="1"/>
  <c r="M973" i="16" a="1"/>
  <c r="M973" i="16" s="1"/>
  <c r="N973" i="16" s="1"/>
  <c r="M475" i="16" a="1"/>
  <c r="M475" i="16" s="1"/>
  <c r="N475" i="16" s="1"/>
  <c r="M624" i="16" a="1"/>
  <c r="M624" i="16" s="1"/>
  <c r="N624" i="16" s="1"/>
  <c r="M952" i="16" a="1"/>
  <c r="M952" i="16" s="1"/>
  <c r="N952" i="16" s="1"/>
  <c r="M330" i="16" a="1"/>
  <c r="M330" i="16" s="1"/>
  <c r="N330" i="16" s="1"/>
  <c r="M1203" i="16" a="1"/>
  <c r="M1203" i="16" s="1"/>
  <c r="N1203" i="16" s="1"/>
  <c r="M296" i="16" a="1"/>
  <c r="M296" i="16" s="1"/>
  <c r="N296" i="16" s="1"/>
  <c r="M1021" i="16" a="1"/>
  <c r="M1021" i="16" s="1"/>
  <c r="N1021" i="16" s="1"/>
  <c r="M518" i="16" a="1"/>
  <c r="M518" i="16" s="1"/>
  <c r="N518" i="16" s="1"/>
  <c r="M851" i="16" a="1"/>
  <c r="M851" i="16" s="1"/>
  <c r="N851" i="16" s="1"/>
  <c r="M73" i="16" a="1"/>
  <c r="M73" i="16" s="1"/>
  <c r="N73" i="16" s="1"/>
  <c r="M303" i="16" a="1"/>
  <c r="M303" i="16" s="1"/>
  <c r="N303" i="16" s="1"/>
  <c r="M623" i="16" a="1"/>
  <c r="M623" i="16" s="1"/>
  <c r="N623" i="16" s="1"/>
  <c r="M222" i="16" a="1"/>
  <c r="M222" i="16" s="1"/>
  <c r="N222" i="16" s="1"/>
  <c r="M1074" i="16" a="1"/>
  <c r="M1074" i="16" s="1"/>
  <c r="N1074" i="16" s="1"/>
  <c r="M307" i="16" a="1"/>
  <c r="M307" i="16" s="1"/>
  <c r="N307" i="16" s="1"/>
  <c r="M881" i="16" a="1"/>
  <c r="M881" i="16" s="1"/>
  <c r="N881" i="16" s="1"/>
  <c r="M690" i="16" a="1"/>
  <c r="M690" i="16" s="1"/>
  <c r="N690" i="16" s="1"/>
  <c r="M839" i="16" a="1"/>
  <c r="M839" i="16" s="1"/>
  <c r="N839" i="16" s="1"/>
  <c r="M524" i="16" a="1"/>
  <c r="M524" i="16" s="1"/>
  <c r="N524" i="16" s="1"/>
  <c r="M922" i="16" a="1"/>
  <c r="M922" i="16" s="1"/>
  <c r="N922" i="16" s="1"/>
  <c r="M178" i="16" a="1"/>
  <c r="M178" i="16" s="1"/>
  <c r="N178" i="16" s="1"/>
  <c r="M1031" i="16" a="1"/>
  <c r="M1031" i="16" s="1"/>
  <c r="N1031" i="16" s="1"/>
  <c r="M768" i="16" a="1"/>
  <c r="M768" i="16" s="1"/>
  <c r="N768" i="16" s="1"/>
  <c r="M1016" i="16" a="1"/>
  <c r="M1016" i="16" s="1"/>
  <c r="N1016" i="16" s="1"/>
  <c r="M449" i="16" a="1"/>
  <c r="M449" i="16" s="1"/>
  <c r="N449" i="16" s="1"/>
  <c r="M205" i="16" a="1"/>
  <c r="M205" i="16" s="1"/>
  <c r="N205" i="16" s="1"/>
  <c r="M1140" i="16" a="1"/>
  <c r="M1140" i="16" s="1"/>
  <c r="N1140" i="16" s="1"/>
  <c r="M299" i="16" a="1"/>
  <c r="M299" i="16" s="1"/>
  <c r="N299" i="16" s="1"/>
  <c r="M1188" i="16" a="1"/>
  <c r="M1188" i="16" s="1"/>
  <c r="N1188" i="16" s="1"/>
  <c r="M950" i="16" a="1"/>
  <c r="M950" i="16" s="1"/>
  <c r="N950" i="16" s="1"/>
  <c r="M1098" i="16" a="1"/>
  <c r="M1098" i="16" s="1"/>
  <c r="N1098" i="16" s="1"/>
  <c r="M865" i="16" a="1"/>
  <c r="M865" i="16" s="1"/>
  <c r="N865" i="16" s="1"/>
  <c r="M899" i="16" a="1"/>
  <c r="M899" i="16" s="1"/>
  <c r="N899" i="16" s="1"/>
  <c r="M898" i="16" a="1"/>
  <c r="M898" i="16" s="1"/>
  <c r="N898" i="16" s="1"/>
  <c r="M680" i="16" a="1"/>
  <c r="M680" i="16" s="1"/>
  <c r="N680" i="16" s="1"/>
  <c r="M866" i="16" a="1"/>
  <c r="M866" i="16" s="1"/>
  <c r="N866" i="16" s="1"/>
  <c r="M741" i="16" a="1"/>
  <c r="M741" i="16" s="1"/>
  <c r="N741" i="16" s="1"/>
  <c r="M505" i="16" a="1"/>
  <c r="M505" i="16" s="1"/>
  <c r="N505" i="16" s="1"/>
  <c r="M667" i="16" a="1"/>
  <c r="M667" i="16" s="1"/>
  <c r="N667" i="16" s="1"/>
  <c r="M273" i="16" a="1"/>
  <c r="M273" i="16" s="1"/>
  <c r="N273" i="16" s="1"/>
  <c r="M825" i="16" a="1"/>
  <c r="M825" i="16" s="1"/>
  <c r="N825" i="16" s="1"/>
  <c r="M945" i="16" a="1"/>
  <c r="M945" i="16" s="1"/>
  <c r="N945" i="16" s="1"/>
  <c r="M911" i="16" a="1"/>
  <c r="M911" i="16" s="1"/>
  <c r="N911" i="16" s="1"/>
  <c r="M1124" i="16" a="1"/>
  <c r="M1124" i="16" s="1"/>
  <c r="N1124" i="16" s="1"/>
  <c r="M1130" i="16" a="1"/>
  <c r="M1130" i="16" s="1"/>
  <c r="N1130" i="16" s="1"/>
  <c r="M746" i="16" a="1"/>
  <c r="M746" i="16" s="1"/>
  <c r="N746" i="16" s="1"/>
  <c r="M503" i="16" a="1"/>
  <c r="M503" i="16" s="1"/>
  <c r="N503" i="16" s="1"/>
  <c r="M657" i="16" a="1"/>
  <c r="M657" i="16" s="1"/>
  <c r="N657" i="16" s="1"/>
  <c r="M235" i="16" a="1"/>
  <c r="M235" i="16" s="1"/>
  <c r="N235" i="16" s="1"/>
  <c r="M416" i="16" a="1"/>
  <c r="M416" i="16" s="1"/>
  <c r="N416" i="16" s="1"/>
  <c r="M1018" i="16" a="1"/>
  <c r="M1018" i="16" s="1"/>
  <c r="N1018" i="16" s="1"/>
  <c r="M463" i="16" a="1"/>
  <c r="M463" i="16" s="1"/>
  <c r="N463" i="16" s="1"/>
  <c r="M1095" i="16" a="1"/>
  <c r="M1095" i="16" s="1"/>
  <c r="N1095" i="16" s="1"/>
  <c r="M224" i="16" a="1"/>
  <c r="M224" i="16" s="1"/>
  <c r="N224" i="16" s="1"/>
  <c r="M782" i="16" a="1"/>
  <c r="M782" i="16" s="1"/>
  <c r="N782" i="16" s="1"/>
  <c r="M1060" i="16" a="1"/>
  <c r="M1060" i="16" s="1"/>
  <c r="N1060" i="16" s="1"/>
  <c r="M758" i="16" a="1"/>
  <c r="M758" i="16" s="1"/>
  <c r="N758" i="16" s="1"/>
  <c r="M736" i="16" a="1"/>
  <c r="M736" i="16" s="1"/>
  <c r="N736" i="16" s="1"/>
  <c r="M586" i="16" a="1"/>
  <c r="M586" i="16" s="1"/>
  <c r="N586" i="16" s="1"/>
  <c r="M255" i="16" a="1"/>
  <c r="M255" i="16" s="1"/>
  <c r="N255" i="16" s="1"/>
  <c r="M72" i="16" a="1"/>
  <c r="M72" i="16" s="1"/>
  <c r="N72" i="16" s="1"/>
  <c r="M204" i="16" a="1"/>
  <c r="M204" i="16" s="1"/>
  <c r="N204" i="16" s="1"/>
  <c r="M44" i="16" a="1"/>
  <c r="M44" i="16" s="1"/>
  <c r="N44" i="16" s="1"/>
  <c r="M415" i="16" a="1"/>
  <c r="M415" i="16" s="1"/>
  <c r="N415" i="16" s="1"/>
  <c r="M581" i="16" a="1"/>
  <c r="M581" i="16" s="1"/>
  <c r="N581" i="16" s="1"/>
  <c r="M918" i="16" a="1"/>
  <c r="M918" i="16" s="1"/>
  <c r="N918" i="16" s="1"/>
  <c r="M913" i="16" a="1"/>
  <c r="M913" i="16" s="1"/>
  <c r="N913" i="16" s="1"/>
  <c r="M924" i="16" a="1"/>
  <c r="M924" i="16" s="1"/>
  <c r="N924" i="16" s="1"/>
  <c r="M915" i="16" a="1"/>
  <c r="M915" i="16" s="1"/>
  <c r="N915" i="16" s="1"/>
  <c r="M1198" i="16" a="1"/>
  <c r="M1198" i="16" s="1"/>
  <c r="N1198" i="16" s="1"/>
  <c r="M1006" i="16" a="1"/>
  <c r="M1006" i="16" s="1"/>
  <c r="N1006" i="16" s="1"/>
  <c r="M921" i="16" a="1"/>
  <c r="M921" i="16" s="1"/>
  <c r="N921" i="16" s="1"/>
  <c r="M1096" i="16" a="1"/>
  <c r="M1096" i="16" s="1"/>
  <c r="N1096" i="16" s="1"/>
  <c r="M750" i="16" a="1"/>
  <c r="M750" i="16" s="1"/>
  <c r="N750" i="16" s="1"/>
  <c r="M734" i="16" a="1"/>
  <c r="M734" i="16" s="1"/>
  <c r="N734" i="16" s="1"/>
  <c r="M718" i="16" a="1"/>
  <c r="M718" i="16" s="1"/>
  <c r="N718" i="16" s="1"/>
  <c r="M694" i="16" a="1"/>
  <c r="M694" i="16" s="1"/>
  <c r="N694" i="16" s="1"/>
  <c r="M678" i="16" a="1"/>
  <c r="M678" i="16" s="1"/>
  <c r="N678" i="16" s="1"/>
  <c r="M658" i="16" a="1"/>
  <c r="M658" i="16" s="1"/>
  <c r="N658" i="16" s="1"/>
  <c r="M558" i="16" a="1"/>
  <c r="M558" i="16" s="1"/>
  <c r="N558" i="16" s="1"/>
  <c r="M837" i="16" a="1"/>
  <c r="M837" i="16" s="1"/>
  <c r="N837" i="16" s="1"/>
  <c r="M751" i="16" a="1"/>
  <c r="M751" i="16" s="1"/>
  <c r="N751" i="16" s="1"/>
  <c r="M853" i="16" a="1"/>
  <c r="M853" i="16" s="1"/>
  <c r="N853" i="16" s="1"/>
  <c r="M292" i="16" a="1"/>
  <c r="M292" i="16" s="1"/>
  <c r="N292" i="16" s="1"/>
  <c r="M517" i="16" a="1"/>
  <c r="M517" i="16" s="1"/>
  <c r="N517" i="16" s="1"/>
  <c r="M248" i="16" a="1"/>
  <c r="M248" i="16" s="1"/>
  <c r="N248" i="16" s="1"/>
  <c r="M105" i="16" a="1"/>
  <c r="M105" i="16" s="1"/>
  <c r="N105" i="16" s="1"/>
  <c r="M176" i="16" a="1"/>
  <c r="M176" i="16" s="1"/>
  <c r="N176" i="16" s="1"/>
  <c r="M174" i="16" a="1"/>
  <c r="M174" i="16" s="1"/>
  <c r="N174" i="16" s="1"/>
  <c r="M36" i="16" a="1"/>
  <c r="M36" i="16" s="1"/>
  <c r="N36" i="16" s="1"/>
  <c r="M403" i="16" a="1"/>
  <c r="M403" i="16" s="1"/>
  <c r="N403" i="16" s="1"/>
  <c r="M213" i="16" a="1"/>
  <c r="M213" i="16" s="1"/>
  <c r="N213" i="16" s="1"/>
  <c r="M362" i="16" a="1"/>
  <c r="M362" i="16" s="1"/>
  <c r="N362" i="16" s="1"/>
  <c r="M1013" i="16" a="1"/>
  <c r="M1013" i="16" s="1"/>
  <c r="N1013" i="16" s="1"/>
  <c r="M870" i="16" a="1"/>
  <c r="M870" i="16" s="1"/>
  <c r="N870" i="16" s="1"/>
  <c r="M725" i="16" a="1"/>
  <c r="M725" i="16" s="1"/>
  <c r="N725" i="16" s="1"/>
  <c r="M565" i="16" a="1"/>
  <c r="M565" i="16" s="1"/>
  <c r="N565" i="16" s="1"/>
  <c r="M440" i="16" a="1"/>
  <c r="M440" i="16" s="1"/>
  <c r="N440" i="16" s="1"/>
  <c r="M917" i="16" a="1"/>
  <c r="M917" i="16" s="1"/>
  <c r="N917" i="16" s="1"/>
  <c r="M727" i="16" a="1"/>
  <c r="M727" i="16" s="1"/>
  <c r="N727" i="16" s="1"/>
  <c r="M599" i="16" a="1"/>
  <c r="M599" i="16" s="1"/>
  <c r="N599" i="16" s="1"/>
  <c r="M919" i="16" a="1"/>
  <c r="M919" i="16" s="1"/>
  <c r="N919" i="16" s="1"/>
  <c r="M651" i="16" a="1"/>
  <c r="M651" i="16" s="1"/>
  <c r="N651" i="16" s="1"/>
  <c r="M564" i="16" a="1"/>
  <c r="M564" i="16" s="1"/>
  <c r="N564" i="16" s="1"/>
  <c r="M378" i="16" a="1"/>
  <c r="M378" i="16" s="1"/>
  <c r="N378" i="16" s="1"/>
  <c r="M733" i="16" a="1"/>
  <c r="M733" i="16" s="1"/>
  <c r="N733" i="16" s="1"/>
  <c r="M516" i="16" a="1"/>
  <c r="M516" i="16" s="1"/>
  <c r="N516" i="16" s="1"/>
  <c r="M428" i="16" a="1"/>
  <c r="M428" i="16" s="1"/>
  <c r="N428" i="16" s="1"/>
  <c r="M491" i="16" a="1"/>
  <c r="M491" i="16" s="1"/>
  <c r="N491" i="16" s="1"/>
  <c r="M215" i="16" a="1"/>
  <c r="M215" i="16" s="1"/>
  <c r="N215" i="16" s="1"/>
  <c r="M321" i="16" a="1"/>
  <c r="M321" i="16" s="1"/>
  <c r="N321" i="16" s="1"/>
  <c r="M256" i="16" a="1"/>
  <c r="M256" i="16" s="1"/>
  <c r="N256" i="16" s="1"/>
  <c r="M331" i="16" a="1"/>
  <c r="M331" i="16" s="1"/>
  <c r="N331" i="16" s="1"/>
  <c r="M355" i="16" a="1"/>
  <c r="M355" i="16" s="1"/>
  <c r="N355" i="16" s="1"/>
  <c r="M854" i="16" a="1"/>
  <c r="M854" i="16" s="1"/>
  <c r="N854" i="16" s="1"/>
  <c r="M665" i="16" a="1"/>
  <c r="M665" i="16" s="1"/>
  <c r="N665" i="16" s="1"/>
  <c r="M988" i="16" a="1"/>
  <c r="M988" i="16" s="1"/>
  <c r="N988" i="16" s="1"/>
  <c r="M978" i="16" a="1"/>
  <c r="M978" i="16" s="1"/>
  <c r="N978" i="16" s="1"/>
  <c r="M474" i="16" a="1"/>
  <c r="M474" i="16" s="1"/>
  <c r="N474" i="16" s="1"/>
  <c r="M92" i="16" a="1"/>
  <c r="M92" i="16" s="1"/>
  <c r="N92" i="16" s="1"/>
  <c r="M850" i="16" a="1"/>
  <c r="M850" i="16" s="1"/>
  <c r="N850" i="16" s="1"/>
  <c r="M419" i="16" a="1"/>
  <c r="M419" i="16" s="1"/>
  <c r="N419" i="16" s="1"/>
  <c r="M111" i="16" a="1"/>
  <c r="M111" i="16" s="1"/>
  <c r="N111" i="16" s="1"/>
  <c r="M549" i="16" a="1"/>
  <c r="M549" i="16" s="1"/>
  <c r="N549" i="16" s="1"/>
  <c r="M171" i="16" a="1"/>
  <c r="M171" i="16" s="1"/>
  <c r="N171" i="16" s="1"/>
  <c r="M1199" i="16" a="1"/>
  <c r="M1199" i="16" s="1"/>
  <c r="N1199" i="16" s="1"/>
  <c r="M291" i="16" a="1"/>
  <c r="M291" i="16" s="1"/>
  <c r="N291" i="16" s="1"/>
  <c r="M983" i="16" a="1"/>
  <c r="M983" i="16" s="1"/>
  <c r="N983" i="16" s="1"/>
  <c r="M217" i="16" a="1"/>
  <c r="M217" i="16" s="1"/>
  <c r="N217" i="16" s="1"/>
  <c r="M1073" i="16" a="1"/>
  <c r="M1073" i="16" s="1"/>
  <c r="N1073" i="16" s="1"/>
  <c r="M895" i="16" a="1"/>
  <c r="M895" i="16" s="1"/>
  <c r="N895" i="16" s="1"/>
  <c r="M244" i="16" a="1"/>
  <c r="M244" i="16" s="1"/>
  <c r="N244" i="16" s="1"/>
  <c r="M230" i="16" a="1"/>
  <c r="M230" i="16" s="1"/>
  <c r="N230" i="16" s="1"/>
  <c r="M1099" i="16" a="1"/>
  <c r="M1099" i="16" s="1"/>
  <c r="N1099" i="16" s="1"/>
  <c r="M897" i="16" a="1"/>
  <c r="M897" i="16" s="1"/>
  <c r="N897" i="16" s="1"/>
  <c r="M83" i="16" a="1"/>
  <c r="M83" i="16" s="1"/>
  <c r="N83" i="16" s="1"/>
  <c r="M170" i="16" a="1"/>
  <c r="M170" i="16" s="1"/>
  <c r="N170" i="16" s="1"/>
  <c r="M480" i="16" a="1"/>
  <c r="M480" i="16" s="1"/>
  <c r="N480" i="16" s="1"/>
  <c r="M254" i="16" a="1"/>
  <c r="M254" i="16" s="1"/>
  <c r="N254" i="16" s="1"/>
  <c r="M1008" i="16" a="1"/>
  <c r="M1008" i="16" s="1"/>
  <c r="N1008" i="16" s="1"/>
  <c r="M319" i="16" a="1"/>
  <c r="M319" i="16" s="1"/>
  <c r="N319" i="16" s="1"/>
  <c r="M258" i="16" a="1"/>
  <c r="M258" i="16" s="1"/>
  <c r="N258" i="16" s="1"/>
  <c r="M723" i="16" a="1"/>
  <c r="M723" i="16" s="1"/>
  <c r="N723" i="16" s="1"/>
  <c r="M310" i="16" a="1"/>
  <c r="M310" i="16" s="1"/>
  <c r="N310" i="16" s="1"/>
  <c r="M906" i="16" a="1"/>
  <c r="M906" i="16" s="1"/>
  <c r="N906" i="16" s="1"/>
  <c r="M1186" i="16" a="1"/>
  <c r="M1186" i="16" s="1"/>
  <c r="N1186" i="16" s="1"/>
  <c r="M998" i="16" a="1"/>
  <c r="M998" i="16" s="1"/>
  <c r="N998" i="16" s="1"/>
  <c r="M914" i="16" a="1"/>
  <c r="M914" i="16" s="1"/>
  <c r="N914" i="16" s="1"/>
  <c r="M1142" i="16" a="1"/>
  <c r="M1142" i="16" s="1"/>
  <c r="N1142" i="16" s="1"/>
  <c r="M1126" i="16" a="1"/>
  <c r="M1126" i="16" s="1"/>
  <c r="N1126" i="16" s="1"/>
  <c r="M1110" i="16" a="1"/>
  <c r="M1110" i="16" s="1"/>
  <c r="N1110" i="16" s="1"/>
  <c r="M1094" i="16" a="1"/>
  <c r="M1094" i="16" s="1"/>
  <c r="N1094" i="16" s="1"/>
  <c r="M849" i="16" a="1"/>
  <c r="M849" i="16" s="1"/>
  <c r="N849" i="16" s="1"/>
  <c r="M748" i="16" a="1"/>
  <c r="M748" i="16" s="1"/>
  <c r="N748" i="16" s="1"/>
  <c r="M732" i="16" a="1"/>
  <c r="M732" i="16" s="1"/>
  <c r="N732" i="16" s="1"/>
  <c r="M716" i="16" a="1"/>
  <c r="M716" i="16" s="1"/>
  <c r="N716" i="16" s="1"/>
  <c r="M692" i="16" a="1"/>
  <c r="M692" i="16" s="1"/>
  <c r="N692" i="16" s="1"/>
  <c r="M656" i="16" a="1"/>
  <c r="M656" i="16" s="1"/>
  <c r="N656" i="16" s="1"/>
  <c r="M826" i="16" a="1"/>
  <c r="M826" i="16" s="1"/>
  <c r="N826" i="16" s="1"/>
  <c r="M981" i="16" a="1"/>
  <c r="M981" i="16" s="1"/>
  <c r="N981" i="16" s="1"/>
  <c r="M749" i="16" a="1"/>
  <c r="M749" i="16" s="1"/>
  <c r="N749" i="16" s="1"/>
  <c r="M846" i="16" a="1"/>
  <c r="M846" i="16" s="1"/>
  <c r="N846" i="16" s="1"/>
  <c r="M522" i="16" a="1"/>
  <c r="M522" i="16" s="1"/>
  <c r="N522" i="16" s="1"/>
  <c r="M311" i="16" a="1"/>
  <c r="M311" i="16" s="1"/>
  <c r="N311" i="16" s="1"/>
  <c r="M646" i="16" a="1"/>
  <c r="M646" i="16" s="1"/>
  <c r="N646" i="16" s="1"/>
  <c r="M506" i="16" a="1"/>
  <c r="M506" i="16" s="1"/>
  <c r="N506" i="16" s="1"/>
  <c r="M103" i="16" a="1"/>
  <c r="M103" i="16" s="1"/>
  <c r="N103" i="16" s="1"/>
  <c r="M172" i="16" a="1"/>
  <c r="M172" i="16" s="1"/>
  <c r="N172" i="16" s="1"/>
  <c r="M56" i="16" a="1"/>
  <c r="M56" i="16" s="1"/>
  <c r="N56" i="16" s="1"/>
  <c r="M34" i="16" a="1"/>
  <c r="M34" i="16" s="1"/>
  <c r="N34" i="16" s="1"/>
  <c r="M370" i="16" a="1"/>
  <c r="M370" i="16" s="1"/>
  <c r="N370" i="16" s="1"/>
  <c r="M211" i="16" a="1"/>
  <c r="M211" i="16" s="1"/>
  <c r="N211" i="16" s="1"/>
  <c r="M86" i="16" a="1"/>
  <c r="M86" i="16" s="1"/>
  <c r="N86" i="16" s="1"/>
  <c r="M357" i="16" a="1"/>
  <c r="M357" i="16" s="1"/>
  <c r="N357" i="16" s="1"/>
  <c r="M1005" i="16" a="1"/>
  <c r="M1005" i="16" s="1"/>
  <c r="N1005" i="16" s="1"/>
  <c r="M799" i="16" a="1"/>
  <c r="M799" i="16" s="1"/>
  <c r="N799" i="16" s="1"/>
  <c r="M1171" i="16" a="1"/>
  <c r="M1171" i="16" s="1"/>
  <c r="N1171" i="16" s="1"/>
  <c r="M693" i="16" a="1"/>
  <c r="M693" i="16" s="1"/>
  <c r="N693" i="16" s="1"/>
  <c r="M438" i="16" a="1"/>
  <c r="M438" i="16" s="1"/>
  <c r="N438" i="16" s="1"/>
  <c r="M711" i="16" a="1"/>
  <c r="M711" i="16" s="1"/>
  <c r="N711" i="16" s="1"/>
  <c r="M583" i="16" a="1"/>
  <c r="M583" i="16" s="1"/>
  <c r="N583" i="16" s="1"/>
  <c r="M852" i="16" a="1"/>
  <c r="M852" i="16" s="1"/>
  <c r="N852" i="16" s="1"/>
  <c r="M635" i="16" a="1"/>
  <c r="M635" i="16" s="1"/>
  <c r="N635" i="16" s="1"/>
  <c r="M717" i="16" a="1"/>
  <c r="M717" i="16" s="1"/>
  <c r="N717" i="16" s="1"/>
  <c r="M557" i="16" a="1"/>
  <c r="M557" i="16" s="1"/>
  <c r="N557" i="16" s="1"/>
  <c r="M512" i="16" a="1"/>
  <c r="M512" i="16" s="1"/>
  <c r="N512" i="16" s="1"/>
  <c r="M762" i="16" a="1"/>
  <c r="M762" i="16" s="1"/>
  <c r="N762" i="16" s="1"/>
  <c r="M634" i="16" a="1"/>
  <c r="M634" i="16" s="1"/>
  <c r="N634" i="16" s="1"/>
  <c r="M37" i="16" a="1"/>
  <c r="M37" i="16" s="1"/>
  <c r="N37" i="16" s="1"/>
  <c r="M84" i="16" a="1"/>
  <c r="M84" i="16" s="1"/>
  <c r="N84" i="16" s="1"/>
  <c r="M313" i="16" a="1"/>
  <c r="M313" i="16" s="1"/>
  <c r="N313" i="16" s="1"/>
  <c r="M1028" i="16" a="1"/>
  <c r="M1028" i="16" s="1"/>
  <c r="N1028" i="16" s="1"/>
  <c r="M632" i="16" a="1"/>
  <c r="M632" i="16" s="1"/>
  <c r="N632" i="16" s="1"/>
  <c r="M969" i="16" a="1"/>
  <c r="M969" i="16" s="1"/>
  <c r="N969" i="16" s="1"/>
  <c r="M492" i="16" a="1"/>
  <c r="M492" i="16" s="1"/>
  <c r="N492" i="16" s="1"/>
  <c r="M649" i="16" a="1"/>
  <c r="M649" i="16" s="1"/>
  <c r="N649" i="16" s="1"/>
  <c r="M871" i="16" a="1"/>
  <c r="M871" i="16" s="1"/>
  <c r="N871" i="16" s="1"/>
  <c r="M461" i="16" a="1"/>
  <c r="M461" i="16" s="1"/>
  <c r="N461" i="16" s="1"/>
  <c r="M85" i="16" a="1"/>
  <c r="M85" i="16" s="1"/>
  <c r="N85" i="16" s="1"/>
  <c r="M729" i="16" a="1"/>
  <c r="M729" i="16" s="1"/>
  <c r="N729" i="16" s="1"/>
  <c r="M401" i="16" a="1"/>
  <c r="M401" i="16" s="1"/>
  <c r="N401" i="16" s="1"/>
  <c r="M102" i="16" a="1"/>
  <c r="M102" i="16" s="1"/>
  <c r="N102" i="16" s="1"/>
  <c r="M97" i="16" a="1"/>
  <c r="M97" i="16" s="1"/>
  <c r="N97" i="16" s="1"/>
  <c r="M967" i="16" a="1"/>
  <c r="M967" i="16" s="1"/>
  <c r="N967" i="16" s="1"/>
  <c r="M995" i="16" a="1"/>
  <c r="M995" i="16" s="1"/>
  <c r="N995" i="16" s="1"/>
  <c r="M886" i="16" a="1"/>
  <c r="M886" i="16" s="1"/>
  <c r="N886" i="16" s="1"/>
  <c r="M1131" i="16" a="1"/>
  <c r="M1131" i="16" s="1"/>
  <c r="N1131" i="16" s="1"/>
  <c r="M938" i="16" a="1"/>
  <c r="M938" i="16" s="1"/>
  <c r="N938" i="16" s="1"/>
  <c r="M98" i="16" a="1"/>
  <c r="M98" i="16" s="1"/>
  <c r="N98" i="16" s="1"/>
  <c r="M456" i="16" a="1"/>
  <c r="M456" i="16" s="1"/>
  <c r="N456" i="16" s="1"/>
  <c r="M862" i="16" a="1"/>
  <c r="M862" i="16" s="1"/>
  <c r="N862" i="16" s="1"/>
  <c r="M1000" i="16" a="1"/>
  <c r="M1000" i="16" s="1"/>
  <c r="N1000" i="16" s="1"/>
  <c r="M1070" i="16" a="1"/>
  <c r="M1070" i="16" s="1"/>
  <c r="N1070" i="16" s="1"/>
  <c r="M1119" i="16" a="1"/>
  <c r="M1119" i="16" s="1"/>
  <c r="N1119" i="16" s="1"/>
  <c r="M763" i="16" a="1"/>
  <c r="M763" i="16" s="1"/>
  <c r="N763" i="16" s="1"/>
  <c r="M630" i="16" a="1"/>
  <c r="M630" i="16" s="1"/>
  <c r="N630" i="16" s="1"/>
  <c r="M96" i="16" a="1"/>
  <c r="M96" i="16" s="1"/>
  <c r="N96" i="16" s="1"/>
  <c r="M54" i="16" a="1"/>
  <c r="M54" i="16" s="1"/>
  <c r="N54" i="16" s="1"/>
  <c r="M32" i="16" a="1"/>
  <c r="M32" i="16" s="1"/>
  <c r="N32" i="16" s="1"/>
  <c r="M353" i="16" a="1"/>
  <c r="M353" i="16" s="1"/>
  <c r="N353" i="16" s="1"/>
  <c r="M179" i="16" a="1"/>
  <c r="M179" i="16" s="1"/>
  <c r="N179" i="16" s="1"/>
  <c r="M301" i="16" a="1"/>
  <c r="M301" i="16" s="1"/>
  <c r="N301" i="16" s="1"/>
  <c r="M1204" i="16" a="1"/>
  <c r="M1204" i="16" s="1"/>
  <c r="N1204" i="16" s="1"/>
  <c r="M789" i="16" a="1"/>
  <c r="M789" i="16" s="1"/>
  <c r="N789" i="16" s="1"/>
  <c r="M824" i="16" a="1"/>
  <c r="M824" i="16" s="1"/>
  <c r="N824" i="16" s="1"/>
  <c r="M677" i="16" a="1"/>
  <c r="M677" i="16" s="1"/>
  <c r="N677" i="16" s="1"/>
  <c r="M695" i="16" a="1"/>
  <c r="M695" i="16" s="1"/>
  <c r="N695" i="16" s="1"/>
  <c r="M567" i="16" a="1"/>
  <c r="M567" i="16" s="1"/>
  <c r="N567" i="16" s="1"/>
  <c r="M472" i="16" a="1"/>
  <c r="M472" i="16" s="1"/>
  <c r="N472" i="16" s="1"/>
  <c r="M619" i="16" a="1"/>
  <c r="M619" i="16" s="1"/>
  <c r="N619" i="16" s="1"/>
  <c r="M960" i="16" a="1"/>
  <c r="M960" i="16" s="1"/>
  <c r="N960" i="16" s="1"/>
  <c r="M421" i="16" a="1"/>
  <c r="M421" i="16" s="1"/>
  <c r="N421" i="16" s="1"/>
  <c r="M737" i="16" a="1"/>
  <c r="M737" i="16" s="1"/>
  <c r="N737" i="16" s="1"/>
  <c r="M618" i="16" a="1"/>
  <c r="M618" i="16" s="1"/>
  <c r="N618" i="16" s="1"/>
  <c r="M305" i="16" a="1"/>
  <c r="M305" i="16" s="1"/>
  <c r="N305" i="16" s="1"/>
  <c r="M212" i="16" a="1"/>
  <c r="M212" i="16" s="1"/>
  <c r="N212" i="16" s="1"/>
  <c r="M57" i="16" a="1"/>
  <c r="M57" i="16" s="1"/>
  <c r="N57" i="16" s="1"/>
  <c r="M35" i="16" a="1"/>
  <c r="M35" i="16" s="1"/>
  <c r="N35" i="16" s="1"/>
  <c r="M510" i="16" a="1"/>
  <c r="M510" i="16" s="1"/>
  <c r="N510" i="16" s="1"/>
  <c r="M297" i="16" a="1"/>
  <c r="M297" i="16" s="1"/>
  <c r="N297" i="16" s="1"/>
  <c r="M801" i="16" a="1"/>
  <c r="M801" i="16" s="1"/>
  <c r="N801" i="16" s="1"/>
  <c r="M585" i="16" a="1"/>
  <c r="M585" i="16" s="1"/>
  <c r="N585" i="16" s="1"/>
  <c r="M1025" i="16" a="1"/>
  <c r="M1025" i="16" s="1"/>
  <c r="N1025" i="16" s="1"/>
  <c r="M439" i="16" a="1"/>
  <c r="M439" i="16" s="1"/>
  <c r="N439" i="16" s="1"/>
  <c r="M363" i="16" a="1"/>
  <c r="M363" i="16" s="1"/>
  <c r="N363" i="16" s="1"/>
  <c r="M569" i="16" a="1"/>
  <c r="M569" i="16" s="1"/>
  <c r="N569" i="16" s="1"/>
  <c r="M95" i="16" a="1"/>
  <c r="M95" i="16" s="1"/>
  <c r="N95" i="16" s="1"/>
  <c r="M338" i="16" a="1"/>
  <c r="M338" i="16" s="1"/>
  <c r="N338" i="16" s="1"/>
  <c r="M880" i="16" a="1"/>
  <c r="M880" i="16" s="1"/>
  <c r="N880" i="16" s="1"/>
  <c r="M479" i="16" a="1"/>
  <c r="M479" i="16" s="1"/>
  <c r="N479" i="16" s="1"/>
  <c r="M207" i="16" a="1"/>
  <c r="M207" i="16" s="1"/>
  <c r="N207" i="16" s="1"/>
  <c r="M1071" i="16" a="1"/>
  <c r="M1071" i="16" s="1"/>
  <c r="N1071" i="16" s="1"/>
  <c r="M951" i="16" a="1"/>
  <c r="M951" i="16" s="1"/>
  <c r="N951" i="16" s="1"/>
  <c r="M1107" i="16" a="1"/>
  <c r="M1107" i="16" s="1"/>
  <c r="N1107" i="16" s="1"/>
  <c r="M294" i="16" a="1"/>
  <c r="M294" i="16" s="1"/>
  <c r="N294" i="16" s="1"/>
  <c r="M1083" i="16" a="1"/>
  <c r="M1083" i="16" s="1"/>
  <c r="N1083" i="16" s="1"/>
  <c r="M979" i="16" a="1"/>
  <c r="M979" i="16" s="1"/>
  <c r="N979" i="16" s="1"/>
  <c r="M1072" i="16" a="1"/>
  <c r="M1072" i="16" s="1"/>
  <c r="N1072" i="16" s="1"/>
  <c r="M1133" i="16" a="1"/>
  <c r="M1133" i="16" s="1"/>
  <c r="N1133" i="16" s="1"/>
  <c r="M1061" i="16" a="1"/>
  <c r="M1061" i="16" s="1"/>
  <c r="N1061" i="16" s="1"/>
  <c r="M707" i="16" a="1"/>
  <c r="M707" i="16" s="1"/>
  <c r="N707" i="16" s="1"/>
  <c r="M1015" i="16" a="1"/>
  <c r="M1015" i="16" s="1"/>
  <c r="N1015" i="16" s="1"/>
  <c r="M783" i="16" a="1"/>
  <c r="M783" i="16" s="1"/>
  <c r="N783" i="16" s="1"/>
  <c r="M1062" i="16" a="1"/>
  <c r="M1062" i="16" s="1"/>
  <c r="N1062" i="16" s="1"/>
  <c r="M800" i="16" a="1"/>
  <c r="M800" i="16" s="1"/>
  <c r="N800" i="16" s="1"/>
  <c r="M1111" i="16" a="1"/>
  <c r="M1111" i="16" s="1"/>
  <c r="N1111" i="16" s="1"/>
  <c r="M118" i="16" a="1"/>
  <c r="M118" i="16" s="1"/>
  <c r="N118" i="16" s="1"/>
  <c r="M231" i="16" a="1"/>
  <c r="M231" i="16" s="1"/>
  <c r="N231" i="16" s="1"/>
  <c r="M1200" i="16" a="1"/>
  <c r="M1200" i="16" s="1"/>
  <c r="N1200" i="16" s="1"/>
  <c r="M1174" i="16" a="1"/>
  <c r="M1174" i="16" s="1"/>
  <c r="N1174" i="16" s="1"/>
  <c r="M982" i="16" a="1"/>
  <c r="M982" i="16" s="1"/>
  <c r="N982" i="16" s="1"/>
  <c r="M1122" i="16" a="1"/>
  <c r="M1122" i="16" s="1"/>
  <c r="N1122" i="16" s="1"/>
  <c r="M1106" i="16" a="1"/>
  <c r="M1106" i="16" s="1"/>
  <c r="N1106" i="16" s="1"/>
  <c r="M744" i="16" a="1"/>
  <c r="M744" i="16" s="1"/>
  <c r="N744" i="16" s="1"/>
  <c r="M728" i="16" a="1"/>
  <c r="M728" i="16" s="1"/>
  <c r="N728" i="16" s="1"/>
  <c r="M712" i="16" a="1"/>
  <c r="M712" i="16" s="1"/>
  <c r="N712" i="16" s="1"/>
  <c r="M688" i="16" a="1"/>
  <c r="M688" i="16" s="1"/>
  <c r="N688" i="16" s="1"/>
  <c r="M965" i="16" a="1"/>
  <c r="M965" i="16" s="1"/>
  <c r="N965" i="16" s="1"/>
  <c r="M792" i="16" a="1"/>
  <c r="M792" i="16" s="1"/>
  <c r="N792" i="16" s="1"/>
  <c r="M598" i="16" a="1"/>
  <c r="M598" i="16" s="1"/>
  <c r="N598" i="16" s="1"/>
  <c r="M457" i="16" a="1"/>
  <c r="M457" i="16" s="1"/>
  <c r="N457" i="16" s="1"/>
  <c r="M216" i="16" a="1"/>
  <c r="M216" i="16" s="1"/>
  <c r="N216" i="16" s="1"/>
  <c r="M74" i="16" a="1"/>
  <c r="M74" i="16" s="1"/>
  <c r="N74" i="16" s="1"/>
  <c r="M298" i="16" a="1"/>
  <c r="M298" i="16" s="1"/>
  <c r="N298" i="16" s="1"/>
  <c r="M302" i="16" a="1"/>
  <c r="M302" i="16" s="1"/>
  <c r="N302" i="16" s="1"/>
  <c r="M94" i="16" a="1"/>
  <c r="M94" i="16" s="1"/>
  <c r="N94" i="16" s="1"/>
  <c r="M52" i="16" a="1"/>
  <c r="M52" i="16" s="1"/>
  <c r="N52" i="16" s="1"/>
  <c r="M30" i="16" a="1"/>
  <c r="M30" i="16" s="1"/>
  <c r="N30" i="16" s="1"/>
  <c r="M346" i="16" a="1"/>
  <c r="M346" i="16" s="1"/>
  <c r="N346" i="16" s="1"/>
  <c r="M1202" i="16" a="1"/>
  <c r="M1202" i="16" s="1"/>
  <c r="N1202" i="16" s="1"/>
  <c r="M791" i="16" a="1"/>
  <c r="M791" i="16" s="1"/>
  <c r="N791" i="16" s="1"/>
  <c r="M661" i="16" a="1"/>
  <c r="M661" i="16" s="1"/>
  <c r="N661" i="16" s="1"/>
  <c r="M515" i="16" a="1"/>
  <c r="M515" i="16" s="1"/>
  <c r="N515" i="16" s="1"/>
  <c r="M420" i="16" a="1"/>
  <c r="M420" i="16" s="1"/>
  <c r="N420" i="16" s="1"/>
  <c r="M679" i="16" a="1"/>
  <c r="M679" i="16" s="1"/>
  <c r="N679" i="16" s="1"/>
  <c r="M470" i="16" a="1"/>
  <c r="M470" i="16" s="1"/>
  <c r="N470" i="16" s="1"/>
  <c r="M494" i="16" a="1"/>
  <c r="M494" i="16" s="1"/>
  <c r="N494" i="16" s="1"/>
  <c r="M879" i="16" a="1"/>
  <c r="M879" i="16" s="1"/>
  <c r="N879" i="16" s="1"/>
  <c r="M685" i="16" a="1"/>
  <c r="M685" i="16" s="1"/>
  <c r="N685" i="16" s="1"/>
  <c r="M476" i="16" a="1"/>
  <c r="M476" i="16" s="1"/>
  <c r="N476" i="16" s="1"/>
  <c r="M721" i="16" a="1"/>
  <c r="M721" i="16" s="1"/>
  <c r="N721" i="16" s="1"/>
  <c r="M473" i="16" a="1"/>
  <c r="M473" i="16" s="1"/>
  <c r="N473" i="16" s="1"/>
  <c r="M442" i="16" a="1"/>
  <c r="M442" i="16" s="1"/>
  <c r="N442" i="16" s="1"/>
  <c r="M269" i="16" a="1"/>
  <c r="M269" i="16" s="1"/>
  <c r="N269" i="16" s="1"/>
  <c r="M400" i="16" a="1"/>
  <c r="M400" i="16" s="1"/>
  <c r="N400" i="16" s="1"/>
  <c r="M325" i="16" a="1"/>
  <c r="M325" i="16" s="1"/>
  <c r="N325" i="16" s="1"/>
  <c r="M55" i="16" a="1"/>
  <c r="M55" i="16" s="1"/>
  <c r="N55" i="16" s="1"/>
  <c r="M33" i="16" a="1"/>
  <c r="M33" i="16" s="1"/>
  <c r="N33" i="16" s="1"/>
  <c r="M260" i="16" a="1"/>
  <c r="M260" i="16" s="1"/>
  <c r="N260" i="16" s="1"/>
  <c r="M101" i="16" a="1"/>
  <c r="M101" i="16" s="1"/>
  <c r="N101" i="16" s="1"/>
  <c r="M659" i="16" a="1"/>
  <c r="M659" i="16" s="1"/>
  <c r="N659" i="16" s="1"/>
  <c r="M1170" i="16" a="1"/>
  <c r="M1170" i="16" s="1"/>
  <c r="N1170" i="16" s="1"/>
  <c r="M367" i="16" a="1"/>
  <c r="M367" i="16" s="1"/>
  <c r="N367" i="16" s="1"/>
  <c r="M1024" i="16" a="1"/>
  <c r="M1024" i="16" s="1"/>
  <c r="N1024" i="16" s="1"/>
  <c r="M93" i="16" a="1"/>
  <c r="M93" i="16" s="1"/>
  <c r="N93" i="16" s="1"/>
  <c r="M309" i="16" a="1"/>
  <c r="M309" i="16" s="1"/>
  <c r="N309" i="16" s="1"/>
  <c r="M509" i="16" a="1"/>
  <c r="M509" i="16" s="1"/>
  <c r="N509" i="16" s="1"/>
  <c r="M735" i="16" a="1"/>
  <c r="M735" i="16" s="1"/>
  <c r="N735" i="16" s="1"/>
  <c r="M1063" i="16" a="1"/>
  <c r="M1063" i="16" s="1"/>
  <c r="N1063" i="16" s="1"/>
  <c r="M893" i="16" a="1"/>
  <c r="M893" i="16" s="1"/>
  <c r="N893" i="16" s="1"/>
  <c r="M910" i="16" a="1"/>
  <c r="M910" i="16" s="1"/>
  <c r="N910" i="16" s="1"/>
  <c r="M894" i="16" a="1"/>
  <c r="M894" i="16" s="1"/>
  <c r="N894" i="16" s="1"/>
  <c r="M1075" i="16" a="1"/>
  <c r="M1075" i="16" s="1"/>
  <c r="N1075" i="16" s="1"/>
  <c r="M600" i="16" a="1"/>
  <c r="M600" i="16" s="1"/>
  <c r="N600" i="16" s="1"/>
  <c r="M1125" i="16" a="1"/>
  <c r="M1125" i="16" s="1"/>
  <c r="N1125" i="16" s="1"/>
  <c r="M1042" i="16" a="1"/>
  <c r="M1042" i="16" s="1"/>
  <c r="N1042" i="16" s="1"/>
  <c r="M594" i="16" a="1"/>
  <c r="M594" i="16" s="1"/>
  <c r="N594" i="16" s="1"/>
  <c r="M214" i="16" a="1"/>
  <c r="M214" i="16" s="1"/>
  <c r="N214" i="16" s="1"/>
  <c r="M1007" i="16" a="1"/>
  <c r="M1007" i="16" s="1"/>
  <c r="N1007" i="16" s="1"/>
  <c r="M863" i="16" a="1"/>
  <c r="M863" i="16" s="1"/>
  <c r="N863" i="16" s="1"/>
  <c r="M210" i="16" a="1"/>
  <c r="M210" i="16" s="1"/>
  <c r="N210" i="16" s="1"/>
  <c r="M745" i="16" a="1"/>
  <c r="M745" i="16" s="1"/>
  <c r="N745" i="16" s="1"/>
  <c r="M1084" i="16" a="1"/>
  <c r="M1084" i="16" s="1"/>
  <c r="N1084" i="16" s="1"/>
  <c r="M247" i="16" a="1"/>
  <c r="M247" i="16" s="1"/>
  <c r="N247" i="16" s="1"/>
  <c r="M827" i="16" a="1"/>
  <c r="M827" i="16" s="1"/>
  <c r="N827" i="16" s="1"/>
  <c r="M1173" i="16" a="1"/>
  <c r="M1173" i="16" s="1"/>
  <c r="N1173" i="16" s="1"/>
  <c r="M1027" i="16" a="1"/>
  <c r="M1027" i="16" s="1"/>
  <c r="N1027" i="16" s="1"/>
  <c r="M1169" i="16" a="1"/>
  <c r="M1169" i="16" s="1"/>
  <c r="N1169" i="16" s="1"/>
  <c r="M974" i="16" a="1"/>
  <c r="M974" i="16" s="1"/>
  <c r="N974" i="16" s="1"/>
  <c r="M1136" i="16" a="1"/>
  <c r="M1136" i="16" s="1"/>
  <c r="N1136" i="16" s="1"/>
  <c r="M1120" i="16" a="1"/>
  <c r="M1120" i="16" s="1"/>
  <c r="N1120" i="16" s="1"/>
  <c r="M1104" i="16" a="1"/>
  <c r="M1104" i="16" s="1"/>
  <c r="N1104" i="16" s="1"/>
  <c r="M742" i="16" a="1"/>
  <c r="M742" i="16" s="1"/>
  <c r="N742" i="16" s="1"/>
  <c r="M726" i="16" a="1"/>
  <c r="M726" i="16" s="1"/>
  <c r="N726" i="16" s="1"/>
  <c r="M706" i="16" a="1"/>
  <c r="M706" i="16" s="1"/>
  <c r="N706" i="16" s="1"/>
  <c r="M686" i="16" a="1"/>
  <c r="M686" i="16" s="1"/>
  <c r="N686" i="16" s="1"/>
  <c r="M668" i="16" a="1"/>
  <c r="M668" i="16" s="1"/>
  <c r="N668" i="16" s="1"/>
  <c r="M650" i="16" a="1"/>
  <c r="M650" i="16" s="1"/>
  <c r="N650" i="16" s="1"/>
  <c r="M957" i="16" a="1"/>
  <c r="M957" i="16" s="1"/>
  <c r="N957" i="16" s="1"/>
  <c r="M778" i="16" a="1"/>
  <c r="M778" i="16" s="1"/>
  <c r="N778" i="16" s="1"/>
  <c r="M774" i="16" a="1"/>
  <c r="M774" i="16" s="1"/>
  <c r="N774" i="16" s="1"/>
  <c r="M323" i="16" a="1"/>
  <c r="M323" i="16" s="1"/>
  <c r="N323" i="16" s="1"/>
  <c r="M513" i="16" a="1"/>
  <c r="M513" i="16" s="1"/>
  <c r="N513" i="16" s="1"/>
  <c r="M523" i="16" a="1"/>
  <c r="M523" i="16" s="1"/>
  <c r="N523" i="16" s="1"/>
  <c r="M324" i="16" a="1"/>
  <c r="M324" i="16" s="1"/>
  <c r="N324" i="16" s="1"/>
  <c r="M582" i="16" a="1"/>
  <c r="M582" i="16" s="1"/>
  <c r="N582" i="16" s="1"/>
  <c r="M169" i="16" a="1"/>
  <c r="M169" i="16" s="1"/>
  <c r="N169" i="16" s="1"/>
  <c r="M272" i="16" a="1"/>
  <c r="M272" i="16" s="1"/>
  <c r="N272" i="16" s="1"/>
  <c r="M251" i="16" a="1"/>
  <c r="M251" i="16" s="1"/>
  <c r="N251" i="16" s="1"/>
  <c r="M50" i="16" a="1"/>
  <c r="M50" i="16" s="1"/>
  <c r="N50" i="16" s="1"/>
  <c r="M28" i="16" a="1"/>
  <c r="M28" i="16" s="1"/>
  <c r="N28" i="16" s="1"/>
  <c r="M912" i="16" a="1"/>
  <c r="M912" i="16" s="1"/>
  <c r="N912" i="16" s="1"/>
  <c r="M869" i="16" a="1"/>
  <c r="M869" i="16" s="1"/>
  <c r="N869" i="16" s="1"/>
  <c r="M645" i="16" a="1"/>
  <c r="M645" i="16" s="1"/>
  <c r="N645" i="16" s="1"/>
  <c r="M511" i="16" a="1"/>
  <c r="M511" i="16" s="1"/>
  <c r="N511" i="16" s="1"/>
  <c r="M418" i="16" a="1"/>
  <c r="M418" i="16" s="1"/>
  <c r="N418" i="16" s="1"/>
  <c r="M806" i="16" a="1"/>
  <c r="M806" i="16" s="1"/>
  <c r="N806" i="16" s="1"/>
  <c r="M647" i="16" a="1"/>
  <c r="M647" i="16" s="1"/>
  <c r="N647" i="16" s="1"/>
  <c r="M731" i="16" a="1"/>
  <c r="M731" i="16" s="1"/>
  <c r="N731" i="16" s="1"/>
  <c r="M462" i="16" a="1"/>
  <c r="M462" i="16" s="1"/>
  <c r="N462" i="16" s="1"/>
  <c r="M805" i="16" a="1"/>
  <c r="M805" i="16" s="1"/>
  <c r="N805" i="16" s="1"/>
  <c r="M454" i="16" a="1"/>
  <c r="M454" i="16" s="1"/>
  <c r="N454" i="16" s="1"/>
  <c r="M705" i="16" a="1"/>
  <c r="M705" i="16" s="1"/>
  <c r="N705" i="16" s="1"/>
  <c r="M471" i="16" a="1"/>
  <c r="M471" i="16" s="1"/>
  <c r="N471" i="16" s="1"/>
  <c r="M345" i="16" a="1"/>
  <c r="M345" i="16" s="1"/>
  <c r="N345" i="16" s="1"/>
  <c r="M359" i="16" a="1"/>
  <c r="M359" i="16" s="1"/>
  <c r="N359" i="16" s="1"/>
  <c r="M177" i="16" a="1"/>
  <c r="M177" i="16" s="1"/>
  <c r="N177" i="16" s="1"/>
  <c r="M293" i="16" a="1"/>
  <c r="M293" i="16" s="1"/>
  <c r="N293" i="16" s="1"/>
  <c r="M53" i="16" a="1"/>
  <c r="M53" i="16" s="1"/>
  <c r="N53" i="16" s="1"/>
  <c r="M31" i="16" a="1"/>
  <c r="M31" i="16" s="1"/>
  <c r="N31" i="16" s="1"/>
  <c r="M407" i="16" a="1"/>
  <c r="M407" i="16" s="1"/>
  <c r="N407" i="16" s="1"/>
  <c r="M249" i="16" a="1"/>
  <c r="M249" i="16" s="1"/>
  <c r="N249" i="16" s="1"/>
  <c r="M972" i="16" a="1"/>
  <c r="M972" i="16" s="1"/>
  <c r="N972" i="16" s="1"/>
  <c r="M793" i="16" a="1"/>
  <c r="M793" i="16" s="1"/>
  <c r="N793" i="16" s="1"/>
  <c r="M1019" i="16" a="1"/>
  <c r="M1019" i="16" s="1"/>
  <c r="N1019" i="16" s="1"/>
  <c r="M975" i="16" a="1"/>
  <c r="M975" i="16" s="1"/>
  <c r="N975" i="16" s="1"/>
  <c r="M466" i="16" a="1"/>
  <c r="M466" i="16" s="1"/>
  <c r="N466" i="16" s="1"/>
  <c r="M368" i="16" a="1"/>
  <c r="M368" i="16" s="1"/>
  <c r="N368" i="16" s="1"/>
  <c r="M944" i="16" a="1"/>
  <c r="M944" i="16" s="1"/>
  <c r="N944" i="16" s="1"/>
  <c r="M1187" i="16" a="1"/>
  <c r="M1187" i="16" s="1"/>
  <c r="N1187" i="16" s="1"/>
  <c r="M365" i="16" a="1"/>
  <c r="M365" i="16" s="1"/>
  <c r="N365" i="16" s="1"/>
  <c r="M790" i="16" a="1"/>
  <c r="M790" i="16" s="1"/>
  <c r="N790" i="16" s="1"/>
  <c r="M376" i="16" a="1"/>
  <c r="M376" i="16" s="1"/>
  <c r="N376" i="16" s="1"/>
  <c r="M987" i="16" a="1"/>
  <c r="M987" i="16" s="1"/>
  <c r="N987" i="16" s="1"/>
  <c r="M482" i="16" a="1"/>
  <c r="M482" i="16" s="1"/>
  <c r="N482" i="16" s="1"/>
  <c r="M872" i="16" a="1"/>
  <c r="M872" i="16" s="1"/>
  <c r="N872" i="16" s="1"/>
  <c r="M687" i="16" a="1"/>
  <c r="M687" i="16" s="1"/>
  <c r="N687" i="16" s="1"/>
  <c r="M719" i="16" a="1"/>
  <c r="M719" i="16" s="1"/>
  <c r="N719" i="16" s="1"/>
  <c r="M465" i="16" a="1"/>
  <c r="M465" i="16" s="1"/>
  <c r="N465" i="16" s="1"/>
  <c r="M984" i="16" a="1"/>
  <c r="M984" i="16" s="1"/>
  <c r="N984" i="16" s="1"/>
  <c r="M1117" i="16" a="1"/>
  <c r="M1117" i="16" s="1"/>
  <c r="N1117" i="16" s="1"/>
  <c r="M467" i="16" a="1"/>
  <c r="M467" i="16" s="1"/>
  <c r="N467" i="16" s="1"/>
  <c r="M300" i="16" a="1"/>
  <c r="M300" i="16" s="1"/>
  <c r="N300" i="16" s="1"/>
  <c r="M1045" i="16" a="1"/>
  <c r="M1045" i="16" s="1"/>
  <c r="N1045" i="16" s="1"/>
  <c r="M584" i="16" a="1"/>
  <c r="M584" i="16" s="1"/>
  <c r="N584" i="16" s="1"/>
  <c r="M999" i="16" a="1"/>
  <c r="M999" i="16" s="1"/>
  <c r="N999" i="16" s="1"/>
  <c r="M1127" i="16" a="1"/>
  <c r="M1127" i="16" s="1"/>
  <c r="N1127" i="16" s="1"/>
  <c r="M804" i="16" a="1"/>
  <c r="M804" i="16" s="1"/>
  <c r="N804" i="16" s="1"/>
  <c r="M691" i="16" a="1"/>
  <c r="M691" i="16" s="1"/>
  <c r="N691" i="16" s="1"/>
  <c r="M250" i="16" a="1"/>
  <c r="M250" i="16" s="1"/>
  <c r="N250" i="16" s="1"/>
  <c r="M270" i="16" a="1"/>
  <c r="M270" i="16" s="1"/>
  <c r="N270" i="16" s="1"/>
  <c r="M966" i="16" a="1"/>
  <c r="M966" i="16" s="1"/>
  <c r="N966" i="16" s="1"/>
  <c r="M1118" i="16" a="1"/>
  <c r="M1118" i="16" s="1"/>
  <c r="N1118" i="16" s="1"/>
  <c r="M1102" i="16" a="1"/>
  <c r="M1102" i="16" s="1"/>
  <c r="N1102" i="16" s="1"/>
  <c r="M868" i="16" a="1"/>
  <c r="M868" i="16" s="1"/>
  <c r="N868" i="16" s="1"/>
  <c r="M777" i="16" a="1"/>
  <c r="M777" i="16" s="1"/>
  <c r="N777" i="16" s="1"/>
  <c r="M740" i="16" a="1"/>
  <c r="M740" i="16" s="1"/>
  <c r="N740" i="16" s="1"/>
  <c r="M724" i="16" a="1"/>
  <c r="M724" i="16" s="1"/>
  <c r="N724" i="16" s="1"/>
  <c r="M704" i="16" a="1"/>
  <c r="M704" i="16" s="1"/>
  <c r="N704" i="16" s="1"/>
  <c r="M684" i="16" a="1"/>
  <c r="M684" i="16" s="1"/>
  <c r="N684" i="16" s="1"/>
  <c r="M666" i="16" a="1"/>
  <c r="M666" i="16" s="1"/>
  <c r="N666" i="16" s="1"/>
  <c r="M1183" i="16" a="1"/>
  <c r="M1183" i="16" s="1"/>
  <c r="N1183" i="16" s="1"/>
  <c r="M769" i="16" a="1"/>
  <c r="M769" i="16" s="1"/>
  <c r="N769" i="16" s="1"/>
  <c r="M949" i="16" a="1"/>
  <c r="M949" i="16" s="1"/>
  <c r="N949" i="16" s="1"/>
  <c r="M776" i="16" a="1"/>
  <c r="M776" i="16" s="1"/>
  <c r="N776" i="16" s="1"/>
  <c r="M775" i="16" a="1"/>
  <c r="M775" i="16" s="1"/>
  <c r="N775" i="16" s="1"/>
  <c r="M308" i="16" a="1"/>
  <c r="M308" i="16" s="1"/>
  <c r="N308" i="16" s="1"/>
  <c r="M508" i="16" a="1"/>
  <c r="M508" i="16" s="1"/>
  <c r="N508" i="16" s="1"/>
  <c r="M756" i="16" a="1"/>
  <c r="M756" i="16" s="1"/>
  <c r="N756" i="16" s="1"/>
  <c r="M322" i="16" a="1"/>
  <c r="M322" i="16" s="1"/>
  <c r="N322" i="16" s="1"/>
  <c r="M566" i="16" a="1"/>
  <c r="M566" i="16" s="1"/>
  <c r="N566" i="16" s="1"/>
  <c r="M369" i="16" a="1"/>
  <c r="M369" i="16" s="1"/>
  <c r="N369" i="16" s="1"/>
  <c r="M236" i="16" a="1"/>
  <c r="M236" i="16" s="1"/>
  <c r="N236" i="16" s="1"/>
  <c r="M26" i="16" a="1"/>
  <c r="M26" i="16" s="1"/>
  <c r="N26" i="16" s="1"/>
  <c r="M490" i="16" a="1"/>
  <c r="M490" i="16" s="1"/>
  <c r="N490" i="16" s="1"/>
  <c r="M259" i="16" a="1"/>
  <c r="M259" i="16" s="1"/>
  <c r="N259" i="16" s="1"/>
  <c r="M117" i="16" a="1"/>
  <c r="M117" i="16" s="1"/>
  <c r="N117" i="16" s="1"/>
  <c r="M514" i="16" a="1"/>
  <c r="M514" i="16" s="1"/>
  <c r="N514" i="16" s="1"/>
  <c r="M1176" i="16" a="1"/>
  <c r="M1176" i="16" s="1"/>
  <c r="N1176" i="16" s="1"/>
  <c r="M1017" i="16" a="1"/>
  <c r="M1017" i="16" s="1"/>
  <c r="N1017" i="16" s="1"/>
  <c r="M629" i="16" a="1"/>
  <c r="M629" i="16" s="1"/>
  <c r="N629" i="16" s="1"/>
  <c r="M499" i="16" a="1"/>
  <c r="M499" i="16" s="1"/>
  <c r="N499" i="16" s="1"/>
  <c r="M366" i="16" a="1"/>
  <c r="M366" i="16" s="1"/>
  <c r="N366" i="16" s="1"/>
  <c r="M772" i="16" a="1"/>
  <c r="M772" i="16" s="1"/>
  <c r="N772" i="16" s="1"/>
  <c r="M521" i="16" a="1"/>
  <c r="M521" i="16" s="1"/>
  <c r="N521" i="16" s="1"/>
  <c r="M715" i="16" a="1"/>
  <c r="M715" i="16" s="1"/>
  <c r="N715" i="16" s="1"/>
  <c r="M587" i="16" a="1"/>
  <c r="M587" i="16" s="1"/>
  <c r="N587" i="16" s="1"/>
  <c r="M803" i="16" a="1"/>
  <c r="M803" i="16" s="1"/>
  <c r="N803" i="16" s="1"/>
  <c r="M976" i="16" a="1"/>
  <c r="M976" i="16" s="1"/>
  <c r="N976" i="16" s="1"/>
  <c r="M689" i="16" a="1"/>
  <c r="M689" i="16" s="1"/>
  <c r="N689" i="16" s="1"/>
  <c r="M459" i="16" a="1"/>
  <c r="M459" i="16" s="1"/>
  <c r="N459" i="16" s="1"/>
  <c r="M173" i="16" a="1"/>
  <c r="M173" i="16" s="1"/>
  <c r="N173" i="16" s="1"/>
  <c r="M306" i="16" a="1"/>
  <c r="M306" i="16" s="1"/>
  <c r="N306" i="16" s="1"/>
  <c r="M377" i="16" a="1"/>
  <c r="M377" i="16" s="1"/>
  <c r="N377" i="16" s="1"/>
  <c r="M279" i="16" a="1"/>
  <c r="M279" i="16" s="1"/>
  <c r="N279" i="16" s="1"/>
  <c r="M104" i="16" a="1"/>
  <c r="M104" i="16" s="1"/>
  <c r="N104" i="16" s="1"/>
  <c r="M51" i="16" a="1"/>
  <c r="M51" i="16" s="1"/>
  <c r="N51" i="16" s="1"/>
  <c r="M29" i="16" a="1"/>
  <c r="M29" i="16" s="1"/>
  <c r="N29" i="16" s="1"/>
  <c r="M375" i="16" a="1"/>
  <c r="M375" i="16" s="1"/>
  <c r="N375" i="16" s="1"/>
  <c r="M404" i="16" a="1"/>
  <c r="M404" i="16" s="1"/>
  <c r="N404" i="16" s="1"/>
  <c r="M229" i="16" a="1"/>
  <c r="M229" i="16" s="1"/>
  <c r="N229" i="16" s="1"/>
  <c r="M970" i="16" a="1"/>
  <c r="M970" i="16" s="1"/>
  <c r="N970" i="16" s="1"/>
  <c r="M773" i="16" a="1"/>
  <c r="M773" i="16" s="1"/>
  <c r="N773" i="16" s="1"/>
  <c r="M1141" i="16" a="1"/>
  <c r="M1141" i="16" s="1"/>
  <c r="N1141" i="16" s="1"/>
  <c r="M548" i="16" a="1"/>
  <c r="M548" i="16" s="1"/>
  <c r="N548" i="16" s="1"/>
  <c r="M703" i="16" a="1"/>
  <c r="M703" i="16" s="1"/>
  <c r="N703" i="16" s="1"/>
  <c r="M320" i="16" a="1"/>
  <c r="M320" i="16" s="1"/>
  <c r="N320" i="16" s="1"/>
  <c r="M1175" i="16" a="1"/>
  <c r="M1175" i="16" s="1"/>
  <c r="N1175" i="16" s="1"/>
  <c r="M971" i="16" a="1"/>
  <c r="M971" i="16" s="1"/>
  <c r="N971" i="16" s="1"/>
  <c r="M864" i="16" a="1"/>
  <c r="M864" i="16" s="1"/>
  <c r="N864" i="16" s="1"/>
  <c r="M1097" i="16" a="1"/>
  <c r="M1097" i="16" s="1"/>
  <c r="N1097" i="16" s="1"/>
  <c r="M968" i="16" a="1"/>
  <c r="M968" i="16" s="1"/>
  <c r="N968" i="16" s="1"/>
  <c r="M739" i="16" a="1"/>
  <c r="M739" i="16" s="1"/>
  <c r="N739" i="16" s="1"/>
  <c r="M422" i="16" a="1"/>
  <c r="M422" i="16" s="1"/>
  <c r="N422" i="16" s="1"/>
  <c r="M1026" i="16" a="1"/>
  <c r="M1026" i="16" s="1"/>
  <c r="N1026" i="16" s="1"/>
  <c r="M802" i="16" a="1"/>
  <c r="M802" i="16" s="1"/>
  <c r="N802" i="16" s="1"/>
  <c r="M896" i="16" a="1"/>
  <c r="M896" i="16" s="1"/>
  <c r="N896" i="16" s="1"/>
  <c r="M1101" i="16" a="1"/>
  <c r="M1101" i="16" s="1"/>
  <c r="N1101" i="16" s="1"/>
  <c r="M568" i="16" a="1"/>
  <c r="M568" i="16" s="1"/>
  <c r="N568" i="16" s="1"/>
  <c r="M996" i="16" a="1"/>
  <c r="M996" i="16" s="1"/>
  <c r="N996" i="16" s="1"/>
  <c r="M1121" i="16" a="1"/>
  <c r="M1121" i="16" s="1"/>
  <c r="N1121" i="16" s="1"/>
  <c r="M268" i="16" a="1"/>
  <c r="M268" i="16" s="1"/>
  <c r="N268" i="16" s="1"/>
  <c r="M1044" i="16" a="1"/>
  <c r="M1044" i="16" s="1"/>
  <c r="N1044" i="16" s="1"/>
  <c r="M271" i="16" a="1"/>
  <c r="M271" i="16" s="1"/>
  <c r="N271" i="16" s="1"/>
  <c r="M464" i="16" a="1"/>
  <c r="M464" i="16" s="1"/>
  <c r="N464" i="16" s="1"/>
  <c r="M1168" i="16" a="1"/>
  <c r="M1168" i="16" s="1"/>
  <c r="N1168" i="16" s="1"/>
  <c r="M867" i="16" a="1"/>
  <c r="M867" i="16" s="1"/>
  <c r="N867" i="16" s="1"/>
  <c r="M937" i="16" a="1"/>
  <c r="M937" i="16" s="1"/>
  <c r="N937" i="16" s="1"/>
  <c r="M958" i="16" a="1"/>
  <c r="M958" i="16" s="1"/>
  <c r="N958" i="16" s="1"/>
  <c r="M1182" i="16" a="1"/>
  <c r="M1182" i="16" s="1"/>
  <c r="N1182" i="16" s="1"/>
  <c r="M1132" i="16" a="1"/>
  <c r="M1132" i="16" s="1"/>
  <c r="N1132" i="16" s="1"/>
  <c r="M1116" i="16" a="1"/>
  <c r="M1116" i="16" s="1"/>
  <c r="N1116" i="16" s="1"/>
  <c r="M1100" i="16" a="1"/>
  <c r="M1100" i="16" s="1"/>
  <c r="N1100" i="16" s="1"/>
  <c r="M920" i="16" a="1"/>
  <c r="M920" i="16" s="1"/>
  <c r="N920" i="16" s="1"/>
  <c r="M754" i="16" a="1"/>
  <c r="M754" i="16" s="1"/>
  <c r="N754" i="16" s="1"/>
  <c r="M738" i="16" a="1"/>
  <c r="M738" i="16" s="1"/>
  <c r="N738" i="16" s="1"/>
  <c r="M722" i="16" a="1"/>
  <c r="M722" i="16" s="1"/>
  <c r="N722" i="16" s="1"/>
  <c r="M702" i="16" a="1"/>
  <c r="M702" i="16" s="1"/>
  <c r="N702" i="16" s="1"/>
  <c r="M682" i="16" a="1"/>
  <c r="M682" i="16" s="1"/>
  <c r="N682" i="16" s="1"/>
  <c r="M662" i="16" a="1"/>
  <c r="M662" i="16" s="1"/>
  <c r="N662" i="16" s="1"/>
  <c r="M925" i="16" a="1"/>
  <c r="M925" i="16" s="1"/>
  <c r="N925" i="16" s="1"/>
  <c r="M767" i="16" a="1"/>
  <c r="M767" i="16" s="1"/>
  <c r="N767" i="16" s="1"/>
  <c r="M755" i="16" a="1"/>
  <c r="M755" i="16" s="1"/>
  <c r="N755" i="16" s="1"/>
  <c r="M878" i="16" a="1"/>
  <c r="M878" i="16" s="1"/>
  <c r="N878" i="16" s="1"/>
  <c r="M519" i="16" a="1"/>
  <c r="M519" i="16" s="1"/>
  <c r="N519" i="16" s="1"/>
  <c r="M304" i="16" a="1"/>
  <c r="M304" i="16" s="1"/>
  <c r="N304" i="16" s="1"/>
  <c r="M547" i="16" a="1"/>
  <c r="M547" i="16" s="1"/>
  <c r="N547" i="16" s="1"/>
  <c r="M87" i="16" a="1"/>
  <c r="M87" i="16" s="1"/>
  <c r="N87" i="16" s="1"/>
  <c r="M223" i="16" a="1"/>
  <c r="M223" i="16" s="1"/>
  <c r="N223" i="16" s="1"/>
  <c r="M206" i="16" a="1"/>
  <c r="M206" i="16" s="1"/>
  <c r="N206" i="16" s="1"/>
  <c r="M20" i="16" a="1"/>
  <c r="M20" i="16" s="1"/>
  <c r="N20" i="16" s="1"/>
  <c r="M245" i="16" a="1"/>
  <c r="M245" i="16" s="1"/>
  <c r="N245" i="16" s="1"/>
  <c r="M417" i="16" a="1"/>
  <c r="M417" i="16" s="1"/>
  <c r="N417" i="16" s="1"/>
  <c r="M1172" i="16" a="1"/>
  <c r="M1172" i="16" s="1"/>
  <c r="N1172" i="16" s="1"/>
  <c r="M836" i="16" a="1"/>
  <c r="M836" i="16" s="1"/>
  <c r="N836" i="16" s="1"/>
  <c r="M953" i="16" a="1"/>
  <c r="M953" i="16" s="1"/>
  <c r="N953" i="16" s="1"/>
  <c r="M759" i="16" a="1"/>
  <c r="M759" i="16" s="1"/>
  <c r="N759" i="16" s="1"/>
  <c r="M493" i="16" a="1"/>
  <c r="M493" i="16" s="1"/>
  <c r="N493" i="16" s="1"/>
  <c r="M358" i="16" a="1"/>
  <c r="M358" i="16" s="1"/>
  <c r="N358" i="16" s="1"/>
  <c r="M761" i="16" a="1"/>
  <c r="M761" i="16" s="1"/>
  <c r="N761" i="16" s="1"/>
  <c r="M631" i="16" a="1"/>
  <c r="M631" i="16" s="1"/>
  <c r="N631" i="16" s="1"/>
  <c r="M507" i="16" a="1"/>
  <c r="M507" i="16" s="1"/>
  <c r="N507" i="16" s="1"/>
  <c r="M977" i="16" a="1"/>
  <c r="M977" i="16" s="1"/>
  <c r="N977" i="16" s="1"/>
  <c r="M683" i="16" a="1"/>
  <c r="M683" i="16" s="1"/>
  <c r="N683" i="16" s="1"/>
  <c r="M405" i="16" a="1"/>
  <c r="M405" i="16" s="1"/>
  <c r="N405" i="16" s="1"/>
  <c r="M520" i="16" a="1"/>
  <c r="M520" i="16" s="1"/>
  <c r="N520" i="16" s="1"/>
  <c r="M441" i="16" a="1"/>
  <c r="M441" i="16" s="1"/>
  <c r="N441" i="16" s="1"/>
  <c r="M267" i="16" a="1"/>
  <c r="M267" i="16" s="1"/>
  <c r="N267" i="16" s="1"/>
  <c r="M332" i="16" a="1"/>
  <c r="M332" i="16" s="1"/>
  <c r="N332" i="16" s="1"/>
  <c r="M278" i="16" a="1"/>
  <c r="M278" i="16" s="1"/>
  <c r="N278" i="16" s="1"/>
  <c r="M371" i="16" a="1"/>
  <c r="M371" i="16" s="1"/>
  <c r="N371" i="16" s="1"/>
  <c r="M65" i="16" a="1"/>
  <c r="M65" i="16" s="1"/>
  <c r="N65" i="16" s="1"/>
  <c r="M49" i="16" a="1"/>
  <c r="M49" i="16" s="1"/>
  <c r="N49" i="16" s="1"/>
  <c r="M27" i="16" a="1"/>
  <c r="M27" i="16" s="1"/>
  <c r="N27" i="16" s="1"/>
  <c r="M354" i="16" a="1"/>
  <c r="M354" i="16" s="1"/>
  <c r="N354" i="16" s="1"/>
  <c r="M402" i="16" a="1"/>
  <c r="M402" i="16" s="1"/>
  <c r="N402" i="16" s="1"/>
  <c r="M209" i="16" a="1"/>
  <c r="M209" i="16" s="1"/>
  <c r="N209" i="16" s="1"/>
  <c r="M1139" i="16" a="1"/>
  <c r="M1139" i="16" s="1"/>
  <c r="N1139" i="16" s="1"/>
  <c r="M959" i="16" a="1"/>
  <c r="M959" i="16" s="1"/>
  <c r="N959" i="16" s="1"/>
  <c r="M766" i="16" a="1"/>
  <c r="M766" i="16" s="1"/>
  <c r="N766" i="16" s="1"/>
  <c r="M1020" i="16" a="1"/>
  <c r="M1020" i="16" s="1"/>
  <c r="N1020" i="16" s="1"/>
  <c r="M648" i="16" a="1"/>
  <c r="M648" i="16" s="1"/>
  <c r="N648" i="16" s="1"/>
  <c r="M847" i="16" a="1"/>
  <c r="M847" i="16" s="1"/>
  <c r="N847" i="16" s="1"/>
  <c r="M253" i="16" a="1"/>
  <c r="M253" i="16" s="1"/>
  <c r="N253" i="16" s="1"/>
  <c r="M175" i="16" a="1"/>
  <c r="M175" i="16" s="1"/>
  <c r="N175" i="16" s="1"/>
  <c r="M681" i="16" a="1"/>
  <c r="M681" i="16" s="1"/>
  <c r="N681" i="16" s="1"/>
  <c r="M312" i="16" a="1"/>
  <c r="M312" i="16" s="1"/>
  <c r="N312" i="16" s="1"/>
  <c r="M1009" i="16" a="1"/>
  <c r="M1009" i="16" s="1"/>
  <c r="N1009" i="16" s="1"/>
  <c r="M393" i="16" a="1"/>
  <c r="M393" i="16" s="1"/>
  <c r="N393" i="16" s="1"/>
  <c r="M406" i="16" a="1"/>
  <c r="M406" i="16" s="1"/>
  <c r="N406" i="16" s="1"/>
  <c r="M1103" i="16" a="1"/>
  <c r="M1103" i="16" s="1"/>
  <c r="N1103" i="16" s="1"/>
  <c r="M633" i="16" a="1"/>
  <c r="M633" i="16" s="1"/>
  <c r="N633" i="16" s="1"/>
  <c r="M455" i="16" a="1"/>
  <c r="M455" i="16" s="1"/>
  <c r="N455" i="16" s="1"/>
  <c r="M764" i="16" a="1"/>
  <c r="M764" i="16" s="1"/>
  <c r="N764" i="16" s="1"/>
  <c r="M563" i="16" a="1"/>
  <c r="M563" i="16" s="1"/>
  <c r="N563" i="16" s="1"/>
  <c r="M252" i="16" a="1"/>
  <c r="M252" i="16" s="1"/>
  <c r="N252" i="16" s="1"/>
  <c r="M713" i="16" a="1"/>
  <c r="M713" i="16" s="1"/>
  <c r="N713" i="16" s="1"/>
  <c r="M885" i="16" a="1"/>
  <c r="M885" i="16" s="1"/>
  <c r="N885" i="16" s="1"/>
  <c r="M374" i="16" a="1"/>
  <c r="M374" i="16" s="1"/>
  <c r="N374" i="16" s="1"/>
  <c r="M1029" i="16" a="1"/>
  <c r="M1029" i="16" s="1"/>
  <c r="N1029" i="16" s="1"/>
  <c r="M373" i="16" a="1"/>
  <c r="M373" i="16" s="1"/>
  <c r="N373" i="16" s="1"/>
  <c r="M980" i="16" a="1"/>
  <c r="M980" i="16" s="1"/>
  <c r="N980" i="16" s="1"/>
  <c r="M257" i="16" a="1"/>
  <c r="M257" i="16" s="1"/>
  <c r="N257" i="16" s="1"/>
  <c r="M1030" i="16" a="1"/>
  <c r="M1030" i="16" s="1"/>
  <c r="N1030" i="16" s="1"/>
  <c r="M757" i="16" a="1"/>
  <c r="M757" i="16" s="1"/>
  <c r="N757" i="16" s="1"/>
  <c r="M655" i="16" a="1"/>
  <c r="M655" i="16" s="1"/>
  <c r="N655" i="16" s="1"/>
  <c r="M1076" i="16" a="1"/>
  <c r="M1076" i="16" s="1"/>
  <c r="N1076" i="16" s="1"/>
  <c r="M295" i="16" a="1"/>
  <c r="M295" i="16" s="1"/>
  <c r="N295" i="16" s="1"/>
  <c r="M145" i="16" a="1"/>
  <c r="M145" i="16" s="1"/>
  <c r="N145" i="16" s="1"/>
  <c r="M458" i="16" a="1"/>
  <c r="M458" i="16" s="1"/>
  <c r="N458" i="16" s="1"/>
  <c r="M18" i="16" a="1"/>
  <c r="M18" i="16" s="1"/>
  <c r="N18" i="16" s="1"/>
  <c r="M372" i="16" a="1"/>
  <c r="M372" i="16" s="1"/>
  <c r="N372" i="16" s="1"/>
  <c r="M19" i="16" a="1"/>
  <c r="M19" i="16" s="1"/>
  <c r="N19" i="16" s="1"/>
  <c r="M392" i="16" a="1"/>
  <c r="M392" i="16" s="1"/>
  <c r="N392" i="16" s="1"/>
  <c r="K14" i="6" l="1"/>
  <c r="J14" i="6" s="1"/>
  <c r="O14" i="6" s="1"/>
  <c r="K13" i="6"/>
  <c r="J13" i="6" s="1"/>
  <c r="O13" i="6" s="1"/>
  <c r="K12" i="6"/>
  <c r="J12" i="6" l="1"/>
  <c r="O12" i="6" s="1"/>
  <c r="M699" i="16" a="1"/>
  <c r="M699" i="16" s="1"/>
  <c r="N699" i="16" s="1"/>
  <c r="M542" i="16" a="1"/>
  <c r="M542" i="16" s="1"/>
  <c r="N542" i="16" s="1"/>
  <c r="M541" i="16" a="1"/>
  <c r="M541" i="16" s="1"/>
  <c r="N541" i="16" s="1"/>
  <c r="M489" i="16" a="1"/>
  <c r="M489" i="16" s="1"/>
  <c r="N489" i="16" s="1"/>
  <c r="M488" i="16" a="1"/>
  <c r="M488" i="16" s="1"/>
  <c r="N488" i="16" s="1"/>
  <c r="M698" i="16" a="1"/>
  <c r="M698" i="16" s="1"/>
  <c r="N698" i="16" s="1"/>
  <c r="K17" i="6" l="1"/>
  <c r="J17" i="6" l="1"/>
  <c r="O17" i="6" s="1"/>
  <c r="M644" i="16" a="1"/>
  <c r="M644" i="16" s="1"/>
  <c r="N644" i="16" s="1"/>
  <c r="M891" i="16" a="1"/>
  <c r="M891" i="16" s="1"/>
  <c r="N891" i="16" s="1"/>
  <c r="M798" i="16" a="1"/>
  <c r="M798" i="16" s="1"/>
  <c r="N798" i="16" s="1"/>
  <c r="M274" i="16" a="1"/>
  <c r="M274" i="16" s="1"/>
  <c r="N274" i="16" s="1"/>
  <c r="M887" i="16" a="1"/>
  <c r="M887" i="16" s="1"/>
  <c r="N887" i="16" s="1"/>
  <c r="M883" i="16" a="1"/>
  <c r="M883" i="16" s="1"/>
  <c r="N883" i="16" s="1"/>
  <c r="M889" i="16" a="1"/>
  <c r="M889" i="16" s="1"/>
  <c r="N889" i="16" s="1"/>
  <c r="M882" i="16" a="1"/>
  <c r="M882" i="16" s="1"/>
  <c r="N882" i="16" s="1"/>
  <c r="M621" i="16" a="1"/>
  <c r="M621" i="16" s="1"/>
  <c r="N621" i="16" s="1"/>
  <c r="M1079" i="16" a="1"/>
  <c r="M1079" i="16" s="1"/>
  <c r="N1079" i="16" s="1"/>
  <c r="M1049" i="16" a="1"/>
  <c r="M1049" i="16" s="1"/>
  <c r="N1049" i="16" s="1"/>
  <c r="M1080" i="16" a="1"/>
  <c r="M1080" i="16" s="1"/>
  <c r="N1080" i="16" s="1"/>
  <c r="M892" i="16" a="1"/>
  <c r="M892" i="16" s="1"/>
  <c r="N892" i="16" s="1"/>
  <c r="M671" i="16" a="1"/>
  <c r="M671" i="16" s="1"/>
  <c r="N671" i="16" s="1"/>
  <c r="M234" i="16" a="1"/>
  <c r="M234" i="16" s="1"/>
  <c r="N234" i="16" s="1"/>
  <c r="M1046" i="16" a="1"/>
  <c r="M1046" i="16" s="1"/>
  <c r="N1046" i="16" s="1"/>
  <c r="M1068" i="16" a="1"/>
  <c r="M1068" i="16" s="1"/>
  <c r="N1068" i="16" s="1"/>
  <c r="M942" i="16" a="1"/>
  <c r="M942" i="16" s="1"/>
  <c r="N942" i="16" s="1"/>
  <c r="M1206" i="16" a="1"/>
  <c r="M1206" i="16" s="1"/>
  <c r="N1206" i="16" s="1"/>
  <c r="M884" i="16" a="1"/>
  <c r="M884" i="16" s="1"/>
  <c r="N884" i="16" s="1"/>
  <c r="M46" i="16" a="1"/>
  <c r="M46" i="16" s="1"/>
  <c r="N46" i="16" s="1"/>
  <c r="M1180" i="16" a="1"/>
  <c r="M1180" i="16" s="1"/>
  <c r="N1180" i="16" s="1"/>
  <c r="M640" i="16" a="1"/>
  <c r="M640" i="16" s="1"/>
  <c r="N640" i="16" s="1"/>
  <c r="M537" i="16" a="1"/>
  <c r="M537" i="16" s="1"/>
  <c r="N537" i="16" s="1"/>
  <c r="M487" i="16" a="1"/>
  <c r="M487" i="16" s="1"/>
  <c r="N487" i="16" s="1"/>
  <c r="M1047" i="16" a="1"/>
  <c r="M1047" i="16" s="1"/>
  <c r="N1047" i="16" s="1"/>
  <c r="M1064" i="16" a="1"/>
  <c r="M1064" i="16" s="1"/>
  <c r="N1064" i="16" s="1"/>
  <c r="M990" i="16" a="1"/>
  <c r="M990" i="16" s="1"/>
  <c r="N990" i="16" s="1"/>
  <c r="M13" i="16" a="1"/>
  <c r="M13" i="16" s="1"/>
  <c r="N13" i="16" s="1"/>
  <c r="K19" i="6" s="1"/>
  <c r="J19" i="6" s="1"/>
  <c r="O19" i="6" s="1"/>
  <c r="M905" i="16" a="1"/>
  <c r="M905" i="16" s="1"/>
  <c r="N905" i="16" s="1"/>
  <c r="M275" i="16" a="1"/>
  <c r="M275" i="16" s="1"/>
  <c r="N275" i="16" s="1"/>
  <c r="M602" i="16" a="1"/>
  <c r="M602" i="16" s="1"/>
  <c r="N602" i="16" s="1"/>
  <c r="M989" i="16" a="1"/>
  <c r="M989" i="16" s="1"/>
  <c r="N989" i="16" s="1"/>
  <c r="M819" i="16" a="1"/>
  <c r="M819" i="16" s="1"/>
  <c r="N819" i="16" s="1"/>
  <c r="M770" i="16" a="1"/>
  <c r="M770" i="16" s="1"/>
  <c r="N770" i="16" s="1"/>
  <c r="M941" i="16" a="1"/>
  <c r="M941" i="16" s="1"/>
  <c r="N941" i="16" s="1"/>
  <c r="M855" i="16" a="1"/>
  <c r="M855" i="16" s="1"/>
  <c r="N855" i="16" s="1"/>
  <c r="M1178" i="16" a="1"/>
  <c r="M1178" i="16" s="1"/>
  <c r="N1178" i="16" s="1"/>
  <c r="M834" i="16" a="1"/>
  <c r="M834" i="16" s="1"/>
  <c r="N834" i="16" s="1"/>
  <c r="M48" i="16" a="1"/>
  <c r="M48" i="16" s="1"/>
  <c r="N48" i="16" s="1"/>
  <c r="M832" i="16" a="1"/>
  <c r="M832" i="16" s="1"/>
  <c r="N832" i="16" s="1"/>
  <c r="M1207" i="16" a="1"/>
  <c r="M1207" i="16" s="1"/>
  <c r="N1207" i="16" s="1"/>
  <c r="M1209" i="16" a="1"/>
  <c r="M1209" i="16" s="1"/>
  <c r="N1209" i="16" s="1"/>
  <c r="M1108" i="16" a="1"/>
  <c r="M1108" i="16" s="1"/>
  <c r="N1108" i="16" s="1"/>
  <c r="M536" i="16" a="1"/>
  <c r="M536" i="16" s="1"/>
  <c r="N536" i="16" s="1"/>
  <c r="M796" i="16" a="1"/>
  <c r="M796" i="16" s="1"/>
  <c r="N796" i="16" s="1"/>
  <c r="M833" i="16" a="1"/>
  <c r="M833" i="16" s="1"/>
  <c r="N833" i="16" s="1"/>
  <c r="M856" i="16" a="1"/>
  <c r="M856" i="16" s="1"/>
  <c r="N856" i="16" s="1"/>
  <c r="M538" i="16" a="1"/>
  <c r="M538" i="16" s="1"/>
  <c r="N538" i="16" s="1"/>
  <c r="M939" i="16" a="1"/>
  <c r="M939" i="16" s="1"/>
  <c r="N939" i="16" s="1"/>
  <c r="M1208" i="16" a="1"/>
  <c r="M1208" i="16" s="1"/>
  <c r="N1208" i="16" s="1"/>
  <c r="M1067" i="16" a="1"/>
  <c r="M1067" i="16" s="1"/>
  <c r="N1067" i="16" s="1"/>
  <c r="M888" i="16" a="1"/>
  <c r="M888" i="16" s="1"/>
  <c r="N888" i="16" s="1"/>
  <c r="M674" i="16" a="1"/>
  <c r="M674" i="16" s="1"/>
  <c r="N674" i="16" s="1"/>
  <c r="M835" i="16" a="1"/>
  <c r="M835" i="16" s="1"/>
  <c r="N835" i="16" s="1"/>
  <c r="M486" i="16" a="1"/>
  <c r="M486" i="16" s="1"/>
  <c r="N486" i="16" s="1"/>
  <c r="M485" i="16" a="1"/>
  <c r="M485" i="16" s="1"/>
  <c r="N485" i="16" s="1"/>
  <c r="M807" i="16" a="1"/>
  <c r="M807" i="16" s="1"/>
  <c r="N807" i="16" s="1"/>
  <c r="M1081" i="16" a="1"/>
  <c r="M1081" i="16" s="1"/>
  <c r="N1081" i="16" s="1"/>
  <c r="M643" i="16" a="1"/>
  <c r="M643" i="16" s="1"/>
  <c r="N643" i="16" s="1"/>
  <c r="M1109" i="16" a="1"/>
  <c r="M1109" i="16" s="1"/>
  <c r="N1109" i="16" s="1"/>
  <c r="M601" i="16" a="1"/>
  <c r="M601" i="16" s="1"/>
  <c r="N601" i="16" s="1"/>
  <c r="M672" i="16" a="1"/>
  <c r="M672" i="16" s="1"/>
  <c r="N672" i="16" s="1"/>
  <c r="M797" i="16" a="1"/>
  <c r="M797" i="16" s="1"/>
  <c r="N797" i="16" s="1"/>
  <c r="M233" i="16" a="1"/>
  <c r="M233" i="16" s="1"/>
  <c r="N233" i="16" s="1"/>
  <c r="M1177" i="16" a="1"/>
  <c r="M1177" i="16" s="1"/>
  <c r="N1177" i="16" s="1"/>
  <c r="M484" i="16" a="1"/>
  <c r="M484" i="16" s="1"/>
  <c r="N484" i="16" s="1"/>
  <c r="M673" i="16" a="1"/>
  <c r="M673" i="16" s="1"/>
  <c r="N673" i="16" s="1"/>
  <c r="M47" i="16" a="1"/>
  <c r="M47" i="16" s="1"/>
  <c r="N47" i="16" s="1"/>
  <c r="M795" i="16" a="1"/>
  <c r="M795" i="16" s="1"/>
  <c r="N795" i="16" s="1"/>
  <c r="M535" i="16" a="1"/>
  <c r="M535" i="16" s="1"/>
  <c r="N535" i="16" s="1"/>
  <c r="M1065" i="16" a="1"/>
  <c r="M1065" i="16" s="1"/>
  <c r="N1065" i="16" s="1"/>
  <c r="M1082" i="16" a="1"/>
  <c r="M1082" i="16" s="1"/>
  <c r="N1082" i="16" s="1"/>
  <c r="M1077" i="16" a="1"/>
  <c r="M1077" i="16" s="1"/>
  <c r="N1077" i="16" s="1"/>
  <c r="M276" i="16" a="1"/>
  <c r="M276" i="16" s="1"/>
  <c r="N276" i="16" s="1"/>
  <c r="M808" i="16" a="1"/>
  <c r="M808" i="16" s="1"/>
  <c r="N808" i="16" s="1"/>
  <c r="M890" i="16" a="1"/>
  <c r="M890" i="16" s="1"/>
  <c r="N890" i="16" s="1"/>
  <c r="M622" i="16" a="1"/>
  <c r="M622" i="16" s="1"/>
  <c r="N622" i="16" s="1"/>
  <c r="M1181" i="16" a="1"/>
  <c r="M1181" i="16" s="1"/>
  <c r="N1181" i="16" s="1"/>
  <c r="M641" i="16" a="1"/>
  <c r="M641" i="16" s="1"/>
  <c r="N641" i="16" s="1"/>
  <c r="M277" i="16" a="1"/>
  <c r="M277" i="16" s="1"/>
  <c r="N277" i="16" s="1"/>
  <c r="M45" i="16" a="1"/>
  <c r="M45" i="16" s="1"/>
  <c r="N45" i="16" s="1"/>
  <c r="M1179" i="16" a="1"/>
  <c r="M1179" i="16" s="1"/>
  <c r="N1179" i="16" s="1"/>
  <c r="M1048" i="16" a="1"/>
  <c r="M1048" i="16" s="1"/>
  <c r="N1048" i="16" s="1"/>
  <c r="M1066" i="16" a="1"/>
  <c r="M1066" i="16" s="1"/>
  <c r="N1066" i="16" s="1"/>
  <c r="M1069" i="16" a="1"/>
  <c r="M1069" i="16" s="1"/>
  <c r="N1069" i="16" s="1"/>
  <c r="M940" i="16" a="1"/>
  <c r="M940" i="16" s="1"/>
  <c r="N940" i="16" s="1"/>
  <c r="M12" i="16" a="1"/>
  <c r="M12" i="16" s="1"/>
  <c r="N12" i="16" s="1"/>
  <c r="M1078" i="16" a="1"/>
  <c r="M1078" i="16" s="1"/>
  <c r="N1078" i="16" s="1"/>
  <c r="K18" i="6" l="1"/>
  <c r="J18" i="6" l="1"/>
  <c r="O18" i="6" s="1"/>
  <c r="M196" i="16" a="1"/>
  <c r="M196" i="16" s="1"/>
  <c r="N196" i="16" s="1"/>
  <c r="M389" i="16" a="1"/>
  <c r="M389" i="16" s="1"/>
  <c r="N389" i="16" s="1"/>
  <c r="M201" i="16" a="1"/>
  <c r="M201" i="16" s="1"/>
  <c r="N201" i="16" s="1"/>
  <c r="M200" i="16" a="1"/>
  <c r="M200" i="16" s="1"/>
  <c r="N200" i="16" s="1"/>
  <c r="M388" i="16" a="1"/>
  <c r="M388" i="16" s="1"/>
  <c r="N388" i="16" s="1"/>
  <c r="M242" i="16" a="1"/>
  <c r="M242" i="16" s="1"/>
  <c r="N242" i="16" s="1"/>
  <c r="M1215" i="16" a="1"/>
  <c r="M1215" i="16" s="1"/>
  <c r="N1215" i="16" s="1"/>
  <c r="M241" i="16" a="1"/>
  <c r="M241" i="16" s="1"/>
  <c r="N241" i="16" s="1"/>
  <c r="M384" i="16" a="1"/>
  <c r="M384" i="16" s="1"/>
  <c r="N384" i="16" s="1"/>
  <c r="M334" i="16" a="1"/>
  <c r="M334" i="16" s="1"/>
  <c r="N334" i="16" s="1"/>
  <c r="M383" i="16" a="1"/>
  <c r="M383" i="16" s="1"/>
  <c r="N383" i="16" s="1"/>
  <c r="M1214" i="16" a="1"/>
  <c r="M1214" i="16" s="1"/>
  <c r="N1214" i="16" s="1"/>
  <c r="M197" i="16" a="1"/>
  <c r="M197" i="16" s="1"/>
  <c r="N197" i="16" s="1"/>
  <c r="M437" i="16" a="1"/>
  <c r="M437" i="16" s="1"/>
  <c r="N437" i="16" s="1"/>
  <c r="M339" i="16" a="1"/>
  <c r="M339" i="16" s="1"/>
  <c r="N339" i="16" s="1"/>
  <c r="M446" i="16" a="1"/>
  <c r="M446" i="16" s="1"/>
  <c r="N446" i="16" s="1"/>
  <c r="M1211" i="16" a="1"/>
  <c r="M1211" i="16" s="1"/>
  <c r="N1211" i="16" s="1"/>
  <c r="M560" i="16" a="1"/>
  <c r="M560" i="16" s="1"/>
  <c r="N560" i="16" s="1"/>
  <c r="M571" i="16" a="1"/>
  <c r="M571" i="16" s="1"/>
  <c r="N571" i="16" s="1"/>
  <c r="M637" i="16" a="1"/>
  <c r="M637" i="16" s="1"/>
  <c r="N637" i="16" s="1"/>
  <c r="M435" i="16" a="1"/>
  <c r="M435" i="16" s="1"/>
  <c r="N435" i="16" s="1"/>
  <c r="M502" i="16" a="1"/>
  <c r="M502" i="16" s="1"/>
  <c r="N502" i="16" s="1"/>
  <c r="M326" i="16" a="1"/>
  <c r="M326" i="16" s="1"/>
  <c r="N326" i="16" s="1"/>
  <c r="M344" i="16" a="1"/>
  <c r="M344" i="16" s="1"/>
  <c r="N344" i="16" s="1"/>
  <c r="M1193" i="16" a="1"/>
  <c r="M1193" i="16" s="1"/>
  <c r="N1193" i="16" s="1"/>
  <c r="M636" i="16" a="1"/>
  <c r="M636" i="16" s="1"/>
  <c r="N636" i="16" s="1"/>
  <c r="M413" i="16" a="1"/>
  <c r="M413" i="16" s="1"/>
  <c r="N413" i="16" s="1"/>
  <c r="M329" i="16" a="1"/>
  <c r="M329" i="16" s="1"/>
  <c r="N329" i="16" s="1"/>
  <c r="M579" i="16" a="1"/>
  <c r="M579" i="16" s="1"/>
  <c r="N579" i="16" s="1"/>
  <c r="M452" i="16" a="1"/>
  <c r="M452" i="16" s="1"/>
  <c r="N452" i="16" s="1"/>
  <c r="M1216" i="16" a="1"/>
  <c r="M1216" i="16" s="1"/>
  <c r="N1216" i="16" s="1"/>
  <c r="M570" i="16" a="1"/>
  <c r="M570" i="16" s="1"/>
  <c r="N570" i="16" s="1"/>
  <c r="M379" i="16" a="1"/>
  <c r="M379" i="16" s="1"/>
  <c r="N379" i="16" s="1"/>
  <c r="M149" i="16" a="1"/>
  <c r="M149" i="16" s="1"/>
  <c r="N149" i="16" s="1"/>
  <c r="M398" i="16" a="1"/>
  <c r="M398" i="16" s="1"/>
  <c r="N398" i="16" s="1"/>
  <c r="M1212" i="16" a="1"/>
  <c r="M1212" i="16" s="1"/>
  <c r="N1212" i="16" s="1"/>
  <c r="M501" i="16" a="1"/>
  <c r="M501" i="16" s="1"/>
  <c r="N501" i="16" s="1"/>
  <c r="M423" i="16" a="1"/>
  <c r="M423" i="16" s="1"/>
  <c r="N423" i="16" s="1"/>
  <c r="M497" i="16" a="1"/>
  <c r="M497" i="16" s="1"/>
  <c r="N497" i="16" s="1"/>
  <c r="M531" i="16" a="1"/>
  <c r="M531" i="16" s="1"/>
  <c r="N531" i="16" s="1"/>
  <c r="M342" i="16" a="1"/>
  <c r="M342" i="16" s="1"/>
  <c r="N342" i="16" s="1"/>
  <c r="M525" i="16" a="1"/>
  <c r="M525" i="16" s="1"/>
  <c r="N525" i="16" s="1"/>
  <c r="M397" i="16" a="1"/>
  <c r="M397" i="16" s="1"/>
  <c r="N397" i="16" s="1"/>
  <c r="M394" i="16" a="1"/>
  <c r="M394" i="16" s="1"/>
  <c r="N394" i="16" s="1"/>
  <c r="M444" i="16" a="1"/>
  <c r="M444" i="16" s="1"/>
  <c r="N444" i="16" s="1"/>
  <c r="M327" i="16" a="1"/>
  <c r="M327" i="16" s="1"/>
  <c r="N327" i="16" s="1"/>
  <c r="M450" i="16" a="1"/>
  <c r="M450" i="16" s="1"/>
  <c r="N450" i="16" s="1"/>
  <c r="M1210" i="16" a="1"/>
  <c r="M1210" i="16" s="1"/>
  <c r="N1210" i="16" s="1"/>
  <c r="M496" i="16" a="1"/>
  <c r="M496" i="16" s="1"/>
  <c r="N496" i="16" s="1"/>
  <c r="M328" i="16" a="1"/>
  <c r="M328" i="16" s="1"/>
  <c r="N328" i="16" s="1"/>
  <c r="M1162" i="16" a="1"/>
  <c r="M1162" i="16" s="1"/>
  <c r="N1162" i="16" s="1"/>
  <c r="M576" i="16" a="1"/>
  <c r="M576" i="16" s="1"/>
  <c r="N576" i="16" s="1"/>
  <c r="M152" i="16" a="1"/>
  <c r="M152" i="16" s="1"/>
  <c r="N152" i="16" s="1"/>
  <c r="M225" i="16" a="1"/>
  <c r="M225" i="16" s="1"/>
  <c r="N225" i="16" s="1"/>
  <c r="M147" i="16" a="1"/>
  <c r="M147" i="16" s="1"/>
  <c r="N147" i="16" s="1"/>
  <c r="M1195" i="16" a="1"/>
  <c r="M1195" i="16" s="1"/>
  <c r="N1195" i="16" s="1"/>
  <c r="M468" i="16" a="1"/>
  <c r="M468" i="16" s="1"/>
  <c r="N468" i="16" s="1"/>
  <c r="M498" i="16" a="1"/>
  <c r="M498" i="16" s="1"/>
  <c r="N498" i="16" s="1"/>
  <c r="M414" i="16" a="1"/>
  <c r="M414" i="16" s="1"/>
  <c r="N414" i="16" s="1"/>
  <c r="M481" i="16" a="1"/>
  <c r="M481" i="16" s="1"/>
  <c r="N481" i="16" s="1"/>
  <c r="M352" i="16" a="1"/>
  <c r="M352" i="16" s="1"/>
  <c r="N352" i="16" s="1"/>
  <c r="M341" i="16" a="1"/>
  <c r="M341" i="16" s="1"/>
  <c r="N341" i="16" s="1"/>
  <c r="M232" i="16" a="1"/>
  <c r="M232" i="16" s="1"/>
  <c r="N232" i="16" s="1"/>
  <c r="M433" i="16" a="1"/>
  <c r="M433" i="16" s="1"/>
  <c r="N433" i="16" s="1"/>
  <c r="M348" i="16" a="1"/>
  <c r="M348" i="16" s="1"/>
  <c r="N348" i="16" s="1"/>
  <c r="M533" i="16" a="1"/>
  <c r="M533" i="16" s="1"/>
  <c r="N533" i="16" s="1"/>
  <c r="M381" i="16" a="1"/>
  <c r="M381" i="16" s="1"/>
  <c r="N381" i="16" s="1"/>
  <c r="M495" i="16" a="1"/>
  <c r="M495" i="16" s="1"/>
  <c r="N495" i="16" s="1"/>
  <c r="M226" i="16" a="1"/>
  <c r="M226" i="16" s="1"/>
  <c r="N226" i="16" s="1"/>
  <c r="M340" i="16" a="1"/>
  <c r="M340" i="16" s="1"/>
  <c r="N340" i="16" s="1"/>
  <c r="M1160" i="16" a="1"/>
  <c r="M1160" i="16" s="1"/>
  <c r="N1160" i="16" s="1"/>
  <c r="M1194" i="16" a="1"/>
  <c r="M1194" i="16" s="1"/>
  <c r="N1194" i="16" s="1"/>
  <c r="M1190" i="16" a="1"/>
  <c r="M1190" i="16" s="1"/>
  <c r="N1190" i="16" s="1"/>
  <c r="M1192" i="16" a="1"/>
  <c r="M1192" i="16" s="1"/>
  <c r="N1192" i="16" s="1"/>
  <c r="M530" i="16" a="1"/>
  <c r="M530" i="16" s="1"/>
  <c r="N530" i="16" s="1"/>
  <c r="M527" i="16" a="1"/>
  <c r="M527" i="16" s="1"/>
  <c r="N527" i="16" s="1"/>
  <c r="M426" i="16" a="1"/>
  <c r="M426" i="16" s="1"/>
  <c r="N426" i="16" s="1"/>
  <c r="M532" i="16" a="1"/>
  <c r="M532" i="16" s="1"/>
  <c r="N532" i="16" s="1"/>
  <c r="M453" i="16" a="1"/>
  <c r="M453" i="16" s="1"/>
  <c r="N453" i="16" s="1"/>
  <c r="M448" i="16" a="1"/>
  <c r="M448" i="16" s="1"/>
  <c r="N448" i="16" s="1"/>
  <c r="M436" i="16" a="1"/>
  <c r="M436" i="16" s="1"/>
  <c r="N436" i="16" s="1"/>
  <c r="M151" i="16" a="1"/>
  <c r="M151" i="16" s="1"/>
  <c r="N151" i="16" s="1"/>
  <c r="M529" i="16" a="1"/>
  <c r="M529" i="16" s="1"/>
  <c r="N529" i="16" s="1"/>
  <c r="M1191" i="16" a="1"/>
  <c r="M1191" i="16" s="1"/>
  <c r="N1191" i="16" s="1"/>
  <c r="M562" i="16" a="1"/>
  <c r="M562" i="16" s="1"/>
  <c r="N562" i="16" s="1"/>
  <c r="M409" i="16" a="1"/>
  <c r="M409" i="16" s="1"/>
  <c r="N409" i="16" s="1"/>
  <c r="M431" i="16" a="1"/>
  <c r="M431" i="16" s="1"/>
  <c r="N431" i="16" s="1"/>
  <c r="M380" i="16" a="1"/>
  <c r="M380" i="16" s="1"/>
  <c r="N380" i="16" s="1"/>
  <c r="M528" i="16" a="1"/>
  <c r="M528" i="16" s="1"/>
  <c r="N528" i="16" s="1"/>
  <c r="M430" i="16" a="1"/>
  <c r="M430" i="16" s="1"/>
  <c r="N430" i="16" s="1"/>
  <c r="M153" i="16" a="1"/>
  <c r="M153" i="16" s="1"/>
  <c r="N153" i="16" s="1"/>
  <c r="M427" i="16" a="1"/>
  <c r="M427" i="16" s="1"/>
  <c r="N427" i="16" s="1"/>
  <c r="M148" i="16" a="1"/>
  <c r="M148" i="16" s="1"/>
  <c r="N148" i="16" s="1"/>
  <c r="M478" i="16" a="1"/>
  <c r="M478" i="16" s="1"/>
  <c r="N478" i="16" s="1"/>
  <c r="M429" i="16" a="1"/>
  <c r="M429" i="16" s="1"/>
  <c r="N429" i="16" s="1"/>
  <c r="M150" i="16" a="1"/>
  <c r="M150" i="16" s="1"/>
  <c r="N150" i="16" s="1"/>
  <c r="M432" i="16" a="1"/>
  <c r="M432" i="16" s="1"/>
  <c r="N432" i="16" s="1"/>
  <c r="M1196" i="16" a="1"/>
  <c r="M1196" i="16" s="1"/>
  <c r="N1196" i="16" s="1"/>
  <c r="M351" i="16" a="1"/>
  <c r="M351" i="16" s="1"/>
  <c r="N351" i="16" s="1"/>
  <c r="M445" i="16" a="1"/>
  <c r="M445" i="16" s="1"/>
  <c r="N445" i="16" s="1"/>
  <c r="M434" i="16" a="1"/>
  <c r="M434" i="16" s="1"/>
  <c r="N434" i="16" s="1"/>
  <c r="M526" i="16" a="1"/>
  <c r="M526" i="16" s="1"/>
  <c r="N526" i="16" s="1"/>
  <c r="M425" i="16" a="1"/>
  <c r="M425" i="16" s="1"/>
  <c r="N425" i="16" s="1"/>
  <c r="M424" i="16" a="1"/>
  <c r="M424" i="16" s="1"/>
  <c r="N424" i="16" s="1"/>
  <c r="M575" i="16" a="1"/>
  <c r="M575" i="16" s="1"/>
  <c r="N575" i="16" s="1"/>
  <c r="M399" i="16" a="1"/>
  <c r="M399" i="16" s="1"/>
  <c r="N399" i="16" s="1"/>
  <c r="M333" i="16" a="1"/>
  <c r="M333" i="16" s="1"/>
  <c r="N333" i="16" s="1"/>
  <c r="M408" i="16" a="1"/>
  <c r="M408" i="16" s="1"/>
  <c r="N408" i="16" s="1"/>
  <c r="M396" i="16" a="1"/>
  <c r="M396" i="16" s="1"/>
  <c r="N396" i="16" s="1"/>
  <c r="M411" i="16" a="1"/>
  <c r="M411" i="16" s="1"/>
  <c r="N411" i="16" s="1"/>
  <c r="M1163" i="16" a="1"/>
  <c r="M1163" i="16" s="1"/>
  <c r="N1163" i="16" s="1"/>
  <c r="M559" i="16" a="1"/>
  <c r="M559" i="16" s="1"/>
  <c r="N559" i="16" s="1"/>
  <c r="M1217" i="16" a="1"/>
  <c r="M1217" i="16" s="1"/>
  <c r="N1217" i="16" s="1"/>
  <c r="M596" i="16" a="1"/>
  <c r="M596" i="16" s="1"/>
  <c r="N596" i="16" s="1"/>
  <c r="M500" i="16" a="1"/>
  <c r="M500" i="16" s="1"/>
  <c r="N500" i="16" s="1"/>
  <c r="M447" i="16" a="1"/>
  <c r="M447" i="16" s="1"/>
  <c r="N447" i="16" s="1"/>
  <c r="M382" i="16" a="1"/>
  <c r="M382" i="16" s="1"/>
  <c r="N382" i="16" s="1"/>
  <c r="M412" i="16" a="1"/>
  <c r="M412" i="16" s="1"/>
  <c r="N412" i="16" s="1"/>
  <c r="M451" i="16" a="1"/>
  <c r="M451" i="16" s="1"/>
  <c r="N451" i="16" s="1"/>
  <c r="M347" i="16" a="1"/>
  <c r="M347" i="16" s="1"/>
  <c r="N347" i="16" s="1"/>
  <c r="M1197" i="16" a="1"/>
  <c r="M1197" i="16" s="1"/>
  <c r="N1197" i="16" s="1"/>
  <c r="M574" i="16" a="1"/>
  <c r="M574" i="16" s="1"/>
  <c r="N574" i="16" s="1"/>
  <c r="M343" i="16" a="1"/>
  <c r="M343" i="16" s="1"/>
  <c r="N343" i="16" s="1"/>
  <c r="M469" i="16" a="1"/>
  <c r="M469" i="16" s="1"/>
  <c r="N469" i="16" s="1"/>
  <c r="M1213" i="16" a="1"/>
  <c r="M1213" i="16" s="1"/>
  <c r="N1213" i="16" s="1"/>
  <c r="M1161" i="16" a="1"/>
  <c r="M1161" i="16" s="1"/>
  <c r="N1161" i="16" s="1"/>
  <c r="M580" i="16" a="1"/>
  <c r="M580" i="16" s="1"/>
  <c r="N580" i="16" s="1"/>
  <c r="M443" i="16" a="1"/>
  <c r="M443" i="16" s="1"/>
  <c r="N443" i="16" s="1"/>
  <c r="M561" i="16" a="1"/>
  <c r="M561" i="16" s="1"/>
  <c r="N561" i="16" s="1"/>
  <c r="M350" i="16" a="1"/>
  <c r="M350" i="16" s="1"/>
  <c r="N350" i="16" s="1"/>
  <c r="M349" i="16" a="1"/>
  <c r="M349" i="16" s="1"/>
  <c r="N349" i="16" s="1"/>
  <c r="M395" i="16" a="1"/>
  <c r="M395" i="16" s="1"/>
  <c r="N395" i="16" s="1"/>
  <c r="M477" i="16" a="1"/>
  <c r="M477" i="16" s="1"/>
  <c r="N477" i="16" s="1"/>
  <c r="M410" i="16" a="1"/>
  <c r="M410" i="16" s="1"/>
  <c r="N410" i="16" s="1"/>
  <c r="M208" i="16" a="1"/>
  <c r="M208" i="16" s="1"/>
  <c r="N208" i="16" s="1"/>
  <c r="K23" i="6" s="1"/>
  <c r="J23" i="6" s="1"/>
  <c r="O23" i="6" s="1"/>
  <c r="M227" i="16" a="1"/>
  <c r="M227" i="16" s="1"/>
  <c r="N227" i="16" s="1"/>
  <c r="M1189" i="16" a="1"/>
  <c r="M1189" i="16" s="1"/>
  <c r="N1189" i="16" s="1"/>
  <c r="M595" i="16" a="1"/>
  <c r="M595" i="16" s="1"/>
  <c r="N595" i="16" s="1"/>
  <c r="M146" i="16" a="1"/>
  <c r="M146" i="16" s="1"/>
  <c r="N146" i="16" s="1"/>
  <c r="M364" i="16" a="1"/>
  <c r="M364" i="16" s="1"/>
  <c r="N364" i="16" s="1"/>
  <c r="K22" i="6" l="1"/>
  <c r="J22" i="6" l="1"/>
  <c r="O22" i="6" s="1"/>
  <c r="M700" i="16" a="1"/>
  <c r="M700" i="16" s="1"/>
  <c r="N700" i="16" s="1"/>
  <c r="M669" i="16" a="1"/>
  <c r="M669" i="16" s="1"/>
  <c r="N669" i="16" s="1"/>
  <c r="M670" i="16" a="1"/>
  <c r="M670" i="16" s="1"/>
  <c r="N670" i="16" s="1"/>
  <c r="M1184" i="16" a="1"/>
  <c r="M1184" i="16" s="1"/>
  <c r="N1184" i="16" s="1"/>
  <c r="M652" i="16" a="1"/>
  <c r="M652" i="16" s="1"/>
  <c r="N652" i="16" s="1"/>
  <c r="M638" i="16" a="1"/>
  <c r="M638" i="16" s="1"/>
  <c r="N638" i="16" s="1"/>
  <c r="M653" i="16" a="1"/>
  <c r="M653" i="16" s="1"/>
  <c r="N653" i="16" s="1"/>
  <c r="M675" i="16" a="1"/>
  <c r="M675" i="16" s="1"/>
  <c r="N675" i="16" s="1"/>
  <c r="M916" i="16" a="1"/>
  <c r="M916" i="16" s="1"/>
  <c r="N916" i="16" s="1"/>
  <c r="M620" i="16" a="1"/>
  <c r="M620" i="16" s="1"/>
  <c r="N620" i="16" s="1"/>
  <c r="M605" i="16" a="1"/>
  <c r="M605" i="16" s="1"/>
  <c r="N605" i="16" s="1"/>
  <c r="M572" i="16" a="1"/>
  <c r="M572" i="16" s="1"/>
  <c r="N572" i="16" s="1"/>
  <c r="M1135" i="16" a="1"/>
  <c r="M1135" i="16" s="1"/>
  <c r="N1135" i="16" s="1"/>
  <c r="M606" i="16" a="1"/>
  <c r="M606" i="16" s="1"/>
  <c r="N606" i="16" s="1"/>
  <c r="M1185" i="16" a="1"/>
  <c r="M1185" i="16" s="1"/>
  <c r="N1185" i="16" s="1"/>
  <c r="M573" i="16" a="1"/>
  <c r="M573" i="16" s="1"/>
  <c r="N573" i="16" s="1"/>
  <c r="M1143" i="16" a="1"/>
  <c r="M1143" i="16" s="1"/>
  <c r="N1143" i="16" s="1"/>
  <c r="M1144" i="16" a="1"/>
  <c r="M1144" i="16" s="1"/>
  <c r="N1144" i="16" s="1"/>
  <c r="M642" i="16" a="1"/>
  <c r="M642" i="16" s="1"/>
  <c r="N642" i="16" s="1"/>
  <c r="M1138" i="16" a="1"/>
  <c r="M1138" i="16" s="1"/>
  <c r="N1138" i="16" s="1"/>
  <c r="M771" i="16" a="1"/>
  <c r="M771" i="16" s="1"/>
  <c r="N771" i="16" s="1"/>
  <c r="M578" i="16" a="1"/>
  <c r="M578" i="16" s="1"/>
  <c r="N578" i="16" s="1"/>
  <c r="M1129" i="16" a="1"/>
  <c r="M1129" i="16" s="1"/>
  <c r="N1129" i="16" s="1"/>
  <c r="M1128" i="16" a="1"/>
  <c r="M1128" i="16" s="1"/>
  <c r="N1128" i="16" s="1"/>
  <c r="M597" i="16" a="1"/>
  <c r="M597" i="16" s="1"/>
  <c r="N597" i="16" s="1"/>
  <c r="M577" i="16" a="1"/>
  <c r="M577" i="16" s="1"/>
  <c r="N577" i="16" s="1"/>
  <c r="M639" i="16" a="1"/>
  <c r="M639" i="16" s="1"/>
  <c r="N639" i="16" s="1"/>
  <c r="M1134" i="16" a="1"/>
  <c r="M1134" i="16" s="1"/>
  <c r="N1134" i="16" s="1"/>
  <c r="M752" i="16" a="1"/>
  <c r="M752" i="16" s="1"/>
  <c r="N752" i="16" s="1"/>
  <c r="M676" i="16" a="1"/>
  <c r="M676" i="16" s="1"/>
  <c r="N676" i="16" s="1"/>
  <c r="M534" i="16" a="1"/>
  <c r="M534" i="16" s="1"/>
  <c r="N534" i="16" s="1"/>
  <c r="M701" i="16" a="1"/>
  <c r="M701" i="16" s="1"/>
  <c r="N701" i="16" s="1"/>
  <c r="K27" i="6" l="1"/>
  <c r="J27" i="6" l="1"/>
  <c r="O27" i="6" s="1"/>
  <c r="M1086" i="16" a="1"/>
  <c r="M1086" i="16" s="1"/>
  <c r="N1086" i="16" s="1"/>
  <c r="M1112" i="16" a="1"/>
  <c r="M1112" i="16" s="1"/>
  <c r="N1112" i="16" s="1"/>
  <c r="M1089" i="16" a="1"/>
  <c r="M1089" i="16" s="1"/>
  <c r="N1089" i="16" s="1"/>
  <c r="M1087" i="16" a="1"/>
  <c r="M1087" i="16" s="1"/>
  <c r="N1087" i="16" s="1"/>
  <c r="M1114" i="16" a="1"/>
  <c r="M1114" i="16" s="1"/>
  <c r="N1114" i="16" s="1"/>
  <c r="M1088" i="16" a="1"/>
  <c r="M1088" i="16" s="1"/>
  <c r="N1088" i="16" s="1"/>
  <c r="M1115" i="16" a="1"/>
  <c r="M1115" i="16" s="1"/>
  <c r="N1115" i="16" s="1"/>
  <c r="M1085" i="16" a="1"/>
  <c r="M1085" i="16" s="1"/>
  <c r="N1085" i="16" s="1"/>
  <c r="M1113" i="16" a="1"/>
  <c r="M1113" i="16" s="1"/>
  <c r="N1113" i="16" s="1"/>
  <c r="K31" i="6" l="1"/>
  <c r="J31" i="6" l="1"/>
  <c r="O31" i="6" s="1"/>
  <c r="M603" i="16" a="1"/>
  <c r="M603" i="16" s="1"/>
  <c r="N603" i="16" s="1"/>
  <c r="M540" i="16" a="1"/>
  <c r="M540" i="16" s="1"/>
  <c r="N540" i="16" s="1"/>
  <c r="M539" i="16" a="1"/>
  <c r="M539" i="16" s="1"/>
  <c r="N539" i="16" s="1"/>
  <c r="M604" i="16" a="1"/>
  <c r="M604" i="16" s="1"/>
  <c r="N604" i="16" s="1"/>
  <c r="K33" i="6" l="1"/>
  <c r="J33" i="6" l="1"/>
  <c r="O33" i="6" s="1"/>
  <c r="M124" i="16" a="1"/>
  <c r="M124" i="16" s="1"/>
  <c r="N124" i="16" s="1"/>
  <c r="M220" i="16" a="1"/>
  <c r="M220" i="16" s="1"/>
  <c r="N220" i="16" s="1"/>
  <c r="M164" i="16" a="1"/>
  <c r="M164" i="16" s="1"/>
  <c r="N164" i="16" s="1"/>
  <c r="M1152" i="16" a="1"/>
  <c r="M1152" i="16" s="1"/>
  <c r="N1152" i="16" s="1"/>
  <c r="M218" i="16" a="1"/>
  <c r="M218" i="16" s="1"/>
  <c r="N218" i="16" s="1"/>
  <c r="M134" i="16" a="1"/>
  <c r="M134" i="16" s="1"/>
  <c r="N134" i="16" s="1"/>
  <c r="M123" i="16" a="1"/>
  <c r="M123" i="16" s="1"/>
  <c r="N123" i="16" s="1"/>
  <c r="M1151" i="16" a="1"/>
  <c r="M1151" i="16" s="1"/>
  <c r="N1151" i="16" s="1"/>
  <c r="M1156" i="16" a="1"/>
  <c r="M1156" i="16" s="1"/>
  <c r="N1156" i="16" s="1"/>
  <c r="M125" i="16" a="1"/>
  <c r="M125" i="16" s="1"/>
  <c r="N125" i="16" s="1"/>
  <c r="M221" i="16" a="1"/>
  <c r="M221" i="16" s="1"/>
  <c r="N221" i="16" s="1"/>
  <c r="M163" i="16" a="1"/>
  <c r="M163" i="16" s="1"/>
  <c r="N163" i="16" s="1"/>
  <c r="M126" i="16" a="1"/>
  <c r="M126" i="16" s="1"/>
  <c r="N126" i="16" s="1"/>
  <c r="M139" i="16" a="1"/>
  <c r="M139" i="16" s="1"/>
  <c r="N139" i="16" s="1"/>
  <c r="M1153" i="16" a="1"/>
  <c r="M1153" i="16" s="1"/>
  <c r="N1153" i="16" s="1"/>
  <c r="M161" i="16" a="1"/>
  <c r="M161" i="16" s="1"/>
  <c r="N161" i="16" s="1"/>
  <c r="M219" i="16" a="1"/>
  <c r="M219" i="16" s="1"/>
  <c r="N219" i="16" s="1"/>
  <c r="M165" i="16" a="1"/>
  <c r="M165" i="16" s="1"/>
  <c r="N165" i="16" s="1"/>
  <c r="M119" i="16" a="1"/>
  <c r="M119" i="16" s="1"/>
  <c r="N119" i="16" s="1"/>
  <c r="M1055" i="16" a="1"/>
  <c r="M1055" i="16" s="1"/>
  <c r="N1055" i="16" s="1"/>
  <c r="M1093" i="16" a="1"/>
  <c r="M1093" i="16" s="1"/>
  <c r="N1093" i="16" s="1"/>
  <c r="M1092" i="16" a="1"/>
  <c r="M1092" i="16" s="1"/>
  <c r="N1092" i="16" s="1"/>
  <c r="M64" i="16" a="1"/>
  <c r="M64" i="16" s="1"/>
  <c r="N64" i="16" s="1"/>
  <c r="M120" i="16" a="1"/>
  <c r="M120" i="16" s="1"/>
  <c r="N120" i="16" s="1"/>
  <c r="M115" i="16" a="1"/>
  <c r="M115" i="16" s="1"/>
  <c r="N115" i="16" s="1"/>
  <c r="M1167" i="16" a="1"/>
  <c r="M1167" i="16" s="1"/>
  <c r="N1167" i="16" s="1"/>
  <c r="M314" i="16" a="1"/>
  <c r="M314" i="16" s="1"/>
  <c r="N314" i="16" s="1"/>
  <c r="M61" i="16" a="1"/>
  <c r="M61" i="16" s="1"/>
  <c r="N61" i="16" s="1"/>
  <c r="M121" i="16" a="1"/>
  <c r="M121" i="16" s="1"/>
  <c r="N121" i="16" s="1"/>
  <c r="M1039" i="16" a="1"/>
  <c r="M1039" i="16" s="1"/>
  <c r="N1039" i="16" s="1"/>
  <c r="M1091" i="16" a="1"/>
  <c r="M1091" i="16" s="1"/>
  <c r="N1091" i="16" s="1"/>
  <c r="M1053" i="16" a="1"/>
  <c r="M1053" i="16" s="1"/>
  <c r="N1053" i="16" s="1"/>
  <c r="M1054" i="16" a="1"/>
  <c r="M1054" i="16" s="1"/>
  <c r="N1054" i="16" s="1"/>
  <c r="M71" i="16" a="1"/>
  <c r="M71" i="16" s="1"/>
  <c r="N71" i="16" s="1"/>
  <c r="M1155" i="16" a="1"/>
  <c r="M1155" i="16" s="1"/>
  <c r="N1155" i="16" s="1"/>
  <c r="M317" i="16" a="1"/>
  <c r="M317" i="16" s="1"/>
  <c r="N317" i="16" s="1"/>
  <c r="M79" i="16" a="1"/>
  <c r="M79" i="16" s="1"/>
  <c r="N79" i="16" s="1"/>
  <c r="M62" i="16" a="1"/>
  <c r="M62" i="16" s="1"/>
  <c r="N62" i="16" s="1"/>
  <c r="M91" i="16" a="1"/>
  <c r="M91" i="16" s="1"/>
  <c r="N91" i="16" s="1"/>
  <c r="M60" i="16" a="1"/>
  <c r="M60" i="16" s="1"/>
  <c r="N60" i="16" s="1"/>
  <c r="M100" i="16" a="1"/>
  <c r="M100" i="16" s="1"/>
  <c r="N100" i="16" s="1"/>
  <c r="M122" i="16" a="1"/>
  <c r="M122" i="16" s="1"/>
  <c r="N122" i="16" s="1"/>
  <c r="M82" i="16" a="1"/>
  <c r="M82" i="16" s="1"/>
  <c r="N82" i="16" s="1"/>
  <c r="M1154" i="16" a="1"/>
  <c r="M1154" i="16" s="1"/>
  <c r="N1154" i="16" s="1"/>
  <c r="M162" i="16" a="1"/>
  <c r="M162" i="16" s="1"/>
  <c r="N162" i="16" s="1"/>
  <c r="M1059" i="16" a="1"/>
  <c r="M1059" i="16" s="1"/>
  <c r="N1059" i="16" s="1"/>
  <c r="M1037" i="16" a="1"/>
  <c r="M1037" i="16" s="1"/>
  <c r="N1037" i="16" s="1"/>
  <c r="M1038" i="16" a="1"/>
  <c r="M1038" i="16" s="1"/>
  <c r="N1038" i="16" s="1"/>
  <c r="M1164" i="16" a="1"/>
  <c r="M1164" i="16" s="1"/>
  <c r="N1164" i="16" s="1"/>
  <c r="M167" i="16" a="1"/>
  <c r="M167" i="16" s="1"/>
  <c r="N167" i="16" s="1"/>
  <c r="M1150" i="16" a="1"/>
  <c r="M1150" i="16" s="1"/>
  <c r="N1150" i="16" s="1"/>
  <c r="M89" i="16" a="1"/>
  <c r="M89" i="16" s="1"/>
  <c r="N89" i="16" s="1"/>
  <c r="M88" i="16" a="1"/>
  <c r="M88" i="16" s="1"/>
  <c r="N88" i="16" s="1"/>
  <c r="M81" i="16" a="1"/>
  <c r="M81" i="16" s="1"/>
  <c r="N81" i="16" s="1"/>
  <c r="M80" i="16" a="1"/>
  <c r="M80" i="16" s="1"/>
  <c r="N80" i="16" s="1"/>
  <c r="M69" i="16" a="1"/>
  <c r="M69" i="16" s="1"/>
  <c r="N69" i="16" s="1"/>
  <c r="M1051" i="16" a="1"/>
  <c r="M1051" i="16" s="1"/>
  <c r="N1051" i="16" s="1"/>
  <c r="M1165" i="16" a="1"/>
  <c r="M1165" i="16" s="1"/>
  <c r="N1165" i="16" s="1"/>
  <c r="M1036" i="16" a="1"/>
  <c r="M1036" i="16" s="1"/>
  <c r="N1036" i="16" s="1"/>
  <c r="M1032" i="16" a="1"/>
  <c r="M1032" i="16" s="1"/>
  <c r="N1032" i="16" s="1"/>
  <c r="M1035" i="16" a="1"/>
  <c r="M1035" i="16" s="1"/>
  <c r="N1035" i="16" s="1"/>
  <c r="M90" i="16" a="1"/>
  <c r="M90" i="16" s="1"/>
  <c r="N90" i="16" s="1"/>
  <c r="M166" i="16" a="1"/>
  <c r="M166" i="16" s="1"/>
  <c r="N166" i="16" s="1"/>
  <c r="M1090" i="16" a="1"/>
  <c r="M1090" i="16" s="1"/>
  <c r="N1090" i="16" s="1"/>
  <c r="M1166" i="16" a="1"/>
  <c r="M1166" i="16" s="1"/>
  <c r="N1166" i="16" s="1"/>
  <c r="M1057" i="16" a="1"/>
  <c r="M1057" i="16" s="1"/>
  <c r="N1057" i="16" s="1"/>
  <c r="M1056" i="16" a="1"/>
  <c r="M1056" i="16" s="1"/>
  <c r="N1056" i="16" s="1"/>
  <c r="M1058" i="16" a="1"/>
  <c r="M1058" i="16" s="1"/>
  <c r="N1058" i="16" s="1"/>
  <c r="M106" i="16" a="1"/>
  <c r="M106" i="16" s="1"/>
  <c r="N106" i="16" s="1"/>
  <c r="M1052" i="16" a="1"/>
  <c r="M1052" i="16" s="1"/>
  <c r="N1052" i="16" s="1"/>
  <c r="M315" i="16" a="1"/>
  <c r="M315" i="16" s="1"/>
  <c r="N315" i="16" s="1"/>
  <c r="M1041" i="16" a="1"/>
  <c r="M1041" i="16" s="1"/>
  <c r="N1041" i="16" s="1"/>
  <c r="M1040" i="16" a="1"/>
  <c r="M1040" i="16" s="1"/>
  <c r="N1040" i="16" s="1"/>
  <c r="M1050" i="16" a="1"/>
  <c r="M1050" i="16" s="1"/>
  <c r="N1050" i="16" s="1"/>
  <c r="M316" i="16" a="1"/>
  <c r="M316" i="16" s="1"/>
  <c r="N316" i="16" s="1"/>
  <c r="M99" i="16" a="1"/>
  <c r="M99" i="16" s="1"/>
  <c r="N99" i="16" s="1"/>
  <c r="M70" i="16" a="1"/>
  <c r="M70" i="16" s="1"/>
  <c r="N70" i="16" s="1"/>
  <c r="M168" i="16" a="1"/>
  <c r="M168" i="16" s="1"/>
  <c r="N168" i="16" s="1"/>
  <c r="M114" i="16" a="1"/>
  <c r="M114" i="16" s="1"/>
  <c r="N114" i="16" s="1"/>
  <c r="M1033" i="16" a="1"/>
  <c r="M1033" i="16" s="1"/>
  <c r="N1033" i="16" s="1"/>
  <c r="M59" i="16" a="1"/>
  <c r="M59" i="16" s="1"/>
  <c r="N59" i="16" s="1"/>
  <c r="M1034" i="16" a="1"/>
  <c r="M1034" i="16" s="1"/>
  <c r="N1034" i="16" s="1"/>
  <c r="M68" i="16" a="1"/>
  <c r="M68" i="16" s="1"/>
  <c r="N68" i="16" s="1"/>
  <c r="M116" i="16" a="1"/>
  <c r="M116" i="16" s="1"/>
  <c r="N116" i="16" s="1"/>
  <c r="M63" i="16" a="1"/>
  <c r="M63" i="16" s="1"/>
  <c r="N63" i="16" s="1"/>
  <c r="M318" i="16" a="1"/>
  <c r="M318" i="16" s="1"/>
  <c r="N318" i="16" s="1"/>
  <c r="K40" i="6" l="1"/>
  <c r="J40" i="6" s="1"/>
  <c r="O40" i="6" s="1"/>
  <c r="K39" i="6"/>
  <c r="J39" i="6" s="1"/>
  <c r="O39" i="6" s="1"/>
  <c r="K38" i="6"/>
  <c r="J38" i="6" l="1"/>
  <c r="O38" i="6" s="1"/>
  <c r="M159" i="16" a="1"/>
  <c r="M159" i="16" s="1"/>
  <c r="N159" i="16" s="1"/>
  <c r="M1158" i="16" a="1"/>
  <c r="M1158" i="16" s="1"/>
  <c r="N1158" i="16" s="1"/>
  <c r="M143" i="16" a="1"/>
  <c r="M143" i="16" s="1"/>
  <c r="N143" i="16" s="1"/>
  <c r="M77" i="16" a="1"/>
  <c r="M77" i="16" s="1"/>
  <c r="N77" i="16" s="1"/>
  <c r="M1148" i="16" a="1"/>
  <c r="M1148" i="16" s="1"/>
  <c r="N1148" i="16" s="1"/>
  <c r="M903" i="16" a="1"/>
  <c r="M903" i="16" s="1"/>
  <c r="N903" i="16" s="1"/>
  <c r="M904" i="16" a="1"/>
  <c r="M904" i="16" s="1"/>
  <c r="N904" i="16" s="1"/>
  <c r="M76" i="16" a="1"/>
  <c r="M76" i="16" s="1"/>
  <c r="N76" i="16" s="1"/>
  <c r="M75" i="16" a="1"/>
  <c r="M75" i="16" s="1"/>
  <c r="N75" i="16" s="1"/>
  <c r="M160" i="16" a="1"/>
  <c r="M160" i="16" s="1"/>
  <c r="N160" i="16" s="1"/>
  <c r="M935" i="16" a="1"/>
  <c r="M935" i="16" s="1"/>
  <c r="N935" i="16" s="1"/>
  <c r="M78" i="16" a="1"/>
  <c r="M78" i="16" s="1"/>
  <c r="N78" i="16" s="1"/>
  <c r="M1145" i="16" a="1"/>
  <c r="M1145" i="16" s="1"/>
  <c r="N1145" i="16" s="1"/>
  <c r="M1146" i="16" a="1"/>
  <c r="M1146" i="16" s="1"/>
  <c r="N1146" i="16" s="1"/>
  <c r="M858" i="16" a="1"/>
  <c r="M858" i="16" s="1"/>
  <c r="N858" i="16" s="1"/>
  <c r="M874" i="16" a="1"/>
  <c r="M874" i="16" s="1"/>
  <c r="N874" i="16" s="1"/>
  <c r="M828" i="16" a="1"/>
  <c r="M828" i="16" s="1"/>
  <c r="N828" i="16" s="1"/>
  <c r="M144" i="16" a="1"/>
  <c r="M144" i="16" s="1"/>
  <c r="N144" i="16" s="1"/>
  <c r="M820" i="16" a="1"/>
  <c r="M820" i="16" s="1"/>
  <c r="N820" i="16" s="1"/>
  <c r="M842" i="16" a="1"/>
  <c r="M842" i="16" s="1"/>
  <c r="N842" i="16" s="1"/>
  <c r="M840" i="16" a="1"/>
  <c r="M840" i="16" s="1"/>
  <c r="N840" i="16" s="1"/>
  <c r="M992" i="16" a="1"/>
  <c r="M992" i="16" s="1"/>
  <c r="N992" i="16" s="1"/>
  <c r="M964" i="16" a="1"/>
  <c r="M964" i="16" s="1"/>
  <c r="N964" i="16" s="1"/>
  <c r="M822" i="16" a="1"/>
  <c r="M822" i="16" s="1"/>
  <c r="N822" i="16" s="1"/>
  <c r="M955" i="16" a="1"/>
  <c r="M955" i="16" s="1"/>
  <c r="N955" i="16" s="1"/>
  <c r="M877" i="16" a="1"/>
  <c r="M877" i="16" s="1"/>
  <c r="N877" i="16" s="1"/>
  <c r="M814" i="16" a="1"/>
  <c r="M814" i="16" s="1"/>
  <c r="N814" i="16" s="1"/>
  <c r="M786" i="16" a="1"/>
  <c r="M786" i="16" s="1"/>
  <c r="N786" i="16" s="1"/>
  <c r="M962" i="16" a="1"/>
  <c r="M962" i="16" s="1"/>
  <c r="N962" i="16" s="1"/>
  <c r="M66" i="16" a="1"/>
  <c r="M66" i="16" s="1"/>
  <c r="N66" i="16" s="1"/>
  <c r="M1012" i="16" a="1"/>
  <c r="M1012" i="16" s="1"/>
  <c r="N1012" i="16" s="1"/>
  <c r="M947" i="16" a="1"/>
  <c r="M947" i="16" s="1"/>
  <c r="N947" i="16" s="1"/>
  <c r="M861" i="16" a="1"/>
  <c r="M861" i="16" s="1"/>
  <c r="N861" i="16" s="1"/>
  <c r="M785" i="16" a="1"/>
  <c r="M785" i="16" s="1"/>
  <c r="N785" i="16" s="1"/>
  <c r="M859" i="16" a="1"/>
  <c r="M859" i="16" s="1"/>
  <c r="N859" i="16" s="1"/>
  <c r="M1004" i="16" a="1"/>
  <c r="M1004" i="16" s="1"/>
  <c r="N1004" i="16" s="1"/>
  <c r="M991" i="16" a="1"/>
  <c r="M991" i="16" s="1"/>
  <c r="N991" i="16" s="1"/>
  <c r="M544" i="16" a="1"/>
  <c r="M544" i="16" s="1"/>
  <c r="N544" i="16" s="1"/>
  <c r="M816" i="16" a="1"/>
  <c r="M816" i="16" s="1"/>
  <c r="N816" i="16" s="1"/>
  <c r="M930" i="16" a="1"/>
  <c r="M930" i="16" s="1"/>
  <c r="N930" i="16" s="1"/>
  <c r="M1023" i="16" a="1"/>
  <c r="M1023" i="16" s="1"/>
  <c r="N1023" i="16" s="1"/>
  <c r="M817" i="16" a="1"/>
  <c r="M817" i="16" s="1"/>
  <c r="N817" i="16" s="1"/>
  <c r="M58" i="16" a="1"/>
  <c r="M58" i="16" s="1"/>
  <c r="N58" i="16" s="1"/>
  <c r="M784" i="16" a="1"/>
  <c r="M784" i="16" s="1"/>
  <c r="N784" i="16" s="1"/>
  <c r="M1157" i="16" a="1"/>
  <c r="M1157" i="16" s="1"/>
  <c r="N1157" i="16" s="1"/>
  <c r="M848" i="16" a="1"/>
  <c r="M848" i="16" s="1"/>
  <c r="N848" i="16" s="1"/>
  <c r="M931" i="16" a="1"/>
  <c r="M931" i="16" s="1"/>
  <c r="N931" i="16" s="1"/>
  <c r="M844" i="16" a="1"/>
  <c r="M844" i="16" s="1"/>
  <c r="N844" i="16" s="1"/>
  <c r="M17" i="16" a="1"/>
  <c r="M17" i="16" s="1"/>
  <c r="N17" i="16" s="1"/>
  <c r="M1002" i="16" a="1"/>
  <c r="M1002" i="16" s="1"/>
  <c r="N1002" i="16" s="1"/>
  <c r="M946" i="16" a="1"/>
  <c r="M946" i="16" s="1"/>
  <c r="N946" i="16" s="1"/>
  <c r="M813" i="16" a="1"/>
  <c r="M813" i="16" s="1"/>
  <c r="N813" i="16" s="1"/>
  <c r="M543" i="16" a="1"/>
  <c r="M543" i="16" s="1"/>
  <c r="N543" i="16" s="1"/>
  <c r="M818" i="16" a="1"/>
  <c r="M818" i="16" s="1"/>
  <c r="N818" i="16" s="1"/>
  <c r="M956" i="16" a="1"/>
  <c r="M956" i="16" s="1"/>
  <c r="N956" i="16" s="1"/>
  <c r="M811" i="16" a="1"/>
  <c r="M811" i="16" s="1"/>
  <c r="N811" i="16" s="1"/>
  <c r="M829" i="16" a="1"/>
  <c r="M829" i="16" s="1"/>
  <c r="N829" i="16" s="1"/>
  <c r="M787" i="16" a="1"/>
  <c r="M787" i="16" s="1"/>
  <c r="N787" i="16" s="1"/>
  <c r="M857" i="16" a="1"/>
  <c r="M857" i="16" s="1"/>
  <c r="N857" i="16" s="1"/>
  <c r="M830" i="16" a="1"/>
  <c r="M830" i="16" s="1"/>
  <c r="N830" i="16" s="1"/>
  <c r="M15" i="16" a="1"/>
  <c r="M15" i="16" s="1"/>
  <c r="N15" i="16" s="1"/>
  <c r="M943" i="16" a="1"/>
  <c r="M943" i="16" s="1"/>
  <c r="N943" i="16" s="1"/>
  <c r="M809" i="16" a="1"/>
  <c r="M809" i="16" s="1"/>
  <c r="N809" i="16" s="1"/>
  <c r="M993" i="16" a="1"/>
  <c r="M993" i="16" s="1"/>
  <c r="N993" i="16" s="1"/>
  <c r="M1123" i="16" a="1"/>
  <c r="M1123" i="16" s="1"/>
  <c r="N1123" i="16" s="1"/>
  <c r="M873" i="16" a="1"/>
  <c r="M873" i="16" s="1"/>
  <c r="N873" i="16" s="1"/>
  <c r="M948" i="16" a="1"/>
  <c r="M948" i="16" s="1"/>
  <c r="N948" i="16" s="1"/>
  <c r="M843" i="16" a="1"/>
  <c r="M843" i="16" s="1"/>
  <c r="N843" i="16" s="1"/>
  <c r="M16" i="16" a="1"/>
  <c r="M16" i="16" s="1"/>
  <c r="N16" i="16" s="1"/>
  <c r="M1022" i="16" a="1"/>
  <c r="M1022" i="16" s="1"/>
  <c r="N1022" i="16" s="1"/>
  <c r="M936" i="16" a="1"/>
  <c r="M936" i="16" s="1"/>
  <c r="N936" i="16" s="1"/>
  <c r="M932" i="16" a="1"/>
  <c r="M932" i="16" s="1"/>
  <c r="N932" i="16" s="1"/>
  <c r="M821" i="16" a="1"/>
  <c r="M821" i="16" s="1"/>
  <c r="N821" i="16" s="1"/>
  <c r="M794" i="16" a="1"/>
  <c r="M794" i="16" s="1"/>
  <c r="N794" i="16" s="1"/>
  <c r="M841" i="16" a="1"/>
  <c r="M841" i="16" s="1"/>
  <c r="N841" i="16" s="1"/>
  <c r="M67" i="16" a="1"/>
  <c r="M67" i="16" s="1"/>
  <c r="N67" i="16" s="1"/>
  <c r="M1003" i="16" a="1"/>
  <c r="M1003" i="16" s="1"/>
  <c r="N1003" i="16" s="1"/>
  <c r="M1011" i="16" a="1"/>
  <c r="M1011" i="16" s="1"/>
  <c r="N1011" i="16" s="1"/>
  <c r="M929" i="16" a="1"/>
  <c r="M929" i="16" s="1"/>
  <c r="N929" i="16" s="1"/>
  <c r="M810" i="16" a="1"/>
  <c r="M810" i="16" s="1"/>
  <c r="N810" i="16" s="1"/>
  <c r="M1147" i="16" a="1"/>
  <c r="M1147" i="16" s="1"/>
  <c r="N1147" i="16" s="1"/>
  <c r="M961" i="16" a="1"/>
  <c r="M961" i="16" s="1"/>
  <c r="N961" i="16" s="1"/>
  <c r="M1149" i="16" a="1"/>
  <c r="M1149" i="16" s="1"/>
  <c r="N1149" i="16" s="1"/>
  <c r="M994" i="16" a="1"/>
  <c r="M994" i="16" s="1"/>
  <c r="N994" i="16" s="1"/>
  <c r="M546" i="16" a="1"/>
  <c r="M546" i="16" s="1"/>
  <c r="N546" i="16" s="1"/>
  <c r="M875" i="16" a="1"/>
  <c r="M875" i="16" s="1"/>
  <c r="N875" i="16" s="1"/>
  <c r="M815" i="16" a="1"/>
  <c r="M815" i="16" s="1"/>
  <c r="N815" i="16" s="1"/>
  <c r="M1001" i="16" a="1"/>
  <c r="M1001" i="16" s="1"/>
  <c r="N1001" i="16" s="1"/>
  <c r="M1159" i="16" a="1"/>
  <c r="M1159" i="16" s="1"/>
  <c r="N1159" i="16" s="1"/>
  <c r="M812" i="16" a="1"/>
  <c r="M812" i="16" s="1"/>
  <c r="N812" i="16" s="1"/>
  <c r="M860" i="16" a="1"/>
  <c r="M860" i="16" s="1"/>
  <c r="N860" i="16" s="1"/>
  <c r="M788" i="16" a="1"/>
  <c r="M788" i="16" s="1"/>
  <c r="N788" i="16" s="1"/>
  <c r="M876" i="16" a="1"/>
  <c r="M876" i="16" s="1"/>
  <c r="N876" i="16" s="1"/>
  <c r="M1010" i="16" a="1"/>
  <c r="M1010" i="16" s="1"/>
  <c r="N1010" i="16" s="1"/>
  <c r="M545" i="16" a="1"/>
  <c r="M545" i="16" s="1"/>
  <c r="N545" i="16" s="1"/>
  <c r="M845" i="16" a="1"/>
  <c r="M845" i="16" s="1"/>
  <c r="N845" i="16" s="1"/>
  <c r="M963" i="16" a="1"/>
  <c r="M963" i="16" s="1"/>
  <c r="N963" i="16" s="1"/>
  <c r="M954" i="16" a="1"/>
  <c r="M954" i="16" s="1"/>
  <c r="N954" i="16" s="1"/>
  <c r="M831" i="16" a="1"/>
  <c r="M831" i="16" s="1"/>
  <c r="N831" i="16" s="1"/>
  <c r="M14" i="16" a="1"/>
  <c r="M14" i="16" s="1"/>
  <c r="N14" i="16" s="1"/>
  <c r="M928" i="16" a="1"/>
  <c r="M928" i="16" s="1"/>
  <c r="N928" i="16" s="1"/>
  <c r="N11" i="16" l="1"/>
  <c r="N1219" i="16"/>
  <c r="K46" i="6"/>
  <c r="J46" i="6" l="1"/>
  <c r="O46" i="6" s="1"/>
  <c r="K56" i="6"/>
  <c r="N1220" i="16"/>
  <c r="N1221" i="16" s="1"/>
  <c r="N57" i="6" l="1"/>
  <c r="N56" i="6"/>
  <c r="K57" i="6"/>
  <c r="K58" i="6" s="1"/>
  <c r="C1" i="7" s="1"/>
  <c r="B2" i="7" s="1"/>
  <c r="K3" i="7" l="1"/>
  <c r="D3" i="7"/>
  <c r="F3" i="7"/>
  <c r="L3" i="7"/>
  <c r="H3" i="7"/>
  <c r="E3" i="7"/>
  <c r="G3" i="7"/>
  <c r="M3" i="7"/>
  <c r="I3" i="7"/>
  <c r="C3" i="7"/>
  <c r="N3" i="7"/>
  <c r="J3" i="7"/>
  <c r="H5" i="7" l="1"/>
  <c r="M5" i="7"/>
  <c r="D5" i="7"/>
  <c r="D6" i="7" s="1"/>
  <c r="C5" i="7"/>
  <c r="C6" i="7" s="1"/>
  <c r="F5" i="7"/>
  <c r="F6" i="7" s="1"/>
  <c r="L5" i="7"/>
  <c r="E5" i="7"/>
  <c r="E6" i="7" s="1"/>
  <c r="J5" i="7"/>
  <c r="G5" i="7"/>
  <c r="G6" i="7" s="1"/>
  <c r="N5" i="7"/>
  <c r="I5" i="7"/>
  <c r="K5" i="7"/>
  <c r="N6" i="7" l="1"/>
  <c r="J6" i="7"/>
  <c r="L6" i="7"/>
  <c r="K6" i="7"/>
  <c r="I6" i="7"/>
  <c r="M6" i="7"/>
  <c r="H6" i="7"/>
  <c r="B7" i="7" l="1"/>
  <c r="C59" i="6" s="1"/>
</calcChain>
</file>

<file path=xl/sharedStrings.xml><?xml version="1.0" encoding="utf-8"?>
<sst xmlns="http://schemas.openxmlformats.org/spreadsheetml/2006/main" count="11512" uniqueCount="1569">
  <si>
    <t>CÔNG TY TNHH AMT PHÚC LỘC</t>
  </si>
  <si>
    <t>Địa chỉ: Số 56B/97 đường Đoàn Kết , P. Hải An, TP Hải Phòng</t>
  </si>
  <si>
    <t>KHÁCH HÀNG:  CÔNG TY TNHH PAN HẢI AN</t>
  </si>
  <si>
    <t xml:space="preserve">ĐỊA CHỈ: </t>
  </si>
  <si>
    <t>Lô KB5, khu công nghiệp Nam Đình Vũ (Khu 1), thuộc Khu kinh tế Đình Vũ - Cát Hải, phường Đông Hải, thành phố Hải Phòng, Việt Nam</t>
  </si>
  <si>
    <t>MST :</t>
  </si>
  <si>
    <t>0201815115</t>
  </si>
  <si>
    <t>STT</t>
  </si>
  <si>
    <t>Tuyến vận tải</t>
  </si>
  <si>
    <t>Đơn vị tính</t>
  </si>
  <si>
    <t>Loại cont</t>
  </si>
  <si>
    <t xml:space="preserve"> Cộng Số lượng</t>
  </si>
  <si>
    <t>Đơn giá</t>
  </si>
  <si>
    <t>Thành tiền</t>
  </si>
  <si>
    <t>Ghi chú</t>
  </si>
  <si>
    <t>Hàng</t>
  </si>
  <si>
    <t>Vỏ</t>
  </si>
  <si>
    <t>Điểm đi</t>
  </si>
  <si>
    <t>Điểm đến</t>
  </si>
  <si>
    <t>20'</t>
  </si>
  <si>
    <t>40'</t>
  </si>
  <si>
    <t>PAN HA</t>
  </si>
  <si>
    <t>HẢI AN</t>
  </si>
  <si>
    <t>Chuyến</t>
  </si>
  <si>
    <t>hàng 20'</t>
  </si>
  <si>
    <t>HẢI AN,</t>
  </si>
  <si>
    <t>hàng 40'</t>
  </si>
  <si>
    <t>HẢI AN.</t>
  </si>
  <si>
    <t>MPC</t>
  </si>
  <si>
    <t>MPC,</t>
  </si>
  <si>
    <t>MPC.</t>
  </si>
  <si>
    <t>NDV</t>
  </si>
  <si>
    <t>NDV,</t>
  </si>
  <si>
    <t>NDV.</t>
  </si>
  <si>
    <t>HẢI MINH</t>
  </si>
  <si>
    <t>Chuyển bãi</t>
  </si>
  <si>
    <t>NHĐV</t>
  </si>
  <si>
    <t>NHĐV,</t>
  </si>
  <si>
    <t>NHĐV.</t>
  </si>
  <si>
    <t>PTSC</t>
  </si>
  <si>
    <t>PTSC,</t>
  </si>
  <si>
    <t>PTSC.</t>
  </si>
  <si>
    <t>TÂN VŨ</t>
  </si>
  <si>
    <t>TÂN VŨ,</t>
  </si>
  <si>
    <t>TÂN VŨ.</t>
  </si>
  <si>
    <t>ĐÌNH VŨ</t>
  </si>
  <si>
    <t>ĐÌNH VŨ,</t>
  </si>
  <si>
    <t>ĐÌNH VŨ.</t>
  </si>
  <si>
    <t>VIMC</t>
  </si>
  <si>
    <t>VIP</t>
  </si>
  <si>
    <t>VIP,</t>
  </si>
  <si>
    <t>VIP.</t>
  </si>
  <si>
    <t>ICD NH</t>
  </si>
  <si>
    <t>ICD NH,</t>
  </si>
  <si>
    <t>Nhập tàu</t>
  </si>
  <si>
    <t>Hàng 20'</t>
  </si>
  <si>
    <t>HATECO</t>
  </si>
  <si>
    <t>HICT</t>
  </si>
  <si>
    <t>NĐV</t>
  </si>
  <si>
    <t>PAN,</t>
  </si>
  <si>
    <t>MIPEC</t>
  </si>
  <si>
    <t>PAN.</t>
  </si>
  <si>
    <t>ĐV</t>
  </si>
  <si>
    <t>TỔNG CƯỚC CHƯA VAT</t>
  </si>
  <si>
    <t>THUẾ GTGT 8%</t>
  </si>
  <si>
    <t>TỔNG CƯỚC ĐÃ CÓ VAT</t>
  </si>
  <si>
    <t>Bằng chữ:</t>
  </si>
  <si>
    <t>XÁC NHẬN BÊN THUÊ VẬN CHUYỂN</t>
  </si>
  <si>
    <t>XÁC NHẬN BÊN VẬN CHUYỂN</t>
  </si>
  <si>
    <t>Số nhà 56B/97 đường Đoàn Kết,Phường Hải An, TP Hải Phòng</t>
  </si>
  <si>
    <t>MST:  0201965047</t>
  </si>
  <si>
    <t xml:space="preserve">KHÁCH HÀNG: </t>
  </si>
  <si>
    <t>CÔNG TY TNHH PAN HẢI AN</t>
  </si>
  <si>
    <t>Công ty TNHH AMT Phúc Lộc xin gửi tới Quý Công ty bảng kê quyết toán vận tải  như sau:</t>
  </si>
  <si>
    <t xml:space="preserve">. BKS: </t>
  </si>
  <si>
    <t xml:space="preserve">tuyến đường </t>
  </si>
  <si>
    <t>NGÀY ĐI</t>
  </si>
  <si>
    <t>CHỦ HÀNG</t>
  </si>
  <si>
    <t>SỐCONTAINER</t>
  </si>
  <si>
    <t>F20'</t>
  </si>
  <si>
    <t>F40'</t>
  </si>
  <si>
    <t>E20'</t>
  </si>
  <si>
    <t>E40'</t>
  </si>
  <si>
    <t>SỐ XE 
CHẠY</t>
  </si>
  <si>
    <t>ĐIỂM ĐI</t>
  </si>
  <si>
    <t>ĐIỂM ĐẾN</t>
  </si>
  <si>
    <t>SỐ CHUYẾN</t>
  </si>
  <si>
    <t>CƯỚC
CHUYẾN</t>
  </si>
  <si>
    <t>TỔNG TT</t>
  </si>
  <si>
    <t>TÁC NGHIỆP</t>
  </si>
  <si>
    <t>GHI 
CHÚ</t>
  </si>
  <si>
    <t>Cước vận chuyển Container</t>
  </si>
  <si>
    <t xml:space="preserve"> - </t>
  </si>
  <si>
    <t>Nội dung HĐ</t>
  </si>
  <si>
    <t xml:space="preserve">Hàng 20' </t>
  </si>
  <si>
    <t xml:space="preserve">Hàng 40' </t>
  </si>
  <si>
    <t xml:space="preserve">Vỏ </t>
  </si>
  <si>
    <t>Ký hiệu cước</t>
  </si>
  <si>
    <t>40'F</t>
  </si>
  <si>
    <t>trùng dòng</t>
  </si>
  <si>
    <t>TỔNG CỘNG</t>
  </si>
  <si>
    <t>VAT 8%</t>
  </si>
  <si>
    <t>TỔNG THANH TOÁN</t>
  </si>
  <si>
    <t>Row Labels</t>
  </si>
  <si>
    <t>Sum of SỐ CHUYẾN</t>
  </si>
  <si>
    <t>Sum of CƯỚC
CHUYẾN</t>
  </si>
  <si>
    <t>Cước vận chuyển Container hàng 20' tuyến đường PAN HA - HẢI AN. BKS: 15C09877</t>
  </si>
  <si>
    <t>Cước vận chuyển Container hàng 20' tuyến đường PAN HA - HẢI AN. BKS: 15C15033</t>
  </si>
  <si>
    <t>Cước vận chuyển Container hàng 20' tuyến đường PAN HA - HẢI AN. BKS: 15C17301</t>
  </si>
  <si>
    <t>Cước vận chuyển Container hàng 20' tuyến đường PAN HA - HẢI AN. BKS: 15C17442</t>
  </si>
  <si>
    <t>Cước vận chuyển Container hàng 20' tuyến đường PAN HA - HẢI AN. BKS: 15C30649</t>
  </si>
  <si>
    <t>Cước vận chuyển Container hàng 20' tuyến đường PAN HA - HẢI AN. BKS: 15H06892</t>
  </si>
  <si>
    <t>Cước vận chuyển Container hàng 20' tuyến đường PAN HA - HẢI AN. BKS: 15H07135</t>
  </si>
  <si>
    <t>Cước vận chuyển Container hàng 20' tuyến đường PAN HA - HẢI AN. BKS: 15H07524</t>
  </si>
  <si>
    <t>Cước vận chuyển Container hàng 20' tuyến đường PAN HA - HẢI AN. BKS: 15H07644</t>
  </si>
  <si>
    <t>Cước vận chuyển Container hàng 20' tuyến đường PAN HA - HẢI AN. BKS: 15H07788</t>
  </si>
  <si>
    <t>Cước vận chuyển Container hàng 20' tuyến đường PAN HA - HẢI AN. BKS: 15H08574</t>
  </si>
  <si>
    <t>Cước vận chuyển Container hàng 20' tuyến đường PAN HA - HẢI AN. BKS: 15H17712</t>
  </si>
  <si>
    <t>Cước vận chuyển Container hàng 20' tuyến đường PAN HA - NDV. BKS: 15H07135</t>
  </si>
  <si>
    <t>Cước vận chuyển Container hàng 20' tuyến đường PAN HA - NHĐV. BKS: 15C09877</t>
  </si>
  <si>
    <t>Cước vận chuyển Container hàng 20' tuyến đường PAN HA - NHĐV. BKS: 15C15033</t>
  </si>
  <si>
    <t>Cước vận chuyển Container hàng 20' tuyến đường PAN HA - NHĐV. BKS: 15C17301</t>
  </si>
  <si>
    <t>Cước vận chuyển Container hàng 20' tuyến đường PAN HA - NHĐV. BKS: 15C17442</t>
  </si>
  <si>
    <t>Cước vận chuyển Container hàng 20' tuyến đường PAN HA - NHĐV. BKS: 15H07135</t>
  </si>
  <si>
    <t>Cước vận chuyển Container hàng 20' tuyến đường PAN HA - NHĐV. BKS: 15H07524</t>
  </si>
  <si>
    <t>Cước vận chuyển Container hàng 20' tuyến đường PAN HA - NHĐV. BKS: 15H07644</t>
  </si>
  <si>
    <t>Cước vận chuyển Container hàng 20' tuyến đường PAN HA - NHĐV. BKS: 15H07788</t>
  </si>
  <si>
    <t>Cước vận chuyển Container hàng 20' tuyến đường PAN HA - NHĐV. BKS: 15H08574</t>
  </si>
  <si>
    <t>Cước vận chuyển Container hàng 20' tuyến đường PAN HA - NHĐV. BKS: 15H12925</t>
  </si>
  <si>
    <t>Cước vận chuyển Container hàng 20' tuyến đường PAN HA - NHĐV. BKS: 15H17712</t>
  </si>
  <si>
    <t>Cước vận chuyển Container vỏ tuyến đường HATECO - PAN HA. BKS: 15C09877</t>
  </si>
  <si>
    <t>Cước vận chuyển Container vỏ tuyến đường HATECO - PAN HA. BKS: 15C15033</t>
  </si>
  <si>
    <t>Cước vận chuyển Container vỏ tuyến đường HATECO - PAN HA. BKS: 15C17301</t>
  </si>
  <si>
    <t>Cước vận chuyển Container vỏ tuyến đường HATECO - PAN HA. BKS: 15C17442</t>
  </si>
  <si>
    <t>Cước vận chuyển Container vỏ tuyến đường HATECO - PAN HA. BKS: 15C21728</t>
  </si>
  <si>
    <t>Cước vận chuyển Container vỏ tuyến đường HATECO - PAN HA. BKS: 15C30649</t>
  </si>
  <si>
    <t>Cước vận chuyển Container vỏ tuyến đường HATECO - PAN HA. BKS: 15H07524</t>
  </si>
  <si>
    <t>Cước vận chuyển Container vỏ tuyến đường HATECO - PAN HA. BKS: 15H07644</t>
  </si>
  <si>
    <t>Cước vận chuyển Container vỏ tuyến đường HATECO - PAN HA. BKS: 15H07788</t>
  </si>
  <si>
    <t>Cước vận chuyển Container vỏ tuyến đường HATECO - PAN HA. BKS: 15H08574</t>
  </si>
  <si>
    <t>Cước vận chuyển Container vỏ tuyến đường HATECO - PAN HA. BKS: 15H12925</t>
  </si>
  <si>
    <t>Cước vận chuyển Container vỏ tuyến đường HATECO - PAN HA. BKS: 15H15378</t>
  </si>
  <si>
    <t>Cước vận chuyển Container vỏ tuyến đường HATECO - PAN HA. BKS: 15H17403</t>
  </si>
  <si>
    <t>Cước vận chuyển Container vỏ tuyến đường HATECO - PAN HA. BKS: 15H17712</t>
  </si>
  <si>
    <t>Cước vận chuyển Container vỏ tuyến đường HATECO - PAN HA. BKS: 15H18552</t>
  </si>
  <si>
    <t>Cước vận chuyển Container vỏ tuyến đường HATECO - PAN HA. BKS: 15H18753</t>
  </si>
  <si>
    <t>Cước vận chuyển Container vỏ tuyến đường HATECO - PAN HA. BKS: 15H20645</t>
  </si>
  <si>
    <t>(blank)</t>
  </si>
  <si>
    <t>Grand Total</t>
  </si>
  <si>
    <t>ĐỀ XUẤT ĐIỀU CHỈNH ĐƠN GIÁ VẬN TẢI PHÚC LỘC 2026</t>
  </si>
  <si>
    <t>ĐIỀU CHỈNH TĂNG TỪ 7-2025</t>
  </si>
  <si>
    <t>2. VẬN CHUYỂN SHIPSIDE HÀNG/VỎ XUẤT TÀU:</t>
  </si>
  <si>
    <t xml:space="preserve">TUYẾN VẬN CHUYỂN </t>
  </si>
  <si>
    <t>Mức 1 hiện tại
 T8 - 2021 (dưới 22.000/lít)</t>
  </si>
  <si>
    <t>Vendor đề xuất
(tối thiểu 15%)</t>
  </si>
  <si>
    <t>Pan đề xuất
(tăng 15% tuyến chính, 10% tuyến phụ, 7% HICT)</t>
  </si>
  <si>
    <t>ĐƠN GIÁ GỬI 80.000đ</t>
  </si>
  <si>
    <t>Tăng tiền gửi từ 80,000 -&gt; 140,000</t>
  </si>
  <si>
    <t>ĐIỀU CHỈNH TĂNG 12% TỪ 01/01/2026. GIÁ GỐC CHƯA GỬI</t>
  </si>
  <si>
    <t>GIÁ CHUẨN TỪ 1/1/2026</t>
  </si>
  <si>
    <t>Đơn giá chưa gửi đang áp dụng 2026</t>
  </si>
  <si>
    <t>ĐƠN GIÁ TRUCKING THÁNG 03/2026 NHÂN TỶ LỆ TĂNG GIÁ DẦU</t>
  </si>
  <si>
    <t>ĐƠN GIÁ T03.26 ĐÃ CỘNG GIÁ GỬI - KÝ PHỤ LỤC</t>
  </si>
  <si>
    <t>Hàng 40&amp;45</t>
  </si>
  <si>
    <t>Tăng</t>
  </si>
  <si>
    <t>PAN HA – NAM ĐÌNH VŨ</t>
  </si>
  <si>
    <t>Tăng 15%</t>
  </si>
  <si>
    <t>PAN HA – NAM HẢI ĐÌNH VŨ/VIP GREENPORT/ G – FORTUNE</t>
  </si>
  <si>
    <t>PAN HA – ĐÌNH VŨ/TÂN VŨ, ICD TÂN CẢNG</t>
  </si>
  <si>
    <t>PAN HA – PTSC ĐÌNH VŨ</t>
  </si>
  <si>
    <t>PAN HA – TC 189</t>
  </si>
  <si>
    <t>PAN HA – HAI AN</t>
  </si>
  <si>
    <t>PAN HA - 128</t>
  </si>
  <si>
    <t>PAN HA - GREENPORT /CHÙA VẼ</t>
  </si>
  <si>
    <t>Tăng 10%</t>
  </si>
  <si>
    <t>PAN HA – NAM HẢI LÊ CHÂN</t>
  </si>
  <si>
    <t>SAO Á - PAN HA</t>
  </si>
  <si>
    <t>PAN HA - YUSEN</t>
  </si>
  <si>
    <t>PAN HA - VIMADECO</t>
  </si>
  <si>
    <t>PAN HA - NAM HAI ICD</t>
  </si>
  <si>
    <t>HICT - PAN HA</t>
  </si>
  <si>
    <t>Tăng 7%</t>
  </si>
  <si>
    <t>3. VẬN CHUYỂN CHUYỂN BÃI/CẢNG:</t>
  </si>
  <si>
    <t>Mức 1
 T8 - 2021 (dưới 22.000/lít)</t>
  </si>
  <si>
    <t>4. VẬN CHUYỂN SHIPSIDE HÀNG NHẬP TÀU (HÀNG NỘI ĐỊA CỦA HẢI AN)</t>
  </si>
  <si>
    <t>NAM ĐÌNH VŨ - PAN HẢI AN</t>
  </si>
  <si>
    <t>MIPEC - PAN HẢI AN</t>
  </si>
  <si>
    <t>Hàm chuyển số thành chữ</t>
  </si>
  <si>
    <t>Nhập số vào đây</t>
  </si>
  <si>
    <t>Tách từng vị trí</t>
  </si>
  <si>
    <t>Chọn đơn vị</t>
  </si>
  <si>
    <t>linh</t>
  </si>
  <si>
    <t>tỷ</t>
  </si>
  <si>
    <t xml:space="preserve"> triệu</t>
  </si>
  <si>
    <t>nghìn</t>
  </si>
  <si>
    <t>đồng</t>
  </si>
  <si>
    <t>Đọc ra chữ</t>
  </si>
  <si>
    <t>Viết hoa chữ cái đầu trong chuỗi</t>
  </si>
  <si>
    <t>Kết quả:</t>
  </si>
  <si>
    <t>Cước vận chuyển Container hàng 40' tuyến đường PAN HA - HẢI AN. BKS: 15H17403</t>
  </si>
  <si>
    <t>Cước vận chuyển Container hàng 40' tuyến đường PAN HA - HẢI AN. BKS: 15H18753</t>
  </si>
  <si>
    <t>Cước vận chuyển Container hàng 40' tuyến đường PAN HA - HẢI AN. BKS: 15C17442</t>
  </si>
  <si>
    <t>Cước vận chuyển Container hàng 20' tuyến đường PAN HA - NDV. BKS: 15H08574</t>
  </si>
  <si>
    <t>Cước vận chuyển Container hàng 20' tuyến đường PAN HA - NHĐV. BKS: 15H18753</t>
  </si>
  <si>
    <t>Cước vận chuyển Container hàng 20' tuyến đường PAN HA - NHĐV. BKS: 15H18552</t>
  </si>
  <si>
    <t>Cước vận chuyển Container vỏ tuyến đường NHĐV. - PAN HA. BKS: 15C17301</t>
  </si>
  <si>
    <t>Cước vận chuyển Container hàng 20' tuyến đường PAN HA - NHĐV. BKS: 15H20645</t>
  </si>
  <si>
    <t>Cước vận chuyển Container vỏ tuyến đường NHĐV. - PAN HA. BKS: 15H12925</t>
  </si>
  <si>
    <t>Cước vận chuyển Container hàng 20' tuyến đường PAN HA - NHĐV. BKS: 15H15378</t>
  </si>
  <si>
    <t>Cước vận chuyển Container vỏ tuyến đường NHĐV. - PAN HA. BKS: 15H18552</t>
  </si>
  <si>
    <t>Cước vận chuyển Container vỏ tuyến đường NHĐV. - PAN HA. BKS: 15C09877</t>
  </si>
  <si>
    <t>Cước vận chuyển Container hàng 20' tuyến đường PAN HA - NHĐV. BKS: 15C30649</t>
  </si>
  <si>
    <t>Cước vận chuyển Container vỏ tuyến đường NHĐV. - PAN HA. BKS: 15C15033</t>
  </si>
  <si>
    <t>Cước vận chuyển Container vỏ tuyến đường NHĐV. - PAN HA. BKS: 15H17712</t>
  </si>
  <si>
    <t>Cước vận chuyển Container vỏ tuyến đường NHĐV. - PAN HA. BKS: 15H07788</t>
  </si>
  <si>
    <t>Cước vận chuyển Container vỏ tuyến đường NHĐV. - PAN HA. BKS: 15H07524</t>
  </si>
  <si>
    <t>Cước vận chuyển Container hàng 20' tuyến đường PAN HA - TÂN VŨ. BKS: 15C17442</t>
  </si>
  <si>
    <t>Cước vận chuyển Container vỏ tuyến đường NHĐV. - PAN HA. BKS: 15H08574</t>
  </si>
  <si>
    <t>Cước vận chuyển Container vỏ tuyến đường PAN HA - HẢI AN. BKS: 15H18753</t>
  </si>
  <si>
    <t>Cước vận chuyển Container vỏ tuyến đường PAN HA - HẢI AN. BKS: 15C15033</t>
  </si>
  <si>
    <t>Cước vận chuyển Container vỏ tuyến đường PAN HA - HẢI AN. BKS: 15H20645</t>
  </si>
  <si>
    <t>Cước vận chuyển Container vỏ tuyến đường PAN HA - HẢI AN. BKS: 15C09877</t>
  </si>
  <si>
    <t>Cước vận chuyển Container vỏ tuyến đường PAN HA - HẢI AN. BKS: 15H12925</t>
  </si>
  <si>
    <t>Cước vận chuyển Container vỏ tuyến đường PAN HA - HẢI AN. BKS: 15C17301</t>
  </si>
  <si>
    <t>Cước vận chuyển Container vỏ tuyến đường PAN HA - HẢI AN. BKS: 15H17712</t>
  </si>
  <si>
    <t>Cước vận chuyển Container vỏ tuyến đường PAN HA - HẢI AN. BKS: 15H18552</t>
  </si>
  <si>
    <t>Cước vận chuyển Container vỏ tuyến đường PAN HA - HẢI AN. BKS: 15C30649</t>
  </si>
  <si>
    <t>Cước vận chuyển Container vỏ tuyến đường PAN HA - HẢI AN. BKS: 15H06892</t>
  </si>
  <si>
    <t>Cước vận chuyển Container vỏ tuyến đường PAN HA - TÂN VŨ. BKS: 15H07524</t>
  </si>
  <si>
    <t>Cước vận chuyển Container vỏ tuyến đường PAN HA - HẢI AN. BKS: 15H07135</t>
  </si>
  <si>
    <t>Cước vận chuyển Container vỏ tuyến đường PAN HA - HẢI AN. BKS: 15H08574</t>
  </si>
  <si>
    <t>Cước vận chuyển Container hàng 40' tuyến đường PAN HA - NHĐV. BKS: 15C17301</t>
  </si>
  <si>
    <t>Cước vận chuyển Container hàng 40' tuyến đường PAN HA - NHĐV. BKS: 15H07524</t>
  </si>
  <si>
    <t>Cước vận chuyển Container hàng 40' tuyến đường PAN HA - NHĐV. BKS: 15C15033</t>
  </si>
  <si>
    <t>Cước vận chuyển Container hàng 40' tuyến đường PAN HA - NHĐV. BKS: 15H08574</t>
  </si>
  <si>
    <t>Cước vận chuyển Container hàng 40' tuyến đường PAN HA - NHĐV. BKS: 15H18753</t>
  </si>
  <si>
    <t>Cước vận chuyển Container hàng 40' tuyến đường PAN HA - NHĐV. BKS: 15H07135</t>
  </si>
  <si>
    <t>Cước vận chuyển Container hàng 40' tuyến đường PAN HA - NHĐV. BKS: 15C17442</t>
  </si>
  <si>
    <t>Cước vận chuyển Container hàng 40' tuyến đường PAN HA - NHĐV. BKS: 15H18552</t>
  </si>
  <si>
    <t>Cước vận chuyển Container hàng 40' tuyến đường PAN HA - HẢI AN. BKS: 15H07524</t>
  </si>
  <si>
    <t>Cước vận chuyển Container hàng 40' tuyến đường PAN HA - HẢI AN. BKS: 15C17301</t>
  </si>
  <si>
    <t>Cước vận chuyển Container hàng 40' tuyến đường PAN HA - NHĐV. BKS: 15H07788</t>
  </si>
  <si>
    <t>Cước vận chuyển Container hàng 40' tuyến đường PAN HA - HẢI AN. BKS: 15C09877</t>
  </si>
  <si>
    <t>Cước vận chuyển Container hàng 40' tuyến đường PAN HA - HẢI AN. BKS: 15H08574</t>
  </si>
  <si>
    <t>Cước vận chuyển Container hàng 40' tuyến đường PAN HA - HẢI AN. BKS: 15H12925</t>
  </si>
  <si>
    <t>Cước vận chuyển Container hàng 40' tuyến đường PAN HA - NHĐV. BKS: 15H12925</t>
  </si>
  <si>
    <t>Cước vận chuyển Container hàng 40' tuyến đường PAN HA - HẢI AN. BKS: 15H07135</t>
  </si>
  <si>
    <t>Cước vận chuyển Container hàng 40' tuyến đường PAN HA - NHĐV. BKS: 15C09877</t>
  </si>
  <si>
    <t>Cước vận chuyển Container hàng 40' tuyến đường PAN HA - HẢI AN. BKS: 15H20645</t>
  </si>
  <si>
    <t>Cước vận chuyển Container hàng 40' tuyến đường PAN HA - NHĐV. BKS: 15H20645</t>
  </si>
  <si>
    <t>Cước vận chuyển Container hàng 40' tuyến đường PAN HA - NHĐV. BKS: 15H15378</t>
  </si>
  <si>
    <t>Cước vận chuyển Container hàng 40' tuyến đường PAN HA - NHĐV. BKS: 15C30649</t>
  </si>
  <si>
    <t>Cước vận chuyển Container hàng 40' tuyến đường PAN HA - HẢI AN. BKS: 15C15033</t>
  </si>
  <si>
    <t>Cước vận chuyển Container hàng 40' tuyến đường PAN HA - HẢI AN. BKS: 15H17712</t>
  </si>
  <si>
    <t>Cước vận chuyển Container hàng 40' tuyến đường PAN HA - HẢI AN. BKS: 15H18552</t>
  </si>
  <si>
    <t>Cước vận chuyển Container hàng 40' tuyến đường PAN HA - HẢI AN. BKS: 15H07788</t>
  </si>
  <si>
    <t>Cước vận chuyển Container hàng 40' tuyến đường PAN HA - HẢI AN. BKS: 15H07644</t>
  </si>
  <si>
    <t>Giữ nguyên</t>
  </si>
  <si>
    <t>BẢNG KÊ  QUYẾT TOÁN CƯỚC VẬN CHUYỂN THÁNG 04/2026</t>
  </si>
  <si>
    <t>ĐƠN GIÁ T04.26 ĐÃ CỘNG GIÁ GỬI - KÝ PHỤ LỤC</t>
  </si>
  <si>
    <r>
      <t>BẢNG QUYẾT TOÁN PHÍ VẬN CHUYỂN THÁNG</t>
    </r>
    <r>
      <rPr>
        <b/>
        <sz val="14"/>
        <color indexed="10"/>
        <rFont val="Times New Roman"/>
        <family val="1"/>
      </rPr>
      <t xml:space="preserve"> 04/2026</t>
    </r>
  </si>
  <si>
    <t>PAN</t>
  </si>
  <si>
    <t>OBLU3323816</t>
  </si>
  <si>
    <t>15C17442</t>
  </si>
  <si>
    <t>XUAT TAU</t>
  </si>
  <si>
    <t>OBLU8819244</t>
  </si>
  <si>
    <t>HAMU1331878</t>
  </si>
  <si>
    <t>CHUYEN BAI</t>
  </si>
  <si>
    <t>MRSU5143968</t>
  </si>
  <si>
    <t>15H07644</t>
  </si>
  <si>
    <t>HASU4838528</t>
  </si>
  <si>
    <t>MRKU2870533</t>
  </si>
  <si>
    <t>15H07788</t>
  </si>
  <si>
    <t>SEKU1786449</t>
  </si>
  <si>
    <t>15H12925</t>
  </si>
  <si>
    <t>HACU4222377</t>
  </si>
  <si>
    <t>HACU4180414</t>
  </si>
  <si>
    <t>SELU4506256</t>
  </si>
  <si>
    <t>DFSU2824836</t>
  </si>
  <si>
    <t>15H07524</t>
  </si>
  <si>
    <t>HAHU8303670</t>
  </si>
  <si>
    <t>DFSU1745970</t>
  </si>
  <si>
    <t>15C17301</t>
  </si>
  <si>
    <t>HACU2244675</t>
  </si>
  <si>
    <t>SEKU1809987</t>
  </si>
  <si>
    <t>SEKU1942650</t>
  </si>
  <si>
    <t>HACU2243920</t>
  </si>
  <si>
    <t>TGCU0175311</t>
  </si>
  <si>
    <t>HACU4220013</t>
  </si>
  <si>
    <t>SEKU5576728</t>
  </si>
  <si>
    <t>CAAU6411939</t>
  </si>
  <si>
    <t>GAOU7899199</t>
  </si>
  <si>
    <t>FCIU5643714</t>
  </si>
  <si>
    <t>HACU2242245</t>
  </si>
  <si>
    <t>HACU2214670</t>
  </si>
  <si>
    <t>DFSU3148232</t>
  </si>
  <si>
    <t>TGCU2027329</t>
  </si>
  <si>
    <t>TGCU0115708</t>
  </si>
  <si>
    <t>HACU4211011</t>
  </si>
  <si>
    <t>TCNU6733187</t>
  </si>
  <si>
    <t>HACU4181642</t>
  </si>
  <si>
    <t>FSCU8978460</t>
  </si>
  <si>
    <t>TCKU6135046</t>
  </si>
  <si>
    <t>TCKU1708530</t>
  </si>
  <si>
    <t>15C09877</t>
  </si>
  <si>
    <t>AMFU3143185</t>
  </si>
  <si>
    <t>OBLU3321140</t>
  </si>
  <si>
    <t>OBLU3313680</t>
  </si>
  <si>
    <t>HACU2160830</t>
  </si>
  <si>
    <t>CAIU3660397</t>
  </si>
  <si>
    <t>TRHU2862507</t>
  </si>
  <si>
    <t>TCKU2999600</t>
  </si>
  <si>
    <t>GLDU5553416</t>
  </si>
  <si>
    <t>TRHU1591740</t>
  </si>
  <si>
    <t>TCKU3774212</t>
  </si>
  <si>
    <t>HACU2248264</t>
  </si>
  <si>
    <t>TIIU5775546</t>
  </si>
  <si>
    <t>MSKU4783044</t>
  </si>
  <si>
    <t>CAAU2216195</t>
  </si>
  <si>
    <t>HACU2248135</t>
  </si>
  <si>
    <t>SEKU1458305</t>
  </si>
  <si>
    <t>HACU2162860</t>
  </si>
  <si>
    <t>SZLU5024986</t>
  </si>
  <si>
    <t>KKFU6964419</t>
  </si>
  <si>
    <t>GAOU7899455</t>
  </si>
  <si>
    <t>MSKU4652300</t>
  </si>
  <si>
    <t>MAEU9258570</t>
  </si>
  <si>
    <t>HACU4214622</t>
  </si>
  <si>
    <t>SEKU5581597</t>
  </si>
  <si>
    <t>HACU4210709</t>
  </si>
  <si>
    <t>SEKU6800719</t>
  </si>
  <si>
    <t>TCNU8874190</t>
  </si>
  <si>
    <t>SEKU5583049</t>
  </si>
  <si>
    <t>GAOU7902311</t>
  </si>
  <si>
    <t>UACU3879903</t>
  </si>
  <si>
    <t>15H18552</t>
  </si>
  <si>
    <t>GCXU2335705</t>
  </si>
  <si>
    <t>BSIU2530157</t>
  </si>
  <si>
    <t>BMOU1256909</t>
  </si>
  <si>
    <t>HACU2246549</t>
  </si>
  <si>
    <t>HACU2161734</t>
  </si>
  <si>
    <t>HACU2162601</t>
  </si>
  <si>
    <t>CAIU6526571</t>
  </si>
  <si>
    <t>HACU4181895</t>
  </si>
  <si>
    <t>HACU4220733</t>
  </si>
  <si>
    <t>CAAU6411796</t>
  </si>
  <si>
    <t>GAOU7656331</t>
  </si>
  <si>
    <t>SEKU6803106</t>
  </si>
  <si>
    <t>HACU4222417</t>
  </si>
  <si>
    <t>CAIU6016602</t>
  </si>
  <si>
    <t>GAOU7900495</t>
  </si>
  <si>
    <t>HACU4217679</t>
  </si>
  <si>
    <t>CAAU9096023</t>
  </si>
  <si>
    <t>CAAU6412956</t>
  </si>
  <si>
    <t>TCKU1478063</t>
  </si>
  <si>
    <t>CAAU9083284</t>
  </si>
  <si>
    <t>SELU4552816</t>
  </si>
  <si>
    <t>HACU4181621</t>
  </si>
  <si>
    <t>15H18753</t>
  </si>
  <si>
    <t>HACU4217112</t>
  </si>
  <si>
    <t>SEKU6807307</t>
  </si>
  <si>
    <t>HACU4214406</t>
  </si>
  <si>
    <t>HACU4243410</t>
  </si>
  <si>
    <t>15H20645</t>
  </si>
  <si>
    <t>HACU4220667</t>
  </si>
  <si>
    <t>CAAU6411498</t>
  </si>
  <si>
    <t>GAOU7898090</t>
  </si>
  <si>
    <t>HACU4214561</t>
  </si>
  <si>
    <t>CAAU2135684</t>
  </si>
  <si>
    <t>15C15033</t>
  </si>
  <si>
    <t>TCKU1844732</t>
  </si>
  <si>
    <t>TCKU3619520</t>
  </si>
  <si>
    <t>CAIU6863248</t>
  </si>
  <si>
    <t>TRHU1637883</t>
  </si>
  <si>
    <t>TCKU3389860</t>
  </si>
  <si>
    <t>GAOU7630701</t>
  </si>
  <si>
    <t>TCNU4501074</t>
  </si>
  <si>
    <t>HACU4214509</t>
  </si>
  <si>
    <t>HACU4215819</t>
  </si>
  <si>
    <t>TCLU2789750</t>
  </si>
  <si>
    <t>SEKU1946640</t>
  </si>
  <si>
    <t>HACU2210783</t>
  </si>
  <si>
    <t>HACU2211584</t>
  </si>
  <si>
    <t>DFSU3044768</t>
  </si>
  <si>
    <t>TRHU1436826</t>
  </si>
  <si>
    <t>TCNU8557620</t>
  </si>
  <si>
    <t>HACU4220414</t>
  </si>
  <si>
    <t>TCKU3820730</t>
  </si>
  <si>
    <t>HACU2243555</t>
  </si>
  <si>
    <t>DFSU1852221</t>
  </si>
  <si>
    <t>TGCU0103266</t>
  </si>
  <si>
    <t>HACU4160439</t>
  </si>
  <si>
    <t>SEKU1455878</t>
  </si>
  <si>
    <t>GLDU5680724</t>
  </si>
  <si>
    <t>NQPU6577472</t>
  </si>
  <si>
    <t>HACU2210192</t>
  </si>
  <si>
    <t>SEKU1785817</t>
  </si>
  <si>
    <t>HACU2210973</t>
  </si>
  <si>
    <t>FCIU4784493</t>
  </si>
  <si>
    <t>15H15378</t>
  </si>
  <si>
    <t>SELU4552631</t>
  </si>
  <si>
    <t>GAOU7631570</t>
  </si>
  <si>
    <t>HACU4217426</t>
  </si>
  <si>
    <t>GCXU6254324</t>
  </si>
  <si>
    <t>SMCU1285341</t>
  </si>
  <si>
    <t>CAIU3332314</t>
  </si>
  <si>
    <t>CAIU2880890</t>
  </si>
  <si>
    <t>CAIU2538595</t>
  </si>
  <si>
    <t>CAIU6537529</t>
  </si>
  <si>
    <t>CAIU3380626</t>
  </si>
  <si>
    <t>TRHU1161673</t>
  </si>
  <si>
    <t>GLDU5470184</t>
  </si>
  <si>
    <t>DFSU2796328</t>
  </si>
  <si>
    <t>DFSU1963349</t>
  </si>
  <si>
    <t>HACU2215070</t>
  </si>
  <si>
    <t>CAIU3209531</t>
  </si>
  <si>
    <t>CAAU2139360</t>
  </si>
  <si>
    <t>GAOU7899141</t>
  </si>
  <si>
    <t>MAEU9211845</t>
  </si>
  <si>
    <t>MSKU4643232</t>
  </si>
  <si>
    <t>TCKU3636846</t>
  </si>
  <si>
    <t>SEKU1469064</t>
  </si>
  <si>
    <t>HACU2214222</t>
  </si>
  <si>
    <t>CAIU3104989</t>
  </si>
  <si>
    <t>KTCU2312071</t>
  </si>
  <si>
    <t>TGCU0165967</t>
  </si>
  <si>
    <t>CAIU9086938</t>
  </si>
  <si>
    <t>HACU4244078</t>
  </si>
  <si>
    <t>TRHU1436831</t>
  </si>
  <si>
    <t>SEKU1806458</t>
  </si>
  <si>
    <t>CAAU2139545</t>
  </si>
  <si>
    <t>TCLU3429912</t>
  </si>
  <si>
    <t>BEAU4803688</t>
  </si>
  <si>
    <t>CAIU6060061</t>
  </si>
  <si>
    <t>CAIU6869565</t>
  </si>
  <si>
    <t>TRHU1534859</t>
  </si>
  <si>
    <t>CAIU3348809</t>
  </si>
  <si>
    <t>TRHU1986057</t>
  </si>
  <si>
    <t>15C30649</t>
  </si>
  <si>
    <t>CAIU6972357</t>
  </si>
  <si>
    <t>DFSU1859674</t>
  </si>
  <si>
    <t>HACU2246003</t>
  </si>
  <si>
    <t>DFSU3100218</t>
  </si>
  <si>
    <t>GLDU5546280</t>
  </si>
  <si>
    <t>HACU2220816</t>
  </si>
  <si>
    <t>CAAU2029928</t>
  </si>
  <si>
    <t>CAAU9090447</t>
  </si>
  <si>
    <t>CAIU3892160</t>
  </si>
  <si>
    <t>EGSU3127438</t>
  </si>
  <si>
    <t>TCKU1549790</t>
  </si>
  <si>
    <t>BMOU1229734</t>
  </si>
  <si>
    <t>HACU4210550</t>
  </si>
  <si>
    <t>SELU4021337</t>
  </si>
  <si>
    <t>SMCU1013718</t>
  </si>
  <si>
    <t>DFSU1717999</t>
  </si>
  <si>
    <t>TRHU3358825</t>
  </si>
  <si>
    <t>DFSU1909292</t>
  </si>
  <si>
    <t>CAIU6540029</t>
  </si>
  <si>
    <t>TCKU1580938</t>
  </si>
  <si>
    <t>HACU2162710</t>
  </si>
  <si>
    <t>EGSU3107690</t>
  </si>
  <si>
    <t>TRHU3357346</t>
  </si>
  <si>
    <t>TCLU2452055</t>
  </si>
  <si>
    <t>HACU2252536</t>
  </si>
  <si>
    <t>TCNU4125594</t>
  </si>
  <si>
    <t>TCNU4471344</t>
  </si>
  <si>
    <t>CAIU9533677</t>
  </si>
  <si>
    <t>WBPU7047452</t>
  </si>
  <si>
    <t>CAIU8719374</t>
  </si>
  <si>
    <t>BMOU1234936</t>
  </si>
  <si>
    <t>HACU2214829</t>
  </si>
  <si>
    <t>SEKU1785843</t>
  </si>
  <si>
    <t>15H08574</t>
  </si>
  <si>
    <t>TDRU3356023</t>
  </si>
  <si>
    <t>EISU2114050</t>
  </si>
  <si>
    <t>GLDU9858429</t>
  </si>
  <si>
    <t>TCNU6189833</t>
  </si>
  <si>
    <t>DFSU7839989</t>
  </si>
  <si>
    <t>HACU2240176</t>
  </si>
  <si>
    <t>TRHU3463477</t>
  </si>
  <si>
    <t>SELU4544702</t>
  </si>
  <si>
    <t>HACU4217540</t>
  </si>
  <si>
    <t>GLDU9982928</t>
  </si>
  <si>
    <t>CAAU2137748</t>
  </si>
  <si>
    <t>GLDU5606780</t>
  </si>
  <si>
    <t>CAIU2946004</t>
  </si>
  <si>
    <t>HACU2160764</t>
  </si>
  <si>
    <t>BEAU5406659</t>
  </si>
  <si>
    <t>WFHU5198069</t>
  </si>
  <si>
    <t>SMCU1296665</t>
  </si>
  <si>
    <t>BEAU6272723</t>
  </si>
  <si>
    <t>CAAU6412576</t>
  </si>
  <si>
    <t>CAAU9094416</t>
  </si>
  <si>
    <t>OBLU3323760</t>
  </si>
  <si>
    <t>OBLU3319225</t>
  </si>
  <si>
    <t>HACU2252557</t>
  </si>
  <si>
    <t>HACU2243473</t>
  </si>
  <si>
    <t>HACU2246791</t>
  </si>
  <si>
    <t>HACU2210037</t>
  </si>
  <si>
    <t>HACU2242250</t>
  </si>
  <si>
    <t>CAAU9086766</t>
  </si>
  <si>
    <t>CAIU9793268</t>
  </si>
  <si>
    <t>SEKU5572830</t>
  </si>
  <si>
    <t>HACU4244360</t>
  </si>
  <si>
    <t>HACU4211027</t>
  </si>
  <si>
    <t>EGSU3129641</t>
  </si>
  <si>
    <t>TRHU2277354</t>
  </si>
  <si>
    <t>FCIU5327906</t>
  </si>
  <si>
    <t>HACU2210459</t>
  </si>
  <si>
    <t>GLDU5315207</t>
  </si>
  <si>
    <t>SEKU1808609</t>
  </si>
  <si>
    <t>HACU4215233</t>
  </si>
  <si>
    <t>HACU4242877</t>
  </si>
  <si>
    <t>GAOU7792636</t>
  </si>
  <si>
    <t>GAOU7897895</t>
  </si>
  <si>
    <t>SEKU6804709</t>
  </si>
  <si>
    <t>SEKU6804735</t>
  </si>
  <si>
    <t>BEAU5407001</t>
  </si>
  <si>
    <t>HAHU8282330</t>
  </si>
  <si>
    <t>TRHU1404860</t>
  </si>
  <si>
    <t>GLDU5211028</t>
  </si>
  <si>
    <t>CAIU3390460</t>
  </si>
  <si>
    <t>HACU4220564</t>
  </si>
  <si>
    <t>SEKU6807009</t>
  </si>
  <si>
    <t>HACU4222280</t>
  </si>
  <si>
    <t>HACU4213755</t>
  </si>
  <si>
    <t>HACU4217154</t>
  </si>
  <si>
    <t>HACU2221005</t>
  </si>
  <si>
    <t>PASU3190824</t>
  </si>
  <si>
    <t>HACU2212153</t>
  </si>
  <si>
    <t>CAIU3339978</t>
  </si>
  <si>
    <t>SEKU1946906</t>
  </si>
  <si>
    <t>HACU2161930</t>
  </si>
  <si>
    <t>TRHU1966003</t>
  </si>
  <si>
    <t>WFHU1350949</t>
  </si>
  <si>
    <t>OBLU3324068</t>
  </si>
  <si>
    <t>GESU3566233</t>
  </si>
  <si>
    <t>GLDU5676196</t>
  </si>
  <si>
    <t>BEAU5405930</t>
  </si>
  <si>
    <t>GAOU7901444</t>
  </si>
  <si>
    <t>CAAU9094530</t>
  </si>
  <si>
    <t>15H17403</t>
  </si>
  <si>
    <t>CAAU9094490</t>
  </si>
  <si>
    <t>HACU4211393</t>
  </si>
  <si>
    <t>HACU4240869</t>
  </si>
  <si>
    <t>HACU4216353</t>
  </si>
  <si>
    <t>GAOU7902517</t>
  </si>
  <si>
    <t>GAOU7631586</t>
  </si>
  <si>
    <t>HACU4212240</t>
  </si>
  <si>
    <t>HACU4181540</t>
  </si>
  <si>
    <t>HACU4222422</t>
  </si>
  <si>
    <t>SEKU6800154</t>
  </si>
  <si>
    <t>HACU4241063</t>
  </si>
  <si>
    <t>HACU4221365</t>
  </si>
  <si>
    <t>HACU4240323</t>
  </si>
  <si>
    <t>CAAU9076135</t>
  </si>
  <si>
    <t>BEAU5406290</t>
  </si>
  <si>
    <t>SEKU6801464</t>
  </si>
  <si>
    <t>GAOU7791265</t>
  </si>
  <si>
    <t>HACU4242291</t>
  </si>
  <si>
    <t>HACU4240215</t>
  </si>
  <si>
    <t>HACU4180754</t>
  </si>
  <si>
    <t>HACU4180749</t>
  </si>
  <si>
    <t>CAAU6412175</t>
  </si>
  <si>
    <t>15H06892</t>
  </si>
  <si>
    <t>BEAU5404450</t>
  </si>
  <si>
    <t>GAOU7901491</t>
  </si>
  <si>
    <t>HACU4180899</t>
  </si>
  <si>
    <t>TRHU2492444</t>
  </si>
  <si>
    <t>CAIU2718690</t>
  </si>
  <si>
    <t>TCLU3455697</t>
  </si>
  <si>
    <t>CAIU2893579</t>
  </si>
  <si>
    <t>TRHU1721464</t>
  </si>
  <si>
    <t>FCIU6231310</t>
  </si>
  <si>
    <t>SEGU3883567</t>
  </si>
  <si>
    <t>HACU2213592</t>
  </si>
  <si>
    <t>HACU2245326</t>
  </si>
  <si>
    <t>FCIU4781848</t>
  </si>
  <si>
    <t>SZLU5023819</t>
  </si>
  <si>
    <t>FCIU5393148</t>
  </si>
  <si>
    <t>TCKU1844326</t>
  </si>
  <si>
    <t>TCNU6037471</t>
  </si>
  <si>
    <t>CAIU8707563</t>
  </si>
  <si>
    <t>EITU1238213</t>
  </si>
  <si>
    <t>HACU4217832</t>
  </si>
  <si>
    <t>HACU4211135</t>
  </si>
  <si>
    <t>HACU2247000</t>
  </si>
  <si>
    <t>SEKU1465449</t>
  </si>
  <si>
    <t>HACU2210124</t>
  </si>
  <si>
    <t>SEGU3972319</t>
  </si>
  <si>
    <t>HACU4243641</t>
  </si>
  <si>
    <t>HACU2245748</t>
  </si>
  <si>
    <t>HACU2241125</t>
  </si>
  <si>
    <t>HACU4216266</t>
  </si>
  <si>
    <t>TCKU3723690</t>
  </si>
  <si>
    <t>HACU4242809</t>
  </si>
  <si>
    <t>TCNU7435926</t>
  </si>
  <si>
    <t>TCLU3096160</t>
  </si>
  <si>
    <t>SEGU3882025</t>
  </si>
  <si>
    <t>HACU2221920</t>
  </si>
  <si>
    <t>HACU2210063</t>
  </si>
  <si>
    <t>CAIU6493966</t>
  </si>
  <si>
    <t>TRHU1971041</t>
  </si>
  <si>
    <t>TGCU0076598</t>
  </si>
  <si>
    <t>BEAU5404086</t>
  </si>
  <si>
    <t>SELU4505054</t>
  </si>
  <si>
    <t>SEKU1790006</t>
  </si>
  <si>
    <t>HACU2162094</t>
  </si>
  <si>
    <t>FCIU5409476</t>
  </si>
  <si>
    <t>HACU2162807</t>
  </si>
  <si>
    <t>SEGU3882128</t>
  </si>
  <si>
    <t>HACU2213458</t>
  </si>
  <si>
    <t>SEKU1950697</t>
  </si>
  <si>
    <t>SEGU3880953</t>
  </si>
  <si>
    <t>HACU2242965</t>
  </si>
  <si>
    <t>HACU2210171</t>
  </si>
  <si>
    <t>PCIU1701200</t>
  </si>
  <si>
    <t>TCLU3325538</t>
  </si>
  <si>
    <t>CAAU9094355</t>
  </si>
  <si>
    <t>SEKU5580100</t>
  </si>
  <si>
    <t>HACU4215995</t>
  </si>
  <si>
    <t>SEKU1785972</t>
  </si>
  <si>
    <t>SEKU1807942</t>
  </si>
  <si>
    <t>HACU2244470</t>
  </si>
  <si>
    <t>TCKU3932344</t>
  </si>
  <si>
    <t>HACU2240480</t>
  </si>
  <si>
    <t>TCKU3940397</t>
  </si>
  <si>
    <t>CAAU2024398</t>
  </si>
  <si>
    <t>HACU2213709</t>
  </si>
  <si>
    <t>HACU2244016</t>
  </si>
  <si>
    <t>KTCU2312019</t>
  </si>
  <si>
    <t>PASU2200810</t>
  </si>
  <si>
    <t>GLDU5291316</t>
  </si>
  <si>
    <t>HACU2240875</t>
  </si>
  <si>
    <t>HACU2250662</t>
  </si>
  <si>
    <t>CAAU2138620</t>
  </si>
  <si>
    <t>HACU2212744</t>
  </si>
  <si>
    <t>TCKU3715842</t>
  </si>
  <si>
    <t>HACU2252731</t>
  </si>
  <si>
    <t>HACU2247421</t>
  </si>
  <si>
    <t>SEGU3883654</t>
  </si>
  <si>
    <t>GAOU7792770</t>
  </si>
  <si>
    <t>SEKU1456410</t>
  </si>
  <si>
    <t>HACU2244401</t>
  </si>
  <si>
    <t>DFSU2990879</t>
  </si>
  <si>
    <t>SEKU1943091</t>
  </si>
  <si>
    <t>SEKU5564481</t>
  </si>
  <si>
    <t>CAIU7995193</t>
  </si>
  <si>
    <t>GAOU7898675</t>
  </si>
  <si>
    <t>CAAU6413274</t>
  </si>
  <si>
    <t>DFSU1960308</t>
  </si>
  <si>
    <t>HACU2245429</t>
  </si>
  <si>
    <t>HACU2242923</t>
  </si>
  <si>
    <t>FCIU5648233</t>
  </si>
  <si>
    <t>TCKU3238441</t>
  </si>
  <si>
    <t>MAGU5769815</t>
  </si>
  <si>
    <t>BEAU5405380</t>
  </si>
  <si>
    <t>HACU4240909</t>
  </si>
  <si>
    <t>HACU4221107</t>
  </si>
  <si>
    <t>HACU4217339</t>
  </si>
  <si>
    <t>HACU4243493</t>
  </si>
  <si>
    <t>HACU4216121</t>
  </si>
  <si>
    <t>GAOU7899820</t>
  </si>
  <si>
    <t>TCKU1830410</t>
  </si>
  <si>
    <t>SEGU3974796</t>
  </si>
  <si>
    <t>TCLU2889549</t>
  </si>
  <si>
    <t>HACU2242538</t>
  </si>
  <si>
    <t>TRHU2113330</t>
  </si>
  <si>
    <t>HACU4181323</t>
  </si>
  <si>
    <t>HACU2161800</t>
  </si>
  <si>
    <t>TCLU3593802</t>
  </si>
  <si>
    <t>SEGU3883525</t>
  </si>
  <si>
    <t>TCLU3987719</t>
  </si>
  <si>
    <t>SEKU1946357</t>
  </si>
  <si>
    <t>FCIU5326690</t>
  </si>
  <si>
    <t>GAOU7628324</t>
  </si>
  <si>
    <t>HACU4243132</t>
  </si>
  <si>
    <t>FCIU5333452</t>
  </si>
  <si>
    <t>HACU2221200</t>
  </si>
  <si>
    <t>TRHU2267042</t>
  </si>
  <si>
    <t>FCIU5329323</t>
  </si>
  <si>
    <t>HACU4180060</t>
  </si>
  <si>
    <t>SELU4503895</t>
  </si>
  <si>
    <t>SEGU3974760</t>
  </si>
  <si>
    <t>SEKU1461628</t>
  </si>
  <si>
    <t>FCIU5713344</t>
  </si>
  <si>
    <t>HACU2244459</t>
  </si>
  <si>
    <t>TCKU3931230</t>
  </si>
  <si>
    <t>TCLU3015867</t>
  </si>
  <si>
    <t>TCNU8788595</t>
  </si>
  <si>
    <t>HACU4213945</t>
  </si>
  <si>
    <t>HACU4214730</t>
  </si>
  <si>
    <t>SEKU5573441</t>
  </si>
  <si>
    <t>CAAU6412679</t>
  </si>
  <si>
    <t>TCNU8888613</t>
  </si>
  <si>
    <t>BEAU5404358</t>
  </si>
  <si>
    <t>CAIU7335348</t>
  </si>
  <si>
    <t>TCKU2245960</t>
  </si>
  <si>
    <t>CAAU2135344</t>
  </si>
  <si>
    <t>FBIU0053035</t>
  </si>
  <si>
    <t>CAIU6558157</t>
  </si>
  <si>
    <t>HACU4213230</t>
  </si>
  <si>
    <t>TCNU4222850</t>
  </si>
  <si>
    <t>HACU4245602</t>
  </si>
  <si>
    <t>HACU2212019</t>
  </si>
  <si>
    <t>TRHU3363204</t>
  </si>
  <si>
    <t>HACU4215228</t>
  </si>
  <si>
    <t>SEKU5575043</t>
  </si>
  <si>
    <t>HACU4213586</t>
  </si>
  <si>
    <t>SELU4507972</t>
  </si>
  <si>
    <t>HACU4216097</t>
  </si>
  <si>
    <t>HACU4241232</t>
  </si>
  <si>
    <t>GAOU7899080</t>
  </si>
  <si>
    <t>HACU4160486</t>
  </si>
  <si>
    <t>SEKU6800160</t>
  </si>
  <si>
    <t>HACU4160357</t>
  </si>
  <si>
    <t>GAOU7898783</t>
  </si>
  <si>
    <t>TCLU8169736</t>
  </si>
  <si>
    <t>TCNU6044594</t>
  </si>
  <si>
    <t>GESU9311137</t>
  </si>
  <si>
    <t>SEKU5574155</t>
  </si>
  <si>
    <t>DRYU9795976</t>
  </si>
  <si>
    <t>GAOU7792533</t>
  </si>
  <si>
    <t>HACU4217323</t>
  </si>
  <si>
    <t>GAOU7792641</t>
  </si>
  <si>
    <t>SEKU5577283</t>
  </si>
  <si>
    <t>HACU4210484</t>
  </si>
  <si>
    <t>TCNU7710720</t>
  </si>
  <si>
    <t>HACU4245109</t>
  </si>
  <si>
    <t>SEKU6805259</t>
  </si>
  <si>
    <t>FSCU8929763</t>
  </si>
  <si>
    <t>GAOU7902707</t>
  </si>
  <si>
    <t>HACU4220250</t>
  </si>
  <si>
    <t>HACU4242326</t>
  </si>
  <si>
    <t>SEKU6806949</t>
  </si>
  <si>
    <t>SELU4508095</t>
  </si>
  <si>
    <t>ONLU2213058</t>
  </si>
  <si>
    <t>FYCU1091666</t>
  </si>
  <si>
    <t>ONLU2202541</t>
  </si>
  <si>
    <t>ONLU2201870</t>
  </si>
  <si>
    <t>GAOU2177906</t>
  </si>
  <si>
    <t>TEMU0256805</t>
  </si>
  <si>
    <t>FSCU8192362</t>
  </si>
  <si>
    <t>15H07135</t>
  </si>
  <si>
    <t>FSCU8199747</t>
  </si>
  <si>
    <t>HACU4181663</t>
  </si>
  <si>
    <t>CAIU7856813</t>
  </si>
  <si>
    <t>HACU4211876</t>
  </si>
  <si>
    <t>HACU2250744</t>
  </si>
  <si>
    <t>DFSU3025109</t>
  </si>
  <si>
    <t>BMOU1220803</t>
  </si>
  <si>
    <t>TCKU3630909</t>
  </si>
  <si>
    <t>CAIU9258153</t>
  </si>
  <si>
    <t>HACU2247885</t>
  </si>
  <si>
    <t>HACU2244546</t>
  </si>
  <si>
    <t>GAOU7902672</t>
  </si>
  <si>
    <t>SEKU5572595</t>
  </si>
  <si>
    <t>SEKU1946383</t>
  </si>
  <si>
    <t>SEKU1808790</t>
  </si>
  <si>
    <t>GAOU7899373</t>
  </si>
  <si>
    <t>GAOU7631884</t>
  </si>
  <si>
    <t>GAOU7900875</t>
  </si>
  <si>
    <t>HACU2241423</t>
  </si>
  <si>
    <t>HACU2250106</t>
  </si>
  <si>
    <t>HACU2210799</t>
  </si>
  <si>
    <t>CAIU6541576</t>
  </si>
  <si>
    <t>CAAU2215706</t>
  </si>
  <si>
    <t>CAAU2137917</t>
  </si>
  <si>
    <t>HACU2162200</t>
  </si>
  <si>
    <t>CAAU2216889</t>
  </si>
  <si>
    <t>SEKU6803810</t>
  </si>
  <si>
    <t>CAAU6412391</t>
  </si>
  <si>
    <t>SEKU1458141</t>
  </si>
  <si>
    <t>TCLU3289298</t>
  </si>
  <si>
    <t>PASU2200770</t>
  </si>
  <si>
    <t>BMOU1231243</t>
  </si>
  <si>
    <t>HACU4240180</t>
  </si>
  <si>
    <t>HACU4215552</t>
  </si>
  <si>
    <t>DALU8446716</t>
  </si>
  <si>
    <t>DALU8446676</t>
  </si>
  <si>
    <t>EGSU1133792</t>
  </si>
  <si>
    <t>HACU2214520</t>
  </si>
  <si>
    <t>CAAU2134184</t>
  </si>
  <si>
    <t>TRHU1801174</t>
  </si>
  <si>
    <t>CAIU3299854</t>
  </si>
  <si>
    <t>CAAU2135386</t>
  </si>
  <si>
    <t>HACU2252011</t>
  </si>
  <si>
    <t>FBLU0021428</t>
  </si>
  <si>
    <t>FYCU1086510</t>
  </si>
  <si>
    <t>FYCU1090762</t>
  </si>
  <si>
    <t>FYCU1091455</t>
  </si>
  <si>
    <t>FYCU1089437</t>
  </si>
  <si>
    <t>SMCU2034886</t>
  </si>
  <si>
    <t>SMCU2035060</t>
  </si>
  <si>
    <t>FCIU6355190</t>
  </si>
  <si>
    <t>CKLU3058701</t>
  </si>
  <si>
    <t>HLBU2188273</t>
  </si>
  <si>
    <t>15H17712</t>
  </si>
  <si>
    <t>HAMU2715158</t>
  </si>
  <si>
    <t>HLBU1567930</t>
  </si>
  <si>
    <t>HAMU3816923</t>
  </si>
  <si>
    <t>BMOU1232960</t>
  </si>
  <si>
    <t>HACU2161708</t>
  </si>
  <si>
    <t>SEGU3882051</t>
  </si>
  <si>
    <t>GLDU9953030</t>
  </si>
  <si>
    <t>TDRU3536278</t>
  </si>
  <si>
    <t>HACU2210438</t>
  </si>
  <si>
    <t>TCKU6197520</t>
  </si>
  <si>
    <t>TCLU2316824</t>
  </si>
  <si>
    <t>SEKU1803361</t>
  </si>
  <si>
    <t>CAIU6474020</t>
  </si>
  <si>
    <t>HACU2212343</t>
  </si>
  <si>
    <t>EISU9379940</t>
  </si>
  <si>
    <t>SEKU1468031</t>
  </si>
  <si>
    <t>BEAU2178827</t>
  </si>
  <si>
    <t>DFSU1749661</t>
  </si>
  <si>
    <t>TDRU3355860</t>
  </si>
  <si>
    <t>HACU2213864</t>
  </si>
  <si>
    <t>HACU2221387</t>
  </si>
  <si>
    <t>CAIU6247896</t>
  </si>
  <si>
    <t>DFSU1959375</t>
  </si>
  <si>
    <t>HACU4241551</t>
  </si>
  <si>
    <t>CAAU5159904</t>
  </si>
  <si>
    <t>DFSU3057111</t>
  </si>
  <si>
    <t>GLDU9316731</t>
  </si>
  <si>
    <t>WBPU7051107</t>
  </si>
  <si>
    <t>SELU4506699</t>
  </si>
  <si>
    <t>CAIU3650819</t>
  </si>
  <si>
    <t>TRHU3253193</t>
  </si>
  <si>
    <t>DFSU1970923</t>
  </si>
  <si>
    <t>BEAU5404321</t>
  </si>
  <si>
    <t>BEAU5406411</t>
  </si>
  <si>
    <t>TCLU3298495</t>
  </si>
  <si>
    <t>TGCU2029189</t>
  </si>
  <si>
    <t>HACU2250410</t>
  </si>
  <si>
    <t>SEKU1943790</t>
  </si>
  <si>
    <t>TRHU1401199</t>
  </si>
  <si>
    <t>SEKU1788647</t>
  </si>
  <si>
    <t>TRHU2804938</t>
  </si>
  <si>
    <t>HACU2215234</t>
  </si>
  <si>
    <t>CAIU3148945</t>
  </si>
  <si>
    <t>DFSU3009540</t>
  </si>
  <si>
    <t>HACU2241280</t>
  </si>
  <si>
    <t>HACU2221134</t>
  </si>
  <si>
    <t>TCKU2032944</t>
  </si>
  <si>
    <t>HACU2161499</t>
  </si>
  <si>
    <t>HACU4216570</t>
  </si>
  <si>
    <t>HACU4213312</t>
  </si>
  <si>
    <t>DFSU1939743</t>
  </si>
  <si>
    <t>TCKU1578226</t>
  </si>
  <si>
    <t>HACU4244139</t>
  </si>
  <si>
    <t>SEKU1951440</t>
  </si>
  <si>
    <t>GLDU5703389</t>
  </si>
  <si>
    <t>HACU4181154</t>
  </si>
  <si>
    <t>UESU2488090</t>
  </si>
  <si>
    <t>OBLU3324290</t>
  </si>
  <si>
    <t>SMCU2022334</t>
  </si>
  <si>
    <t>CAIU6463410</t>
  </si>
  <si>
    <t>TCNU7352225</t>
  </si>
  <si>
    <t>HACU2162535</t>
  </si>
  <si>
    <t>CAAU2138132</t>
  </si>
  <si>
    <t>HACU4213225</t>
  </si>
  <si>
    <t>SEKU6799304</t>
  </si>
  <si>
    <t>SEGU3972392</t>
  </si>
  <si>
    <t>CAIU6545057</t>
  </si>
  <si>
    <t>HACU2211286</t>
  </si>
  <si>
    <t>SEGU3886817</t>
  </si>
  <si>
    <t>HACU2211630</t>
  </si>
  <si>
    <t>TGCU0117341</t>
  </si>
  <si>
    <t>TCLU9329886</t>
  </si>
  <si>
    <t>HACU4160465</t>
  </si>
  <si>
    <t>HACU4181112</t>
  </si>
  <si>
    <t>HACU4213020</t>
  </si>
  <si>
    <t>DFSU1729428</t>
  </si>
  <si>
    <t>TEMU5974913</t>
  </si>
  <si>
    <t>HACU2213571</t>
  </si>
  <si>
    <t>DFSU1968931</t>
  </si>
  <si>
    <t>DFSU1934567</t>
  </si>
  <si>
    <t>HACU2240200</t>
  </si>
  <si>
    <t>CAIU6419423</t>
  </si>
  <si>
    <t>SEKU1946819</t>
  </si>
  <si>
    <t>CAAU2137199</t>
  </si>
  <si>
    <t>CAAU2215774</t>
  </si>
  <si>
    <t>HACU2162010</t>
  </si>
  <si>
    <t>SEKU1950995</t>
  </si>
  <si>
    <t>CAIU7337103</t>
  </si>
  <si>
    <t>FBLU0104693</t>
  </si>
  <si>
    <t>TCNU6274684</t>
  </si>
  <si>
    <t>TCLU2531600</t>
  </si>
  <si>
    <t>TCLU2888687</t>
  </si>
  <si>
    <t>BEAU5406258</t>
  </si>
  <si>
    <t>SELU4563596</t>
  </si>
  <si>
    <t>OBLU3314671</t>
  </si>
  <si>
    <t>TTNU1959071</t>
  </si>
  <si>
    <t>CAAU6412051</t>
  </si>
  <si>
    <t>OBLU3321201</t>
  </si>
  <si>
    <t>OBLU3319729</t>
  </si>
  <si>
    <t>CAIU3339957</t>
  </si>
  <si>
    <t>SEKU1809971</t>
  </si>
  <si>
    <t>GLDU5594694</t>
  </si>
  <si>
    <t>TRHU3061776</t>
  </si>
  <si>
    <t>SEKU1947040</t>
  </si>
  <si>
    <t>CAAU2135679</t>
  </si>
  <si>
    <t>CAIU4972189</t>
  </si>
  <si>
    <t>TCNU6063552</t>
  </si>
  <si>
    <t>CAIU9314302</t>
  </si>
  <si>
    <t>TRHU1627925</t>
  </si>
  <si>
    <t>HACU4221750</t>
  </si>
  <si>
    <t>BEAU4804365</t>
  </si>
  <si>
    <t>HACU4240895</t>
  </si>
  <si>
    <t>HACU4181386</t>
  </si>
  <si>
    <t>HACU4215444</t>
  </si>
  <si>
    <t>GLDU5414391</t>
  </si>
  <si>
    <t>GLDU5475078</t>
  </si>
  <si>
    <t>TCKU3617276</t>
  </si>
  <si>
    <t>DFSU3034097</t>
  </si>
  <si>
    <t>HACU2210000</t>
  </si>
  <si>
    <t>SEKU1802616</t>
  </si>
  <si>
    <t>SEKU5583136</t>
  </si>
  <si>
    <t>TCLU6604990</t>
  </si>
  <si>
    <t>TCNU6262220</t>
  </si>
  <si>
    <t>CAIU4287185</t>
  </si>
  <si>
    <t>BEAU4818498</t>
  </si>
  <si>
    <t>PEXU2000833</t>
  </si>
  <si>
    <t>TRHU2501778</t>
  </si>
  <si>
    <t>BHCU3174930</t>
  </si>
  <si>
    <t>OCGU2097289</t>
  </si>
  <si>
    <t>HACU4244458</t>
  </si>
  <si>
    <t>FBLU0097090</t>
  </si>
  <si>
    <t>SELU4546834</t>
  </si>
  <si>
    <t>CAIU2876761</t>
  </si>
  <si>
    <t>GLDU5310503</t>
  </si>
  <si>
    <t>HACU2161668</t>
  </si>
  <si>
    <t>HACU2210090</t>
  </si>
  <si>
    <t>SEKU1786304</t>
  </si>
  <si>
    <t>GLDU5706177</t>
  </si>
  <si>
    <t>HACU2215044</t>
  </si>
  <si>
    <t>CAIU6969570</t>
  </si>
  <si>
    <t>HACU2213904</t>
  </si>
  <si>
    <t>TCKU2129472</t>
  </si>
  <si>
    <t>HACU2160450</t>
  </si>
  <si>
    <t>TCKU2323702</t>
  </si>
  <si>
    <t>TLLU8067033</t>
  </si>
  <si>
    <t>HACU2243447</t>
  </si>
  <si>
    <t>HACU2214686</t>
  </si>
  <si>
    <t>HACU2242836</t>
  </si>
  <si>
    <t>HACU2211347</t>
  </si>
  <si>
    <t>TCNU6407278</t>
  </si>
  <si>
    <t>CAAU9079073</t>
  </si>
  <si>
    <t>CKSU2231680</t>
  </si>
  <si>
    <t>FCIU6354526</t>
  </si>
  <si>
    <t>GLDU9878596</t>
  </si>
  <si>
    <t>GLDU5546696</t>
  </si>
  <si>
    <t>HACU2240535</t>
  </si>
  <si>
    <t>BEAU5405570</t>
  </si>
  <si>
    <t>CAIU9282289</t>
  </si>
  <si>
    <t>TCNU7197556</t>
  </si>
  <si>
    <t>CAIU4313010</t>
  </si>
  <si>
    <t>DFSU1976198</t>
  </si>
  <si>
    <t>CAIU3338924</t>
  </si>
  <si>
    <t>HACU2215764</t>
  </si>
  <si>
    <t>HACU2211310</t>
  </si>
  <si>
    <t>HACU2212723</t>
  </si>
  <si>
    <t>HACU2214367</t>
  </si>
  <si>
    <t>HACU2243370</t>
  </si>
  <si>
    <t>TRHU3272491</t>
  </si>
  <si>
    <t>HACU2243848</t>
  </si>
  <si>
    <t>CAAU2216770</t>
  </si>
  <si>
    <t>FCIU5616426</t>
  </si>
  <si>
    <t>CAIU6577291</t>
  </si>
  <si>
    <t>HACU2212615</t>
  </si>
  <si>
    <t>GAOU7902728</t>
  </si>
  <si>
    <t>SEKU6807138</t>
  </si>
  <si>
    <t>BEAU4396962</t>
  </si>
  <si>
    <t>CAIU4288725</t>
  </si>
  <si>
    <t>HACU4180121</t>
  </si>
  <si>
    <t>BEAU5405375</t>
  </si>
  <si>
    <t>SEKU5572614</t>
  </si>
  <si>
    <t>TCNU8536016</t>
  </si>
  <si>
    <t>TCNU4390134</t>
  </si>
  <si>
    <t>TCNU4224853</t>
  </si>
  <si>
    <t>CAIU8988590</t>
  </si>
  <si>
    <t>TCNU5017697</t>
  </si>
  <si>
    <t>TCNU5393591</t>
  </si>
  <si>
    <t>GAOU7651031</t>
  </si>
  <si>
    <t>TCKU3842148</t>
  </si>
  <si>
    <t>SEKU1808131</t>
  </si>
  <si>
    <t>HACU2215189</t>
  </si>
  <si>
    <t>HACU2213988</t>
  </si>
  <si>
    <t>SCCU2004002</t>
  </si>
  <si>
    <t>PCVU2624633</t>
  </si>
  <si>
    <t>GLDU9717797</t>
  </si>
  <si>
    <t>HACU2214449</t>
  </si>
  <si>
    <t>PASU3190090</t>
  </si>
  <si>
    <t>CAAU2135391</t>
  </si>
  <si>
    <t>HACU2215316</t>
  </si>
  <si>
    <t>HACU2244382</t>
  </si>
  <si>
    <t>GAOU7901085</t>
  </si>
  <si>
    <t>SELU4509044</t>
  </si>
  <si>
    <t>TRHU1571153</t>
  </si>
  <si>
    <t>SEKU1944821</t>
  </si>
  <si>
    <t>HACU2240710</t>
  </si>
  <si>
    <t>SEKU6803343</t>
  </si>
  <si>
    <t>HACU4215022</t>
  </si>
  <si>
    <t>CAIU9533701</t>
  </si>
  <si>
    <t>TCNU6071434</t>
  </si>
  <si>
    <t>HACU2240617</t>
  </si>
  <si>
    <t>FCIU6428296</t>
  </si>
  <si>
    <t>FCIU5334696</t>
  </si>
  <si>
    <t>DFSU1728822</t>
  </si>
  <si>
    <t>HCDA2300021</t>
  </si>
  <si>
    <t>PCVU2646864</t>
  </si>
  <si>
    <t>HACU2252053</t>
  </si>
  <si>
    <t>HACU2160213</t>
  </si>
  <si>
    <t>HACU2214639</t>
  </si>
  <si>
    <t>HACU2160152</t>
  </si>
  <si>
    <t>TRHU1568381</t>
  </si>
  <si>
    <t>HACU2211115</t>
  </si>
  <si>
    <t>SEKU6806039</t>
  </si>
  <si>
    <t>BSIU2579795</t>
  </si>
  <si>
    <t>SELU4506261</t>
  </si>
  <si>
    <t>BEAU5406094</t>
  </si>
  <si>
    <t>CAIU8927655</t>
  </si>
  <si>
    <t>EISU9376489</t>
  </si>
  <si>
    <t>BEAU5405966</t>
  </si>
  <si>
    <t>HACU4181832</t>
  </si>
  <si>
    <t>FSCU8169676</t>
  </si>
  <si>
    <t>RBGU4006756</t>
  </si>
  <si>
    <t>RBGU4019727</t>
  </si>
  <si>
    <t>TCNU8603048</t>
  </si>
  <si>
    <t>HACU4213190</t>
  </si>
  <si>
    <t>BEAU5404466</t>
  </si>
  <si>
    <t>HACU4181030</t>
  </si>
  <si>
    <t>TCNU9368848</t>
  </si>
  <si>
    <t>FFAU7150812</t>
  </si>
  <si>
    <t>TGBU6641218</t>
  </si>
  <si>
    <t>MRKU2744772</t>
  </si>
  <si>
    <t>TCNU1860506</t>
  </si>
  <si>
    <t>RBGU4372797</t>
  </si>
  <si>
    <t>CAIU2841718</t>
  </si>
  <si>
    <t>HACU2221577</t>
  </si>
  <si>
    <t>HACU4245095</t>
  </si>
  <si>
    <t>HACU4215341</t>
  </si>
  <si>
    <t>HASU4033082</t>
  </si>
  <si>
    <t>BENU1409192</t>
  </si>
  <si>
    <t>HNSU2007970</t>
  </si>
  <si>
    <t>KDCU2111965</t>
  </si>
  <si>
    <t>MRKU9808605</t>
  </si>
  <si>
    <t>SEGU3880059</t>
  </si>
  <si>
    <t>HACU2214393</t>
  </si>
  <si>
    <t>RBGU4429697</t>
  </si>
  <si>
    <t>HACU2162725</t>
  </si>
  <si>
    <t>SEGU3880104</t>
  </si>
  <si>
    <t>DFSU7625586</t>
  </si>
  <si>
    <t>FCIU5397945</t>
  </si>
  <si>
    <t>HACU4180076</t>
  </si>
  <si>
    <t>CAIU2589735</t>
  </si>
  <si>
    <t>OBLU2008614</t>
  </si>
  <si>
    <t>HAMU3142180</t>
  </si>
  <si>
    <t>MSKU0773480</t>
  </si>
  <si>
    <t>MSKU1111431</t>
  </si>
  <si>
    <t>MVIU0025241</t>
  </si>
  <si>
    <t>FANU1441985</t>
  </si>
  <si>
    <t>MRSU5648939</t>
  </si>
  <si>
    <t>SEKU4731814</t>
  </si>
  <si>
    <t>HLBU2447672</t>
  </si>
  <si>
    <t>FSCU8238062</t>
  </si>
  <si>
    <t>HLBU3202210</t>
  </si>
  <si>
    <t>GATU1335775</t>
  </si>
  <si>
    <t>GCXU6234689</t>
  </si>
  <si>
    <t>HASU4074203</t>
  </si>
  <si>
    <t>RBGU4362551</t>
  </si>
  <si>
    <t>FBIU0117736</t>
  </si>
  <si>
    <t>TCKU1756349</t>
  </si>
  <si>
    <t>CAIU6584500</t>
  </si>
  <si>
    <t>TCKU2870227</t>
  </si>
  <si>
    <t>HLBU2836144</t>
  </si>
  <si>
    <t>HLBU1930496</t>
  </si>
  <si>
    <t>MRSU7783429</t>
  </si>
  <si>
    <t>CAAU6039647</t>
  </si>
  <si>
    <t>DRYU2916382</t>
  </si>
  <si>
    <t>BSIU3162168</t>
  </si>
  <si>
    <t>RFCU2295708</t>
  </si>
  <si>
    <t>RBGU4432129</t>
  </si>
  <si>
    <t>RBGU4271894</t>
  </si>
  <si>
    <t>BEAU5406366</t>
  </si>
  <si>
    <t>CAIU4510998</t>
  </si>
  <si>
    <t>MRSU4666666</t>
  </si>
  <si>
    <t>TLLU6908516</t>
  </si>
  <si>
    <t>MSKU1706070</t>
  </si>
  <si>
    <t>MRSU6416223</t>
  </si>
  <si>
    <t>TCNU6436743</t>
  </si>
  <si>
    <t>HAMU4061009</t>
  </si>
  <si>
    <t>CAIU3382172</t>
  </si>
  <si>
    <t>HACU2161605</t>
  </si>
  <si>
    <t>BEAU5985870</t>
  </si>
  <si>
    <t>RBGU4387570</t>
  </si>
  <si>
    <t>HACU2210377</t>
  </si>
  <si>
    <t>DFSU1743909</t>
  </si>
  <si>
    <t>SEGU3882914</t>
  </si>
  <si>
    <t>GLDU5705308</t>
  </si>
  <si>
    <t>TCNU5589795</t>
  </si>
  <si>
    <t>OBLU3323014</t>
  </si>
  <si>
    <t>BSIU2594357</t>
  </si>
  <si>
    <t>TGBU5384476</t>
  </si>
  <si>
    <t>MRSU8735071</t>
  </si>
  <si>
    <t>MRSU6743951</t>
  </si>
  <si>
    <t>HLXU8486138</t>
  </si>
  <si>
    <t>UACU5631433</t>
  </si>
  <si>
    <t>HACU4240848</t>
  </si>
  <si>
    <t>RBGU4119393</t>
  </si>
  <si>
    <t>RBGU4024580</t>
  </si>
  <si>
    <t>TCNU6969418</t>
  </si>
  <si>
    <t>HACU4213436</t>
  </si>
  <si>
    <t>DRYU9981780</t>
  </si>
  <si>
    <t>SEGU3880906</t>
  </si>
  <si>
    <t>HACU2252747</t>
  </si>
  <si>
    <t>HACU2220760</t>
  </si>
  <si>
    <t>HACU2213416</t>
  </si>
  <si>
    <t>CAAU8972950</t>
  </si>
  <si>
    <t>MRSU7340164</t>
  </si>
  <si>
    <t>MRSU4378968</t>
  </si>
  <si>
    <t>HAMU3363133</t>
  </si>
  <si>
    <t>HAMU2454970</t>
  </si>
  <si>
    <t>DRYU9913929</t>
  </si>
  <si>
    <t>TCNU6063927</t>
  </si>
  <si>
    <t>HACU4180190</t>
  </si>
  <si>
    <t>ONLU2208365</t>
  </si>
  <si>
    <t>ONLU2222445</t>
  </si>
  <si>
    <t>SEGU6026779</t>
  </si>
  <si>
    <t>HACU2221509</t>
  </si>
  <si>
    <t>HACU2210340</t>
  </si>
  <si>
    <t>TCKU2909904</t>
  </si>
  <si>
    <t>BENU1289749</t>
  </si>
  <si>
    <t>OBLU3331811</t>
  </si>
  <si>
    <t>DRYU2252350</t>
  </si>
  <si>
    <t>BENU1271586</t>
  </si>
  <si>
    <t>HNSU2074428</t>
  </si>
  <si>
    <t>SMCU1168411</t>
  </si>
  <si>
    <t>RBGU4175864</t>
  </si>
  <si>
    <t>SEGU3879612</t>
  </si>
  <si>
    <t>TCNU4155006</t>
  </si>
  <si>
    <t>TRHU2984130</t>
  </si>
  <si>
    <t>TGCU2033635</t>
  </si>
  <si>
    <t>TRHU2497554</t>
  </si>
  <si>
    <t>TRHU2501037</t>
  </si>
  <si>
    <t>BEAU5170162</t>
  </si>
  <si>
    <t>UETU8152491</t>
  </si>
  <si>
    <t>OBLU8822989</t>
  </si>
  <si>
    <t>SMCU2013646</t>
  </si>
  <si>
    <t>CAIU6352079</t>
  </si>
  <si>
    <t>UETU3095927</t>
  </si>
  <si>
    <t>BSIU3144396</t>
  </si>
  <si>
    <t>DFSU1957011</t>
  </si>
  <si>
    <t>15H17112</t>
  </si>
  <si>
    <t>DFSU1702664</t>
  </si>
  <si>
    <t>HACU2220631</t>
  </si>
  <si>
    <t>SEKU1809668</t>
  </si>
  <si>
    <t>GLDU9973891</t>
  </si>
  <si>
    <t>HACU4180728</t>
  </si>
  <si>
    <t>GAOU7900480</t>
  </si>
  <si>
    <t>TCKU3184237</t>
  </si>
  <si>
    <t>CAIU2841256</t>
  </si>
  <si>
    <t>SEKU1802473</t>
  </si>
  <si>
    <t>SEKU1946465</t>
  </si>
  <si>
    <t>HNSU2069329</t>
  </si>
  <si>
    <t>RBGU4320520</t>
  </si>
  <si>
    <t>TCLU3259312</t>
  </si>
  <si>
    <t>HACU2213334</t>
  </si>
  <si>
    <t>TCNU6938063</t>
  </si>
  <si>
    <t>CAAU5023944</t>
  </si>
  <si>
    <t>HAMU1705453</t>
  </si>
  <si>
    <t>MRKU2441035</t>
  </si>
  <si>
    <t>SUDU6789174</t>
  </si>
  <si>
    <t>TRHU5166924</t>
  </si>
  <si>
    <t>MRSU8217405</t>
  </si>
  <si>
    <t>CAAU8050671</t>
  </si>
  <si>
    <t>SMCU1165644</t>
  </si>
  <si>
    <t>TCNU5525379</t>
  </si>
  <si>
    <t>MSKU9705893</t>
  </si>
  <si>
    <t>RBGU4315380</t>
  </si>
  <si>
    <t>TCNU7283090</t>
  </si>
  <si>
    <t>RFCU2077711</t>
  </si>
  <si>
    <t>HNSU2037511</t>
  </si>
  <si>
    <t>TCLU3419318</t>
  </si>
  <si>
    <t>TCLU2485790</t>
  </si>
  <si>
    <t>MRKU3146100</t>
  </si>
  <si>
    <t>HACU2215240</t>
  </si>
  <si>
    <t>SEGU3878494</t>
  </si>
  <si>
    <t>UETU6544066</t>
  </si>
  <si>
    <t>MRSU5240839</t>
  </si>
  <si>
    <t>HASU5120319</t>
  </si>
  <si>
    <t>HACU2221089</t>
  </si>
  <si>
    <t>HACU2210741</t>
  </si>
  <si>
    <t>HACU4180841</t>
  </si>
  <si>
    <t>CAAU2214926</t>
  </si>
  <si>
    <t>CAAU6565071</t>
  </si>
  <si>
    <t>TCNU6642765</t>
  </si>
  <si>
    <t>TCKU7441349</t>
  </si>
  <si>
    <t>CAIU8672045</t>
  </si>
  <si>
    <t>GLDU5498941</t>
  </si>
  <si>
    <t>SEKU1942789</t>
  </si>
  <si>
    <t>DFSU7517961</t>
  </si>
  <si>
    <t>MSKU1233532</t>
  </si>
  <si>
    <t>MRKU2570161</t>
  </si>
  <si>
    <t>MRKU2117509</t>
  </si>
  <si>
    <t>TCNU2732639</t>
  </si>
  <si>
    <t>FSCU8191978</t>
  </si>
  <si>
    <t>SEKU1942921</t>
  </si>
  <si>
    <t>HACU4213457</t>
  </si>
  <si>
    <t>SEKU6805177</t>
  </si>
  <si>
    <t>HACU4221827</t>
  </si>
  <si>
    <t>HACU4244210</t>
  </si>
  <si>
    <t>SEKU6806430</t>
  </si>
  <si>
    <t>GAOU7898269</t>
  </si>
  <si>
    <t>CAAU9083047</t>
  </si>
  <si>
    <t>TCLU9324729</t>
  </si>
  <si>
    <t>SEKU5571109</t>
  </si>
  <si>
    <t>HACU4222166</t>
  </si>
  <si>
    <t>SEKU6799182</t>
  </si>
  <si>
    <t>HACU4181581</t>
  </si>
  <si>
    <t>HACU4181616</t>
  </si>
  <si>
    <t>CAAU6408961</t>
  </si>
  <si>
    <t>SEKU5574833</t>
  </si>
  <si>
    <t>CAAU6409119</t>
  </si>
  <si>
    <t>SEKU6806888</t>
  </si>
  <si>
    <t>HACU4220836</t>
  </si>
  <si>
    <t>SEKU6805201</t>
  </si>
  <si>
    <t>FCIU5690130</t>
  </si>
  <si>
    <t>SEKU6806316</t>
  </si>
  <si>
    <t>GESU3814670</t>
  </si>
  <si>
    <t>MAGU2550280</t>
  </si>
  <si>
    <t>MRSU8266210</t>
  </si>
  <si>
    <t>FFAU4776839</t>
  </si>
  <si>
    <t>HAMU2058027</t>
  </si>
  <si>
    <t>TEMU7369151</t>
  </si>
  <si>
    <t>TCNU8888104</t>
  </si>
  <si>
    <t>GAOU7628319</t>
  </si>
  <si>
    <t>HACU4217299</t>
  </si>
  <si>
    <t>HACU4220158</t>
  </si>
  <si>
    <t>HACU4216559</t>
  </si>
  <si>
    <t>SEKU5574725</t>
  </si>
  <si>
    <t>MRSU7214696</t>
  </si>
  <si>
    <t>TRHU6216070</t>
  </si>
  <si>
    <t>MRSU3915770</t>
  </si>
  <si>
    <t>MRSU8462070</t>
  </si>
  <si>
    <t>RBGU4371738</t>
  </si>
  <si>
    <t>BEAU5406849</t>
  </si>
  <si>
    <t>GAOU7899012</t>
  </si>
  <si>
    <t>CAIU6573315</t>
  </si>
  <si>
    <t>SEKU1792020</t>
  </si>
  <si>
    <t>TIIU5300983</t>
  </si>
  <si>
    <t>MRSU8336030</t>
  </si>
  <si>
    <t>SEGU5625860</t>
  </si>
  <si>
    <t>TRHU3319921</t>
  </si>
  <si>
    <t>CAXU2724483</t>
  </si>
  <si>
    <t>CAIU8992692</t>
  </si>
  <si>
    <t>DRYU9912049</t>
  </si>
  <si>
    <t>HACU4180097</t>
  </si>
  <si>
    <t>CAAU5155719</t>
  </si>
  <si>
    <t>TCLU2887119</t>
  </si>
  <si>
    <t>TRHU2085686</t>
  </si>
  <si>
    <t>UACU5741889</t>
  </si>
  <si>
    <t>HAMU1395846</t>
  </si>
  <si>
    <t>DFSU3054581</t>
  </si>
  <si>
    <t>TRHU2879665</t>
  </si>
  <si>
    <t>CAIU6972995</t>
  </si>
  <si>
    <t>TCLU1934324</t>
  </si>
  <si>
    <t>HACU2212111</t>
  </si>
  <si>
    <t>DFSU1349053</t>
  </si>
  <si>
    <t>HACU2245270</t>
  </si>
  <si>
    <t>SEKU1942808</t>
  </si>
  <si>
    <t>SEKU1945540</t>
  </si>
  <si>
    <t>DFSU1845264</t>
  </si>
  <si>
    <t>SEGU3974707</t>
  </si>
  <si>
    <t>CAIU3545900</t>
  </si>
  <si>
    <t>GLDU5302318</t>
  </si>
  <si>
    <t>HACU2162767</t>
  </si>
  <si>
    <t>DFSU3131224</t>
  </si>
  <si>
    <t>TCLU2397908</t>
  </si>
  <si>
    <t>TRHU2688083</t>
  </si>
  <si>
    <t>FBIU0275515</t>
  </si>
  <si>
    <t>DFSU1968320</t>
  </si>
  <si>
    <t>CAIU7871926</t>
  </si>
  <si>
    <t>TCKU6471312</t>
  </si>
  <si>
    <t>ONLU2225402</t>
  </si>
  <si>
    <t>ONLU2223550</t>
  </si>
  <si>
    <t>ONLU2229671</t>
  </si>
  <si>
    <t>ONLU2211923</t>
  </si>
  <si>
    <t>CAIU3711787</t>
  </si>
  <si>
    <t>DFSU1706910</t>
  </si>
  <si>
    <t>FCIU6219090</t>
  </si>
  <si>
    <t>DFSU1944436</t>
  </si>
  <si>
    <t>TCKU3929700</t>
  </si>
  <si>
    <t>CAAU2136952</t>
  </si>
  <si>
    <t>TGCU2013346</t>
  </si>
  <si>
    <t>CAIU3671766</t>
  </si>
  <si>
    <t>TCKU3474262</t>
  </si>
  <si>
    <t>CAAU2137460</t>
  </si>
  <si>
    <t>GLDU5501881</t>
  </si>
  <si>
    <t>TCKU6186439</t>
  </si>
  <si>
    <t>FSCU8149793</t>
  </si>
  <si>
    <t>ONLU2224453</t>
  </si>
  <si>
    <t>ONLU2226203</t>
  </si>
  <si>
    <t>ONLU2225887</t>
  </si>
  <si>
    <t>GESU1456324</t>
  </si>
  <si>
    <t>BSIU2887123</t>
  </si>
  <si>
    <t>GAOU7898968</t>
  </si>
  <si>
    <t>SEKU5573380</t>
  </si>
  <si>
    <t>TLLU8067096</t>
  </si>
  <si>
    <t>CAIU9083395</t>
  </si>
  <si>
    <t>BEAU4813407</t>
  </si>
  <si>
    <t>FBLU0215188</t>
  </si>
  <si>
    <t>ONLU2221074</t>
  </si>
  <si>
    <t>ONLU2204354</t>
  </si>
  <si>
    <t>BSIU3046229</t>
  </si>
  <si>
    <t>ONLU2224704</t>
  </si>
  <si>
    <t>ONLU2221752</t>
  </si>
  <si>
    <t>HACU4244308</t>
  </si>
  <si>
    <t>GAOU7792575</t>
  </si>
  <si>
    <t>BEAU2738372</t>
  </si>
  <si>
    <t>MWLU2170121</t>
  </si>
  <si>
    <t>DRYU3126628</t>
  </si>
  <si>
    <t>BEAU2582567</t>
  </si>
  <si>
    <t>GAOU2018592</t>
  </si>
  <si>
    <t>HACU2245460</t>
  </si>
  <si>
    <t>CAIU3118600</t>
  </si>
  <si>
    <t>TRHU1967139</t>
  </si>
  <si>
    <t>CAIU8704414</t>
  </si>
  <si>
    <t>HACU4180712</t>
  </si>
  <si>
    <t>HACU4215085</t>
  </si>
  <si>
    <t>SEKU5571074</t>
  </si>
  <si>
    <t>SELU4499558</t>
  </si>
  <si>
    <t>GAOU7790994</t>
  </si>
  <si>
    <t>GAOU7631863</t>
  </si>
  <si>
    <t>KTCU2311115</t>
  </si>
  <si>
    <t>KTCU2311060</t>
  </si>
  <si>
    <t>TCNU6309672</t>
  </si>
  <si>
    <t>BEAU4597421</t>
  </si>
  <si>
    <t>ONLU2216334</t>
  </si>
  <si>
    <t>ONLU2205324</t>
  </si>
  <si>
    <t>HACU2240181</t>
  </si>
  <si>
    <t>HACU2220755</t>
  </si>
  <si>
    <t>BEAU2667540</t>
  </si>
  <si>
    <t>CKSU2231839</t>
  </si>
  <si>
    <t>CKSU2203035</t>
  </si>
  <si>
    <t>CKSU2222288</t>
  </si>
  <si>
    <t>SEKU1789469</t>
  </si>
  <si>
    <t>TCLU3202894</t>
  </si>
  <si>
    <t>PCVU2625331</t>
  </si>
  <si>
    <t>KTCU2309015</t>
  </si>
  <si>
    <t>TCLU5522686</t>
  </si>
  <si>
    <t>FBLU0099072</t>
  </si>
  <si>
    <t>TCLU8959197</t>
  </si>
  <si>
    <t>HLBU3287265</t>
  </si>
  <si>
    <t>HACU2243072</t>
  </si>
  <si>
    <t>CAAU2138385</t>
  </si>
  <si>
    <t>HACU2250370</t>
  </si>
  <si>
    <t>HACU2161056</t>
  </si>
  <si>
    <t>GLDU7733891</t>
  </si>
  <si>
    <t>GAOU7629697</t>
  </si>
  <si>
    <t>SEKU1463554</t>
  </si>
  <si>
    <t>CAAU2137429</t>
  </si>
  <si>
    <t>HACU2215846</t>
  </si>
  <si>
    <t>HACU2162480</t>
  </si>
  <si>
    <t>BEAU5406920</t>
  </si>
  <si>
    <t>SELU4564530</t>
  </si>
  <si>
    <t>SEKU1943050</t>
  </si>
  <si>
    <t>HACU2214238</t>
  </si>
  <si>
    <t>TCLU5895226</t>
  </si>
  <si>
    <t>HACU2240725</t>
  </si>
  <si>
    <t>CAAU2139680</t>
  </si>
  <si>
    <t>CAAU2137563</t>
  </si>
  <si>
    <t>PASU2201328</t>
  </si>
  <si>
    <t>HACU4243997</t>
  </si>
  <si>
    <t>HAMU2063358</t>
  </si>
  <si>
    <t>TCLU8690071</t>
  </si>
  <si>
    <t>BMOU6609228</t>
  </si>
  <si>
    <t>UACU5919538</t>
  </si>
  <si>
    <t>HLXU8026370</t>
  </si>
  <si>
    <t>CAAU6940510</t>
  </si>
  <si>
    <t>MRSU6240685</t>
  </si>
  <si>
    <t>CAAU4910097</t>
  </si>
  <si>
    <t>TRHU5008997</t>
  </si>
  <si>
    <t>MRSU5805283</t>
  </si>
  <si>
    <t>MRSU8411853</t>
  </si>
  <si>
    <t>CAAU4658853</t>
  </si>
  <si>
    <t>FFAU1537698</t>
  </si>
  <si>
    <t>FANU1453440</t>
  </si>
  <si>
    <t>FCIU5273728</t>
  </si>
  <si>
    <t>SEGU3882241</t>
  </si>
  <si>
    <t>TGCU0118013</t>
  </si>
  <si>
    <t>SEKU1808620</t>
  </si>
  <si>
    <t>TRHU7937492</t>
  </si>
  <si>
    <t>CAAU7927895</t>
  </si>
  <si>
    <t>CAAU6533921</t>
  </si>
  <si>
    <t>SEKU4727054</t>
  </si>
  <si>
    <t>HACU4212867</t>
  </si>
  <si>
    <t>GAOU7630255</t>
  </si>
  <si>
    <t>GAOU7900089</t>
  </si>
  <si>
    <t>HCVT0037</t>
  </si>
  <si>
    <t>HCVT0034</t>
  </si>
  <si>
    <t>TCNU6055686</t>
  </si>
  <si>
    <t>FCGU2267154</t>
  </si>
  <si>
    <t>CAAU6410980</t>
  </si>
  <si>
    <t>FSCU8066997</t>
  </si>
  <si>
    <t>ONLU2212302</t>
  </si>
  <si>
    <t>ONLU2211498</t>
  </si>
  <si>
    <t>ONLU2210721</t>
  </si>
  <si>
    <t>BSIU3048108</t>
  </si>
  <si>
    <t>ONLU2230040</t>
  </si>
  <si>
    <t>SEKU1464226</t>
  </si>
  <si>
    <t>HACU2247910</t>
  </si>
  <si>
    <t>HACU4215969</t>
  </si>
  <si>
    <t>EITU1384389</t>
  </si>
  <si>
    <t>TCNU6777396</t>
  </si>
  <si>
    <t>DFSU1851858</t>
  </si>
  <si>
    <t>HACU2243508</t>
  </si>
  <si>
    <t>TCKU3623448</t>
  </si>
  <si>
    <t>DFSU3060563</t>
  </si>
  <si>
    <t>HAHU8225290</t>
  </si>
  <si>
    <t>CAIU3336217</t>
  </si>
  <si>
    <t>TCLU7567761</t>
  </si>
  <si>
    <t>TRHU1861044</t>
  </si>
  <si>
    <t>GAOU7902040</t>
  </si>
  <si>
    <t>DFSU1916901</t>
  </si>
  <si>
    <t>CAAU2134142</t>
  </si>
  <si>
    <t>DFSU1715168</t>
  </si>
  <si>
    <t>HACU2211178</t>
  </si>
  <si>
    <t>DFSU3054750</t>
  </si>
  <si>
    <t>HACU4181391</t>
  </si>
  <si>
    <t>SEKU5573210</t>
  </si>
  <si>
    <t>ONLU2214060</t>
  </si>
  <si>
    <t>ONLU2222321</t>
  </si>
  <si>
    <t>ONLU2209696</t>
  </si>
  <si>
    <t>ONLU2213021</t>
  </si>
  <si>
    <t>DFSU3024062</t>
  </si>
  <si>
    <t>GLDU9406537</t>
  </si>
  <si>
    <t>HACU2161333</t>
  </si>
  <si>
    <t>HACU2242013</t>
  </si>
  <si>
    <t>GLDU5499830</t>
  </si>
  <si>
    <t>GLDU9722962</t>
  </si>
  <si>
    <t>TCLU3524740</t>
  </si>
  <si>
    <t>TCLU3095707</t>
  </si>
  <si>
    <t>Từ ngày 26/03/2026 đến ngày 25/04/2026</t>
  </si>
  <si>
    <t>Hải Phòng, ngày 30 tháng 04 năm 2025</t>
  </si>
  <si>
    <t>HLBU3145065</t>
  </si>
  <si>
    <t>sai số cont</t>
  </si>
  <si>
    <t>oke</t>
  </si>
  <si>
    <t>sai tác nghiệp: xuất tàu</t>
  </si>
  <si>
    <t>SELU4502883</t>
  </si>
  <si>
    <t>SEKU6951628</t>
  </si>
  <si>
    <t>HAMU2441123</t>
  </si>
  <si>
    <t>HACU2250298</t>
  </si>
  <si>
    <t>GAOU7656630</t>
  </si>
  <si>
    <t>HACU4222778</t>
  </si>
  <si>
    <t>BEAU5406896</t>
  </si>
  <si>
    <t>FCIU5293853</t>
  </si>
  <si>
    <t>HACU2220164</t>
  </si>
  <si>
    <t>FCIU6428737</t>
  </si>
  <si>
    <t>HACU2220210</t>
  </si>
  <si>
    <t>CAAU2138430</t>
  </si>
  <si>
    <t>CAIU3584321</t>
  </si>
  <si>
    <t>FCIU6222284</t>
  </si>
  <si>
    <t>TRHU2782654</t>
  </si>
  <si>
    <t>SELU4509384</t>
  </si>
  <si>
    <t>SEKU6806506</t>
  </si>
  <si>
    <t>TCNU1085836</t>
  </si>
  <si>
    <t>GAOU7629721</t>
  </si>
  <si>
    <t>HACU2213566</t>
  </si>
  <si>
    <t>SEKU1808825</t>
  </si>
  <si>
    <t>DFSU1809502</t>
  </si>
  <si>
    <t>OBLU3320611</t>
  </si>
  <si>
    <t>RBGU4312020</t>
  </si>
  <si>
    <t>CAIU8605200</t>
  </si>
  <si>
    <t>TCNU4330259</t>
  </si>
  <si>
    <t>HACU4181977</t>
  </si>
  <si>
    <t>HACU2161246</t>
  </si>
  <si>
    <t>SEGU2073480</t>
  </si>
  <si>
    <t>BSIU3169060</t>
  </si>
  <si>
    <t>CAAU2138786</t>
  </si>
  <si>
    <t>FCGU2313408</t>
  </si>
  <si>
    <t>FCIU6056460</t>
  </si>
  <si>
    <t>PAN HẢI AN</t>
  </si>
  <si>
    <t>HAC1</t>
  </si>
  <si>
    <t>20GP</t>
  </si>
  <si>
    <t>PHÚC LỘC</t>
  </si>
  <si>
    <t>E</t>
  </si>
  <si>
    <t>40HC</t>
  </si>
  <si>
    <t>15H09877</t>
  </si>
  <si>
    <t>15C12925</t>
  </si>
  <si>
    <t>NAM HẢI ĐÌNH VŨ</t>
  </si>
  <si>
    <t>15C21728</t>
  </si>
  <si>
    <t>MSK</t>
  </si>
  <si>
    <t>20'E</t>
  </si>
  <si>
    <t>20'F</t>
  </si>
  <si>
    <t>40'E</t>
  </si>
  <si>
    <t>sai cảng xuất: HAP</t>
  </si>
  <si>
    <t>CHUYỂN BÃI</t>
  </si>
  <si>
    <t>HLL</t>
  </si>
  <si>
    <t xml:space="preserve">WO 801164881 </t>
  </si>
  <si>
    <t>45HC</t>
  </si>
  <si>
    <t xml:space="preserve">MSK </t>
  </si>
  <si>
    <t xml:space="preserve">WO 801172589 </t>
  </si>
  <si>
    <t>HACU4240998</t>
  </si>
  <si>
    <t>Cước vận chuyển Container hàng 20' tuyến đường PAN HA - NDV. BKS: 15C17442</t>
  </si>
  <si>
    <t>Cước vận chuyển Container hàng 20' tuyến đường PAN HA - HẢI AN. BKS: 15H12925</t>
  </si>
  <si>
    <t>Cước vận chuyển Container hàng 20' tuyến đường PAN HA - NDV. BKS: 15C09877</t>
  </si>
  <si>
    <t>Cước vận chuyển Container hàng 20' tuyến đường PAN HA - VIP. BKS: 15C17442</t>
  </si>
  <si>
    <t>Cước vận chuyển Container hàng 20' tuyến đường PAN HA - VIP. BKS: 15C17301</t>
  </si>
  <si>
    <t>Cước vận chuyển Container hàng 20' tuyến đường PAN HA - VIP. BKS: 15H18552</t>
  </si>
  <si>
    <t>Cước vận chuyển Container hàng 20' tuyến đường PAN HA - VIP. BKS: 15C09877</t>
  </si>
  <si>
    <t>Cước vận chuyển Container hàng 20' tuyến đường PAN HA - VIP. BKS: 15H07788</t>
  </si>
  <si>
    <t>Cước vận chuyển Container hàng 20' tuyến đường PAN HA - VIP. BKS: 15H08574</t>
  </si>
  <si>
    <t>Cước vận chuyển Container hàng 20' tuyến đường PAN HA - NDV. BKS: 15C17301</t>
  </si>
  <si>
    <t>Cước vận chuyển Container hàng 20' tuyến đường PAN HA - VIP. BKS: 15H06892</t>
  </si>
  <si>
    <t>Cước vận chuyển Container hàng 20' tuyến đường PAN HA - NDV. BKS: 15H07524</t>
  </si>
  <si>
    <t>Cước vận chuyển Container vỏ tuyến đường NHĐV. - PAN HA. BKS: 15H07644</t>
  </si>
  <si>
    <t>Cước vận chuyển Container vỏ tuyến đường NHĐV. - PAN HA. BKS: 15H17403</t>
  </si>
  <si>
    <t>Cước vận chuyển Container hàng 20' tuyến đường PAN HA - HẢI AN. BKS: 15H17403</t>
  </si>
  <si>
    <t>Cước vận chuyển Container hàng 20' tuyến đường PAN HA - NDV. BKS: 15H07644</t>
  </si>
  <si>
    <t>Cước vận chuyển Container vỏ tuyến đường NHĐV. - PAN HA. BKS: 15H20645</t>
  </si>
  <si>
    <t>Cước vận chuyển Container hàng 20' tuyến đường PAN HA - HẢI AN. BKS: 15H20645</t>
  </si>
  <si>
    <t>Cước vận chuyển Container hàng 20' tuyến đường PAN HA - HẢI AN. BKS: 15H18552</t>
  </si>
  <si>
    <t>Cước vận chuyển Container hàng 20' tuyến đường PAN HA - HẢI AN. BKS: 15H15378</t>
  </si>
  <si>
    <t>Cước vận chuyển Container hàng 20' tuyến đường PAN HA - NDV. BKS: 15H15378</t>
  </si>
  <si>
    <t>Cước vận chuyển Container vỏ tuyến đường NHĐV. - PAN HA. BKS: 15H15378</t>
  </si>
  <si>
    <t>Cước vận chuyển Container hàng 20' tuyến đường PAN HA - NDV. BKS: 15C30649</t>
  </si>
  <si>
    <t>Cước vận chuyển Container hàng 20' tuyến đường PAN HA - NDV. BKS: 15C15033</t>
  </si>
  <si>
    <t>Cước vận chuyển Container hàng 20' tuyến đường PAN HA - HẢI AN. BKS: 15H17112</t>
  </si>
  <si>
    <t>Cước vận chuyển Container vỏ tuyến đường NHĐV. - PAN HA. BKS: 15H17112</t>
  </si>
  <si>
    <t>Cước vận chuyển Container vỏ tuyến đường HATECO - PAN HA. BKS: 15H17112</t>
  </si>
  <si>
    <t>Cước vận chuyển Container hàng 20' tuyến đường PAN HA - NDV. BKS: 15H07788</t>
  </si>
  <si>
    <t>Cước vận chuyển Container hàng 20' tuyến đường PAN HA - NDV. BKS: 15C21728</t>
  </si>
  <si>
    <t>Cước vận chuyển Container hàng 20' tuyến đường PAN HA - VIP. BKS: 15H07524</t>
  </si>
  <si>
    <t>Cước vận chuyển Container hàng 20' tuyến đường PAN HA - VIP. BKS: 15C30649</t>
  </si>
  <si>
    <t>Cước vận chuyển Container hàng 20' tuyến đường PAN HA - TÂN VŨ. BKS: 15H08574</t>
  </si>
  <si>
    <t>Cước vận chuyển Container hàng 20' tuyến đường PAN HA - NDV. BKS: 15H17712</t>
  </si>
  <si>
    <t>Cước vận chuyển Container vỏ tuyến đường PAN HA - VIP. BKS: 15C17442</t>
  </si>
  <si>
    <t>Cước vận chuyển Container vỏ tuyến đường PAN HA - VIP. BKS: 15H07644</t>
  </si>
  <si>
    <t>Cước vận chuyển Container vỏ tuyến đường PAN HA - HẢI AN. BKS: 15C17442</t>
  </si>
  <si>
    <t>Cước vận chuyển Container vỏ tuyến đường PAN HA - HẢI AN. BKS: 15H17403</t>
  </si>
  <si>
    <t>Cước vận chuyển Container vỏ tuyến đường PAN HA - HẢI AN. BKS: 15H07524</t>
  </si>
  <si>
    <t>Cước vận chuyển Container vỏ tuyến đường PAN HA - VIP. BKS: 15H06892</t>
  </si>
  <si>
    <t>Cước vận chuyển Container vỏ tuyến đường PAN HA - HẢI AN. BKS: 15H15378</t>
  </si>
  <si>
    <t>Cước vận chuyển Container vỏ tuyến đường PAN HA - MPC. BKS: 15C09877</t>
  </si>
  <si>
    <t>Cước vận chuyển Container vỏ tuyến đường PAN HA - HẢI AN. BKS: 15H07788</t>
  </si>
  <si>
    <t>Cước vận chuyển Container vỏ tuyến đường PAN HA - MPC. BKS: 15H08574</t>
  </si>
  <si>
    <t>Cước vận chuyển Container vỏ tuyến đường PAN HA - TÂN VŨ. BKS: 15H17403</t>
  </si>
  <si>
    <t>Cước vận chuyển Container vỏ tuyến đường PAN HA - MPC. BKS: 15H20645</t>
  </si>
  <si>
    <t>Cước vận chuyển Container vỏ tuyến đường PAN HA - HẢI AN. BKS: 15C21728</t>
  </si>
  <si>
    <t>Cước vận chuyển Container vỏ tuyến đường PAN HA - HẢI AN. BKS: 15H07644</t>
  </si>
  <si>
    <t>Cước vận chuyển Container vỏ tuyến đường PAN HA - HẢI AN. BKS: 15H17112</t>
  </si>
  <si>
    <t>Cước vận chuyển Container vỏ tuyến đường PAN HA - VIP. BKS: 15H20645</t>
  </si>
  <si>
    <t>Cước vận chuyển Container vỏ tuyến đường PAN HA - VIP. BKS: 15H18552</t>
  </si>
  <si>
    <t>Cước vận chuyển Container hàng 40' tuyến đường PAN HA - NDV. BKS: 15C17442</t>
  </si>
  <si>
    <t>Cước vận chuyển Container hàng 40' tuyến đường PAN HA - VIP. BKS: 15H12925</t>
  </si>
  <si>
    <t>Cước vận chuyển Container hàng 40' tuyến đường PAN HA - VIP. BKS: 15H18552</t>
  </si>
  <si>
    <t>Cước vận chuyển Container hàng 40' tuyến đường PAN HA - VIP. BKS: 15H18753</t>
  </si>
  <si>
    <t>Cước vận chuyển Container hàng 40' tuyến đường PAN HA - VIP. BKS: 15H20645</t>
  </si>
  <si>
    <t>Cước vận chuyển Container hàng 40' tuyến đường PAN HA - VIP. BKS: 15C09877</t>
  </si>
  <si>
    <t>Cước vận chuyển Container hàng 40' tuyến đường PAN HA - VIP. BKS: 15H15378</t>
  </si>
  <si>
    <t>Cước vận chuyển Container hàng 40' tuyến đường PAN HA - HẢI AN. BKS: 15H15378</t>
  </si>
  <si>
    <t>Cước vận chuyển Container hàng 40' tuyến đường PAN HA - VIP. BKS: 15H07788</t>
  </si>
  <si>
    <t>Cước vận chuyển Container hàng 40' tuyến đường PAN HA - HẢI AN. BKS: 15C30649</t>
  </si>
  <si>
    <t>Cước vận chuyển Container hàng 40' tuyến đường PAN HA - VIP. BKS: 15H08574</t>
  </si>
  <si>
    <t>Cước vận chuyển Container hàng 40' tuyến đường PAN HA - HẢI AN. BKS: 15H06892</t>
  </si>
  <si>
    <t>Cước vận chuyển Container hàng 40' tuyến đường PAN HA - NDV. BKS: 15H07135</t>
  </si>
  <si>
    <t>Cước vận chuyển Container hàng 40' tuyến đường PAN HA - HẢI AN. BKS: 15H17112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</si>
</sst>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000000000000"/>
    <numFmt numFmtId="166" formatCode="_-* #,##0_-;\-* #,##0_-;_-* &quot;-&quot;??_-;_-@_-"/>
    <numFmt numFmtId="167" formatCode="_(* #,##0_);_(* \(#,##0\);_(* &quot;-&quot;??_);_(@_)"/>
    <numFmt numFmtId="168" formatCode="_(* #,##0.0_);_(* \(#,##0.0\);_(* &quot;-&quot;??_);_(@_)"/>
    <numFmt numFmtId="169" formatCode="_-* #,##0.0_-;\-* #,##0.0_-;_-* &quot;-&quot;??_-;_-@_-"/>
    <numFmt numFmtId="170" formatCode="0.0"/>
    <numFmt numFmtId="171" formatCode="[$-1010000]d/m/yyyy;@"/>
    <numFmt numFmtId="172" formatCode="dd\/mm\/yyyy"/>
    <numFmt numFmtId="173" formatCode="#,##0.0"/>
  </numFmts>
  <fonts count="41">
    <font>
      <sz val="12"/>
      <color theme="1"/>
      <name val="Times New Roman"/>
      <charset val="134"/>
    </font>
    <font>
      <b/>
      <sz val="13"/>
      <color rgb="FF44546A"/>
      <name val="Times New Roman"/>
      <family val="1"/>
    </font>
    <font>
      <b/>
      <sz val="12"/>
      <color rgb="FF3F3F76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A7D00"/>
      <name val="Times New Roman"/>
      <family val="1"/>
    </font>
    <font>
      <sz val="11"/>
      <color rgb="FFFFFFFF"/>
      <name val="Times New Roman"/>
      <family val="1"/>
    </font>
    <font>
      <b/>
      <sz val="13"/>
      <color rgb="FFFFFFFF"/>
      <name val="Times New Roman"/>
      <family val="1"/>
    </font>
    <font>
      <i/>
      <sz val="13"/>
      <color rgb="FFFFFFFF"/>
      <name val="Times New Roman"/>
      <family val="1"/>
    </font>
    <font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name val="Times New Roman"/>
      <family val="1"/>
    </font>
    <font>
      <b/>
      <i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name val="Times New Roman"/>
      <family val="1"/>
    </font>
    <font>
      <sz val="11"/>
      <name val=".VnTime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4"/>
      <name val=".VnTime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color indexed="1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2E75B5"/>
        <bgColor rgb="FF2E75B5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1B8E1"/>
      </left>
      <right/>
      <top style="thin">
        <color rgb="FFA1B8E1"/>
      </top>
      <bottom/>
      <diagonal/>
    </border>
    <border>
      <left/>
      <right/>
      <top style="thin">
        <color rgb="FFA1B8E1"/>
      </top>
      <bottom/>
      <diagonal/>
    </border>
    <border>
      <left/>
      <right style="thin">
        <color rgb="FFA1B8E1"/>
      </right>
      <top style="thin">
        <color rgb="FFA1B8E1"/>
      </top>
      <bottom/>
      <diagonal/>
    </border>
    <border>
      <left style="thin">
        <color rgb="FFA1B8E1"/>
      </left>
      <right/>
      <top/>
      <bottom/>
      <diagonal/>
    </border>
    <border>
      <left/>
      <right style="thin">
        <color rgb="FFA1B8E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2E75B5"/>
      </left>
      <right/>
      <top style="thin">
        <color rgb="FF2E75B5"/>
      </top>
      <bottom style="thin">
        <color rgb="FF2E75B5"/>
      </bottom>
      <diagonal/>
    </border>
    <border>
      <left/>
      <right/>
      <top style="thin">
        <color rgb="FF2E75B5"/>
      </top>
      <bottom style="thin">
        <color rgb="FF2E75B5"/>
      </bottom>
      <diagonal/>
    </border>
    <border>
      <left/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36" fillId="0" borderId="0"/>
    <xf numFmtId="0" fontId="23" fillId="0" borderId="0"/>
    <xf numFmtId="0" fontId="37" fillId="0" borderId="0"/>
    <xf numFmtId="0" fontId="36" fillId="0" borderId="0"/>
    <xf numFmtId="0" fontId="36" fillId="0" borderId="0"/>
    <xf numFmtId="0" fontId="38" fillId="0" borderId="0"/>
    <xf numFmtId="0" fontId="39" fillId="0" borderId="0"/>
  </cellStyleXfs>
  <cellXfs count="362">
    <xf numFmtId="0" fontId="0" fillId="0" borderId="0" xfId="0"/>
    <xf numFmtId="0" fontId="1" fillId="0" borderId="1" xfId="9" applyFont="1" applyBorder="1"/>
    <xf numFmtId="3" fontId="2" fillId="2" borderId="2" xfId="9" applyNumberFormat="1" applyFont="1" applyFill="1" applyBorder="1" applyAlignment="1">
      <alignment horizontal="right" vertical="center"/>
    </xf>
    <xf numFmtId="0" fontId="3" fillId="0" borderId="3" xfId="9" applyFont="1" applyBorder="1"/>
    <xf numFmtId="0" fontId="3" fillId="0" borderId="4" xfId="9" applyFont="1" applyBorder="1"/>
    <xf numFmtId="0" fontId="1" fillId="0" borderId="1" xfId="9" applyFont="1" applyBorder="1" applyAlignment="1">
      <alignment vertical="center"/>
    </xf>
    <xf numFmtId="3" fontId="4" fillId="0" borderId="5" xfId="9" applyNumberFormat="1" applyFont="1" applyBorder="1" applyAlignment="1">
      <alignment vertical="center"/>
    </xf>
    <xf numFmtId="165" fontId="4" fillId="0" borderId="6" xfId="9" applyNumberFormat="1" applyFont="1" applyBorder="1" applyAlignment="1">
      <alignment horizontal="right" vertical="center"/>
    </xf>
    <xf numFmtId="0" fontId="4" fillId="3" borderId="6" xfId="9" applyFont="1" applyFill="1" applyBorder="1" applyAlignment="1">
      <alignment horizontal="center" vertical="center"/>
    </xf>
    <xf numFmtId="0" fontId="4" fillId="4" borderId="6" xfId="9" applyFont="1" applyFill="1" applyBorder="1" applyAlignment="1">
      <alignment horizontal="center" vertical="center"/>
    </xf>
    <xf numFmtId="0" fontId="4" fillId="5" borderId="6" xfId="9" applyFont="1" applyFill="1" applyBorder="1" applyAlignment="1">
      <alignment horizontal="center" vertical="center"/>
    </xf>
    <xf numFmtId="0" fontId="4" fillId="6" borderId="6" xfId="9" applyFont="1" applyFill="1" applyBorder="1" applyAlignment="1">
      <alignment horizontal="center" vertical="center"/>
    </xf>
    <xf numFmtId="0" fontId="4" fillId="6" borderId="7" xfId="9" applyFont="1" applyFill="1" applyBorder="1" applyAlignment="1">
      <alignment horizontal="center" vertical="center"/>
    </xf>
    <xf numFmtId="0" fontId="3" fillId="5" borderId="8" xfId="9" applyFont="1" applyFill="1" applyBorder="1" applyAlignment="1">
      <alignment vertical="center"/>
    </xf>
    <xf numFmtId="0" fontId="3" fillId="5" borderId="0" xfId="9" applyFont="1" applyFill="1" applyAlignment="1">
      <alignment vertical="center"/>
    </xf>
    <xf numFmtId="0" fontId="3" fillId="3" borderId="0" xfId="9" applyFont="1" applyFill="1" applyAlignment="1">
      <alignment horizontal="center" vertical="center"/>
    </xf>
    <xf numFmtId="0" fontId="3" fillId="4" borderId="0" xfId="9" applyFont="1" applyFill="1" applyAlignment="1">
      <alignment horizontal="center" vertical="center"/>
    </xf>
    <xf numFmtId="0" fontId="3" fillId="5" borderId="0" xfId="9" applyFont="1" applyFill="1" applyAlignment="1">
      <alignment horizontal="center" vertical="center"/>
    </xf>
    <xf numFmtId="0" fontId="3" fillId="6" borderId="0" xfId="9" applyFont="1" applyFill="1" applyAlignment="1">
      <alignment horizontal="center" vertical="center"/>
    </xf>
    <xf numFmtId="0" fontId="3" fillId="6" borderId="9" xfId="9" applyFont="1" applyFill="1" applyBorder="1" applyAlignment="1">
      <alignment horizontal="center" vertical="center"/>
    </xf>
    <xf numFmtId="0" fontId="3" fillId="7" borderId="8" xfId="9" applyFont="1" applyFill="1" applyBorder="1" applyAlignment="1">
      <alignment vertical="center"/>
    </xf>
    <xf numFmtId="0" fontId="3" fillId="7" borderId="0" xfId="9" applyFont="1" applyFill="1" applyAlignment="1">
      <alignment vertical="center"/>
    </xf>
    <xf numFmtId="0" fontId="3" fillId="8" borderId="10" xfId="9" applyFont="1" applyFill="1" applyBorder="1" applyAlignment="1">
      <alignment horizontal="center" vertical="center"/>
    </xf>
    <xf numFmtId="0" fontId="3" fillId="9" borderId="8" xfId="9" applyFont="1" applyFill="1" applyBorder="1" applyAlignment="1">
      <alignment vertical="center"/>
    </xf>
    <xf numFmtId="0" fontId="3" fillId="9" borderId="0" xfId="9" applyFont="1" applyFill="1" applyAlignment="1">
      <alignment vertical="center"/>
    </xf>
    <xf numFmtId="0" fontId="5" fillId="10" borderId="2" xfId="9" applyFont="1" applyFill="1" applyBorder="1" applyAlignment="1">
      <alignment horizontal="right"/>
    </xf>
    <xf numFmtId="0" fontId="5" fillId="10" borderId="3" xfId="9" applyFont="1" applyFill="1" applyBorder="1" applyAlignment="1">
      <alignment horizontal="right"/>
    </xf>
    <xf numFmtId="0" fontId="5" fillId="10" borderId="4" xfId="9" applyFont="1" applyFill="1" applyBorder="1" applyAlignment="1">
      <alignment horizontal="right"/>
    </xf>
    <xf numFmtId="0" fontId="6" fillId="11" borderId="8" xfId="9" applyFont="1" applyFill="1" applyBorder="1" applyAlignment="1">
      <alignment vertical="center"/>
    </xf>
    <xf numFmtId="0" fontId="6" fillId="11" borderId="0" xfId="9" applyFont="1" applyFill="1"/>
    <xf numFmtId="0" fontId="5" fillId="10" borderId="11" xfId="9" applyFont="1" applyFill="1" applyBorder="1" applyAlignment="1">
      <alignment horizontal="right"/>
    </xf>
    <xf numFmtId="0" fontId="5" fillId="10" borderId="0" xfId="9" applyFont="1" applyFill="1" applyAlignment="1">
      <alignment horizontal="right"/>
    </xf>
    <xf numFmtId="0" fontId="5" fillId="10" borderId="12" xfId="9" applyFont="1" applyFill="1" applyBorder="1" applyAlignment="1">
      <alignment horizontal="right"/>
    </xf>
    <xf numFmtId="0" fontId="7" fillId="12" borderId="13" xfId="9" applyFont="1" applyFill="1" applyBorder="1" applyAlignment="1">
      <alignment horizontal="right" vertical="center"/>
    </xf>
    <xf numFmtId="0" fontId="8" fillId="12" borderId="14" xfId="9" applyFont="1" applyFill="1" applyBorder="1" applyAlignment="1">
      <alignment vertical="center"/>
    </xf>
    <xf numFmtId="0" fontId="6" fillId="12" borderId="14" xfId="9" applyFont="1" applyFill="1" applyBorder="1" applyAlignment="1">
      <alignment horizontal="center" vertical="center"/>
    </xf>
    <xf numFmtId="0" fontId="6" fillId="12" borderId="15" xfId="9" applyFont="1" applyFill="1" applyBorder="1" applyAlignment="1">
      <alignment horizontal="center" vertical="center"/>
    </xf>
    <xf numFmtId="0" fontId="3" fillId="13" borderId="0" xfId="0" applyFont="1" applyFill="1"/>
    <xf numFmtId="0" fontId="9" fillId="13" borderId="0" xfId="0" applyFont="1" applyFill="1"/>
    <xf numFmtId="0" fontId="3" fillId="14" borderId="0" xfId="0" applyFont="1" applyFill="1"/>
    <xf numFmtId="0" fontId="10" fillId="0" borderId="0" xfId="0" applyFont="1"/>
    <xf numFmtId="0" fontId="11" fillId="15" borderId="0" xfId="0" applyFont="1" applyFill="1"/>
    <xf numFmtId="0" fontId="11" fillId="16" borderId="0" xfId="0" applyFont="1" applyFill="1"/>
    <xf numFmtId="0" fontId="12" fillId="0" borderId="0" xfId="0" applyFont="1"/>
    <xf numFmtId="0" fontId="9" fillId="15" borderId="16" xfId="0" applyFont="1" applyFill="1" applyBorder="1"/>
    <xf numFmtId="0" fontId="9" fillId="15" borderId="17" xfId="0" applyFont="1" applyFill="1" applyBorder="1"/>
    <xf numFmtId="0" fontId="9" fillId="15" borderId="18" xfId="0" applyFont="1" applyFill="1" applyBorder="1"/>
    <xf numFmtId="0" fontId="13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horizontal="center" vertical="center"/>
    </xf>
    <xf numFmtId="0" fontId="3" fillId="15" borderId="19" xfId="0" applyFont="1" applyFill="1" applyBorder="1"/>
    <xf numFmtId="0" fontId="3" fillId="15" borderId="0" xfId="0" applyFont="1" applyFill="1"/>
    <xf numFmtId="0" fontId="3" fillId="15" borderId="20" xfId="0" applyFont="1" applyFill="1" applyBorder="1"/>
    <xf numFmtId="0" fontId="3" fillId="0" borderId="0" xfId="0" applyFont="1" applyAlignment="1">
      <alignment wrapText="1"/>
    </xf>
    <xf numFmtId="0" fontId="4" fillId="13" borderId="0" xfId="0" applyFont="1" applyFill="1"/>
    <xf numFmtId="164" fontId="3" fillId="13" borderId="0" xfId="0" applyNumberFormat="1" applyFont="1" applyFill="1"/>
    <xf numFmtId="0" fontId="12" fillId="15" borderId="25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 wrapText="1"/>
    </xf>
    <xf numFmtId="0" fontId="13" fillId="13" borderId="25" xfId="0" applyFont="1" applyFill="1" applyBorder="1" applyAlignment="1">
      <alignment horizontal="center" vertical="center" wrapText="1"/>
    </xf>
    <xf numFmtId="0" fontId="19" fillId="13" borderId="25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center" vertical="center" wrapText="1"/>
    </xf>
    <xf numFmtId="0" fontId="20" fillId="14" borderId="25" xfId="0" applyFont="1" applyFill="1" applyBorder="1" applyAlignment="1">
      <alignment horizontal="center" vertical="center" wrapText="1"/>
    </xf>
    <xf numFmtId="0" fontId="20" fillId="17" borderId="25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2" fillId="16" borderId="25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 wrapText="1"/>
    </xf>
    <xf numFmtId="166" fontId="3" fillId="13" borderId="25" xfId="1" applyNumberFormat="1" applyFont="1" applyFill="1" applyBorder="1" applyAlignment="1">
      <alignment horizontal="center" vertical="center" wrapText="1"/>
    </xf>
    <xf numFmtId="166" fontId="16" fillId="13" borderId="25" xfId="1" applyNumberFormat="1" applyFont="1" applyFill="1" applyBorder="1" applyAlignment="1">
      <alignment horizontal="center" vertical="center" wrapText="1"/>
    </xf>
    <xf numFmtId="166" fontId="9" fillId="13" borderId="25" xfId="1" applyNumberFormat="1" applyFont="1" applyFill="1" applyBorder="1" applyAlignment="1">
      <alignment horizontal="center" vertical="center" wrapText="1"/>
    </xf>
    <xf numFmtId="166" fontId="9" fillId="13" borderId="22" xfId="1" applyNumberFormat="1" applyFont="1" applyFill="1" applyBorder="1" applyAlignment="1">
      <alignment horizontal="center" vertical="center" wrapText="1"/>
    </xf>
    <xf numFmtId="166" fontId="21" fillId="15" borderId="25" xfId="1" applyNumberFormat="1" applyFont="1" applyFill="1" applyBorder="1" applyAlignment="1">
      <alignment horizontal="center" vertical="center" wrapText="1"/>
    </xf>
    <xf numFmtId="166" fontId="21" fillId="14" borderId="26" xfId="1" applyNumberFormat="1" applyFont="1" applyFill="1" applyBorder="1" applyAlignment="1">
      <alignment horizontal="center" vertical="center" wrapText="1"/>
    </xf>
    <xf numFmtId="166" fontId="3" fillId="13" borderId="25" xfId="0" applyNumberFormat="1" applyFont="1" applyFill="1" applyBorder="1" applyAlignment="1">
      <alignment vertical="center"/>
    </xf>
    <xf numFmtId="166" fontId="11" fillId="0" borderId="25" xfId="1" applyNumberFormat="1" applyFont="1" applyFill="1" applyBorder="1" applyAlignment="1">
      <alignment horizontal="center" vertical="center" wrapText="1"/>
    </xf>
    <xf numFmtId="166" fontId="11" fillId="15" borderId="25" xfId="1" applyNumberFormat="1" applyFont="1" applyFill="1" applyBorder="1" applyAlignment="1">
      <alignment horizontal="center" vertical="center" wrapText="1"/>
    </xf>
    <xf numFmtId="10" fontId="11" fillId="16" borderId="25" xfId="1" applyNumberFormat="1" applyFont="1" applyFill="1" applyBorder="1" applyAlignment="1">
      <alignment horizontal="center" vertical="center" wrapText="1"/>
    </xf>
    <xf numFmtId="166" fontId="12" fillId="0" borderId="25" xfId="1" applyNumberFormat="1" applyFont="1" applyFill="1" applyBorder="1" applyAlignment="1">
      <alignment horizontal="center" vertical="center" wrapText="1"/>
    </xf>
    <xf numFmtId="166" fontId="21" fillId="14" borderId="25" xfId="1" applyNumberFormat="1" applyFont="1" applyFill="1" applyBorder="1" applyAlignment="1">
      <alignment horizontal="center" vertical="center" wrapText="1"/>
    </xf>
    <xf numFmtId="166" fontId="9" fillId="18" borderId="25" xfId="1" applyNumberFormat="1" applyFont="1" applyFill="1" applyBorder="1" applyAlignment="1">
      <alignment horizontal="center" vertical="center" wrapText="1"/>
    </xf>
    <xf numFmtId="166" fontId="9" fillId="18" borderId="22" xfId="1" applyNumberFormat="1" applyFont="1" applyFill="1" applyBorder="1" applyAlignment="1">
      <alignment horizontal="center" vertical="center" wrapText="1"/>
    </xf>
    <xf numFmtId="0" fontId="3" fillId="13" borderId="25" xfId="0" applyFont="1" applyFill="1" applyBorder="1"/>
    <xf numFmtId="166" fontId="11" fillId="16" borderId="25" xfId="1" applyNumberFormat="1" applyFont="1" applyFill="1" applyBorder="1" applyAlignment="1">
      <alignment horizontal="center" vertical="center" wrapText="1"/>
    </xf>
    <xf numFmtId="0" fontId="21" fillId="15" borderId="19" xfId="0" applyFont="1" applyFill="1" applyBorder="1"/>
    <xf numFmtId="0" fontId="21" fillId="15" borderId="0" xfId="0" applyFont="1" applyFill="1"/>
    <xf numFmtId="0" fontId="21" fillId="15" borderId="20" xfId="0" applyFont="1" applyFill="1" applyBorder="1"/>
    <xf numFmtId="166" fontId="11" fillId="0" borderId="0" xfId="1" applyNumberFormat="1" applyFont="1" applyFill="1" applyBorder="1" applyAlignment="1">
      <alignment horizontal="center" vertical="center" wrapText="1"/>
    </xf>
    <xf numFmtId="166" fontId="11" fillId="15" borderId="0" xfId="0" applyNumberFormat="1" applyFont="1" applyFill="1"/>
    <xf numFmtId="166" fontId="12" fillId="0" borderId="0" xfId="0" applyNumberFormat="1" applyFont="1"/>
    <xf numFmtId="0" fontId="18" fillId="15" borderId="25" xfId="0" applyFont="1" applyFill="1" applyBorder="1" applyAlignment="1">
      <alignment horizontal="center" vertical="center" wrapText="1"/>
    </xf>
    <xf numFmtId="166" fontId="3" fillId="13" borderId="25" xfId="0" applyNumberFormat="1" applyFont="1" applyFill="1" applyBorder="1"/>
    <xf numFmtId="166" fontId="9" fillId="19" borderId="25" xfId="1" applyNumberFormat="1" applyFont="1" applyFill="1" applyBorder="1" applyAlignment="1">
      <alignment horizontal="center" vertical="center" wrapText="1"/>
    </xf>
    <xf numFmtId="166" fontId="9" fillId="19" borderId="22" xfId="1" applyNumberFormat="1" applyFont="1" applyFill="1" applyBorder="1" applyAlignment="1">
      <alignment horizontal="center" vertical="center" wrapText="1"/>
    </xf>
    <xf numFmtId="166" fontId="16" fillId="15" borderId="25" xfId="1" applyNumberFormat="1" applyFont="1" applyFill="1" applyBorder="1" applyAlignment="1">
      <alignment horizontal="center" vertical="center" wrapText="1"/>
    </xf>
    <xf numFmtId="166" fontId="9" fillId="13" borderId="0" xfId="0" applyNumberFormat="1" applyFont="1" applyFill="1"/>
    <xf numFmtId="166" fontId="10" fillId="0" borderId="0" xfId="0" applyNumberFormat="1" applyFont="1"/>
    <xf numFmtId="0" fontId="22" fillId="0" borderId="0" xfId="0" applyFont="1"/>
    <xf numFmtId="166" fontId="0" fillId="0" borderId="0" xfId="1" applyNumberFormat="1" applyFont="1"/>
    <xf numFmtId="166" fontId="22" fillId="0" borderId="0" xfId="1" applyNumberFormat="1" applyFont="1"/>
    <xf numFmtId="166" fontId="0" fillId="0" borderId="0" xfId="0" applyNumberFormat="1"/>
    <xf numFmtId="0" fontId="23" fillId="0" borderId="0" xfId="0" applyFont="1"/>
    <xf numFmtId="0" fontId="0" fillId="0" borderId="0" xfId="0" applyAlignment="1">
      <alignment horizontal="center"/>
    </xf>
    <xf numFmtId="43" fontId="0" fillId="0" borderId="0" xfId="0" applyNumberFormat="1"/>
    <xf numFmtId="43" fontId="0" fillId="0" borderId="0" xfId="1" applyFont="1"/>
    <xf numFmtId="0" fontId="0" fillId="0" borderId="17" xfId="0" applyBorder="1"/>
    <xf numFmtId="166" fontId="0" fillId="0" borderId="18" xfId="0" applyNumberFormat="1" applyBorder="1"/>
    <xf numFmtId="167" fontId="0" fillId="0" borderId="0" xfId="0" applyNumberFormat="1"/>
    <xf numFmtId="0" fontId="0" fillId="0" borderId="21" xfId="0" applyBorder="1" applyAlignment="1">
      <alignment horizontal="left"/>
    </xf>
    <xf numFmtId="166" fontId="0" fillId="0" borderId="18" xfId="0" applyNumberFormat="1" applyBorder="1" applyAlignment="1">
      <alignment horizontal="center"/>
    </xf>
    <xf numFmtId="164" fontId="0" fillId="0" borderId="0" xfId="0" applyNumberFormat="1"/>
    <xf numFmtId="0" fontId="0" fillId="0" borderId="29" xfId="0" applyBorder="1" applyAlignment="1">
      <alignment horizontal="left"/>
    </xf>
    <xf numFmtId="166" fontId="0" fillId="0" borderId="20" xfId="0" applyNumberForma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5" xfId="0" applyBorder="1" applyAlignment="1">
      <alignment horizontal="left"/>
    </xf>
    <xf numFmtId="166" fontId="0" fillId="0" borderId="28" xfId="0" applyNumberFormat="1" applyBorder="1" applyAlignment="1">
      <alignment horizontal="center"/>
    </xf>
    <xf numFmtId="0" fontId="3" fillId="0" borderId="0" xfId="9" applyFont="1"/>
    <xf numFmtId="168" fontId="3" fillId="0" borderId="0" xfId="9" applyNumberFormat="1" applyFont="1"/>
    <xf numFmtId="0" fontId="24" fillId="0" borderId="0" xfId="9" applyFont="1"/>
    <xf numFmtId="166" fontId="3" fillId="0" borderId="0" xfId="1" applyNumberFormat="1" applyFont="1"/>
    <xf numFmtId="167" fontId="3" fillId="0" borderId="0" xfId="3" applyNumberFormat="1" applyFont="1"/>
    <xf numFmtId="0" fontId="4" fillId="0" borderId="0" xfId="9" applyFont="1" applyAlignment="1">
      <alignment vertical="center"/>
    </xf>
    <xf numFmtId="0" fontId="13" fillId="0" borderId="0" xfId="9" applyFont="1" applyAlignment="1">
      <alignment horizontal="center" vertical="center"/>
    </xf>
    <xf numFmtId="0" fontId="13" fillId="0" borderId="0" xfId="9" applyFont="1" applyAlignment="1">
      <alignment vertical="center"/>
    </xf>
    <xf numFmtId="168" fontId="13" fillId="0" borderId="0" xfId="3" applyNumberFormat="1" applyFont="1" applyFill="1" applyAlignment="1">
      <alignment vertical="center"/>
    </xf>
    <xf numFmtId="0" fontId="25" fillId="0" borderId="0" xfId="9" applyFont="1" applyAlignment="1">
      <alignment vertical="center"/>
    </xf>
    <xf numFmtId="166" fontId="13" fillId="0" borderId="0" xfId="1" applyNumberFormat="1" applyFont="1" applyFill="1" applyAlignment="1">
      <alignment horizontal="center" vertical="center"/>
    </xf>
    <xf numFmtId="167" fontId="13" fillId="0" borderId="0" xfId="3" applyNumberFormat="1" applyFont="1" applyFill="1" applyAlignment="1">
      <alignment vertical="center"/>
    </xf>
    <xf numFmtId="0" fontId="27" fillId="0" borderId="0" xfId="9" applyFont="1"/>
    <xf numFmtId="0" fontId="4" fillId="0" borderId="0" xfId="9" applyFont="1" applyAlignment="1">
      <alignment horizontal="left" vertical="center"/>
    </xf>
    <xf numFmtId="0" fontId="16" fillId="0" borderId="0" xfId="9" applyFont="1" applyAlignment="1">
      <alignment horizontal="center"/>
    </xf>
    <xf numFmtId="168" fontId="16" fillId="0" borderId="0" xfId="3" applyNumberFormat="1" applyFont="1" applyFill="1" applyAlignment="1">
      <alignment horizontal="center"/>
    </xf>
    <xf numFmtId="0" fontId="28" fillId="0" borderId="0" xfId="9" applyFont="1" applyAlignment="1">
      <alignment horizontal="center"/>
    </xf>
    <xf numFmtId="166" fontId="27" fillId="0" borderId="0" xfId="1" applyNumberFormat="1" applyFont="1" applyFill="1" applyAlignment="1">
      <alignment horizontal="center"/>
    </xf>
    <xf numFmtId="167" fontId="27" fillId="0" borderId="0" xfId="3" applyNumberFormat="1" applyFont="1" applyFill="1" applyAlignment="1">
      <alignment horizontal="center"/>
    </xf>
    <xf numFmtId="167" fontId="29" fillId="0" borderId="0" xfId="3" applyNumberFormat="1" applyFont="1" applyFill="1"/>
    <xf numFmtId="0" fontId="27" fillId="0" borderId="0" xfId="9" applyFont="1" applyAlignment="1">
      <alignment horizontal="left"/>
    </xf>
    <xf numFmtId="0" fontId="3" fillId="0" borderId="0" xfId="9" applyFont="1" applyAlignment="1">
      <alignment horizontal="left" vertical="center"/>
    </xf>
    <xf numFmtId="14" fontId="4" fillId="0" borderId="0" xfId="9" applyNumberFormat="1" applyFont="1" applyAlignment="1">
      <alignment horizontal="left" vertical="center"/>
    </xf>
    <xf numFmtId="49" fontId="3" fillId="0" borderId="0" xfId="9" applyNumberFormat="1" applyFont="1" applyAlignment="1">
      <alignment horizontal="left" vertical="center"/>
    </xf>
    <xf numFmtId="0" fontId="29" fillId="0" borderId="25" xfId="9" applyFont="1" applyBorder="1" applyAlignment="1">
      <alignment horizontal="center" vertical="center"/>
    </xf>
    <xf numFmtId="168" fontId="4" fillId="0" borderId="25" xfId="3" applyNumberFormat="1" applyFont="1" applyFill="1" applyBorder="1" applyAlignment="1">
      <alignment horizontal="center" vertical="center"/>
    </xf>
    <xf numFmtId="0" fontId="27" fillId="0" borderId="25" xfId="9" applyFont="1" applyBorder="1" applyAlignment="1">
      <alignment horizontal="center" vertical="center"/>
    </xf>
    <xf numFmtId="0" fontId="3" fillId="13" borderId="25" xfId="9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5" xfId="9" applyFont="1" applyBorder="1" applyAlignment="1">
      <alignment horizontal="center" vertical="center" wrapText="1"/>
    </xf>
    <xf numFmtId="168" fontId="3" fillId="0" borderId="25" xfId="3" applyNumberFormat="1" applyFont="1" applyFill="1" applyBorder="1" applyAlignment="1">
      <alignment horizontal="center" vertical="center"/>
    </xf>
    <xf numFmtId="1" fontId="29" fillId="0" borderId="25" xfId="1" applyNumberFormat="1" applyFont="1" applyFill="1" applyBorder="1" applyAlignment="1">
      <alignment horizontal="center" vertical="center" wrapText="1"/>
    </xf>
    <xf numFmtId="166" fontId="27" fillId="0" borderId="25" xfId="1" applyNumberFormat="1" applyFont="1" applyFill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horizontal="center" vertical="center"/>
    </xf>
    <xf numFmtId="167" fontId="27" fillId="0" borderId="25" xfId="3" applyNumberFormat="1" applyFont="1" applyFill="1" applyBorder="1" applyAlignment="1">
      <alignment vertical="center"/>
    </xf>
    <xf numFmtId="167" fontId="3" fillId="0" borderId="0" xfId="9" applyNumberFormat="1" applyFont="1"/>
    <xf numFmtId="0" fontId="30" fillId="0" borderId="25" xfId="9" applyFont="1" applyBorder="1" applyAlignment="1">
      <alignment horizontal="center" vertical="center" wrapText="1"/>
    </xf>
    <xf numFmtId="167" fontId="3" fillId="13" borderId="25" xfId="3" applyNumberFormat="1" applyFont="1" applyFill="1" applyBorder="1"/>
    <xf numFmtId="0" fontId="3" fillId="16" borderId="25" xfId="9" applyFont="1" applyFill="1" applyBorder="1" applyAlignment="1">
      <alignment horizontal="center" vertical="center"/>
    </xf>
    <xf numFmtId="0" fontId="27" fillId="16" borderId="25" xfId="0" applyFont="1" applyFill="1" applyBorder="1" applyAlignment="1">
      <alignment horizontal="center" vertical="center"/>
    </xf>
    <xf numFmtId="0" fontId="27" fillId="13" borderId="25" xfId="9" applyFont="1" applyFill="1" applyBorder="1" applyAlignment="1">
      <alignment horizontal="center" vertical="center"/>
    </xf>
    <xf numFmtId="167" fontId="3" fillId="13" borderId="25" xfId="3" applyNumberFormat="1" applyFont="1" applyFill="1" applyBorder="1" applyAlignment="1">
      <alignment horizontal="left" vertical="center"/>
    </xf>
    <xf numFmtId="167" fontId="27" fillId="0" borderId="25" xfId="3" applyNumberFormat="1" applyFont="1" applyFill="1" applyBorder="1" applyAlignment="1">
      <alignment horizontal="center" vertical="center" wrapText="1"/>
    </xf>
    <xf numFmtId="168" fontId="29" fillId="0" borderId="25" xfId="3" applyNumberFormat="1" applyFont="1" applyFill="1" applyBorder="1" applyAlignment="1">
      <alignment horizontal="center" vertical="center"/>
    </xf>
    <xf numFmtId="164" fontId="31" fillId="0" borderId="25" xfId="3" applyFont="1" applyFill="1" applyBorder="1" applyAlignment="1">
      <alignment horizontal="center" vertical="center"/>
    </xf>
    <xf numFmtId="166" fontId="4" fillId="0" borderId="25" xfId="1" applyNumberFormat="1" applyFont="1" applyFill="1" applyBorder="1" applyAlignment="1">
      <alignment horizontal="center" vertical="center"/>
    </xf>
    <xf numFmtId="168" fontId="16" fillId="0" borderId="25" xfId="3" applyNumberFormat="1" applyFont="1" applyFill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166" fontId="13" fillId="0" borderId="25" xfId="1" applyNumberFormat="1" applyFont="1" applyFill="1" applyBorder="1" applyAlignment="1">
      <alignment horizontal="center" vertical="center"/>
    </xf>
    <xf numFmtId="167" fontId="13" fillId="0" borderId="25" xfId="3" applyNumberFormat="1" applyFont="1" applyFill="1" applyBorder="1" applyAlignment="1">
      <alignment horizontal="center" vertical="center"/>
    </xf>
    <xf numFmtId="166" fontId="13" fillId="0" borderId="25" xfId="1" applyNumberFormat="1" applyFont="1" applyFill="1" applyBorder="1" applyAlignment="1">
      <alignment vertical="center"/>
    </xf>
    <xf numFmtId="167" fontId="29" fillId="0" borderId="25" xfId="3" applyNumberFormat="1" applyFont="1" applyFill="1" applyBorder="1" applyAlignment="1">
      <alignment vertical="center"/>
    </xf>
    <xf numFmtId="166" fontId="3" fillId="0" borderId="0" xfId="9" applyNumberFormat="1" applyFont="1"/>
    <xf numFmtId="168" fontId="27" fillId="0" borderId="25" xfId="3" applyNumberFormat="1" applyFont="1" applyFill="1" applyBorder="1" applyAlignment="1">
      <alignment horizontal="center" vertical="center"/>
    </xf>
    <xf numFmtId="0" fontId="30" fillId="0" borderId="25" xfId="9" applyFont="1" applyBorder="1" applyAlignment="1">
      <alignment horizontal="center" vertical="center"/>
    </xf>
    <xf numFmtId="166" fontId="29" fillId="0" borderId="25" xfId="1" applyNumberFormat="1" applyFont="1" applyFill="1" applyBorder="1" applyAlignment="1">
      <alignment horizontal="center" vertical="center"/>
    </xf>
    <xf numFmtId="167" fontId="29" fillId="0" borderId="25" xfId="3" applyNumberFormat="1" applyFont="1" applyFill="1" applyBorder="1" applyAlignment="1">
      <alignment horizontal="center" vertical="center"/>
    </xf>
    <xf numFmtId="166" fontId="29" fillId="0" borderId="25" xfId="1" applyNumberFormat="1" applyFont="1" applyFill="1" applyBorder="1" applyAlignment="1">
      <alignment vertical="center"/>
    </xf>
    <xf numFmtId="0" fontId="31" fillId="0" borderId="0" xfId="9" applyFont="1" applyAlignment="1">
      <alignment horizontal="right" vertical="center"/>
    </xf>
    <xf numFmtId="0" fontId="31" fillId="0" borderId="0" xfId="9" applyFont="1" applyAlignment="1">
      <alignment horizontal="left" vertical="center"/>
    </xf>
    <xf numFmtId="0" fontId="31" fillId="0" borderId="0" xfId="9" applyFont="1" applyAlignment="1">
      <alignment vertical="center"/>
    </xf>
    <xf numFmtId="168" fontId="31" fillId="0" borderId="0" xfId="3" applyNumberFormat="1" applyFont="1" applyAlignment="1">
      <alignment vertical="center"/>
    </xf>
    <xf numFmtId="166" fontId="31" fillId="0" borderId="0" xfId="1" applyNumberFormat="1" applyFont="1" applyAlignment="1">
      <alignment horizontal="center" vertical="center"/>
    </xf>
    <xf numFmtId="167" fontId="31" fillId="0" borderId="0" xfId="3" applyNumberFormat="1" applyFont="1" applyFill="1" applyAlignment="1">
      <alignment vertical="center"/>
    </xf>
    <xf numFmtId="168" fontId="30" fillId="0" borderId="0" xfId="3" applyNumberFormat="1" applyFont="1" applyFill="1" applyAlignment="1">
      <alignment horizontal="center" vertical="center"/>
    </xf>
    <xf numFmtId="168" fontId="4" fillId="0" borderId="0" xfId="3" applyNumberFormat="1" applyFont="1" applyFill="1" applyAlignment="1">
      <alignment vertical="center"/>
    </xf>
    <xf numFmtId="168" fontId="4" fillId="0" borderId="0" xfId="9" applyNumberFormat="1" applyFont="1" applyAlignment="1">
      <alignment vertical="center"/>
    </xf>
    <xf numFmtId="0" fontId="32" fillId="0" borderId="0" xfId="9" applyFont="1" applyAlignment="1">
      <alignment vertical="center"/>
    </xf>
    <xf numFmtId="166" fontId="4" fillId="0" borderId="0" xfId="1" applyNumberFormat="1" applyFont="1" applyFill="1" applyAlignment="1">
      <alignment vertical="center"/>
    </xf>
    <xf numFmtId="167" fontId="4" fillId="0" borderId="0" xfId="3" applyNumberFormat="1" applyFont="1" applyFill="1" applyAlignment="1">
      <alignment vertical="center"/>
    </xf>
    <xf numFmtId="167" fontId="29" fillId="0" borderId="0" xfId="3" applyNumberFormat="1" applyFont="1" applyFill="1" applyAlignment="1">
      <alignment vertical="center"/>
    </xf>
    <xf numFmtId="167" fontId="3" fillId="0" borderId="0" xfId="3" applyNumberFormat="1" applyFont="1" applyFill="1"/>
    <xf numFmtId="167" fontId="24" fillId="0" borderId="0" xfId="9" applyNumberFormat="1" applyFont="1"/>
    <xf numFmtId="0" fontId="33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169" fontId="4" fillId="0" borderId="0" xfId="1" applyNumberFormat="1" applyFont="1" applyFill="1"/>
    <xf numFmtId="166" fontId="34" fillId="0" borderId="0" xfId="1" applyNumberFormat="1" applyFont="1" applyFill="1"/>
    <xf numFmtId="0" fontId="4" fillId="0" borderId="0" xfId="13" applyFont="1"/>
    <xf numFmtId="14" fontId="4" fillId="0" borderId="0" xfId="9" applyNumberFormat="1" applyFont="1" applyAlignment="1">
      <alignment vertical="center"/>
    </xf>
    <xf numFmtId="1" fontId="4" fillId="0" borderId="0" xfId="9" applyNumberFormat="1" applyFont="1" applyAlignment="1">
      <alignment vertical="center"/>
    </xf>
    <xf numFmtId="1" fontId="4" fillId="0" borderId="0" xfId="9" applyNumberFormat="1" applyFont="1" applyAlignment="1">
      <alignment horizontal="center" vertical="center"/>
    </xf>
    <xf numFmtId="0" fontId="4" fillId="0" borderId="0" xfId="9" applyFont="1" applyAlignment="1">
      <alignment horizontal="center" vertical="center"/>
    </xf>
    <xf numFmtId="170" fontId="4" fillId="0" borderId="0" xfId="9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3" fillId="0" borderId="0" xfId="1" applyNumberFormat="1" applyFont="1" applyFill="1" applyAlignment="1">
      <alignment horizontal="right"/>
    </xf>
    <xf numFmtId="166" fontId="4" fillId="0" borderId="0" xfId="1" applyNumberFormat="1" applyFont="1" applyFill="1" applyAlignment="1">
      <alignment horizontal="right"/>
    </xf>
    <xf numFmtId="167" fontId="4" fillId="0" borderId="0" xfId="3" applyNumberFormat="1" applyFont="1" applyFill="1" applyAlignment="1">
      <alignment horizontal="center" vertical="center"/>
    </xf>
    <xf numFmtId="167" fontId="3" fillId="0" borderId="0" xfId="3" applyNumberFormat="1" applyFont="1" applyFill="1" applyAlignment="1">
      <alignment horizontal="center"/>
    </xf>
    <xf numFmtId="0" fontId="3" fillId="0" borderId="0" xfId="13" applyFont="1"/>
    <xf numFmtId="0" fontId="33" fillId="0" borderId="0" xfId="0" applyFont="1" applyAlignment="1">
      <alignment horizontal="center"/>
    </xf>
    <xf numFmtId="14" fontId="4" fillId="0" borderId="0" xfId="9" applyNumberFormat="1" applyFont="1" applyAlignment="1">
      <alignment horizontal="center" vertical="center"/>
    </xf>
    <xf numFmtId="0" fontId="3" fillId="0" borderId="0" xfId="13" applyFont="1" applyAlignment="1">
      <alignment horizontal="center"/>
    </xf>
    <xf numFmtId="170" fontId="3" fillId="0" borderId="0" xfId="13" applyNumberFormat="1" applyFont="1" applyAlignment="1">
      <alignment horizontal="center"/>
    </xf>
    <xf numFmtId="166" fontId="3" fillId="0" borderId="0" xfId="1" applyNumberFormat="1" applyFont="1" applyFill="1" applyAlignment="1">
      <alignment horizontal="right" vertical="center"/>
    </xf>
    <xf numFmtId="167" fontId="3" fillId="0" borderId="0" xfId="3" applyNumberFormat="1" applyFont="1" applyFill="1" applyAlignment="1">
      <alignment horizontal="center" vertical="center"/>
    </xf>
    <xf numFmtId="0" fontId="3" fillId="0" borderId="0" xfId="12" applyFont="1" applyAlignment="1">
      <alignment vertical="center"/>
    </xf>
    <xf numFmtId="14" fontId="3" fillId="0" borderId="0" xfId="13" applyNumberFormat="1" applyFont="1" applyAlignment="1">
      <alignment horizontal="left"/>
    </xf>
    <xf numFmtId="0" fontId="3" fillId="0" borderId="0" xfId="13" applyFont="1" applyAlignment="1">
      <alignment horizontal="right" vertical="center"/>
    </xf>
    <xf numFmtId="167" fontId="24" fillId="0" borderId="0" xfId="3" applyNumberFormat="1" applyFont="1" applyFill="1" applyAlignment="1">
      <alignment horizontal="center" vertical="center"/>
    </xf>
    <xf numFmtId="167" fontId="24" fillId="0" borderId="0" xfId="3" applyNumberFormat="1" applyFont="1" applyFill="1" applyAlignment="1">
      <alignment horizontal="center"/>
    </xf>
    <xf numFmtId="0" fontId="24" fillId="0" borderId="0" xfId="13" applyFont="1" applyAlignment="1">
      <alignment horizontal="left" vertical="center"/>
    </xf>
    <xf numFmtId="14" fontId="3" fillId="0" borderId="0" xfId="13" applyNumberFormat="1" applyFont="1" applyAlignment="1">
      <alignment horizontal="left" vertical="center"/>
    </xf>
    <xf numFmtId="0" fontId="3" fillId="0" borderId="0" xfId="13" applyFont="1" applyAlignment="1">
      <alignment horizontal="left" vertical="center"/>
    </xf>
    <xf numFmtId="170" fontId="3" fillId="0" borderId="0" xfId="13" applyNumberFormat="1" applyFont="1" applyAlignment="1">
      <alignment horizontal="left" vertical="center"/>
    </xf>
    <xf numFmtId="0" fontId="3" fillId="0" borderId="0" xfId="13" applyFont="1" applyAlignment="1">
      <alignment horizontal="center" vertical="center"/>
    </xf>
    <xf numFmtId="167" fontId="24" fillId="0" borderId="0" xfId="3" applyNumberFormat="1" applyFont="1" applyFill="1" applyBorder="1" applyAlignment="1">
      <alignment horizontal="center" vertical="center"/>
    </xf>
    <xf numFmtId="170" fontId="3" fillId="0" borderId="0" xfId="0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 applyFill="1"/>
    <xf numFmtId="0" fontId="4" fillId="0" borderId="25" xfId="0" applyFont="1" applyBorder="1" applyAlignment="1">
      <alignment horizontal="center" vertical="center" wrapText="1"/>
    </xf>
    <xf numFmtId="171" fontId="4" fillId="0" borderId="25" xfId="0" applyNumberFormat="1" applyFont="1" applyBorder="1" applyAlignment="1">
      <alignment horizontal="center" vertical="center" wrapText="1"/>
    </xf>
    <xf numFmtId="170" fontId="4" fillId="0" borderId="25" xfId="0" applyNumberFormat="1" applyFont="1" applyBorder="1" applyAlignment="1">
      <alignment horizontal="center" vertical="center" wrapText="1"/>
    </xf>
    <xf numFmtId="166" fontId="4" fillId="0" borderId="25" xfId="1" applyNumberFormat="1" applyFont="1" applyFill="1" applyBorder="1" applyAlignment="1">
      <alignment horizontal="center" vertical="center" wrapText="1"/>
    </xf>
    <xf numFmtId="169" fontId="4" fillId="0" borderId="25" xfId="1" applyNumberFormat="1" applyFont="1" applyFill="1" applyBorder="1" applyAlignment="1">
      <alignment horizontal="center" vertical="center"/>
    </xf>
    <xf numFmtId="3" fontId="4" fillId="0" borderId="25" xfId="1" applyNumberFormat="1" applyFont="1" applyFill="1" applyBorder="1" applyAlignment="1">
      <alignment horizontal="center" vertical="center"/>
    </xf>
    <xf numFmtId="170" fontId="4" fillId="0" borderId="25" xfId="1" applyNumberFormat="1" applyFont="1" applyFill="1" applyBorder="1" applyAlignment="1">
      <alignment horizontal="center" vertical="center"/>
    </xf>
    <xf numFmtId="43" fontId="4" fillId="0" borderId="25" xfId="1" applyFont="1" applyFill="1" applyBorder="1" applyAlignment="1">
      <alignment horizontal="center" vertical="center"/>
    </xf>
    <xf numFmtId="1" fontId="3" fillId="0" borderId="25" xfId="1" applyNumberFormat="1" applyFont="1" applyFill="1" applyBorder="1" applyAlignment="1">
      <alignment horizontal="center"/>
    </xf>
    <xf numFmtId="166" fontId="3" fillId="0" borderId="25" xfId="1" applyNumberFormat="1" applyFont="1" applyFill="1" applyBorder="1"/>
    <xf numFmtId="167" fontId="3" fillId="0" borderId="25" xfId="1" applyNumberFormat="1" applyFont="1" applyFill="1" applyBorder="1" applyAlignment="1">
      <alignment horizontal="center"/>
    </xf>
    <xf numFmtId="1" fontId="4" fillId="0" borderId="25" xfId="1" applyNumberFormat="1" applyFont="1" applyFill="1" applyBorder="1" applyAlignment="1">
      <alignment horizontal="center"/>
    </xf>
    <xf numFmtId="166" fontId="4" fillId="0" borderId="25" xfId="1" applyNumberFormat="1" applyFont="1" applyFill="1" applyBorder="1"/>
    <xf numFmtId="167" fontId="4" fillId="0" borderId="25" xfId="1" applyNumberFormat="1" applyFont="1" applyFill="1" applyBorder="1" applyAlignment="1">
      <alignment horizontal="center"/>
    </xf>
    <xf numFmtId="49" fontId="3" fillId="0" borderId="0" xfId="9" quotePrefix="1" applyNumberFormat="1" applyFont="1" applyAlignment="1">
      <alignment horizontal="left" vertical="center"/>
    </xf>
    <xf numFmtId="0" fontId="0" fillId="0" borderId="16" xfId="0" pivotButton="1" applyBorder="1"/>
    <xf numFmtId="172" fontId="3" fillId="0" borderId="25" xfId="0" applyNumberFormat="1" applyFont="1" applyBorder="1" applyAlignment="1">
      <alignment horizontal="center" vertical="center"/>
    </xf>
    <xf numFmtId="0" fontId="3" fillId="0" borderId="22" xfId="0" applyFont="1" applyBorder="1"/>
    <xf numFmtId="1" fontId="3" fillId="0" borderId="25" xfId="0" applyNumberFormat="1" applyFont="1" applyBorder="1" applyAlignment="1">
      <alignment horizontal="left" vertical="center"/>
    </xf>
    <xf numFmtId="3" fontId="3" fillId="0" borderId="25" xfId="0" applyNumberFormat="1" applyFont="1" applyBorder="1" applyAlignment="1">
      <alignment horizontal="center" vertical="center"/>
    </xf>
    <xf numFmtId="170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173" fontId="3" fillId="0" borderId="25" xfId="0" applyNumberFormat="1" applyFont="1" applyBorder="1" applyAlignment="1">
      <alignment horizontal="center"/>
    </xf>
    <xf numFmtId="0" fontId="3" fillId="0" borderId="25" xfId="0" applyFont="1" applyBorder="1"/>
    <xf numFmtId="170" fontId="3" fillId="0" borderId="25" xfId="0" applyNumberFormat="1" applyFont="1" applyBorder="1" applyAlignment="1">
      <alignment horizontal="center"/>
    </xf>
    <xf numFmtId="11" fontId="3" fillId="0" borderId="2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172" fontId="4" fillId="0" borderId="25" xfId="0" applyNumberFormat="1" applyFont="1" applyBorder="1" applyAlignment="1">
      <alignment horizontal="center" vertical="center"/>
    </xf>
    <xf numFmtId="0" fontId="4" fillId="0" borderId="22" xfId="0" applyFont="1" applyBorder="1"/>
    <xf numFmtId="1" fontId="4" fillId="0" borderId="25" xfId="0" applyNumberFormat="1" applyFont="1" applyBorder="1" applyAlignment="1">
      <alignment horizontal="left" vertical="center"/>
    </xf>
    <xf numFmtId="3" fontId="4" fillId="0" borderId="25" xfId="0" applyNumberFormat="1" applyFont="1" applyBorder="1" applyAlignment="1">
      <alignment horizontal="center" vertical="center"/>
    </xf>
    <xf numFmtId="170" fontId="4" fillId="0" borderId="25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173" fontId="4" fillId="0" borderId="25" xfId="0" applyNumberFormat="1" applyFont="1" applyBorder="1" applyAlignment="1">
      <alignment horizontal="center"/>
    </xf>
    <xf numFmtId="0" fontId="4" fillId="0" borderId="25" xfId="0" applyFont="1" applyBorder="1"/>
    <xf numFmtId="0" fontId="4" fillId="0" borderId="0" xfId="0" applyFont="1"/>
    <xf numFmtId="0" fontId="34" fillId="0" borderId="0" xfId="0" applyFont="1"/>
    <xf numFmtId="0" fontId="35" fillId="0" borderId="0" xfId="0" applyFont="1"/>
    <xf numFmtId="170" fontId="34" fillId="0" borderId="0" xfId="0" applyNumberFormat="1" applyFont="1"/>
    <xf numFmtId="0" fontId="34" fillId="0" borderId="0" xfId="0" applyFont="1" applyAlignment="1">
      <alignment horizontal="center"/>
    </xf>
    <xf numFmtId="166" fontId="3" fillId="0" borderId="25" xfId="1" applyNumberFormat="1" applyFont="1" applyFill="1" applyBorder="1" applyAlignment="1">
      <alignment horizontal="center" vertical="center" wrapText="1"/>
    </xf>
    <xf numFmtId="166" fontId="12" fillId="0" borderId="0" xfId="1" applyNumberFormat="1" applyFont="1"/>
    <xf numFmtId="166" fontId="3" fillId="20" borderId="25" xfId="1" applyNumberFormat="1" applyFont="1" applyFill="1" applyBorder="1" applyAlignment="1">
      <alignment horizontal="center" vertical="center" wrapText="1"/>
    </xf>
    <xf numFmtId="166" fontId="3" fillId="13" borderId="25" xfId="1" applyNumberFormat="1" applyFont="1" applyFill="1" applyBorder="1"/>
    <xf numFmtId="172" fontId="3" fillId="16" borderId="25" xfId="0" applyNumberFormat="1" applyFont="1" applyFill="1" applyBorder="1" applyAlignment="1">
      <alignment horizontal="center" vertical="center"/>
    </xf>
    <xf numFmtId="0" fontId="3" fillId="16" borderId="22" xfId="0" applyFont="1" applyFill="1" applyBorder="1"/>
    <xf numFmtId="1" fontId="3" fillId="16" borderId="25" xfId="0" applyNumberFormat="1" applyFont="1" applyFill="1" applyBorder="1" applyAlignment="1">
      <alignment horizontal="left" vertical="center"/>
    </xf>
    <xf numFmtId="3" fontId="3" fillId="16" borderId="25" xfId="0" applyNumberFormat="1" applyFont="1" applyFill="1" applyBorder="1" applyAlignment="1">
      <alignment horizontal="center" vertical="center"/>
    </xf>
    <xf numFmtId="170" fontId="3" fillId="16" borderId="25" xfId="0" applyNumberFormat="1" applyFont="1" applyFill="1" applyBorder="1" applyAlignment="1">
      <alignment horizontal="center" vertical="center"/>
    </xf>
    <xf numFmtId="0" fontId="3" fillId="16" borderId="25" xfId="0" applyFont="1" applyFill="1" applyBorder="1" applyAlignment="1">
      <alignment horizontal="center"/>
    </xf>
    <xf numFmtId="173" fontId="3" fillId="16" borderId="25" xfId="0" applyNumberFormat="1" applyFont="1" applyFill="1" applyBorder="1" applyAlignment="1">
      <alignment horizontal="center"/>
    </xf>
    <xf numFmtId="166" fontId="3" fillId="16" borderId="25" xfId="1" applyNumberFormat="1" applyFont="1" applyFill="1" applyBorder="1"/>
    <xf numFmtId="166" fontId="4" fillId="16" borderId="25" xfId="1" applyNumberFormat="1" applyFont="1" applyFill="1" applyBorder="1" applyAlignment="1">
      <alignment horizontal="center" vertical="center"/>
    </xf>
    <xf numFmtId="167" fontId="3" fillId="16" borderId="25" xfId="1" applyNumberFormat="1" applyFont="1" applyFill="1" applyBorder="1" applyAlignment="1">
      <alignment horizontal="center"/>
    </xf>
    <xf numFmtId="0" fontId="3" fillId="16" borderId="25" xfId="0" applyFont="1" applyFill="1" applyBorder="1"/>
    <xf numFmtId="0" fontId="3" fillId="16" borderId="0" xfId="0" applyFont="1" applyFill="1"/>
    <xf numFmtId="1" fontId="12" fillId="0" borderId="25" xfId="0" applyNumberFormat="1" applyFont="1" applyBorder="1" applyAlignment="1">
      <alignment horizontal="left" vertical="center"/>
    </xf>
    <xf numFmtId="1" fontId="12" fillId="16" borderId="25" xfId="0" applyNumberFormat="1" applyFont="1" applyFill="1" applyBorder="1" applyAlignment="1">
      <alignment horizontal="left" vertical="center"/>
    </xf>
    <xf numFmtId="172" fontId="3" fillId="21" borderId="25" xfId="0" applyNumberFormat="1" applyFont="1" applyFill="1" applyBorder="1" applyAlignment="1">
      <alignment horizontal="center" vertical="center"/>
    </xf>
    <xf numFmtId="0" fontId="3" fillId="21" borderId="22" xfId="0" applyFont="1" applyFill="1" applyBorder="1"/>
    <xf numFmtId="1" fontId="3" fillId="21" borderId="25" xfId="0" applyNumberFormat="1" applyFont="1" applyFill="1" applyBorder="1" applyAlignment="1">
      <alignment horizontal="left" vertical="center"/>
    </xf>
    <xf numFmtId="3" fontId="3" fillId="21" borderId="25" xfId="0" applyNumberFormat="1" applyFont="1" applyFill="1" applyBorder="1" applyAlignment="1">
      <alignment horizontal="center" vertical="center"/>
    </xf>
    <xf numFmtId="170" fontId="3" fillId="21" borderId="25" xfId="0" applyNumberFormat="1" applyFont="1" applyFill="1" applyBorder="1" applyAlignment="1">
      <alignment horizontal="center" vertical="center"/>
    </xf>
    <xf numFmtId="0" fontId="3" fillId="21" borderId="25" xfId="0" applyFont="1" applyFill="1" applyBorder="1" applyAlignment="1">
      <alignment horizontal="center"/>
    </xf>
    <xf numFmtId="173" fontId="3" fillId="21" borderId="25" xfId="0" applyNumberFormat="1" applyFont="1" applyFill="1" applyBorder="1" applyAlignment="1">
      <alignment horizontal="center"/>
    </xf>
    <xf numFmtId="166" fontId="3" fillId="21" borderId="25" xfId="1" applyNumberFormat="1" applyFont="1" applyFill="1" applyBorder="1"/>
    <xf numFmtId="166" fontId="4" fillId="21" borderId="25" xfId="1" applyNumberFormat="1" applyFont="1" applyFill="1" applyBorder="1" applyAlignment="1">
      <alignment horizontal="center" vertical="center"/>
    </xf>
    <xf numFmtId="167" fontId="3" fillId="21" borderId="25" xfId="1" applyNumberFormat="1" applyFont="1" applyFill="1" applyBorder="1" applyAlignment="1">
      <alignment horizontal="center"/>
    </xf>
    <xf numFmtId="0" fontId="3" fillId="21" borderId="25" xfId="0" applyFont="1" applyFill="1" applyBorder="1"/>
    <xf numFmtId="0" fontId="3" fillId="21" borderId="0" xfId="0" applyFont="1" applyFill="1"/>
    <xf numFmtId="0" fontId="3" fillId="16" borderId="25" xfId="0" applyFont="1" applyFill="1" applyBorder="1" applyAlignment="1">
      <alignment horizontal="center" vertical="center"/>
    </xf>
    <xf numFmtId="3" fontId="3" fillId="0" borderId="0" xfId="9" applyNumberFormat="1" applyFont="1"/>
    <xf numFmtId="167" fontId="3" fillId="0" borderId="0" xfId="3" applyNumberFormat="1" applyFont="1" applyAlignment="1">
      <alignment horizontal="center"/>
    </xf>
    <xf numFmtId="0" fontId="29" fillId="0" borderId="25" xfId="9" applyFont="1" applyBorder="1" applyAlignment="1">
      <alignment horizontal="center" vertical="center"/>
    </xf>
    <xf numFmtId="0" fontId="29" fillId="0" borderId="25" xfId="9" applyFont="1" applyBorder="1" applyAlignment="1">
      <alignment horizontal="center" vertical="center" wrapText="1"/>
    </xf>
    <xf numFmtId="166" fontId="29" fillId="0" borderId="25" xfId="1" applyNumberFormat="1" applyFont="1" applyFill="1" applyBorder="1" applyAlignment="1">
      <alignment horizontal="center" vertical="center" wrapText="1"/>
    </xf>
    <xf numFmtId="0" fontId="26" fillId="0" borderId="0" xfId="9" applyFont="1" applyAlignment="1">
      <alignment horizontal="center" vertical="center"/>
    </xf>
    <xf numFmtId="168" fontId="29" fillId="0" borderId="25" xfId="3" applyNumberFormat="1" applyFont="1" applyFill="1" applyBorder="1" applyAlignment="1">
      <alignment horizontal="center" vertical="center" wrapText="1"/>
    </xf>
    <xf numFmtId="0" fontId="29" fillId="0" borderId="22" xfId="9" applyFont="1" applyBorder="1" applyAlignment="1">
      <alignment horizontal="center" vertical="center"/>
    </xf>
    <xf numFmtId="0" fontId="29" fillId="0" borderId="23" xfId="9" applyFont="1" applyBorder="1" applyAlignment="1">
      <alignment horizontal="center" vertical="center"/>
    </xf>
    <xf numFmtId="0" fontId="29" fillId="0" borderId="24" xfId="9" applyFont="1" applyBorder="1" applyAlignment="1">
      <alignment horizontal="center" vertical="center"/>
    </xf>
    <xf numFmtId="0" fontId="13" fillId="0" borderId="25" xfId="9" applyFont="1" applyBorder="1" applyAlignment="1">
      <alignment horizontal="center" vertical="center"/>
    </xf>
    <xf numFmtId="167" fontId="29" fillId="0" borderId="25" xfId="3" applyNumberFormat="1" applyFont="1" applyFill="1" applyBorder="1" applyAlignment="1">
      <alignment horizontal="center" vertical="center" wrapText="1"/>
    </xf>
    <xf numFmtId="0" fontId="15" fillId="0" borderId="0" xfId="13" applyFont="1" applyAlignment="1">
      <alignment horizontal="center"/>
    </xf>
    <xf numFmtId="0" fontId="4" fillId="0" borderId="0" xfId="13" applyFont="1" applyAlignment="1">
      <alignment horizontal="center"/>
    </xf>
    <xf numFmtId="166" fontId="15" fillId="0" borderId="0" xfId="1" applyNumberFormat="1" applyFont="1" applyFill="1" applyAlignment="1">
      <alignment horizontal="center"/>
    </xf>
    <xf numFmtId="167" fontId="15" fillId="0" borderId="0" xfId="3" applyNumberFormat="1" applyFont="1" applyFill="1" applyAlignment="1">
      <alignment horizontal="left"/>
    </xf>
    <xf numFmtId="166" fontId="4" fillId="0" borderId="0" xfId="1" applyNumberFormat="1" applyFont="1" applyFill="1" applyAlignment="1">
      <alignment horizontal="center"/>
    </xf>
    <xf numFmtId="0" fontId="4" fillId="0" borderId="0" xfId="13" applyFont="1" applyAlignment="1">
      <alignment horizontal="left"/>
    </xf>
    <xf numFmtId="0" fontId="3" fillId="16" borderId="22" xfId="0" applyFont="1" applyFill="1" applyBorder="1" applyAlignment="1">
      <alignment horizontal="left" vertical="center"/>
    </xf>
    <xf numFmtId="0" fontId="3" fillId="16" borderId="24" xfId="0" applyFont="1" applyFill="1" applyBorder="1" applyAlignment="1">
      <alignment horizontal="left" vertical="center"/>
    </xf>
    <xf numFmtId="0" fontId="4" fillId="13" borderId="21" xfId="0" applyFont="1" applyFill="1" applyBorder="1" applyAlignment="1">
      <alignment horizontal="center" vertical="center" wrapText="1"/>
    </xf>
    <xf numFmtId="0" fontId="4" fillId="13" borderId="26" xfId="0" applyFont="1" applyFill="1" applyBorder="1" applyAlignment="1">
      <alignment horizontal="center" vertical="center" wrapText="1"/>
    </xf>
    <xf numFmtId="0" fontId="13" fillId="13" borderId="21" xfId="0" applyFont="1" applyFill="1" applyBorder="1" applyAlignment="1">
      <alignment horizontal="center" vertical="center" wrapText="1"/>
    </xf>
    <xf numFmtId="0" fontId="13" fillId="13" borderId="26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center" vertical="center" wrapText="1"/>
    </xf>
    <xf numFmtId="0" fontId="4" fillId="13" borderId="27" xfId="0" applyFont="1" applyFill="1" applyBorder="1" applyAlignment="1">
      <alignment horizontal="center" vertical="center" wrapText="1"/>
    </xf>
    <xf numFmtId="0" fontId="4" fillId="13" borderId="28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4" fillId="13" borderId="24" xfId="0" applyFont="1" applyFill="1" applyBorder="1" applyAlignment="1">
      <alignment horizontal="center" vertical="center" wrapText="1"/>
    </xf>
    <xf numFmtId="0" fontId="13" fillId="13" borderId="22" xfId="0" applyFont="1" applyFill="1" applyBorder="1" applyAlignment="1">
      <alignment horizontal="center" vertical="center" wrapText="1"/>
    </xf>
    <xf numFmtId="0" fontId="13" fillId="13" borderId="23" xfId="0" applyFont="1" applyFill="1" applyBorder="1" applyAlignment="1">
      <alignment horizontal="center" vertical="center" wrapText="1"/>
    </xf>
    <xf numFmtId="0" fontId="13" fillId="13" borderId="24" xfId="0" applyFont="1" applyFill="1" applyBorder="1" applyAlignment="1">
      <alignment horizontal="center" vertical="center" wrapText="1"/>
    </xf>
    <xf numFmtId="0" fontId="3" fillId="13" borderId="22" xfId="0" applyFont="1" applyFill="1" applyBorder="1" applyAlignment="1">
      <alignment horizontal="left" vertical="center"/>
    </xf>
    <xf numFmtId="0" fontId="3" fillId="13" borderId="24" xfId="0" applyFont="1" applyFill="1" applyBorder="1" applyAlignment="1">
      <alignment horizontal="left" vertical="center"/>
    </xf>
    <xf numFmtId="0" fontId="3" fillId="16" borderId="22" xfId="0" applyFont="1" applyFill="1" applyBorder="1" applyAlignment="1">
      <alignment vertical="center" wrapText="1"/>
    </xf>
    <xf numFmtId="0" fontId="3" fillId="16" borderId="24" xfId="0" applyFont="1" applyFill="1" applyBorder="1" applyAlignment="1">
      <alignment vertical="center" wrapText="1"/>
    </xf>
    <xf numFmtId="0" fontId="3" fillId="16" borderId="22" xfId="0" applyFont="1" applyFill="1" applyBorder="1" applyAlignment="1">
      <alignment horizontal="left" vertical="center" wrapText="1"/>
    </xf>
    <xf numFmtId="0" fontId="3" fillId="16" borderId="24" xfId="0" applyFont="1" applyFill="1" applyBorder="1" applyAlignment="1">
      <alignment horizontal="left" vertical="center" wrapText="1"/>
    </xf>
    <xf numFmtId="166" fontId="4" fillId="20" borderId="22" xfId="1" applyNumberFormat="1" applyFont="1" applyFill="1" applyBorder="1" applyAlignment="1">
      <alignment horizontal="center" vertical="center" wrapText="1"/>
    </xf>
    <xf numFmtId="166" fontId="4" fillId="20" borderId="23" xfId="1" applyNumberFormat="1" applyFont="1" applyFill="1" applyBorder="1" applyAlignment="1">
      <alignment horizontal="center" vertical="center" wrapText="1"/>
    </xf>
    <xf numFmtId="166" fontId="4" fillId="20" borderId="24" xfId="1" applyNumberFormat="1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/>
    </xf>
    <xf numFmtId="0" fontId="15" fillId="15" borderId="19" xfId="0" applyFont="1" applyFill="1" applyBorder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15" borderId="20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/>
    </xf>
    <xf numFmtId="0" fontId="3" fillId="15" borderId="22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3" fillId="15" borderId="24" xfId="0" applyFont="1" applyFill="1" applyBorder="1" applyAlignment="1">
      <alignment horizontal="center" vertical="center"/>
    </xf>
    <xf numFmtId="0" fontId="13" fillId="14" borderId="21" xfId="0" applyFont="1" applyFill="1" applyBorder="1" applyAlignment="1">
      <alignment horizontal="center" wrapText="1"/>
    </xf>
    <xf numFmtId="0" fontId="4" fillId="17" borderId="22" xfId="0" applyFont="1" applyFill="1" applyBorder="1" applyAlignment="1">
      <alignment horizontal="center" vertical="center"/>
    </xf>
    <xf numFmtId="0" fontId="4" fillId="17" borderId="23" xfId="0" applyFont="1" applyFill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2" fillId="15" borderId="25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0" fillId="0" borderId="16" xfId="0" applyNumberFormat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0" fillId="0" borderId="27" xfId="0" applyNumberFormat="1" applyBorder="1" applyAlignment="1">
      <alignment horizontal="center"/>
    </xf>
  </cellXfs>
  <cellStyles count="14">
    <cellStyle name="Comma" xfId="1" builtinId="3"/>
    <cellStyle name="Comma 11" xfId="2" xr:uid="{00000000-0005-0000-0000-000001000000}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omma 5" xfId="6" xr:uid="{00000000-0005-0000-0000-000005000000}"/>
    <cellStyle name="Normal" xfId="0" builtinId="0"/>
    <cellStyle name="Normal 11" xfId="7" xr:uid="{00000000-0005-0000-0000-000007000000}"/>
    <cellStyle name="Normal 12 2" xfId="8" xr:uid="{00000000-0005-0000-0000-000008000000}"/>
    <cellStyle name="Normal 2" xfId="9" xr:uid="{00000000-0005-0000-0000-000009000000}"/>
    <cellStyle name="Normal 2 2" xfId="10" xr:uid="{00000000-0005-0000-0000-00000A000000}"/>
    <cellStyle name="Normal 3" xfId="11" xr:uid="{00000000-0005-0000-0000-00000B000000}"/>
    <cellStyle name="Normal 3 12" xfId="12" xr:uid="{00000000-0005-0000-0000-00000C000000}"/>
    <cellStyle name="Normal_Sheet1" xfId="13" xr:uid="{00000000-0005-0000-0000-00000D000000}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9" formatCode="_-* #,##0.0_-;\-* #,##0.0_-;_-* &quot;-&quot;??_-;_-@_-"/>
    </dxf>
    <dxf>
      <numFmt numFmtId="169" formatCode="_-* #,##0.0_-;\-* #,##0.0_-;_-* &quot;-&quot;??_-;_-@_-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AppData\Local\Temp\Zalo%20Temp\TempDownloads\&#272;&#417;n%20gi&#225;%20VC%20vendor%20Ph&#250;c%20L&#7897;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ÚC LỘC"/>
      <sheetName val="Giá dầu"/>
    </sheetNames>
    <sheetDataSet>
      <sheetData sheetId="0" refreshError="1"/>
      <sheetData sheetId="1" refreshError="1">
        <row r="20">
          <cell r="E20">
            <v>0.39245999999999998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40.58748923611" createdVersion="8" refreshedVersion="8" minRefreshableVersion="3" recordCount="1573" xr:uid="{00000000-000A-0000-FFFF-FFFF16000000}">
  <cacheSource type="worksheet">
    <worksheetSource ref="A1:C1668" sheet="HĐơn"/>
  </cacheSource>
  <cacheFields count="3">
    <cacheField name="Nội dung HĐ" numFmtId="0">
      <sharedItems containsBlank="1" count="899">
        <s v="Cước vận chuyển Container hàng 20' tuyến đường PAN HA - NDV. BKS: 15C17442"/>
        <s v="Cước vận chuyển Container hàng 40' tuyến đường PAN HA - NDV. BKS: 15C17442"/>
        <s v="Cước vận chuyển Container vỏ tuyến đường HATECO - PAN HA. BKS: 15C17442"/>
        <s v="Cước vận chuyển Container vỏ tuyến đường HATECO - PAN HA. BKS: 15H07644"/>
        <s v="Cước vận chuyển Container vỏ tuyến đường HATECO - PAN HA. BKS: 15H07788"/>
        <s v="Cước vận chuyển Container hàng 20' tuyến đường PAN HA - HẢI AN. BKS: 15H12925"/>
        <s v="Cước vận chuyển Container hàng 40' tuyến đường PAN HA - HẢI AN. BKS: 15H12925"/>
        <s v="Cước vận chuyển Container hàng 20' tuyến đường PAN HA - HẢI AN. BKS: 15H07524"/>
        <s v="Cước vận chuyển Container hàng 20' tuyến đường PAN HA - HẢI AN. BKS: 15C17301"/>
        <s v="Cước vận chuyển Container hàng 40' tuyến đường PAN HA - HẢI AN. BKS: 15C17301"/>
        <s v="Cước vận chuyển Container hàng 20' tuyến đường PAN HA - HẢI AN. BKS: 15C17442"/>
        <s v="Cước vận chuyển Container hàng 40' tuyến đường PAN HA - HẢI AN. BKS: 15C17442"/>
        <s v="Cước vận chuyển Container hàng 20' tuyến đường PAN HA - NDV. BKS: 15C09877"/>
        <s v="Cước vận chuyển Container hàng 20' tuyến đường PAN HA - HẢI AN. BKS: 15C09877"/>
        <s v="Cước vận chuyển Container hàng 40' tuyến đường PAN HA - HẢI AN. BKS: 15C09877"/>
        <s v="Cước vận chuyển Container vỏ tuyến đường HATECO - PAN HA. BKS: 15C09877"/>
        <s v="Cước vận chuyển Container hàng 20' tuyến đường PAN HA - VIP. BKS: 15C17442"/>
        <s v="Cước vận chuyển Container vỏ tuyến đường PAN HA - VIP. BKS: 15C17442"/>
        <s v="Cước vận chuyển Container vỏ tuyến đường HATECO - PAN HA. BKS: 15H12925"/>
        <s v="Cước vận chuyển Container hàng 40' tuyến đường PAN HA - VIP. BKS: 15H12925"/>
        <s v="Cước vận chuyển Container vỏ tuyến đường HATECO - PAN HA. BKS: 15H18552"/>
        <s v="Cước vận chuyển Container hàng 20' tuyến đường PAN HA - VIP. BKS: 15C17301"/>
        <s v="Cước vận chuyển Container hàng 40' tuyến đường PAN HA - VIP. BKS: 15H18552"/>
        <s v="Cước vận chuyển Container hàng 20' tuyến đường PAN HA - VIP. BKS: 15H18552"/>
        <s v="Cước vận chuyển Container hàng 40' tuyến đường PAN HA - HẢI AN. BKS: 15H18552"/>
        <s v="Cước vận chuyển Container hàng 40' tuyến đường PAN HA - VIP. BKS: 15H18753"/>
        <s v="Cước vận chuyển Container hàng 40' tuyến đường PAN HA - HẢI AN. BKS: 15H18753"/>
        <s v="Cước vận chuyển Container hàng 40' tuyến đường PAN HA - HẢI AN. BKS: 15H20645"/>
        <s v="Cước vận chuyển Container hàng 40' tuyến đường PAN HA - VIP. BKS: 15H20645"/>
        <s v="Cước vận chuyển Container hàng 20' tuyến đường PAN HA - HẢI AN. BKS: 15C15033"/>
        <s v="Cước vận chuyển Container hàng 40' tuyến đường PAN HA - HẢI AN. BKS: 15C15033"/>
        <s v="Cước vận chuyển Container hàng 20' tuyến đường PAN HA - VIP. BKS: 15C09877"/>
        <s v="Cước vận chuyển Container hàng 40' tuyến đường PAN HA - VIP. BKS: 15C09877"/>
        <s v="Cước vận chuyển Container hàng 20' tuyến đường PAN HA - HẢI AN. BKS: 15H07644"/>
        <s v="Cước vận chuyển Container vỏ tuyến đường PAN HA - VIP. BKS: 15H07644"/>
        <s v="Cước vận chuyển Container hàng 40' tuyến đường PAN HA - VIP. BKS: 15H15378"/>
        <s v="Cước vận chuyển Container hàng 40' tuyến đường PAN HA - HẢI AN. BKS: 15H15378"/>
        <s v="Cước vận chuyển Container vỏ tuyến đường HATECO - PAN HA. BKS: 15H15378"/>
        <s v="Cước vận chuyển Container vỏ tuyến đường PAN HA - HẢI AN. BKS: 15C09877"/>
        <s v="Cước vận chuyển Container hàng 20' tuyến đường PAN HA - NHĐV. BKS: 15C09877"/>
        <s v="Cước vận chuyển Container hàng 20' tuyến đường PAN HA - NHĐV. BKS: 15H07644"/>
        <s v="Cước vận chuyển Container hàng 20' tuyến đường PAN HA - HẢI AN. BKS: 15H07788"/>
        <s v="Cước vận chuyển Container hàng 40' tuyến đường PAN HA - HẢI AN. BKS: 15H07788"/>
        <s v="Cước vận chuyển Container hàng 20' tuyến đường PAN HA - VIP. BKS: 15H07788"/>
        <s v="Cước vận chuyển Container hàng 40' tuyến đường PAN HA - VIP. BKS: 15H07788"/>
        <s v="Cước vận chuyển Container hàng 20' tuyến đường PAN HA - HẢI AN. BKS: 15C30649"/>
        <s v="Cước vận chuyển Container hàng 40' tuyến đường PAN HA - HẢI AN. BKS: 15C30649"/>
        <s v="Cước vận chuyển Container vỏ tuyến đường PAN HA - HẢI AN. BKS: 15C30649"/>
        <s v="Cước vận chuyển Container hàng 20' tuyến đường PAN HA - NHĐV. BKS: 15C30649"/>
        <s v="Cước vận chuyển Container hàng 20' tuyến đường PAN HA - NHĐV. BKS: 15C17301"/>
        <s v="Cước vận chuyển Container hàng 40' tuyến đường PAN HA - NHĐV. BKS: 15H18753"/>
        <s v="Cước vận chuyển Container hàng 20' tuyến đường PAN HA - HẢI AN. BKS: 15H08574"/>
        <s v="Cước vận chuyển Container hàng 40' tuyến đường PAN HA - HẢI AN. BKS: 15H08574"/>
        <s v="Cước vận chuyển Container hàng 20' tuyến đường PAN HA - VIP. BKS: 15H08574"/>
        <s v="Cước vận chuyển Container hàng 40' tuyến đường PAN HA - VIP. BKS: 15H08574"/>
        <s v="Cước vận chuyển Container hàng 20' tuyến đường PAN HA - NHĐV. BKS: 15C15033"/>
        <s v="Cước vận chuyển Container hàng 40' tuyến đường PAN HA - NHĐV. BKS: 15H12925"/>
        <s v="Cước vận chuyển Container vỏ tuyến đường PAN HA - HẢI AN. BKS: 15H18552"/>
        <s v="Cước vận chuyển Container hàng 40' tuyến đường PAN HA - NHĐV. BKS: 15H18552"/>
        <s v="Cước vận chuyển Container hàng 20' tuyến đường PAN HA - NDV. BKS: 15C17301"/>
        <s v="Cước vận chuyển Container vỏ tuyến đường PAN HA - HẢI AN. BKS: 15H12925"/>
        <s v="Cước vận chuyển Container hàng 40' tuyến đường PAN HA - NHĐV. BKS: 15H15378"/>
        <s v="Cước vận chuyển Container hàng 40' tuyến đường PAN HA - NHĐV. BKS: 15H20645"/>
        <s v="Cước vận chuyển Container hàng 40' tuyến đường PAN HA - HẢI AN. BKS: 15H07644"/>
        <s v="Cước vận chuyển Container hàng 40' tuyến đường PAN HA - HẢI AN. BKS: 15H07524"/>
        <s v="Cước vận chuyển Container vỏ tuyến đường PAN HA - HẢI AN. BKS: 15C17442"/>
        <s v="Cước vận chuyển Container hàng 40' tuyến đường PAN HA - HẢI AN. BKS: 15H17403"/>
        <s v="Cước vận chuyển Container vỏ tuyến đường PAN HA - HẢI AN. BKS: 15H17403"/>
        <s v="Cước vận chuyển Container vỏ tuyến đường PAN HA - HẢI AN. BKS: 15C17301"/>
        <s v="Cước vận chuyển Container vỏ tuyến đường PAN HA - HẢI AN. BKS: 15H07524"/>
        <s v="Cước vận chuyển Container vỏ tuyến đường PAN HA - HẢI AN. BKS: 15H18753"/>
        <s v="Cước vận chuyển Container hàng 40' tuyến đường PAN HA - HẢI AN. BKS: 15H06892"/>
        <s v="Cước vận chuyển Container hàng 20' tuyến đường PAN HA - HẢI AN. BKS: 15H06892"/>
        <s v="Cước vận chuyển Container hàng 20' tuyến đường PAN HA - VIP. BKS: 15H06892"/>
        <s v="Cước vận chuyển Container vỏ tuyến đường PAN HA - VIP. BKS: 15H06892"/>
        <s v="Cước vận chuyển Container hàng 20' tuyến đường PAN HA - NHĐV. BKS: 15H12925"/>
        <s v="Cước vận chuyển Container vỏ tuyến đường PAN HA - HẢI AN. BKS: 15C15033"/>
        <s v="Cước vận chuyển Container hàng 20' tuyến đường PAN HA - NHĐV. BKS: 15H18552"/>
        <s v="Cước vận chuyển Container hàng 20' tuyến đường PAN HA - NHĐV. BKS: 15H07524"/>
        <s v="Cước vận chuyển Container vỏ tuyến đường PAN HA - HẢI AN. BKS: 15H15378"/>
        <s v="Cước vận chuyển Container hàng 20' tuyến đường PAN HA - NHĐV. BKS: 15H15378"/>
        <s v="Cước vận chuyển Container hàng 20' tuyến đường PAN HA - NHĐV. BKS: 15H18753"/>
        <s v="Cước vận chuyển Container hàng 20' tuyến đường PAN HA - NHĐV. BKS: 15H20645"/>
        <s v="Cước vận chuyển Container vỏ tuyến đường PAN HA - HẢI AN. BKS: 15H20645"/>
        <s v="Cước vận chuyển Container hàng 40' tuyến đường PAN HA - NHĐV. BKS: 15C09877"/>
        <s v="Cước vận chuyển Container hàng 40' tuyến đường PAN HA - NHĐV. BKS: 15C30649"/>
        <s v="Cước vận chuyển Container hàng 20' tuyến đường PAN HA - NHĐV. BKS: 15H08574"/>
        <s v="Cước vận chuyển Container hàng 40' tuyến đường PAN HA - NHĐV. BKS: 15H08574"/>
        <s v="Cước vận chuyển Container vỏ tuyến đường PAN HA - HẢI AN. BKS: 15H08574"/>
        <s v="Cước vận chuyển Container hàng 20' tuyến đường PAN HA - NHĐV. BKS: 15C17442"/>
        <s v="Cước vận chuyển Container hàng 40' tuyến đường PAN HA - NHĐV. BKS: 15C17442"/>
        <s v="Cước vận chuyển Container hàng 40' tuyến đường PAN HA - NHĐV. BKS: 15C15033"/>
        <s v="Cước vận chuyển Container hàng 40' tuyến đường PAN HA - NHĐV. BKS: 15H07524"/>
        <s v="Cước vận chuyển Container vỏ tuyến đường PAN HA - MPC. BKS: 15C09877"/>
        <s v="Cước vận chuyển Container hàng 40' tuyến đường PAN HA - HẢI AN. BKS: 15H07135"/>
        <s v="Cước vận chuyển Container vỏ tuyến đường PAN HA - HẢI AN. BKS: 15H07135"/>
        <s v="Cước vận chuyển Container hàng 20' tuyến đường PAN HA - NHĐV. BKS: 15H07135"/>
        <s v="Cước vận chuyển Container hàng 40' tuyến đường PAN HA - NHĐV. BKS: 15C17301"/>
        <s v="Cước vận chuyển Container vỏ tuyến đường PAN HA - HẢI AN. BKS: 15H07788"/>
        <s v="Cước vận chuyển Container hàng 20' tuyến đường PAN HA - NHĐV. BKS: 15H07788"/>
        <s v="Cước vận chuyển Container hàng 40' tuyến đường PAN HA - NHĐV. BKS: 15H07788"/>
        <s v="Cước vận chuyển Container vỏ tuyến đường NHĐV. - PAN HA. BKS: 15C17301"/>
        <s v="Cước vận chuyển Container hàng 20' tuyến đường PAN HA - NDV. BKS: 15H07524"/>
        <s v="Cước vận chuyển Container vỏ tuyến đường PAN HA - TÂN VŨ. BKS: 15H07524"/>
        <s v="Cước vận chuyển Container vỏ tuyến đường PAN HA - MPC. BKS: 15H08574"/>
        <s v="Cước vận chuyển Container vỏ tuyến đường HATECO - PAN HA. BKS: 15H17712"/>
        <s v="Cước vận chuyển Container hàng 20' tuyến đường PAN HA - HẢI AN. BKS: 15H17712"/>
        <s v="Cước vận chuyển Container hàng 40' tuyến đường PAN HA - HẢI AN. BKS: 15H17712"/>
        <s v="Cước vận chuyển Container hàng 20' tuyến đường PAN HA - NHĐV. BKS: 15H17712"/>
        <s v="Cước vận chuyển Container vỏ tuyến đường NHĐV. - PAN HA. BKS: 15H07644"/>
        <s v="Cước vận chuyển Container vỏ tuyến đường NHĐV. - PAN HA. BKS: 15H18552"/>
        <s v="Cước vận chuyển Container vỏ tuyến đường NHĐV. - PAN HA. BKS: 15C15033"/>
        <s v="Cước vận chuyển Container vỏ tuyến đường PAN HA - TÂN VŨ. BKS: 15H17403"/>
        <s v="Cước vận chuyển Container vỏ tuyến đường NHĐV. - PAN HA. BKS: 15H17403"/>
        <s v="Cước vận chuyển Container hàng 20' tuyến đường PAN HA - HẢI AN. BKS: 15H17403"/>
        <s v="Cước vận chuyển Container vỏ tuyến đường NHĐV. - PAN HA. BKS: 15H07524"/>
        <s v="Cước vận chuyển Container hàng 20' tuyến đường PAN HA - NDV. BKS: 15H07644"/>
        <s v="Cước vận chuyển Container vỏ tuyến đường NHĐV. - PAN HA. BKS: 15H12925"/>
        <s v="Cước vận chuyển Container vỏ tuyến đường NHĐV. - PAN HA. BKS: 15H08574"/>
        <s v="Cước vận chuyển Container hàng 20' tuyến đường PAN HA - NDV. BKS: 15H08574"/>
        <s v="Cước vận chuyển Container vỏ tuyến đường NHĐV. - PAN HA. BKS: 15C09877"/>
        <s v="Cước vận chuyển Container vỏ tuyến đường PAN HA - MPC. BKS: 15H20645"/>
        <s v="Cước vận chuyển Container vỏ tuyến đường NHĐV. - PAN HA. BKS: 15H20645"/>
        <s v="Cước vận chuyển Container hàng 20' tuyến đường PAN HA - HẢI AN. BKS: 15H20645"/>
        <s v="Cước vận chuyển Container hàng 20' tuyến đường PAN HA - HẢI AN. BKS: 15H18552"/>
        <s v="Cước vận chuyển Container vỏ tuyến đường NHĐV. - PAN HA. BKS: 15H07788"/>
        <s v="Cước vận chuyển Container hàng 20' tuyến đường PAN HA - HẢI AN. BKS: 15H15378"/>
        <s v="Cước vận chuyển Container hàng 20' tuyến đường PAN HA - NDV. BKS: 15H15378"/>
        <s v="Cước vận chuyển Container vỏ tuyến đường NHĐV. - PAN HA. BKS: 15H15378"/>
        <s v="Cước vận chuyển Container vỏ tuyến đường HATECO - PAN HA. BKS: 15H20645"/>
        <s v="Cước vận chuyển Container vỏ tuyến đường HATECO - PAN HA. BKS: 15H07524"/>
        <s v="Cước vận chuyển Container hàng 20' tuyến đường PAN HA - NDV. BKS: 15C30649"/>
        <s v="Cước vận chuyển Container vỏ tuyến đường HATECO - PAN HA. BKS: 15C30649"/>
        <s v="Cước vận chuyển Container vỏ tuyến đường HATECO - PAN HA. BKS: 15C17301"/>
        <s v="Cước vận chuyển Container hàng 20' tuyến đường PAN HA - NDV. BKS: 15C15033"/>
        <s v="Cước vận chuyển Container vỏ tuyến đường HATECO - PAN HA. BKS: 15C15033"/>
        <s v="Cước vận chuyển Container vỏ tuyến đường HATECO - PAN HA. BKS: 15H08574"/>
        <s v="Cước vận chuyển Container vỏ tuyến đường HATECO - PAN HA. BKS: 15H18753"/>
        <s v="Cước vận chuyển Container vỏ tuyến đường HATECO - PAN HA. BKS: 15H17403"/>
        <s v="Cước vận chuyển Container vỏ tuyến đường PAN HA - HẢI AN. BKS: 15C21728"/>
        <s v="Cước vận chuyển Container hàng 20' tuyến đường PAN HA - NDV. BKS: 15H07135"/>
        <s v="Cước vận chuyển Container hàng 40' tuyến đường PAN HA - NDV. BKS: 15H07135"/>
        <s v="Cước vận chuyển Container vỏ tuyến đường PAN HA - HẢI AN. BKS: 15H07644"/>
        <s v="Cước vận chuyển Container hàng 20' tuyến đường PAN HA - HẢI AN. BKS: 15H17112"/>
        <s v="Cước vận chuyển Container hàng 40' tuyến đường PAN HA - HẢI AN. BKS: 15H17112"/>
        <s v="Cước vận chuyển Container vỏ tuyến đường NHĐV. - PAN HA. BKS: 15H17112"/>
        <s v="Cước vận chuyển Container vỏ tuyến đường PAN HA - HẢI AN. BKS: 15H17112"/>
        <s v="Cước vận chuyển Container vỏ tuyến đường HATECO - PAN HA. BKS: 15H17112"/>
        <s v="Cước vận chuyển Container vỏ tuyến đường PAN HA - HẢI AN. BKS: 15H17712"/>
        <s v="Cước vận chuyển Container hàng 20' tuyến đường PAN HA - NDV. BKS: 15H07788"/>
        <s v="Cước vận chuyển Container hàng 20' tuyến đường PAN HA - NDV. BKS: 15C21728"/>
        <s v="Cước vận chuyển Container vỏ tuyến đường HATECO - PAN HA. BKS: 15C21728"/>
        <s v="Cước vận chuyển Container vỏ tuyến đường PAN HA - HẢI AN. BKS: 15H06892"/>
        <s v="Cước vận chuyển Container hàng 20' tuyến đường PAN HA - VIP. BKS: 15H07524"/>
        <s v="Cước vận chuyển Container hàng 20' tuyến đường PAN HA - VIP. BKS: 15C30649"/>
        <s v="Cước vận chuyển Container hàng 20' tuyến đường PAN HA - TÂN VŨ. BKS: 15C17442"/>
        <s v="Cước vận chuyển Container hàng 20' tuyến đường PAN HA - TÂN VŨ. BKS: 15H08574"/>
        <s v="Cước vận chuyển Container vỏ tuyến đường PAN HA - VIP. BKS: 15H20645"/>
        <s v="Cước vận chuyển Container vỏ tuyến đường PAN HA - VIP. BKS: 15H18552"/>
        <s v="Cước vận chuyển Container hàng 20' tuyến đường PAN HA - NDV. BKS: 15H17712"/>
        <s v="Cước vận chuyển Container vỏ tuyến đường NHĐV. - PAN HA. BKS: 15H17712"/>
        <s v="Cước vận chuyển Container hàng 20' tuyến đường PAN HA - HẢI AN. BKS: 15H07135"/>
        <s v="Cước vận chuyển Container hàng 40' tuyến đường PAN HA - NHĐV. BKS: 15H07135"/>
        <m/>
        <s v="Cước vận chuyển Container vỏ tuyến đường HICT - PAN HA. BKS: 15H15378" u="1"/>
        <s v="Cước vận chuyển Container vỏ tuyến đường NHĐV. - PAN HA. BKS: 15H06892" u="1"/>
        <s v="Cước vận chuyển Container hàng 20' tuyến đường PAN HA - NHĐV. BKS: 15H06892" u="1"/>
        <s v="Cước vận chuyển Container hàng 40' tuyến đường PAN HA - NHĐV. BKS: 15H06892" u="1"/>
        <s v="Cước vận chuyển Container vỏ tuyến đường HATECO - PAN HA. BKS: 15H06892" u="1"/>
        <s v="Cước vận chuyển Container vỏ tuyến đường PAN HA - NHĐV. BKS: 15H07788" u="1"/>
        <s v="Cước vận chuyển Container vỏ tuyến đường PAN HA - TÂN VŨ. BKS: 15C30649" u="1"/>
        <s v="Cước vận chuyển Container hàng 40' tuyến đường PAN HA - NHĐV. BKS: 15H17712" u="1"/>
        <s v="Cước vận chuyển Container vỏ tuyến đường PAN HA - NHĐV. BKS: 15H17712" u="1"/>
        <s v="Cước vận chuyển Container vỏ tuyến đường HICT - PAN HA. BKS: 15H07135" u="1"/>
        <s v="Cước vận chuyển Container vỏ tuyến đường HATECO - PAN HA. BKS: 15H07135" u="1"/>
        <s v="Cước vận chuyển Container hàng 40' tuyến đường PAN HA - NDV,. BKS: 15C17442" u="1"/>
        <s v="Cước vận chuyển Container hàng 40' tuyến đường PAN HA - HẢI AN,. BKS: 15H12925" u="1"/>
        <s v="Cước vận chuyển Container hàng 40' tuyến đường PAN HA - HẢI AN,. BKS: 15C17301" u="1"/>
        <s v="Cước vận chuyển Container hàng 40' tuyến đường PAN HA - HẢI AN,. BKS: 15C17442" u="1"/>
        <s v="Cước vận chuyển Container hàng 40' tuyến đường PAN HA - HẢI AN,. BKS: 15C09877" u="1"/>
        <s v="Cước vận chuyển Container vỏ tuyến đường PAN HA - VIP.. BKS: 15C17442" u="1"/>
        <s v="Cước vận chuyển Container hàng 40' tuyến đường PAN HA - VIP,. BKS: 15H12925" u="1"/>
        <s v="Cước vận chuyển Container hàng 40' tuyến đường PAN HA - VIP,. BKS: 15H18552" u="1"/>
        <s v="Cước vận chuyển Container hàng 40' tuyến đường PAN HA - HẢI AN,. BKS: 15H18552" u="1"/>
        <s v="Cước vận chuyển Container hàng 40' tuyến đường PAN HA - VIP,. BKS: 15H18753" u="1"/>
        <s v="Cước vận chuyển Container hàng 40' tuyến đường PAN HA - HẢI AN,. BKS: 15H18753" u="1"/>
        <s v="Cước vận chuyển Container hàng 40' tuyến đường PAN HA - HẢI AN,. BKS: 15H20645" u="1"/>
        <s v="Cước vận chuyển Container hàng 40' tuyến đường PAN HA - VIP,. BKS: 15H20645" u="1"/>
        <s v="Cước vận chuyển Container hàng 40' tuyến đường PAN HA - HẢI AN,. BKS: 15C15033" u="1"/>
        <s v="Cước vận chuyển Container hàng 40' tuyến đường PAN HA - VIP,. BKS: 15C09877" u="1"/>
        <s v="Cước vận chuyển Container vỏ tuyến đường PAN HA - VIP.. BKS: 15H07644" u="1"/>
        <s v="Cước vận chuyển Container hàng 40' tuyến đường PAN HA - VIP,. BKS: 15H15378" u="1"/>
        <s v="Cước vận chuyển Container hàng 40' tuyến đường PAN HA - HẢI AN,. BKS: 15H15378" u="1"/>
        <s v="Cước vận chuyển Container vỏ tuyến đường PAN HA - HẢI AN.. BKS: 15C09877" u="1"/>
        <s v="Cước vận chuyển Container hàng 40' tuyến đường PAN HA - HẢI AN,. BKS: 15H07788" u="1"/>
        <s v="Cước vận chuyển Container hàng 40' tuyến đường PAN HA - VIP,. BKS: 15H07788" u="1"/>
        <s v="Cước vận chuyển Container hàng 40' tuyến đường PAN HA - HẢI AN,. BKS: 15C30649" u="1"/>
        <s v="Cước vận chuyển Container vỏ tuyến đường PAN HA - HẢI AN.. BKS: 15C30649" u="1"/>
        <s v="Cước vận chuyển Container hàng 40' tuyến đường PAN HA - NHĐV,. BKS: 15H18753" u="1"/>
        <s v="Cước vận chuyển Container hàng 40' tuyến đường PAN HA - HẢI AN,. BKS: 15H08574" u="1"/>
        <s v="Cước vận chuyển Container hàng 40' tuyến đường PAN HA - VIP,. BKS: 15H08574" u="1"/>
        <s v="Cước vận chuyển Container hàng 40' tuyến đường PAN HA - NHĐV,. BKS: 15H12925" u="1"/>
        <s v="Cước vận chuyển Container vỏ tuyến đường PAN HA - HẢI AN.. BKS: 15H18552" u="1"/>
        <s v="Cước vận chuyển Container hàng 40' tuyến đường PAN HA - NHĐV,. BKS: 15H18552" u="1"/>
        <s v="Cước vận chuyển Container vỏ tuyến đường PAN HA - HẢI AN.. BKS: 15H12925" u="1"/>
        <s v="Cước vận chuyển Container hàng 40' tuyến đường PAN HA - NHĐV,. BKS: 15H15378" u="1"/>
        <s v="Cước vận chuyển Container hàng 40' tuyến đường PAN HA - NHĐV,. BKS: 15H20645" u="1"/>
        <s v="Cước vận chuyển Container hàng 40' tuyến đường PAN HA - HẢI AN,. BKS: 15H07644" u="1"/>
        <s v="Cước vận chuyển Container hàng 40' tuyến đường PAN HA - HẢI AN,. BKS: 15H07524" u="1"/>
        <s v="Cước vận chuyển Container vỏ tuyến đường PAN HA - HẢI AN.. BKS: 15C17442" u="1"/>
        <s v="Cước vận chuyển Container hàng 40' tuyến đường PAN HA - HẢI AN,. BKS: 15H17403" u="1"/>
        <s v="Cước vận chuyển Container vỏ tuyến đường PAN HA - HẢI AN.. BKS: 15H17403" u="1"/>
        <s v="Cước vận chuyển Container vỏ tuyến đường PAN HA - HẢI AN.. BKS: 15C17301" u="1"/>
        <s v="Cước vận chuyển Container vỏ tuyến đường PAN HA - HẢI AN.. BKS: 15H07524" u="1"/>
        <s v="Cước vận chuyển Container vỏ tuyến đường PAN HA - HẢI AN.. BKS: 15H18753" u="1"/>
        <s v="Cước vận chuyển Container hàng 40' tuyến đường PAN HA - HẢI AN,. BKS: 15H06892" u="1"/>
        <s v="Cước vận chuyển Container vỏ tuyến đường PAN HA - VIP.. BKS: 15H06892" u="1"/>
        <s v="Cước vận chuyển Container vỏ tuyến đường PAN HA - HẢI AN.. BKS: 15C15033" u="1"/>
        <s v="Cước vận chuyển Container vỏ tuyến đường PAN HA - HẢI AN.. BKS: 15H15378" u="1"/>
        <s v="Cước vận chuyển Container vỏ tuyến đường PAN HA - HẢI AN.. BKS: 15H20645" u="1"/>
        <s v="Cước vận chuyển Container hàng 40' tuyến đường PAN HA - NHĐV,. BKS: 15C09877" u="1"/>
        <s v="Cước vận chuyển Container hàng 40' tuyến đường PAN HA - NHĐV,. BKS: 15C30649" u="1"/>
        <s v="Cước vận chuyển Container hàng 40' tuyến đường PAN HA - NHĐV,. BKS: 15H08574" u="1"/>
        <s v="Cước vận chuyển Container vỏ tuyến đường PAN HA - HẢI AN.. BKS: 15H08574" u="1"/>
        <s v="Cước vận chuyển Container hàng 40' tuyến đường PAN HA - NHĐV,. BKS: 15C17442" u="1"/>
        <s v="Cước vận chuyển Container hàng 40' tuyến đường PAN HA - NHĐV,. BKS: 15C15033" u="1"/>
        <s v="Cước vận chuyển Container hàng 40' tuyến đường PAN HA - NHĐV,. BKS: 15H07524" u="1"/>
        <s v="Cước vận chuyển Container vỏ tuyến đường PAN HA - MPC.. BKS: 15C09877" u="1"/>
        <s v="Cước vận chuyển Container hàng 40' tuyến đường PAN HA - HẢI AN,. BKS: 15H07135" u="1"/>
        <s v="Cước vận chuyển Container vỏ tuyến đường PAN HA - HẢI AN.. BKS: 15H07135" u="1"/>
        <s v="Cước vận chuyển Container hàng 40' tuyến đường PAN HA - NHĐV,. BKS: 15C17301" u="1"/>
        <s v="Cước vận chuyển Container vỏ tuyến đường PAN HA - HẢI AN.. BKS: 15H07788" u="1"/>
        <s v="Cước vận chuyển Container hàng 40' tuyến đường PAN HA - NHĐV,. BKS: 15H07788" u="1"/>
        <s v="Cước vận chuyển Container vỏ tuyến đường PAN HA - TÂN VŨ.. BKS: 15H07524" u="1"/>
        <s v="Cước vận chuyển Container vỏ tuyến đường PAN HA - MPC.. BKS: 15H08574" u="1"/>
        <s v="Cước vận chuyển Container hàng 40' tuyến đường PAN HA - HẢI AN,. BKS: 15H17712" u="1"/>
        <s v="Cước vận chuyển Container vỏ tuyến đường PAN HA - TÂN VŨ.. BKS: 15H17403" u="1"/>
        <s v="Cước vận chuyển Container vỏ tuyến đường PAN HA - MPC.. BKS: 15H20645" u="1"/>
        <s v="Cước vận chuyển Container vỏ tuyến đường PAN HA - HẢI AN.. BKS: 15C21728" u="1"/>
        <s v="Cước vận chuyển Container hàng 40' tuyến đường PAN HA - NDV,. BKS: 15H07135" u="1"/>
        <s v="Cước vận chuyển Container vỏ tuyến đường PAN HA - HẢI AN.. BKS: 15H07644" u="1"/>
        <s v="Cước vận chuyển Container hàng 40' tuyến đường PAN HA - HẢI AN,. BKS: 15H17112" u="1"/>
        <s v="Cước vận chuyển Container vỏ tuyến đường PAN HA - HẢI AN.. BKS: 15H17112" u="1"/>
        <s v="Cước vận chuyển Container vỏ tuyến đường PAN HA - HẢI AN.. BKS: 15H17712" u="1"/>
        <s v="Cước vận chuyển Container vỏ tuyến đường PAN HA - HẢI AN.. BKS: 15H06892" u="1"/>
        <s v="Cước vận chuyển Container vỏ tuyến đường PAN HA - VIP.. BKS: 15H20645" u="1"/>
        <s v="Cước vận chuyển Container vỏ tuyến đường PAN HA - VIP.. BKS: 15H18552" u="1"/>
        <s v="Cước vận chuyển Container hàng 40' tuyến đường PAN HA - NHĐV,. BKS: 15H07135" u="1"/>
        <s v="Cước vận chuyển Container vỏ tuyến đường PAN HA - TÂN VŨ. BKS: 15C17301" u="1"/>
        <s v="Cước vận chuyển Container hàng 20' tuyến đường PAN HA - TÂN VŨ. BKS: 15C17301" u="1"/>
        <s v="Cước vận chuyển Container vỏ tuyến đường PAN HA - TÂN VŨ. BKS: 15C15033" u="1"/>
        <s v="Cước vận chuyển Container hàng 40' tuyến đường PAN HA - NHĐV. BKS: 15H07644" u="1"/>
        <s v="Cước vận chuyển Container vỏ tuyến đường PAN HA - TÂN VŨ. BKS: 15H07135" u="1"/>
        <s v="Cước vận chuyển Container hàng 20' tuyến đường PAN HA - TÂN VŨ. BKS: 15H07135" u="1"/>
        <s v="Cước vận chuyển Container vỏ tuyến đường HẢI AN - PAN HA. BKS: 15H07644" u="1"/>
        <s v="Cước vận chuyển Container vỏ tuyến đường HẢI AN - PAN HA. BKS: 15H07524" u="1"/>
        <s v="Cước vận chuyển Container vỏ tuyến đường HẢI AN - PAN HA. BKS: 15C17301" u="1"/>
        <s v="Cước vận chuyển Container vỏ tuyến đường HICT - PAN HA. BKS: 15C17301" u="1"/>
        <s v="Cước vận chuyển Container vỏ tuyến đường HẢI AN - PAN HA. BKS: 15C09877" u="1"/>
        <s v="Cước vận chuyển Container vỏ tuyến đường HICT - PAN HA. BKS: 15C09877" u="1"/>
        <s v="Cước vận chuyển Container vỏ tuyến đường HẢI AN - PAN HA. BKS: 15H20645" u="1"/>
        <s v="Cước vận chuyển Container vỏ tuyến đường HICT - PAN HA. BKS: 15H20645" u="1"/>
        <s v="Cước vận chuyển Container vỏ tuyến đường HICT - PAN HA. BKS: 15C15033" u="1"/>
        <s v="Cước vận chuyển Container vỏ tuyến đường HICT - PAN HA. BKS: 15H12925" u="1"/>
        <s v="Cước vận chuyển Container vỏ tuyến đường HICT - PAN HA. BKS: 15H18753" u="1"/>
        <s v="Cước vận chuyển Container vỏ tuyến đường HICT - PAN HA. BKS: 15H07644" u="1"/>
        <s v="Cước vận chuyển Container vỏ tuyến đường HẢI AN - PAN HA. BKS: 15H08574" u="1"/>
        <s v="Cước vận chuyển Container vỏ tuyến đường HICT - PAN HA. BKS: 15H08574" u="1"/>
        <s v="Cước vận chuyển Container vỏ tuyến đường HICT - PAN HA. BKS: 15H18552" u="1"/>
        <s v="Cước vận chuyển Container vỏ tuyến đường HICT - PAN HA. BKS: 15H07524" u="1"/>
        <s v="Cước vận chuyển Container hàng 20' tuyến đường PAN HA - NHĐV. BKS: 15C21728" u="1"/>
        <s v="Cước vận chuyển Container hàng 20' tuyến đường PAN HA - HẢI AN. BKS: 15C21728" u="1"/>
        <s v="Cước vận chuyển Container vỏ tuyến đường HICT - PAN HA. BKS: 15H17712" u="1"/>
        <s v="Cước vận chuyển Container vỏ tuyến đường HICT - PAN HA. BKS: 15H06892" u="1"/>
        <s v="Cước vận chuyển Container hàng 20' tuyến đường PAN HA - NHĐV. BKS: 15H17403" u="1"/>
        <s v="Cước vận chuyển Container hàng 40' tuyến đường PAN HA - NHĐV. BKS: 15H17403" u="1"/>
        <s v="Cước vận chuyển Container hàng 40' tuyến đường PAN HA - NHĐV. BKS: 15C21728" u="1"/>
        <s v="Cước vận chuyển Container vỏ tuyến đường HẢI AN - PAN HA. BKS: 15H07135" u="1"/>
        <s v="Cước vận chuyển Container vỏ tuyến đường NHĐV. - PAN HA. BKS: 15C17442" u="1"/>
        <s v="Cước vận chuyển Container vỏ tuyến đường NHĐV. - PAN HA. BKS: 15C21728" u="1"/>
        <s v="Cước vận chuyển Container vỏ tuyến đường NHĐV. - PAN HA. BKS: 15C30649" u="1"/>
        <s v="Cước vận chuyển Container vỏ tuyến đường HẢI AN - PAN HA. BKS: 15H18753" u="1"/>
        <s v="Cước vận chuyển Container vỏ tuyến đường HẢI AN - PAN HA. BKS: 15C15033" u="1"/>
        <s v="Cước vận chuyển Container vỏ tuyến đường HẢI AN - PAN HA. BKS: 15H12925" u="1"/>
        <s v="Cước vận chuyển Container vỏ tuyến đường HICT - PAN HA. BKS: 15H17403" u="1"/>
        <s v="Cước vận chuyển Container vỏ tuyến đường HẢI AN - PAN HA. BKS: 15H17712" u="1"/>
        <s v="Cước vận chuyển Container vỏ tuyến đường HẢI AN - PAN HA. BKS: 15H18552" u="1"/>
        <s v="Cước vận chuyển Container vỏ tuyến đường HẢI AN - PAN HA. BKS: 15H07788" u="1"/>
        <s v="Cước vận chuyển Container vỏ tuyến đường HẢI AN - PAN HA. BKS: 15C30649" u="1"/>
        <s v="Cước vận chuyển Container vỏ tuyến đường HẢI AN - PAN HA. BKS: 15H06892" u="1"/>
        <s v="Cước vận chuyển Container vỏ tuyến đường PAN HA - NHĐV. BKS: 15H07135" u="1"/>
        <s v="Cước vận chuyển Container vỏ tuyến đường NHĐV. - PAN HA. BKS: 15H07135" u="1"/>
        <s v="Cước vận chuyển Container hàng 40' tuyến đường PAN HA - NDV. BKS: 15H12925" u="1"/>
        <s v="Cước vận chuyển Container vỏ tuyến đường PAN HA - NHĐV. BKS: 15C30649" u="1"/>
        <s v="Cước vận chuyển Container hàng 20' tuyến đường PAN HA - NDV. BKS: 15H18552" u="1"/>
        <s v="Cước vận chuyển Container vỏ tuyến đường PAN HA - TÂN VŨ. BKS: 15H07644" u="1"/>
        <s v="Cước vận chuyển Container vỏ tuyến đường PAN HA - TÂN VŨ. BKS: 15H20645" u="1"/>
        <s v="Cước vận chuyển Container vỏ tuyến đường PAN HA - TÂN VŨ. BKS: 15H18552" u="1"/>
        <s v="Cước vận chuyển Container vỏ tuyến đường PAN HA - TÂN VŨ. BKS: 15H08574" u="1"/>
        <s v="Cước vận chuyển Container vỏ tuyến đường PAN HA - TÂN VŨ.. BKS: 15C17301" u="1"/>
        <s v="Cước vận chuyển Container vỏ tuyến đường PAN HA - TÂN VŨ.. BKS: 15C15033" u="1"/>
        <s v="Cước vận chuyển Container hàng 40' tuyến đường PAN HA - NHĐV,. BKS: 15H07644" u="1"/>
        <s v="Cước vận chuyển Container vỏ tuyến đường PAN HA - TÂN VŨ.. BKS: 15H07135" u="1"/>
        <s v="Cước vận chuyển Container hàng 40' tuyến đường PAN HA - NHĐV,. BKS: 15H17712" u="1"/>
        <s v="Cước vận chuyển Container hàng 40' tuyến đường PAN HA - NHĐV,. BKS: 15H06892" u="1"/>
        <s v="Cước vận chuyển Container hàng 40' tuyến đường PAN HA - NHĐV,. BKS: 15H17403" u="1"/>
        <s v="Cước vận chuyển Container hàng 40' tuyến đường PAN HA - NHĐV,. BKS: 15C21728" u="1"/>
        <s v="Cước vận chuyển Container vỏ tuyến đường PAN HA - NHĐV.. BKS: 15H07135" u="1"/>
        <s v="Cước vận chuyển Container hàng 40' tuyến đường PAN HA - NDV,. BKS: 15H12925" u="1"/>
        <s v="Cước vận chuyển Container vỏ tuyến đường PAN HA - NHĐV.. BKS: 15C30649" u="1"/>
        <s v="Cước vận chuyển Container vỏ tuyến đường PAN HA - TÂN VŨ.. BKS: 15H07644" u="1"/>
        <s v="Cước vận chuyển Container vỏ tuyến đường PAN HA - TÂN VŨ.. BKS: 15H20645" u="1"/>
        <s v="Cước vận chuyển Container vỏ tuyến đường PAN HA - TÂN VŨ.. BKS: 15H18552" u="1"/>
        <s v="Cước vận chuyển Container vỏ tuyến đường PAN HA - TÂN VŨ.. BKS: 15H08574" u="1"/>
        <s v="Cước vận chuyển Container vỏ tuyến đường PAN HA - NHĐV.. BKS: 15H07788" u="1"/>
        <s v="Cước vận chuyển Container vỏ tuyến đường PAN HA - TÂN VŨ.. BKS: 15C30649" u="1"/>
        <s v="Cước vận chuyển Container vỏ tuyến đường PAN HA - NHĐV.. BKS: 15H17712" u="1"/>
        <s v="Cước vận chuyển Container vỏ tuyến đường HẢI AN - PAN HA. BKS: 15H17403" u="1"/>
        <s v="Cước vận chuyển Container hàng 40' tuyến đường PAN HA - NHĐV,. BKS: 15H-19652" u="1"/>
        <s v="Cước vận chuyển Container hàng 40' tuyến đường PAN HA - NHĐV,. BKS: 15H-18651 " u="1"/>
        <s v="Cước vận chuyển Container hàng 40' tuyến đường PAN HA - NHĐV,. BKS: 15H-17683" u="1"/>
        <s v="Cước vận chuyển Container hàng 40' tuyến đường PAN HA - NHĐV,. BKS: 15H-10258" u="1"/>
        <s v="Cước vận chuyển Container vỏ tuyến đường HẢI AN - PAN HA. BKS: 15C17442" u="1"/>
        <s v="Cước vận chuyển Container vỏ tuyến đường HẢI AN - PAN HA. BKS: 15C21728" u="1"/>
        <s v="Cước vận chuyển Container hàng 20' tuyến đường PAN HA - TÂN VŨ. BKS: 15H18753" u="1"/>
        <s v="Cước vận chuyển Container vỏ tuyến đường PAN HA - NDV.. BKS: 15H18753" u="1"/>
        <s v="Cước vận chuyển Container hàng 20' tuyến đường PAN HA - TÂN VŨ. BKS: 15C15033" u="1"/>
        <s v="Cước vận chuyển Container hàng 40' tuyến đường PAN HA - HẢI AN,. BKS: 15C21728" u="1"/>
        <s v="Cước vận chuyển Container vỏ tuyến đường HATECO - PAN HA. BKS: 15H21728" u="1"/>
        <s v="Cước vận chuyển Container hàng 40' tuyến đường PAN HA - NHĐV,. BKS: 15H-19390" u="1"/>
        <s v="Cước vận chuyển Container hàng 20' tuyến đường PAN HA - TÂN VŨ. BKS: 15C17301_A QUANG" u="1"/>
        <s v="Cước vận chuyển Container hàng 40' tuyến đường PAN HA - HẢI AN,. BKS: 15H17442" u="1"/>
        <s v="Cước vận chuyển Container hàng 20' tuyến đường PAN HA - HẢI AN. BKS: 15H17442" u="1"/>
        <s v="Cước vận chuyển Container vỏ tuyến đường HẢI AN - PAN HA. BKS: 15H17442" u="1"/>
        <s v="Cước vận chuyển Container vỏ tuyến đường HATECO - PAN HA. BKS: 15H17442" u="1"/>
        <s v="Cước vận chuyển Container hàng 40' tuyến đường PAN HA - NHĐV,. BKS: 15H17442" u="1"/>
        <s v="Cước vận chuyển Container hàng 20' tuyến đường PAN HA - NHĐV. BKS: 15H17442" u="1"/>
        <s v="Cước vận chuyển Container vỏ tuyến đường HẢI AN - PAN. BKS: 15H-17765 " u="1"/>
        <s v="Cước vận chuyển Container vỏ tuyến đường HẢI AN - PAN. BKS: 15H-19652" u="1"/>
        <s v="Cước vận chuyển Container vỏ tuyến đường PAN HA - HẢI AN. BKS: 15H-19652" u="1"/>
        <s v="Cước vận chuyển Container vỏ tuyến đường HẢI AN - PAN. BKS: 15H-16832" u="1"/>
        <s v="Cước vận chuyển Container vỏ tuyến đường PAN HA - HẢI AN. BKS: 15H-16832" u="1"/>
        <s v="Cước vận chuyển Container vỏ tuyến đường HẢI AN - PAN. BKS: 15H-18407" u="1"/>
        <s v="Cước vận chuyển Container vỏ tuyến đường PAN HA - HẢI AN. BKS: 15H-18407" u="1"/>
        <s v="Cước vận chuyển Container vỏ tuyến đường PAN HA - Nam Đình Vũ. BKS: 15C09877" u="1"/>
        <s v="Cước vận chuyển Container vỏ tuyến đường PAN HA - Nam Đình Vũ. BKS: 15H18552" u="1"/>
        <s v="Cước vận chuyển Container vỏ tuyến đường PAN HA - Nam Hải Đình Vũ. BKS: 15H07524" u="1"/>
        <s v="Cước vận chuyển Container hàng 20' tuyến đường PAN HA - Nam Hải Đình Vũ. BKS: 15H07524" u="1"/>
        <s v="Cước vận chuyển Container hàng 40' tuyến đường PAN HA - Nam Hải Đình Vũ. BKS: 15H07524" u="1"/>
        <s v="Cước vận chuyển Container hàng 20' tuyến đường PAN HA - Nam Hải Đình Vũ. BKS: 15H20645" u="1"/>
        <s v="Cước vận chuyển Container hàng 40' tuyến đường PAN HA - Nam Hải Đình Vũ. BKS: 15H20645" u="1"/>
        <s v="Cước vận chuyển Container hàng 20' tuyến đường PAN HA - HẢI AN. BKS:  15H17403" u="1"/>
        <s v="Cước vận chuyển Container hàng 40' tuyến đường PAN HA - Nam Hải Đình Vũ. BKS:  15H17403" u="1"/>
        <s v="Cước vận chuyển Container hàng 20' tuyến đường PAN HA - Nam Hải Đình Vũ. BKS: 15C21728" u="1"/>
        <s v="Cước vận chuyển Container hàng 20' tuyến đường PAN HA - Nam Đình Vũ. BKS: 15C21728" u="1"/>
        <s v="Cước vận chuyển Container hàng 40' tuyến đường PAN HA - Nam Hải Đình Vũ. BKS: 15C15033" u="1"/>
        <s v="Cước vận chuyển Container hàng 20' tuyến đường PAN HA - Nam Hải Đình Vũ. BKS: 15C15033" u="1"/>
        <s v="Cước vận chuyển Container hàng 20' tuyến đường PAN HA - Nam Đình Vũ. BKS: 15C15033" u="1"/>
        <s v="Cước vận chuyển Container vỏ tuyến đường PAN HA - Nam Hải Đình Vũ. BKS: 15H18552" u="1"/>
        <s v="Cước vận chuyển Container hàng 40' tuyến đường PAN HA - Nam Hải Đình Vũ. BKS: 15H18552" u="1"/>
        <s v="Cước vận chuyển Container vỏ tuyến đường PAN HA - Nam Hải Đình Vũ. BKS: 15C17301" u="1"/>
        <s v="Cước vận chuyển Container vỏ tuyến đường Nam Hải Đình Vũ - PAN HA. BKS: 15H15378" u="1"/>
        <s v="Cước vận chuyển Container vỏ tuyến đường PAN HA - Nam Hải Đình Vũ. BKS: 15H15378" u="1"/>
        <s v="Cước vận chuyển Container hàng 40' tuyến đường PAN HA - Nam Hải Đình Vũ. BKS: 15H15378" u="1"/>
        <s v="Cước vận chuyển Container vỏ tuyến đường PAN HA - Nam Hải Đình Vũ. BKS: 15C30649" u="1"/>
        <s v="Cước vận chuyển Container hàng 20' tuyến đường PAN HA - Nam Hải Đình Vũ. BKS: 15C30649" u="1"/>
        <s v="Cước vận chuyển Container hàng 40' tuyến đường PAN HA - Nam Hải Đình Vũ. BKS: 15C30649" u="1"/>
        <s v="Cước vận chuyển Container vỏ tuyến đường Nam Hải Đình Vũ - PAN HA. BKS: 15C30649" u="1"/>
        <s v="Cước vận chuyển Container hàng 40' tuyến đường PAN HA - Nam Hải Đình Vũ. BKS: 15C17442" u="1"/>
        <s v="Cước vận chuyển Container vỏ tuyến đường HẢI AN - PAN. BKS: 15C17442" u="1"/>
        <s v="Cước vận chuyển Container vỏ tuyến đường PAN HA - Nam Hải Đình Vũ. BKS: 15H18753" u="1"/>
        <s v="Cước vận chuyển Container hàng 40' tuyến đường PAN HA - Nam Hải Đình Vũ. BKS: 15H18753" u="1"/>
        <s v="Cước vận chuyển Container hàng 20' tuyến đường PAN HA - Nam Đình Vũ. BKS: 15H18753" u="1"/>
        <s v="Cước vận chuyển Container hàng 40' tuyến đường PAN HA - Nam Đình Vũ. BKS: 15H18753" u="1"/>
        <s v="Cước vận chuyển Container vỏ tuyến đường Nam Hải Đình Vũ - PAN HA. BKS: 15H18753" u="1"/>
        <s v="Cước vận chuyển Container vỏ tuyến đường HẢI AN - PAN. BKS: 15H18753" u="1"/>
        <s v="Cước vận chuyển Container vỏ tuyến đường Nam Hải Đình Vũ - PAN HA. BKS: 15C17301" u="1"/>
        <s v="Cước vận chuyển Container hàng 20' tuyến đường PAN HA - Nam Hải Đình Vũ. BKS: 15H07135" u="1"/>
        <s v="Cước vận chuyển Container hàng 40' tuyến đường PAN HA - Nam Hải Đình Vũ. BKS: 15H07135" u="1"/>
        <s v="Cước vận chuyển Container vỏ tuyến đường Nam Hải Đình Vũ - PAN HA. BKS: 15H07135" u="1"/>
        <s v="Cước vận chuyển Container vỏ tuyến đường HẢI AN - PAN. BKS: 15H07135" u="1"/>
        <s v="Cước vận chuyển Container vỏ tuyến đường PAN HA - Nam Đình Vũ. BKS: 15H07135" u="1"/>
        <s v="Cước vận chuyển Container hàng 20' tuyến đường PAN HA - Nam Đình Vũ. BKS: 15H08574" u="1"/>
        <s v="Cước vận chuyển Container hàng 20' tuyến đường PAN HA - Nam Hải Đình Vũ. BKS: 15H08574" u="1"/>
        <s v="Cước vận chuyển Container vỏ tuyến đường Nam Hải Đình Vũ - PAN HA. BKS: 15H18552" u="1"/>
        <s v="Cước vận chuyển Container vỏ tuyến đường PAN HA - Nam Đình Vũ. BKS: 15H12925" u="1"/>
        <s v="Cước vận chuyển Container hàng 20' tuyến đường PAN HA - Nam Đình Vũ. BKS: 15H06892" u="1"/>
        <s v="Cước vận chuyển Container vỏ tuyến đường PAN HA - Nam Hải Đình Vũ. BKS: 15H06892" u="1"/>
        <s v="Cước vận chuyển Container hàng 40' tuyến đường PAN HA - Nam Hải Đình Vũ. BKS: 15H06892" u="1"/>
        <s v="Cước vận chuyển Container vỏ tuyến đường PAN HA - Nam Đình Vũ. BKS: 15C17442" u="1"/>
        <s v="Cước vận chuyển Container vỏ tuyến đường PAN HA - Nam Đình Vũ. BKS: 15H18753" u="1"/>
        <s v="Cước vận chuyển Container vỏ tuyến đường HẢI AN - PAN. BKS: 15H17403" u="1"/>
        <s v="Cước vận chuyển Container hàng 40' tuyến đường PAN HA - HẢI AN. BKS: 15C21728" u="1"/>
        <s v="Cước vận chuyển Container vỏ tuyến đường NĐV - PAN. BKS: 15H17403" u="1"/>
        <s v="Cước vận chuyển Container vỏ tuyến đường NĐV - PAN. BKS: 15H18552" u="1"/>
        <s v="Cước vận chuyển Container vỏ tuyến đường NĐV - PAN. BKS: 15H15378" u="1"/>
        <s v="Cước vận chuyển Container vỏ tuyến đường HẢI AN - PAN. BKS: 15C17301" u="1"/>
        <s v="Cước vận chuyển Container vỏ tuyến đường HATECO - PAN. BKS: 15H07644" u="1"/>
        <s v="Cước vận chuyển Container vỏ tuyến đường HẢI AN - PAN. BKS: 15H07644" u="1"/>
        <s v="Cước vận chuyển Container vỏ tuyến đường HẢI AN - PAN. BKS: 15C09877" u="1"/>
        <s v="Cước vận chuyển Container vỏ tuyến đường HẢI AN - PAN. BKS: 15H12925" u="1"/>
        <s v="Cước vận chuyển Container vỏ tuyến đường HẢI AN - PAN. BKS: 15C30649" u="1"/>
        <s v="Cước vận chuyển Container vỏ tuyến đường HẢI AN - PAN. BKS: 15H17712" u="1"/>
        <s v="Cước vận chuyển Container hàng 20' tuyến đường PAN HA - HẢI AN. BKS: 15H18753" u="1"/>
        <s v="Cước vận chuyển Container vỏ tuyến đường HATECO - PAN. BKS: 15H18753" u="1"/>
        <s v="Cước vận chuyển Container vỏ tuyến đường HẢI AN - PAN. BKS: 15H08574" u="1"/>
        <s v="Cước vận chuyển Container vỏ tuyến đường HATECO - PAN. BKS: 15H08574" u="1"/>
        <s v="Cước vận chuyển Container vỏ tuyến đường HATECO - PAN. BKS: 15H07524" u="1"/>
        <s v="Cước vận chuyển Container vỏ tuyến đường PAN HA - Nam Hải Đình Vũ. BKS: 15H07644" u="1"/>
        <s v="Cước vận chuyển Container vỏ tuyến đường HATECO - PAN. BKS: 15C09877" u="1"/>
        <s v="Cước vận chuyển Container vỏ tuyến đường PAN HA - Nam Hải Đình Vũ. BKS: 15C09877" u="1"/>
        <s v="Cước vận chuyển Container vỏ tuyến đường HATECO - PAN. BKS: 15C15033" u="1"/>
        <s v="Cước vận chuyển Container vỏ tuyến đường HATECO - PAN. BKS: 15C17301" u="1"/>
        <s v="Cước vận chuyển Container vỏ tuyến đường HATECO - PAN. BKS: 15C21728" u="1"/>
        <s v="Cước vận chuyển Container vỏ tuyến đường HATECO - PAN. BKS: 15H07135" u="1"/>
        <s v="Cước vận chuyển Container vỏ tuyến đường PAN HA - Nam Hải Đình Vũ. BKS: 15H07135" u="1"/>
        <s v="Cước vận chuyển Container hàng 20' tuyến đường PAN HA - Nam Đình Vũ. BKS: 15H07135" u="1"/>
        <s v="Cước vận chuyển Container vỏ tuyến đường HATECO - PAN. BKS: 15H17712" u="1"/>
        <s v="Cước vận chuyển Container hàng 20' tuyến đường PAN HA - Nam Đình Vũ. BKS: 15H17712" u="1"/>
        <s v="Cước vận chuyển Container vỏ tuyến đường HATECO - PAN. BKS: 15C17442" u="1"/>
        <s v="Cước vận chuyển Container vỏ tuyến đường PAN HA - Nam Hải Đình Vũ. BKS: 15C17442" u="1"/>
        <s v="Cước vận chuyển Container vỏ tuyến đường HẢI AN - PAN. BKS: 15H07788" u="1"/>
        <s v="Cước vận chuyển Container vỏ tuyến đường HATECO - PAN. BKS: 15H07788" u="1"/>
        <s v="Cước vận chuyển Container vỏ tuyến đường PAN HA - Nam Hải Đình Vũ. BKS: 15H07788" u="1"/>
        <s v="Cước vận chuyển Container hàng 40' tuyến đường PAN HA - Nam Hải Đình Vũ. BKS: 15H07644" u="1"/>
        <s v="Cước vận chuyển Container vỏ tuyến đường HATECO - PAN. BKS: 15H06892" u="1"/>
        <s v="Cước vận chuyển Container vỏ tuyến đường HẢI AN - PAN. BKS: 15H06892" u="1"/>
        <s v="Cước vận chuyển Container vỏ tuyến đường HẢI AN - PAN. BKS: 15H07524" u="1"/>
        <s v="Cước vận chuyển Container hàng 40' tuyến đường PAN HA - Nam Hải Đình Vũ. BKS: 15C17301" u="1"/>
        <s v="Cước vận chuyển Container hàng 40' tuyến đường PAN HA - Nam Hải Đình Vũ. BKS: 15H08574" u="1"/>
        <s v="Cước vận chuyển Container vỏ tuyến đường PAN HA - Nam Hải Đình Vũ. BKS: 15H08574" u="1"/>
        <s v="Cước vận chuyển Container vỏ tuyến đường PAN HA - Nam Hải Đình Vũ. BKS: 15H17403" u="1"/>
        <s v="Cước vận chuyển Container vỏ tuyến đường PAN HA - Nam Hải Đình Vũ. BKS: 15C15033" u="1"/>
        <s v="Cước vận chuyển Container hàng 40' tuyến đường PAN HA - Nam Hải Đình Vũ. BKS: 15C09877" u="1"/>
        <s v="Cước vận chuyển Container vỏ tuyến đường PAN HA - Nam Hải Đình Vũ. BKS: 15H12925" u="1"/>
        <s v="Cước vận chuyển Container hàng 40' tuyến đường PAN HA - Nam Hải Đình Vũ. BKS: 15C21728" u="1"/>
        <s v="Cước vận chuyển Container vỏ tuyến đường PAN HA - Nam Hải Đình Vũ. BKS: 15C21728" u="1"/>
        <s v="Cước vận chuyển Container vỏ tuyến đường HẢI AN - PAN. BKS: 15H20645" u="1"/>
        <s v="Cước vận chuyển Container vỏ tuyến đường HATECO - PAN. BKS: 15H20645" u="1"/>
        <s v="Cước vận chuyển Container vỏ tuyến đường PAN HA - Nam Hải Đình Vũ. BKS: 15H20645" u="1"/>
        <s v="Cước vận chuyển Container vỏ tuyến đường NĐV - PAN. BKS: 15C15033" u="1"/>
        <s v="Cước vận chuyển Container vỏ tuyến đường NĐV - PAN. BKS: 15H08574" u="1"/>
        <s v="Cước vận chuyển Container vỏ tuyến đường HẢI AN - PAN. BKS: 15H18552" u="1"/>
        <s v="Cước vận chuyển Container vỏ tuyến đường HATECO - PAN. BKS: 15H17403" u="1"/>
        <s v="Cước vận chuyển Container vỏ tuyến đường HATECO - PAN. BKS: 15H12925" u="1"/>
        <s v="Cước vận chuyển Container hàng 20' tuyến đường PAN HA - Nam Đình Vũ. BKS: 15H07644" u="1"/>
        <s v="Cước vận chuyển Container hàng 20' tuyến đường PAN HA - Nam Đình Vũ. BKS: 15C17301" u="1"/>
        <s v="Cước vận chuyển Container vỏ tuyến đường HATECO - PAN. BKS: 15H18552" u="1"/>
        <s v="Cước vận chuyển Container hàng 20' tuyến đường PAN HA - Nam Đình Vũ. BKS: 15C09877" u="1"/>
        <s v="Cước vận chuyển Container hàng 20' tuyến đường PAN HA - Nam Hải Đình Vũ. BKS: 15C17442" u="1"/>
        <s v="Cước vận chuyển Container hàng 20' tuyến đường PAN HA - Nam Hải Đình Vũ. BKS: 15C17301" u="1"/>
        <s v="Cước vận chuyển Container hàng 40' tuyến đường PAN HA - Nam Hải Đình Vũ. BKS: 15H17712" u="1"/>
        <s v="Cước vận chuyển Container hàng 20' tuyến đường PAN HA - Nam Hải Đình Vũ. BKS: 15C09877" u="1"/>
        <s v="Cước vận chuyển Container hàng 40' tuyến đường PAN HA - Nam Đình Vũ. BKS: 15H07135" u="1"/>
        <s v="Cước vận chuyển Container vỏ tuyến đường HICT - PAN. BKS: 15H07135" u="1"/>
        <s v="Cước vận chuyển Container hàng 20' tuyến đường PAN HA - VIP. BKS: 15H07135" u="1"/>
        <s v="Cước vận chuyển Container hàng 40' tuyến đường PAN HA - VIP. BKS: 15C17442" u="1"/>
        <s v="Cước vận chuyển Container hàng 20' tuyến đường PAN HA - VIP. BKS: 15C21728" u="1"/>
        <s v="Cước vận chuyển Container hàng 20' tuyến đường PAN HA - VIP. BKS: 15C15033" u="1"/>
        <s v="Cước vận chuyển Container hàng 40' tuyến đường PAN HA - VIP. BKS: 15C15033" u="1"/>
        <s v="Cước vận chuyển Container hàng 20' tuyến đường PAN HA - VIP. BKS: 15H17712" u="1"/>
        <s v="Cước vận chuyển Container hàng 40' tuyến đường PAN HA - VIP. BKS: 15C30649" u="1"/>
        <s v="Cước vận chuyển Container hàng 40' tuyến đường PAN HA - VIP. BKS: 15C17301" u="1"/>
        <s v="Cước vận chuyển Container hàng 20' tuyến đường PAN HA - Nam Hải Đình Vũ. BKS: 15H07788" u="1"/>
        <s v="Cước vận chuyển Container hàng 20' tuyến đường PAN HA - Nam Hải Đình Vũ. BKS: 15H06892" u="1"/>
        <s v="Cước vận chuyển Container hàng 20' tuyến đường PAN HA - TÂN VŨ. BKS: 15H06892" u="1"/>
        <s v="Cước vận chuyển Container vỏ tuyến đường HATECO - PAN. BKS: 15H15378" u="1"/>
        <s v="Cước vận chuyển Container vỏ tuyến đường PAN HA - Nam Hải Đình Vũ. BKS: 15H17712" u="1"/>
        <s v="Cước vận chuyển Container hàng 20' tuyến đường PAN HA - Nam Đình Vũ. BKS: 15H07788" u="1"/>
        <s v="Cước vận chuyển Container hàng 20' tuyến đường PAN HA - Nam Hải Đình Vũ. BKS: 15H07644" u="1"/>
        <s v="Cước vận chuyển Container hàng 20' tuyến đường PAN HA - Nam Hải Đình Vũ. BKS: 15H17403" u="1"/>
        <s v="Cước vận chuyển Container hàng 20' tuyến đường PAN HA - Nam Hải Đình Vũ. BKS: 15H12925" u="1"/>
        <s v="Cước vận chuyển Container hàng 40' tuyến đường PAN HA - Nam Hải Đình Vũ. BKS: 15H07788" u="1"/>
        <s v="Cước vận chuyển Container hàng 20' tuyến đường PAN HA - Nam Hải Đình Vũ. BKS: 15H18753" u="1"/>
        <s v="Cước vận chuyển Container vỏ tuyến đường HẢI AN - PAN. BKS: 15H15378" u="1"/>
        <s v="Cước vận chuyển Container hàng 20' tuyến đường PAN HA - Nam Hải Đình Vũ. BKS: 15H17712" u="1"/>
        <s v="Cước vận chuyển Container hàng 40' tuyến đường PAN HA - VIP. BKS: 15H07524" u="1"/>
        <s v="Cước vận chuyển Container hàng 20' tuyến đường PAN HA - HẢI AN. BKS: 15C33146" u="1"/>
        <s v="Cước vận chuyển Container hàng 20' tuyến đường PAN HA - HẢI AN. BKS: 15C13761" u="1"/>
        <s v="Cước vận chuyển Container hàng 20' tuyến đường PAN HA - HẢI AN. BKS: 15C11961" u="1"/>
        <s v="Cước vận chuyển Container hàng 20' tuyến đường PAN HA - HẢI AN. BKS: 15H00145" u="1"/>
        <s v="Cước vận chuyển Container hàng 20' tuyến đường PAN HA - HẢI AN. BKS: 15C17546" u="1"/>
        <s v="Cước vận chuyển Container hàng 20' tuyến đường PAN HA - HẢI AN. BKS: 15H02087" u="1"/>
        <s v="Cước vận chuyển Container hàng 20' tuyến đường PAN HA - TÂN VŨ. BKS: 15H07524" u="1"/>
        <s v="Cước vận chuyển Container vỏ tuyến đường NHĐV - PAN HA. BKS: 15C30649" u="1"/>
        <s v="Cước vận chuyển Container vỏ tuyến đường NHĐV - PAN HA. BKS: 15H15378" u="1"/>
        <s v="Cước vận chuyển Container hàng 20' tuyến đường PAN HA - TÂN VŨ. BKS: 15H07644" u="1"/>
        <s v="Cước vận chuyển Container vỏ tuyến đường NĐV - PAN. BKS: 15C21728" u="1"/>
        <s v="Cước vận chuyển Container vỏ tuyến đường HICT - PAN. BKS: 15C21728" u="1"/>
        <s v="Cước vận chuyển Container vỏ tuyến đường NĐV - PAN. BKS: 15H07524" u="1"/>
        <s v="Cước vận chuyển Container vỏ tuyến đường HICT - PAN. BKS: 15H07524" u="1"/>
        <s v="Cước vận chuyển Container vỏ tuyến đường NĐV - PAN. BKS: 15H20645" u="1"/>
        <s v="Cước vận chuyển Container vỏ tuyến đường HICT - PAN. BKS: 15H20645" u="1"/>
        <s v="Cước vận chuyển Container vỏ tuyến đường HICT - PAN. BKS: 15H18552" u="1"/>
        <s v="Cước vận chuyển Container vỏ tuyến đường HICT - PAN. BKS: 15H08574" u="1"/>
        <s v="Cước vận chuyển Container vỏ tuyến đường HICT - PAN. BKS: 15H17403" u="1"/>
        <s v="Cước vận chuyển Container vỏ tuyến đường HICT - PAN. BKS: 15H15378" u="1"/>
        <s v="Cước vận chuyển Container vỏ tuyến đường HICT - PAN. BKS: 15C30649" u="1"/>
        <s v="Cước vận chuyển Container vỏ tuyến đường HICT - PAN. BKS: 15H12925" u="1"/>
        <s v="Cước vận chuyển Container vỏ tuyến đường NĐV - PAN. BKS: 15H06892" u="1"/>
        <s v="Cước vận chuyển Container vỏ tuyến đường PAN HA - NHĐV. BKS: 15H06892" u="1"/>
        <s v="Cước vận chuyển Container vỏ tuyến đường HICT - PAN. BKS: 15H06892" u="1"/>
        <s v="Cước vận chuyển Container vỏ tuyến đường HICT - PAN. BKS: 15H17712" u="1"/>
        <s v="Cước vận chuyển Container vỏ tuyến đường HICT - PAN. BKS: 15C15033" u="1"/>
        <s v="Cước vận chuyển Container vỏ tuyến đường HẢI AN - PAN. BKS: 15C15033" u="1"/>
        <s v="Cước vận chuyển Container vỏ tuyến đường HICT - PAN. BKS: 15C17442" u="1"/>
        <s v="Cước vận chuyển Container vỏ tuyến đường HICT - PAN. BKS: 15C09877" u="1"/>
        <s v="Cước vận chuyển Container vỏ tuyến đường HICT - PAN. BKS: 15H07788" u="1"/>
        <s v="Cước vận chuyển Container vỏ tuyến đường PAN HA - NDV. BKS: 15C09877" u="1"/>
        <s v="Cước vận chuyển Container vỏ tuyến đường PAN HA - NDV. BKS: 15H18552" u="1"/>
        <s v="Cước vận chuyển Container vỏ tuyến đường PAN HA - NDV. BKS: 15C17442" u="1"/>
        <s v="Cước vận chuyển Container vỏ tuyến đường PAN HA - NDV. BKS: 15H18753" u="1"/>
        <s v="Cước vận chuyển Container vỏ tuyến đường HẢI AN - PAN. BKS: 15C21728" u="1"/>
        <s v="Cước vận chuyển Container vỏ tuyến đường NHĐV - PAN HA. BKS: 15C17442" u="1"/>
        <s v="Cước vận chuyển Container Hàng 40' nhẹ tuyến đường PAN HA - HẢI AN. BKS: 15C17442" u="1"/>
        <s v="Cước vận chuyển Container vỏ tuyến đường HICT - PAN. BKS: 15H07644" u="1"/>
        <s v="Cước vận chuyển Container vỏ tuyến đường NHĐV - PAN HA. BKS: 15H18552" u="1"/>
        <s v="Cước vận chuyển Container Hàng 40' nhẹ tuyến đường PAN HA - HẢI AN. BKS: 15H18552" u="1"/>
        <s v="Cước vận chuyển Container Hàng 40' nhẹ tuyến đường PAN HA - HẢI AN. BKS: 15H17712" u="1"/>
        <s v="Cước vận chuyển Container Hàng 40' nhẹ tuyến đường PAN HA - HẢI AN. BKS: 15C15033" u="1"/>
        <s v="Cước vận chuyển Container Hàng 40' nhẹ tuyến đường PAN HA - HẢI AN. BKS: 15H06892" u="1"/>
        <s v="Cước vận chuyển Container Hàng 40' nhẹ tuyến đường PAN HA - HẢI AN. BKS: 15H07135" u="1"/>
        <s v="Cước vận chuyển Container vỏ tuyến đường HICT - PAN. BKS: 15H18753" u="1"/>
        <s v="Cước vận chuyển Container Hàng 40' nhẹ tuyến đường PAN HA - HẢI AN. BKS: 15H08574" u="1"/>
        <s v="Cước vận chuyển Container Hàng 40' nhẹ tuyến đường PAN HA - HẢI AN. BKS: 15H15378" u="1"/>
        <s v="Cước vận chuyển Container hàng 20' tuyến đường PAN HA - NHĐV. BKS: 15H-19660" u="1"/>
        <s v="Cước vận chuyển Container hàng 40' tuyến đường PAN HA - NHĐV. BKS: 15H-19660" u="1"/>
        <s v="Cước vận chuyển Container hàng 20' tuyến đường PAN HA - NHĐV. BKS: 15C-13761" u="1"/>
        <s v="Cước vận chuyển Container hàng 40' tuyến đường PAN HA - NHĐV. BKS: 15C-13761" u="1"/>
        <s v="Cước vận chuyển Container hàng 20' tuyến đường PAN HA - NHĐV. BKS: 15F-01664" u="1"/>
        <s v="Cước vận chuyển Container hàng 40' tuyến đường PAN HA - NHĐV. BKS: 15F-01664" u="1"/>
        <s v="Cước vận chuyển Container hàng 20' tuyến đường PAN HA - NHĐV. BKS: 15H-00948" u="1"/>
        <s v="Cước vận chuyển Container hàng 40' tuyến đường PAN HA - NHĐV. BKS: 15H-00948" u="1"/>
        <s v="Cước vận chuyển Container hàng 20' tuyến đường PAN HA - NHĐV. BKS: 15H-06832" u="1"/>
        <s v="Cước vận chuyển Container hàng 40' tuyến đường PAN HA - NHĐV. BKS: 15H-06832" u="1"/>
        <s v="Cước vận chuyển Container hàng 40' tuyến đường PAN HA - NHĐV. BKS: 15H-00145" u="1"/>
        <s v="Cước vận chuyển Container hàng 20' tuyến đường PAN HA - NHĐV. BKS: 15H-00145" u="1"/>
        <s v="Cước vận chuyển Container hàng 20' tuyến đường PAN HA - NHĐV. BKS: 15H-15383" u="1"/>
        <s v="Cước vận chuyển Container hàng 40' tuyến đường PAN HA - NHĐV. BKS: 15C-06759" u="1"/>
        <s v="Cước vận chuyển Container hàng 20' tuyến đường PAN HA - NHĐV. BKS: 15C-06759" u="1"/>
        <s v="Cước vận chuyển Container hàng 40' tuyến đường PAN HA - NHĐV. BKS: 15H-08509" u="1"/>
        <s v="Cước vận chuyển Container hàng 20' tuyến đường PAN HA - NHĐV. BKS: 15H-08509" u="1"/>
        <s v="Cước vận chuyển Container hàng 20' tuyến đường PAN HA - NHĐV. BKS: 15H-15130" u="1"/>
        <s v="Cước vận chuyển Container hàng 20' tuyến đường PAN HA - NHĐV. BKS: 15F-01617" u="1"/>
        <s v="Cước vận chuyển Container hàng 40' tuyến đường PAN HA - NHĐV. BKS: 15F-01617" u="1"/>
        <s v="Cước vận chuyển Container hàng 20' tuyến đường PAN HA - NHĐV. BKS: 15H-08110" u="1"/>
        <s v="Cước vận chuyển Container hàng 20' tuyến đường PAN HA - NHĐV. BKS: 15H-07505" u="1"/>
        <s v="Cước vận chuyển Container hàng 20' tuyến đường PAN HA - NHĐV. BKS: 15H-07429" u="1"/>
        <s v="Cước vận chuyển Container hàng 20' tuyến đường PAN HA - NHĐV. BKS: 15H-08545" u="1"/>
        <s v="Cước vận chuyển Container hàng 40' tuyến đường PAN HA - NHĐV. BKS: 15H-08545" u="1"/>
        <s v="Cước vận chuyển Container hàng 20' tuyến đường PAN HA - NHĐV. BKS: 15H-06996" u="1"/>
        <s v="Cước vận chuyển Container hàng 40' tuyến đường PAN HA - NHĐV. BKS: 15H-06996" u="1"/>
        <s v="Cước vận chuyển Container hàng 40' tuyến đường PAN HA - NHĐV. BKS: 15H-08879" u="1"/>
        <s v="Cước vận chuyển Container hàng 20' tuyến đường PAN HA - NHĐV. BKS: 15H-16267" u="1"/>
        <s v="Cước vận chuyển Container vỏ tuyến đường HATECO - PAN. BKS: 15C30649" u="1"/>
        <s v="Cước vận chuyển Container hàng 20' tuyến đường PAN HA - TÂN VŨ. BKS: 15C21728" u="1"/>
        <s v="Cước vận chuyển Container hàng 20' tuyến đường PAN HA - NDV. BKS: 15H06892" u="1"/>
        <s v="Cước vận chuyển Container vỏ tuyến đường NHĐV - PAN HA.. BKS: 15C30649" u="1"/>
        <s v="Cước vận chuyển Container vỏ tuyến đường NHĐV - PAN HA.. BKS: 15H15378" u="1"/>
        <s v="Cước vận chuyển Container vỏ tuyến đường PAN HA - NHĐV.. BKS: 15H06892" u="1"/>
        <s v="Cước vận chuyển Container vỏ tuyến đường NHĐV - PAN HA.. BKS: 15C17442" u="1"/>
        <s v="Cước vận chuyển Container vỏ tuyến đường PAN HA - HẢI AN,. BKS: 15C17442" u="1"/>
        <s v="Cước vận chuyển Container vỏ tuyến đường NHĐV - PAN HA.. BKS: 15H18552" u="1"/>
        <s v="Cước vận chuyển Container vỏ tuyến đường PAN HA - HẢI AN,. BKS: 15H18552" u="1"/>
        <s v="Cước vận chuyển Container vỏ tuyến đường PAN HA - HẢI AN,. BKS: 15H17712" u="1"/>
        <s v="Cước vận chuyển Container vỏ tuyến đường PAN HA - HẢI AN,. BKS: 15C15033" u="1"/>
        <s v="Cước vận chuyển Container vỏ tuyến đường PAN HA - HẢI AN,. BKS: 15H06892" u="1"/>
        <s v="Cước vận chuyển Container vỏ tuyến đường PAN HA - HẢI AN,. BKS: 15H07135" u="1"/>
        <s v="Cước vận chuyển Container vỏ tuyến đường PAN HA - HẢI AN,. BKS: 15H08574" u="1"/>
        <s v="Cước vận chuyển Container vỏ tuyến đường PAN HA - HẢI AN,. BKS: 15H15378" u="1"/>
        <s v="Cước vận chuyển Container hàng 40' tuyến đường PAN HA - NHĐV,. BKS: 15H-19660" u="1"/>
        <s v="Cước vận chuyển Container hàng 40' tuyến đường PAN HA - NHĐV,. BKS: 15C-13761" u="1"/>
        <s v="Cước vận chuyển Container hàng 40' tuyến đường PAN HA - NHĐV,. BKS: 15F-01664" u="1"/>
        <s v="Cước vận chuyển Container hàng 40' tuyến đường PAN HA - NHĐV,. BKS: 15H-00948" u="1"/>
        <s v="Cước vận chuyển Container hàng 40' tuyến đường PAN HA - NHĐV,. BKS: 15H-06832" u="1"/>
        <s v="Cước vận chuyển Container hàng 40' tuyến đường PAN HA - NHĐV,. BKS: 15H-00145" u="1"/>
        <s v="Cước vận chuyển Container hàng 40' tuyến đường PAN HA - NHĐV,. BKS: 15C-06759" u="1"/>
        <s v="Cước vận chuyển Container hàng 40' tuyến đường PAN HA - NHĐV,. BKS: 15H-08509" u="1"/>
        <s v="Cước vận chuyển Container hàng 40' tuyến đường PAN HA - NHĐV,. BKS: 15F-01617" u="1"/>
        <s v="Cước vận chuyển Container hàng 40' tuyến đường PAN HA - NHĐV,. BKS: 15H-08545" u="1"/>
        <s v="Cước vận chuyển Container hàng 40' tuyến đường PAN HA - NHĐV,. BKS: 15H-06996" u="1"/>
        <s v="Cước vận chuyển Container hàng 40' tuyến đường PAN HA - NHĐV,. BKS: 15H-08879" u="1"/>
        <s v="Cước vận chuyển Container vỏ tuyến đường PAN HA - HẢI AN. BKS: 15H18573" u="1"/>
        <s v="Cước vận chuyển Container hàng 40' tuyến đường PAN HA - HẢI AN. BKS: 15H18573" u="1"/>
        <s v="Cước vận chuyển Container vỏ tuyến đường PAN HA - HẢI AN.. BKS: 15H18573" u="1"/>
        <s v="Cước vận chuyển Container hàng 40' tuyến đường PAN HA - HẢI AN,. BKS: 15H18573" u="1"/>
        <s v="Cước vận chuyển Container hàng 20' tuyến đường PAN HA - ĐÌNH VŨ. BKS: 15H07644" u="1"/>
        <s v="Cước vận chuyển Container hàng 20' tuyến đường PAN HA - ĐÌNH VŨ. BKS: 15C15033" u="1"/>
        <s v="Cước vận chuyển Container vỏ tuyến đường PAN HA - NHĐV. BKS: 15C09877" u="1"/>
        <s v="Cước vận chuyển Container hàng 20' tuyến đường PAN HA - ĐÌNH VŨ. BKS: 15H07524" u="1"/>
        <s v="Cước vận chuyển Container vỏ tuyến đường PAN HA - NHĐV. BKS: 15H08574" u="1"/>
        <s v="Cước vận chuyển Container hàng 20' tuyến đường PAN HA - ĐÌNH VŨ. BKS: 15C30649" u="1"/>
        <s v="Cước vận chuyển Container vỏ tuyến đường PAN HA - NDV. BKS: 15C21728" u="1"/>
        <s v="Cước vận chuyển Container vỏ tuyến đường PAN HA - NDV. BKS: 15C15033" u="1"/>
        <s v="Cước vận chuyển Container vỏ tuyến đường PAN HA - NDV. BKS: 15H07644" u="1"/>
        <s v="Cước vận chuyển Container vỏ tuyến đường PAN HA - NDV. BKS: 15C30649" u="1"/>
        <s v="Cước vận chuyển Container vỏ tuyến đường PAN HA - NDV. BKS: 15H17403" u="1"/>
        <s v="Cước vận chuyển Container vỏ tuyến đường PAN HA - NDV. BKS: 15H15378" u="1"/>
        <s v="Cước vận chuyển Container vỏ tuyến đường PAN HA - NDV. BKS: 15H07788" u="1"/>
        <s v="Cước vận chuyển Container hàng 20' tuyến đường PAN HA - ĐÌNH VŨ. BKS: 15H07788" u="1"/>
        <s v="Cước vận chuyển Container vỏ tuyến đường PAN HA - NDV. BKS: 15H12925" u="1"/>
        <s v="Cước vận chuyển Container vỏ tuyến đường PAN HA - NDV. BKS: 15H07524" u="1"/>
        <s v="Cước vận chuyển Container vỏ tuyến đường PAN HA - NDV. BKS: 15H06892" u="1"/>
        <s v="Cước vận chuyển Container vỏ tuyến đường PAN HA - NHĐV. BKS: 15H15378" u="1"/>
        <s v="Cước vận chuyển Container vỏ tuyến đường PAN HA - HẢI AN. BKS: 15H07584" u="1"/>
        <s v="Cước vận chuyển Container vỏ tuyến đường HATECO - PAN. BKS: 15H07584" u="1"/>
        <s v="Cước vận chuyển Container hàng 20' tuyến đường PAN HA - NDV. BKS: 15H07584" u="1"/>
        <s v="Cước vận chuyển Container hàng 20' tuyến đường PAN HA - NHĐV. BKS: 15H07584" u="1"/>
        <s v="Cước vận chuyển Container hàng 40' tuyến đường PAN HA - NHĐV. BKS: 15H07584" u="1"/>
        <s v="Cước vận chuyển Container vỏ tuyến đường PAN HA - NHĐV. BKS: 15C15033" u="1"/>
        <s v="Cước vận chuyển Container vỏ tuyến đường PAN HA - TÂN VŨ. BKS: 15C09877" u="1"/>
        <s v="Cước vận chuyển Container vỏ tuyến đường PAN HA - TÂN VŨ. BKS: 15H17712" u="1"/>
        <s v="Cước vận chuyển Container vỏ tuyến đường PAN HA - VIP. BKS: 15H07524" u="1"/>
        <s v="Cước vận chuyển Container vỏ tuyến đường PAN HA - TÂN VŨ. BKS: 15C21728" u="1"/>
        <s v="Cước vận chuyển Container vỏ tuyến đường PAN HA - VIP. BKS: 15C21728" u="1"/>
        <s v="Cước vận chuyển Container vỏ tuyến đường PAN HA - TÂN VŨ. BKS: 15H15378" u="1"/>
        <s v="Cước vận chuyển Container vỏ tuyến đường PAN HA - VIP. BKS: 15H15378" u="1"/>
        <s v="Cước vận chuyển Container vỏ tuyến đường PAN HA - TÂN VŨ. BKS: 15C17442" u="1"/>
        <s v="Cước vận chuyển Container vỏ tuyến đường PAN HA - VIP. BKS: 15H17403" u="1"/>
        <s v="Cước vận chuyển Container vỏ tuyến đường PAN HA - VIP. BKS: 15C30649" u="1"/>
        <s v="Cước vận chuyển Container vỏ tuyến đường PAN HA - VIP. BKS: 15H17712" u="1"/>
        <s v="Cước vận chuyển Container vỏ tuyến đường PAN HA - NHĐV. BKS: 15H18753" u="1"/>
        <s v="Cước vận chuyển Container vỏ tuyến đường PAN HA - TÂN VŨ. BKS: 15H18753" u="1"/>
        <s v="Cước vận chuyển Container vỏ tuyến đường PAN HA - VIP. BKS: 15H18753" u="1"/>
        <s v="Cước vận chuyển Container vỏ tuyến đường PAN HA - VIP. BKS: 15C15033" u="1"/>
        <s v="Cước vận chuyển Container vỏ tuyến đường PAN HA - VIP. BKS: 15C17301" u="1"/>
        <s v="Cước vận chuyển Container vỏ tuyến đường PAN HA - TÂN VŨ. BKS: 15H12925" u="1"/>
        <s v="Cước vận chuyển Container vỏ tuyến đường PAN HA - VIP. BKS: 15H12925" u="1"/>
        <s v="Cước vận chuyển Container vỏ tuyến đường PAN HA - TÂN VŨ. BKS: 15H06892" u="1"/>
        <s v="Cước vận chuyển Container vỏ tuyến đường PAN HA - VIP. BKS: 15H07135" u="1"/>
        <s v="Cước vận chuyển Container vỏ tuyến đường PAN HA - VIP. BKS: 15H08574" u="1"/>
        <s v="Cước vận chuyển Container hàng 20' tuyến đường PAN HA - TÂN VŨ. BKS: 15H07788" u="1"/>
        <s v="Cước vận chuyển Container vỏ tuyến đường PAN HA - TÂN VŨ. BKS: 15H07788" u="1"/>
        <s v="Cước vận chuyển Container vỏ tuyến đường PAN HA - VIP. BKS: 15H07788" u="1"/>
        <s v="Cước vận chuyển Container hàng 20' tuyến đường PAN HA - NHĐV. BKS: 15H30649" u="1"/>
        <s v="Cước vận chuyển Container hàng 40' tuyến đường PAN HA - NHĐV. BKS: 15H30649" u="1"/>
        <s v="Cước vận chuyển Container hàng 20' tuyến đường PAN HA - HẢI AN. BKS: 15H17301" u="1"/>
        <s v="Cước vận chuyển Container vỏ tuyến đường NHĐV - PAN HA. BKS: 15H06892" u="1"/>
        <s v="Cước vận chuyển Container vỏ tuyến đường PAN HA - NHĐV. BKS: 15H18552" u="1"/>
        <s v="Cước vận chuyển Container vỏ tuyến đường PAN HA - NDV. BKS: 15C17301" u="1"/>
        <s v="Cước vận chuyển Container vỏ tuyến đường PAN HA - NHĐV. BKS: 15C17301" u="1"/>
        <s v="Cước vận chuyển Container vỏ tuyến đường NHĐV - PAN HA. BKS: 15C17301" u="1"/>
        <s v="Cước vận chuyển Container vỏ tuyến đường NHĐV - PAN HA. BKS: 15H07524" u="1"/>
        <s v="Cước vận chuyển Container vỏ tuyến đường NHĐV - PAN HA. BKS: 15H17403" u="1"/>
        <s v="Cước vận chuyển Container vỏ tuyến đường NHĐV - PAN HA. BKS: 15C09877" u="1"/>
        <s v="Cước vận chuyển Container vỏ tuyến đường NHĐV - PAN HA. BKS: 15H18753" u="1"/>
        <s v="Cước vận chuyển Container vỏ tuyến đường NHĐV - PAN HA. BKS: 15H07644" u="1"/>
        <s v="Cước vận chuyển Container vỏ tuyến đường NHĐV - PAN HA. BKS: 15C21728" u="1"/>
        <s v="Cước vận chuyển Container vỏ tuyến đường NHĐV - PAN HA. BKS: 15C15033" u="1"/>
        <s v="Cước vận chuyển Container vỏ tuyến đường NHĐV - PAN HA. BKS: 15H12925" u="1"/>
        <s v="Cước vận chuyển Container vỏ tuyến đường NHĐV - PAN HA. BKS: 15H07788" u="1"/>
        <s v="Cước vận chuyển Container vỏ tuyến đường PAN HA - NHĐV. BKS: 15C17442" u="1"/>
        <s v="Cước vận chuyển Container vỏ tuyến đường NHĐV - PAN HA. BKS: 15H17712" u="1"/>
        <s v="Cước vận chuyển Container vỏ tuyến đường PAN HA - NDV. BKS: 15H17712" u="1"/>
        <s v="Cước vận chuyển Container vỏ tuyến đường NHĐV - PAN HA. BKS: 15H08574" u="1"/>
        <s v="Cước vận chuyển Container hàng 40' tuyến đường PAN HA - NDV,. BKS: 15C17301" u="1"/>
        <s v="Cước vận chuyển Container vỏ 40' tuyến đường PAN HA - HẢI AN. BKS: 15C09877" u="1"/>
        <s v="Cước vận chuyển Container vỏ 40' tuyến đường HATECO - PAN. BKS: 15C09877" u="1"/>
        <s v="Cước vận chuyển Container vỏ 40' tuyến đường HẢI AN - PAN. BKS: 15H06892" u="1"/>
        <s v="Cước vận chuyển Container vỏ 40' tuyến đường NHĐV - PAN HA. BKS: 15H06892" u="1"/>
        <s v="Cước vận chuyển Container vỏ 40' tuyến đường PAN HA - HẢI AN. BKS: 15H06892" u="1"/>
        <s v="Cước vận chuyển Container vỏ 40' tuyến đường HATECO - PAN. BKS: 15H18552" u="1"/>
        <s v="Cước vận chuyển Container vỏ 40' tuyến đường HATECO - PAN. BKS: 15H08574" u="1"/>
        <s v="Cước vận chuyển Container vỏ 40' tuyến đường PAN HA - HẢI AN. BKS: 15H08574" u="1"/>
        <s v="Cước vận chuyển Container vỏ 40' tuyến đường HATECO - PAN. BKS: 15C17442" u="1"/>
        <s v="Cước vận chuyển Container vỏ 40' tuyến đường PAN HA - HẢI AN. BKS: 15C17442" u="1"/>
        <s v="Cước vận chuyển Container vỏ 40' tuyến đường HATECO - PAN. BKS: 15H07644" u="1"/>
        <s v="Cước vận chuyển Container vỏ 40' tuyến đường PAN HA - HẢI AN. BKS: 15H07644" u="1"/>
        <s v="Cước vận chuyển Container vỏ 40' tuyến đường HATECO - PAN. BKS: 15H06892" u="1"/>
        <s v="Cước vận chuyển Container vỏ 40' tuyến đường HATECO - PAN. BKS: 15H18753" u="1"/>
        <s v="Cước vận chuyển Container vỏ 40' tuyến đường PAN HA - HẢI AN. BKS: 15H18753" u="1"/>
        <s v="Cước vận chuyển Container vỏ 40' tuyến đường PAN HA - HẢI AN. BKS: 15H15378" u="1"/>
        <s v="Cước vận chuyển Container vỏ 40' tuyến đường HATECO - PAN. BKS: 15H15378" u="1"/>
        <s v="Cước vận chuyển Container vỏ 40' tuyến đường HATECO - PAN. BKS: 15C21728" u="1"/>
        <s v="Cước vận chuyển Container vỏ 40' tuyến đường PAN HA - HẢI AN. BKS: 15C21728" u="1"/>
        <s v="Cước vận chuyển Container vỏ 40' tuyến đường HATECO - PAN. BKS: 15H12925" u="1"/>
        <s v="Cước vận chuyển Container vỏ 40' tuyến đường HATECO - PAN. BKS: 15C15033" u="1"/>
        <s v="Cước vận chuyển Container vỏ 40' tuyến đường HATECO - PAN. BKS: 15C30649" u="1"/>
        <s v="Cước vận chuyển Container vỏ 40' tuyến đường PAN HA - HẢI AN. BKS: 15H07135" u="1"/>
        <s v="Cước vận chuyển Container vỏ 40' tuyến đường HATECO - PAN. BKS: 15H07135" u="1"/>
        <s v="Cước vận chuyển Container vỏ 40' tuyến đường NHĐV - PAN HA. BKS: 15C17442" u="1"/>
        <s v="Cước vận chuyển Container vỏ 40' tuyến đường PAN HA - TÂN VŨ. BKS: 15H12925" u="1"/>
        <s v="Cước vận chuyển Container vỏ 40' tuyến đường HATECO - PAN. BKS: 15H17403" u="1"/>
        <s v="Cước vận chuyển Container vỏ 40' tuyến đường PAN HA - TÂN VŨ. BKS: 15H17403" u="1"/>
        <s v="Cước vận chuyển Container vỏ 40' tuyến đường PAN HA - HẢI AN. BKS: 15H17403" u="1"/>
        <s v="Cước vận chuyển Container vỏ 40' tuyến đường HATECO - PAN. BKS: 15C17301" u="1"/>
        <s v="Cước vận chuyển Container vỏ 40' tuyến đường PAN HA - TÂN VŨ. BKS: 15C17301" u="1"/>
        <s v="Cước vận chuyển Container vỏ 40' tuyến đường PAN HA - TÂN VŨ. BKS: 15H18753" u="1"/>
        <s v="Cước vận chuyển Container vỏ 40' tuyến đường PAN HA - TÂN VŨ. BKS: 15H07644" u="1"/>
        <s v="Cước vận chuyển Container vỏ 40' tuyến đường HATECO - PAN. BKS: 15H07788" u="1"/>
        <s v="Cước vận chuyển Container vỏ 40' tuyến đường PAN HA - TÂN VŨ. BKS: 15H07788" u="1"/>
        <s v="Cước vận chuyển Container vỏ 40' tuyến đường PAN HA - HẢI AN. BKS: 15H07524" u="1"/>
        <s v="Cước vận chuyển Container vỏ 40' tuyến đường PAN HA - TÂN VŨ. BKS: 15H06892" u="1"/>
        <s v="Cước vận chuyển Container vỏ 40' tuyến đường PAN HA - TÂN VŨ. BKS: 15H18552" u="1"/>
        <s v="Cước vận chuyển Container vỏ 40' tuyến đường PAN HA - HẢI AN. BKS: 15H18552" u="1"/>
        <s v="Cước vận chuyển Container vỏ 40' tuyến đường PAN HA - HẢI AN. BKS: 15H12925" u="1"/>
        <s v="Cước vận chuyển Container vỏ 40' tuyến đường PAN HA - TÂN VŨ. BKS: 15C30649" u="1"/>
        <s v="Cước vận chuyển Container vỏ 40' tuyến đường PAN HA - TÂN VŨ. BKS: 15C15033" u="1"/>
        <s v="Cước vận chuyển Container vỏ 40' tuyến đường PAN HA - HẢI AN. BKS: 15C15033" u="1"/>
        <s v="Cước vận chuyển Container vỏ 40' tuyến đường HATECO - PAN. BKS: 15H07524" u="1"/>
        <s v="Cước vận chuyển Container vỏ 40' tuyến đường PAN HA - TÂN VŨ. BKS: 15H07524" u="1"/>
        <s v="Cước vận chuyển Container vỏ 40' tuyến đường PAN HA - NHĐV. BKS: 15H18552" u="1"/>
        <s v="Cước vận chuyển Container vỏ 40' tuyến đường PAN HA - NDV. BKS: 15H07644" u="1"/>
        <s v="Cước vận chuyển Container vỏ 40' tuyến đường PAN HA - NDV. BKS: 15C15033" u="1"/>
        <s v="Cước vận chuyển Container vỏ 40' tuyến đường PAN HA - NDV. BKS: 15C17301" u="1"/>
        <s v="Cước vận chuyển Container vỏ 40' tuyến đường PAN HA - NHĐV. BKS: 15C17301" u="1"/>
        <s v="Cước vận chuyển Container vỏ 40' tuyến đường NHĐV - PAN HA. BKS: 15C17301" u="1"/>
        <s v="Cước vận chuyển Container vỏ 40' tuyến đường PAN HA - HẢI AN. BKS: 15C17301" u="1"/>
        <s v="Cước vận chuyển Container vỏ 40' tuyến đường PAN HA - NDV. BKS: 15C17442" u="1"/>
        <s v="Cước vận chuyển Container vỏ 40' tuyến đường PAN HA - TÂN VŨ. BKS: 15C17442" u="1"/>
        <s v="Cước vận chuyển Container vỏ 40' tuyến đường NHĐV - PAN HA. BKS: 15H07524" u="1"/>
        <s v="Cước vận chuyển Container vỏ 40' tuyến đường NHĐV - PAN HA. BKS: 15H17403" u="1"/>
        <s v="Cước vận chuyển Container vỏ 40' tuyến đường NHĐV - PAN HA. BKS: 15C09877" u="1"/>
        <s v="Cước vận chuyển Container vỏ 40' tuyến đường NHĐV - PAN HA. BKS: 15H18753" u="1"/>
        <s v="Cước vận chuyển Container vỏ 40' tuyến đường PAN HA - NDV. BKS: 15H18753" u="1"/>
        <s v="Cước vận chuyển Container vỏ 40' tuyến đường PAN HA - NHĐV. BKS: 15H18753" u="1"/>
        <s v="Cước vận chuyển Container vỏ 40' tuyến đường NHĐV - PAN HA. BKS: 15C30649" u="1"/>
        <s v="Cước vận chuyển Container vỏ 40' tuyến đường PAN HA - HẢI AN. BKS: 15C30649" u="1"/>
        <s v="Cước vận chuyển Container vỏ 40' tuyến đường NHĐV - PAN HA. BKS: 15H07644" u="1"/>
        <s v="Cước vận chuyển Container vỏ 40' tuyến đường NHĐV - PAN HA. BKS: 15C21728" u="1"/>
        <s v="Cước vận chuyển Container vỏ 40' tuyến đường NHĐV - PAN HA. BKS: 15C15033" u="1"/>
        <s v="Cước vận chuyển Container vỏ 40' tuyến đường NHĐV - PAN HA. BKS: 15H15378" u="1"/>
        <s v="Cước vận chuyển Container vỏ 40' tuyến đường NHĐV - PAN HA. BKS: 15H12925" u="1"/>
        <s v="Cước vận chuyển Container vỏ 40' tuyến đường PAN HA - HẢI AN. BKS: 15H07788" u="1"/>
        <s v="Cước vận chuyển Container vỏ 40' tuyến đường NHĐV - PAN HA. BKS: 15H07788" u="1"/>
        <s v="Cước vận chuyển Container vỏ 40' tuyến đường PAN HA - NHĐV. BKS: 15C17442" u="1"/>
        <s v="Cước vận chuyển Container vỏ 40' tuyến đường NHĐV - PAN HA. BKS: 15H17712" u="1"/>
        <s v="Cước vận chuyển Container vỏ 40' tuyến đường PAN HA - NDV. BKS: 15H17712" u="1"/>
        <s v="Cước vận chuyển Container vỏ 40' tuyến đường PAN HA - HẢI AN. BKS: 15H17712" u="1"/>
        <s v="Cước vận chuyển Container vỏ 40' tuyến đường NHĐV - PAN HA. BKS: 15H08574" u="1"/>
        <s v="Cước vận chuyển Container hàng 40' tuyến đường PAN HA - NDV. BKS: 15C17301" u="1"/>
        <s v="Cước vận chuyển Container vỏ 40' tuyến đường HẢI AN - PAN. BKS: 15C30649" u="1"/>
        <s v="Cước vận chuyển Container vỏ 40' tuyến đường HẢI AN - PAN. BKS: 15C15033" u="1"/>
        <s v="Cước vận chuyển Container vỏ 40' tuyến đường HẢI AN - PAN. BKS: 15H07135" u="1"/>
        <s v="Cước vận chuyển Container vỏ 40' tuyến đường HẢI AN - PAN. BKS: 15H07644" u="1"/>
        <s v="Cước vận chuyển Container vỏ 40' tuyến đường HẢI AN - PAN. BKS: 15H07788" u="1"/>
        <s v="Cước vận chuyển Container vỏ 40' tuyến đường HẢI AN - PAN. BKS: 15C21728" u="1"/>
        <s v="Cước vận chuyển Container vỏ 40' tuyến đường HẢI AN - PAN. BKS: 15H08574" u="1"/>
        <s v="Cước vận chuyển Container vỏ 40' tuyến đường PAN HA - VIP. BKS: 15H08574" u="1"/>
        <s v="Cước vận chuyển Container vỏ 40' tuyến đường PAN HA - VIP. BKS: 15H07644" u="1"/>
        <s v="Cước vận chuyển Container vỏ 40' tuyến đường HẢI AN - PAN. BKS: 15C17301" u="1"/>
        <s v="Cước vận chuyển Container vỏ 40' tuyến đường PAN HA - VIP. BKS: 15C17301" u="1"/>
        <s v="Cước vận chuyển Container vỏ 40' tuyến đường PAN HA - VIP. BKS: 15C30649" u="1"/>
        <s v="Cước vận chuyển Container vỏ 40' tuyến đường HẢI AN - PAN. BKS: 15H07524" u="1"/>
        <s v="Cước vận chuyển Container vỏ 40' tuyến đường HẢI AN - PAN. BKS: 15H15378" u="1"/>
        <s v="Cước vận chuyển Container vỏ 40' tuyến đường PAN HA - VIP. BKS: 15H18753" u="1"/>
        <s v="Cước vận chuyển Container vỏ 40' tuyến đường PAN HA - VIP. BKS: 15H18552" u="1"/>
        <s v="Cước vận chuyển Container vỏ 40' tuyến đường PAN HA - VIP. BKS: 15H06892" u="1"/>
        <s v="Cước vận chuyển Container vỏ 40' tuyến đường PAN HA - VIP. BKS: 15C21728" u="1"/>
        <s v="Cước vận chuyển Container vỏ 40' tuyến đường PAN HA - VIP. BKS: 15H12925" u="1"/>
        <s v="Cước vận chuyển Container vỏ 40' tuyến đường HẢI AN - PAN. BKS: 15C17442" u="1"/>
        <s v="Cước vận chuyển Container vỏ 40' tuyến đường PAN HA - VIP. BKS: 15C17442" u="1"/>
        <s v="Cước vận chuyển Container vỏ 40' tuyến đường PAN HA - HẢI AN.. BKS: 15C09877" u="1"/>
        <s v="Cước vận chuyển Container vỏ 40' tuyến đường NHĐV - PAN HA.. BKS: 15H06892" u="1"/>
        <s v="Cước vận chuyển Container vỏ 40' tuyến đường PAN HA - HẢI AN.. BKS: 15H06892" u="1"/>
        <s v="Cước vận chuyển Container vỏ 40' tuyến đường PAN HA - HẢI AN.. BKS: 15H08574" u="1"/>
        <s v="Cước vận chuyển Container vỏ 40' tuyến đường PAN HA - HẢI AN.. BKS: 15C17442" u="1"/>
        <s v="Cước vận chuyển Container vỏ 40' tuyến đường PAN HA - HẢI AN.. BKS: 15H07644" u="1"/>
        <s v="Cước vận chuyển Container vỏ 40' tuyến đường PAN HA - HẢI AN.. BKS: 15H18753" u="1"/>
        <s v="Cước vận chuyển Container vỏ 40' tuyến đường PAN HA - HẢI AN.. BKS: 15H15378" u="1"/>
        <s v="Cước vận chuyển Container vỏ 40' tuyến đường PAN HA - HẢI AN.. BKS: 15C21728" u="1"/>
        <s v="Cước vận chuyển Container vỏ 40' tuyến đường PAN HA - HẢI AN.. BKS: 15H07135" u="1"/>
        <s v="Cước vận chuyển Container vỏ 40' tuyến đường NHĐV - PAN HA.. BKS: 15C17442" u="1"/>
        <s v="Cước vận chuyển Container vỏ 40' tuyến đường PAN HA - TÂN VŨ.. BKS: 15H12925" u="1"/>
        <s v="Cước vận chuyển Container vỏ 40' tuyến đường PAN HA - TÂN VŨ.. BKS: 15H17403" u="1"/>
        <s v="Cước vận chuyển Container vỏ 40' tuyến đường PAN HA - HẢI AN.. BKS: 15H17403" u="1"/>
        <s v="Cước vận chuyển Container vỏ 40' tuyến đường PAN HA - TÂN VŨ.. BKS: 15C17301" u="1"/>
        <s v="Cước vận chuyển Container vỏ 40' tuyến đường PAN HA - TÂN VŨ.. BKS: 15H18753" u="1"/>
        <s v="Cước vận chuyển Container vỏ 40' tuyến đường PAN HA - TÂN VŨ.. BKS: 15H07644" u="1"/>
        <s v="Cước vận chuyển Container vỏ 40' tuyến đường PAN HA - TÂN VŨ.. BKS: 15H07788" u="1"/>
        <s v="Cước vận chuyển Container vỏ 40' tuyến đường PAN HA - HẢI AN.. BKS: 15H07524" u="1"/>
        <s v="Cước vận chuyển Container vỏ 40' tuyến đường PAN HA - TÂN VŨ.. BKS: 15H06892" u="1"/>
        <s v="Cước vận chuyển Container vỏ 40' tuyến đường PAN HA - TÂN VŨ.. BKS: 15H18552" u="1"/>
        <s v="Cước vận chuyển Container vỏ 40' tuyến đường PAN HA - HẢI AN.. BKS: 15H18552" u="1"/>
        <s v="Cước vận chuyển Container vỏ 40' tuyến đường PAN HA - HẢI AN.. BKS: 15H12925" u="1"/>
        <s v="Cước vận chuyển Container vỏ 40' tuyến đường PAN HA - TÂN VŨ.. BKS: 15C30649" u="1"/>
        <s v="Cước vận chuyển Container vỏ 40' tuyến đường PAN HA - TÂN VŨ.. BKS: 15C15033" u="1"/>
        <s v="Cước vận chuyển Container vỏ 40' tuyến đường PAN HA - HẢI AN.. BKS: 15C15033" u="1"/>
        <s v="Cước vận chuyển Container vỏ 40' tuyến đường PAN HA - TÂN VŨ.. BKS: 15H07524" u="1"/>
        <s v="Cước vận chuyển Container vỏ 40' tuyến đường PAN HA - NHĐV.. BKS: 15H18552" u="1"/>
        <s v="Cước vận chuyển Container vỏ 40' tuyến đường PAN HA - NDV.. BKS: 15H07644" u="1"/>
        <s v="Cước vận chuyển Container vỏ 40' tuyến đường PAN HA - NDV.. BKS: 15C15033" u="1"/>
        <s v="Cước vận chuyển Container vỏ 40' tuyến đường PAN HA - NDV.. BKS: 15C17301" u="1"/>
        <s v="Cước vận chuyển Container vỏ 40' tuyến đường PAN HA - NHĐV.. BKS: 15C17301" u="1"/>
        <s v="Cước vận chuyển Container vỏ 40' tuyến đường NHĐV - PAN HA.. BKS: 15C17301" u="1"/>
        <s v="Cước vận chuyển Container vỏ 40' tuyến đường PAN HA - HẢI AN.. BKS: 15C17301" u="1"/>
        <s v="Cước vận chuyển Container vỏ 40' tuyến đường PAN HA - NDV.. BKS: 15C17442" u="1"/>
        <s v="Cước vận chuyển Container vỏ 40' tuyến đường PAN HA - TÂN VŨ.. BKS: 15C17442" u="1"/>
        <s v="Cước vận chuyển Container vỏ 40' tuyến đường NHĐV - PAN HA.. BKS: 15H07524" u="1"/>
        <s v="Cước vận chuyển Container vỏ 40' tuyến đường NHĐV - PAN HA.. BKS: 15H17403" u="1"/>
        <s v="Cước vận chuyển Container vỏ 40' tuyến đường NHĐV - PAN HA.. BKS: 15C09877" u="1"/>
        <s v="Cước vận chuyển Container vỏ 40' tuyến đường NHĐV - PAN HA.. BKS: 15H18753" u="1"/>
        <s v="Cước vận chuyển Container vỏ 40' tuyến đường PAN HA - NDV.. BKS: 15H18753" u="1"/>
        <s v="Cước vận chuyển Container vỏ 40' tuyến đường PAN HA - NHĐV.. BKS: 15H18753" u="1"/>
        <s v="Cước vận chuyển Container vỏ 40' tuyến đường NHĐV - PAN HA.. BKS: 15C30649" u="1"/>
        <s v="Cước vận chuyển Container vỏ 40' tuyến đường PAN HA - HẢI AN.. BKS: 15C30649" u="1"/>
        <s v="Cước vận chuyển Container vỏ 40' tuyến đường NHĐV - PAN HA.. BKS: 15H07644" u="1"/>
        <s v="Cước vận chuyển Container vỏ 40' tuyến đường NHĐV - PAN HA.. BKS: 15C21728" u="1"/>
        <s v="Cước vận chuyển Container vỏ 40' tuyến đường NHĐV - PAN HA.. BKS: 15C15033" u="1"/>
        <s v="Cước vận chuyển Container vỏ 40' tuyến đường NHĐV - PAN HA.. BKS: 15H15378" u="1"/>
        <s v="Cước vận chuyển Container vỏ 40' tuyến đường NHĐV - PAN HA.. BKS: 15H12925" u="1"/>
        <s v="Cước vận chuyển Container vỏ 40' tuyến đường PAN HA - HẢI AN.. BKS: 15H07788" u="1"/>
        <s v="Cước vận chuyển Container vỏ 40' tuyến đường NHĐV - PAN HA.. BKS: 15H07788" u="1"/>
        <s v="Cước vận chuyển Container vỏ 40' tuyến đường PAN HA - NHĐV.. BKS: 15C17442" u="1"/>
        <s v="Cước vận chuyển Container vỏ 40' tuyến đường NHĐV - PAN HA.. BKS: 15H17712" u="1"/>
        <s v="Cước vận chuyển Container vỏ 40' tuyến đường PAN HA - NDV.. BKS: 15H17712" u="1"/>
        <s v="Cước vận chuyển Container vỏ 40' tuyến đường PAN HA - HẢI AN.. BKS: 15H17712" u="1"/>
        <s v="Cước vận chuyển Container vỏ 40' tuyến đường NHĐV - PAN HA.. BKS: 15H08574" u="1"/>
        <s v="Cước vận chuyển Container Vỏ tuyến đường PAN HA - HẢI AN. BKS: 15H00977" u="1"/>
        <s v="Cước vận chuyển Container Hàng 20' tuyến đường PAN HA - HẢI AN. BKS: 15H00977" u="1"/>
        <s v="Cước vận chuyển Container Hàng 40' tuyến đường PAN HA - HẢI AN. BKS: 15H00977" u="1"/>
        <s v="Cước vận chuyển Container Vỏ tuyến đường HẢI AN - PAN. BKS: 15H00977" u="1"/>
        <s v="Cước vận chuyển Container Hàng 20' tuyến đường PAN HA - NHĐV. BKS: 15H00977" u="1"/>
        <s v="Cước vận chuyển Container Hàng 40' tuyến đường PAN HA - NHĐV. BKS: 15H00977" u="1"/>
        <s v="Cước vận chuyển Container Vỏ tuyến đường HATECO - PAN. BKS: 15H08518" u="1"/>
        <s v="Cước vận chuyển Container Vỏ tuyến đường PAN HA - HẢI AN. BKS: 15H08518" u="1"/>
        <s v="Cước vận chuyển Container Hàng 40' tuyến đường PAN HA - NHĐV. BKS: 15H08518" u="1"/>
        <s v="Cước vận chuyển Container Hàng 40' tuyến đường PAN HA - NDV. BKS: 15C30649" u="1"/>
        <s v="Cước vận chuyển Container Hàng 40' tuyến đường PAN HA - NDV. BKS: 15C09877" u="1"/>
        <s v="Cước vận chuyển Container Hàng 40' tuyến đường PAN HA - NDV. BKS: 15H07788" u="1"/>
        <s v="Cước vận chuyển Container Hàng 40' tuyến đường PAN HA - NDV. BKS: 15H07524" u="1"/>
        <s v="Cước vận chuyển Container Hàng 40' tuyến đường PAN HA - NDV. BKS: 15C21728" u="1"/>
        <s v="Cước vận chuyển Container Hàng 40' tuyến đường PAN HA - HẢI AN. BKS: 15H08518" u="1"/>
        <s v="Cước vận chuyển Container Vỏ tuyến đường HATECO - PAN. BKS: 15H00977" u="1"/>
        <s v="Cước vận chuyển Container Hàng 40' tuyến đường PAN HA - NDV. BKS: 15H00977" u="1"/>
        <s v="Cước vận chuyển Container Hàng 20' tuyến đường HẢI AN - PAN. BKS: 15H08574" u="1"/>
        <s v="Cước vận chuyển Container Vỏ tuyến đường PAN HA - NHĐV. BKS: 15H12925" u="1"/>
        <s v="Cước vận chuyển Container Hàng 40' tuyến đường PAN HA - HẢI AN. BKS: 15E01580" u="1"/>
        <s v="Cước vận chuyển Container Vỏ tuyến đường NHĐV - PAN HA. BKS: 15H00977" u="1"/>
        <s v="Cước vận chuyển Container Hàng 40' tuyến đường PAN HA - NDV,. BKS: 15H07524" u="1"/>
        <s v="Cước vận chuyển Container Hàng 20' tuyến đường PAN HA - ĐÌNH VŨ. BKS: 15H08574" u="1"/>
        <s v="Cước vận chuyển Container Hàng 20' tuyến đường PAN HA - ĐÌNH VŨ. BKS: 15H07135" u="1"/>
        <s v="Cước vận chuyển Container Hàng 20' tuyến đường HẢI AN. - PAN. BKS: 15H08574" u="1"/>
        <s v="Cước vận chuyển Container Hàng 40' tuyến đường PAN HA - NDV,. BKS: 15C09877" u="1"/>
        <s v="Cước vận chuyển Container Hàng 40' tuyến đường PAN HA - NDV,. BKS: 15H07788" u="1"/>
        <s v="Cước vận chuyển Container Vỏ tuyến đường NHĐV - PAN HA.. BKS: 15C21728" u="1"/>
        <s v="Cước vận chuyển Container Vỏ tuyến đường PAN HA - TÂN VŨ,. BKS: 15H08574" u="1"/>
        <s v="Cước vận chuyển Container Hàng 40' tuyến đường PAN HA - ĐÌNH VŨ,. BKS: 15H06892" u="1"/>
        <s v="Cước vận chuyển Container Hàng 40' tuyến đường PAN HA - NDV,. BKS: 15H00977" u="1"/>
        <s v="Cước vận chuyển Container Vỏ tuyến đường NHĐV - PAN HA.. BKS: 15C09877" u="1"/>
        <s v="Cước vận chuyển Container Vỏ tuyến đường PAN HA - NHĐV.. BKS: 15C09877" u="1"/>
        <s v="Cước vận chuyển Container Hàng 20' tuyến đường PAN HA - ĐÌNH VŨ. BKS: 15H06892" u="1"/>
        <s v="Cước vận chuyển Container Hàng 40' tuyến đường PAN HA - ĐÌNH VŨ,. BKS: 15H07644" u="1"/>
        <s v="Cước vận chuyển Container Vỏ tuyến đường PAN HA - TÂN VŨ,. BKS: 15C15033" u="1"/>
        <s v="Cước vận chuyển Container Vỏ tuyến đường PAN HA - TÂN VŨ,. BKS: 15C30649" u="1"/>
        <s v="Cước vận chuyển Container Hàng 40' tuyến đường PAN HA - NDV,. BKS: 15H15378" u="1"/>
        <s v="Cước vận chuyển Container Hàng 40' tuyến đường PAN HA - ĐÌNH VŨ,. BKS: 15C21728" u="1"/>
        <s v="Cước vận chuyển Container Hàng 40' tuyến đường PAN HA - ĐÌNH VŨ,. BKS: 15H12925" u="1"/>
        <s v="Cước vận chuyển Container Vỏ tuyến đường NHĐV - PAN HA.. BKS: 15H06892" u="1"/>
        <s v="Cước vận chuyển Container Hàng 20' tuyến đường PAN HA - ĐÌNH VŨ. BKS: 15C21728" u="1"/>
        <s v="Cước vận chuyển Container Hàng 20' tuyến đường PAN HA - ĐÌNH VŨ. BKS: 15H00977" u="1"/>
        <s v="Cước vận chuyển Container Hàng 40' tuyến đường PAN HA - HẢI AN,. BKS: 15H00977" u="1"/>
        <s v="Cước vận chuyển Container Hàng 20' tuyến đường PAN HA - ĐÌNH VŨ. BKS: 15C17301" u="1"/>
        <s v="Cước vận chuyển Container Hàng 20' tuyến đường PAN HA - NDV. BKS: 15H00977" u="1"/>
        <s v="Cước vận chuyển Container Vỏ tuyến đường PAN HA - NHĐV.. BKS: 15H15378" u="1"/>
        <s v="Cước vận chuyển Container Vỏ tuyến đường PAN HA - TÂN VŨ,. BKS: 15H07788" u="1"/>
        <s v="Cước vận chuyển Container Hàng 40' tuyến đường PAN HA - NHĐV,. BKS: 15H00977" u="1"/>
        <s v="Cước vận chuyển Container Hàng 40' tuyến đường PAN HA - NHĐV,. BKS: 15H08518" u="1"/>
        <s v="Cước vận chuyển Container Hàng 40' tuyến đường PAN HA - ĐÌNH VŨ,. BKS: 15C15033" u="1"/>
        <s v="Cước vận chuyển Container Vỏ tuyến đường PAN HA - HẢI AN.. BKS: 15H00977" u="1"/>
        <s v="Cước vận chuyển Container Hàng 40' tuyến đường PAN HA - ĐÌNH VŨ,. BKS: 15C17442" u="1"/>
        <s v="Cước vận chuyển Container Vỏ tuyến đường NHĐV - PAN HA.. BKS: 15H07524" u="1"/>
        <s v="Cước vận chuyển Container Vỏ tuyến đường PAN HA - TÂN VŨ,. BKS: 15C21728" u="1"/>
        <s v="Cước vận chuyển Container Vỏ tuyến đường PAN HA - TÂN VŨ,. BKS: 15H12925" u="1"/>
        <s v="Cước vận chuyển Container Vỏ tuyến đường NHĐV - PAN HA.. BKS: 15H00977" u="1"/>
        <s v="Cước vận chuyển Container Vỏ tuyến đường PAN HA - TÂN VŨ,. BKS: 15H07135" u="1"/>
        <s v="Cước vận chuyển Container Hàng 40' tuyến đường PAN HA - NDV,. BKS: 15C15033" u="1"/>
        <s v="Cước vận chuyển Container Vỏ tuyến đường PAN HA - TÂN VŨ,. BKS: 15H15378" u="1"/>
        <s v="Cước vận chuyển Container Hàng 20' tuyến đường PAN HA - NHĐV. BKS: 15H08518" u="1"/>
        <s v="Cước vận chuyển Container Hàng 40' tuyến đường PAN HA - ĐÌNH VŨ,. BKS: 15H07135" u="1"/>
        <s v="Cước vận chuyển Container Vỏ tuyến đường PAN HA - TÂN VŨ,. BKS: 15C17301" u="1"/>
        <s v="Cước vận chuyển Container Hàng 40' tuyến đường PAN HA - HẢI AN,. BKS: 15H08518" u="1"/>
        <s v="Cước vận chuyển Container Vỏ tuyến đường NHĐV - PAN HA.. BKS: 15C17301" u="1"/>
        <s v="Cước vận chuyển Container Vỏ tuyến đường NHĐV - PAN HA.. BKS: 15H12925" u="1"/>
        <s v="Cước vận chuyển Container Vỏ tuyến đường PAN HA - NHĐV.. BKS: 15C17301" u="1"/>
        <s v="Cước vận chuyển Container Vỏ tuyến đường PAN HA - NHĐV.. BKS: 15H12925" u="1"/>
        <s v="Cước vận chuyển Container Hàng 40' tuyến đường PAN HA - NDV,. BKS: 15C21728" u="1"/>
        <s v="Cước vận chuyển Container Vỏ tuyến đường PAN HA - NHĐV.. BKS: 15H08574" u="1"/>
        <s v="Cước vận chuyển Container Hàng 40' tuyến đường PAN HA - HẢI AN,. BKS: 15E01580" u="1"/>
        <s v="Cước vận chuyển Container Vỏ tuyến đường NHĐV - PAN HA.. BKS: 15C15033" u="1"/>
        <s v="Cước vận chuyển Container Vỏ tuyến đường PAN HA - TÂN VŨ,. BKS: 15H07524" u="1"/>
        <s v="Cước vận chuyển Container Hàng 40' tuyến đường PAN HA - ĐÌNH VŨ,. BKS: 15H15378" u="1"/>
        <s v="Cước vận chuyển Container Hàng 40' tuyến đường PAN HA - NDV,. BKS: 15H06892" u="1"/>
        <s v="Cước vận chuyển Container Hàng 40' tuyến đường PAN HA - ĐÌNH VŨ,. BKS: 15H08518" u="1"/>
        <s v="Cước vận chuyển Container Hàng 40' tuyến đường PAN HA - ĐÌNH VŨ,. BKS: 15C09877" u="1"/>
        <s v="Cước vận chuyển Container Hàng 40' tuyến đường PAN HA - ĐÌNH VŨ,. BKS: 15H08574" u="1"/>
        <s v="Cước vận chuyển Container Hàng 40' tuyến đường PAN HA - ĐÌNH VŨ,. BKS: 15H07788" u="1"/>
        <s v="Cước vận chuyển Container Vỏ tuyến đường HATECO - PAN. BKS: 15H16471" u="1"/>
        <s v="Cước vận chuyển Container Vỏ tuyến đường PAN HA - TÂN VŨ,. BKS: 15H17403" u="1"/>
        <s v="Cước vận chuyển Container Hàng 40' tuyến đường PAN HA - NDV,. BKS: 15C30649" u="1"/>
        <s v="Cước vận chuyển Container Vỏ tuyến đường PAN HA - MPC.. BKS: 15C17442" u="1"/>
        <s v="Cước vận chuyển Container Vỏ tuyến đường NHĐV - PAN HA.. BKS: 15H07788" u="1"/>
        <s v="Cước vận chuyển Container Hàng 20' tuyến đường PAN HA - ĐÌNH VŨ. BKS: 15C09877" u="1"/>
        <s v="Cước vận chuyển Container Vỏ tuyến đường PAN HA - TÂN VŨ,. BKS: 15H17712" u="1"/>
        <s v="Cước vận chuyển Container Vỏ tuyến đường PAN HA - TÂN VŨ,. BKS: 15H06892" u="1"/>
        <s v="Cước vận chuyển Container Hàng 40' tuyến đường PAN HA - ĐÌNH VŨ,. BKS: 15H00977" u="1"/>
        <s v="Cước vận chuyển Container Hàng 40' tuyến đường PAN HA - ĐÌNH VŨ,. BKS: 15C17301" u="1"/>
        <s v="Cước vận chuyển Container Hàng 20' tuyến đường PAN HA - ĐÌNH VŨ. BKS: 15C17442" u="1"/>
        <s v="Cước vận chuyển Container Vỏ tuyến đường PAN HA - HẢI AN.. BKS: 15H08518" u="1"/>
      </sharedItems>
    </cacheField>
    <cacheField name="SỐ CHUYẾN" numFmtId="0">
      <sharedItems containsString="0" containsBlank="1" containsNumber="1" minValue="0.5" maxValue="1"/>
    </cacheField>
    <cacheField name="CƯỚC_x000a_CHUYẾN" numFmtId="166">
      <sharedItems containsString="0" containsBlank="1" containsNumber="1" minValue="240169" maxValue="100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3">
  <r>
    <x v="0"/>
    <n v="1"/>
    <n v="454158"/>
  </r>
  <r>
    <x v="1"/>
    <n v="1"/>
    <n v="489065"/>
  </r>
  <r>
    <x v="2"/>
    <n v="1"/>
    <n v="1002400"/>
  </r>
  <r>
    <x v="3"/>
    <n v="1"/>
    <n v="1002400"/>
  </r>
  <r>
    <x v="3"/>
    <n v="1"/>
    <n v="1002400"/>
  </r>
  <r>
    <x v="4"/>
    <n v="1"/>
    <n v="1002400"/>
  </r>
  <r>
    <x v="5"/>
    <n v="1"/>
    <n v="654871"/>
  </r>
  <r>
    <x v="6"/>
    <n v="1"/>
    <n v="681050"/>
  </r>
  <r>
    <x v="6"/>
    <n v="1"/>
    <n v="681050"/>
  </r>
  <r>
    <x v="6"/>
    <n v="1"/>
    <n v="681050"/>
  </r>
  <r>
    <x v="7"/>
    <n v="1"/>
    <n v="654871"/>
  </r>
  <r>
    <x v="7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9"/>
    <n v="1"/>
    <n v="681050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1"/>
    <n v="1"/>
    <n v="681050"/>
  </r>
  <r>
    <x v="11"/>
    <n v="1"/>
    <n v="681050"/>
  </r>
  <r>
    <x v="11"/>
    <n v="1"/>
    <n v="681050"/>
  </r>
  <r>
    <x v="11"/>
    <n v="1"/>
    <n v="681050"/>
  </r>
  <r>
    <x v="11"/>
    <n v="1"/>
    <n v="681050"/>
  </r>
  <r>
    <x v="12"/>
    <n v="1"/>
    <n v="454158"/>
  </r>
  <r>
    <x v="12"/>
    <n v="1"/>
    <n v="454158"/>
  </r>
  <r>
    <x v="12"/>
    <n v="1"/>
    <n v="454158"/>
  </r>
  <r>
    <x v="12"/>
    <n v="1"/>
    <n v="454158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15"/>
    <n v="1"/>
    <n v="1002400"/>
  </r>
  <r>
    <x v="16"/>
    <n v="1"/>
    <n v="576331"/>
  </r>
  <r>
    <x v="16"/>
    <n v="1"/>
    <n v="576331"/>
  </r>
  <r>
    <x v="16"/>
    <n v="1"/>
    <n v="576331"/>
  </r>
  <r>
    <x v="16"/>
    <n v="1"/>
    <n v="576331"/>
  </r>
  <r>
    <x v="17"/>
    <n v="1"/>
    <n v="550151"/>
  </r>
  <r>
    <x v="17"/>
    <n v="1"/>
    <n v="550151"/>
  </r>
  <r>
    <x v="11"/>
    <n v="1"/>
    <n v="681050"/>
  </r>
  <r>
    <x v="18"/>
    <n v="1"/>
    <n v="1002400"/>
  </r>
  <r>
    <x v="18"/>
    <n v="1"/>
    <n v="1002400"/>
  </r>
  <r>
    <x v="19"/>
    <n v="1"/>
    <n v="602510"/>
  </r>
  <r>
    <x v="19"/>
    <n v="1"/>
    <n v="602510"/>
  </r>
  <r>
    <x v="19"/>
    <n v="1"/>
    <n v="602510"/>
  </r>
  <r>
    <x v="19"/>
    <n v="1"/>
    <n v="602510"/>
  </r>
  <r>
    <x v="6"/>
    <n v="1"/>
    <n v="681050"/>
  </r>
  <r>
    <x v="6"/>
    <n v="1"/>
    <n v="681050"/>
  </r>
  <r>
    <x v="6"/>
    <n v="1"/>
    <n v="681050"/>
  </r>
  <r>
    <x v="20"/>
    <n v="0.5"/>
    <n v="501200"/>
  </r>
  <r>
    <x v="20"/>
    <n v="0.5"/>
    <n v="501200"/>
  </r>
  <r>
    <x v="20"/>
    <n v="0.5"/>
    <n v="501200"/>
  </r>
  <r>
    <x v="20"/>
    <n v="0.5"/>
    <n v="501200"/>
  </r>
  <r>
    <x v="21"/>
    <n v="1"/>
    <n v="576331"/>
  </r>
  <r>
    <x v="21"/>
    <n v="1"/>
    <n v="576331"/>
  </r>
  <r>
    <x v="21"/>
    <n v="1"/>
    <n v="576331"/>
  </r>
  <r>
    <x v="21"/>
    <n v="1"/>
    <n v="576331"/>
  </r>
  <r>
    <x v="9"/>
    <n v="1"/>
    <n v="681050"/>
  </r>
  <r>
    <x v="9"/>
    <n v="1"/>
    <n v="681050"/>
  </r>
  <r>
    <x v="9"/>
    <n v="1"/>
    <n v="681050"/>
  </r>
  <r>
    <x v="9"/>
    <n v="1"/>
    <n v="681050"/>
  </r>
  <r>
    <x v="9"/>
    <n v="1"/>
    <n v="681050"/>
  </r>
  <r>
    <x v="22"/>
    <n v="1"/>
    <n v="602510"/>
  </r>
  <r>
    <x v="23"/>
    <n v="1"/>
    <n v="576331"/>
  </r>
  <r>
    <x v="22"/>
    <n v="1"/>
    <n v="602510"/>
  </r>
  <r>
    <x v="22"/>
    <n v="1"/>
    <n v="602510"/>
  </r>
  <r>
    <x v="24"/>
    <n v="1"/>
    <n v="681050"/>
  </r>
  <r>
    <x v="24"/>
    <n v="1"/>
    <n v="681050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25"/>
    <n v="1"/>
    <n v="602510"/>
  </r>
  <r>
    <x v="25"/>
    <n v="1"/>
    <n v="602510"/>
  </r>
  <r>
    <x v="26"/>
    <n v="1"/>
    <n v="681050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28"/>
    <n v="1"/>
    <n v="60251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30"/>
    <n v="1"/>
    <n v="681050"/>
  </r>
  <r>
    <x v="19"/>
    <n v="1"/>
    <n v="602510"/>
  </r>
  <r>
    <x v="19"/>
    <n v="1"/>
    <n v="602510"/>
  </r>
  <r>
    <x v="19"/>
    <n v="1"/>
    <n v="602510"/>
  </r>
  <r>
    <x v="6"/>
    <n v="1"/>
    <n v="681050"/>
  </r>
  <r>
    <x v="6"/>
    <n v="1"/>
    <n v="681050"/>
  </r>
  <r>
    <x v="31"/>
    <n v="1"/>
    <n v="576331"/>
  </r>
  <r>
    <x v="31"/>
    <n v="1"/>
    <n v="576331"/>
  </r>
  <r>
    <x v="31"/>
    <n v="1"/>
    <n v="576331"/>
  </r>
  <r>
    <x v="31"/>
    <n v="1"/>
    <n v="576331"/>
  </r>
  <r>
    <x v="31"/>
    <n v="1"/>
    <n v="576331"/>
  </r>
  <r>
    <x v="31"/>
    <n v="1"/>
    <n v="576331"/>
  </r>
  <r>
    <x v="32"/>
    <n v="1"/>
    <n v="602510"/>
  </r>
  <r>
    <x v="32"/>
    <n v="1"/>
    <n v="602510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33"/>
    <n v="1"/>
    <n v="654871"/>
  </r>
  <r>
    <x v="33"/>
    <n v="1"/>
    <n v="654871"/>
  </r>
  <r>
    <x v="34"/>
    <n v="1"/>
    <n v="550151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35"/>
    <n v="1"/>
    <n v="602510"/>
  </r>
  <r>
    <x v="36"/>
    <n v="1"/>
    <n v="681050"/>
  </r>
  <r>
    <x v="36"/>
    <n v="1"/>
    <n v="681050"/>
  </r>
  <r>
    <x v="36"/>
    <n v="1"/>
    <n v="681050"/>
  </r>
  <r>
    <x v="37"/>
    <n v="1"/>
    <n v="1002400"/>
  </r>
  <r>
    <x v="37"/>
    <n v="1"/>
    <n v="1002400"/>
  </r>
  <r>
    <x v="38"/>
    <n v="1"/>
    <n v="628690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40"/>
    <n v="1"/>
    <n v="576331"/>
  </r>
  <r>
    <x v="40"/>
    <n v="1"/>
    <n v="576331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42"/>
    <n v="1"/>
    <n v="681050"/>
  </r>
  <r>
    <x v="4"/>
    <n v="1"/>
    <n v="1002400"/>
  </r>
  <r>
    <x v="4"/>
    <n v="1"/>
    <n v="1002400"/>
  </r>
  <r>
    <x v="43"/>
    <n v="1"/>
    <n v="576331"/>
  </r>
  <r>
    <x v="43"/>
    <n v="1"/>
    <n v="576331"/>
  </r>
  <r>
    <x v="43"/>
    <n v="1"/>
    <n v="576331"/>
  </r>
  <r>
    <x v="43"/>
    <n v="1"/>
    <n v="576331"/>
  </r>
  <r>
    <x v="43"/>
    <n v="1"/>
    <n v="576331"/>
  </r>
  <r>
    <x v="43"/>
    <n v="1"/>
    <n v="576331"/>
  </r>
  <r>
    <x v="44"/>
    <n v="1"/>
    <n v="602510"/>
  </r>
  <r>
    <x v="44"/>
    <n v="1"/>
    <n v="602510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42"/>
    <n v="1"/>
    <n v="681050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6"/>
    <n v="1"/>
    <n v="681050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6"/>
    <n v="1"/>
    <n v="681050"/>
  </r>
  <r>
    <x v="47"/>
    <n v="1"/>
    <n v="628690"/>
  </r>
  <r>
    <x v="47"/>
    <n v="1"/>
    <n v="628690"/>
  </r>
  <r>
    <x v="45"/>
    <n v="1"/>
    <n v="654871"/>
  </r>
  <r>
    <x v="45"/>
    <n v="1"/>
    <n v="654871"/>
  </r>
  <r>
    <x v="48"/>
    <n v="1"/>
    <n v="576331"/>
  </r>
  <r>
    <x v="48"/>
    <n v="1"/>
    <n v="576331"/>
  </r>
  <r>
    <x v="7"/>
    <n v="1"/>
    <n v="654871"/>
  </r>
  <r>
    <x v="7"/>
    <n v="1"/>
    <n v="654871"/>
  </r>
  <r>
    <x v="49"/>
    <n v="1"/>
    <n v="576331"/>
  </r>
  <r>
    <x v="49"/>
    <n v="1"/>
    <n v="576331"/>
  </r>
  <r>
    <x v="8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50"/>
    <n v="1"/>
    <n v="602510"/>
  </r>
  <r>
    <x v="26"/>
    <n v="1"/>
    <n v="681050"/>
  </r>
  <r>
    <x v="33"/>
    <n v="1"/>
    <n v="654871"/>
  </r>
  <r>
    <x v="33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2"/>
    <n v="1"/>
    <n v="681050"/>
  </r>
  <r>
    <x v="52"/>
    <n v="1"/>
    <n v="681050"/>
  </r>
  <r>
    <x v="53"/>
    <n v="1"/>
    <n v="576331"/>
  </r>
  <r>
    <x v="53"/>
    <n v="1"/>
    <n v="576331"/>
  </r>
  <r>
    <x v="54"/>
    <n v="1"/>
    <n v="602510"/>
  </r>
  <r>
    <x v="54"/>
    <n v="1"/>
    <n v="602510"/>
  </r>
  <r>
    <x v="52"/>
    <n v="1"/>
    <n v="681050"/>
  </r>
  <r>
    <x v="51"/>
    <n v="1"/>
    <n v="654871"/>
  </r>
  <r>
    <x v="51"/>
    <n v="1"/>
    <n v="654871"/>
  </r>
  <r>
    <x v="55"/>
    <n v="1"/>
    <n v="576331"/>
  </r>
  <r>
    <x v="55"/>
    <n v="1"/>
    <n v="576331"/>
  </r>
  <r>
    <x v="56"/>
    <n v="1"/>
    <n v="602510"/>
  </r>
  <r>
    <x v="6"/>
    <n v="1"/>
    <n v="681050"/>
  </r>
  <r>
    <x v="57"/>
    <n v="1"/>
    <n v="628690"/>
  </r>
  <r>
    <x v="57"/>
    <n v="1"/>
    <n v="628690"/>
  </r>
  <r>
    <x v="24"/>
    <n v="1"/>
    <n v="681050"/>
  </r>
  <r>
    <x v="58"/>
    <n v="1"/>
    <n v="602510"/>
  </r>
  <r>
    <x v="59"/>
    <n v="1"/>
    <n v="454158"/>
  </r>
  <r>
    <x v="59"/>
    <n v="1"/>
    <n v="454158"/>
  </r>
  <r>
    <x v="60"/>
    <n v="0.5"/>
    <n v="314345"/>
  </r>
  <r>
    <x v="60"/>
    <n v="0.5"/>
    <n v="314345"/>
  </r>
  <r>
    <x v="60"/>
    <n v="0.5"/>
    <n v="314345"/>
  </r>
  <r>
    <x v="60"/>
    <n v="0.5"/>
    <n v="314345"/>
  </r>
  <r>
    <x v="60"/>
    <n v="0.5"/>
    <n v="314345"/>
  </r>
  <r>
    <x v="60"/>
    <n v="0.5"/>
    <n v="314345"/>
  </r>
  <r>
    <x v="61"/>
    <n v="1"/>
    <n v="602510"/>
  </r>
  <r>
    <x v="62"/>
    <n v="1"/>
    <n v="602510"/>
  </r>
  <r>
    <x v="63"/>
    <n v="1"/>
    <n v="681050"/>
  </r>
  <r>
    <x v="63"/>
    <n v="1"/>
    <n v="681050"/>
  </r>
  <r>
    <x v="63"/>
    <n v="1"/>
    <n v="68105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7"/>
    <n v="1"/>
    <n v="654871"/>
  </r>
  <r>
    <x v="7"/>
    <n v="1"/>
    <n v="654871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26"/>
    <n v="1"/>
    <n v="681050"/>
  </r>
  <r>
    <x v="26"/>
    <n v="1"/>
    <n v="681050"/>
  </r>
  <r>
    <x v="46"/>
    <n v="1"/>
    <n v="681050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65"/>
    <n v="0.5"/>
    <n v="314345"/>
  </r>
  <r>
    <x v="65"/>
    <n v="0.5"/>
    <n v="314345"/>
  </r>
  <r>
    <x v="0"/>
    <n v="1"/>
    <n v="454158"/>
  </r>
  <r>
    <x v="0"/>
    <n v="1"/>
    <n v="454158"/>
  </r>
  <r>
    <x v="0"/>
    <n v="1"/>
    <n v="454158"/>
  </r>
  <r>
    <x v="0"/>
    <n v="1"/>
    <n v="454158"/>
  </r>
  <r>
    <x v="10"/>
    <n v="1"/>
    <n v="654871"/>
  </r>
  <r>
    <x v="10"/>
    <n v="1"/>
    <n v="654871"/>
  </r>
  <r>
    <x v="57"/>
    <n v="1"/>
    <n v="628690"/>
  </r>
  <r>
    <x v="57"/>
    <n v="1"/>
    <n v="628690"/>
  </r>
  <r>
    <x v="66"/>
    <n v="1"/>
    <n v="681050"/>
  </r>
  <r>
    <x v="66"/>
    <n v="1"/>
    <n v="681050"/>
  </r>
  <r>
    <x v="67"/>
    <n v="1"/>
    <n v="628690"/>
  </r>
  <r>
    <x v="67"/>
    <n v="1"/>
    <n v="628690"/>
  </r>
  <r>
    <x v="68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38"/>
    <n v="1"/>
    <n v="628690"/>
  </r>
  <r>
    <x v="38"/>
    <n v="1"/>
    <n v="628690"/>
  </r>
  <r>
    <x v="38"/>
    <n v="1"/>
    <n v="628690"/>
  </r>
  <r>
    <x v="38"/>
    <n v="1"/>
    <n v="628690"/>
  </r>
  <r>
    <x v="38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70"/>
    <n v="1"/>
    <n v="628690"/>
  </r>
  <r>
    <x v="70"/>
    <n v="1"/>
    <n v="628690"/>
  </r>
  <r>
    <x v="70"/>
    <n v="1"/>
    <n v="628690"/>
  </r>
  <r>
    <x v="70"/>
    <n v="1"/>
    <n v="628690"/>
  </r>
  <r>
    <x v="71"/>
    <n v="1"/>
    <n v="681050"/>
  </r>
  <r>
    <x v="71"/>
    <n v="1"/>
    <n v="681050"/>
  </r>
  <r>
    <x v="71"/>
    <n v="1"/>
    <n v="681050"/>
  </r>
  <r>
    <x v="71"/>
    <n v="1"/>
    <n v="681050"/>
  </r>
  <r>
    <x v="72"/>
    <n v="1"/>
    <n v="654871"/>
  </r>
  <r>
    <x v="72"/>
    <n v="1"/>
    <n v="654871"/>
  </r>
  <r>
    <x v="72"/>
    <n v="1"/>
    <n v="654871"/>
  </r>
  <r>
    <x v="72"/>
    <n v="1"/>
    <n v="654871"/>
  </r>
  <r>
    <x v="72"/>
    <n v="1"/>
    <n v="654871"/>
  </r>
  <r>
    <x v="72"/>
    <n v="1"/>
    <n v="654871"/>
  </r>
  <r>
    <x v="73"/>
    <n v="1"/>
    <n v="576331"/>
  </r>
  <r>
    <x v="73"/>
    <n v="1"/>
    <n v="576331"/>
  </r>
  <r>
    <x v="73"/>
    <n v="1"/>
    <n v="576331"/>
  </r>
  <r>
    <x v="73"/>
    <n v="1"/>
    <n v="576331"/>
  </r>
  <r>
    <x v="74"/>
    <n v="1"/>
    <n v="550151"/>
  </r>
  <r>
    <x v="72"/>
    <n v="1"/>
    <n v="654871"/>
  </r>
  <r>
    <x v="72"/>
    <n v="1"/>
    <n v="654871"/>
  </r>
  <r>
    <x v="71"/>
    <n v="1"/>
    <n v="681050"/>
  </r>
  <r>
    <x v="71"/>
    <n v="1"/>
    <n v="681050"/>
  </r>
  <r>
    <x v="71"/>
    <n v="1"/>
    <n v="681050"/>
  </r>
  <r>
    <x v="60"/>
    <n v="1"/>
    <n v="628690"/>
  </r>
  <r>
    <x v="60"/>
    <n v="1"/>
    <n v="628690"/>
  </r>
  <r>
    <x v="49"/>
    <n v="1"/>
    <n v="576331"/>
  </r>
  <r>
    <x v="49"/>
    <n v="1"/>
    <n v="576331"/>
  </r>
  <r>
    <x v="49"/>
    <n v="1"/>
    <n v="576331"/>
  </r>
  <r>
    <x v="49"/>
    <n v="1"/>
    <n v="576331"/>
  </r>
  <r>
    <x v="9"/>
    <n v="1"/>
    <n v="681050"/>
  </r>
  <r>
    <x v="68"/>
    <n v="0.5"/>
    <n v="314345"/>
  </r>
  <r>
    <x v="68"/>
    <n v="0.5"/>
    <n v="314345"/>
  </r>
  <r>
    <x v="56"/>
    <n v="1"/>
    <n v="602510"/>
  </r>
  <r>
    <x v="75"/>
    <n v="1"/>
    <n v="576331"/>
  </r>
  <r>
    <x v="6"/>
    <n v="1"/>
    <n v="681050"/>
  </r>
  <r>
    <x v="63"/>
    <n v="1"/>
    <n v="681050"/>
  </r>
  <r>
    <x v="33"/>
    <n v="1"/>
    <n v="654871"/>
  </r>
  <r>
    <x v="33"/>
    <n v="1"/>
    <n v="654871"/>
  </r>
  <r>
    <x v="40"/>
    <n v="1"/>
    <n v="576331"/>
  </r>
  <r>
    <x v="40"/>
    <n v="1"/>
    <n v="576331"/>
  </r>
  <r>
    <x v="40"/>
    <n v="1"/>
    <n v="576331"/>
  </r>
  <r>
    <x v="40"/>
    <n v="1"/>
    <n v="576331"/>
  </r>
  <r>
    <x v="40"/>
    <n v="1"/>
    <n v="576331"/>
  </r>
  <r>
    <x v="40"/>
    <n v="1"/>
    <n v="576331"/>
  </r>
  <r>
    <x v="76"/>
    <n v="1"/>
    <n v="628690"/>
  </r>
  <r>
    <x v="30"/>
    <n v="1"/>
    <n v="681050"/>
  </r>
  <r>
    <x v="55"/>
    <n v="1"/>
    <n v="576331"/>
  </r>
  <r>
    <x v="55"/>
    <n v="1"/>
    <n v="576331"/>
  </r>
  <r>
    <x v="55"/>
    <n v="1"/>
    <n v="576331"/>
  </r>
  <r>
    <x v="55"/>
    <n v="1"/>
    <n v="576331"/>
  </r>
  <r>
    <x v="55"/>
    <n v="1"/>
    <n v="576331"/>
  </r>
  <r>
    <x v="55"/>
    <n v="1"/>
    <n v="57633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24"/>
    <n v="1"/>
    <n v="681050"/>
  </r>
  <r>
    <x v="24"/>
    <n v="1"/>
    <n v="681050"/>
  </r>
  <r>
    <x v="57"/>
    <n v="0.5"/>
    <n v="314345"/>
  </r>
  <r>
    <x v="57"/>
    <n v="0.5"/>
    <n v="314345"/>
  </r>
  <r>
    <x v="77"/>
    <n v="1"/>
    <n v="57633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69"/>
    <n v="0.5"/>
    <n v="314345"/>
  </r>
  <r>
    <x v="69"/>
    <n v="0.5"/>
    <n v="314345"/>
  </r>
  <r>
    <x v="78"/>
    <n v="1"/>
    <n v="576331"/>
  </r>
  <r>
    <x v="78"/>
    <n v="1"/>
    <n v="576331"/>
  </r>
  <r>
    <x v="78"/>
    <n v="1"/>
    <n v="576331"/>
  </r>
  <r>
    <x v="78"/>
    <n v="1"/>
    <n v="576331"/>
  </r>
  <r>
    <x v="78"/>
    <n v="1"/>
    <n v="576331"/>
  </r>
  <r>
    <x v="78"/>
    <n v="1"/>
    <n v="576331"/>
  </r>
  <r>
    <x v="36"/>
    <n v="1"/>
    <n v="681050"/>
  </r>
  <r>
    <x v="79"/>
    <n v="0.5"/>
    <n v="314345"/>
  </r>
  <r>
    <x v="79"/>
    <n v="0.5"/>
    <n v="314345"/>
  </r>
  <r>
    <x v="80"/>
    <n v="1"/>
    <n v="576331"/>
  </r>
  <r>
    <x v="80"/>
    <n v="1"/>
    <n v="576331"/>
  </r>
  <r>
    <x v="66"/>
    <n v="1"/>
    <n v="681050"/>
  </r>
  <r>
    <x v="66"/>
    <n v="1"/>
    <n v="681050"/>
  </r>
  <r>
    <x v="26"/>
    <n v="1"/>
    <n v="681050"/>
  </r>
  <r>
    <x v="26"/>
    <n v="1"/>
    <n v="681050"/>
  </r>
  <r>
    <x v="81"/>
    <n v="1"/>
    <n v="576331"/>
  </r>
  <r>
    <x v="82"/>
    <n v="1"/>
    <n v="576331"/>
  </r>
  <r>
    <x v="82"/>
    <n v="1"/>
    <n v="576331"/>
  </r>
  <r>
    <x v="82"/>
    <n v="1"/>
    <n v="576331"/>
  </r>
  <r>
    <x v="82"/>
    <n v="1"/>
    <n v="576331"/>
  </r>
  <r>
    <x v="62"/>
    <n v="1"/>
    <n v="602510"/>
  </r>
  <r>
    <x v="83"/>
    <n v="1"/>
    <n v="628690"/>
  </r>
  <r>
    <x v="83"/>
    <n v="1"/>
    <n v="628690"/>
  </r>
  <r>
    <x v="83"/>
    <n v="1"/>
    <n v="628690"/>
  </r>
  <r>
    <x v="83"/>
    <n v="1"/>
    <n v="628690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84"/>
    <n v="1"/>
    <n v="602510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6"/>
    <n v="1"/>
    <n v="681050"/>
  </r>
  <r>
    <x v="47"/>
    <n v="1"/>
    <n v="628690"/>
  </r>
  <r>
    <x v="48"/>
    <n v="1"/>
    <n v="576331"/>
  </r>
  <r>
    <x v="48"/>
    <n v="1"/>
    <n v="576331"/>
  </r>
  <r>
    <x v="48"/>
    <n v="1"/>
    <n v="576331"/>
  </r>
  <r>
    <x v="48"/>
    <n v="1"/>
    <n v="576331"/>
  </r>
  <r>
    <x v="85"/>
    <n v="1"/>
    <n v="602510"/>
  </r>
  <r>
    <x v="52"/>
    <n v="1"/>
    <n v="681050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87"/>
    <n v="1"/>
    <n v="602510"/>
  </r>
  <r>
    <x v="87"/>
    <n v="1"/>
    <n v="602510"/>
  </r>
  <r>
    <x v="87"/>
    <n v="1"/>
    <n v="602510"/>
  </r>
  <r>
    <x v="88"/>
    <n v="1"/>
    <n v="628690"/>
  </r>
  <r>
    <x v="88"/>
    <n v="1"/>
    <n v="628690"/>
  </r>
  <r>
    <x v="52"/>
    <n v="1"/>
    <n v="681050"/>
  </r>
  <r>
    <x v="52"/>
    <n v="1"/>
    <n v="681050"/>
  </r>
  <r>
    <x v="52"/>
    <n v="1"/>
    <n v="681050"/>
  </r>
  <r>
    <x v="89"/>
    <n v="1"/>
    <n v="576331"/>
  </r>
  <r>
    <x v="89"/>
    <n v="1"/>
    <n v="576331"/>
  </r>
  <r>
    <x v="89"/>
    <n v="1"/>
    <n v="576331"/>
  </r>
  <r>
    <x v="89"/>
    <n v="1"/>
    <n v="576331"/>
  </r>
  <r>
    <x v="90"/>
    <n v="1"/>
    <n v="602510"/>
  </r>
  <r>
    <x v="90"/>
    <n v="1"/>
    <n v="602510"/>
  </r>
  <r>
    <x v="65"/>
    <n v="1"/>
    <n v="628690"/>
  </r>
  <r>
    <x v="91"/>
    <n v="1"/>
    <n v="602510"/>
  </r>
  <r>
    <x v="55"/>
    <n v="1"/>
    <n v="576331"/>
  </r>
  <r>
    <x v="55"/>
    <n v="1"/>
    <n v="576331"/>
  </r>
  <r>
    <x v="91"/>
    <n v="1"/>
    <n v="602510"/>
  </r>
  <r>
    <x v="30"/>
    <n v="1"/>
    <n v="681050"/>
  </r>
  <r>
    <x v="30"/>
    <n v="1"/>
    <n v="681050"/>
  </r>
  <r>
    <x v="30"/>
    <n v="1"/>
    <n v="681050"/>
  </r>
  <r>
    <x v="30"/>
    <n v="1"/>
    <n v="681050"/>
  </r>
  <r>
    <x v="76"/>
    <n v="1"/>
    <n v="628690"/>
  </r>
  <r>
    <x v="76"/>
    <n v="1"/>
    <n v="628690"/>
  </r>
  <r>
    <x v="60"/>
    <n v="1"/>
    <n v="628690"/>
  </r>
  <r>
    <x v="60"/>
    <n v="1"/>
    <n v="628690"/>
  </r>
  <r>
    <x v="6"/>
    <n v="1"/>
    <n v="681050"/>
  </r>
  <r>
    <x v="6"/>
    <n v="1"/>
    <n v="681050"/>
  </r>
  <r>
    <x v="6"/>
    <n v="1"/>
    <n v="681050"/>
  </r>
  <r>
    <x v="6"/>
    <n v="1"/>
    <n v="681050"/>
  </r>
  <r>
    <x v="6"/>
    <n v="1"/>
    <n v="681050"/>
  </r>
  <r>
    <x v="60"/>
    <n v="1"/>
    <n v="628690"/>
  </r>
  <r>
    <x v="56"/>
    <n v="1"/>
    <n v="602510"/>
  </r>
  <r>
    <x v="56"/>
    <n v="1"/>
    <n v="602510"/>
  </r>
  <r>
    <x v="24"/>
    <n v="1"/>
    <n v="681050"/>
  </r>
  <r>
    <x v="24"/>
    <n v="1"/>
    <n v="681050"/>
  </r>
  <r>
    <x v="57"/>
    <n v="1"/>
    <n v="628690"/>
  </r>
  <r>
    <x v="57"/>
    <n v="1"/>
    <n v="628690"/>
  </r>
  <r>
    <x v="24"/>
    <n v="1"/>
    <n v="681050"/>
  </r>
  <r>
    <x v="24"/>
    <n v="1"/>
    <n v="681050"/>
  </r>
  <r>
    <x v="24"/>
    <n v="1"/>
    <n v="681050"/>
  </r>
  <r>
    <x v="58"/>
    <n v="1"/>
    <n v="602510"/>
  </r>
  <r>
    <x v="58"/>
    <n v="1"/>
    <n v="602510"/>
  </r>
  <r>
    <x v="69"/>
    <n v="1"/>
    <n v="628690"/>
  </r>
  <r>
    <x v="69"/>
    <n v="1"/>
    <n v="628690"/>
  </r>
  <r>
    <x v="92"/>
    <n v="1"/>
    <n v="602510"/>
  </r>
  <r>
    <x v="64"/>
    <n v="1"/>
    <n v="681050"/>
  </r>
  <r>
    <x v="64"/>
    <n v="1"/>
    <n v="681050"/>
  </r>
  <r>
    <x v="12"/>
    <n v="1"/>
    <n v="454158"/>
  </r>
  <r>
    <x v="12"/>
    <n v="1"/>
    <n v="454158"/>
  </r>
  <r>
    <x v="12"/>
    <n v="1"/>
    <n v="454158"/>
  </r>
  <r>
    <x v="12"/>
    <n v="1"/>
    <n v="454158"/>
  </r>
  <r>
    <x v="93"/>
    <n v="0.5"/>
    <n v="240169"/>
  </r>
  <r>
    <x v="93"/>
    <n v="0.5"/>
    <n v="240169"/>
  </r>
  <r>
    <x v="94"/>
    <n v="1"/>
    <n v="681050"/>
  </r>
  <r>
    <x v="94"/>
    <n v="1"/>
    <n v="681050"/>
  </r>
  <r>
    <x v="94"/>
    <n v="1"/>
    <n v="681050"/>
  </r>
  <r>
    <x v="94"/>
    <n v="1"/>
    <n v="681050"/>
  </r>
  <r>
    <x v="95"/>
    <n v="1"/>
    <n v="628690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4"/>
    <n v="1"/>
    <n v="681050"/>
  </r>
  <r>
    <x v="49"/>
    <n v="1"/>
    <n v="576331"/>
  </r>
  <r>
    <x v="49"/>
    <n v="1"/>
    <n v="576331"/>
  </r>
  <r>
    <x v="97"/>
    <n v="1"/>
    <n v="602510"/>
  </r>
  <r>
    <x v="9"/>
    <n v="1"/>
    <n v="681050"/>
  </r>
  <r>
    <x v="70"/>
    <n v="0.5"/>
    <n v="314345"/>
  </r>
  <r>
    <x v="70"/>
    <n v="0.5"/>
    <n v="314345"/>
  </r>
  <r>
    <x v="70"/>
    <n v="1"/>
    <n v="628690"/>
  </r>
  <r>
    <x v="70"/>
    <n v="1"/>
    <n v="628690"/>
  </r>
  <r>
    <x v="70"/>
    <n v="1"/>
    <n v="628690"/>
  </r>
  <r>
    <x v="10"/>
    <n v="1"/>
    <n v="654871"/>
  </r>
  <r>
    <x v="10"/>
    <n v="1"/>
    <n v="654871"/>
  </r>
  <r>
    <x v="65"/>
    <n v="0.5"/>
    <n v="314345"/>
  </r>
  <r>
    <x v="65"/>
    <n v="0.5"/>
    <n v="314345"/>
  </r>
  <r>
    <x v="65"/>
    <n v="0.5"/>
    <n v="314345"/>
  </r>
  <r>
    <x v="65"/>
    <n v="0.5"/>
    <n v="314345"/>
  </r>
  <r>
    <x v="65"/>
    <n v="0.5"/>
    <n v="314345"/>
  </r>
  <r>
    <x v="65"/>
    <n v="0.5"/>
    <n v="314345"/>
  </r>
  <r>
    <x v="11"/>
    <n v="1"/>
    <n v="681050"/>
  </r>
  <r>
    <x v="11"/>
    <n v="1"/>
    <n v="681050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98"/>
    <n v="1"/>
    <n v="628690"/>
  </r>
  <r>
    <x v="98"/>
    <n v="1"/>
    <n v="628690"/>
  </r>
  <r>
    <x v="99"/>
    <n v="1"/>
    <n v="576331"/>
  </r>
  <r>
    <x v="99"/>
    <n v="1"/>
    <n v="576331"/>
  </r>
  <r>
    <x v="100"/>
    <n v="1"/>
    <n v="602510"/>
  </r>
  <r>
    <x v="99"/>
    <n v="1"/>
    <n v="576331"/>
  </r>
  <r>
    <x v="99"/>
    <n v="1"/>
    <n v="576331"/>
  </r>
  <r>
    <x v="99"/>
    <n v="1"/>
    <n v="576331"/>
  </r>
  <r>
    <x v="99"/>
    <n v="1"/>
    <n v="576331"/>
  </r>
  <r>
    <x v="99"/>
    <n v="1"/>
    <n v="576331"/>
  </r>
  <r>
    <x v="99"/>
    <n v="1"/>
    <n v="576331"/>
  </r>
  <r>
    <x v="101"/>
    <n v="1"/>
    <n v="585057"/>
  </r>
  <r>
    <x v="102"/>
    <n v="1"/>
    <n v="454158"/>
  </r>
  <r>
    <x v="102"/>
    <n v="1"/>
    <n v="454158"/>
  </r>
  <r>
    <x v="102"/>
    <n v="1"/>
    <n v="454158"/>
  </r>
  <r>
    <x v="102"/>
    <n v="1"/>
    <n v="454158"/>
  </r>
  <r>
    <x v="103"/>
    <n v="0.5"/>
    <n v="288165.5"/>
  </r>
  <r>
    <x v="103"/>
    <n v="0.5"/>
    <n v="288165.5"/>
  </r>
  <r>
    <x v="104"/>
    <n v="0.5"/>
    <n v="240169"/>
  </r>
  <r>
    <x v="104"/>
    <n v="0.5"/>
    <n v="240169"/>
  </r>
  <r>
    <x v="105"/>
    <n v="1"/>
    <n v="1002400"/>
  </r>
  <r>
    <x v="105"/>
    <n v="1"/>
    <n v="1002400"/>
  </r>
  <r>
    <x v="105"/>
    <n v="1"/>
    <n v="1002400"/>
  </r>
  <r>
    <x v="105"/>
    <n v="1"/>
    <n v="1002400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7"/>
    <n v="1"/>
    <n v="681050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7"/>
    <n v="1"/>
    <n v="681050"/>
  </r>
  <r>
    <x v="108"/>
    <n v="1"/>
    <n v="576331"/>
  </r>
  <r>
    <x v="108"/>
    <n v="1"/>
    <n v="576331"/>
  </r>
  <r>
    <x v="108"/>
    <n v="1"/>
    <n v="576331"/>
  </r>
  <r>
    <x v="108"/>
    <n v="1"/>
    <n v="576331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7"/>
    <n v="1"/>
    <n v="681050"/>
  </r>
  <r>
    <x v="107"/>
    <n v="1"/>
    <n v="681050"/>
  </r>
  <r>
    <x v="107"/>
    <n v="1"/>
    <n v="681050"/>
  </r>
  <r>
    <x v="108"/>
    <n v="1"/>
    <n v="576331"/>
  </r>
  <r>
    <x v="108"/>
    <n v="1"/>
    <n v="576331"/>
  </r>
  <r>
    <x v="109"/>
    <n v="1"/>
    <n v="585057"/>
  </r>
  <r>
    <x v="109"/>
    <n v="1"/>
    <n v="585057"/>
  </r>
  <r>
    <x v="89"/>
    <n v="1"/>
    <n v="576331"/>
  </r>
  <r>
    <x v="89"/>
    <n v="1"/>
    <n v="576331"/>
  </r>
  <r>
    <x v="89"/>
    <n v="1"/>
    <n v="576331"/>
  </r>
  <r>
    <x v="110"/>
    <n v="1"/>
    <n v="585057"/>
  </r>
  <r>
    <x v="111"/>
    <n v="1"/>
    <n v="585057"/>
  </r>
  <r>
    <x v="39"/>
    <n v="1"/>
    <n v="576331"/>
  </r>
  <r>
    <x v="39"/>
    <n v="1"/>
    <n v="576331"/>
  </r>
  <r>
    <x v="13"/>
    <n v="1"/>
    <n v="654871"/>
  </r>
  <r>
    <x v="13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30"/>
    <n v="1"/>
    <n v="681050"/>
  </r>
  <r>
    <x v="30"/>
    <n v="1"/>
    <n v="681050"/>
  </r>
  <r>
    <x v="55"/>
    <n v="1"/>
    <n v="576331"/>
  </r>
  <r>
    <x v="55"/>
    <n v="1"/>
    <n v="576331"/>
  </r>
  <r>
    <x v="111"/>
    <n v="1"/>
    <n v="585057"/>
  </r>
  <r>
    <x v="10"/>
    <n v="1"/>
    <n v="654871"/>
  </r>
  <r>
    <x v="10"/>
    <n v="1"/>
    <n v="654871"/>
  </r>
  <r>
    <x v="11"/>
    <n v="1"/>
    <n v="681050"/>
  </r>
  <r>
    <x v="0"/>
    <n v="1"/>
    <n v="454158"/>
  </r>
  <r>
    <x v="0"/>
    <n v="1"/>
    <n v="454158"/>
  </r>
  <r>
    <x v="112"/>
    <n v="0.5"/>
    <n v="288165.5"/>
  </r>
  <r>
    <x v="112"/>
    <n v="0.5"/>
    <n v="288165.5"/>
  </r>
  <r>
    <x v="113"/>
    <n v="1"/>
    <n v="585057"/>
  </r>
  <r>
    <x v="113"/>
    <n v="1"/>
    <n v="585057"/>
  </r>
  <r>
    <x v="114"/>
    <n v="1"/>
    <n v="654871"/>
  </r>
  <r>
    <x v="114"/>
    <n v="1"/>
    <n v="654871"/>
  </r>
  <r>
    <x v="66"/>
    <n v="1"/>
    <n v="681050"/>
  </r>
  <r>
    <x v="66"/>
    <n v="1"/>
    <n v="681050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101"/>
    <n v="1"/>
    <n v="585057"/>
  </r>
  <r>
    <x v="59"/>
    <n v="1"/>
    <n v="454158"/>
  </r>
  <r>
    <x v="59"/>
    <n v="1"/>
    <n v="454158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64"/>
    <n v="1"/>
    <n v="681050"/>
  </r>
  <r>
    <x v="78"/>
    <n v="1"/>
    <n v="576331"/>
  </r>
  <r>
    <x v="78"/>
    <n v="1"/>
    <n v="576331"/>
  </r>
  <r>
    <x v="115"/>
    <n v="1"/>
    <n v="585057"/>
  </r>
  <r>
    <x v="115"/>
    <n v="1"/>
    <n v="585057"/>
  </r>
  <r>
    <x v="102"/>
    <n v="1"/>
    <n v="454158"/>
  </r>
  <r>
    <x v="102"/>
    <n v="1"/>
    <n v="454158"/>
  </r>
  <r>
    <x v="109"/>
    <n v="1"/>
    <n v="585057"/>
  </r>
  <r>
    <x v="116"/>
    <n v="1"/>
    <n v="454158"/>
  </r>
  <r>
    <x v="116"/>
    <n v="1"/>
    <n v="454158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63"/>
    <n v="1"/>
    <n v="681050"/>
  </r>
  <r>
    <x v="117"/>
    <n v="1"/>
    <n v="585057"/>
  </r>
  <r>
    <x v="117"/>
    <n v="1"/>
    <n v="585057"/>
  </r>
  <r>
    <x v="5"/>
    <n v="1"/>
    <n v="654871"/>
  </r>
  <r>
    <x v="6"/>
    <n v="1"/>
    <n v="681050"/>
  </r>
  <r>
    <x v="6"/>
    <n v="1"/>
    <n v="681050"/>
  </r>
  <r>
    <x v="79"/>
    <n v="1"/>
    <n v="628690"/>
  </r>
  <r>
    <x v="36"/>
    <n v="1"/>
    <n v="681050"/>
  </r>
  <r>
    <x v="36"/>
    <n v="1"/>
    <n v="681050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2"/>
    <n v="1"/>
    <n v="681050"/>
  </r>
  <r>
    <x v="52"/>
    <n v="1"/>
    <n v="681050"/>
  </r>
  <r>
    <x v="52"/>
    <n v="1"/>
    <n v="681050"/>
  </r>
  <r>
    <x v="118"/>
    <n v="1"/>
    <n v="585057"/>
  </r>
  <r>
    <x v="118"/>
    <n v="1"/>
    <n v="585057"/>
  </r>
  <r>
    <x v="119"/>
    <n v="1"/>
    <n v="454158"/>
  </r>
  <r>
    <x v="119"/>
    <n v="1"/>
    <n v="454158"/>
  </r>
  <r>
    <x v="119"/>
    <n v="1"/>
    <n v="454158"/>
  </r>
  <r>
    <x v="119"/>
    <n v="1"/>
    <n v="454158"/>
  </r>
  <r>
    <x v="120"/>
    <n v="1"/>
    <n v="585057"/>
  </r>
  <r>
    <x v="120"/>
    <n v="1"/>
    <n v="585057"/>
  </r>
  <r>
    <x v="14"/>
    <n v="1"/>
    <n v="681050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27"/>
    <n v="1"/>
    <n v="681050"/>
  </r>
  <r>
    <x v="27"/>
    <n v="1"/>
    <n v="681050"/>
  </r>
  <r>
    <x v="121"/>
    <n v="0.5"/>
    <n v="240169"/>
  </r>
  <r>
    <x v="121"/>
    <n v="0.5"/>
    <n v="240169"/>
  </r>
  <r>
    <x v="122"/>
    <n v="0.5"/>
    <n v="292528.5"/>
  </r>
  <r>
    <x v="122"/>
    <n v="0.5"/>
    <n v="292528.5"/>
  </r>
  <r>
    <x v="123"/>
    <n v="1"/>
    <n v="654871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8"/>
    <n v="1"/>
    <n v="654871"/>
  </r>
  <r>
    <x v="8"/>
    <n v="1"/>
    <n v="654871"/>
  </r>
  <r>
    <x v="8"/>
    <n v="1"/>
    <n v="654871"/>
  </r>
  <r>
    <x v="8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33"/>
    <n v="1"/>
    <n v="654871"/>
  </r>
  <r>
    <x v="33"/>
    <n v="1"/>
    <n v="654871"/>
  </r>
  <r>
    <x v="124"/>
    <n v="1"/>
    <n v="654871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6"/>
    <n v="1"/>
    <n v="681050"/>
  </r>
  <r>
    <x v="6"/>
    <n v="1"/>
    <n v="681050"/>
  </r>
  <r>
    <x v="6"/>
    <n v="1"/>
    <n v="681050"/>
  </r>
  <r>
    <x v="94"/>
    <n v="1"/>
    <n v="681050"/>
  </r>
  <r>
    <x v="94"/>
    <n v="1"/>
    <n v="681050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42"/>
    <n v="1"/>
    <n v="681050"/>
  </r>
  <r>
    <x v="42"/>
    <n v="1"/>
    <n v="681050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125"/>
    <n v="1"/>
    <n v="585057"/>
  </r>
  <r>
    <x v="66"/>
    <n v="1"/>
    <n v="681050"/>
  </r>
  <r>
    <x v="66"/>
    <n v="1"/>
    <n v="681050"/>
  </r>
  <r>
    <x v="66"/>
    <n v="1"/>
    <n v="68105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26"/>
    <n v="1"/>
    <n v="654871"/>
  </r>
  <r>
    <x v="36"/>
    <n v="1"/>
    <n v="681050"/>
  </r>
  <r>
    <x v="127"/>
    <n v="1"/>
    <n v="454158"/>
  </r>
  <r>
    <x v="128"/>
    <n v="1"/>
    <n v="585057"/>
  </r>
  <r>
    <x v="36"/>
    <n v="1"/>
    <n v="681050"/>
  </r>
  <r>
    <x v="36"/>
    <n v="1"/>
    <n v="681050"/>
  </r>
  <r>
    <x v="9"/>
    <n v="1"/>
    <n v="681050"/>
  </r>
  <r>
    <x v="9"/>
    <n v="1"/>
    <n v="681050"/>
  </r>
  <r>
    <x v="9"/>
    <n v="1"/>
    <n v="681050"/>
  </r>
  <r>
    <x v="9"/>
    <n v="1"/>
    <n v="681050"/>
  </r>
  <r>
    <x v="83"/>
    <n v="1"/>
    <n v="628690"/>
  </r>
  <r>
    <x v="83"/>
    <n v="1"/>
    <n v="628690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129"/>
    <n v="1"/>
    <n v="1002400"/>
  </r>
  <r>
    <x v="129"/>
    <n v="1"/>
    <n v="1002400"/>
  </r>
  <r>
    <x v="129"/>
    <n v="1"/>
    <n v="1002400"/>
  </r>
  <r>
    <x v="129"/>
    <n v="1"/>
    <n v="1002400"/>
  </r>
  <r>
    <x v="129"/>
    <n v="1"/>
    <n v="1002400"/>
  </r>
  <r>
    <x v="69"/>
    <n v="1"/>
    <n v="628690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130"/>
    <n v="1"/>
    <n v="1002400"/>
  </r>
  <r>
    <x v="102"/>
    <n v="1"/>
    <n v="454158"/>
  </r>
  <r>
    <x v="102"/>
    <n v="1"/>
    <n v="454158"/>
  </r>
  <r>
    <x v="102"/>
    <n v="1"/>
    <n v="454158"/>
  </r>
  <r>
    <x v="102"/>
    <n v="1"/>
    <n v="454158"/>
  </r>
  <r>
    <x v="69"/>
    <n v="0.5"/>
    <n v="314345"/>
  </r>
  <r>
    <x v="69"/>
    <n v="0.5"/>
    <n v="314345"/>
  </r>
  <r>
    <x v="47"/>
    <n v="1"/>
    <n v="628690"/>
  </r>
  <r>
    <x v="45"/>
    <n v="1"/>
    <n v="654871"/>
  </r>
  <r>
    <x v="45"/>
    <n v="1"/>
    <n v="654871"/>
  </r>
  <r>
    <x v="46"/>
    <n v="1"/>
    <n v="681050"/>
  </r>
  <r>
    <x v="45"/>
    <n v="1"/>
    <n v="654871"/>
  </r>
  <r>
    <x v="46"/>
    <n v="1"/>
    <n v="681050"/>
  </r>
  <r>
    <x v="131"/>
    <n v="1"/>
    <n v="454158"/>
  </r>
  <r>
    <x v="131"/>
    <n v="1"/>
    <n v="454158"/>
  </r>
  <r>
    <x v="132"/>
    <n v="1"/>
    <n v="1002400"/>
  </r>
  <r>
    <x v="132"/>
    <n v="1"/>
    <n v="1002400"/>
  </r>
  <r>
    <x v="132"/>
    <n v="1"/>
    <n v="1002400"/>
  </r>
  <r>
    <x v="132"/>
    <n v="1"/>
    <n v="1002400"/>
  </r>
  <r>
    <x v="132"/>
    <n v="1"/>
    <n v="1002400"/>
  </r>
  <r>
    <x v="133"/>
    <n v="1"/>
    <n v="1002400"/>
  </r>
  <r>
    <x v="133"/>
    <n v="1"/>
    <n v="1002400"/>
  </r>
  <r>
    <x v="133"/>
    <n v="1"/>
    <n v="1002400"/>
  </r>
  <r>
    <x v="133"/>
    <n v="1"/>
    <n v="1002400"/>
  </r>
  <r>
    <x v="133"/>
    <n v="1"/>
    <n v="1002400"/>
  </r>
  <r>
    <x v="134"/>
    <n v="1"/>
    <n v="454158"/>
  </r>
  <r>
    <x v="135"/>
    <n v="1"/>
    <n v="1002400"/>
  </r>
  <r>
    <x v="135"/>
    <n v="1"/>
    <n v="1002400"/>
  </r>
  <r>
    <x v="135"/>
    <n v="1"/>
    <n v="1002400"/>
  </r>
  <r>
    <x v="88"/>
    <n v="1"/>
    <n v="628690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136"/>
    <n v="1"/>
    <n v="1002400"/>
  </r>
  <r>
    <x v="136"/>
    <n v="1"/>
    <n v="1002400"/>
  </r>
  <r>
    <x v="136"/>
    <n v="1"/>
    <n v="1002400"/>
  </r>
  <r>
    <x v="136"/>
    <n v="1"/>
    <n v="1002400"/>
  </r>
  <r>
    <x v="119"/>
    <n v="1"/>
    <n v="454158"/>
  </r>
  <r>
    <x v="119"/>
    <n v="1"/>
    <n v="454158"/>
  </r>
  <r>
    <x v="119"/>
    <n v="1"/>
    <n v="454158"/>
  </r>
  <r>
    <x v="119"/>
    <n v="1"/>
    <n v="454158"/>
  </r>
  <r>
    <x v="70"/>
    <n v="1"/>
    <n v="628690"/>
  </r>
  <r>
    <x v="70"/>
    <n v="1"/>
    <n v="628690"/>
  </r>
  <r>
    <x v="26"/>
    <n v="1"/>
    <n v="681050"/>
  </r>
  <r>
    <x v="26"/>
    <n v="1"/>
    <n v="681050"/>
  </r>
  <r>
    <x v="137"/>
    <n v="1"/>
    <n v="1002400"/>
  </r>
  <r>
    <x v="137"/>
    <n v="1"/>
    <n v="1002400"/>
  </r>
  <r>
    <x v="137"/>
    <n v="1"/>
    <n v="1002400"/>
  </r>
  <r>
    <x v="137"/>
    <n v="1"/>
    <n v="1002400"/>
  </r>
  <r>
    <x v="137"/>
    <n v="1"/>
    <n v="1002400"/>
  </r>
  <r>
    <x v="138"/>
    <n v="1"/>
    <n v="1002400"/>
  </r>
  <r>
    <x v="33"/>
    <n v="1"/>
    <n v="654871"/>
  </r>
  <r>
    <x v="33"/>
    <n v="1"/>
    <n v="654871"/>
  </r>
  <r>
    <x v="3"/>
    <n v="1"/>
    <n v="1002400"/>
  </r>
  <r>
    <x v="38"/>
    <n v="1"/>
    <n v="628690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12"/>
    <n v="1"/>
    <n v="454158"/>
  </r>
  <r>
    <x v="12"/>
    <n v="1"/>
    <n v="454158"/>
  </r>
  <r>
    <x v="15"/>
    <n v="1"/>
    <n v="1002400"/>
  </r>
  <r>
    <x v="15"/>
    <n v="1"/>
    <n v="1002400"/>
  </r>
  <r>
    <x v="15"/>
    <n v="1"/>
    <n v="1002400"/>
  </r>
  <r>
    <x v="15"/>
    <n v="1"/>
    <n v="1002400"/>
  </r>
  <r>
    <x v="15"/>
    <n v="1"/>
    <n v="1002400"/>
  </r>
  <r>
    <x v="71"/>
    <n v="1"/>
    <n v="681050"/>
  </r>
  <r>
    <x v="139"/>
    <n v="1"/>
    <n v="628690"/>
  </r>
  <r>
    <x v="57"/>
    <n v="1"/>
    <n v="628690"/>
  </r>
  <r>
    <x v="57"/>
    <n v="1"/>
    <n v="628690"/>
  </r>
  <r>
    <x v="24"/>
    <n v="1"/>
    <n v="681050"/>
  </r>
  <r>
    <x v="24"/>
    <n v="1"/>
    <n v="681050"/>
  </r>
  <r>
    <x v="24"/>
    <n v="1"/>
    <n v="681050"/>
  </r>
  <r>
    <x v="57"/>
    <n v="0.5"/>
    <n v="314345"/>
  </r>
  <r>
    <x v="57"/>
    <n v="0.5"/>
    <n v="314345"/>
  </r>
  <r>
    <x v="57"/>
    <n v="0.5"/>
    <n v="314345"/>
  </r>
  <r>
    <x v="57"/>
    <n v="0.5"/>
    <n v="314345"/>
  </r>
  <r>
    <x v="20"/>
    <n v="1"/>
    <n v="1002400"/>
  </r>
  <r>
    <x v="20"/>
    <n v="1"/>
    <n v="1002400"/>
  </r>
  <r>
    <x v="20"/>
    <n v="1"/>
    <n v="1002400"/>
  </r>
  <r>
    <x v="20"/>
    <n v="1"/>
    <n v="1002400"/>
  </r>
  <r>
    <x v="20"/>
    <n v="1"/>
    <n v="1002400"/>
  </r>
  <r>
    <x v="94"/>
    <n v="1"/>
    <n v="681050"/>
  </r>
  <r>
    <x v="94"/>
    <n v="1"/>
    <n v="681050"/>
  </r>
  <r>
    <x v="94"/>
    <n v="1"/>
    <n v="681050"/>
  </r>
  <r>
    <x v="94"/>
    <n v="1"/>
    <n v="681050"/>
  </r>
  <r>
    <x v="140"/>
    <n v="1"/>
    <n v="454158"/>
  </r>
  <r>
    <x v="140"/>
    <n v="1"/>
    <n v="454158"/>
  </r>
  <r>
    <x v="141"/>
    <n v="1"/>
    <n v="489065"/>
  </r>
  <r>
    <x v="95"/>
    <n v="0.5"/>
    <n v="314345"/>
  </r>
  <r>
    <x v="95"/>
    <n v="0.5"/>
    <n v="314345"/>
  </r>
  <r>
    <x v="140"/>
    <n v="1"/>
    <n v="454158"/>
  </r>
  <r>
    <x v="140"/>
    <n v="1"/>
    <n v="454158"/>
  </r>
  <r>
    <x v="140"/>
    <n v="1"/>
    <n v="454158"/>
  </r>
  <r>
    <x v="140"/>
    <n v="1"/>
    <n v="454158"/>
  </r>
  <r>
    <x v="140"/>
    <n v="1"/>
    <n v="454158"/>
  </r>
  <r>
    <x v="140"/>
    <n v="1"/>
    <n v="454158"/>
  </r>
  <r>
    <x v="69"/>
    <n v="1"/>
    <n v="628690"/>
  </r>
  <r>
    <x v="60"/>
    <n v="1"/>
    <n v="628690"/>
  </r>
  <r>
    <x v="5"/>
    <n v="1"/>
    <n v="654871"/>
  </r>
  <r>
    <x v="6"/>
    <n v="1"/>
    <n v="681050"/>
  </r>
  <r>
    <x v="6"/>
    <n v="1"/>
    <n v="681050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1"/>
    <n v="1"/>
    <n v="681050"/>
  </r>
  <r>
    <x v="2"/>
    <n v="1"/>
    <n v="1002400"/>
  </r>
  <r>
    <x v="2"/>
    <n v="1"/>
    <n v="1002400"/>
  </r>
  <r>
    <x v="1"/>
    <n v="1"/>
    <n v="489065"/>
  </r>
  <r>
    <x v="142"/>
    <n v="0.5"/>
    <n v="314345"/>
  </r>
  <r>
    <x v="142"/>
    <n v="0.5"/>
    <n v="314345"/>
  </r>
  <r>
    <x v="38"/>
    <n v="0.5"/>
    <n v="314345"/>
  </r>
  <r>
    <x v="38"/>
    <n v="0.5"/>
    <n v="314345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4"/>
    <n v="1"/>
    <n v="681050"/>
  </r>
  <r>
    <x v="144"/>
    <n v="1"/>
    <n v="681050"/>
  </r>
  <r>
    <x v="145"/>
    <n v="1"/>
    <n v="585057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6"/>
    <n v="1"/>
    <n v="628690"/>
  </r>
  <r>
    <x v="143"/>
    <n v="1"/>
    <n v="654871"/>
  </r>
  <r>
    <x v="143"/>
    <n v="1"/>
    <n v="654871"/>
  </r>
  <r>
    <x v="144"/>
    <n v="1"/>
    <n v="681050"/>
  </r>
  <r>
    <x v="144"/>
    <n v="1"/>
    <n v="681050"/>
  </r>
  <r>
    <x v="147"/>
    <n v="1"/>
    <n v="1002400"/>
  </r>
  <r>
    <x v="147"/>
    <n v="1"/>
    <n v="1002400"/>
  </r>
  <r>
    <x v="147"/>
    <n v="1"/>
    <n v="1002400"/>
  </r>
  <r>
    <x v="147"/>
    <n v="1"/>
    <n v="1002400"/>
  </r>
  <r>
    <x v="147"/>
    <n v="1"/>
    <n v="1002400"/>
  </r>
  <r>
    <x v="148"/>
    <n v="1"/>
    <n v="628690"/>
  </r>
  <r>
    <x v="57"/>
    <n v="1"/>
    <n v="628690"/>
  </r>
  <r>
    <x v="137"/>
    <n v="1"/>
    <n v="1002400"/>
  </r>
  <r>
    <x v="137"/>
    <n v="1"/>
    <n v="1002400"/>
  </r>
  <r>
    <x v="98"/>
    <n v="1"/>
    <n v="628690"/>
  </r>
  <r>
    <x v="42"/>
    <n v="1"/>
    <n v="681050"/>
  </r>
  <r>
    <x v="149"/>
    <n v="1"/>
    <n v="454158"/>
  </r>
  <r>
    <x v="149"/>
    <n v="1"/>
    <n v="454158"/>
  </r>
  <r>
    <x v="149"/>
    <n v="1"/>
    <n v="454158"/>
  </r>
  <r>
    <x v="149"/>
    <n v="1"/>
    <n v="454158"/>
  </r>
  <r>
    <x v="4"/>
    <n v="1"/>
    <n v="1002400"/>
  </r>
  <r>
    <x v="98"/>
    <n v="0.5"/>
    <n v="314345"/>
  </r>
  <r>
    <x v="98"/>
    <n v="0.5"/>
    <n v="314345"/>
  </r>
  <r>
    <x v="20"/>
    <n v="1"/>
    <n v="1002400"/>
  </r>
  <r>
    <x v="20"/>
    <n v="1"/>
    <n v="1002400"/>
  </r>
  <r>
    <x v="20"/>
    <n v="1"/>
    <n v="1002400"/>
  </r>
  <r>
    <x v="57"/>
    <n v="0.5"/>
    <n v="314345"/>
  </r>
  <r>
    <x v="57"/>
    <n v="0.5"/>
    <n v="314345"/>
  </r>
  <r>
    <x v="9"/>
    <n v="1"/>
    <n v="681050"/>
  </r>
  <r>
    <x v="8"/>
    <n v="1"/>
    <n v="654871"/>
  </r>
  <r>
    <x v="8"/>
    <n v="1"/>
    <n v="654871"/>
  </r>
  <r>
    <x v="137"/>
    <n v="1"/>
    <n v="1002400"/>
  </r>
  <r>
    <x v="137"/>
    <n v="1"/>
    <n v="1002400"/>
  </r>
  <r>
    <x v="137"/>
    <n v="1"/>
    <n v="1002400"/>
  </r>
  <r>
    <x v="64"/>
    <n v="1"/>
    <n v="681050"/>
  </r>
  <r>
    <x v="7"/>
    <n v="1"/>
    <n v="654871"/>
  </r>
  <r>
    <x v="7"/>
    <n v="1"/>
    <n v="654871"/>
  </r>
  <r>
    <x v="63"/>
    <n v="1"/>
    <n v="681050"/>
  </r>
  <r>
    <x v="129"/>
    <n v="1"/>
    <n v="1002400"/>
  </r>
  <r>
    <x v="129"/>
    <n v="1"/>
    <n v="1002400"/>
  </r>
  <r>
    <x v="129"/>
    <n v="1"/>
    <n v="1002400"/>
  </r>
  <r>
    <x v="129"/>
    <n v="1"/>
    <n v="1002400"/>
  </r>
  <r>
    <x v="6"/>
    <n v="1"/>
    <n v="681050"/>
  </r>
  <r>
    <x v="29"/>
    <n v="1"/>
    <n v="654871"/>
  </r>
  <r>
    <x v="29"/>
    <n v="1"/>
    <n v="654871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11"/>
    <n v="1"/>
    <n v="681050"/>
  </r>
  <r>
    <x v="65"/>
    <n v="1"/>
    <n v="628690"/>
  </r>
  <r>
    <x v="65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51"/>
    <n v="1"/>
    <n v="654871"/>
  </r>
  <r>
    <x v="88"/>
    <n v="1"/>
    <n v="628690"/>
  </r>
  <r>
    <x v="150"/>
    <n v="1"/>
    <n v="454158"/>
  </r>
  <r>
    <x v="150"/>
    <n v="1"/>
    <n v="454158"/>
  </r>
  <r>
    <x v="151"/>
    <n v="1"/>
    <n v="1002400"/>
  </r>
  <r>
    <x v="151"/>
    <n v="1"/>
    <n v="1002400"/>
  </r>
  <r>
    <x v="151"/>
    <n v="1"/>
    <n v="1002400"/>
  </r>
  <r>
    <x v="151"/>
    <n v="1"/>
    <n v="1002400"/>
  </r>
  <r>
    <x v="71"/>
    <n v="1"/>
    <n v="681050"/>
  </r>
  <r>
    <x v="152"/>
    <n v="1"/>
    <n v="628690"/>
  </r>
  <r>
    <x v="152"/>
    <n v="1"/>
    <n v="628690"/>
  </r>
  <r>
    <x v="152"/>
    <n v="1"/>
    <n v="628690"/>
  </r>
  <r>
    <x v="152"/>
    <n v="1"/>
    <n v="628690"/>
  </r>
  <r>
    <x v="152"/>
    <n v="1"/>
    <n v="628690"/>
  </r>
  <r>
    <x v="37"/>
    <n v="1"/>
    <n v="1002400"/>
  </r>
  <r>
    <x v="37"/>
    <n v="1"/>
    <n v="1002400"/>
  </r>
  <r>
    <x v="37"/>
    <n v="1"/>
    <n v="1002400"/>
  </r>
  <r>
    <x v="37"/>
    <n v="1"/>
    <n v="1002400"/>
  </r>
  <r>
    <x v="79"/>
    <n v="1"/>
    <n v="628690"/>
  </r>
  <r>
    <x v="36"/>
    <n v="1"/>
    <n v="681050"/>
  </r>
  <r>
    <x v="36"/>
    <n v="1"/>
    <n v="681050"/>
  </r>
  <r>
    <x v="79"/>
    <n v="0.5"/>
    <n v="314345"/>
  </r>
  <r>
    <x v="79"/>
    <n v="0.5"/>
    <n v="314345"/>
  </r>
  <r>
    <x v="37"/>
    <n v="1"/>
    <n v="1002400"/>
  </r>
  <r>
    <x v="37"/>
    <n v="1"/>
    <n v="1002400"/>
  </r>
  <r>
    <x v="37"/>
    <n v="1"/>
    <n v="1002400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9"/>
    <n v="1"/>
    <n v="681050"/>
  </r>
  <r>
    <x v="9"/>
    <n v="1"/>
    <n v="681050"/>
  </r>
  <r>
    <x v="41"/>
    <n v="1"/>
    <n v="654871"/>
  </r>
  <r>
    <x v="41"/>
    <n v="1"/>
    <n v="654871"/>
  </r>
  <r>
    <x v="133"/>
    <n v="1"/>
    <n v="1002400"/>
  </r>
  <r>
    <x v="133"/>
    <n v="1"/>
    <n v="100240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12"/>
    <n v="1"/>
    <n v="454158"/>
  </r>
  <r>
    <x v="12"/>
    <n v="1"/>
    <n v="454158"/>
  </r>
  <r>
    <x v="12"/>
    <n v="1"/>
    <n v="454158"/>
  </r>
  <r>
    <x v="12"/>
    <n v="1"/>
    <n v="454158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45"/>
    <n v="1"/>
    <n v="654871"/>
  </r>
  <r>
    <x v="45"/>
    <n v="1"/>
    <n v="654871"/>
  </r>
  <r>
    <x v="46"/>
    <n v="1"/>
    <n v="681050"/>
  </r>
  <r>
    <x v="46"/>
    <n v="1"/>
    <n v="681050"/>
  </r>
  <r>
    <x v="131"/>
    <n v="1"/>
    <n v="454158"/>
  </r>
  <r>
    <x v="131"/>
    <n v="1"/>
    <n v="454158"/>
  </r>
  <r>
    <x v="131"/>
    <n v="1"/>
    <n v="454158"/>
  </r>
  <r>
    <x v="131"/>
    <n v="1"/>
    <n v="454158"/>
  </r>
  <r>
    <x v="131"/>
    <n v="1"/>
    <n v="454158"/>
  </r>
  <r>
    <x v="131"/>
    <n v="1"/>
    <n v="454158"/>
  </r>
  <r>
    <x v="76"/>
    <n v="1"/>
    <n v="628690"/>
  </r>
  <r>
    <x v="76"/>
    <n v="1"/>
    <n v="628690"/>
  </r>
  <r>
    <x v="29"/>
    <n v="1"/>
    <n v="654871"/>
  </r>
  <r>
    <x v="29"/>
    <n v="1"/>
    <n v="654871"/>
  </r>
  <r>
    <x v="30"/>
    <n v="1"/>
    <n v="681050"/>
  </r>
  <r>
    <x v="30"/>
    <n v="1"/>
    <n v="681050"/>
  </r>
  <r>
    <x v="30"/>
    <n v="1"/>
    <n v="681050"/>
  </r>
  <r>
    <x v="134"/>
    <n v="1"/>
    <n v="454158"/>
  </r>
  <r>
    <x v="134"/>
    <n v="1"/>
    <n v="454158"/>
  </r>
  <r>
    <x v="134"/>
    <n v="1"/>
    <n v="454158"/>
  </r>
  <r>
    <x v="134"/>
    <n v="1"/>
    <n v="454158"/>
  </r>
  <r>
    <x v="134"/>
    <n v="1"/>
    <n v="454158"/>
  </r>
  <r>
    <x v="134"/>
    <n v="1"/>
    <n v="454158"/>
  </r>
  <r>
    <x v="83"/>
    <n v="1"/>
    <n v="628690"/>
  </r>
  <r>
    <x v="83"/>
    <n v="1"/>
    <n v="628690"/>
  </r>
  <r>
    <x v="155"/>
    <n v="1"/>
    <n v="593784"/>
  </r>
  <r>
    <x v="155"/>
    <n v="1"/>
    <n v="593784"/>
  </r>
  <r>
    <x v="155"/>
    <n v="1"/>
    <n v="593784"/>
  </r>
  <r>
    <x v="155"/>
    <n v="1"/>
    <n v="593784"/>
  </r>
  <r>
    <x v="155"/>
    <n v="1"/>
    <n v="593784"/>
  </r>
  <r>
    <x v="16"/>
    <n v="1"/>
    <n v="576331"/>
  </r>
  <r>
    <x v="16"/>
    <n v="1"/>
    <n v="576331"/>
  </r>
  <r>
    <x v="16"/>
    <n v="1"/>
    <n v="576331"/>
  </r>
  <r>
    <x v="16"/>
    <n v="1"/>
    <n v="576331"/>
  </r>
  <r>
    <x v="10"/>
    <n v="1"/>
    <n v="654871"/>
  </r>
  <r>
    <x v="10"/>
    <n v="1"/>
    <n v="654871"/>
  </r>
  <r>
    <x v="11"/>
    <n v="1"/>
    <n v="681050"/>
  </r>
  <r>
    <x v="42"/>
    <n v="1"/>
    <n v="681050"/>
  </r>
  <r>
    <x v="98"/>
    <n v="1"/>
    <n v="628690"/>
  </r>
  <r>
    <x v="98"/>
    <n v="1"/>
    <n v="628690"/>
  </r>
  <r>
    <x v="98"/>
    <n v="1"/>
    <n v="628690"/>
  </r>
  <r>
    <x v="98"/>
    <n v="1"/>
    <n v="628690"/>
  </r>
  <r>
    <x v="98"/>
    <n v="1"/>
    <n v="628690"/>
  </r>
  <r>
    <x v="41"/>
    <n v="1"/>
    <n v="654871"/>
  </r>
  <r>
    <x v="41"/>
    <n v="1"/>
    <n v="654871"/>
  </r>
  <r>
    <x v="42"/>
    <n v="1"/>
    <n v="681050"/>
  </r>
  <r>
    <x v="42"/>
    <n v="1"/>
    <n v="681050"/>
  </r>
  <r>
    <x v="42"/>
    <n v="1"/>
    <n v="681050"/>
  </r>
  <r>
    <x v="149"/>
    <n v="1"/>
    <n v="454158"/>
  </r>
  <r>
    <x v="149"/>
    <n v="1"/>
    <n v="454158"/>
  </r>
  <r>
    <x v="98"/>
    <n v="0.5"/>
    <n v="314345"/>
  </r>
  <r>
    <x v="98"/>
    <n v="0.5"/>
    <n v="314345"/>
  </r>
  <r>
    <x v="156"/>
    <n v="1"/>
    <n v="593784"/>
  </r>
  <r>
    <x v="156"/>
    <n v="1"/>
    <n v="593784"/>
  </r>
  <r>
    <x v="156"/>
    <n v="1"/>
    <n v="593784"/>
  </r>
  <r>
    <x v="156"/>
    <n v="1"/>
    <n v="593784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2"/>
    <n v="1"/>
    <n v="681050"/>
  </r>
  <r>
    <x v="52"/>
    <n v="1"/>
    <n v="681050"/>
  </r>
  <r>
    <x v="52"/>
    <n v="1"/>
    <n v="681050"/>
  </r>
  <r>
    <x v="3"/>
    <n v="1"/>
    <n v="1002400"/>
  </r>
  <r>
    <x v="68"/>
    <n v="0.5"/>
    <n v="314345"/>
  </r>
  <r>
    <x v="68"/>
    <n v="0.5"/>
    <n v="314345"/>
  </r>
  <r>
    <x v="68"/>
    <n v="0.5"/>
    <n v="314345"/>
  </r>
  <r>
    <x v="68"/>
    <n v="0.5"/>
    <n v="314345"/>
  </r>
  <r>
    <x v="101"/>
    <n v="1"/>
    <n v="585057"/>
  </r>
  <r>
    <x v="101"/>
    <n v="1"/>
    <n v="585057"/>
  </r>
  <r>
    <x v="69"/>
    <n v="0.5"/>
    <n v="314345"/>
  </r>
  <r>
    <x v="69"/>
    <n v="0.5"/>
    <n v="314345"/>
  </r>
  <r>
    <x v="69"/>
    <n v="0.5"/>
    <n v="314345"/>
  </r>
  <r>
    <x v="69"/>
    <n v="0.5"/>
    <n v="314345"/>
  </r>
  <r>
    <x v="115"/>
    <n v="1"/>
    <n v="585057"/>
  </r>
  <r>
    <x v="115"/>
    <n v="1"/>
    <n v="585057"/>
  </r>
  <r>
    <x v="88"/>
    <n v="0.5"/>
    <n v="314345"/>
  </r>
  <r>
    <x v="88"/>
    <n v="0.5"/>
    <n v="314345"/>
  </r>
  <r>
    <x v="118"/>
    <n v="1"/>
    <n v="585057"/>
  </r>
  <r>
    <x v="38"/>
    <n v="0.5"/>
    <n v="314345"/>
  </r>
  <r>
    <x v="38"/>
    <n v="0.5"/>
    <n v="314345"/>
  </r>
  <r>
    <x v="38"/>
    <n v="0.5"/>
    <n v="314345"/>
  </r>
  <r>
    <x v="38"/>
    <n v="0.5"/>
    <n v="314345"/>
  </r>
  <r>
    <x v="120"/>
    <n v="1"/>
    <n v="585057"/>
  </r>
  <r>
    <x v="120"/>
    <n v="1"/>
    <n v="585057"/>
  </r>
  <r>
    <x v="18"/>
    <n v="1"/>
    <n v="1002400"/>
  </r>
  <r>
    <x v="18"/>
    <n v="1"/>
    <n v="1002400"/>
  </r>
  <r>
    <x v="3"/>
    <n v="1"/>
    <n v="1002400"/>
  </r>
  <r>
    <x v="3"/>
    <n v="1"/>
    <n v="1002400"/>
  </r>
  <r>
    <x v="129"/>
    <n v="1"/>
    <n v="1002400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37"/>
    <n v="1"/>
    <n v="1002400"/>
  </r>
  <r>
    <x v="37"/>
    <n v="1"/>
    <n v="1002400"/>
  </r>
  <r>
    <x v="37"/>
    <n v="1"/>
    <n v="1002400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158"/>
    <n v="1"/>
    <n v="550151"/>
  </r>
  <r>
    <x v="158"/>
    <n v="1"/>
    <n v="550151"/>
  </r>
  <r>
    <x v="158"/>
    <n v="1"/>
    <n v="550151"/>
  </r>
  <r>
    <x v="158"/>
    <n v="1"/>
    <n v="550151"/>
  </r>
  <r>
    <x v="148"/>
    <n v="1"/>
    <n v="628690"/>
  </r>
  <r>
    <x v="148"/>
    <n v="1"/>
    <n v="628690"/>
  </r>
  <r>
    <x v="148"/>
    <n v="1"/>
    <n v="628690"/>
  </r>
  <r>
    <x v="106"/>
    <n v="1"/>
    <n v="654871"/>
  </r>
  <r>
    <x v="106"/>
    <n v="1"/>
    <n v="654871"/>
  </r>
  <r>
    <x v="107"/>
    <n v="1"/>
    <n v="681050"/>
  </r>
  <r>
    <x v="106"/>
    <n v="1"/>
    <n v="654871"/>
  </r>
  <r>
    <x v="107"/>
    <n v="1"/>
    <n v="681050"/>
  </r>
  <r>
    <x v="107"/>
    <n v="1"/>
    <n v="681050"/>
  </r>
  <r>
    <x v="159"/>
    <n v="1"/>
    <n v="454158"/>
  </r>
  <r>
    <x v="159"/>
    <n v="1"/>
    <n v="454158"/>
  </r>
  <r>
    <x v="159"/>
    <n v="1"/>
    <n v="454158"/>
  </r>
  <r>
    <x v="159"/>
    <n v="1"/>
    <n v="454158"/>
  </r>
  <r>
    <x v="159"/>
    <n v="1"/>
    <n v="454158"/>
  </r>
  <r>
    <x v="148"/>
    <n v="0.5"/>
    <n v="314345"/>
  </r>
  <r>
    <x v="148"/>
    <n v="0.5"/>
    <n v="314345"/>
  </r>
  <r>
    <x v="160"/>
    <n v="1"/>
    <n v="585057"/>
  </r>
  <r>
    <x v="160"/>
    <n v="1"/>
    <n v="585057"/>
  </r>
  <r>
    <x v="94"/>
    <n v="1"/>
    <n v="681050"/>
  </r>
  <r>
    <x v="161"/>
    <n v="1"/>
    <n v="654871"/>
  </r>
  <r>
    <x v="161"/>
    <n v="1"/>
    <n v="65487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162"/>
    <n v="1"/>
    <n v="602510"/>
  </r>
  <r>
    <x v="161"/>
    <n v="1"/>
    <n v="654871"/>
  </r>
  <r>
    <x v="161"/>
    <n v="1"/>
    <n v="654871"/>
  </r>
  <r>
    <x v="161"/>
    <n v="1"/>
    <n v="654871"/>
  </r>
  <r>
    <x v="161"/>
    <n v="1"/>
    <n v="654871"/>
  </r>
  <r>
    <x v="161"/>
    <n v="1"/>
    <n v="654871"/>
  </r>
  <r>
    <x v="161"/>
    <n v="1"/>
    <n v="654871"/>
  </r>
  <r>
    <x v="94"/>
    <n v="1"/>
    <n v="681050"/>
  </r>
  <r>
    <x v="94"/>
    <n v="1"/>
    <n v="681050"/>
  </r>
  <r>
    <x v="150"/>
    <n v="1"/>
    <n v="454158"/>
  </r>
  <r>
    <x v="150"/>
    <n v="1"/>
    <n v="454158"/>
  </r>
  <r>
    <x v="150"/>
    <n v="1"/>
    <n v="454158"/>
  </r>
  <r>
    <x v="150"/>
    <n v="1"/>
    <n v="454158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65"/>
    <n v="1"/>
    <n v="628690"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6" cacheId="58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3:C168" firstHeaderRow="0" firstDataRow="1" firstDataCol="1"/>
  <pivotFields count="3">
    <pivotField axis="axisRow" showAll="0" sortType="ascending">
      <items count="900">
        <item m="1" x="825"/>
        <item m="1" x="832"/>
        <item m="1" x="892"/>
        <item m="1" x="587"/>
        <item m="1" x="852"/>
        <item m="1" x="897"/>
        <item m="1" x="849"/>
        <item m="1" x="591"/>
        <item m="1" x="850"/>
        <item m="1" x="841"/>
        <item m="1" x="831"/>
        <item m="1" x="589"/>
        <item m="1" x="586"/>
        <item m="1" x="599"/>
        <item m="1" x="830"/>
        <item m="1" x="351"/>
        <item x="13"/>
        <item m="1" x="479"/>
        <item m="1" x="478"/>
        <item x="29"/>
        <item x="8"/>
        <item x="10"/>
        <item m="1" x="481"/>
        <item m="1" x="271"/>
        <item x="45"/>
        <item m="1" x="477"/>
        <item m="1" x="480"/>
        <item m="1" x="809"/>
        <item m="1" x="482"/>
        <item x="72"/>
        <item x="161"/>
        <item x="7"/>
        <item x="33"/>
        <item x="41"/>
        <item x="51"/>
        <item x="5"/>
        <item x="126"/>
        <item x="143"/>
        <item m="1" x="636"/>
        <item x="114"/>
        <item m="1" x="332"/>
        <item x="106"/>
        <item x="124"/>
        <item m="1" x="403"/>
        <item x="123"/>
        <item m="1" x="448"/>
        <item m="1" x="357"/>
        <item m="1" x="446"/>
        <item m="1" x="354"/>
        <item m="1" x="386"/>
        <item m="1" x="416"/>
        <item m="1" x="445"/>
        <item m="1" x="468"/>
        <item m="1" x="382"/>
        <item m="1" x="418"/>
        <item m="1" x="372"/>
        <item m="1" x="452"/>
        <item m="1" x="356"/>
        <item m="1" x="450"/>
        <item m="1" x="449"/>
        <item m="1" x="353"/>
        <item m="1" x="365"/>
        <item m="1" x="464"/>
        <item m="1" x="377"/>
        <item m="1" x="347"/>
        <item m="1" x="469"/>
        <item m="1" x="463"/>
        <item m="1" x="383"/>
        <item m="1" x="471"/>
        <item m="1" x="470"/>
        <item m="1" x="475"/>
        <item m="1" x="473"/>
        <item m="1" x="349"/>
        <item x="12"/>
        <item x="134"/>
        <item x="59"/>
        <item x="0"/>
        <item x="150"/>
        <item x="131"/>
        <item m="1" x="853"/>
        <item m="1" x="556"/>
        <item x="140"/>
        <item x="102"/>
        <item m="1" x="606"/>
        <item x="116"/>
        <item x="149"/>
        <item x="119"/>
        <item x="127"/>
        <item x="159"/>
        <item m="1" x="294"/>
        <item m="1" x="539"/>
        <item x="39"/>
        <item m="1" x="527"/>
        <item x="55"/>
        <item x="49"/>
        <item x="89"/>
        <item m="1" x="270"/>
        <item x="48"/>
        <item m="1" x="543"/>
        <item m="1" x="529"/>
        <item m="1" x="536"/>
        <item m="1" x="531"/>
        <item m="1" x="812"/>
        <item m="1" x="533"/>
        <item m="1" x="166"/>
        <item m="1" x="550"/>
        <item x="96"/>
        <item m="1" x="547"/>
        <item m="1" x="546"/>
        <item x="78"/>
        <item m="1" x="607"/>
        <item x="40"/>
        <item x="99"/>
        <item m="1" x="545"/>
        <item m="1" x="541"/>
        <item m="1" x="868"/>
        <item m="1" x="548"/>
        <item x="86"/>
        <item x="75"/>
        <item m="1" x="542"/>
        <item x="80"/>
        <item m="1" x="537"/>
        <item m="1" x="553"/>
        <item m="1" x="274"/>
        <item m="1" x="336"/>
        <item x="108"/>
        <item x="77"/>
        <item x="81"/>
        <item m="1" x="525"/>
        <item x="82"/>
        <item m="1" x="634"/>
        <item m="1" x="326"/>
        <item m="1" x="249"/>
        <item m="1" x="330"/>
        <item x="155"/>
        <item m="1" x="555"/>
        <item m="1" x="465"/>
        <item m="1" x="253"/>
        <item m="1" x="483"/>
        <item m="1" x="486"/>
        <item m="1" x="631"/>
        <item x="156"/>
        <item m="1" x="324"/>
        <item x="31"/>
        <item m="1" x="458"/>
        <item x="21"/>
        <item x="16"/>
        <item m="1" x="457"/>
        <item x="154"/>
        <item x="73"/>
        <item m="1" x="455"/>
        <item x="153"/>
        <item x="43"/>
        <item x="53"/>
        <item m="1" x="460"/>
        <item x="23"/>
        <item m="1" x="519"/>
        <item m="1" x="514"/>
        <item m="1" x="520"/>
        <item m="1" x="521"/>
        <item m="1" x="523"/>
        <item m="1" x="524"/>
        <item m="1" x="518"/>
        <item m="1" x="517"/>
        <item m="1" x="884"/>
        <item m="1" x="858"/>
        <item m="1" x="896"/>
        <item m="1" x="860"/>
        <item m="1" x="846"/>
        <item m="1" x="895"/>
        <item m="1" x="837"/>
        <item m="1" x="869"/>
        <item m="1" x="842"/>
        <item m="1" x="886"/>
        <item m="1" x="883"/>
        <item m="1" x="885"/>
        <item m="1" x="847"/>
        <item m="1" x="881"/>
        <item m="1" x="179"/>
        <item m="1" x="188"/>
        <item m="1" x="177"/>
        <item m="1" x="178"/>
        <item m="1" x="327"/>
        <item m="1" x="196"/>
        <item m="1" x="878"/>
        <item m="1" x="851"/>
        <item m="1" x="215"/>
        <item m="1" x="228"/>
        <item m="1" x="208"/>
        <item m="1" x="207"/>
        <item m="1" x="194"/>
        <item m="1" x="871"/>
        <item m="1" x="199"/>
        <item m="1" x="176"/>
        <item m="1" x="192"/>
        <item m="1" x="241"/>
        <item m="1" x="210"/>
        <item m="1" x="331"/>
        <item m="1" x="235"/>
        <item m="1" x="183"/>
        <item m="1" x="585"/>
        <item m="1" x="185"/>
        <item m="1" x="186"/>
        <item x="14"/>
        <item x="30"/>
        <item x="9"/>
        <item x="11"/>
        <item m="1" x="392"/>
        <item x="46"/>
        <item m="1" x="827"/>
        <item m="1" x="810"/>
        <item x="71"/>
        <item x="94"/>
        <item x="64"/>
        <item x="63"/>
        <item x="42"/>
        <item m="1" x="822"/>
        <item x="52"/>
        <item x="6"/>
        <item x="36"/>
        <item x="144"/>
        <item x="66"/>
        <item x="107"/>
        <item x="24"/>
        <item m="1" x="583"/>
        <item x="26"/>
        <item x="27"/>
        <item m="1" x="453"/>
        <item m="1" x="373"/>
        <item m="1" x="352"/>
        <item m="1" x="433"/>
        <item m="1" x="355"/>
        <item m="1" x="428"/>
        <item m="1" x="368"/>
        <item m="1" x="435"/>
        <item m="1" x="366"/>
        <item m="1" x="388"/>
        <item m="1" x="378"/>
        <item m="1" x="348"/>
        <item m="1" x="424"/>
        <item m="1" x="472"/>
        <item m="1" x="429"/>
        <item m="1" x="363"/>
        <item m="1" x="451"/>
        <item m="1" x="359"/>
        <item m="1" x="371"/>
        <item m="1" x="350"/>
        <item m="1" x="833"/>
        <item m="1" x="866"/>
        <item m="1" x="655"/>
        <item m="1" x="175"/>
        <item m="1" x="876"/>
        <item m="1" x="889"/>
        <item m="1" x="838"/>
        <item m="1" x="882"/>
        <item m="1" x="239"/>
        <item m="1" x="829"/>
        <item m="1" x="834"/>
        <item m="1" x="308"/>
        <item m="1" x="845"/>
        <item m="1" x="818"/>
        <item m="1" x="730"/>
        <item x="1"/>
        <item m="1" x="821"/>
        <item m="1" x="817"/>
        <item m="1" x="824"/>
        <item x="141"/>
        <item m="1" x="820"/>
        <item m="1" x="819"/>
        <item m="1" x="292"/>
        <item m="1" x="576"/>
        <item m="1" x="220"/>
        <item m="1" x="571"/>
        <item m="1" x="225"/>
        <item m="1" x="230"/>
        <item m="1" x="224"/>
        <item m="1" x="306"/>
        <item m="1" x="221"/>
        <item m="1" x="578"/>
        <item m="1" x="572"/>
        <item m="1" x="575"/>
        <item m="1" x="573"/>
        <item m="1" x="856"/>
        <item m="1" x="574"/>
        <item m="1" x="304"/>
        <item m="1" x="580"/>
        <item m="1" x="247"/>
        <item m="1" x="226"/>
        <item m="1" x="301"/>
        <item m="1" x="232"/>
        <item m="1" x="577"/>
        <item m="1" x="857"/>
        <item m="1" x="579"/>
        <item m="1" x="222"/>
        <item m="1" x="581"/>
        <item m="1" x="321"/>
        <item m="1" x="201"/>
        <item m="1" x="205"/>
        <item m="1" x="305"/>
        <item m="1" x="335"/>
        <item m="1" x="320"/>
        <item m="1" x="303"/>
        <item m="1" x="203"/>
        <item m="1" x="319"/>
        <item m="1" x="198"/>
        <item m="1" x="329"/>
        <item m="1" x="318"/>
        <item m="1" x="570"/>
        <item m="1" x="206"/>
        <item m="1" x="538"/>
        <item x="84"/>
        <item m="1" x="528"/>
        <item x="91"/>
        <item x="97"/>
        <item x="90"/>
        <item m="1" x="276"/>
        <item x="85"/>
        <item m="1" x="544"/>
        <item m="1" x="530"/>
        <item m="1" x="535"/>
        <item m="1" x="532"/>
        <item m="1" x="813"/>
        <item m="1" x="534"/>
        <item m="1" x="167"/>
        <item m="1" x="551"/>
        <item x="162"/>
        <item x="92"/>
        <item m="1" x="608"/>
        <item m="1" x="251"/>
        <item x="100"/>
        <item m="1" x="540"/>
        <item m="1" x="816"/>
        <item m="1" x="549"/>
        <item x="87"/>
        <item m="1" x="552"/>
        <item x="56"/>
        <item x="61"/>
        <item m="1" x="275"/>
        <item m="1" x="171"/>
        <item x="58"/>
        <item x="50"/>
        <item m="1" x="526"/>
        <item x="62"/>
        <item m="1" x="635"/>
        <item m="1" x="189"/>
        <item m="1" x="195"/>
        <item m="1" x="200"/>
        <item m="1" x="181"/>
        <item m="1" x="191"/>
        <item m="1" x="182"/>
        <item m="1" x="184"/>
        <item m="1" x="187"/>
        <item x="32"/>
        <item m="1" x="459"/>
        <item m="1" x="462"/>
        <item m="1" x="456"/>
        <item m="1" x="461"/>
        <item m="1" x="476"/>
        <item x="44"/>
        <item x="54"/>
        <item x="19"/>
        <item x="35"/>
        <item x="22"/>
        <item x="25"/>
        <item x="28"/>
        <item m="1" x="732"/>
        <item m="1" x="740"/>
        <item m="1" x="750"/>
        <item m="1" x="736"/>
        <item m="1" x="731"/>
        <item m="1" x="658"/>
        <item m="1" x="733"/>
        <item m="1" x="743"/>
        <item m="1" x="734"/>
        <item m="1" x="735"/>
        <item m="1" x="737"/>
        <item m="1" x="744"/>
        <item m="1" x="657"/>
        <item m="1" x="676"/>
        <item m="1" x="685"/>
        <item m="1" x="664"/>
        <item m="1" x="673"/>
        <item m="1" x="677"/>
        <item m="1" x="668"/>
        <item m="1" x="679"/>
        <item m="1" x="699"/>
        <item m="1" x="666"/>
        <item m="1" x="689"/>
        <item m="1" x="662"/>
        <item m="1" x="675"/>
        <item m="1" x="672"/>
        <item m="1" x="682"/>
        <item m="1" x="661"/>
        <item m="1" x="669"/>
        <item m="1" x="712"/>
        <item m="1" x="720"/>
        <item m="1" x="706"/>
        <item m="1" x="680"/>
        <item m="1" x="719"/>
        <item m="1" x="716"/>
        <item m="1" x="659"/>
        <item m="1" x="710"/>
        <item m="1" x="718"/>
        <item m="1" x="724"/>
        <item m="1" x="729"/>
        <item m="1" x="722"/>
        <item m="1" x="721"/>
        <item m="1" x="711"/>
        <item m="1" x="726"/>
        <item m="1" x="713"/>
        <item m="1" x="790"/>
        <item m="1" x="798"/>
        <item m="1" x="784"/>
        <item m="1" x="762"/>
        <item m="1" x="797"/>
        <item m="1" x="794"/>
        <item m="1" x="753"/>
        <item m="1" x="788"/>
        <item m="1" x="796"/>
        <item m="1" x="802"/>
        <item m="1" x="807"/>
        <item m="1" x="800"/>
        <item m="1" x="799"/>
        <item m="1" x="789"/>
        <item m="1" x="804"/>
        <item m="1" x="791"/>
        <item m="1" x="656"/>
        <item m="1" x="698"/>
        <item m="1" x="707"/>
        <item m="1" x="665"/>
        <item m="1" x="674"/>
        <item m="1" x="717"/>
        <item m="1" x="660"/>
        <item m="1" x="678"/>
        <item m="1" x="691"/>
        <item m="1" x="667"/>
        <item m="1" x="723"/>
        <item m="1" x="663"/>
        <item m="1" x="695"/>
        <item m="1" x="671"/>
        <item m="1" x="684"/>
        <item m="1" x="728"/>
        <item m="1" x="694"/>
        <item m="1" x="670"/>
        <item m="1" x="752"/>
        <item m="1" x="777"/>
        <item m="1" x="785"/>
        <item m="1" x="756"/>
        <item m="1" x="760"/>
        <item m="1" x="795"/>
        <item m="1" x="754"/>
        <item m="1" x="761"/>
        <item m="1" x="770"/>
        <item m="1" x="757"/>
        <item m="1" x="801"/>
        <item m="1" x="755"/>
        <item m="1" x="774"/>
        <item m="1" x="759"/>
        <item m="1" x="765"/>
        <item m="1" x="806"/>
        <item m="1" x="773"/>
        <item m="1" x="758"/>
        <item m="1" x="703"/>
        <item m="1" x="704"/>
        <item m="1" x="708"/>
        <item m="1" x="702"/>
        <item m="1" x="727"/>
        <item m="1" x="714"/>
        <item m="1" x="781"/>
        <item m="1" x="782"/>
        <item m="1" x="786"/>
        <item m="1" x="780"/>
        <item m="1" x="805"/>
        <item m="1" x="792"/>
        <item m="1" x="705"/>
        <item m="1" x="725"/>
        <item m="1" x="701"/>
        <item m="1" x="715"/>
        <item m="1" x="783"/>
        <item m="1" x="803"/>
        <item m="1" x="779"/>
        <item m="1" x="793"/>
        <item m="1" x="697"/>
        <item m="1" x="686"/>
        <item m="1" x="709"/>
        <item m="1" x="696"/>
        <item m="1" x="692"/>
        <item m="1" x="700"/>
        <item m="1" x="688"/>
        <item m="1" x="690"/>
        <item m="1" x="681"/>
        <item m="1" x="683"/>
        <item m="1" x="693"/>
        <item m="1" x="687"/>
        <item m="1" x="776"/>
        <item m="1" x="766"/>
        <item m="1" x="787"/>
        <item m="1" x="775"/>
        <item m="1" x="771"/>
        <item m="1" x="778"/>
        <item m="1" x="768"/>
        <item m="1" x="769"/>
        <item m="1" x="763"/>
        <item m="1" x="764"/>
        <item m="1" x="772"/>
        <item m="1" x="767"/>
        <item m="1" x="741"/>
        <item m="1" x="751"/>
        <item m="1" x="748"/>
        <item m="1" x="742"/>
        <item m="1" x="747"/>
        <item m="1" x="739"/>
        <item m="1" x="738"/>
        <item m="1" x="749"/>
        <item m="1" x="746"/>
        <item m="1" x="745"/>
        <item m="1" x="258"/>
        <item m="1" x="282"/>
        <item m="1" x="256"/>
        <item m="1" x="322"/>
        <item m="1" x="323"/>
        <item m="1" x="288"/>
        <item m="1" x="289"/>
        <item m="1" x="277"/>
        <item m="1" x="255"/>
        <item m="1" x="254"/>
        <item m="1" x="287"/>
        <item m="1" x="266"/>
        <item m="1" x="283"/>
        <item m="1" x="317"/>
        <item m="1" x="333"/>
        <item m="1" x="285"/>
        <item m="1" x="286"/>
        <item m="1" x="281"/>
        <item m="1" x="260"/>
        <item m="1" x="399"/>
        <item m="1" x="504"/>
        <item m="1" x="396"/>
        <item m="1" x="369"/>
        <item m="1" x="512"/>
        <item m="1" x="401"/>
        <item m="1" x="811"/>
        <item m="1" x="426"/>
        <item m="1" x="380"/>
        <item m="1" x="427"/>
        <item m="1" x="398"/>
        <item m="1" x="421"/>
        <item m="1" x="405"/>
        <item m="1" x="400"/>
        <item m="1" x="474"/>
        <item m="1" x="340"/>
        <item m="1" x="391"/>
        <item m="1" x="402"/>
        <item m="1" x="337"/>
        <item m="1" x="342"/>
        <item m="1" x="442"/>
        <item m="1" x="375"/>
        <item m="1" x="338"/>
        <item m="1" x="437"/>
        <item x="15"/>
        <item x="135"/>
        <item x="133"/>
        <item x="2"/>
        <item x="151"/>
        <item x="132"/>
        <item m="1" x="168"/>
        <item m="1" x="174"/>
        <item x="130"/>
        <item x="3"/>
        <item x="4"/>
        <item x="136"/>
        <item x="18"/>
        <item x="37"/>
        <item x="147"/>
        <item x="138"/>
        <item m="1" x="334"/>
        <item x="105"/>
        <item x="20"/>
        <item x="137"/>
        <item x="129"/>
        <item m="1" x="328"/>
        <item m="1" x="409"/>
        <item m="1" x="411"/>
        <item m="1" x="412"/>
        <item m="1" x="419"/>
        <item m="1" x="413"/>
        <item m="1" x="554"/>
        <item m="1" x="823"/>
        <item m="1" x="425"/>
        <item m="1" x="414"/>
        <item m="1" x="407"/>
        <item m="1" x="605"/>
        <item m="1" x="397"/>
        <item m="1" x="422"/>
        <item m="1" x="814"/>
        <item m="1" x="406"/>
        <item m="1" x="444"/>
        <item m="1" x="466"/>
        <item m="1" x="887"/>
        <item m="1" x="443"/>
        <item m="1" x="417"/>
        <item m="1" x="447"/>
        <item m="1" x="404"/>
        <item m="1" x="438"/>
        <item m="1" x="259"/>
        <item m="1" x="262"/>
        <item m="1" x="257"/>
        <item m="1" x="273"/>
        <item m="1" x="173"/>
        <item m="1" x="269"/>
        <item m="1" x="265"/>
        <item m="1" x="267"/>
        <item m="1" x="263"/>
        <item m="1" x="164"/>
        <item m="1" x="284"/>
        <item m="1" x="272"/>
        <item m="1" x="268"/>
        <item m="1" x="264"/>
        <item m="1" x="261"/>
        <item m="1" x="506"/>
        <item m="1" x="503"/>
        <item m="1" x="505"/>
        <item m="1" x="488"/>
        <item m="1" x="497"/>
        <item m="1" x="501"/>
        <item m="1" x="454"/>
        <item m="1" x="490"/>
        <item m="1" x="515"/>
        <item m="1" x="507"/>
        <item m="1" x="494"/>
        <item m="1" x="498"/>
        <item m="1" x="496"/>
        <item m="1" x="495"/>
        <item m="1" x="502"/>
        <item m="1" x="493"/>
        <item m="1" x="522"/>
        <item m="1" x="492"/>
        <item m="1" x="376"/>
        <item m="1" x="367"/>
        <item m="1" x="379"/>
        <item m="1" x="361"/>
        <item m="1" x="384"/>
        <item m="1" x="374"/>
        <item m="1" x="440"/>
        <item m="1" x="487"/>
        <item m="1" x="499"/>
        <item m="1" x="489"/>
        <item m="1" x="441"/>
        <item m="1" x="395"/>
        <item m="1" x="393"/>
        <item m="1" x="394"/>
        <item m="1" x="491"/>
        <item m="1" x="644"/>
        <item m="1" x="648"/>
        <item m="1" x="641"/>
        <item m="1" x="513"/>
        <item m="1" x="647"/>
        <item m="1" x="484"/>
        <item m="1" x="828"/>
        <item m="1" x="637"/>
        <item m="1" x="642"/>
        <item m="1" x="646"/>
        <item m="1" x="650"/>
        <item m="1" x="654"/>
        <item m="1" x="649"/>
        <item m="1" x="485"/>
        <item m="1" x="643"/>
        <item m="1" x="652"/>
        <item m="1" x="516"/>
        <item m="1" x="645"/>
        <item m="1" x="839"/>
        <item m="1" x="879"/>
        <item m="1" x="872"/>
        <item m="1" x="560"/>
        <item m="1" x="835"/>
        <item m="1" x="557"/>
        <item m="1" x="864"/>
        <item m="1" x="848"/>
        <item m="1" x="861"/>
        <item m="1" x="891"/>
        <item m="1" x="873"/>
        <item m="1" x="558"/>
        <item m="1" x="562"/>
        <item x="120"/>
        <item x="111"/>
        <item x="101"/>
        <item m="1" x="278"/>
        <item m="1" x="279"/>
        <item m="1" x="280"/>
        <item m="1" x="165"/>
        <item m="1" x="291"/>
        <item x="115"/>
        <item x="109"/>
        <item x="125"/>
        <item x="118"/>
        <item x="117"/>
        <item x="128"/>
        <item x="145"/>
        <item x="113"/>
        <item x="160"/>
        <item x="110"/>
        <item x="122"/>
        <item m="1" x="565"/>
        <item m="1" x="561"/>
        <item m="1" x="566"/>
        <item m="1" x="567"/>
        <item m="1" x="568"/>
        <item m="1" x="569"/>
        <item m="1" x="564"/>
        <item m="1" x="563"/>
        <item x="38"/>
        <item x="76"/>
        <item x="68"/>
        <item x="65"/>
        <item x="139"/>
        <item x="47"/>
        <item m="1" x="808"/>
        <item x="152"/>
        <item x="95"/>
        <item x="69"/>
        <item m="1" x="604"/>
        <item x="142"/>
        <item x="98"/>
        <item m="1" x="815"/>
        <item x="88"/>
        <item x="60"/>
        <item x="79"/>
        <item m="1" x="341"/>
        <item x="146"/>
        <item x="67"/>
        <item x="148"/>
        <item m="1" x="343"/>
        <item x="57"/>
        <item m="1" x="582"/>
        <item x="70"/>
        <item m="1" x="339"/>
        <item x="83"/>
        <item m="1" x="193"/>
        <item m="1" x="217"/>
        <item m="1" x="212"/>
        <item m="1" x="209"/>
        <item m="1" x="238"/>
        <item m="1" x="197"/>
        <item m="1" x="859"/>
        <item m="1" x="244"/>
        <item m="1" x="229"/>
        <item m="1" x="213"/>
        <item m="1" x="240"/>
        <item m="1" x="231"/>
        <item m="1" x="898"/>
        <item m="1" x="223"/>
        <item m="1" x="204"/>
        <item m="1" x="218"/>
        <item m="1" x="242"/>
        <item m="1" x="211"/>
        <item m="1" x="243"/>
        <item m="1" x="202"/>
        <item m="1" x="584"/>
        <item m="1" x="214"/>
        <item m="1" x="219"/>
        <item x="93"/>
        <item x="104"/>
        <item x="121"/>
        <item m="1" x="227"/>
        <item m="1" x="890"/>
        <item m="1" x="234"/>
        <item m="1" x="237"/>
        <item m="1" x="344"/>
        <item m="1" x="389"/>
        <item m="1" x="381"/>
        <item m="1" x="385"/>
        <item m="1" x="345"/>
        <item m="1" x="390"/>
        <item m="1" x="410"/>
        <item m="1" x="432"/>
        <item m="1" x="360"/>
        <item m="1" x="420"/>
        <item m="1" x="436"/>
        <item m="1" x="364"/>
        <item m="1" x="387"/>
        <item m="1" x="415"/>
        <item m="1" x="346"/>
        <item m="1" x="408"/>
        <item m="1" x="423"/>
        <item m="1" x="430"/>
        <item m="1" x="434"/>
        <item m="1" x="362"/>
        <item m="1" x="431"/>
        <item m="1" x="467"/>
        <item m="1" x="358"/>
        <item m="1" x="370"/>
        <item m="1" x="439"/>
        <item m="1" x="508"/>
        <item m="1" x="593"/>
        <item m="1" x="639"/>
        <item m="1" x="510"/>
        <item m="1" x="592"/>
        <item m="1" x="595"/>
        <item m="1" x="602"/>
        <item m="1" x="601"/>
        <item m="1" x="594"/>
        <item m="1" x="598"/>
        <item m="1" x="600"/>
        <item m="1" x="597"/>
        <item m="1" x="596"/>
        <item m="1" x="653"/>
        <item m="1" x="509"/>
        <item m="1" x="511"/>
        <item m="1" x="325"/>
        <item m="1" x="588"/>
        <item m="1" x="609"/>
        <item m="1" x="640"/>
        <item m="1" x="651"/>
        <item m="1" x="293"/>
        <item m="1" x="500"/>
        <item m="1" x="290"/>
        <item m="1" x="169"/>
        <item m="1" x="590"/>
        <item m="1" x="826"/>
        <item m="1" x="603"/>
        <item m="1" x="172"/>
        <item m="1" x="638"/>
        <item m="1" x="621"/>
        <item m="1" x="840"/>
        <item m="1" x="874"/>
        <item m="1" x="309"/>
        <item m="1" x="559"/>
        <item m="1" x="307"/>
        <item m="1" x="314"/>
        <item m="1" x="877"/>
        <item m="1" x="875"/>
        <item m="1" x="854"/>
        <item m="1" x="316"/>
        <item m="1" x="843"/>
        <item m="1" x="870"/>
        <item m="1" x="862"/>
        <item m="1" x="844"/>
        <item m="1" x="894"/>
        <item m="1" x="865"/>
        <item m="1" x="880"/>
        <item m="1" x="855"/>
        <item m="1" x="836"/>
        <item m="1" x="863"/>
        <item m="1" x="867"/>
        <item m="1" x="888"/>
        <item m="1" x="893"/>
        <item m="1" x="610"/>
        <item m="1" x="250"/>
        <item m="1" x="248"/>
        <item m="1" x="617"/>
        <item m="1" x="613"/>
        <item m="1" x="170"/>
        <item m="1" x="628"/>
        <item m="1" x="252"/>
        <item x="103"/>
        <item m="1" x="295"/>
        <item m="1" x="632"/>
        <item m="1" x="298"/>
        <item m="1" x="626"/>
        <item m="1" x="615"/>
        <item x="112"/>
        <item m="1" x="611"/>
        <item m="1" x="297"/>
        <item m="1" x="622"/>
        <item m="1" x="296"/>
        <item m="1" x="300"/>
        <item m="1" x="299"/>
        <item m="1" x="315"/>
        <item m="1" x="302"/>
        <item m="1" x="233"/>
        <item m="1" x="310"/>
        <item m="1" x="313"/>
        <item m="1" x="236"/>
        <item m="1" x="312"/>
        <item m="1" x="311"/>
        <item m="1" x="624"/>
        <item m="1" x="625"/>
        <item x="17"/>
        <item m="1" x="614"/>
        <item m="1" x="619"/>
        <item x="74"/>
        <item m="1" x="629"/>
        <item m="1" x="612"/>
        <item x="34"/>
        <item m="1" x="633"/>
        <item m="1" x="630"/>
        <item m="1" x="627"/>
        <item m="1" x="616"/>
        <item m="1" x="618"/>
        <item m="1" x="620"/>
        <item x="158"/>
        <item m="1" x="623"/>
        <item x="157"/>
        <item m="1" x="180"/>
        <item m="1" x="216"/>
        <item m="1" x="190"/>
        <item m="1" x="246"/>
        <item m="1" x="245"/>
        <item x="163"/>
        <item t="default"/>
      </items>
    </pivotField>
    <pivotField dataField="1" showAll="0"/>
    <pivotField dataField="1" numFmtId="166" showAll="0"/>
  </pivotFields>
  <rowFields count="1">
    <field x="0"/>
  </rowFields>
  <rowItems count="165">
    <i>
      <x v="16"/>
    </i>
    <i>
      <x v="19"/>
    </i>
    <i>
      <x v="20"/>
    </i>
    <i>
      <x v="21"/>
    </i>
    <i>
      <x v="24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1"/>
    </i>
    <i>
      <x v="42"/>
    </i>
    <i>
      <x v="44"/>
    </i>
    <i>
      <x v="73"/>
    </i>
    <i>
      <x v="74"/>
    </i>
    <i>
      <x v="75"/>
    </i>
    <i>
      <x v="76"/>
    </i>
    <i>
      <x v="77"/>
    </i>
    <i>
      <x v="78"/>
    </i>
    <i>
      <x v="81"/>
    </i>
    <i>
      <x v="82"/>
    </i>
    <i>
      <x v="84"/>
    </i>
    <i>
      <x v="85"/>
    </i>
    <i>
      <x v="86"/>
    </i>
    <i>
      <x v="87"/>
    </i>
    <i>
      <x v="88"/>
    </i>
    <i>
      <x v="91"/>
    </i>
    <i>
      <x v="93"/>
    </i>
    <i>
      <x v="94"/>
    </i>
    <i>
      <x v="95"/>
    </i>
    <i>
      <x v="97"/>
    </i>
    <i>
      <x v="106"/>
    </i>
    <i>
      <x v="109"/>
    </i>
    <i>
      <x v="111"/>
    </i>
    <i>
      <x v="112"/>
    </i>
    <i>
      <x v="117"/>
    </i>
    <i>
      <x v="118"/>
    </i>
    <i>
      <x v="120"/>
    </i>
    <i>
      <x v="125"/>
    </i>
    <i>
      <x v="126"/>
    </i>
    <i>
      <x v="127"/>
    </i>
    <i>
      <x v="129"/>
    </i>
    <i>
      <x v="134"/>
    </i>
    <i>
      <x v="141"/>
    </i>
    <i>
      <x v="143"/>
    </i>
    <i>
      <x v="145"/>
    </i>
    <i>
      <x v="146"/>
    </i>
    <i>
      <x v="148"/>
    </i>
    <i>
      <x v="149"/>
    </i>
    <i>
      <x v="151"/>
    </i>
    <i>
      <x v="152"/>
    </i>
    <i>
      <x v="153"/>
    </i>
    <i>
      <x v="155"/>
    </i>
    <i>
      <x v="203"/>
    </i>
    <i>
      <x v="204"/>
    </i>
    <i>
      <x v="205"/>
    </i>
    <i>
      <x v="206"/>
    </i>
    <i>
      <x v="208"/>
    </i>
    <i>
      <x v="211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5"/>
    </i>
    <i>
      <x v="226"/>
    </i>
    <i>
      <x v="262"/>
    </i>
    <i>
      <x v="266"/>
    </i>
    <i>
      <x v="310"/>
    </i>
    <i>
      <x v="312"/>
    </i>
    <i>
      <x v="313"/>
    </i>
    <i>
      <x v="314"/>
    </i>
    <i>
      <x v="316"/>
    </i>
    <i>
      <x v="325"/>
    </i>
    <i>
      <x v="326"/>
    </i>
    <i>
      <x v="329"/>
    </i>
    <i>
      <x v="333"/>
    </i>
    <i>
      <x v="335"/>
    </i>
    <i>
      <x v="336"/>
    </i>
    <i>
      <x v="339"/>
    </i>
    <i>
      <x v="340"/>
    </i>
    <i>
      <x v="342"/>
    </i>
    <i>
      <x v="352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559"/>
    </i>
    <i>
      <x v="560"/>
    </i>
    <i>
      <x v="561"/>
    </i>
    <i>
      <x v="562"/>
    </i>
    <i>
      <x v="563"/>
    </i>
    <i>
      <x v="564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6"/>
    </i>
    <i>
      <x v="577"/>
    </i>
    <i>
      <x v="578"/>
    </i>
    <i>
      <x v="579"/>
    </i>
    <i>
      <x v="683"/>
    </i>
    <i>
      <x v="684"/>
    </i>
    <i>
      <x v="685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10"/>
    </i>
    <i>
      <x v="711"/>
    </i>
    <i>
      <x v="712"/>
    </i>
    <i>
      <x v="713"/>
    </i>
    <i>
      <x v="714"/>
    </i>
    <i>
      <x v="715"/>
    </i>
    <i>
      <x v="717"/>
    </i>
    <i>
      <x v="718"/>
    </i>
    <i>
      <x v="719"/>
    </i>
    <i>
      <x v="721"/>
    </i>
    <i>
      <x v="722"/>
    </i>
    <i>
      <x v="724"/>
    </i>
    <i>
      <x v="725"/>
    </i>
    <i>
      <x v="726"/>
    </i>
    <i>
      <x v="728"/>
    </i>
    <i>
      <x v="729"/>
    </i>
    <i>
      <x v="730"/>
    </i>
    <i>
      <x v="732"/>
    </i>
    <i>
      <x v="734"/>
    </i>
    <i>
      <x v="736"/>
    </i>
    <i>
      <x v="760"/>
    </i>
    <i>
      <x v="761"/>
    </i>
    <i>
      <x v="762"/>
    </i>
    <i>
      <x v="854"/>
    </i>
    <i>
      <x v="860"/>
    </i>
    <i>
      <x v="877"/>
    </i>
    <i>
      <x v="880"/>
    </i>
    <i>
      <x v="883"/>
    </i>
    <i>
      <x v="890"/>
    </i>
    <i>
      <x v="892"/>
    </i>
    <i>
      <x v="89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CHUYẾN" fld="1" baseField="0" baseItem="0"/>
    <dataField name="Sum of CƯỚC_x000a_CHUYẾN" fld="2" baseField="0" baseItem="0" numFmtId="166"/>
  </dataFields>
  <formats count="17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fieldPosition="0"/>
    </format>
    <format dxfId="25">
      <pivotArea dataOnly="0" labelOnly="1" outline="0" fieldPosition="0"/>
    </format>
    <format dxfId="24">
      <pivotArea dataOnly="0" labelOnly="1" fieldPosition="0">
        <references count="1">
          <reference field="0" count="40">
            <x v="2"/>
            <x v="3"/>
            <x v="4"/>
            <x v="8"/>
            <x v="12"/>
            <x v="13"/>
            <x v="14"/>
            <x v="16"/>
            <x v="19"/>
            <x v="20"/>
            <x v="21"/>
            <x v="23"/>
            <x v="24"/>
            <x v="27"/>
            <x v="30"/>
            <x v="31"/>
            <x v="32"/>
            <x v="33"/>
            <x v="34"/>
            <x v="81"/>
            <x v="91"/>
            <x v="93"/>
            <x v="94"/>
            <x v="95"/>
            <x v="96"/>
            <x v="97"/>
            <x v="102"/>
            <x v="106"/>
            <x v="109"/>
            <x v="111"/>
            <x v="112"/>
            <x v="120"/>
            <x v="134"/>
            <x v="164"/>
            <x v="165"/>
            <x v="166"/>
            <x v="167"/>
            <x v="168"/>
            <x v="169"/>
            <x v="171"/>
          </reference>
        </references>
      </pivotArea>
    </format>
    <format dxfId="23">
      <pivotArea dataOnly="0" labelOnly="1" fieldPosition="0">
        <references count="1">
          <reference field="0" count="39">
            <x v="172"/>
            <x v="173"/>
            <x v="174"/>
            <x v="175"/>
            <x v="176"/>
            <x v="177"/>
            <x v="178"/>
            <x v="179"/>
            <x v="180"/>
            <x v="181"/>
            <x v="183"/>
            <x v="187"/>
            <x v="188"/>
            <x v="190"/>
            <x v="192"/>
            <x v="194"/>
            <x v="271"/>
            <x v="273"/>
            <x v="274"/>
            <x v="275"/>
            <x v="276"/>
            <x v="277"/>
            <x v="282"/>
            <x v="286"/>
            <x v="287"/>
            <x v="288"/>
            <x v="289"/>
            <x v="293"/>
            <x v="297"/>
            <x v="536"/>
            <x v="537"/>
            <x v="538"/>
            <x v="540"/>
            <x v="541"/>
            <x v="543"/>
            <x v="544"/>
            <x v="545"/>
            <x v="546"/>
            <x v="547"/>
          </reference>
        </references>
      </pivotArea>
    </format>
    <format dxfId="22">
      <pivotArea dataOnly="0" labelOnly="1" fieldPosition="0">
        <references count="1">
          <reference field="0" count="25">
            <x v="549"/>
            <x v="581"/>
            <x v="582"/>
            <x v="583"/>
            <x v="584"/>
            <x v="585"/>
            <x v="586"/>
            <x v="587"/>
            <x v="589"/>
            <x v="590"/>
            <x v="592"/>
            <x v="593"/>
            <x v="594"/>
            <x v="595"/>
            <x v="596"/>
            <x v="597"/>
            <x v="738"/>
            <x v="739"/>
            <x v="740"/>
            <x v="741"/>
            <x v="742"/>
            <x v="745"/>
            <x v="748"/>
            <x v="750"/>
            <x v="823"/>
          </reference>
        </references>
      </pivotArea>
    </format>
    <format dxfId="21">
      <pivotArea dataOnly="0" labelOnly="1" fieldPosition="0">
        <references count="1">
          <reference field="0" count="3">
            <x v="834"/>
            <x v="838"/>
            <x v="840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/>
    </format>
    <format dxfId="18">
      <pivotArea outline="0" collapsedLevelsAreSubtotals="1" fieldPosition="0"/>
    </format>
    <format dxfId="17">
      <pivotArea dataOnly="0" labelOnly="1" outline="0" fieldPosition="0"/>
    </format>
    <format dxfId="16">
      <pivotArea dataOnly="0" labelOnly="1" outline="0" fieldPosition="0"/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2D050"/>
  </sheetPr>
  <dimension ref="A1:Q72"/>
  <sheetViews>
    <sheetView tabSelected="1" zoomScale="85" zoomScaleNormal="85" workbookViewId="0">
      <selection activeCell="N12" sqref="N12"/>
    </sheetView>
  </sheetViews>
  <sheetFormatPr defaultColWidth="9" defaultRowHeight="15"/>
  <cols>
    <col min="1" max="1" width="4" style="117" customWidth="1"/>
    <col min="2" max="2" width="10.625" style="117" customWidth="1"/>
    <col min="3" max="3" width="14.875" style="117" customWidth="1"/>
    <col min="4" max="4" width="9" style="117"/>
    <col min="5" max="7" width="9.75" style="118" customWidth="1"/>
    <col min="8" max="8" width="4.375" style="119" hidden="1" customWidth="1"/>
    <col min="9" max="9" width="10" style="120" customWidth="1"/>
    <col min="10" max="10" width="13.25" style="117" customWidth="1"/>
    <col min="11" max="11" width="16.25" style="121" customWidth="1"/>
    <col min="12" max="12" width="17.625" style="117" customWidth="1"/>
    <col min="13" max="13" width="9" style="117"/>
    <col min="14" max="14" width="10.75" style="117" customWidth="1"/>
    <col min="15" max="15" width="9.75" style="117" customWidth="1"/>
    <col min="16" max="16" width="17.25" style="117" customWidth="1"/>
    <col min="17" max="17" width="11.125" style="117" customWidth="1"/>
    <col min="18" max="16384" width="9" style="117"/>
  </cols>
  <sheetData>
    <row r="1" spans="1:17">
      <c r="A1" s="122" t="s">
        <v>0</v>
      </c>
      <c r="B1" s="123"/>
      <c r="C1" s="123"/>
      <c r="D1" s="124"/>
      <c r="E1" s="125"/>
      <c r="F1" s="125"/>
      <c r="G1" s="125"/>
      <c r="H1" s="126"/>
      <c r="I1" s="127"/>
      <c r="J1" s="128"/>
      <c r="K1" s="128"/>
      <c r="L1" s="124"/>
    </row>
    <row r="2" spans="1:17">
      <c r="A2" s="122" t="s">
        <v>1</v>
      </c>
      <c r="B2" s="123"/>
      <c r="C2" s="123"/>
      <c r="D2" s="124"/>
      <c r="E2" s="125"/>
      <c r="F2" s="125"/>
      <c r="G2" s="125"/>
      <c r="H2" s="126"/>
      <c r="I2" s="127"/>
      <c r="J2" s="128"/>
      <c r="K2" s="128"/>
      <c r="L2" s="124"/>
    </row>
    <row r="3" spans="1:17" ht="10.5" customHeight="1">
      <c r="A3" s="124"/>
      <c r="B3" s="123"/>
      <c r="C3" s="123"/>
      <c r="D3" s="124"/>
      <c r="E3" s="125"/>
      <c r="F3" s="125"/>
      <c r="G3" s="125"/>
      <c r="H3" s="126"/>
      <c r="I3" s="127"/>
      <c r="J3" s="128"/>
      <c r="K3" s="128"/>
      <c r="L3" s="124"/>
    </row>
    <row r="4" spans="1:17" ht="18.75">
      <c r="A4" s="304" t="s">
        <v>260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</row>
    <row r="5" spans="1:17" ht="17.25" customHeight="1">
      <c r="A5" s="129"/>
      <c r="B5" s="130" t="s">
        <v>2</v>
      </c>
      <c r="C5" s="122"/>
      <c r="D5" s="131"/>
      <c r="E5" s="132"/>
      <c r="F5" s="132"/>
      <c r="G5" s="132"/>
      <c r="H5" s="133"/>
      <c r="I5" s="134"/>
      <c r="J5" s="135"/>
      <c r="K5" s="136"/>
      <c r="L5" s="137"/>
    </row>
    <row r="6" spans="1:17" ht="17.25" customHeight="1">
      <c r="A6" s="129"/>
      <c r="B6" s="138" t="s">
        <v>3</v>
      </c>
      <c r="C6" s="139" t="s">
        <v>4</v>
      </c>
      <c r="D6" s="131"/>
      <c r="E6" s="132"/>
      <c r="F6" s="132"/>
      <c r="G6" s="132"/>
      <c r="H6" s="133"/>
      <c r="I6" s="134"/>
      <c r="J6" s="135"/>
      <c r="K6" s="136"/>
      <c r="L6" s="137"/>
      <c r="N6" s="299"/>
      <c r="O6" s="299"/>
      <c r="P6" s="299"/>
    </row>
    <row r="7" spans="1:17" ht="17.25" customHeight="1">
      <c r="A7" s="129"/>
      <c r="B7" s="138" t="s">
        <v>5</v>
      </c>
      <c r="C7" s="242" t="s">
        <v>6</v>
      </c>
      <c r="D7" s="131"/>
      <c r="E7" s="132"/>
      <c r="F7" s="132"/>
      <c r="G7" s="132"/>
      <c r="H7" s="133"/>
      <c r="I7" s="134"/>
      <c r="J7" s="135"/>
      <c r="K7" s="136"/>
      <c r="L7" s="137"/>
      <c r="O7" s="299"/>
    </row>
    <row r="8" spans="1:17" ht="17.25" customHeight="1">
      <c r="A8" s="129"/>
      <c r="B8" s="138"/>
      <c r="C8" s="140"/>
      <c r="D8" s="131"/>
      <c r="E8" s="132"/>
      <c r="F8" s="132"/>
      <c r="G8" s="132"/>
      <c r="H8" s="133"/>
      <c r="I8" s="134"/>
      <c r="J8" s="135"/>
      <c r="K8" s="136"/>
      <c r="L8" s="137"/>
      <c r="O8" s="299"/>
    </row>
    <row r="9" spans="1:17">
      <c r="A9" s="301" t="s">
        <v>7</v>
      </c>
      <c r="B9" s="301" t="s">
        <v>8</v>
      </c>
      <c r="C9" s="301"/>
      <c r="D9" s="302" t="s">
        <v>9</v>
      </c>
      <c r="E9" s="302" t="s">
        <v>10</v>
      </c>
      <c r="F9" s="302"/>
      <c r="G9" s="302"/>
      <c r="H9" s="302"/>
      <c r="I9" s="303" t="s">
        <v>11</v>
      </c>
      <c r="J9" s="310" t="s">
        <v>12</v>
      </c>
      <c r="K9" s="310" t="s">
        <v>13</v>
      </c>
      <c r="L9" s="302" t="s">
        <v>14</v>
      </c>
    </row>
    <row r="10" spans="1:17">
      <c r="A10" s="301"/>
      <c r="B10" s="301"/>
      <c r="C10" s="301"/>
      <c r="D10" s="302"/>
      <c r="E10" s="305" t="s">
        <v>15</v>
      </c>
      <c r="F10" s="305"/>
      <c r="G10" s="302" t="s">
        <v>16</v>
      </c>
      <c r="H10" s="302"/>
      <c r="I10" s="303"/>
      <c r="J10" s="310"/>
      <c r="K10" s="310"/>
      <c r="L10" s="302"/>
    </row>
    <row r="11" spans="1:17">
      <c r="A11" s="301"/>
      <c r="B11" s="141" t="s">
        <v>17</v>
      </c>
      <c r="C11" s="141" t="s">
        <v>18</v>
      </c>
      <c r="D11" s="302"/>
      <c r="E11" s="142" t="s">
        <v>19</v>
      </c>
      <c r="F11" s="142" t="s">
        <v>20</v>
      </c>
      <c r="G11" s="302"/>
      <c r="H11" s="302"/>
      <c r="I11" s="303"/>
      <c r="J11" s="310"/>
      <c r="K11" s="310"/>
      <c r="L11" s="302"/>
    </row>
    <row r="12" spans="1:17">
      <c r="A12" s="143">
        <v>1</v>
      </c>
      <c r="B12" s="144" t="s">
        <v>21</v>
      </c>
      <c r="C12" s="145" t="s">
        <v>22</v>
      </c>
      <c r="D12" s="146" t="s">
        <v>23</v>
      </c>
      <c r="E12" s="147">
        <f>SUMIFS('SL T4.26'!E$11:E$2017,'SL T4.26'!$J$11:$J$2017,'BKTT T4.26'!$B12,'SL T4.26'!$K$11:$K$2017,'BKTT T4.26'!$C12)</f>
        <v>332</v>
      </c>
      <c r="F12" s="147">
        <f>SUMIFS('SL T4.26'!F$11:F$2017,'SL T4.26'!$J$11:$J$2017,'BKTT T4.26'!$B12,'SL T4.26'!$K$11:$K$2017,'BKTT T4.26'!$C12)</f>
        <v>0</v>
      </c>
      <c r="G12" s="147">
        <f>SUMIFS('SL T4.26'!G$11:G$2017,'SL T4.26'!$J$11:$J$2017,'BKTT T4.26'!$B12,'SL T4.26'!$K$11:$K$2017,'BKTT T4.26'!$C12)+SUMIFS('SL T4.26'!H$11:H$2017,'SL T4.26'!$J$11:$J$2017,'BKTT T4.26'!$B12,'SL T4.26'!$K$11:$K$2017,'BKTT T4.26'!$C12)</f>
        <v>0</v>
      </c>
      <c r="H12" s="153"/>
      <c r="I12" s="148">
        <f t="shared" ref="I12:I54" si="0">E12+F12+G12+H12</f>
        <v>332</v>
      </c>
      <c r="J12" s="149">
        <f t="shared" ref="J12:J54" si="1">K12/I12</f>
        <v>654871</v>
      </c>
      <c r="K12" s="150">
        <f>SUMIFS('SL T4.26'!N$11:N$2017,'SL T4.26'!$J$11:$J$2017,'BKTT T4.26'!$B12,'SL T4.26'!$K$11:$K$2017,'BKTT T4.26'!$C12)</f>
        <v>217417172</v>
      </c>
      <c r="L12" s="151"/>
      <c r="N12" s="120">
        <v>654871</v>
      </c>
      <c r="O12" s="152">
        <f t="shared" ref="O12:O54" si="2">J12-N12</f>
        <v>0</v>
      </c>
      <c r="P12" s="152"/>
      <c r="Q12" s="117" t="s">
        <v>24</v>
      </c>
    </row>
    <row r="13" spans="1:17">
      <c r="A13" s="143">
        <v>2</v>
      </c>
      <c r="B13" s="144" t="s">
        <v>21</v>
      </c>
      <c r="C13" s="145" t="s">
        <v>25</v>
      </c>
      <c r="D13" s="146" t="s">
        <v>23</v>
      </c>
      <c r="E13" s="147">
        <f>SUMIFS('SL T4.26'!E$11:E$2017,'SL T4.26'!$J$11:$J$2017,'BKTT T4.26'!$B13,'SL T4.26'!$K$11:$K$2017,'BKTT T4.26'!$C13)</f>
        <v>0</v>
      </c>
      <c r="F13" s="147">
        <f>SUMIFS('SL T4.26'!F$11:F$2017,'SL T4.26'!$J$11:$J$2017,'BKTT T4.26'!$B13,'SL T4.26'!$K$11:$K$2017,'BKTT T4.26'!$C13)</f>
        <v>239</v>
      </c>
      <c r="G13" s="147">
        <f>SUMIFS('SL T4.26'!G$11:G$2017,'SL T4.26'!$J$11:$J$2017,'BKTT T4.26'!$B13,'SL T4.26'!$K$11:$K$2017,'BKTT T4.26'!$C13)+SUMIFS('SL T4.26'!H$11:H$2017,'SL T4.26'!$J$11:$J$2017,'BKTT T4.26'!$B13,'SL T4.26'!$K$11:$K$2017,'BKTT T4.26'!$C13)</f>
        <v>0</v>
      </c>
      <c r="H13" s="153"/>
      <c r="I13" s="148">
        <f t="shared" si="0"/>
        <v>239</v>
      </c>
      <c r="J13" s="149">
        <f t="shared" si="1"/>
        <v>681050</v>
      </c>
      <c r="K13" s="150">
        <f>SUMIFS('SL T4.26'!N$11:N$2017,'SL T4.26'!$J$11:$J$2017,'BKTT T4.26'!$B13,'SL T4.26'!$K$11:$K$2017,'BKTT T4.26'!$C13)</f>
        <v>162770950</v>
      </c>
      <c r="L13" s="154"/>
      <c r="N13" s="120">
        <v>681050</v>
      </c>
      <c r="O13" s="152">
        <f t="shared" si="2"/>
        <v>0</v>
      </c>
      <c r="P13" s="152"/>
      <c r="Q13" s="117" t="s">
        <v>26</v>
      </c>
    </row>
    <row r="14" spans="1:17">
      <c r="A14" s="143">
        <v>3</v>
      </c>
      <c r="B14" s="144" t="s">
        <v>21</v>
      </c>
      <c r="C14" s="145" t="s">
        <v>27</v>
      </c>
      <c r="D14" s="146" t="s">
        <v>23</v>
      </c>
      <c r="E14" s="147">
        <f>SUMIFS('SL T4.26'!E$11:E$2017,'SL T4.26'!$J$11:$J$2017,'BKTT T4.26'!$B14,'SL T4.26'!$K$11:$K$2017,'BKTT T4.26'!$C14)</f>
        <v>0</v>
      </c>
      <c r="F14" s="147">
        <f>SUMIFS('SL T4.26'!F$11:F$2017,'SL T4.26'!$J$11:$J$2017,'BKTT T4.26'!$B14,'SL T4.26'!$K$11:$K$2017,'BKTT T4.26'!$C14)</f>
        <v>0</v>
      </c>
      <c r="G14" s="147">
        <f>SUMIFS('SL T4.26'!G$11:G$2017,'SL T4.26'!$J$11:$J$2017,'BKTT T4.26'!$B14,'SL T4.26'!$K$11:$K$2017,'BKTT T4.26'!$C14)+SUMIFS('SL T4.26'!H$11:H$2017,'SL T4.26'!$J$11:$J$2017,'BKTT T4.26'!$B14,'SL T4.26'!$K$11:$K$2017,'BKTT T4.26'!$C14)</f>
        <v>139</v>
      </c>
      <c r="H14" s="153"/>
      <c r="I14" s="148">
        <f t="shared" si="0"/>
        <v>139</v>
      </c>
      <c r="J14" s="149">
        <f t="shared" si="1"/>
        <v>628690</v>
      </c>
      <c r="K14" s="150">
        <f>SUMIFS('SL T4.26'!N$11:N$2017,'SL T4.26'!$J$11:$J$2017,'BKTT T4.26'!$B14,'SL T4.26'!$K$11:$K$2017,'BKTT T4.26'!$C14)</f>
        <v>87387910</v>
      </c>
      <c r="L14" s="154"/>
      <c r="N14" s="120">
        <v>628690</v>
      </c>
      <c r="O14" s="152">
        <f t="shared" si="2"/>
        <v>0</v>
      </c>
      <c r="P14" s="152"/>
      <c r="Q14" s="117" t="s">
        <v>16</v>
      </c>
    </row>
    <row r="15" spans="1:17" hidden="1">
      <c r="A15" s="143">
        <v>4</v>
      </c>
      <c r="B15" s="144" t="s">
        <v>21</v>
      </c>
      <c r="C15" s="145" t="s">
        <v>28</v>
      </c>
      <c r="D15" s="146" t="s">
        <v>23</v>
      </c>
      <c r="E15" s="147">
        <f>SUMIFS('SL T4.26'!E$11:E$2017,'SL T4.26'!$J$11:$J$2017,'BKTT T4.26'!$B15,'SL T4.26'!$K$11:$K$2017,'BKTT T4.26'!$C15)</f>
        <v>0</v>
      </c>
      <c r="F15" s="147">
        <f>SUMIFS('SL T4.26'!F$11:F$2017,'SL T4.26'!$J$11:$J$2017,'BKTT T4.26'!$B15,'SL T4.26'!$K$11:$K$2017,'BKTT T4.26'!$C15)</f>
        <v>0</v>
      </c>
      <c r="G15" s="147">
        <f>SUMIFS('SL T4.26'!G$11:G$2017,'SL T4.26'!$J$11:$J$2017,'BKTT T4.26'!$B15,'SL T4.26'!$K$11:$K$2017,'BKTT T4.26'!$C15)+SUMIFS('SL T4.26'!H$11:H$2017,'SL T4.26'!$J$11:$J$2017,'BKTT T4.26'!$B15,'SL T4.26'!$K$11:$K$2017,'BKTT T4.26'!$C15)</f>
        <v>0</v>
      </c>
      <c r="H15" s="153"/>
      <c r="I15" s="148">
        <f t="shared" si="0"/>
        <v>0</v>
      </c>
      <c r="J15" s="149" t="e">
        <f t="shared" si="1"/>
        <v>#DIV/0!</v>
      </c>
      <c r="K15" s="150">
        <f>SUMIFS('SL T4.26'!N$11:N$2017,'SL T4.26'!$J$11:$J$2017,'BKTT T4.26'!$B15,'SL T4.26'!$K$11:$K$2017,'BKTT T4.26'!$C15)</f>
        <v>0</v>
      </c>
      <c r="L15" s="154"/>
      <c r="N15" s="120">
        <v>471611</v>
      </c>
      <c r="O15" s="152" t="e">
        <f t="shared" si="2"/>
        <v>#DIV/0!</v>
      </c>
      <c r="P15" s="152"/>
      <c r="Q15" s="117" t="s">
        <v>24</v>
      </c>
    </row>
    <row r="16" spans="1:17" hidden="1">
      <c r="A16" s="143">
        <v>5</v>
      </c>
      <c r="B16" s="144" t="s">
        <v>21</v>
      </c>
      <c r="C16" s="145" t="s">
        <v>29</v>
      </c>
      <c r="D16" s="146" t="s">
        <v>23</v>
      </c>
      <c r="E16" s="147">
        <f>SUMIFS('SL T4.26'!E$11:E$2017,'SL T4.26'!$J$11:$J$2017,'BKTT T4.26'!$B16,'SL T4.26'!$K$11:$K$2017,'BKTT T4.26'!$C16)</f>
        <v>0</v>
      </c>
      <c r="F16" s="147">
        <f>SUMIFS('SL T4.26'!F$11:F$2017,'SL T4.26'!$J$11:$J$2017,'BKTT T4.26'!$B16,'SL T4.26'!$K$11:$K$2017,'BKTT T4.26'!$C16)</f>
        <v>0</v>
      </c>
      <c r="G16" s="147">
        <f>SUMIFS('SL T4.26'!G$11:G$2017,'SL T4.26'!$J$11:$J$2017,'BKTT T4.26'!$B16,'SL T4.26'!$K$11:$K$2017,'BKTT T4.26'!$C16)+SUMIFS('SL T4.26'!H$11:H$2017,'SL T4.26'!$J$11:$J$2017,'BKTT T4.26'!$B16,'SL T4.26'!$K$11:$K$2017,'BKTT T4.26'!$C16)</f>
        <v>0</v>
      </c>
      <c r="H16" s="153"/>
      <c r="I16" s="148">
        <f t="shared" si="0"/>
        <v>0</v>
      </c>
      <c r="J16" s="149" t="e">
        <f t="shared" si="1"/>
        <v>#DIV/0!</v>
      </c>
      <c r="K16" s="150">
        <f>SUMIFS('SL T4.26'!N$11:N$2017,'SL T4.26'!$J$11:$J$2017,'BKTT T4.26'!$B16,'SL T4.26'!$K$11:$K$2017,'BKTT T4.26'!$C16)</f>
        <v>0</v>
      </c>
      <c r="L16" s="154"/>
      <c r="N16" s="120">
        <v>506518</v>
      </c>
      <c r="O16" s="152" t="e">
        <f t="shared" si="2"/>
        <v>#DIV/0!</v>
      </c>
      <c r="P16" s="152"/>
      <c r="Q16" s="117" t="s">
        <v>26</v>
      </c>
    </row>
    <row r="17" spans="1:17">
      <c r="A17" s="143">
        <v>6</v>
      </c>
      <c r="B17" s="144" t="s">
        <v>21</v>
      </c>
      <c r="C17" s="145" t="s">
        <v>30</v>
      </c>
      <c r="D17" s="146" t="s">
        <v>23</v>
      </c>
      <c r="E17" s="147">
        <f>SUMIFS('SL T4.26'!E$11:E$2017,'SL T4.26'!$J$11:$J$2017,'BKTT T4.26'!$B17,'SL T4.26'!$K$11:$K$2017,'BKTT T4.26'!$C17)</f>
        <v>0</v>
      </c>
      <c r="F17" s="147">
        <f>SUMIFS('SL T4.26'!F$11:F$2017,'SL T4.26'!$J$11:$J$2017,'BKTT T4.26'!$B17,'SL T4.26'!$K$11:$K$2017,'BKTT T4.26'!$C17)</f>
        <v>0</v>
      </c>
      <c r="G17" s="147">
        <f>SUMIFS('SL T4.26'!G$11:G$2017,'SL T4.26'!$J$11:$J$2017,'BKTT T4.26'!$B17,'SL T4.26'!$K$11:$K$2017,'BKTT T4.26'!$C17)+SUMIFS('SL T4.26'!H$11:H$2017,'SL T4.26'!$J$11:$J$2017,'BKTT T4.26'!$B17,'SL T4.26'!$K$11:$K$2017,'BKTT T4.26'!$C17)</f>
        <v>3</v>
      </c>
      <c r="H17" s="153"/>
      <c r="I17" s="148">
        <f t="shared" si="0"/>
        <v>3</v>
      </c>
      <c r="J17" s="149">
        <f t="shared" si="1"/>
        <v>480338</v>
      </c>
      <c r="K17" s="150">
        <f>SUMIFS('SL T4.26'!N$11:N$2017,'SL T4.26'!$J$11:$J$2017,'BKTT T4.26'!$B17,'SL T4.26'!$K$11:$K$2017,'BKTT T4.26'!$C17)</f>
        <v>1441014</v>
      </c>
      <c r="L17" s="154"/>
      <c r="N17" s="120">
        <v>480338</v>
      </c>
      <c r="O17" s="152">
        <f t="shared" si="2"/>
        <v>0</v>
      </c>
      <c r="P17" s="152"/>
      <c r="Q17" s="117" t="s">
        <v>16</v>
      </c>
    </row>
    <row r="18" spans="1:17">
      <c r="A18" s="143">
        <v>7</v>
      </c>
      <c r="B18" s="144" t="s">
        <v>21</v>
      </c>
      <c r="C18" s="145" t="s">
        <v>31</v>
      </c>
      <c r="D18" s="146" t="s">
        <v>23</v>
      </c>
      <c r="E18" s="147">
        <f>SUMIFS('SL T4.26'!E$11:E$2017,'SL T4.26'!$J$11:$J$2017,'BKTT T4.26'!$B18,'SL T4.26'!$K$11:$K$2017,'BKTT T4.26'!$C18)</f>
        <v>86</v>
      </c>
      <c r="F18" s="147">
        <f>SUMIFS('SL T4.26'!F$11:F$2017,'SL T4.26'!$J$11:$J$2017,'BKTT T4.26'!$B18,'SL T4.26'!$K$11:$K$2017,'BKTT T4.26'!$C18)</f>
        <v>0</v>
      </c>
      <c r="G18" s="147">
        <f>SUMIFS('SL T4.26'!G$11:G$2017,'SL T4.26'!$J$11:$J$2017,'BKTT T4.26'!$B18,'SL T4.26'!$K$11:$K$2017,'BKTT T4.26'!$C18)+SUMIFS('SL T4.26'!H$11:H$2017,'SL T4.26'!$J$11:$J$2017,'BKTT T4.26'!$B18,'SL T4.26'!$K$11:$K$2017,'BKTT T4.26'!$C18)</f>
        <v>0</v>
      </c>
      <c r="H18" s="153"/>
      <c r="I18" s="148">
        <f t="shared" si="0"/>
        <v>86</v>
      </c>
      <c r="J18" s="149">
        <f t="shared" si="1"/>
        <v>454158</v>
      </c>
      <c r="K18" s="150">
        <f>SUMIFS('SL T4.26'!N$11:N$2017,'SL T4.26'!$J$11:$J$2017,'BKTT T4.26'!$B18,'SL T4.26'!$K$11:$K$2017,'BKTT T4.26'!$C18)</f>
        <v>39057588</v>
      </c>
      <c r="L18" s="154"/>
      <c r="N18" s="120">
        <v>454158</v>
      </c>
      <c r="O18" s="152">
        <f t="shared" si="2"/>
        <v>0</v>
      </c>
      <c r="P18" s="152"/>
      <c r="Q18" s="117" t="s">
        <v>24</v>
      </c>
    </row>
    <row r="19" spans="1:17">
      <c r="A19" s="143">
        <v>8</v>
      </c>
      <c r="B19" s="144" t="s">
        <v>21</v>
      </c>
      <c r="C19" s="145" t="s">
        <v>32</v>
      </c>
      <c r="D19" s="146" t="s">
        <v>23</v>
      </c>
      <c r="E19" s="147">
        <f>SUMIFS('SL T4.26'!E$11:E$2017,'SL T4.26'!$J$11:$J$2017,'BKTT T4.26'!$B19,'SL T4.26'!$K$11:$K$2017,'BKTT T4.26'!$C19)</f>
        <v>0</v>
      </c>
      <c r="F19" s="147">
        <f>SUMIFS('SL T4.26'!F$11:F$2017,'SL T4.26'!$J$11:$J$2017,'BKTT T4.26'!$B19,'SL T4.26'!$K$11:$K$2017,'BKTT T4.26'!$C19)</f>
        <v>3</v>
      </c>
      <c r="G19" s="147">
        <f>SUMIFS('SL T4.26'!G$11:G$2017,'SL T4.26'!$J$11:$J$2017,'BKTT T4.26'!$B19,'SL T4.26'!$K$11:$K$2017,'BKTT T4.26'!$C19)+SUMIFS('SL T4.26'!H$11:H$2017,'SL T4.26'!$J$11:$J$2017,'BKTT T4.26'!$B19,'SL T4.26'!$K$11:$K$2017,'BKTT T4.26'!$C19)</f>
        <v>0</v>
      </c>
      <c r="H19" s="153"/>
      <c r="I19" s="148">
        <f t="shared" si="0"/>
        <v>3</v>
      </c>
      <c r="J19" s="149">
        <f t="shared" si="1"/>
        <v>489065</v>
      </c>
      <c r="K19" s="150">
        <f>SUMIFS('SL T4.26'!N$11:N$2017,'SL T4.26'!$J$11:$J$2017,'BKTT T4.26'!$B19,'SL T4.26'!$K$11:$K$2017,'BKTT T4.26'!$C19)</f>
        <v>1467195</v>
      </c>
      <c r="L19" s="154"/>
      <c r="N19" s="120">
        <v>489065</v>
      </c>
      <c r="O19" s="152">
        <f t="shared" si="2"/>
        <v>0</v>
      </c>
      <c r="P19" s="152"/>
      <c r="Q19" s="117" t="s">
        <v>26</v>
      </c>
    </row>
    <row r="20" spans="1:17" hidden="1">
      <c r="A20" s="143">
        <v>9</v>
      </c>
      <c r="B20" s="144" t="s">
        <v>21</v>
      </c>
      <c r="C20" s="145" t="s">
        <v>33</v>
      </c>
      <c r="D20" s="146" t="s">
        <v>23</v>
      </c>
      <c r="E20" s="147">
        <f>SUMIFS('SL T4.26'!E$11:E$2017,'SL T4.26'!$J$11:$J$2017,'BKTT T4.26'!$B20,'SL T4.26'!$K$11:$K$2017,'BKTT T4.26'!$C20)</f>
        <v>0</v>
      </c>
      <c r="F20" s="147">
        <f>SUMIFS('SL T4.26'!F$11:F$2017,'SL T4.26'!$J$11:$J$2017,'BKTT T4.26'!$B20,'SL T4.26'!$K$11:$K$2017,'BKTT T4.26'!$C20)</f>
        <v>0</v>
      </c>
      <c r="G20" s="147">
        <f>SUMIFS('SL T4.26'!G$11:G$2017,'SL T4.26'!$J$11:$J$2017,'BKTT T4.26'!$B20,'SL T4.26'!$K$11:$K$2017,'BKTT T4.26'!$C20)+SUMIFS('SL T4.26'!H$11:H$2017,'SL T4.26'!$J$11:$J$2017,'BKTT T4.26'!$B20,'SL T4.26'!$K$11:$K$2017,'BKTT T4.26'!$C20)</f>
        <v>0</v>
      </c>
      <c r="H20" s="153"/>
      <c r="I20" s="148">
        <f t="shared" si="0"/>
        <v>0</v>
      </c>
      <c r="J20" s="149" t="e">
        <f t="shared" si="1"/>
        <v>#DIV/0!</v>
      </c>
      <c r="K20" s="150">
        <f>SUMIFS('SL T4.26'!N$11:N$2017,'SL T4.26'!$J$11:$J$2017,'BKTT T4.26'!$B20,'SL T4.26'!$K$11:$K$2017,'BKTT T4.26'!$C20)</f>
        <v>0</v>
      </c>
      <c r="L20" s="154"/>
      <c r="N20" s="120"/>
      <c r="O20" s="152" t="e">
        <f t="shared" si="2"/>
        <v>#DIV/0!</v>
      </c>
      <c r="P20" s="152"/>
      <c r="Q20" s="117" t="s">
        <v>16</v>
      </c>
    </row>
    <row r="21" spans="1:17" hidden="1">
      <c r="A21" s="143">
        <v>10</v>
      </c>
      <c r="B21" s="144" t="s">
        <v>21</v>
      </c>
      <c r="C21" s="145" t="s">
        <v>34</v>
      </c>
      <c r="D21" s="146" t="s">
        <v>23</v>
      </c>
      <c r="E21" s="147">
        <f>SUMIFS('SL T4.26'!E$11:E$2017,'SL T4.26'!$J$11:$J$2017,'BKTT T4.26'!$B21,'SL T4.26'!$K$11:$K$2017,'BKTT T4.26'!$C21)</f>
        <v>0</v>
      </c>
      <c r="F21" s="147">
        <f>SUMIFS('SL T4.26'!F$11:F$2017,'SL T4.26'!$J$11:$J$2017,'BKTT T4.26'!$B21,'SL T4.26'!$K$11:$K$2017,'BKTT T4.26'!$C21)</f>
        <v>0</v>
      </c>
      <c r="G21" s="147">
        <f>SUMIFS('SL T4.26'!G$11:G$2017,'SL T4.26'!$J$11:$J$2017,'BKTT T4.26'!$B21,'SL T4.26'!$K$11:$K$2017,'BKTT T4.26'!$C21)+SUMIFS('SL T4.26'!H$11:H$2017,'SL T4.26'!$J$11:$J$2017,'BKTT T4.26'!$B21,'SL T4.26'!$K$11:$K$2017,'BKTT T4.26'!$C21)</f>
        <v>0</v>
      </c>
      <c r="H21" s="153"/>
      <c r="I21" s="148">
        <f t="shared" si="0"/>
        <v>0</v>
      </c>
      <c r="J21" s="149" t="e">
        <f t="shared" si="1"/>
        <v>#DIV/0!</v>
      </c>
      <c r="K21" s="150">
        <f>SUMIFS('SL T4.26'!N$11:N$2017,'SL T4.26'!$J$11:$J$2017,'BKTT T4.26'!$B21,'SL T4.26'!$K$11:$K$2017,'BKTT T4.26'!$C21)</f>
        <v>0</v>
      </c>
      <c r="L21" s="154" t="s">
        <v>35</v>
      </c>
      <c r="N21" s="120"/>
      <c r="O21" s="152" t="e">
        <f t="shared" si="2"/>
        <v>#DIV/0!</v>
      </c>
      <c r="P21" s="152"/>
      <c r="Q21" s="117" t="s">
        <v>16</v>
      </c>
    </row>
    <row r="22" spans="1:17">
      <c r="A22" s="143">
        <v>11</v>
      </c>
      <c r="B22" s="144" t="s">
        <v>21</v>
      </c>
      <c r="C22" s="145" t="s">
        <v>36</v>
      </c>
      <c r="D22" s="146" t="s">
        <v>23</v>
      </c>
      <c r="E22" s="147">
        <f>SUMIFS('SL T4.26'!E$11:E$2017,'SL T4.26'!$J$11:$J$2017,'BKTT T4.26'!$B22,'SL T4.26'!$K$11:$K$2017,'BKTT T4.26'!$C22)</f>
        <v>116</v>
      </c>
      <c r="F22" s="147">
        <f>SUMIFS('SL T4.26'!F$11:F$2017,'SL T4.26'!$J$11:$J$2017,'BKTT T4.26'!$B22,'SL T4.26'!$K$11:$K$2017,'BKTT T4.26'!$C22)</f>
        <v>0</v>
      </c>
      <c r="G22" s="147">
        <f>SUMIFS('SL T4.26'!G$11:G$2017,'SL T4.26'!$J$11:$J$2017,'BKTT T4.26'!$B22,'SL T4.26'!$K$11:$K$2017,'BKTT T4.26'!$C22)+SUMIFS('SL T4.26'!H$11:H$2017,'SL T4.26'!$J$11:$J$2017,'BKTT T4.26'!$B22,'SL T4.26'!$K$11:$K$2017,'BKTT T4.26'!$C22)</f>
        <v>0</v>
      </c>
      <c r="H22" s="153"/>
      <c r="I22" s="148">
        <f t="shared" si="0"/>
        <v>116</v>
      </c>
      <c r="J22" s="149">
        <f t="shared" si="1"/>
        <v>576331</v>
      </c>
      <c r="K22" s="150">
        <f>SUMIFS('SL T4.26'!N$11:N$2017,'SL T4.26'!$J$11:$J$2017,'BKTT T4.26'!$B22,'SL T4.26'!$K$11:$K$2017,'BKTT T4.26'!$C22)</f>
        <v>66854396</v>
      </c>
      <c r="L22" s="154"/>
      <c r="M22" s="120"/>
      <c r="N22" s="120">
        <v>576331</v>
      </c>
      <c r="O22" s="152">
        <f t="shared" si="2"/>
        <v>0</v>
      </c>
      <c r="P22" s="152"/>
      <c r="Q22" s="117" t="s">
        <v>24</v>
      </c>
    </row>
    <row r="23" spans="1:17">
      <c r="A23" s="143">
        <v>12</v>
      </c>
      <c r="B23" s="144" t="s">
        <v>21</v>
      </c>
      <c r="C23" s="145" t="s">
        <v>37</v>
      </c>
      <c r="D23" s="146" t="s">
        <v>23</v>
      </c>
      <c r="E23" s="147">
        <f>SUMIFS('SL T4.26'!E$11:E$2017,'SL T4.26'!$J$11:$J$2017,'BKTT T4.26'!$B23,'SL T4.26'!$K$11:$K$2017,'BKTT T4.26'!$C23)</f>
        <v>0</v>
      </c>
      <c r="F23" s="147">
        <f>SUMIFS('SL T4.26'!F$11:F$2017,'SL T4.26'!$J$11:$J$2017,'BKTT T4.26'!$B23,'SL T4.26'!$K$11:$K$2017,'BKTT T4.26'!$C23)</f>
        <v>24</v>
      </c>
      <c r="G23" s="147">
        <f>SUMIFS('SL T4.26'!G$11:G$2017,'SL T4.26'!$J$11:$J$2017,'BKTT T4.26'!$B23,'SL T4.26'!$K$11:$K$2017,'BKTT T4.26'!$C23)+SUMIFS('SL T4.26'!H$11:H$2017,'SL T4.26'!$J$11:$J$2017,'BKTT T4.26'!$B23,'SL T4.26'!$K$11:$K$2017,'BKTT T4.26'!$C23)</f>
        <v>0</v>
      </c>
      <c r="H23" s="153"/>
      <c r="I23" s="148">
        <f t="shared" si="0"/>
        <v>24</v>
      </c>
      <c r="J23" s="149">
        <f t="shared" si="1"/>
        <v>602510</v>
      </c>
      <c r="K23" s="150">
        <f>SUMIFS('SL T4.26'!N$11:N$2017,'SL T4.26'!$J$11:$J$2017,'BKTT T4.26'!$B23,'SL T4.26'!$K$11:$K$2017,'BKTT T4.26'!$C23)</f>
        <v>14460240</v>
      </c>
      <c r="L23" s="154"/>
      <c r="M23" s="152"/>
      <c r="N23" s="120">
        <v>602510</v>
      </c>
      <c r="O23" s="152">
        <f t="shared" si="2"/>
        <v>0</v>
      </c>
      <c r="P23" s="152"/>
      <c r="Q23" s="117" t="s">
        <v>26</v>
      </c>
    </row>
    <row r="24" spans="1:17" hidden="1">
      <c r="A24" s="143">
        <v>13</v>
      </c>
      <c r="B24" s="144" t="s">
        <v>21</v>
      </c>
      <c r="C24" s="145" t="s">
        <v>38</v>
      </c>
      <c r="D24" s="146" t="s">
        <v>23</v>
      </c>
      <c r="E24" s="147">
        <f>SUMIFS('SL T4.26'!E$11:E$2017,'SL T4.26'!$J$11:$J$2017,'BKTT T4.26'!$B24,'SL T4.26'!$K$11:$K$2017,'BKTT T4.26'!$C24)</f>
        <v>0</v>
      </c>
      <c r="F24" s="147">
        <f>SUMIFS('SL T4.26'!F$11:F$2017,'SL T4.26'!$J$11:$J$2017,'BKTT T4.26'!$B24,'SL T4.26'!$K$11:$K$2017,'BKTT T4.26'!$C24)</f>
        <v>0</v>
      </c>
      <c r="G24" s="147">
        <f>SUMIFS('SL T4.26'!G$11:G$2017,'SL T4.26'!$J$11:$J$2017,'BKTT T4.26'!$B24,'SL T4.26'!$K$11:$K$2017,'BKTT T4.26'!$C24)+SUMIFS('SL T4.26'!H$11:H$2017,'SL T4.26'!$J$11:$J$2017,'BKTT T4.26'!$B24,'SL T4.26'!$K$11:$K$2017,'BKTT T4.26'!$C24)</f>
        <v>0</v>
      </c>
      <c r="H24" s="153"/>
      <c r="I24" s="148">
        <f t="shared" si="0"/>
        <v>0</v>
      </c>
      <c r="J24" s="149" t="e">
        <f t="shared" si="1"/>
        <v>#DIV/0!</v>
      </c>
      <c r="K24" s="150">
        <f>SUMIFS('SL T4.26'!N$11:N$2017,'SL T4.26'!$J$11:$J$2017,'BKTT T4.26'!$B24,'SL T4.26'!$K$11:$K$2017,'BKTT T4.26'!$C24)</f>
        <v>0</v>
      </c>
      <c r="L24" s="154"/>
      <c r="N24" s="120"/>
      <c r="O24" s="152" t="e">
        <f t="shared" si="2"/>
        <v>#DIV/0!</v>
      </c>
      <c r="P24" s="152"/>
      <c r="Q24" s="117" t="s">
        <v>16</v>
      </c>
    </row>
    <row r="25" spans="1:17" hidden="1">
      <c r="A25" s="143">
        <v>14</v>
      </c>
      <c r="B25" s="145" t="s">
        <v>36</v>
      </c>
      <c r="C25" s="145" t="s">
        <v>21</v>
      </c>
      <c r="D25" s="146" t="s">
        <v>23</v>
      </c>
      <c r="E25" s="147">
        <f>SUMIFS('SL T4.26'!E$11:E$2017,'SL T4.26'!$J$11:$J$2017,'BKTT T4.26'!$B25,'SL T4.26'!$K$11:$K$2017,'BKTT T4.26'!$C25)</f>
        <v>0</v>
      </c>
      <c r="F25" s="147">
        <f>SUMIFS('SL T4.26'!F$11:F$2017,'SL T4.26'!$J$11:$J$2017,'BKTT T4.26'!$B25,'SL T4.26'!$K$11:$K$2017,'BKTT T4.26'!$C25)</f>
        <v>0</v>
      </c>
      <c r="G25" s="147">
        <f>SUMIFS('SL T4.26'!G$11:G$2017,'SL T4.26'!$J$11:$J$2017,'BKTT T4.26'!$B25,'SL T4.26'!$K$11:$K$2017,'BKTT T4.26'!$C25)+SUMIFS('SL T4.26'!H$11:H$2017,'SL T4.26'!$J$11:$J$2017,'BKTT T4.26'!$B25,'SL T4.26'!$K$11:$K$2017,'BKTT T4.26'!$C25)</f>
        <v>0</v>
      </c>
      <c r="H25" s="153"/>
      <c r="I25" s="148">
        <f t="shared" si="0"/>
        <v>0</v>
      </c>
      <c r="J25" s="149" t="e">
        <f t="shared" si="1"/>
        <v>#DIV/0!</v>
      </c>
      <c r="K25" s="150">
        <f>SUMIFS('SL T4.26'!N$11:N$2017,'SL T4.26'!$J$11:$J$2017,'BKTT T4.26'!$B25,'SL T4.26'!$K$11:$K$2017,'BKTT T4.26'!$C25)</f>
        <v>0</v>
      </c>
      <c r="L25" s="154" t="s">
        <v>35</v>
      </c>
      <c r="N25" s="120"/>
      <c r="O25" s="152" t="e">
        <f t="shared" si="2"/>
        <v>#DIV/0!</v>
      </c>
      <c r="P25" s="152"/>
      <c r="Q25" s="117" t="s">
        <v>24</v>
      </c>
    </row>
    <row r="26" spans="1:17" hidden="1">
      <c r="A26" s="143">
        <v>15</v>
      </c>
      <c r="B26" s="145" t="s">
        <v>37</v>
      </c>
      <c r="C26" s="145" t="s">
        <v>21</v>
      </c>
      <c r="D26" s="146" t="s">
        <v>23</v>
      </c>
      <c r="E26" s="147">
        <f>SUMIFS('SL T4.26'!E$11:E$2017,'SL T4.26'!$J$11:$J$2017,'BKTT T4.26'!$B26,'SL T4.26'!$K$11:$K$2017,'BKTT T4.26'!$C26)</f>
        <v>0</v>
      </c>
      <c r="F26" s="147">
        <f>SUMIFS('SL T4.26'!F$11:F$2017,'SL T4.26'!$J$11:$J$2017,'BKTT T4.26'!$B26,'SL T4.26'!$K$11:$K$2017,'BKTT T4.26'!$C26)</f>
        <v>0</v>
      </c>
      <c r="G26" s="147">
        <f>SUMIFS('SL T4.26'!G$11:G$2017,'SL T4.26'!$J$11:$J$2017,'BKTT T4.26'!$B26,'SL T4.26'!$K$11:$K$2017,'BKTT T4.26'!$C26)+SUMIFS('SL T4.26'!H$11:H$2017,'SL T4.26'!$J$11:$J$2017,'BKTT T4.26'!$B26,'SL T4.26'!$K$11:$K$2017,'BKTT T4.26'!$C26)</f>
        <v>0</v>
      </c>
      <c r="H26" s="153"/>
      <c r="I26" s="148">
        <f t="shared" si="0"/>
        <v>0</v>
      </c>
      <c r="J26" s="149" t="e">
        <f t="shared" si="1"/>
        <v>#DIV/0!</v>
      </c>
      <c r="K26" s="150">
        <f>SUMIFS('SL T4.26'!N$11:N$2017,'SL T4.26'!$J$11:$J$2017,'BKTT T4.26'!$B26,'SL T4.26'!$K$11:$K$2017,'BKTT T4.26'!$C26)</f>
        <v>0</v>
      </c>
      <c r="L26" s="154" t="s">
        <v>35</v>
      </c>
      <c r="N26" s="120"/>
      <c r="O26" s="152" t="e">
        <f t="shared" si="2"/>
        <v>#DIV/0!</v>
      </c>
      <c r="P26" s="152"/>
      <c r="Q26" s="117" t="s">
        <v>26</v>
      </c>
    </row>
    <row r="27" spans="1:17">
      <c r="A27" s="143">
        <v>16</v>
      </c>
      <c r="B27" s="145" t="s">
        <v>38</v>
      </c>
      <c r="C27" s="145" t="s">
        <v>21</v>
      </c>
      <c r="D27" s="146" t="s">
        <v>23</v>
      </c>
      <c r="E27" s="147">
        <f>SUMIFS('SL T4.26'!E$11:E$2017,'SL T4.26'!$J$11:$J$2017,'BKTT T4.26'!$B27,'SL T4.26'!$K$11:$K$2017,'BKTT T4.26'!$C27)</f>
        <v>0</v>
      </c>
      <c r="F27" s="147">
        <f>SUMIFS('SL T4.26'!F$11:F$2017,'SL T4.26'!$J$11:$J$2017,'BKTT T4.26'!$B27,'SL T4.26'!$K$11:$K$2017,'BKTT T4.26'!$C27)</f>
        <v>0</v>
      </c>
      <c r="G27" s="147">
        <f>SUMIFS('SL T4.26'!G$11:G$2017,'SL T4.26'!$J$11:$J$2017,'BKTT T4.26'!$B27,'SL T4.26'!$K$11:$K$2017,'BKTT T4.26'!$C27)+SUMIFS('SL T4.26'!H$11:H$2017,'SL T4.26'!$J$11:$J$2017,'BKTT T4.26'!$B27,'SL T4.26'!$K$11:$K$2017,'BKTT T4.26'!$C27)</f>
        <v>31</v>
      </c>
      <c r="H27" s="153"/>
      <c r="I27" s="148">
        <f t="shared" si="0"/>
        <v>31</v>
      </c>
      <c r="J27" s="149">
        <f t="shared" si="1"/>
        <v>585057</v>
      </c>
      <c r="K27" s="150">
        <f>SUMIFS('SL T4.26'!N$11:N$2017,'SL T4.26'!$J$11:$J$2017,'BKTT T4.26'!$B27,'SL T4.26'!$K$11:$K$2017,'BKTT T4.26'!$C27)</f>
        <v>18136767</v>
      </c>
      <c r="L27" s="154" t="s">
        <v>35</v>
      </c>
      <c r="N27" s="120">
        <v>585057</v>
      </c>
      <c r="O27" s="152">
        <f t="shared" si="2"/>
        <v>0</v>
      </c>
      <c r="P27" s="152"/>
      <c r="Q27" s="117" t="s">
        <v>16</v>
      </c>
    </row>
    <row r="28" spans="1:17" hidden="1">
      <c r="A28" s="143">
        <v>17</v>
      </c>
      <c r="B28" s="144" t="s">
        <v>21</v>
      </c>
      <c r="C28" s="145" t="s">
        <v>39</v>
      </c>
      <c r="D28" s="146" t="s">
        <v>23</v>
      </c>
      <c r="E28" s="147">
        <f>SUMIFS('SL T4.26'!E$11:E$2017,'SL T4.26'!$J$11:$J$2017,'BKTT T4.26'!$B28,'SL T4.26'!$K$11:$K$2017,'BKTT T4.26'!$C28)</f>
        <v>0</v>
      </c>
      <c r="F28" s="147">
        <f>SUMIFS('SL T4.26'!F$11:F$2017,'SL T4.26'!$J$11:$J$2017,'BKTT T4.26'!$B28,'SL T4.26'!$K$11:$K$2017,'BKTT T4.26'!$C28)</f>
        <v>0</v>
      </c>
      <c r="G28" s="147">
        <f>SUMIFS('SL T4.26'!G$11:G$2017,'SL T4.26'!$J$11:$J$2017,'BKTT T4.26'!$B28,'SL T4.26'!$K$11:$K$2017,'BKTT T4.26'!$C28)+SUMIFS('SL T4.26'!H$11:H$2017,'SL T4.26'!$J$11:$J$2017,'BKTT T4.26'!$B28,'SL T4.26'!$K$11:$K$2017,'BKTT T4.26'!$C28)</f>
        <v>0</v>
      </c>
      <c r="H28" s="153"/>
      <c r="I28" s="148">
        <f t="shared" si="0"/>
        <v>0</v>
      </c>
      <c r="J28" s="149" t="e">
        <f t="shared" si="1"/>
        <v>#DIV/0!</v>
      </c>
      <c r="K28" s="150">
        <f>SUMIFS('SL T4.26'!N$11:N$2017,'SL T4.26'!$J$11:$J$2017,'BKTT T4.26'!$B28,'SL T4.26'!$K$11:$K$2017,'BKTT T4.26'!$C28)</f>
        <v>0</v>
      </c>
      <c r="L28" s="154"/>
      <c r="N28" s="120"/>
      <c r="O28" s="152" t="e">
        <f t="shared" si="2"/>
        <v>#DIV/0!</v>
      </c>
      <c r="P28" s="152"/>
      <c r="Q28" s="117" t="s">
        <v>24</v>
      </c>
    </row>
    <row r="29" spans="1:17" hidden="1">
      <c r="A29" s="143">
        <v>18</v>
      </c>
      <c r="B29" s="144" t="s">
        <v>21</v>
      </c>
      <c r="C29" s="145" t="s">
        <v>40</v>
      </c>
      <c r="D29" s="146" t="s">
        <v>23</v>
      </c>
      <c r="E29" s="147">
        <f>SUMIFS('SL T4.26'!E$11:E$2017,'SL T4.26'!$J$11:$J$2017,'BKTT T4.26'!$B29,'SL T4.26'!$K$11:$K$2017,'BKTT T4.26'!$C29)</f>
        <v>0</v>
      </c>
      <c r="F29" s="147">
        <f>SUMIFS('SL T4.26'!F$11:F$2017,'SL T4.26'!$J$11:$J$2017,'BKTT T4.26'!$B29,'SL T4.26'!$K$11:$K$2017,'BKTT T4.26'!$C29)</f>
        <v>0</v>
      </c>
      <c r="G29" s="147">
        <f>SUMIFS('SL T4.26'!G$11:G$2017,'SL T4.26'!$J$11:$J$2017,'BKTT T4.26'!$B29,'SL T4.26'!$K$11:$K$2017,'BKTT T4.26'!$C29)+SUMIFS('SL T4.26'!H$11:H$2017,'SL T4.26'!$J$11:$J$2017,'BKTT T4.26'!$B29,'SL T4.26'!$K$11:$K$2017,'BKTT T4.26'!$C29)</f>
        <v>0</v>
      </c>
      <c r="H29" s="153"/>
      <c r="I29" s="148">
        <f t="shared" si="0"/>
        <v>0</v>
      </c>
      <c r="J29" s="149" t="e">
        <f t="shared" si="1"/>
        <v>#DIV/0!</v>
      </c>
      <c r="K29" s="150">
        <f>SUMIFS('SL T4.26'!N$11:N$2017,'SL T4.26'!$J$11:$J$2017,'BKTT T4.26'!$B29,'SL T4.26'!$K$11:$K$2017,'BKTT T4.26'!$C29)</f>
        <v>0</v>
      </c>
      <c r="L29" s="154"/>
      <c r="N29" s="120"/>
      <c r="O29" s="152" t="e">
        <f t="shared" si="2"/>
        <v>#DIV/0!</v>
      </c>
      <c r="P29" s="152"/>
      <c r="Q29" s="117" t="s">
        <v>26</v>
      </c>
    </row>
    <row r="30" spans="1:17" hidden="1">
      <c r="A30" s="143">
        <v>19</v>
      </c>
      <c r="B30" s="144" t="s">
        <v>21</v>
      </c>
      <c r="C30" s="145" t="s">
        <v>41</v>
      </c>
      <c r="D30" s="146" t="s">
        <v>23</v>
      </c>
      <c r="E30" s="147">
        <f>SUMIFS('SL T4.26'!E$11:E$2017,'SL T4.26'!$J$11:$J$2017,'BKTT T4.26'!$B30,'SL T4.26'!$K$11:$K$2017,'BKTT T4.26'!$C30)</f>
        <v>0</v>
      </c>
      <c r="F30" s="147">
        <f>SUMIFS('SL T4.26'!F$11:F$2017,'SL T4.26'!$J$11:$J$2017,'BKTT T4.26'!$B30,'SL T4.26'!$K$11:$K$2017,'BKTT T4.26'!$C30)</f>
        <v>0</v>
      </c>
      <c r="G30" s="147">
        <f>SUMIFS('SL T4.26'!G$11:G$2017,'SL T4.26'!$J$11:$J$2017,'BKTT T4.26'!$B30,'SL T4.26'!$K$11:$K$2017,'BKTT T4.26'!$C30)+SUMIFS('SL T4.26'!H$11:H$2017,'SL T4.26'!$J$11:$J$2017,'BKTT T4.26'!$B30,'SL T4.26'!$K$11:$K$2017,'BKTT T4.26'!$C30)</f>
        <v>0</v>
      </c>
      <c r="H30" s="153"/>
      <c r="I30" s="148">
        <f t="shared" si="0"/>
        <v>0</v>
      </c>
      <c r="J30" s="149" t="e">
        <f t="shared" si="1"/>
        <v>#DIV/0!</v>
      </c>
      <c r="K30" s="150">
        <f>SUMIFS('SL T4.26'!N$11:N$2017,'SL T4.26'!$J$11:$J$2017,'BKTT T4.26'!$B30,'SL T4.26'!$K$11:$K$2017,'BKTT T4.26'!$C30)</f>
        <v>0</v>
      </c>
      <c r="L30" s="154"/>
      <c r="N30" s="120"/>
      <c r="O30" s="152" t="e">
        <f t="shared" si="2"/>
        <v>#DIV/0!</v>
      </c>
      <c r="P30" s="152"/>
      <c r="Q30" s="117" t="s">
        <v>16</v>
      </c>
    </row>
    <row r="31" spans="1:17">
      <c r="A31" s="143">
        <v>20</v>
      </c>
      <c r="B31" s="144" t="s">
        <v>21</v>
      </c>
      <c r="C31" s="145" t="s">
        <v>42</v>
      </c>
      <c r="D31" s="146" t="s">
        <v>23</v>
      </c>
      <c r="E31" s="147">
        <f>SUMIFS('SL T4.26'!E$11:E$2017,'SL T4.26'!$J$11:$J$2017,'BKTT T4.26'!$B31,'SL T4.26'!$K$11:$K$2017,'BKTT T4.26'!$C31)</f>
        <v>9</v>
      </c>
      <c r="F31" s="147">
        <f>SUMIFS('SL T4.26'!F$11:F$2017,'SL T4.26'!$J$11:$J$2017,'BKTT T4.26'!$B31,'SL T4.26'!$K$11:$K$2017,'BKTT T4.26'!$C31)</f>
        <v>0</v>
      </c>
      <c r="G31" s="147">
        <f>SUMIFS('SL T4.26'!G$11:G$2017,'SL T4.26'!$J$11:$J$2017,'BKTT T4.26'!$B31,'SL T4.26'!$K$11:$K$2017,'BKTT T4.26'!$C31)+SUMIFS('SL T4.26'!H$11:H$2017,'SL T4.26'!$J$11:$J$2017,'BKTT T4.26'!$B31,'SL T4.26'!$K$11:$K$2017,'BKTT T4.26'!$C31)</f>
        <v>0</v>
      </c>
      <c r="H31" s="153"/>
      <c r="I31" s="148">
        <f t="shared" si="0"/>
        <v>9</v>
      </c>
      <c r="J31" s="149">
        <f t="shared" si="1"/>
        <v>593784</v>
      </c>
      <c r="K31" s="150">
        <f>SUMIFS('SL T4.26'!N$11:N$2017,'SL T4.26'!$J$11:$J$2017,'BKTT T4.26'!$B31,'SL T4.26'!$K$11:$K$2017,'BKTT T4.26'!$C31)</f>
        <v>5344056</v>
      </c>
      <c r="L31" s="154"/>
      <c r="M31" s="120"/>
      <c r="N31" s="120">
        <v>593784</v>
      </c>
      <c r="O31" s="152">
        <f t="shared" si="2"/>
        <v>0</v>
      </c>
      <c r="P31" s="152"/>
      <c r="Q31" s="117" t="s">
        <v>24</v>
      </c>
    </row>
    <row r="32" spans="1:17" hidden="1">
      <c r="A32" s="143">
        <v>21</v>
      </c>
      <c r="B32" s="144" t="s">
        <v>21</v>
      </c>
      <c r="C32" s="145" t="s">
        <v>43</v>
      </c>
      <c r="D32" s="146" t="s">
        <v>23</v>
      </c>
      <c r="E32" s="147">
        <f>SUMIFS('SL T4.26'!E$11:E$2017,'SL T4.26'!$J$11:$J$2017,'BKTT T4.26'!$B32,'SL T4.26'!$K$11:$K$2017,'BKTT T4.26'!$C32)</f>
        <v>0</v>
      </c>
      <c r="F32" s="147">
        <f>SUMIFS('SL T4.26'!F$11:F$2017,'SL T4.26'!$J$11:$J$2017,'BKTT T4.26'!$B32,'SL T4.26'!$K$11:$K$2017,'BKTT T4.26'!$C32)</f>
        <v>0</v>
      </c>
      <c r="G32" s="147">
        <f>SUMIFS('SL T4.26'!G$11:G$2017,'SL T4.26'!$J$11:$J$2017,'BKTT T4.26'!$B32,'SL T4.26'!$K$11:$K$2017,'BKTT T4.26'!$C32)+SUMIFS('SL T4.26'!H$11:H$2017,'SL T4.26'!$J$11:$J$2017,'BKTT T4.26'!$B32,'SL T4.26'!$K$11:$K$2017,'BKTT T4.26'!$C32)</f>
        <v>0</v>
      </c>
      <c r="H32" s="153"/>
      <c r="I32" s="148">
        <f t="shared" si="0"/>
        <v>0</v>
      </c>
      <c r="J32" s="149" t="e">
        <f t="shared" si="1"/>
        <v>#DIV/0!</v>
      </c>
      <c r="K32" s="150">
        <f>SUMIFS('SL T4.26'!N$11:N$2017,'SL T4.26'!$J$11:$J$2017,'BKTT T4.26'!$B32,'SL T4.26'!$K$11:$K$2017,'BKTT T4.26'!$C32)</f>
        <v>0</v>
      </c>
      <c r="L32" s="154"/>
      <c r="M32" s="152"/>
      <c r="N32" s="120"/>
      <c r="O32" s="152" t="e">
        <f t="shared" si="2"/>
        <v>#DIV/0!</v>
      </c>
      <c r="P32" s="152"/>
      <c r="Q32" s="117" t="s">
        <v>26</v>
      </c>
    </row>
    <row r="33" spans="1:17">
      <c r="A33" s="143">
        <v>22</v>
      </c>
      <c r="B33" s="144" t="s">
        <v>21</v>
      </c>
      <c r="C33" s="145" t="s">
        <v>44</v>
      </c>
      <c r="D33" s="146" t="s">
        <v>23</v>
      </c>
      <c r="E33" s="147">
        <f>SUMIFS('SL T4.26'!E$11:E$2017,'SL T4.26'!$J$11:$J$2017,'BKTT T4.26'!$B33,'SL T4.26'!$K$11:$K$2017,'BKTT T4.26'!$C33)</f>
        <v>0</v>
      </c>
      <c r="F33" s="147">
        <f>SUMIFS('SL T4.26'!F$11:F$2017,'SL T4.26'!$J$11:$J$2017,'BKTT T4.26'!$B33,'SL T4.26'!$K$11:$K$2017,'BKTT T4.26'!$C33)</f>
        <v>0</v>
      </c>
      <c r="G33" s="147">
        <f>SUMIFS('SL T4.26'!G$11:G$2017,'SL T4.26'!$J$11:$J$2017,'BKTT T4.26'!$B33,'SL T4.26'!$K$11:$K$2017,'BKTT T4.26'!$C33)+SUMIFS('SL T4.26'!H$11:H$2017,'SL T4.26'!$J$11:$J$2017,'BKTT T4.26'!$B33,'SL T4.26'!$K$11:$K$2017,'BKTT T4.26'!$C33)</f>
        <v>2</v>
      </c>
      <c r="H33" s="153"/>
      <c r="I33" s="148">
        <f t="shared" si="0"/>
        <v>2</v>
      </c>
      <c r="J33" s="149">
        <f t="shared" si="1"/>
        <v>576331</v>
      </c>
      <c r="K33" s="150">
        <f>SUMIFS('SL T4.26'!N$11:N$2017,'SL T4.26'!$J$11:$J$2017,'BKTT T4.26'!$B33,'SL T4.26'!$K$11:$K$2017,'BKTT T4.26'!$C33)</f>
        <v>1152662</v>
      </c>
      <c r="L33" s="154"/>
      <c r="N33" s="120">
        <v>576331</v>
      </c>
      <c r="O33" s="152">
        <f t="shared" si="2"/>
        <v>0</v>
      </c>
      <c r="P33" s="152"/>
      <c r="Q33" s="117" t="s">
        <v>16</v>
      </c>
    </row>
    <row r="34" spans="1:17" hidden="1">
      <c r="A34" s="143">
        <v>23</v>
      </c>
      <c r="B34" s="144" t="s">
        <v>21</v>
      </c>
      <c r="C34" s="145" t="s">
        <v>45</v>
      </c>
      <c r="D34" s="146" t="s">
        <v>23</v>
      </c>
      <c r="E34" s="147">
        <f>SUMIFS('SL T4.26'!E$11:E$2017,'SL T4.26'!$J$11:$J$2017,'BKTT T4.26'!$B34,'SL T4.26'!$K$11:$K$2017,'BKTT T4.26'!$C34)</f>
        <v>0</v>
      </c>
      <c r="F34" s="147">
        <f>SUMIFS('SL T4.26'!F$11:F$2017,'SL T4.26'!$J$11:$J$2017,'BKTT T4.26'!$B34,'SL T4.26'!$K$11:$K$2017,'BKTT T4.26'!$C34)</f>
        <v>0</v>
      </c>
      <c r="G34" s="147">
        <f>SUMIFS('SL T4.26'!G$11:G$2017,'SL T4.26'!$J$11:$J$2017,'BKTT T4.26'!$B34,'SL T4.26'!$K$11:$K$2017,'BKTT T4.26'!$C34)+SUMIFS('SL T4.26'!H$11:H$2017,'SL T4.26'!$J$11:$J$2017,'BKTT T4.26'!$B34,'SL T4.26'!$K$11:$K$2017,'BKTT T4.26'!$C34)</f>
        <v>0</v>
      </c>
      <c r="H34" s="153"/>
      <c r="I34" s="148">
        <f t="shared" si="0"/>
        <v>0</v>
      </c>
      <c r="J34" s="149" t="e">
        <f t="shared" si="1"/>
        <v>#DIV/0!</v>
      </c>
      <c r="K34" s="150">
        <f>SUMIFS('SL T4.26'!N$11:N$2017,'SL T4.26'!$J$11:$J$2017,'BKTT T4.26'!$B34,'SL T4.26'!$K$11:$K$2017,'BKTT T4.26'!$C34)</f>
        <v>0</v>
      </c>
      <c r="L34" s="154"/>
      <c r="N34" s="120"/>
      <c r="O34" s="152" t="e">
        <f t="shared" si="2"/>
        <v>#DIV/0!</v>
      </c>
      <c r="P34" s="152"/>
      <c r="Q34" s="117" t="s">
        <v>24</v>
      </c>
    </row>
    <row r="35" spans="1:17" hidden="1">
      <c r="A35" s="143">
        <v>24</v>
      </c>
      <c r="B35" s="144" t="s">
        <v>21</v>
      </c>
      <c r="C35" s="145" t="s">
        <v>46</v>
      </c>
      <c r="D35" s="146" t="s">
        <v>23</v>
      </c>
      <c r="E35" s="147">
        <f>SUMIFS('SL T4.26'!E$11:E$2017,'SL T4.26'!$J$11:$J$2017,'BKTT T4.26'!$B35,'SL T4.26'!$K$11:$K$2017,'BKTT T4.26'!$C35)</f>
        <v>0</v>
      </c>
      <c r="F35" s="147">
        <f>SUMIFS('SL T4.26'!F$11:F$2017,'SL T4.26'!$J$11:$J$2017,'BKTT T4.26'!$B35,'SL T4.26'!$K$11:$K$2017,'BKTT T4.26'!$C35)</f>
        <v>0</v>
      </c>
      <c r="G35" s="147">
        <f>SUMIFS('SL T4.26'!G$11:G$2017,'SL T4.26'!$J$11:$J$2017,'BKTT T4.26'!$B35,'SL T4.26'!$K$11:$K$2017,'BKTT T4.26'!$C35)+SUMIFS('SL T4.26'!H$11:H$2017,'SL T4.26'!$J$11:$J$2017,'BKTT T4.26'!$B35,'SL T4.26'!$K$11:$K$2017,'BKTT T4.26'!$C35)</f>
        <v>0</v>
      </c>
      <c r="H35" s="153"/>
      <c r="I35" s="148">
        <f t="shared" si="0"/>
        <v>0</v>
      </c>
      <c r="J35" s="149" t="e">
        <f t="shared" si="1"/>
        <v>#DIV/0!</v>
      </c>
      <c r="K35" s="150">
        <f>SUMIFS('SL T4.26'!N$11:N$2017,'SL T4.26'!$J$11:$J$2017,'BKTT T4.26'!$B35,'SL T4.26'!$K$11:$K$2017,'BKTT T4.26'!$C35)</f>
        <v>0</v>
      </c>
      <c r="L35" s="154"/>
      <c r="N35" s="120"/>
      <c r="O35" s="152" t="e">
        <f t="shared" si="2"/>
        <v>#DIV/0!</v>
      </c>
      <c r="P35" s="152"/>
      <c r="Q35" s="117" t="s">
        <v>26</v>
      </c>
    </row>
    <row r="36" spans="1:17" hidden="1">
      <c r="A36" s="143">
        <v>25</v>
      </c>
      <c r="B36" s="144" t="s">
        <v>21</v>
      </c>
      <c r="C36" s="145" t="s">
        <v>47</v>
      </c>
      <c r="D36" s="146" t="s">
        <v>23</v>
      </c>
      <c r="E36" s="147">
        <f>SUMIFS('SL T4.26'!E$11:E$2017,'SL T4.26'!$J$11:$J$2017,'BKTT T4.26'!$B36,'SL T4.26'!$K$11:$K$2017,'BKTT T4.26'!$C36)</f>
        <v>0</v>
      </c>
      <c r="F36" s="147">
        <f>SUMIFS('SL T4.26'!F$11:F$2017,'SL T4.26'!$J$11:$J$2017,'BKTT T4.26'!$B36,'SL T4.26'!$K$11:$K$2017,'BKTT T4.26'!$C36)</f>
        <v>0</v>
      </c>
      <c r="G36" s="147">
        <f>SUMIFS('SL T4.26'!G$11:G$2017,'SL T4.26'!$J$11:$J$2017,'BKTT T4.26'!$B36,'SL T4.26'!$K$11:$K$2017,'BKTT T4.26'!$C36)+SUMIFS('SL T4.26'!H$11:H$2017,'SL T4.26'!$J$11:$J$2017,'BKTT T4.26'!$B36,'SL T4.26'!$K$11:$K$2017,'BKTT T4.26'!$C36)</f>
        <v>0</v>
      </c>
      <c r="H36" s="153"/>
      <c r="I36" s="148">
        <f t="shared" si="0"/>
        <v>0</v>
      </c>
      <c r="J36" s="149" t="e">
        <f t="shared" si="1"/>
        <v>#DIV/0!</v>
      </c>
      <c r="K36" s="150">
        <f>SUMIFS('SL T4.26'!N$11:N$2017,'SL T4.26'!$J$11:$J$2017,'BKTT T4.26'!$B36,'SL T4.26'!$K$11:$K$2017,'BKTT T4.26'!$C36)</f>
        <v>0</v>
      </c>
      <c r="L36" s="154"/>
      <c r="N36" s="120"/>
      <c r="O36" s="152" t="e">
        <f t="shared" si="2"/>
        <v>#DIV/0!</v>
      </c>
      <c r="P36" s="152"/>
      <c r="Q36" s="117" t="s">
        <v>16</v>
      </c>
    </row>
    <row r="37" spans="1:17" hidden="1">
      <c r="A37" s="143">
        <v>26</v>
      </c>
      <c r="B37" s="155" t="s">
        <v>21</v>
      </c>
      <c r="C37" s="156" t="s">
        <v>48</v>
      </c>
      <c r="D37" s="146" t="s">
        <v>23</v>
      </c>
      <c r="E37" s="147">
        <f>SUMIFS('SL T4.26'!E$11:E$2017,'SL T4.26'!$J$11:$J$2017,'BKTT T4.26'!$B37,'SL T4.26'!$K$11:$K$2017,'BKTT T4.26'!$C37)</f>
        <v>0</v>
      </c>
      <c r="F37" s="147">
        <f>SUMIFS('SL T4.26'!F$11:F$2017,'SL T4.26'!$J$11:$J$2017,'BKTT T4.26'!$B37,'SL T4.26'!$K$11:$K$2017,'BKTT T4.26'!$C37)</f>
        <v>0</v>
      </c>
      <c r="G37" s="147">
        <f>SUMIFS('SL T4.26'!G$11:G$2017,'SL T4.26'!$J$11:$J$2017,'BKTT T4.26'!$B37,'SL T4.26'!$K$11:$K$2017,'BKTT T4.26'!$C37)+SUMIFS('SL T4.26'!H$11:H$2017,'SL T4.26'!$J$11:$J$2017,'BKTT T4.26'!$B37,'SL T4.26'!$K$11:$K$2017,'BKTT T4.26'!$C37)</f>
        <v>0</v>
      </c>
      <c r="H37" s="153"/>
      <c r="I37" s="148">
        <f t="shared" si="0"/>
        <v>0</v>
      </c>
      <c r="J37" s="149" t="e">
        <f t="shared" si="1"/>
        <v>#DIV/0!</v>
      </c>
      <c r="K37" s="150">
        <f>SUMIFS('SL T4.26'!N$11:N$2017,'SL T4.26'!$J$11:$J$2017,'BKTT T4.26'!$B37,'SL T4.26'!$K$11:$K$2017,'BKTT T4.26'!$C37)</f>
        <v>0</v>
      </c>
      <c r="L37" s="154"/>
      <c r="N37" s="120"/>
      <c r="O37" s="152" t="e">
        <f t="shared" si="2"/>
        <v>#DIV/0!</v>
      </c>
      <c r="P37" s="152"/>
      <c r="Q37" s="117" t="s">
        <v>24</v>
      </c>
    </row>
    <row r="38" spans="1:17">
      <c r="A38" s="143">
        <v>27</v>
      </c>
      <c r="B38" s="144" t="s">
        <v>21</v>
      </c>
      <c r="C38" s="145" t="s">
        <v>49</v>
      </c>
      <c r="D38" s="146" t="s">
        <v>23</v>
      </c>
      <c r="E38" s="147">
        <f>SUMIFS('SL T4.26'!E$11:E$2017,'SL T4.26'!$J$11:$J$2017,'BKTT T4.26'!$B38,'SL T4.26'!$K$11:$K$2017,'BKTT T4.26'!$C38)</f>
        <v>51</v>
      </c>
      <c r="F38" s="147">
        <f>SUMIFS('SL T4.26'!F$11:F$2017,'SL T4.26'!$J$11:$J$2017,'BKTT T4.26'!$B38,'SL T4.26'!$K$11:$K$2017,'BKTT T4.26'!$C38)</f>
        <v>0</v>
      </c>
      <c r="G38" s="147">
        <f>SUMIFS('SL T4.26'!G$11:G$2017,'SL T4.26'!$J$11:$J$2017,'BKTT T4.26'!$B38,'SL T4.26'!$K$11:$K$2017,'BKTT T4.26'!$C38)+SUMIFS('SL T4.26'!H$11:H$2017,'SL T4.26'!$J$11:$J$2017,'BKTT T4.26'!$B38,'SL T4.26'!$K$11:$K$2017,'BKTT T4.26'!$C38)</f>
        <v>0</v>
      </c>
      <c r="H38" s="153"/>
      <c r="I38" s="148">
        <f t="shared" si="0"/>
        <v>51</v>
      </c>
      <c r="J38" s="149">
        <f t="shared" si="1"/>
        <v>576331</v>
      </c>
      <c r="K38" s="150">
        <f>SUMIFS('SL T4.26'!N$11:N$2017,'SL T4.26'!$J$11:$J$2017,'BKTT T4.26'!$B38,'SL T4.26'!$K$11:$K$2017,'BKTT T4.26'!$C38)</f>
        <v>29392881</v>
      </c>
      <c r="L38" s="154"/>
      <c r="N38" s="120">
        <v>576331</v>
      </c>
      <c r="O38" s="152">
        <f t="shared" si="2"/>
        <v>0</v>
      </c>
      <c r="P38" s="152"/>
      <c r="Q38" s="117" t="s">
        <v>24</v>
      </c>
    </row>
    <row r="39" spans="1:17">
      <c r="A39" s="143">
        <v>28</v>
      </c>
      <c r="B39" s="144" t="s">
        <v>21</v>
      </c>
      <c r="C39" s="145" t="s">
        <v>50</v>
      </c>
      <c r="D39" s="146" t="s">
        <v>23</v>
      </c>
      <c r="E39" s="147">
        <f>SUMIFS('SL T4.26'!E$11:E$2017,'SL T4.26'!$J$11:$J$2017,'BKTT T4.26'!$B39,'SL T4.26'!$K$11:$K$2017,'BKTT T4.26'!$C39)</f>
        <v>0</v>
      </c>
      <c r="F39" s="147">
        <f>SUMIFS('SL T4.26'!F$11:F$2017,'SL T4.26'!$J$11:$J$2017,'BKTT T4.26'!$B39,'SL T4.26'!$K$11:$K$2017,'BKTT T4.26'!$C39)</f>
        <v>20</v>
      </c>
      <c r="G39" s="147">
        <f>SUMIFS('SL T4.26'!G$11:G$2017,'SL T4.26'!$J$11:$J$2017,'BKTT T4.26'!$B39,'SL T4.26'!$K$11:$K$2017,'BKTT T4.26'!$C39)+SUMIFS('SL T4.26'!H$11:H$2017,'SL T4.26'!$J$11:$J$2017,'BKTT T4.26'!$B39,'SL T4.26'!$K$11:$K$2017,'BKTT T4.26'!$C39)</f>
        <v>0</v>
      </c>
      <c r="H39" s="153"/>
      <c r="I39" s="148">
        <f t="shared" si="0"/>
        <v>20</v>
      </c>
      <c r="J39" s="149">
        <f t="shared" si="1"/>
        <v>602510</v>
      </c>
      <c r="K39" s="150">
        <f>SUMIFS('SL T4.26'!N$11:N$2017,'SL T4.26'!$J$11:$J$2017,'BKTT T4.26'!$B39,'SL T4.26'!$K$11:$K$2017,'BKTT T4.26'!$C39)</f>
        <v>12050200</v>
      </c>
      <c r="L39" s="154"/>
      <c r="N39" s="120">
        <v>602510</v>
      </c>
      <c r="O39" s="152">
        <f t="shared" si="2"/>
        <v>0</v>
      </c>
      <c r="P39" s="152"/>
      <c r="Q39" s="117" t="s">
        <v>26</v>
      </c>
    </row>
    <row r="40" spans="1:17">
      <c r="A40" s="143">
        <v>29</v>
      </c>
      <c r="B40" s="144" t="s">
        <v>21</v>
      </c>
      <c r="C40" s="145" t="s">
        <v>51</v>
      </c>
      <c r="D40" s="146" t="s">
        <v>23</v>
      </c>
      <c r="E40" s="147">
        <f>SUMIFS('SL T4.26'!E$11:E$2017,'SL T4.26'!$J$11:$J$2017,'BKTT T4.26'!$B40,'SL T4.26'!$K$11:$K$2017,'BKTT T4.26'!$C40)</f>
        <v>0</v>
      </c>
      <c r="F40" s="147">
        <f>SUMIFS('SL T4.26'!F$11:F$2017,'SL T4.26'!$J$11:$J$2017,'BKTT T4.26'!$B40,'SL T4.26'!$K$11:$K$2017,'BKTT T4.26'!$C40)</f>
        <v>0</v>
      </c>
      <c r="G40" s="147">
        <f>SUMIFS('SL T4.26'!G$11:G$2017,'SL T4.26'!$J$11:$J$2017,'BKTT T4.26'!$B40,'SL T4.26'!$K$11:$K$2017,'BKTT T4.26'!$C40)+SUMIFS('SL T4.26'!H$11:H$2017,'SL T4.26'!$J$11:$J$2017,'BKTT T4.26'!$B40,'SL T4.26'!$K$11:$K$2017,'BKTT T4.26'!$C40)</f>
        <v>15</v>
      </c>
      <c r="H40" s="153"/>
      <c r="I40" s="148">
        <f t="shared" si="0"/>
        <v>15</v>
      </c>
      <c r="J40" s="149">
        <f t="shared" si="1"/>
        <v>550151</v>
      </c>
      <c r="K40" s="150">
        <f>SUMIFS('SL T4.26'!N$11:N$2017,'SL T4.26'!$J$11:$J$2017,'BKTT T4.26'!$B40,'SL T4.26'!$K$11:$K$2017,'BKTT T4.26'!$C40)</f>
        <v>8252265</v>
      </c>
      <c r="L40" s="154"/>
      <c r="N40" s="120">
        <v>550151</v>
      </c>
      <c r="O40" s="152">
        <f t="shared" si="2"/>
        <v>0</v>
      </c>
      <c r="P40" s="152"/>
      <c r="Q40" s="117" t="s">
        <v>16</v>
      </c>
    </row>
    <row r="41" spans="1:17" hidden="1">
      <c r="A41" s="143">
        <v>30</v>
      </c>
      <c r="B41" s="144" t="s">
        <v>21</v>
      </c>
      <c r="C41" s="145" t="s">
        <v>52</v>
      </c>
      <c r="D41" s="146" t="s">
        <v>23</v>
      </c>
      <c r="E41" s="147">
        <f>SUMIFS('SL T4.26'!E$11:E$2017,'SL T4.26'!$J$11:$J$2017,'BKTT T4.26'!$B41,'SL T4.26'!$K$11:$K$2017,'BKTT T4.26'!$C41)</f>
        <v>0</v>
      </c>
      <c r="F41" s="147">
        <f>SUMIFS('SL T4.26'!F$11:F$2017,'SL T4.26'!$J$11:$J$2017,'BKTT T4.26'!$B41,'SL T4.26'!$K$11:$K$2017,'BKTT T4.26'!$C41)</f>
        <v>0</v>
      </c>
      <c r="G41" s="147">
        <f>SUMIFS('SL T4.26'!G$11:G$2017,'SL T4.26'!$J$11:$J$2017,'BKTT T4.26'!$B41,'SL T4.26'!$K$11:$K$2017,'BKTT T4.26'!$C41)+SUMIFS('SL T4.26'!H$11:H$2017,'SL T4.26'!$J$11:$J$2017,'BKTT T4.26'!$B41,'SL T4.26'!$K$11:$K$2017,'BKTT T4.26'!$C41)</f>
        <v>0</v>
      </c>
      <c r="H41" s="153"/>
      <c r="I41" s="148">
        <f t="shared" si="0"/>
        <v>0</v>
      </c>
      <c r="J41" s="149" t="e">
        <f t="shared" si="1"/>
        <v>#DIV/0!</v>
      </c>
      <c r="K41" s="150">
        <f>SUMIFS('SL T4.26'!N$11:N$2017,'SL T4.26'!$J$11:$J$2017,'BKTT T4.26'!$B41,'SL T4.26'!$K$11:$K$2017,'BKTT T4.26'!$C41)</f>
        <v>0</v>
      </c>
      <c r="L41" s="154"/>
      <c r="N41" s="120"/>
      <c r="O41" s="152" t="e">
        <f t="shared" si="2"/>
        <v>#DIV/0!</v>
      </c>
      <c r="P41" s="152"/>
      <c r="Q41" s="117" t="s">
        <v>24</v>
      </c>
    </row>
    <row r="42" spans="1:17" hidden="1">
      <c r="A42" s="143">
        <v>31</v>
      </c>
      <c r="B42" s="144" t="s">
        <v>21</v>
      </c>
      <c r="C42" s="145" t="s">
        <v>53</v>
      </c>
      <c r="D42" s="146" t="s">
        <v>23</v>
      </c>
      <c r="E42" s="147">
        <f>SUMIFS('SL T4.26'!E$11:E$2017,'SL T4.26'!$J$11:$J$2017,'BKTT T4.26'!$B42,'SL T4.26'!$K$11:$K$2017,'BKTT T4.26'!$C42)</f>
        <v>0</v>
      </c>
      <c r="F42" s="147">
        <f>SUMIFS('SL T4.26'!F$11:F$2017,'SL T4.26'!$J$11:$J$2017,'BKTT T4.26'!$B42,'SL T4.26'!$K$11:$K$2017,'BKTT T4.26'!$C42)</f>
        <v>0</v>
      </c>
      <c r="G42" s="147">
        <f>SUMIFS('SL T4.26'!G$11:G$2017,'SL T4.26'!$J$11:$J$2017,'BKTT T4.26'!$B42,'SL T4.26'!$K$11:$K$2017,'BKTT T4.26'!$C42)+SUMIFS('SL T4.26'!H$11:H$2017,'SL T4.26'!$J$11:$J$2017,'BKTT T4.26'!$B42,'SL T4.26'!$K$11:$K$2017,'BKTT T4.26'!$C42)</f>
        <v>0</v>
      </c>
      <c r="H42" s="153"/>
      <c r="I42" s="148">
        <f t="shared" si="0"/>
        <v>0</v>
      </c>
      <c r="J42" s="149" t="e">
        <f t="shared" si="1"/>
        <v>#DIV/0!</v>
      </c>
      <c r="K42" s="150">
        <f>SUMIFS('SL T4.26'!N$11:N$2017,'SL T4.26'!$J$11:$J$2017,'BKTT T4.26'!$B42,'SL T4.26'!$K$11:$K$2017,'BKTT T4.26'!$C42)</f>
        <v>0</v>
      </c>
      <c r="L42" s="154"/>
      <c r="N42" s="120"/>
      <c r="O42" s="152" t="e">
        <f t="shared" si="2"/>
        <v>#DIV/0!</v>
      </c>
      <c r="P42" s="152"/>
      <c r="Q42" s="117" t="s">
        <v>26</v>
      </c>
    </row>
    <row r="43" spans="1:17" hidden="1">
      <c r="A43" s="143">
        <v>32</v>
      </c>
      <c r="B43" s="157" t="s">
        <v>22</v>
      </c>
      <c r="C43" s="145" t="s">
        <v>21</v>
      </c>
      <c r="D43" s="146" t="s">
        <v>23</v>
      </c>
      <c r="E43" s="147">
        <f>SUMIFS('SL T4.26'!E$11:E$2017,'SL T4.26'!$J$11:$J$2017,'BKTT T4.26'!$B43,'SL T4.26'!$K$11:$K$2017,'BKTT T4.26'!$C43)</f>
        <v>0</v>
      </c>
      <c r="F43" s="147">
        <f>SUMIFS('SL T4.26'!F$11:F$2017,'SL T4.26'!$J$11:$J$2017,'BKTT T4.26'!$B43,'SL T4.26'!$K$11:$K$2017,'BKTT T4.26'!$C43)</f>
        <v>0</v>
      </c>
      <c r="G43" s="147">
        <f>SUMIFS('SL T4.26'!G$11:G$2017,'SL T4.26'!$J$11:$J$2017,'BKTT T4.26'!$B43,'SL T4.26'!$K$11:$K$2017,'BKTT T4.26'!$C43)+SUMIFS('SL T4.26'!H$11:H$2017,'SL T4.26'!$J$11:$J$2017,'BKTT T4.26'!$B43,'SL T4.26'!$K$11:$K$2017,'BKTT T4.26'!$C43)</f>
        <v>0</v>
      </c>
      <c r="H43" s="153"/>
      <c r="I43" s="148">
        <f t="shared" si="0"/>
        <v>0</v>
      </c>
      <c r="J43" s="149" t="e">
        <f t="shared" si="1"/>
        <v>#DIV/0!</v>
      </c>
      <c r="K43" s="150">
        <f>SUMIFS('SL T4.26'!N$11:N$2017,'SL T4.26'!$J$11:$J$2017,'BKTT T4.26'!$B43,'SL T4.26'!$K$11:$K$2017,'BKTT T4.26'!$C43)</f>
        <v>0</v>
      </c>
      <c r="L43" s="154" t="s">
        <v>35</v>
      </c>
      <c r="M43" s="120"/>
      <c r="N43" s="120"/>
      <c r="O43" s="152" t="e">
        <f t="shared" si="2"/>
        <v>#DIV/0!</v>
      </c>
      <c r="P43" s="152"/>
      <c r="Q43" s="117" t="s">
        <v>16</v>
      </c>
    </row>
    <row r="44" spans="1:17" hidden="1">
      <c r="A44" s="143">
        <v>33</v>
      </c>
      <c r="B44" s="157" t="s">
        <v>27</v>
      </c>
      <c r="C44" s="145" t="s">
        <v>21</v>
      </c>
      <c r="D44" s="146" t="s">
        <v>23</v>
      </c>
      <c r="E44" s="147">
        <f>SUMIFS('SL T4.26'!E$11:E$2017,'SL T4.26'!$J$11:$J$2017,'BKTT T4.26'!$B44,'SL T4.26'!$K$11:$K$2017,'BKTT T4.26'!$C44)</f>
        <v>0</v>
      </c>
      <c r="F44" s="147">
        <f>SUMIFS('SL T4.26'!F$11:F$2017,'SL T4.26'!$J$11:$J$2017,'BKTT T4.26'!$B44,'SL T4.26'!$K$11:$K$2017,'BKTT T4.26'!$C44)</f>
        <v>0</v>
      </c>
      <c r="G44" s="147">
        <f>SUMIFS('SL T4.26'!G$11:G$2017,'SL T4.26'!$J$11:$J$2017,'BKTT T4.26'!$B44,'SL T4.26'!$K$11:$K$2017,'BKTT T4.26'!$C44)+SUMIFS('SL T4.26'!H$11:H$2017,'SL T4.26'!$J$11:$J$2017,'BKTT T4.26'!$B44,'SL T4.26'!$K$11:$K$2017,'BKTT T4.26'!$C44)</f>
        <v>0</v>
      </c>
      <c r="H44" s="153"/>
      <c r="I44" s="148">
        <f t="shared" si="0"/>
        <v>0</v>
      </c>
      <c r="J44" s="149" t="e">
        <f t="shared" si="1"/>
        <v>#DIV/0!</v>
      </c>
      <c r="K44" s="150">
        <f>SUMIFS('SL T4.26'!N$11:N$2017,'SL T4.26'!$J$11:$J$2017,'BKTT T4.26'!$B44,'SL T4.26'!$K$11:$K$2017,'BKTT T4.26'!$C44)</f>
        <v>0</v>
      </c>
      <c r="L44" s="154" t="s">
        <v>54</v>
      </c>
      <c r="M44" s="152"/>
      <c r="N44" s="120"/>
      <c r="O44" s="152" t="e">
        <f t="shared" si="2"/>
        <v>#DIV/0!</v>
      </c>
      <c r="P44" s="152"/>
      <c r="Q44" s="117" t="s">
        <v>55</v>
      </c>
    </row>
    <row r="45" spans="1:17" hidden="1">
      <c r="A45" s="143">
        <v>34</v>
      </c>
      <c r="B45" s="145" t="s">
        <v>21</v>
      </c>
      <c r="C45" s="145" t="s">
        <v>56</v>
      </c>
      <c r="D45" s="146" t="s">
        <v>23</v>
      </c>
      <c r="E45" s="147">
        <f>SUMIFS('SL T4.26'!E$11:E$2017,'SL T4.26'!$J$11:$J$2017,'BKTT T4.26'!$B45,'SL T4.26'!$K$11:$K$2017,'BKTT T4.26'!$C45)</f>
        <v>0</v>
      </c>
      <c r="F45" s="147">
        <f>SUMIFS('SL T4.26'!F$11:F$2017,'SL T4.26'!$J$11:$J$2017,'BKTT T4.26'!$B45,'SL T4.26'!$K$11:$K$2017,'BKTT T4.26'!$C45)</f>
        <v>0</v>
      </c>
      <c r="G45" s="147">
        <f>SUMIFS('SL T4.26'!G$11:G$2017,'SL T4.26'!$J$11:$J$2017,'BKTT T4.26'!$B45,'SL T4.26'!$K$11:$K$2017,'BKTT T4.26'!$C45)+SUMIFS('SL T4.26'!H$11:H$2017,'SL T4.26'!$J$11:$J$2017,'BKTT T4.26'!$B45,'SL T4.26'!$K$11:$K$2017,'BKTT T4.26'!$C45)</f>
        <v>0</v>
      </c>
      <c r="H45" s="153"/>
      <c r="I45" s="148">
        <f t="shared" si="0"/>
        <v>0</v>
      </c>
      <c r="J45" s="149" t="e">
        <f t="shared" si="1"/>
        <v>#DIV/0!</v>
      </c>
      <c r="K45" s="150">
        <f>SUMIFS('SL T4.26'!N$11:N$2017,'SL T4.26'!$J$11:$J$2017,'BKTT T4.26'!$B45,'SL T4.26'!$K$11:$K$2017,'BKTT T4.26'!$C45)</f>
        <v>0</v>
      </c>
      <c r="L45" s="154" t="s">
        <v>35</v>
      </c>
      <c r="M45" s="152"/>
      <c r="N45" s="120"/>
      <c r="O45" s="152" t="e">
        <f t="shared" si="2"/>
        <v>#DIV/0!</v>
      </c>
      <c r="P45" s="152"/>
      <c r="Q45" s="117" t="s">
        <v>16</v>
      </c>
    </row>
    <row r="46" spans="1:17">
      <c r="A46" s="143">
        <v>35</v>
      </c>
      <c r="B46" s="145" t="s">
        <v>56</v>
      </c>
      <c r="C46" s="145" t="s">
        <v>21</v>
      </c>
      <c r="D46" s="146" t="s">
        <v>23</v>
      </c>
      <c r="E46" s="147">
        <f>SUMIFS('SL T4.26'!E$11:E$2017,'SL T4.26'!$J$11:$J$2017,'BKTT T4.26'!$B46,'SL T4.26'!$K$11:$K$2017,'BKTT T4.26'!$C46)</f>
        <v>0</v>
      </c>
      <c r="F46" s="147">
        <f>SUMIFS('SL T4.26'!F$11:F$2017,'SL T4.26'!$J$11:$J$2017,'BKTT T4.26'!$B46,'SL T4.26'!$K$11:$K$2017,'BKTT T4.26'!$C46)</f>
        <v>0</v>
      </c>
      <c r="G46" s="147">
        <f>SUMIFS('SL T4.26'!G$11:G$2017,'SL T4.26'!$J$11:$J$2017,'BKTT T4.26'!$B46,'SL T4.26'!$K$11:$K$2017,'BKTT T4.26'!$C46)+SUMIFS('SL T4.26'!H$11:H$2017,'SL T4.26'!$J$11:$J$2017,'BKTT T4.26'!$B46,'SL T4.26'!$K$11:$K$2017,'BKTT T4.26'!$C46)</f>
        <v>99</v>
      </c>
      <c r="H46" s="153"/>
      <c r="I46" s="148">
        <f t="shared" si="0"/>
        <v>99</v>
      </c>
      <c r="J46" s="149">
        <f t="shared" si="1"/>
        <v>1002400</v>
      </c>
      <c r="K46" s="150">
        <f>SUMIFS('SL T4.26'!N$11:N$2017,'SL T4.26'!$J$11:$J$2017,'BKTT T4.26'!$B46,'SL T4.26'!$K$11:$K$2017,'BKTT T4.26'!$C46)</f>
        <v>99237600</v>
      </c>
      <c r="L46" s="154" t="s">
        <v>35</v>
      </c>
      <c r="N46" s="120">
        <v>1002400</v>
      </c>
      <c r="O46" s="152">
        <f t="shared" si="2"/>
        <v>0</v>
      </c>
      <c r="P46" s="152"/>
      <c r="Q46" s="117" t="s">
        <v>16</v>
      </c>
    </row>
    <row r="47" spans="1:17" hidden="1">
      <c r="A47" s="143">
        <v>36</v>
      </c>
      <c r="B47" s="145" t="s">
        <v>57</v>
      </c>
      <c r="C47" s="145" t="s">
        <v>21</v>
      </c>
      <c r="D47" s="146" t="s">
        <v>23</v>
      </c>
      <c r="E47" s="147">
        <f>SUMIFS('SL T4.26'!E$11:E$2017,'SL T4.26'!$J$11:$J$2017,'BKTT T4.26'!$B47,'SL T4.26'!$K$11:$K$2017,'BKTT T4.26'!$C47)</f>
        <v>0</v>
      </c>
      <c r="F47" s="147">
        <f>SUMIFS('SL T4.26'!F$11:F$2017,'SL T4.26'!$J$11:$J$2017,'BKTT T4.26'!$B47,'SL T4.26'!$K$11:$K$2017,'BKTT T4.26'!$C47)</f>
        <v>0</v>
      </c>
      <c r="G47" s="147">
        <f>SUMIFS('SL T4.26'!G$11:G$2017,'SL T4.26'!$J$11:$J$2017,'BKTT T4.26'!$B47,'SL T4.26'!$K$11:$K$2017,'BKTT T4.26'!$C47)+SUMIFS('SL T4.26'!H$11:H$2017,'SL T4.26'!$J$11:$J$2017,'BKTT T4.26'!$B47,'SL T4.26'!$K$11:$K$2017,'BKTT T4.26'!$C47)</f>
        <v>0</v>
      </c>
      <c r="H47" s="153"/>
      <c r="I47" s="148">
        <f t="shared" si="0"/>
        <v>0</v>
      </c>
      <c r="J47" s="149" t="e">
        <f t="shared" si="1"/>
        <v>#DIV/0!</v>
      </c>
      <c r="K47" s="150">
        <f>SUMIFS('SL T4.26'!N$11:N$2017,'SL T4.26'!$J$11:$J$2017,'BKTT T4.26'!$B47,'SL T4.26'!$K$11:$K$2017,'BKTT T4.26'!$C47)</f>
        <v>0</v>
      </c>
      <c r="L47" s="154" t="s">
        <v>35</v>
      </c>
      <c r="N47" s="120"/>
      <c r="O47" s="152" t="e">
        <f t="shared" si="2"/>
        <v>#DIV/0!</v>
      </c>
      <c r="P47" s="152"/>
      <c r="Q47" s="117" t="s">
        <v>16</v>
      </c>
    </row>
    <row r="48" spans="1:17" hidden="1">
      <c r="A48" s="143">
        <v>37</v>
      </c>
      <c r="B48" s="145" t="s">
        <v>45</v>
      </c>
      <c r="C48" s="145" t="s">
        <v>21</v>
      </c>
      <c r="D48" s="146" t="s">
        <v>23</v>
      </c>
      <c r="E48" s="147">
        <f>SUMIFS('SL T4.26'!E$11:E$2017,'SL T4.26'!$J$11:$J$2017,'BKTT T4.26'!$B48,'SL T4.26'!$K$11:$K$2017,'BKTT T4.26'!$C48)</f>
        <v>0</v>
      </c>
      <c r="F48" s="147">
        <f>SUMIFS('SL T4.26'!F$11:F$2017,'SL T4.26'!$J$11:$J$2017,'BKTT T4.26'!$B48,'SL T4.26'!$K$11:$K$2017,'BKTT T4.26'!$C48)</f>
        <v>0</v>
      </c>
      <c r="G48" s="147">
        <f>SUMIFS('SL T4.26'!G$11:G$2017,'SL T4.26'!$J$11:$J$2017,'BKTT T4.26'!$B48,'SL T4.26'!$K$11:$K$2017,'BKTT T4.26'!$C48)+SUMIFS('SL T4.26'!H$11:H$2017,'SL T4.26'!$J$11:$J$2017,'BKTT T4.26'!$B48,'SL T4.26'!$K$11:$K$2017,'BKTT T4.26'!$C48)</f>
        <v>0</v>
      </c>
      <c r="H48" s="153"/>
      <c r="I48" s="148">
        <f t="shared" si="0"/>
        <v>0</v>
      </c>
      <c r="J48" s="149" t="e">
        <f t="shared" si="1"/>
        <v>#DIV/0!</v>
      </c>
      <c r="K48" s="150">
        <f>SUMIFS('SL T4.26'!N$11:N$2017,'SL T4.26'!$J$11:$J$2017,'BKTT T4.26'!$B48,'SL T4.26'!$K$11:$K$2017,'BKTT T4.26'!$C48)</f>
        <v>0</v>
      </c>
      <c r="L48" s="154" t="s">
        <v>35</v>
      </c>
      <c r="N48" s="120"/>
      <c r="O48" s="152" t="e">
        <f t="shared" si="2"/>
        <v>#DIV/0!</v>
      </c>
      <c r="P48" s="152"/>
      <c r="Q48" s="117" t="s">
        <v>16</v>
      </c>
    </row>
    <row r="49" spans="1:17" hidden="1">
      <c r="A49" s="143">
        <v>38</v>
      </c>
      <c r="B49" s="145" t="s">
        <v>58</v>
      </c>
      <c r="C49" s="145" t="s">
        <v>21</v>
      </c>
      <c r="D49" s="146" t="s">
        <v>23</v>
      </c>
      <c r="E49" s="147">
        <f>SUMIFS('SL T4.26'!E$11:E$2017,'SL T4.26'!$J$11:$J$2017,'BKTT T4.26'!$B49,'SL T4.26'!$K$11:$K$2017,'BKTT T4.26'!$C49)</f>
        <v>0</v>
      </c>
      <c r="F49" s="147">
        <f>SUMIFS('SL T4.26'!F$11:F$2017,'SL T4.26'!$J$11:$J$2017,'BKTT T4.26'!$B49,'SL T4.26'!$K$11:$K$2017,'BKTT T4.26'!$C49)</f>
        <v>0</v>
      </c>
      <c r="G49" s="147">
        <f>SUMIFS('SL T4.26'!G$11:G$2017,'SL T4.26'!$J$11:$J$2017,'BKTT T4.26'!$B49,'SL T4.26'!$K$11:$K$2017,'BKTT T4.26'!$C49)+SUMIFS('SL T4.26'!H$11:H$2017,'SL T4.26'!$J$11:$J$2017,'BKTT T4.26'!$B49,'SL T4.26'!$K$11:$K$2017,'BKTT T4.26'!$C49)</f>
        <v>0</v>
      </c>
      <c r="H49" s="153"/>
      <c r="I49" s="148">
        <f t="shared" si="0"/>
        <v>0</v>
      </c>
      <c r="J49" s="149" t="e">
        <f t="shared" si="1"/>
        <v>#DIV/0!</v>
      </c>
      <c r="K49" s="150">
        <f>SUMIFS('SL T4.26'!N$11:N$2017,'SL T4.26'!$J$11:$J$2017,'BKTT T4.26'!$B49,'SL T4.26'!$K$11:$K$2017,'BKTT T4.26'!$C49)</f>
        <v>0</v>
      </c>
      <c r="L49" s="154" t="s">
        <v>35</v>
      </c>
      <c r="M49" s="120"/>
      <c r="N49" s="120"/>
      <c r="O49" s="152" t="e">
        <f t="shared" si="2"/>
        <v>#DIV/0!</v>
      </c>
      <c r="P49" s="152"/>
      <c r="Q49" s="117" t="s">
        <v>16</v>
      </c>
    </row>
    <row r="50" spans="1:17" hidden="1">
      <c r="A50" s="143">
        <v>39</v>
      </c>
      <c r="B50" s="145" t="s">
        <v>58</v>
      </c>
      <c r="C50" s="145" t="s">
        <v>59</v>
      </c>
      <c r="D50" s="146" t="s">
        <v>23</v>
      </c>
      <c r="E50" s="147">
        <f>SUMIFS('SL T4.26'!E$11:E$2017,'SL T4.26'!$J$11:$J$2017,'BKTT T4.26'!$B50,'SL T4.26'!$K$11:$K$2017,'BKTT T4.26'!$C50)</f>
        <v>0</v>
      </c>
      <c r="F50" s="147">
        <f>SUMIFS('SL T4.26'!F$11:F$2017,'SL T4.26'!$J$11:$J$2017,'BKTT T4.26'!$B50,'SL T4.26'!$K$11:$K$2017,'BKTT T4.26'!$C50)</f>
        <v>0</v>
      </c>
      <c r="G50" s="147">
        <f>SUMIFS('SL T4.26'!G$11:G$2017,'SL T4.26'!$J$11:$J$2017,'BKTT T4.26'!$B50,'SL T4.26'!$K$11:$K$2017,'BKTT T4.26'!$C50)+SUMIFS('SL T4.26'!H$11:H$2017,'SL T4.26'!$J$11:$J$2017,'BKTT T4.26'!$B50,'SL T4.26'!$K$11:$K$2017,'BKTT T4.26'!$C50)</f>
        <v>0</v>
      </c>
      <c r="H50" s="153"/>
      <c r="I50" s="148">
        <f t="shared" si="0"/>
        <v>0</v>
      </c>
      <c r="J50" s="149" t="e">
        <f t="shared" si="1"/>
        <v>#DIV/0!</v>
      </c>
      <c r="K50" s="150">
        <f>SUMIFS('SL T4.26'!N$11:N$2017,'SL T4.26'!$J$11:$J$2017,'BKTT T4.26'!$B50,'SL T4.26'!$K$11:$K$2017,'BKTT T4.26'!$C50)</f>
        <v>0</v>
      </c>
      <c r="L50" s="154" t="s">
        <v>35</v>
      </c>
      <c r="M50" s="152"/>
      <c r="N50" s="120"/>
      <c r="O50" s="152" t="e">
        <f t="shared" si="2"/>
        <v>#DIV/0!</v>
      </c>
      <c r="P50" s="152"/>
      <c r="Q50" s="117" t="s">
        <v>24</v>
      </c>
    </row>
    <row r="51" spans="1:17" hidden="1">
      <c r="A51" s="143">
        <v>40</v>
      </c>
      <c r="B51" s="145" t="s">
        <v>60</v>
      </c>
      <c r="C51" s="145" t="s">
        <v>61</v>
      </c>
      <c r="D51" s="146" t="s">
        <v>23</v>
      </c>
      <c r="E51" s="147">
        <f>SUMIFS('SL T4.26'!E$11:E$2017,'SL T4.26'!$J$11:$J$2017,'BKTT T4.26'!$B51,'SL T4.26'!$K$11:$K$2017,'BKTT T4.26'!$C51)</f>
        <v>0</v>
      </c>
      <c r="F51" s="147">
        <f>SUMIFS('SL T4.26'!F$11:F$2017,'SL T4.26'!$J$11:$J$2017,'BKTT T4.26'!$B51,'SL T4.26'!$K$11:$K$2017,'BKTT T4.26'!$C51)</f>
        <v>0</v>
      </c>
      <c r="G51" s="147">
        <f>SUMIFS('SL T4.26'!G$11:G$2017,'SL T4.26'!$J$11:$J$2017,'BKTT T4.26'!$B51,'SL T4.26'!$K$11:$K$2017,'BKTT T4.26'!$C51)+SUMIFS('SL T4.26'!H$11:H$2017,'SL T4.26'!$J$11:$J$2017,'BKTT T4.26'!$B51,'SL T4.26'!$K$11:$K$2017,'BKTT T4.26'!$C51)</f>
        <v>0</v>
      </c>
      <c r="H51" s="153"/>
      <c r="I51" s="148">
        <f t="shared" si="0"/>
        <v>0</v>
      </c>
      <c r="J51" s="149" t="e">
        <f t="shared" si="1"/>
        <v>#DIV/0!</v>
      </c>
      <c r="K51" s="150">
        <f>SUMIFS('SL T4.26'!N$11:N$2017,'SL T4.26'!$J$11:$J$2017,'BKTT T4.26'!$B51,'SL T4.26'!$K$11:$K$2017,'BKTT T4.26'!$C51)</f>
        <v>0</v>
      </c>
      <c r="L51" s="154" t="s">
        <v>35</v>
      </c>
      <c r="N51" s="120"/>
      <c r="O51" s="152" t="e">
        <f t="shared" si="2"/>
        <v>#DIV/0!</v>
      </c>
      <c r="P51" s="152"/>
      <c r="Q51" s="117" t="s">
        <v>16</v>
      </c>
    </row>
    <row r="52" spans="1:17" hidden="1">
      <c r="A52" s="143">
        <v>41</v>
      </c>
      <c r="B52" s="145" t="s">
        <v>60</v>
      </c>
      <c r="C52" s="145" t="s">
        <v>59</v>
      </c>
      <c r="D52" s="146" t="s">
        <v>23</v>
      </c>
      <c r="E52" s="147">
        <f>SUMIFS('SL T4.26'!E$11:E$2017,'SL T4.26'!$J$11:$J$2017,'BKTT T4.26'!$B52,'SL T4.26'!$K$11:$K$2017,'BKTT T4.26'!$C52)</f>
        <v>0</v>
      </c>
      <c r="F52" s="147">
        <f>SUMIFS('SL T4.26'!F$11:F$2017,'SL T4.26'!$J$11:$J$2017,'BKTT T4.26'!$B52,'SL T4.26'!$K$11:$K$2017,'BKTT T4.26'!$C52)</f>
        <v>0</v>
      </c>
      <c r="G52" s="147">
        <f>SUMIFS('SL T4.26'!G$11:G$2017,'SL T4.26'!$J$11:$J$2017,'BKTT T4.26'!$B52,'SL T4.26'!$K$11:$K$2017,'BKTT T4.26'!$C52)+SUMIFS('SL T4.26'!H$11:H$2017,'SL T4.26'!$J$11:$J$2017,'BKTT T4.26'!$B52,'SL T4.26'!$K$11:$K$2017,'BKTT T4.26'!$C52)</f>
        <v>0</v>
      </c>
      <c r="H52" s="153"/>
      <c r="I52" s="148">
        <f t="shared" si="0"/>
        <v>0</v>
      </c>
      <c r="J52" s="149" t="e">
        <f t="shared" si="1"/>
        <v>#DIV/0!</v>
      </c>
      <c r="K52" s="150">
        <f>SUMIFS('SL T4.26'!N$11:N$2017,'SL T4.26'!$J$11:$J$2017,'BKTT T4.26'!$B52,'SL T4.26'!$K$11:$K$2017,'BKTT T4.26'!$C52)</f>
        <v>0</v>
      </c>
      <c r="L52" s="154"/>
      <c r="N52" s="120"/>
      <c r="O52" s="152" t="e">
        <f t="shared" si="2"/>
        <v>#DIV/0!</v>
      </c>
      <c r="P52" s="152"/>
      <c r="Q52" s="117" t="s">
        <v>24</v>
      </c>
    </row>
    <row r="53" spans="1:17" hidden="1">
      <c r="A53" s="143">
        <v>42</v>
      </c>
      <c r="B53" s="145" t="s">
        <v>39</v>
      </c>
      <c r="C53" s="145" t="s">
        <v>21</v>
      </c>
      <c r="D53" s="146" t="s">
        <v>23</v>
      </c>
      <c r="E53" s="147">
        <f>SUMIFS('SL T4.26'!E$11:E$2017,'SL T4.26'!$J$11:$J$2017,'BKTT T4.26'!$B53,'SL T4.26'!$K$11:$K$2017,'BKTT T4.26'!$C53)</f>
        <v>0</v>
      </c>
      <c r="F53" s="147">
        <f>SUMIFS('SL T4.26'!F$11:F$2017,'SL T4.26'!$J$11:$J$2017,'BKTT T4.26'!$B53,'SL T4.26'!$K$11:$K$2017,'BKTT T4.26'!$C53)</f>
        <v>0</v>
      </c>
      <c r="G53" s="147">
        <f>SUMIFS('SL T4.26'!G$11:G$2017,'SL T4.26'!$J$11:$J$2017,'BKTT T4.26'!$B53,'SL T4.26'!$K$11:$K$2017,'BKTT T4.26'!$C53)+SUMIFS('SL T4.26'!H$11:H$2017,'SL T4.26'!$J$11:$J$2017,'BKTT T4.26'!$B53,'SL T4.26'!$K$11:$K$2017,'BKTT T4.26'!$C53)</f>
        <v>0</v>
      </c>
      <c r="H53" s="153"/>
      <c r="I53" s="148">
        <f t="shared" si="0"/>
        <v>0</v>
      </c>
      <c r="J53" s="149" t="e">
        <f t="shared" si="1"/>
        <v>#DIV/0!</v>
      </c>
      <c r="K53" s="150">
        <f>SUMIFS('SL T4.26'!N$11:N$2017,'SL T4.26'!$J$11:$J$2017,'BKTT T4.26'!$B53,'SL T4.26'!$K$11:$K$2017,'BKTT T4.26'!$C53)</f>
        <v>0</v>
      </c>
      <c r="L53" s="158" t="s">
        <v>35</v>
      </c>
      <c r="N53" s="120"/>
      <c r="O53" s="152" t="e">
        <f t="shared" si="2"/>
        <v>#DIV/0!</v>
      </c>
      <c r="P53" s="152"/>
      <c r="Q53" s="117" t="s">
        <v>16</v>
      </c>
    </row>
    <row r="54" spans="1:17" hidden="1">
      <c r="A54" s="143">
        <v>43</v>
      </c>
      <c r="B54" s="145" t="s">
        <v>62</v>
      </c>
      <c r="C54" s="145" t="s">
        <v>21</v>
      </c>
      <c r="D54" s="146" t="s">
        <v>23</v>
      </c>
      <c r="E54" s="147">
        <f>SUMIFS('SL T4.26'!E$11:E$2017,'SL T4.26'!$J$11:$J$2017,'BKTT T4.26'!$B54,'SL T4.26'!$K$11:$K$2017,'BKTT T4.26'!$C54)</f>
        <v>0</v>
      </c>
      <c r="F54" s="147">
        <f>SUMIFS('SL T4.26'!F$11:F$2017,'SL T4.26'!$J$11:$J$2017,'BKTT T4.26'!$B54,'SL T4.26'!$K$11:$K$2017,'BKTT T4.26'!$C54)</f>
        <v>0</v>
      </c>
      <c r="G54" s="147">
        <f>SUMIFS('SL T4.26'!G$11:G$2017,'SL T4.26'!$J$11:$J$2017,'BKTT T4.26'!$B54,'SL T4.26'!$K$11:$K$2017,'BKTT T4.26'!$C54)+SUMIFS('SL T4.26'!H$11:H$2017,'SL T4.26'!$J$11:$J$2017,'BKTT T4.26'!$B54,'SL T4.26'!$K$11:$K$2017,'BKTT T4.26'!$C54)</f>
        <v>0</v>
      </c>
      <c r="H54" s="153"/>
      <c r="I54" s="148">
        <f t="shared" si="0"/>
        <v>0</v>
      </c>
      <c r="J54" s="149" t="e">
        <f t="shared" si="1"/>
        <v>#DIV/0!</v>
      </c>
      <c r="K54" s="150">
        <f>SUMIFS('SL T4.26'!N$11:N$2017,'SL T4.26'!$J$11:$J$2017,'BKTT T4.26'!$B54,'SL T4.26'!$K$11:$K$2017,'BKTT T4.26'!$C54)</f>
        <v>0</v>
      </c>
      <c r="L54" s="158" t="s">
        <v>35</v>
      </c>
      <c r="N54" s="120"/>
      <c r="O54" s="152" t="e">
        <f t="shared" si="2"/>
        <v>#DIV/0!</v>
      </c>
      <c r="P54" s="152"/>
      <c r="Q54" s="117" t="s">
        <v>16</v>
      </c>
    </row>
    <row r="55" spans="1:17">
      <c r="A55" s="143"/>
      <c r="B55" s="145"/>
      <c r="C55" s="145"/>
      <c r="D55" s="146"/>
      <c r="E55" s="147"/>
      <c r="F55" s="147"/>
      <c r="G55" s="147"/>
      <c r="H55" s="153"/>
      <c r="I55" s="148"/>
      <c r="J55" s="159"/>
      <c r="K55" s="150"/>
      <c r="L55" s="158"/>
      <c r="N55" s="120"/>
      <c r="O55" s="152"/>
      <c r="P55" s="152"/>
    </row>
    <row r="56" spans="1:17">
      <c r="A56" s="306" t="s">
        <v>63</v>
      </c>
      <c r="B56" s="307"/>
      <c r="C56" s="307"/>
      <c r="D56" s="308"/>
      <c r="E56" s="160">
        <f>SUM(E12:E55)</f>
        <v>594</v>
      </c>
      <c r="F56" s="160">
        <f>SUM(F12:F55)</f>
        <v>286</v>
      </c>
      <c r="G56" s="160">
        <f>SUM(G12:G55)</f>
        <v>289</v>
      </c>
      <c r="H56" s="161">
        <f>SUM(H12:H55)</f>
        <v>0</v>
      </c>
      <c r="I56" s="148">
        <f>E56+F56+G56+H56</f>
        <v>1169</v>
      </c>
      <c r="J56" s="159"/>
      <c r="K56" s="162">
        <f>SUM(K12:K55)</f>
        <v>764422896</v>
      </c>
      <c r="L56" s="141"/>
      <c r="N56" s="117" t="b">
        <f>K56='SL T4.26'!N11</f>
        <v>1</v>
      </c>
    </row>
    <row r="57" spans="1:17">
      <c r="A57" s="309" t="s">
        <v>64</v>
      </c>
      <c r="B57" s="309"/>
      <c r="C57" s="309"/>
      <c r="D57" s="309"/>
      <c r="E57" s="163"/>
      <c r="F57" s="163"/>
      <c r="G57" s="163"/>
      <c r="H57" s="164"/>
      <c r="I57" s="165"/>
      <c r="J57" s="166"/>
      <c r="K57" s="167">
        <f>ROUND(K56*0.08,0)</f>
        <v>61153832</v>
      </c>
      <c r="L57" s="168"/>
      <c r="N57" s="169">
        <f>K56-'SL T4.26'!N11</f>
        <v>0</v>
      </c>
      <c r="P57" s="169"/>
    </row>
    <row r="58" spans="1:17">
      <c r="A58" s="301" t="s">
        <v>65</v>
      </c>
      <c r="B58" s="301"/>
      <c r="C58" s="301"/>
      <c r="D58" s="301"/>
      <c r="E58" s="170"/>
      <c r="F58" s="170"/>
      <c r="G58" s="170"/>
      <c r="H58" s="171"/>
      <c r="I58" s="172"/>
      <c r="J58" s="173"/>
      <c r="K58" s="174">
        <f>+K56+K57</f>
        <v>825576728</v>
      </c>
      <c r="L58" s="168"/>
    </row>
    <row r="59" spans="1:17">
      <c r="B59" s="175" t="s">
        <v>66</v>
      </c>
      <c r="C59" s="176" t="str">
        <f>Sheet2!B7</f>
        <v>Tám trăm hai mươi lăm triệu năm trăm bảy mươi sáu nghìn bảy trăm hai mươi tám đồng./.</v>
      </c>
      <c r="D59" s="177"/>
      <c r="E59" s="178"/>
      <c r="F59" s="178"/>
      <c r="G59" s="178"/>
      <c r="H59" s="177"/>
      <c r="I59" s="179"/>
      <c r="J59" s="180"/>
      <c r="K59" s="180"/>
      <c r="L59" s="177"/>
    </row>
    <row r="60" spans="1:17">
      <c r="C60" s="176"/>
      <c r="D60" s="177"/>
      <c r="E60" s="178"/>
      <c r="F60" s="178"/>
      <c r="G60" s="178"/>
      <c r="H60" s="177"/>
      <c r="J60" s="181" t="s">
        <v>1445</v>
      </c>
      <c r="K60" s="180"/>
      <c r="L60" s="177"/>
    </row>
    <row r="61" spans="1:17">
      <c r="C61" s="130" t="s">
        <v>67</v>
      </c>
      <c r="D61" s="122"/>
      <c r="E61" s="182"/>
      <c r="F61" s="182"/>
      <c r="G61" s="183"/>
      <c r="H61" s="184"/>
      <c r="I61" s="185"/>
      <c r="J61" s="186" t="s">
        <v>68</v>
      </c>
      <c r="K61" s="187"/>
      <c r="L61" s="186"/>
    </row>
    <row r="62" spans="1:17">
      <c r="K62" s="188"/>
    </row>
    <row r="63" spans="1:17">
      <c r="K63" s="188"/>
    </row>
    <row r="64" spans="1:17">
      <c r="K64" s="188"/>
    </row>
    <row r="66" spans="7:9">
      <c r="G66" s="300"/>
      <c r="H66" s="300"/>
      <c r="I66" s="300"/>
    </row>
    <row r="67" spans="7:9">
      <c r="G67" s="300"/>
      <c r="H67" s="300"/>
      <c r="I67" s="300"/>
    </row>
    <row r="68" spans="7:9">
      <c r="G68" s="300"/>
      <c r="H68" s="300"/>
      <c r="I68" s="300"/>
    </row>
    <row r="69" spans="7:9">
      <c r="G69" s="300"/>
      <c r="H69" s="300"/>
      <c r="I69" s="300"/>
    </row>
    <row r="70" spans="7:9">
      <c r="G70" s="300"/>
      <c r="H70" s="300"/>
      <c r="I70" s="300"/>
    </row>
    <row r="71" spans="7:9">
      <c r="G71" s="300"/>
      <c r="H71" s="300"/>
      <c r="I71" s="300"/>
    </row>
    <row r="72" spans="7:9">
      <c r="H72" s="189"/>
    </row>
  </sheetData>
  <autoFilter ref="A11:R54" xr:uid="{00000000-0009-0000-0000-000000000000}">
    <filterColumn colId="10">
      <filters>
        <filter val="1,152,662"/>
        <filter val="1,441,014"/>
        <filter val="1,467,195"/>
        <filter val="12,050,200"/>
        <filter val="14,460,240"/>
        <filter val="162,770,950"/>
        <filter val="18,136,767"/>
        <filter val="217,417,172"/>
        <filter val="29,392,881"/>
        <filter val="39,057,588"/>
        <filter val="5,344,056"/>
        <filter val="66,854,396"/>
        <filter val="8,252,265"/>
        <filter val="87,387,910"/>
        <filter val="99,237,600"/>
      </filters>
    </filterColumn>
  </autoFilter>
  <mergeCells count="20">
    <mergeCell ref="A4:L4"/>
    <mergeCell ref="E9:H9"/>
    <mergeCell ref="E10:F10"/>
    <mergeCell ref="A56:D56"/>
    <mergeCell ref="A57:D57"/>
    <mergeCell ref="J9:J11"/>
    <mergeCell ref="K9:K11"/>
    <mergeCell ref="L9:L11"/>
    <mergeCell ref="G70:I70"/>
    <mergeCell ref="G71:I71"/>
    <mergeCell ref="A9:A11"/>
    <mergeCell ref="D9:D11"/>
    <mergeCell ref="I9:I11"/>
    <mergeCell ref="B9:C10"/>
    <mergeCell ref="G10:H11"/>
    <mergeCell ref="A58:D58"/>
    <mergeCell ref="G66:I66"/>
    <mergeCell ref="G67:I67"/>
    <mergeCell ref="G68:I68"/>
    <mergeCell ref="G69:I69"/>
  </mergeCells>
  <conditionalFormatting sqref="L13:L27">
    <cfRule type="containsText" dxfId="11" priority="4" stopIfTrue="1" operator="containsText" text="xuất">
      <formula>NOT(ISERROR(SEARCH("xuất",L13)))</formula>
    </cfRule>
  </conditionalFormatting>
  <pageMargins left="0.5" right="0.5" top="0.196850393700787" bottom="0.27559055118110198" header="0.196850393700787" footer="0.236220472440944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73143711661124"/>
  </sheetPr>
  <dimension ref="A1:V1221"/>
  <sheetViews>
    <sheetView topLeftCell="G10" zoomScale="85" zoomScaleNormal="85" workbookViewId="0">
      <selection activeCell="N1218" activeCellId="1" sqref="L12:L1218 N12:N1218"/>
    </sheetView>
  </sheetViews>
  <sheetFormatPr defaultColWidth="9" defaultRowHeight="15.75"/>
  <cols>
    <col min="1" max="1" width="5.375" style="264" customWidth="1"/>
    <col min="2" max="2" width="13.125" style="264" customWidth="1"/>
    <col min="3" max="3" width="8.125" style="264" customWidth="1"/>
    <col min="4" max="4" width="17" style="191" customWidth="1"/>
    <col min="5" max="5" width="7.25" style="265" customWidth="1"/>
    <col min="6" max="6" width="8" style="264" customWidth="1"/>
    <col min="7" max="7" width="7.75" style="266" customWidth="1"/>
    <col min="8" max="8" width="7.875" style="264" customWidth="1"/>
    <col min="9" max="9" width="12.625" style="267" customWidth="1"/>
    <col min="10" max="10" width="10" style="264" customWidth="1"/>
    <col min="11" max="11" width="10.625" style="264" customWidth="1"/>
    <col min="12" max="12" width="9.375" style="264" customWidth="1"/>
    <col min="13" max="13" width="12.125" style="194" customWidth="1"/>
    <col min="14" max="14" width="13.75" style="194" customWidth="1"/>
    <col min="15" max="15" width="13.625" style="267" customWidth="1"/>
    <col min="16" max="16" width="34.875" style="264" customWidth="1"/>
    <col min="17" max="17" width="14.75" style="264" customWidth="1"/>
    <col min="18" max="18" width="86.375" style="264" customWidth="1"/>
    <col min="19" max="20" width="8.375" style="264" customWidth="1"/>
    <col min="21" max="21" width="3.375" style="264" customWidth="1"/>
    <col min="22" max="22" width="13" style="264" customWidth="1"/>
    <col min="23" max="16384" width="9" style="264"/>
  </cols>
  <sheetData>
    <row r="1" spans="1:22" s="190" customFormat="1" ht="15">
      <c r="A1" s="195" t="s">
        <v>0</v>
      </c>
      <c r="B1" s="196"/>
      <c r="C1" s="197"/>
      <c r="D1" s="198"/>
      <c r="E1" s="198"/>
      <c r="F1" s="199"/>
      <c r="G1" s="200"/>
      <c r="H1" s="199"/>
      <c r="I1" s="199"/>
      <c r="J1" s="198"/>
      <c r="K1" s="201"/>
      <c r="L1" s="202"/>
      <c r="M1" s="203"/>
      <c r="N1" s="204"/>
      <c r="O1" s="205"/>
      <c r="P1" s="206"/>
    </row>
    <row r="2" spans="1:22" s="190" customFormat="1" ht="15">
      <c r="A2" s="207" t="s">
        <v>69</v>
      </c>
      <c r="B2" s="196"/>
      <c r="C2" s="197"/>
      <c r="D2" s="198"/>
      <c r="E2" s="198"/>
      <c r="F2" s="199"/>
      <c r="G2" s="200"/>
      <c r="H2" s="199"/>
      <c r="I2" s="199"/>
      <c r="J2" s="198"/>
      <c r="K2" s="201"/>
      <c r="L2" s="202"/>
      <c r="M2" s="203"/>
      <c r="N2" s="203"/>
      <c r="O2" s="208"/>
    </row>
    <row r="3" spans="1:22" s="190" customFormat="1" ht="15">
      <c r="A3" s="207" t="s">
        <v>70</v>
      </c>
      <c r="B3" s="209"/>
      <c r="C3" s="207"/>
      <c r="D3" s="210"/>
      <c r="E3" s="210"/>
      <c r="F3" s="210"/>
      <c r="G3" s="211"/>
      <c r="H3" s="210"/>
      <c r="I3" s="199"/>
      <c r="J3" s="198"/>
      <c r="K3" s="201"/>
      <c r="L3" s="202"/>
      <c r="M3" s="212"/>
      <c r="N3" s="203"/>
      <c r="O3" s="208"/>
    </row>
    <row r="4" spans="1:22" s="190" customFormat="1" ht="15">
      <c r="A4" s="207"/>
      <c r="B4" s="209"/>
      <c r="C4" s="207"/>
      <c r="D4" s="210"/>
      <c r="E4" s="210"/>
      <c r="F4" s="210"/>
      <c r="G4" s="211"/>
      <c r="H4" s="210"/>
      <c r="I4" s="199"/>
      <c r="J4" s="198"/>
      <c r="K4" s="201"/>
      <c r="L4" s="202"/>
      <c r="M4" s="212"/>
      <c r="N4" s="203"/>
      <c r="O4" s="213"/>
      <c r="P4" s="206"/>
    </row>
    <row r="5" spans="1:22" s="190" customFormat="1" ht="22.5" customHeight="1">
      <c r="A5" s="311" t="s">
        <v>258</v>
      </c>
      <c r="B5" s="311"/>
      <c r="C5" s="311"/>
      <c r="D5" s="312"/>
      <c r="E5" s="311"/>
      <c r="F5" s="311"/>
      <c r="G5" s="311"/>
      <c r="H5" s="311"/>
      <c r="I5" s="311"/>
      <c r="J5" s="311"/>
      <c r="K5" s="311"/>
      <c r="L5" s="311"/>
      <c r="M5" s="313"/>
      <c r="N5" s="313"/>
      <c r="O5" s="314"/>
      <c r="P5" s="311"/>
    </row>
    <row r="6" spans="1:22" s="190" customFormat="1" ht="14.25">
      <c r="A6" s="312" t="s">
        <v>1444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5"/>
      <c r="N6" s="315"/>
      <c r="O6" s="312"/>
      <c r="P6" s="312"/>
    </row>
    <row r="7" spans="1:22" s="190" customFormat="1" ht="15">
      <c r="A7" s="214" t="s">
        <v>71</v>
      </c>
      <c r="B7" s="215"/>
      <c r="C7" s="316" t="s">
        <v>72</v>
      </c>
      <c r="D7" s="316"/>
      <c r="E7" s="316"/>
      <c r="F7" s="316"/>
      <c r="G7" s="316"/>
      <c r="H7" s="316"/>
      <c r="I7" s="210"/>
      <c r="J7" s="210"/>
      <c r="K7" s="210"/>
      <c r="L7" s="216"/>
      <c r="M7" s="203"/>
      <c r="N7" s="203"/>
      <c r="O7" s="217"/>
      <c r="P7" s="218"/>
    </row>
    <row r="8" spans="1:22" s="190" customFormat="1" ht="15">
      <c r="A8" s="219" t="s">
        <v>73</v>
      </c>
      <c r="B8" s="220"/>
      <c r="C8" s="221"/>
      <c r="D8" s="219"/>
      <c r="E8" s="219"/>
      <c r="F8" s="221"/>
      <c r="G8" s="222"/>
      <c r="H8" s="221"/>
      <c r="I8" s="223"/>
      <c r="J8" s="223"/>
      <c r="K8" s="223"/>
      <c r="L8" s="216"/>
      <c r="M8" s="212"/>
      <c r="N8" s="212"/>
      <c r="O8" s="224"/>
      <c r="P8" s="218"/>
      <c r="R8" s="191" t="s">
        <v>74</v>
      </c>
      <c r="S8" s="191"/>
      <c r="T8" s="191"/>
      <c r="U8" s="191"/>
    </row>
    <row r="9" spans="1:22" s="191" customFormat="1" ht="15">
      <c r="G9" s="225"/>
      <c r="I9" s="226"/>
      <c r="M9" s="227"/>
      <c r="N9" s="227"/>
      <c r="O9" s="226"/>
      <c r="P9" s="218"/>
      <c r="R9" s="191" t="s">
        <v>75</v>
      </c>
      <c r="S9" s="190"/>
      <c r="T9" s="190"/>
      <c r="U9" s="190"/>
    </row>
    <row r="10" spans="1:22" s="192" customFormat="1" ht="28.5">
      <c r="A10" s="228" t="s">
        <v>7</v>
      </c>
      <c r="B10" s="229" t="s">
        <v>76</v>
      </c>
      <c r="C10" s="228" t="s">
        <v>77</v>
      </c>
      <c r="D10" s="228" t="s">
        <v>78</v>
      </c>
      <c r="E10" s="228" t="s">
        <v>79</v>
      </c>
      <c r="F10" s="228" t="s">
        <v>80</v>
      </c>
      <c r="G10" s="230" t="s">
        <v>81</v>
      </c>
      <c r="H10" s="228" t="s">
        <v>82</v>
      </c>
      <c r="I10" s="228" t="s">
        <v>83</v>
      </c>
      <c r="J10" s="228" t="s">
        <v>84</v>
      </c>
      <c r="K10" s="228" t="s">
        <v>85</v>
      </c>
      <c r="L10" s="228" t="s">
        <v>86</v>
      </c>
      <c r="M10" s="231" t="s">
        <v>87</v>
      </c>
      <c r="N10" s="231" t="s">
        <v>88</v>
      </c>
      <c r="O10" s="228" t="s">
        <v>89</v>
      </c>
      <c r="P10" s="228" t="s">
        <v>90</v>
      </c>
      <c r="R10" s="191" t="s">
        <v>91</v>
      </c>
      <c r="S10" s="191" t="s">
        <v>92</v>
      </c>
      <c r="T10" s="191"/>
      <c r="U10" s="191"/>
    </row>
    <row r="11" spans="1:22" s="193" customFormat="1" ht="15">
      <c r="A11" s="232"/>
      <c r="B11" s="232"/>
      <c r="C11" s="232"/>
      <c r="D11" s="232"/>
      <c r="E11" s="233">
        <f>SUBTOTAL(9,E12:E2022)</f>
        <v>594</v>
      </c>
      <c r="F11" s="233">
        <f>SUBTOTAL(9,F12:F2022)</f>
        <v>286</v>
      </c>
      <c r="G11" s="234">
        <f>SUBTOTAL(9,G12:G2022)</f>
        <v>38</v>
      </c>
      <c r="H11" s="233">
        <f>SUBTOTAL(9,H12:H2022)</f>
        <v>251</v>
      </c>
      <c r="I11" s="232"/>
      <c r="J11" s="232"/>
      <c r="K11" s="232"/>
      <c r="L11" s="235">
        <f>SUBTOTAL(9,L12:L2022)</f>
        <v>1169</v>
      </c>
      <c r="M11" s="162"/>
      <c r="N11" s="162">
        <f>SUBTOTAL(9,N12:N1218)</f>
        <v>764422896</v>
      </c>
      <c r="O11" s="232"/>
      <c r="P11" s="232"/>
      <c r="R11" s="191" t="s">
        <v>93</v>
      </c>
      <c r="S11" s="53" t="s">
        <v>94</v>
      </c>
      <c r="T11" s="53" t="s">
        <v>95</v>
      </c>
      <c r="U11" s="53" t="s">
        <v>96</v>
      </c>
      <c r="V11" s="193" t="s">
        <v>97</v>
      </c>
    </row>
    <row r="12" spans="1:22" s="191" customFormat="1" ht="15">
      <c r="A12" s="236">
        <v>1</v>
      </c>
      <c r="B12" s="244">
        <v>46107</v>
      </c>
      <c r="C12" s="245" t="s">
        <v>261</v>
      </c>
      <c r="D12" s="246" t="s">
        <v>262</v>
      </c>
      <c r="E12" s="247">
        <v>1</v>
      </c>
      <c r="F12" s="247"/>
      <c r="G12" s="248"/>
      <c r="H12" s="247"/>
      <c r="I12" s="249" t="s">
        <v>263</v>
      </c>
      <c r="J12" s="249" t="s">
        <v>21</v>
      </c>
      <c r="K12" s="249" t="s">
        <v>31</v>
      </c>
      <c r="L12" s="250">
        <f t="shared" ref="L12:L75" si="0">E12+F12+G12+H12</f>
        <v>1</v>
      </c>
      <c r="M12" s="237">
        <f t="array" ref="M12">INDEX('BKTT T4.26'!$N$12:$N$55,MATCH(V12,'BKTT T4.26'!$A$12:$A$55,0),0)</f>
        <v>454158</v>
      </c>
      <c r="N12" s="162">
        <f>L12*M12</f>
        <v>454158</v>
      </c>
      <c r="O12" s="238" t="s">
        <v>264</v>
      </c>
      <c r="P12" s="251" t="s">
        <v>1448</v>
      </c>
      <c r="R12" s="191" t="str">
        <f t="shared" ref="R12:R75" si="1">$R$10&amp;S12&amp;$R$9&amp;J12&amp;$S$10&amp;K12&amp;$R$8&amp;I12</f>
        <v>Cước vận chuyển Container hàng 20' tuyến đường PAN HA - NDV. BKS: 15C17442</v>
      </c>
      <c r="S12" s="191" t="str">
        <f t="shared" ref="S12:S75" si="2">IF(E12=1," hàng 20' ",IF(F12=1," hàng 40' "," vỏ "))</f>
        <v xml:space="preserve"> hàng 20' </v>
      </c>
      <c r="V12" s="191">
        <v>7</v>
      </c>
    </row>
    <row r="13" spans="1:22" s="191" customFormat="1" ht="15">
      <c r="A13" s="236">
        <v>2</v>
      </c>
      <c r="B13" s="244">
        <v>46107</v>
      </c>
      <c r="C13" s="245" t="s">
        <v>261</v>
      </c>
      <c r="D13" s="246" t="s">
        <v>265</v>
      </c>
      <c r="E13" s="247"/>
      <c r="F13" s="247">
        <v>1</v>
      </c>
      <c r="G13" s="248"/>
      <c r="H13" s="247"/>
      <c r="I13" s="249" t="s">
        <v>263</v>
      </c>
      <c r="J13" s="249" t="s">
        <v>21</v>
      </c>
      <c r="K13" s="249" t="s">
        <v>32</v>
      </c>
      <c r="L13" s="250">
        <f t="shared" si="0"/>
        <v>1</v>
      </c>
      <c r="M13" s="237">
        <f t="array" ref="M13">INDEX('BKTT T4.26'!$N$12:$N$55,MATCH(V13,'BKTT T4.26'!$A$12:$A$55,0),0)</f>
        <v>489065</v>
      </c>
      <c r="N13" s="162">
        <f>L13*M13</f>
        <v>489065</v>
      </c>
      <c r="O13" s="238" t="s">
        <v>264</v>
      </c>
      <c r="P13" s="251" t="s">
        <v>1448</v>
      </c>
      <c r="R13" s="191" t="str">
        <f t="shared" si="1"/>
        <v>Cước vận chuyển Container hàng 40' tuyến đường PAN HA - NDV,. BKS: 15C17442</v>
      </c>
      <c r="S13" s="191" t="str">
        <f t="shared" si="2"/>
        <v xml:space="preserve"> hàng 40' </v>
      </c>
      <c r="V13" s="191">
        <v>8</v>
      </c>
    </row>
    <row r="14" spans="1:22" s="191" customFormat="1" ht="15">
      <c r="A14" s="236">
        <v>3</v>
      </c>
      <c r="B14" s="244">
        <v>46107</v>
      </c>
      <c r="C14" s="245" t="s">
        <v>261</v>
      </c>
      <c r="D14" s="246" t="s">
        <v>266</v>
      </c>
      <c r="E14" s="247"/>
      <c r="F14" s="247"/>
      <c r="G14" s="248"/>
      <c r="H14" s="247">
        <v>1</v>
      </c>
      <c r="I14" s="249" t="s">
        <v>263</v>
      </c>
      <c r="J14" s="249" t="s">
        <v>56</v>
      </c>
      <c r="K14" s="249" t="s">
        <v>21</v>
      </c>
      <c r="L14" s="250">
        <f t="shared" si="0"/>
        <v>1</v>
      </c>
      <c r="M14" s="237">
        <f t="array" ref="M14">INDEX('BKTT T4.26'!$N$12:$N$55,MATCH(V14,'BKTT T4.26'!$A$12:$A$55,0),0)</f>
        <v>1002400</v>
      </c>
      <c r="N14" s="162">
        <f t="shared" ref="N14:N77" si="3">L14*M14</f>
        <v>1002400</v>
      </c>
      <c r="O14" s="238" t="s">
        <v>267</v>
      </c>
      <c r="P14" s="251" t="s">
        <v>1448</v>
      </c>
      <c r="R14" s="191" t="str">
        <f t="shared" si="1"/>
        <v>Cước vận chuyển Container vỏ tuyến đường HATECO - PAN HA. BKS: 15C17442</v>
      </c>
      <c r="S14" s="191" t="str">
        <f t="shared" si="2"/>
        <v xml:space="preserve"> vỏ </v>
      </c>
      <c r="V14" s="191">
        <v>35</v>
      </c>
    </row>
    <row r="15" spans="1:22" s="191" customFormat="1" ht="15">
      <c r="A15" s="236">
        <v>4</v>
      </c>
      <c r="B15" s="244">
        <v>46107</v>
      </c>
      <c r="C15" s="245" t="s">
        <v>261</v>
      </c>
      <c r="D15" s="246" t="s">
        <v>268</v>
      </c>
      <c r="E15" s="247"/>
      <c r="F15" s="247"/>
      <c r="G15" s="248"/>
      <c r="H15" s="247">
        <v>1</v>
      </c>
      <c r="I15" s="249" t="s">
        <v>269</v>
      </c>
      <c r="J15" s="249" t="s">
        <v>56</v>
      </c>
      <c r="K15" s="249" t="s">
        <v>21</v>
      </c>
      <c r="L15" s="250">
        <f t="shared" si="0"/>
        <v>1</v>
      </c>
      <c r="M15" s="237">
        <f t="array" ref="M15">INDEX('BKTT T4.26'!$N$12:$N$55,MATCH(V15,'BKTT T4.26'!$A$12:$A$55,0),0)</f>
        <v>1002400</v>
      </c>
      <c r="N15" s="162">
        <f t="shared" si="3"/>
        <v>1002400</v>
      </c>
      <c r="O15" s="238" t="s">
        <v>267</v>
      </c>
      <c r="P15" s="251" t="s">
        <v>1448</v>
      </c>
      <c r="R15" s="191" t="str">
        <f t="shared" si="1"/>
        <v>Cước vận chuyển Container vỏ tuyến đường HATECO - PAN HA. BKS: 15H07644</v>
      </c>
      <c r="S15" s="191" t="str">
        <f t="shared" si="2"/>
        <v xml:space="preserve"> vỏ </v>
      </c>
      <c r="V15" s="191">
        <v>35</v>
      </c>
    </row>
    <row r="16" spans="1:22" s="191" customFormat="1" ht="15">
      <c r="A16" s="236">
        <v>5</v>
      </c>
      <c r="B16" s="244">
        <v>46107</v>
      </c>
      <c r="C16" s="245" t="s">
        <v>261</v>
      </c>
      <c r="D16" s="246" t="s">
        <v>270</v>
      </c>
      <c r="E16" s="247"/>
      <c r="F16" s="247"/>
      <c r="G16" s="248"/>
      <c r="H16" s="247">
        <v>1</v>
      </c>
      <c r="I16" s="249" t="s">
        <v>269</v>
      </c>
      <c r="J16" s="249" t="s">
        <v>56</v>
      </c>
      <c r="K16" s="249" t="s">
        <v>21</v>
      </c>
      <c r="L16" s="250">
        <f t="shared" si="0"/>
        <v>1</v>
      </c>
      <c r="M16" s="237">
        <f t="array" ref="M16">INDEX('BKTT T4.26'!$N$12:$N$55,MATCH(V16,'BKTT T4.26'!$A$12:$A$55,0),0)</f>
        <v>1002400</v>
      </c>
      <c r="N16" s="162">
        <f t="shared" si="3"/>
        <v>1002400</v>
      </c>
      <c r="O16" s="238" t="s">
        <v>267</v>
      </c>
      <c r="P16" s="251" t="s">
        <v>1448</v>
      </c>
      <c r="R16" s="191" t="str">
        <f t="shared" si="1"/>
        <v>Cước vận chuyển Container vỏ tuyến đường HATECO - PAN HA. BKS: 15H07644</v>
      </c>
      <c r="S16" s="191" t="str">
        <f t="shared" si="2"/>
        <v xml:space="preserve"> vỏ </v>
      </c>
      <c r="V16" s="191">
        <v>35</v>
      </c>
    </row>
    <row r="17" spans="1:22" s="191" customFormat="1" ht="15">
      <c r="A17" s="236">
        <v>6</v>
      </c>
      <c r="B17" s="244">
        <v>46107</v>
      </c>
      <c r="C17" s="245" t="s">
        <v>261</v>
      </c>
      <c r="D17" s="246" t="s">
        <v>271</v>
      </c>
      <c r="E17" s="247"/>
      <c r="F17" s="247"/>
      <c r="G17" s="248"/>
      <c r="H17" s="247">
        <v>1</v>
      </c>
      <c r="I17" s="249" t="s">
        <v>272</v>
      </c>
      <c r="J17" s="249" t="s">
        <v>56</v>
      </c>
      <c r="K17" s="249" t="s">
        <v>21</v>
      </c>
      <c r="L17" s="250">
        <f t="shared" si="0"/>
        <v>1</v>
      </c>
      <c r="M17" s="237">
        <f t="array" ref="M17">INDEX('BKTT T4.26'!$N$12:$N$55,MATCH(V17,'BKTT T4.26'!$A$12:$A$55,0),0)</f>
        <v>1002400</v>
      </c>
      <c r="N17" s="162">
        <f t="shared" si="3"/>
        <v>1002400</v>
      </c>
      <c r="O17" s="238" t="s">
        <v>267</v>
      </c>
      <c r="P17" s="251" t="s">
        <v>1448</v>
      </c>
      <c r="R17" s="191" t="str">
        <f t="shared" si="1"/>
        <v>Cước vận chuyển Container vỏ tuyến đường HATECO - PAN HA. BKS: 15H07788</v>
      </c>
      <c r="S17" s="191" t="str">
        <f t="shared" si="2"/>
        <v xml:space="preserve"> vỏ </v>
      </c>
      <c r="V17" s="191">
        <v>35</v>
      </c>
    </row>
    <row r="18" spans="1:22" s="191" customFormat="1" ht="15">
      <c r="A18" s="236">
        <v>7</v>
      </c>
      <c r="B18" s="244">
        <v>46108</v>
      </c>
      <c r="C18" s="245" t="s">
        <v>261</v>
      </c>
      <c r="D18" s="246" t="s">
        <v>273</v>
      </c>
      <c r="E18" s="247">
        <v>1</v>
      </c>
      <c r="F18" s="247"/>
      <c r="G18" s="248"/>
      <c r="H18" s="247"/>
      <c r="I18" s="249" t="s">
        <v>274</v>
      </c>
      <c r="J18" s="249" t="s">
        <v>21</v>
      </c>
      <c r="K18" s="249" t="s">
        <v>22</v>
      </c>
      <c r="L18" s="250">
        <f t="shared" si="0"/>
        <v>1</v>
      </c>
      <c r="M18" s="237">
        <f t="array" ref="M18">INDEX('BKTT T4.26'!$N$12:$N$55,MATCH(V18,'BKTT T4.26'!$A$12:$A$55,0),0)</f>
        <v>654871</v>
      </c>
      <c r="N18" s="162">
        <f t="shared" si="3"/>
        <v>654871</v>
      </c>
      <c r="O18" s="238" t="s">
        <v>264</v>
      </c>
      <c r="P18" s="251" t="s">
        <v>1448</v>
      </c>
      <c r="R18" s="191" t="str">
        <f t="shared" si="1"/>
        <v>Cước vận chuyển Container hàng 20' tuyến đường PAN HA - HẢI AN. BKS: 15H12925</v>
      </c>
      <c r="S18" s="191" t="str">
        <f t="shared" si="2"/>
        <v xml:space="preserve"> hàng 20' </v>
      </c>
      <c r="V18" s="191">
        <v>1</v>
      </c>
    </row>
    <row r="19" spans="1:22" s="191" customFormat="1" ht="15">
      <c r="A19" s="236">
        <v>8</v>
      </c>
      <c r="B19" s="244">
        <v>46108</v>
      </c>
      <c r="C19" s="245" t="s">
        <v>261</v>
      </c>
      <c r="D19" s="246" t="s">
        <v>275</v>
      </c>
      <c r="E19" s="247"/>
      <c r="F19" s="247">
        <v>1</v>
      </c>
      <c r="G19" s="248"/>
      <c r="H19" s="247"/>
      <c r="I19" s="249" t="s">
        <v>274</v>
      </c>
      <c r="J19" s="249" t="s">
        <v>21</v>
      </c>
      <c r="K19" s="249" t="s">
        <v>25</v>
      </c>
      <c r="L19" s="250">
        <f t="shared" si="0"/>
        <v>1</v>
      </c>
      <c r="M19" s="237">
        <f t="array" ref="M19">INDEX('BKTT T4.26'!$N$12:$N$55,MATCH(V19,'BKTT T4.26'!$A$12:$A$55,0),0)</f>
        <v>681050</v>
      </c>
      <c r="N19" s="162">
        <f t="shared" si="3"/>
        <v>681050</v>
      </c>
      <c r="O19" s="238" t="s">
        <v>264</v>
      </c>
      <c r="P19" s="251" t="s">
        <v>1448</v>
      </c>
      <c r="R19" s="191" t="str">
        <f t="shared" si="1"/>
        <v>Cước vận chuyển Container hàng 40' tuyến đường PAN HA - HẢI AN,. BKS: 15H12925</v>
      </c>
      <c r="S19" s="191" t="str">
        <f t="shared" si="2"/>
        <v xml:space="preserve"> hàng 40' </v>
      </c>
      <c r="V19" s="191">
        <v>2</v>
      </c>
    </row>
    <row r="20" spans="1:22" s="191" customFormat="1" ht="15">
      <c r="A20" s="236">
        <v>9</v>
      </c>
      <c r="B20" s="244">
        <v>46108</v>
      </c>
      <c r="C20" s="245" t="s">
        <v>261</v>
      </c>
      <c r="D20" s="246" t="s">
        <v>276</v>
      </c>
      <c r="E20" s="247"/>
      <c r="F20" s="247">
        <v>1</v>
      </c>
      <c r="G20" s="248"/>
      <c r="H20" s="247"/>
      <c r="I20" s="249" t="s">
        <v>274</v>
      </c>
      <c r="J20" s="249" t="s">
        <v>21</v>
      </c>
      <c r="K20" s="249" t="s">
        <v>25</v>
      </c>
      <c r="L20" s="250">
        <f t="shared" si="0"/>
        <v>1</v>
      </c>
      <c r="M20" s="237">
        <f t="array" ref="M20">INDEX('BKTT T4.26'!$N$12:$N$55,MATCH(V20,'BKTT T4.26'!$A$12:$A$55,0),0)</f>
        <v>681050</v>
      </c>
      <c r="N20" s="162">
        <f t="shared" si="3"/>
        <v>681050</v>
      </c>
      <c r="O20" s="238" t="s">
        <v>264</v>
      </c>
      <c r="P20" s="251" t="s">
        <v>1448</v>
      </c>
      <c r="R20" s="191" t="str">
        <f t="shared" si="1"/>
        <v>Cước vận chuyển Container hàng 40' tuyến đường PAN HA - HẢI AN,. BKS: 15H12925</v>
      </c>
      <c r="S20" s="191" t="str">
        <f t="shared" si="2"/>
        <v xml:space="preserve"> hàng 40' </v>
      </c>
      <c r="V20" s="191">
        <v>2</v>
      </c>
    </row>
    <row r="21" spans="1:22" s="191" customFormat="1" ht="15">
      <c r="A21" s="236">
        <v>10</v>
      </c>
      <c r="B21" s="244">
        <v>46108</v>
      </c>
      <c r="C21" s="245" t="s">
        <v>261</v>
      </c>
      <c r="D21" s="246" t="s">
        <v>277</v>
      </c>
      <c r="E21" s="247"/>
      <c r="F21" s="247">
        <v>1</v>
      </c>
      <c r="G21" s="248"/>
      <c r="H21" s="247"/>
      <c r="I21" s="249" t="s">
        <v>274</v>
      </c>
      <c r="J21" s="249" t="s">
        <v>21</v>
      </c>
      <c r="K21" s="249" t="s">
        <v>25</v>
      </c>
      <c r="L21" s="250">
        <f t="shared" si="0"/>
        <v>1</v>
      </c>
      <c r="M21" s="237">
        <f t="array" ref="M21">INDEX('BKTT T4.26'!$N$12:$N$55,MATCH(V21,'BKTT T4.26'!$A$12:$A$55,0),0)</f>
        <v>681050</v>
      </c>
      <c r="N21" s="162">
        <f t="shared" si="3"/>
        <v>681050</v>
      </c>
      <c r="O21" s="238" t="s">
        <v>264</v>
      </c>
      <c r="P21" s="251" t="s">
        <v>1448</v>
      </c>
      <c r="R21" s="191" t="str">
        <f t="shared" si="1"/>
        <v>Cước vận chuyển Container hàng 40' tuyến đường PAN HA - HẢI AN,. BKS: 15H12925</v>
      </c>
      <c r="S21" s="191" t="str">
        <f t="shared" si="2"/>
        <v xml:space="preserve"> hàng 40' </v>
      </c>
      <c r="V21" s="191">
        <v>2</v>
      </c>
    </row>
    <row r="22" spans="1:22" s="191" customFormat="1" ht="15">
      <c r="A22" s="236">
        <v>11</v>
      </c>
      <c r="B22" s="244">
        <v>46108</v>
      </c>
      <c r="C22" s="245" t="s">
        <v>261</v>
      </c>
      <c r="D22" s="246" t="s">
        <v>278</v>
      </c>
      <c r="E22" s="247">
        <v>1</v>
      </c>
      <c r="F22" s="247"/>
      <c r="G22" s="248"/>
      <c r="H22" s="247"/>
      <c r="I22" s="249" t="s">
        <v>279</v>
      </c>
      <c r="J22" s="249" t="s">
        <v>21</v>
      </c>
      <c r="K22" s="249" t="s">
        <v>22</v>
      </c>
      <c r="L22" s="250">
        <f t="shared" si="0"/>
        <v>1</v>
      </c>
      <c r="M22" s="237">
        <f t="array" ref="M22">INDEX('BKTT T4.26'!$N$12:$N$55,MATCH(V22,'BKTT T4.26'!$A$12:$A$55,0),0)</f>
        <v>654871</v>
      </c>
      <c r="N22" s="162">
        <f t="shared" si="3"/>
        <v>654871</v>
      </c>
      <c r="O22" s="238" t="s">
        <v>264</v>
      </c>
      <c r="P22" s="251" t="s">
        <v>1448</v>
      </c>
      <c r="R22" s="191" t="str">
        <f t="shared" si="1"/>
        <v>Cước vận chuyển Container hàng 20' tuyến đường PAN HA - HẢI AN. BKS: 15H07524</v>
      </c>
      <c r="S22" s="191" t="str">
        <f t="shared" si="2"/>
        <v xml:space="preserve"> hàng 20' </v>
      </c>
      <c r="V22" s="191">
        <v>1</v>
      </c>
    </row>
    <row r="23" spans="1:22" s="191" customFormat="1" ht="15">
      <c r="A23" s="236">
        <v>12</v>
      </c>
      <c r="B23" s="244">
        <v>46108</v>
      </c>
      <c r="C23" s="245" t="s">
        <v>261</v>
      </c>
      <c r="D23" s="246" t="s">
        <v>280</v>
      </c>
      <c r="E23" s="247">
        <v>1</v>
      </c>
      <c r="F23" s="247"/>
      <c r="G23" s="248"/>
      <c r="H23" s="247"/>
      <c r="I23" s="249" t="s">
        <v>279</v>
      </c>
      <c r="J23" s="249" t="s">
        <v>21</v>
      </c>
      <c r="K23" s="249" t="s">
        <v>22</v>
      </c>
      <c r="L23" s="250">
        <f t="shared" si="0"/>
        <v>1</v>
      </c>
      <c r="M23" s="237">
        <f t="array" ref="M23">INDEX('BKTT T4.26'!$N$12:$N$55,MATCH(V23,'BKTT T4.26'!$A$12:$A$55,0),0)</f>
        <v>654871</v>
      </c>
      <c r="N23" s="162">
        <f t="shared" si="3"/>
        <v>654871</v>
      </c>
      <c r="O23" s="238" t="s">
        <v>264</v>
      </c>
      <c r="P23" s="251" t="s">
        <v>1448</v>
      </c>
      <c r="R23" s="191" t="str">
        <f t="shared" si="1"/>
        <v>Cước vận chuyển Container hàng 20' tuyến đường PAN HA - HẢI AN. BKS: 15H07524</v>
      </c>
      <c r="S23" s="191" t="str">
        <f t="shared" si="2"/>
        <v xml:space="preserve"> hàng 20' </v>
      </c>
      <c r="V23" s="191">
        <v>1</v>
      </c>
    </row>
    <row r="24" spans="1:22" s="191" customFormat="1" ht="15">
      <c r="A24" s="236">
        <v>13</v>
      </c>
      <c r="B24" s="244">
        <v>46108</v>
      </c>
      <c r="C24" s="245" t="s">
        <v>261</v>
      </c>
      <c r="D24" s="246" t="s">
        <v>281</v>
      </c>
      <c r="E24" s="247">
        <v>1</v>
      </c>
      <c r="F24" s="247"/>
      <c r="G24" s="248"/>
      <c r="H24" s="247"/>
      <c r="I24" s="249" t="s">
        <v>282</v>
      </c>
      <c r="J24" s="249" t="s">
        <v>21</v>
      </c>
      <c r="K24" s="249" t="s">
        <v>22</v>
      </c>
      <c r="L24" s="250">
        <f t="shared" si="0"/>
        <v>1</v>
      </c>
      <c r="M24" s="237">
        <f t="array" ref="M24">INDEX('BKTT T4.26'!$N$12:$N$55,MATCH(V24,'BKTT T4.26'!$A$12:$A$55,0),0)</f>
        <v>654871</v>
      </c>
      <c r="N24" s="162">
        <f t="shared" si="3"/>
        <v>654871</v>
      </c>
      <c r="O24" s="238" t="s">
        <v>264</v>
      </c>
      <c r="P24" s="251" t="s">
        <v>1448</v>
      </c>
      <c r="R24" s="191" t="str">
        <f t="shared" si="1"/>
        <v>Cước vận chuyển Container hàng 20' tuyến đường PAN HA - HẢI AN. BKS: 15C17301</v>
      </c>
      <c r="S24" s="191" t="str">
        <f t="shared" si="2"/>
        <v xml:space="preserve"> hàng 20' </v>
      </c>
      <c r="V24" s="191">
        <v>1</v>
      </c>
    </row>
    <row r="25" spans="1:22" s="191" customFormat="1" ht="15">
      <c r="A25" s="236">
        <v>14</v>
      </c>
      <c r="B25" s="244">
        <v>46108</v>
      </c>
      <c r="C25" s="245" t="s">
        <v>261</v>
      </c>
      <c r="D25" s="246" t="s">
        <v>283</v>
      </c>
      <c r="E25" s="247">
        <v>1</v>
      </c>
      <c r="F25" s="247"/>
      <c r="G25" s="248"/>
      <c r="H25" s="247"/>
      <c r="I25" s="249" t="s">
        <v>282</v>
      </c>
      <c r="J25" s="249" t="s">
        <v>21</v>
      </c>
      <c r="K25" s="249" t="s">
        <v>22</v>
      </c>
      <c r="L25" s="250">
        <f t="shared" si="0"/>
        <v>1</v>
      </c>
      <c r="M25" s="237">
        <f t="array" ref="M25">INDEX('BKTT T4.26'!$N$12:$N$55,MATCH(V25,'BKTT T4.26'!$A$12:$A$55,0),0)</f>
        <v>654871</v>
      </c>
      <c r="N25" s="162">
        <f t="shared" si="3"/>
        <v>654871</v>
      </c>
      <c r="O25" s="238" t="s">
        <v>264</v>
      </c>
      <c r="P25" s="251" t="s">
        <v>1448</v>
      </c>
      <c r="R25" s="191" t="str">
        <f t="shared" si="1"/>
        <v>Cước vận chuyển Container hàng 20' tuyến đường PAN HA - HẢI AN. BKS: 15C17301</v>
      </c>
      <c r="S25" s="191" t="str">
        <f t="shared" si="2"/>
        <v xml:space="preserve"> hàng 20' </v>
      </c>
      <c r="V25" s="191">
        <v>1</v>
      </c>
    </row>
    <row r="26" spans="1:22" s="191" customFormat="1" ht="15">
      <c r="A26" s="236">
        <v>15</v>
      </c>
      <c r="B26" s="244">
        <v>46108</v>
      </c>
      <c r="C26" s="245" t="s">
        <v>261</v>
      </c>
      <c r="D26" s="246" t="s">
        <v>284</v>
      </c>
      <c r="E26" s="247">
        <v>1</v>
      </c>
      <c r="F26" s="247"/>
      <c r="G26" s="248"/>
      <c r="H26" s="247"/>
      <c r="I26" s="249" t="s">
        <v>282</v>
      </c>
      <c r="J26" s="249" t="s">
        <v>21</v>
      </c>
      <c r="K26" s="249" t="s">
        <v>22</v>
      </c>
      <c r="L26" s="250">
        <f t="shared" si="0"/>
        <v>1</v>
      </c>
      <c r="M26" s="237">
        <f t="array" ref="M26">INDEX('BKTT T4.26'!$N$12:$N$55,MATCH(V26,'BKTT T4.26'!$A$12:$A$55,0),0)</f>
        <v>654871</v>
      </c>
      <c r="N26" s="162">
        <f t="shared" si="3"/>
        <v>654871</v>
      </c>
      <c r="O26" s="238" t="s">
        <v>264</v>
      </c>
      <c r="P26" s="251" t="s">
        <v>1448</v>
      </c>
      <c r="R26" s="191" t="str">
        <f t="shared" si="1"/>
        <v>Cước vận chuyển Container hàng 20' tuyến đường PAN HA - HẢI AN. BKS: 15C17301</v>
      </c>
      <c r="S26" s="191" t="str">
        <f t="shared" si="2"/>
        <v xml:space="preserve"> hàng 20' </v>
      </c>
      <c r="V26" s="191">
        <v>1</v>
      </c>
    </row>
    <row r="27" spans="1:22" s="191" customFormat="1" ht="15">
      <c r="A27" s="236">
        <v>16</v>
      </c>
      <c r="B27" s="244">
        <v>46108</v>
      </c>
      <c r="C27" s="245" t="s">
        <v>261</v>
      </c>
      <c r="D27" s="246" t="s">
        <v>285</v>
      </c>
      <c r="E27" s="247">
        <v>1</v>
      </c>
      <c r="F27" s="247"/>
      <c r="G27" s="248"/>
      <c r="H27" s="247"/>
      <c r="I27" s="249" t="s">
        <v>282</v>
      </c>
      <c r="J27" s="249" t="s">
        <v>21</v>
      </c>
      <c r="K27" s="249" t="s">
        <v>22</v>
      </c>
      <c r="L27" s="250">
        <f t="shared" si="0"/>
        <v>1</v>
      </c>
      <c r="M27" s="237">
        <f t="array" ref="M27">INDEX('BKTT T4.26'!$N$12:$N$55,MATCH(V27,'BKTT T4.26'!$A$12:$A$55,0),0)</f>
        <v>654871</v>
      </c>
      <c r="N27" s="162">
        <f t="shared" si="3"/>
        <v>654871</v>
      </c>
      <c r="O27" s="238" t="s">
        <v>264</v>
      </c>
      <c r="P27" s="251" t="s">
        <v>1448</v>
      </c>
      <c r="R27" s="191" t="str">
        <f t="shared" si="1"/>
        <v>Cước vận chuyển Container hàng 20' tuyến đường PAN HA - HẢI AN. BKS: 15C17301</v>
      </c>
      <c r="S27" s="191" t="str">
        <f t="shared" si="2"/>
        <v xml:space="preserve"> hàng 20' </v>
      </c>
      <c r="V27" s="191">
        <v>1</v>
      </c>
    </row>
    <row r="28" spans="1:22" s="191" customFormat="1" ht="15">
      <c r="A28" s="236">
        <v>17</v>
      </c>
      <c r="B28" s="244">
        <v>46108</v>
      </c>
      <c r="C28" s="245" t="s">
        <v>261</v>
      </c>
      <c r="D28" s="246" t="s">
        <v>286</v>
      </c>
      <c r="E28" s="247">
        <v>1</v>
      </c>
      <c r="F28" s="247"/>
      <c r="G28" s="248"/>
      <c r="H28" s="247"/>
      <c r="I28" s="249" t="s">
        <v>282</v>
      </c>
      <c r="J28" s="249" t="s">
        <v>21</v>
      </c>
      <c r="K28" s="249" t="s">
        <v>22</v>
      </c>
      <c r="L28" s="250">
        <f t="shared" si="0"/>
        <v>1</v>
      </c>
      <c r="M28" s="237">
        <f t="array" ref="M28">INDEX('BKTT T4.26'!$N$12:$N$55,MATCH(V28,'BKTT T4.26'!$A$12:$A$55,0),0)</f>
        <v>654871</v>
      </c>
      <c r="N28" s="162">
        <f t="shared" si="3"/>
        <v>654871</v>
      </c>
      <c r="O28" s="238" t="s">
        <v>264</v>
      </c>
      <c r="P28" s="251" t="s">
        <v>1448</v>
      </c>
      <c r="R28" s="191" t="str">
        <f t="shared" si="1"/>
        <v>Cước vận chuyển Container hàng 20' tuyến đường PAN HA - HẢI AN. BKS: 15C17301</v>
      </c>
      <c r="S28" s="191" t="str">
        <f t="shared" si="2"/>
        <v xml:space="preserve"> hàng 20' </v>
      </c>
      <c r="V28" s="191">
        <v>1</v>
      </c>
    </row>
    <row r="29" spans="1:22" s="191" customFormat="1" ht="15">
      <c r="A29" s="236">
        <v>18</v>
      </c>
      <c r="B29" s="244">
        <v>46108</v>
      </c>
      <c r="C29" s="245" t="s">
        <v>261</v>
      </c>
      <c r="D29" s="246" t="s">
        <v>287</v>
      </c>
      <c r="E29" s="247">
        <v>1</v>
      </c>
      <c r="F29" s="247"/>
      <c r="G29" s="248"/>
      <c r="H29" s="247"/>
      <c r="I29" s="249" t="s">
        <v>282</v>
      </c>
      <c r="J29" s="249" t="s">
        <v>21</v>
      </c>
      <c r="K29" s="249" t="s">
        <v>22</v>
      </c>
      <c r="L29" s="250">
        <f t="shared" si="0"/>
        <v>1</v>
      </c>
      <c r="M29" s="237">
        <f t="array" ref="M29">INDEX('BKTT T4.26'!$N$12:$N$55,MATCH(V29,'BKTT T4.26'!$A$12:$A$55,0),0)</f>
        <v>654871</v>
      </c>
      <c r="N29" s="162">
        <f t="shared" si="3"/>
        <v>654871</v>
      </c>
      <c r="O29" s="238" t="s">
        <v>264</v>
      </c>
      <c r="P29" s="251" t="s">
        <v>1448</v>
      </c>
      <c r="R29" s="191" t="str">
        <f t="shared" si="1"/>
        <v>Cước vận chuyển Container hàng 20' tuyến đường PAN HA - HẢI AN. BKS: 15C17301</v>
      </c>
      <c r="S29" s="191" t="str">
        <f t="shared" si="2"/>
        <v xml:space="preserve"> hàng 20' </v>
      </c>
      <c r="V29" s="191">
        <v>1</v>
      </c>
    </row>
    <row r="30" spans="1:22" s="191" customFormat="1" ht="15">
      <c r="A30" s="236">
        <v>19</v>
      </c>
      <c r="B30" s="244">
        <v>46108</v>
      </c>
      <c r="C30" s="245" t="s">
        <v>261</v>
      </c>
      <c r="D30" s="246" t="s">
        <v>288</v>
      </c>
      <c r="E30" s="247"/>
      <c r="F30" s="247">
        <v>1</v>
      </c>
      <c r="G30" s="248"/>
      <c r="H30" s="247"/>
      <c r="I30" s="249" t="s">
        <v>282</v>
      </c>
      <c r="J30" s="249" t="s">
        <v>21</v>
      </c>
      <c r="K30" s="249" t="s">
        <v>25</v>
      </c>
      <c r="L30" s="250">
        <f t="shared" si="0"/>
        <v>1</v>
      </c>
      <c r="M30" s="237">
        <f t="array" ref="M30">INDEX('BKTT T4.26'!$N$12:$N$55,MATCH(V30,'BKTT T4.26'!$A$12:$A$55,0),0)</f>
        <v>681050</v>
      </c>
      <c r="N30" s="162">
        <f t="shared" si="3"/>
        <v>681050</v>
      </c>
      <c r="O30" s="238" t="s">
        <v>264</v>
      </c>
      <c r="P30" s="251" t="s">
        <v>1448</v>
      </c>
      <c r="R30" s="191" t="str">
        <f t="shared" si="1"/>
        <v>Cước vận chuyển Container hàng 40' tuyến đường PAN HA - HẢI AN,. BKS: 15C17301</v>
      </c>
      <c r="S30" s="191" t="str">
        <f t="shared" si="2"/>
        <v xml:space="preserve"> hàng 40' </v>
      </c>
      <c r="V30" s="191">
        <v>2</v>
      </c>
    </row>
    <row r="31" spans="1:22" s="191" customFormat="1" ht="15">
      <c r="A31" s="236">
        <v>20</v>
      </c>
      <c r="B31" s="244">
        <v>46108</v>
      </c>
      <c r="C31" s="245" t="s">
        <v>261</v>
      </c>
      <c r="D31" s="246" t="s">
        <v>289</v>
      </c>
      <c r="E31" s="247"/>
      <c r="F31" s="247">
        <v>1</v>
      </c>
      <c r="G31" s="248"/>
      <c r="H31" s="247"/>
      <c r="I31" s="249" t="s">
        <v>282</v>
      </c>
      <c r="J31" s="249" t="s">
        <v>21</v>
      </c>
      <c r="K31" s="249" t="s">
        <v>25</v>
      </c>
      <c r="L31" s="250">
        <f t="shared" si="0"/>
        <v>1</v>
      </c>
      <c r="M31" s="237">
        <f t="array" ref="M31">INDEX('BKTT T4.26'!$N$12:$N$55,MATCH(V31,'BKTT T4.26'!$A$12:$A$55,0),0)</f>
        <v>681050</v>
      </c>
      <c r="N31" s="162">
        <f t="shared" si="3"/>
        <v>681050</v>
      </c>
      <c r="O31" s="238" t="s">
        <v>264</v>
      </c>
      <c r="P31" s="251" t="s">
        <v>1448</v>
      </c>
      <c r="R31" s="191" t="str">
        <f t="shared" si="1"/>
        <v>Cước vận chuyển Container hàng 40' tuyến đường PAN HA - HẢI AN,. BKS: 15C17301</v>
      </c>
      <c r="S31" s="191" t="str">
        <f t="shared" si="2"/>
        <v xml:space="preserve"> hàng 40' </v>
      </c>
      <c r="V31" s="191">
        <v>2</v>
      </c>
    </row>
    <row r="32" spans="1:22" s="191" customFormat="1" ht="15">
      <c r="A32" s="236">
        <v>21</v>
      </c>
      <c r="B32" s="244">
        <v>46108</v>
      </c>
      <c r="C32" s="245" t="s">
        <v>261</v>
      </c>
      <c r="D32" s="246" t="s">
        <v>290</v>
      </c>
      <c r="E32" s="247"/>
      <c r="F32" s="247">
        <v>1</v>
      </c>
      <c r="G32" s="248"/>
      <c r="H32" s="247"/>
      <c r="I32" s="249" t="s">
        <v>282</v>
      </c>
      <c r="J32" s="249" t="s">
        <v>21</v>
      </c>
      <c r="K32" s="249" t="s">
        <v>25</v>
      </c>
      <c r="L32" s="250">
        <f t="shared" si="0"/>
        <v>1</v>
      </c>
      <c r="M32" s="237">
        <f t="array" ref="M32">INDEX('BKTT T4.26'!$N$12:$N$55,MATCH(V32,'BKTT T4.26'!$A$12:$A$55,0),0)</f>
        <v>681050</v>
      </c>
      <c r="N32" s="162">
        <f t="shared" si="3"/>
        <v>681050</v>
      </c>
      <c r="O32" s="238" t="s">
        <v>264</v>
      </c>
      <c r="P32" s="251" t="s">
        <v>1448</v>
      </c>
      <c r="R32" s="191" t="str">
        <f t="shared" si="1"/>
        <v>Cước vận chuyển Container hàng 40' tuyến đường PAN HA - HẢI AN,. BKS: 15C17301</v>
      </c>
      <c r="S32" s="191" t="str">
        <f t="shared" si="2"/>
        <v xml:space="preserve"> hàng 40' </v>
      </c>
      <c r="V32" s="191">
        <v>2</v>
      </c>
    </row>
    <row r="33" spans="1:22" s="191" customFormat="1" ht="15">
      <c r="A33" s="236">
        <v>22</v>
      </c>
      <c r="B33" s="244">
        <v>46108</v>
      </c>
      <c r="C33" s="245" t="s">
        <v>261</v>
      </c>
      <c r="D33" s="246" t="s">
        <v>291</v>
      </c>
      <c r="E33" s="247"/>
      <c r="F33" s="247">
        <v>1</v>
      </c>
      <c r="G33" s="248"/>
      <c r="H33" s="247"/>
      <c r="I33" s="249" t="s">
        <v>282</v>
      </c>
      <c r="J33" s="249" t="s">
        <v>21</v>
      </c>
      <c r="K33" s="249" t="s">
        <v>25</v>
      </c>
      <c r="L33" s="250">
        <f t="shared" si="0"/>
        <v>1</v>
      </c>
      <c r="M33" s="237">
        <f t="array" ref="M33">INDEX('BKTT T4.26'!$N$12:$N$55,MATCH(V33,'BKTT T4.26'!$A$12:$A$55,0),0)</f>
        <v>681050</v>
      </c>
      <c r="N33" s="162">
        <f t="shared" si="3"/>
        <v>681050</v>
      </c>
      <c r="O33" s="238" t="s">
        <v>264</v>
      </c>
      <c r="P33" s="251" t="s">
        <v>1448</v>
      </c>
      <c r="R33" s="191" t="str">
        <f t="shared" si="1"/>
        <v>Cước vận chuyển Container hàng 40' tuyến đường PAN HA - HẢI AN,. BKS: 15C17301</v>
      </c>
      <c r="S33" s="191" t="str">
        <f t="shared" si="2"/>
        <v xml:space="preserve"> hàng 40' </v>
      </c>
      <c r="V33" s="191">
        <v>2</v>
      </c>
    </row>
    <row r="34" spans="1:22" s="191" customFormat="1" ht="15">
      <c r="A34" s="236">
        <v>23</v>
      </c>
      <c r="B34" s="244">
        <v>46108</v>
      </c>
      <c r="C34" s="245" t="s">
        <v>261</v>
      </c>
      <c r="D34" s="246" t="s">
        <v>292</v>
      </c>
      <c r="E34" s="247">
        <v>1</v>
      </c>
      <c r="F34" s="247"/>
      <c r="G34" s="248"/>
      <c r="H34" s="247"/>
      <c r="I34" s="249" t="s">
        <v>263</v>
      </c>
      <c r="J34" s="249" t="s">
        <v>21</v>
      </c>
      <c r="K34" s="249" t="s">
        <v>22</v>
      </c>
      <c r="L34" s="250">
        <f t="shared" si="0"/>
        <v>1</v>
      </c>
      <c r="M34" s="237">
        <f t="array" ref="M34">INDEX('BKTT T4.26'!$N$12:$N$55,MATCH(V34,'BKTT T4.26'!$A$12:$A$55,0),0)</f>
        <v>654871</v>
      </c>
      <c r="N34" s="162">
        <f t="shared" si="3"/>
        <v>654871</v>
      </c>
      <c r="O34" s="238" t="s">
        <v>264</v>
      </c>
      <c r="P34" s="251" t="s">
        <v>1448</v>
      </c>
      <c r="R34" s="191" t="str">
        <f t="shared" si="1"/>
        <v>Cước vận chuyển Container hàng 20' tuyến đường PAN HA - HẢI AN. BKS: 15C17442</v>
      </c>
      <c r="S34" s="191" t="str">
        <f t="shared" si="2"/>
        <v xml:space="preserve"> hàng 20' </v>
      </c>
      <c r="V34" s="191">
        <v>1</v>
      </c>
    </row>
    <row r="35" spans="1:22" s="191" customFormat="1" ht="15">
      <c r="A35" s="236">
        <v>24</v>
      </c>
      <c r="B35" s="244">
        <v>46108</v>
      </c>
      <c r="C35" s="245" t="s">
        <v>261</v>
      </c>
      <c r="D35" s="246" t="s">
        <v>293</v>
      </c>
      <c r="E35" s="247">
        <v>1</v>
      </c>
      <c r="F35" s="247"/>
      <c r="G35" s="248"/>
      <c r="H35" s="247"/>
      <c r="I35" s="249" t="s">
        <v>263</v>
      </c>
      <c r="J35" s="249" t="s">
        <v>21</v>
      </c>
      <c r="K35" s="249" t="s">
        <v>22</v>
      </c>
      <c r="L35" s="250">
        <f t="shared" si="0"/>
        <v>1</v>
      </c>
      <c r="M35" s="237">
        <f t="array" ref="M35">INDEX('BKTT T4.26'!$N$12:$N$55,MATCH(V35,'BKTT T4.26'!$A$12:$A$55,0),0)</f>
        <v>654871</v>
      </c>
      <c r="N35" s="162">
        <f t="shared" si="3"/>
        <v>654871</v>
      </c>
      <c r="O35" s="238" t="s">
        <v>264</v>
      </c>
      <c r="P35" s="251" t="s">
        <v>1448</v>
      </c>
      <c r="R35" s="191" t="str">
        <f t="shared" si="1"/>
        <v>Cước vận chuyển Container hàng 20' tuyến đường PAN HA - HẢI AN. BKS: 15C17442</v>
      </c>
      <c r="S35" s="191" t="str">
        <f t="shared" si="2"/>
        <v xml:space="preserve"> hàng 20' </v>
      </c>
      <c r="V35" s="191">
        <v>1</v>
      </c>
    </row>
    <row r="36" spans="1:22" s="191" customFormat="1" ht="15">
      <c r="A36" s="236">
        <v>25</v>
      </c>
      <c r="B36" s="244">
        <v>46108</v>
      </c>
      <c r="C36" s="245" t="s">
        <v>261</v>
      </c>
      <c r="D36" s="246" t="s">
        <v>294</v>
      </c>
      <c r="E36" s="247">
        <v>1</v>
      </c>
      <c r="F36" s="247"/>
      <c r="G36" s="248"/>
      <c r="H36" s="247"/>
      <c r="I36" s="249" t="s">
        <v>263</v>
      </c>
      <c r="J36" s="249" t="s">
        <v>21</v>
      </c>
      <c r="K36" s="249" t="s">
        <v>22</v>
      </c>
      <c r="L36" s="250">
        <f t="shared" si="0"/>
        <v>1</v>
      </c>
      <c r="M36" s="237">
        <f t="array" ref="M36">INDEX('BKTT T4.26'!$N$12:$N$55,MATCH(V36,'BKTT T4.26'!$A$12:$A$55,0),0)</f>
        <v>654871</v>
      </c>
      <c r="N36" s="162">
        <f t="shared" si="3"/>
        <v>654871</v>
      </c>
      <c r="O36" s="238" t="s">
        <v>264</v>
      </c>
      <c r="P36" s="251" t="s">
        <v>1448</v>
      </c>
      <c r="R36" s="191" t="str">
        <f t="shared" si="1"/>
        <v>Cước vận chuyển Container hàng 20' tuyến đường PAN HA - HẢI AN. BKS: 15C17442</v>
      </c>
      <c r="S36" s="191" t="str">
        <f t="shared" si="2"/>
        <v xml:space="preserve"> hàng 20' </v>
      </c>
      <c r="V36" s="191">
        <v>1</v>
      </c>
    </row>
    <row r="37" spans="1:22" s="191" customFormat="1" ht="15">
      <c r="A37" s="236">
        <v>26</v>
      </c>
      <c r="B37" s="244">
        <v>46108</v>
      </c>
      <c r="C37" s="245" t="s">
        <v>261</v>
      </c>
      <c r="D37" s="246" t="s">
        <v>295</v>
      </c>
      <c r="E37" s="247">
        <v>1</v>
      </c>
      <c r="F37" s="247"/>
      <c r="G37" s="248"/>
      <c r="H37" s="247"/>
      <c r="I37" s="249" t="s">
        <v>263</v>
      </c>
      <c r="J37" s="249" t="s">
        <v>21</v>
      </c>
      <c r="K37" s="249" t="s">
        <v>22</v>
      </c>
      <c r="L37" s="250">
        <f t="shared" si="0"/>
        <v>1</v>
      </c>
      <c r="M37" s="237">
        <f t="array" ref="M37">INDEX('BKTT T4.26'!$N$12:$N$55,MATCH(V37,'BKTT T4.26'!$A$12:$A$55,0),0)</f>
        <v>654871</v>
      </c>
      <c r="N37" s="162">
        <f t="shared" si="3"/>
        <v>654871</v>
      </c>
      <c r="O37" s="238" t="s">
        <v>264</v>
      </c>
      <c r="P37" s="251" t="s">
        <v>1448</v>
      </c>
      <c r="R37" s="191" t="str">
        <f t="shared" si="1"/>
        <v>Cước vận chuyển Container hàng 20' tuyến đường PAN HA - HẢI AN. BKS: 15C17442</v>
      </c>
      <c r="S37" s="191" t="str">
        <f t="shared" si="2"/>
        <v xml:space="preserve"> hàng 20' </v>
      </c>
      <c r="V37" s="191">
        <v>1</v>
      </c>
    </row>
    <row r="38" spans="1:22" s="191" customFormat="1" ht="15">
      <c r="A38" s="236">
        <v>27</v>
      </c>
      <c r="B38" s="244">
        <v>46108</v>
      </c>
      <c r="C38" s="245" t="s">
        <v>261</v>
      </c>
      <c r="D38" s="246" t="s">
        <v>296</v>
      </c>
      <c r="E38" s="247">
        <v>1</v>
      </c>
      <c r="F38" s="247"/>
      <c r="G38" s="248"/>
      <c r="H38" s="247"/>
      <c r="I38" s="249" t="s">
        <v>263</v>
      </c>
      <c r="J38" s="249" t="s">
        <v>21</v>
      </c>
      <c r="K38" s="249" t="s">
        <v>22</v>
      </c>
      <c r="L38" s="250">
        <f t="shared" si="0"/>
        <v>1</v>
      </c>
      <c r="M38" s="237">
        <f t="array" ref="M38">INDEX('BKTT T4.26'!$N$12:$N$55,MATCH(V38,'BKTT T4.26'!$A$12:$A$55,0),0)</f>
        <v>654871</v>
      </c>
      <c r="N38" s="162">
        <f t="shared" si="3"/>
        <v>654871</v>
      </c>
      <c r="O38" s="238" t="s">
        <v>264</v>
      </c>
      <c r="P38" s="251" t="s">
        <v>1448</v>
      </c>
      <c r="R38" s="191" t="str">
        <f t="shared" si="1"/>
        <v>Cước vận chuyển Container hàng 20' tuyến đường PAN HA - HẢI AN. BKS: 15C17442</v>
      </c>
      <c r="S38" s="191" t="str">
        <f t="shared" si="2"/>
        <v xml:space="preserve"> hàng 20' </v>
      </c>
      <c r="V38" s="191">
        <v>1</v>
      </c>
    </row>
    <row r="39" spans="1:22" s="191" customFormat="1" ht="15">
      <c r="A39" s="236">
        <v>28</v>
      </c>
      <c r="B39" s="244">
        <v>46108</v>
      </c>
      <c r="C39" s="245" t="s">
        <v>261</v>
      </c>
      <c r="D39" s="246" t="s">
        <v>297</v>
      </c>
      <c r="E39" s="247">
        <v>1</v>
      </c>
      <c r="F39" s="247"/>
      <c r="G39" s="248"/>
      <c r="H39" s="247"/>
      <c r="I39" s="249" t="s">
        <v>263</v>
      </c>
      <c r="J39" s="249" t="s">
        <v>21</v>
      </c>
      <c r="K39" s="249" t="s">
        <v>22</v>
      </c>
      <c r="L39" s="250">
        <f t="shared" si="0"/>
        <v>1</v>
      </c>
      <c r="M39" s="237">
        <f t="array" ref="M39">INDEX('BKTT T4.26'!$N$12:$N$55,MATCH(V39,'BKTT T4.26'!$A$12:$A$55,0),0)</f>
        <v>654871</v>
      </c>
      <c r="N39" s="162">
        <f t="shared" si="3"/>
        <v>654871</v>
      </c>
      <c r="O39" s="238" t="s">
        <v>264</v>
      </c>
      <c r="P39" s="251" t="s">
        <v>1448</v>
      </c>
      <c r="R39" s="191" t="str">
        <f t="shared" si="1"/>
        <v>Cước vận chuyển Container hàng 20' tuyến đường PAN HA - HẢI AN. BKS: 15C17442</v>
      </c>
      <c r="S39" s="191" t="str">
        <f t="shared" si="2"/>
        <v xml:space="preserve"> hàng 20' </v>
      </c>
      <c r="V39" s="191">
        <v>1</v>
      </c>
    </row>
    <row r="40" spans="1:22" s="191" customFormat="1" ht="15">
      <c r="A40" s="236">
        <v>29</v>
      </c>
      <c r="B40" s="244">
        <v>46108</v>
      </c>
      <c r="C40" s="245" t="s">
        <v>261</v>
      </c>
      <c r="D40" s="246" t="s">
        <v>298</v>
      </c>
      <c r="E40" s="247"/>
      <c r="F40" s="247">
        <v>1</v>
      </c>
      <c r="G40" s="248"/>
      <c r="H40" s="247"/>
      <c r="I40" s="249" t="s">
        <v>263</v>
      </c>
      <c r="J40" s="249" t="s">
        <v>21</v>
      </c>
      <c r="K40" s="249" t="s">
        <v>25</v>
      </c>
      <c r="L40" s="250">
        <f t="shared" si="0"/>
        <v>1</v>
      </c>
      <c r="M40" s="237">
        <f t="array" ref="M40">INDEX('BKTT T4.26'!$N$12:$N$55,MATCH(V40,'BKTT T4.26'!$A$12:$A$55,0),0)</f>
        <v>681050</v>
      </c>
      <c r="N40" s="162">
        <f t="shared" si="3"/>
        <v>681050</v>
      </c>
      <c r="O40" s="238" t="s">
        <v>264</v>
      </c>
      <c r="P40" s="251" t="s">
        <v>1448</v>
      </c>
      <c r="R40" s="191" t="str">
        <f t="shared" si="1"/>
        <v>Cước vận chuyển Container hàng 40' tuyến đường PAN HA - HẢI AN,. BKS: 15C17442</v>
      </c>
      <c r="S40" s="191" t="str">
        <f t="shared" si="2"/>
        <v xml:space="preserve"> hàng 40' </v>
      </c>
      <c r="V40" s="191">
        <v>2</v>
      </c>
    </row>
    <row r="41" spans="1:22" s="191" customFormat="1" ht="15">
      <c r="A41" s="236">
        <v>30</v>
      </c>
      <c r="B41" s="244">
        <v>46108</v>
      </c>
      <c r="C41" s="245" t="s">
        <v>261</v>
      </c>
      <c r="D41" s="246" t="s">
        <v>299</v>
      </c>
      <c r="E41" s="247"/>
      <c r="F41" s="247">
        <v>1</v>
      </c>
      <c r="G41" s="248"/>
      <c r="H41" s="247"/>
      <c r="I41" s="249" t="s">
        <v>263</v>
      </c>
      <c r="J41" s="249" t="s">
        <v>21</v>
      </c>
      <c r="K41" s="249" t="s">
        <v>25</v>
      </c>
      <c r="L41" s="250">
        <f t="shared" si="0"/>
        <v>1</v>
      </c>
      <c r="M41" s="237">
        <f t="array" ref="M41">INDEX('BKTT T4.26'!$N$12:$N$55,MATCH(V41,'BKTT T4.26'!$A$12:$A$55,0),0)</f>
        <v>681050</v>
      </c>
      <c r="N41" s="162">
        <f t="shared" si="3"/>
        <v>681050</v>
      </c>
      <c r="O41" s="238" t="s">
        <v>264</v>
      </c>
      <c r="P41" s="251" t="s">
        <v>1448</v>
      </c>
      <c r="R41" s="191" t="str">
        <f t="shared" si="1"/>
        <v>Cước vận chuyển Container hàng 40' tuyến đường PAN HA - HẢI AN,. BKS: 15C17442</v>
      </c>
      <c r="S41" s="191" t="str">
        <f t="shared" si="2"/>
        <v xml:space="preserve"> hàng 40' </v>
      </c>
      <c r="V41" s="191">
        <v>2</v>
      </c>
    </row>
    <row r="42" spans="1:22" s="191" customFormat="1" ht="15">
      <c r="A42" s="236">
        <v>31</v>
      </c>
      <c r="B42" s="244">
        <v>46108</v>
      </c>
      <c r="C42" s="245" t="s">
        <v>261</v>
      </c>
      <c r="D42" s="246" t="s">
        <v>300</v>
      </c>
      <c r="E42" s="247"/>
      <c r="F42" s="247">
        <v>1</v>
      </c>
      <c r="G42" s="248"/>
      <c r="H42" s="247"/>
      <c r="I42" s="249" t="s">
        <v>263</v>
      </c>
      <c r="J42" s="249" t="s">
        <v>21</v>
      </c>
      <c r="K42" s="249" t="s">
        <v>25</v>
      </c>
      <c r="L42" s="250">
        <f t="shared" si="0"/>
        <v>1</v>
      </c>
      <c r="M42" s="237">
        <f t="array" ref="M42">INDEX('BKTT T4.26'!$N$12:$N$55,MATCH(V42,'BKTT T4.26'!$A$12:$A$55,0),0)</f>
        <v>681050</v>
      </c>
      <c r="N42" s="162">
        <f t="shared" si="3"/>
        <v>681050</v>
      </c>
      <c r="O42" s="238" t="s">
        <v>264</v>
      </c>
      <c r="P42" s="251" t="s">
        <v>1448</v>
      </c>
      <c r="R42" s="191" t="str">
        <f t="shared" si="1"/>
        <v>Cước vận chuyển Container hàng 40' tuyến đường PAN HA - HẢI AN,. BKS: 15C17442</v>
      </c>
      <c r="S42" s="191" t="str">
        <f t="shared" si="2"/>
        <v xml:space="preserve"> hàng 40' </v>
      </c>
      <c r="V42" s="191">
        <v>2</v>
      </c>
    </row>
    <row r="43" spans="1:22" s="191" customFormat="1" ht="15">
      <c r="A43" s="236">
        <v>32</v>
      </c>
      <c r="B43" s="244">
        <v>46108</v>
      </c>
      <c r="C43" s="245" t="s">
        <v>261</v>
      </c>
      <c r="D43" s="246" t="s">
        <v>301</v>
      </c>
      <c r="E43" s="247"/>
      <c r="F43" s="247">
        <v>1</v>
      </c>
      <c r="G43" s="248"/>
      <c r="H43" s="247"/>
      <c r="I43" s="249" t="s">
        <v>263</v>
      </c>
      <c r="J43" s="249" t="s">
        <v>21</v>
      </c>
      <c r="K43" s="249" t="s">
        <v>25</v>
      </c>
      <c r="L43" s="250">
        <f t="shared" si="0"/>
        <v>1</v>
      </c>
      <c r="M43" s="237">
        <f t="array" ref="M43">INDEX('BKTT T4.26'!$N$12:$N$55,MATCH(V43,'BKTT T4.26'!$A$12:$A$55,0),0)</f>
        <v>681050</v>
      </c>
      <c r="N43" s="162">
        <f t="shared" si="3"/>
        <v>681050</v>
      </c>
      <c r="O43" s="238" t="s">
        <v>264</v>
      </c>
      <c r="P43" s="251" t="s">
        <v>1448</v>
      </c>
      <c r="R43" s="191" t="str">
        <f t="shared" si="1"/>
        <v>Cước vận chuyển Container hàng 40' tuyến đường PAN HA - HẢI AN,. BKS: 15C17442</v>
      </c>
      <c r="S43" s="191" t="str">
        <f t="shared" si="2"/>
        <v xml:space="preserve"> hàng 40' </v>
      </c>
      <c r="V43" s="191">
        <v>2</v>
      </c>
    </row>
    <row r="44" spans="1:22" s="191" customFormat="1" ht="15">
      <c r="A44" s="236">
        <v>33</v>
      </c>
      <c r="B44" s="244">
        <v>46108</v>
      </c>
      <c r="C44" s="245" t="s">
        <v>261</v>
      </c>
      <c r="D44" s="246" t="s">
        <v>302</v>
      </c>
      <c r="E44" s="247"/>
      <c r="F44" s="247">
        <v>1</v>
      </c>
      <c r="G44" s="248"/>
      <c r="H44" s="247"/>
      <c r="I44" s="249" t="s">
        <v>263</v>
      </c>
      <c r="J44" s="249" t="s">
        <v>21</v>
      </c>
      <c r="K44" s="249" t="s">
        <v>25</v>
      </c>
      <c r="L44" s="250">
        <f t="shared" si="0"/>
        <v>1</v>
      </c>
      <c r="M44" s="237">
        <f t="array" ref="M44">INDEX('BKTT T4.26'!$N$12:$N$55,MATCH(V44,'BKTT T4.26'!$A$12:$A$55,0),0)</f>
        <v>681050</v>
      </c>
      <c r="N44" s="162">
        <f t="shared" si="3"/>
        <v>681050</v>
      </c>
      <c r="O44" s="238" t="s">
        <v>264</v>
      </c>
      <c r="P44" s="251" t="s">
        <v>1448</v>
      </c>
      <c r="R44" s="191" t="str">
        <f t="shared" si="1"/>
        <v>Cước vận chuyển Container hàng 40' tuyến đường PAN HA - HẢI AN,. BKS: 15C17442</v>
      </c>
      <c r="S44" s="191" t="str">
        <f t="shared" si="2"/>
        <v xml:space="preserve"> hàng 40' </v>
      </c>
      <c r="V44" s="191">
        <v>2</v>
      </c>
    </row>
    <row r="45" spans="1:22" s="191" customFormat="1" ht="15">
      <c r="A45" s="236">
        <v>34</v>
      </c>
      <c r="B45" s="244">
        <v>46107</v>
      </c>
      <c r="C45" s="245" t="s">
        <v>261</v>
      </c>
      <c r="D45" s="246" t="s">
        <v>303</v>
      </c>
      <c r="E45" s="247">
        <v>1</v>
      </c>
      <c r="F45" s="247"/>
      <c r="G45" s="248"/>
      <c r="H45" s="247"/>
      <c r="I45" s="249" t="s">
        <v>304</v>
      </c>
      <c r="J45" s="249" t="s">
        <v>21</v>
      </c>
      <c r="K45" s="249" t="s">
        <v>31</v>
      </c>
      <c r="L45" s="250">
        <f t="shared" si="0"/>
        <v>1</v>
      </c>
      <c r="M45" s="237">
        <f t="array" ref="M45">INDEX('BKTT T4.26'!$N$12:$N$55,MATCH(V45,'BKTT T4.26'!$A$12:$A$55,0),0)</f>
        <v>454158</v>
      </c>
      <c r="N45" s="162">
        <f t="shared" si="3"/>
        <v>454158</v>
      </c>
      <c r="O45" s="238" t="s">
        <v>264</v>
      </c>
      <c r="P45" s="251" t="s">
        <v>1448</v>
      </c>
      <c r="R45" s="191" t="str">
        <f t="shared" si="1"/>
        <v>Cước vận chuyển Container hàng 20' tuyến đường PAN HA - NDV. BKS: 15C09877</v>
      </c>
      <c r="S45" s="191" t="str">
        <f t="shared" si="2"/>
        <v xml:space="preserve"> hàng 20' </v>
      </c>
      <c r="V45" s="191">
        <v>7</v>
      </c>
    </row>
    <row r="46" spans="1:22" s="191" customFormat="1" ht="15">
      <c r="A46" s="236">
        <v>35</v>
      </c>
      <c r="B46" s="244">
        <v>46107</v>
      </c>
      <c r="C46" s="245" t="s">
        <v>261</v>
      </c>
      <c r="D46" s="246" t="s">
        <v>305</v>
      </c>
      <c r="E46" s="247">
        <v>1</v>
      </c>
      <c r="F46" s="247"/>
      <c r="G46" s="248"/>
      <c r="H46" s="247"/>
      <c r="I46" s="249" t="s">
        <v>304</v>
      </c>
      <c r="J46" s="249" t="s">
        <v>21</v>
      </c>
      <c r="K46" s="249" t="s">
        <v>31</v>
      </c>
      <c r="L46" s="250">
        <f t="shared" si="0"/>
        <v>1</v>
      </c>
      <c r="M46" s="237">
        <f t="array" ref="M46">INDEX('BKTT T4.26'!$N$12:$N$55,MATCH(V46,'BKTT T4.26'!$A$12:$A$55,0),0)</f>
        <v>454158</v>
      </c>
      <c r="N46" s="162">
        <f t="shared" si="3"/>
        <v>454158</v>
      </c>
      <c r="O46" s="238" t="s">
        <v>264</v>
      </c>
      <c r="P46" s="251" t="s">
        <v>1448</v>
      </c>
      <c r="R46" s="191" t="str">
        <f t="shared" si="1"/>
        <v>Cước vận chuyển Container hàng 20' tuyến đường PAN HA - NDV. BKS: 15C09877</v>
      </c>
      <c r="S46" s="191" t="str">
        <f t="shared" si="2"/>
        <v xml:space="preserve"> hàng 20' </v>
      </c>
      <c r="V46" s="191">
        <v>7</v>
      </c>
    </row>
    <row r="47" spans="1:22" s="191" customFormat="1" ht="15">
      <c r="A47" s="236">
        <v>36</v>
      </c>
      <c r="B47" s="244">
        <v>46107</v>
      </c>
      <c r="C47" s="245" t="s">
        <v>261</v>
      </c>
      <c r="D47" s="246" t="s">
        <v>306</v>
      </c>
      <c r="E47" s="247">
        <v>1</v>
      </c>
      <c r="F47" s="247"/>
      <c r="G47" s="248"/>
      <c r="H47" s="247"/>
      <c r="I47" s="249" t="s">
        <v>304</v>
      </c>
      <c r="J47" s="249" t="s">
        <v>21</v>
      </c>
      <c r="K47" s="249" t="s">
        <v>31</v>
      </c>
      <c r="L47" s="250">
        <f t="shared" si="0"/>
        <v>1</v>
      </c>
      <c r="M47" s="237">
        <f t="array" ref="M47">INDEX('BKTT T4.26'!$N$12:$N$55,MATCH(V47,'BKTT T4.26'!$A$12:$A$55,0),0)</f>
        <v>454158</v>
      </c>
      <c r="N47" s="162">
        <f t="shared" si="3"/>
        <v>454158</v>
      </c>
      <c r="O47" s="238" t="s">
        <v>264</v>
      </c>
      <c r="P47" s="251" t="s">
        <v>1448</v>
      </c>
      <c r="R47" s="191" t="str">
        <f t="shared" si="1"/>
        <v>Cước vận chuyển Container hàng 20' tuyến đường PAN HA - NDV. BKS: 15C09877</v>
      </c>
      <c r="S47" s="191" t="str">
        <f t="shared" si="2"/>
        <v xml:space="preserve"> hàng 20' </v>
      </c>
      <c r="V47" s="191">
        <v>7</v>
      </c>
    </row>
    <row r="48" spans="1:22" s="191" customFormat="1" ht="15">
      <c r="A48" s="236">
        <v>37</v>
      </c>
      <c r="B48" s="244">
        <v>46107</v>
      </c>
      <c r="C48" s="245" t="s">
        <v>261</v>
      </c>
      <c r="D48" s="246" t="s">
        <v>307</v>
      </c>
      <c r="E48" s="247">
        <v>1</v>
      </c>
      <c r="F48" s="247"/>
      <c r="G48" s="248"/>
      <c r="H48" s="247"/>
      <c r="I48" s="249" t="s">
        <v>304</v>
      </c>
      <c r="J48" s="249" t="s">
        <v>21</v>
      </c>
      <c r="K48" s="249" t="s">
        <v>31</v>
      </c>
      <c r="L48" s="250">
        <f t="shared" si="0"/>
        <v>1</v>
      </c>
      <c r="M48" s="237">
        <f t="array" ref="M48">INDEX('BKTT T4.26'!$N$12:$N$55,MATCH(V48,'BKTT T4.26'!$A$12:$A$55,0),0)</f>
        <v>454158</v>
      </c>
      <c r="N48" s="162">
        <f t="shared" si="3"/>
        <v>454158</v>
      </c>
      <c r="O48" s="238" t="s">
        <v>264</v>
      </c>
      <c r="P48" s="251" t="s">
        <v>1448</v>
      </c>
      <c r="R48" s="191" t="str">
        <f t="shared" si="1"/>
        <v>Cước vận chuyển Container hàng 20' tuyến đường PAN HA - NDV. BKS: 15C09877</v>
      </c>
      <c r="S48" s="191" t="str">
        <f t="shared" si="2"/>
        <v xml:space="preserve"> hàng 20' </v>
      </c>
      <c r="V48" s="191">
        <v>7</v>
      </c>
    </row>
    <row r="49" spans="1:22" s="191" customFormat="1" ht="15">
      <c r="A49" s="236">
        <v>38</v>
      </c>
      <c r="B49" s="244">
        <v>46108</v>
      </c>
      <c r="C49" s="245" t="s">
        <v>261</v>
      </c>
      <c r="D49" s="246" t="s">
        <v>308</v>
      </c>
      <c r="E49" s="247">
        <v>1</v>
      </c>
      <c r="F49" s="247"/>
      <c r="G49" s="248"/>
      <c r="H49" s="247"/>
      <c r="I49" s="249" t="s">
        <v>304</v>
      </c>
      <c r="J49" s="249" t="s">
        <v>21</v>
      </c>
      <c r="K49" s="249" t="s">
        <v>22</v>
      </c>
      <c r="L49" s="250">
        <f t="shared" si="0"/>
        <v>1</v>
      </c>
      <c r="M49" s="237">
        <f t="array" ref="M49">INDEX('BKTT T4.26'!$N$12:$N$55,MATCH(V49,'BKTT T4.26'!$A$12:$A$55,0),0)</f>
        <v>654871</v>
      </c>
      <c r="N49" s="162">
        <f t="shared" si="3"/>
        <v>654871</v>
      </c>
      <c r="O49" s="238" t="s">
        <v>264</v>
      </c>
      <c r="P49" s="251" t="s">
        <v>1448</v>
      </c>
      <c r="R49" s="191" t="str">
        <f t="shared" si="1"/>
        <v>Cước vận chuyển Container hàng 20' tuyến đường PAN HA - HẢI AN. BKS: 15C09877</v>
      </c>
      <c r="S49" s="191" t="str">
        <f t="shared" si="2"/>
        <v xml:space="preserve"> hàng 20' </v>
      </c>
      <c r="V49" s="191">
        <v>1</v>
      </c>
    </row>
    <row r="50" spans="1:22" s="191" customFormat="1" ht="15">
      <c r="A50" s="236">
        <v>39</v>
      </c>
      <c r="B50" s="244">
        <v>46108</v>
      </c>
      <c r="C50" s="245" t="s">
        <v>261</v>
      </c>
      <c r="D50" s="246" t="s">
        <v>309</v>
      </c>
      <c r="E50" s="247">
        <v>1</v>
      </c>
      <c r="F50" s="247"/>
      <c r="G50" s="248"/>
      <c r="H50" s="247"/>
      <c r="I50" s="249" t="s">
        <v>304</v>
      </c>
      <c r="J50" s="249" t="s">
        <v>21</v>
      </c>
      <c r="K50" s="249" t="s">
        <v>22</v>
      </c>
      <c r="L50" s="250">
        <f t="shared" si="0"/>
        <v>1</v>
      </c>
      <c r="M50" s="237">
        <f t="array" ref="M50">INDEX('BKTT T4.26'!$N$12:$N$55,MATCH(V50,'BKTT T4.26'!$A$12:$A$55,0),0)</f>
        <v>654871</v>
      </c>
      <c r="N50" s="162">
        <f t="shared" si="3"/>
        <v>654871</v>
      </c>
      <c r="O50" s="238" t="s">
        <v>264</v>
      </c>
      <c r="P50" s="251" t="s">
        <v>1448</v>
      </c>
      <c r="R50" s="191" t="str">
        <f t="shared" si="1"/>
        <v>Cước vận chuyển Container hàng 20' tuyến đường PAN HA - HẢI AN. BKS: 15C09877</v>
      </c>
      <c r="S50" s="191" t="str">
        <f t="shared" si="2"/>
        <v xml:space="preserve"> hàng 20' </v>
      </c>
      <c r="V50" s="191">
        <v>1</v>
      </c>
    </row>
    <row r="51" spans="1:22" s="191" customFormat="1" ht="15">
      <c r="A51" s="236">
        <v>40</v>
      </c>
      <c r="B51" s="244">
        <v>46108</v>
      </c>
      <c r="C51" s="245" t="s">
        <v>261</v>
      </c>
      <c r="D51" s="246" t="s">
        <v>310</v>
      </c>
      <c r="E51" s="247">
        <v>1</v>
      </c>
      <c r="F51" s="247"/>
      <c r="G51" s="248"/>
      <c r="H51" s="247"/>
      <c r="I51" s="249" t="s">
        <v>304</v>
      </c>
      <c r="J51" s="249" t="s">
        <v>21</v>
      </c>
      <c r="K51" s="249" t="s">
        <v>22</v>
      </c>
      <c r="L51" s="250">
        <f t="shared" si="0"/>
        <v>1</v>
      </c>
      <c r="M51" s="237">
        <f t="array" ref="M51">INDEX('BKTT T4.26'!$N$12:$N$55,MATCH(V51,'BKTT T4.26'!$A$12:$A$55,0),0)</f>
        <v>654871</v>
      </c>
      <c r="N51" s="162">
        <f t="shared" si="3"/>
        <v>654871</v>
      </c>
      <c r="O51" s="238" t="s">
        <v>264</v>
      </c>
      <c r="P51" s="251" t="s">
        <v>1448</v>
      </c>
      <c r="R51" s="191" t="str">
        <f t="shared" si="1"/>
        <v>Cước vận chuyển Container hàng 20' tuyến đường PAN HA - HẢI AN. BKS: 15C09877</v>
      </c>
      <c r="S51" s="191" t="str">
        <f t="shared" si="2"/>
        <v xml:space="preserve"> hàng 20' </v>
      </c>
      <c r="V51" s="191">
        <v>1</v>
      </c>
    </row>
    <row r="52" spans="1:22" s="191" customFormat="1" ht="15">
      <c r="A52" s="236">
        <v>41</v>
      </c>
      <c r="B52" s="244">
        <v>46108</v>
      </c>
      <c r="C52" s="245" t="s">
        <v>261</v>
      </c>
      <c r="D52" s="246" t="s">
        <v>311</v>
      </c>
      <c r="E52" s="247">
        <v>1</v>
      </c>
      <c r="F52" s="247"/>
      <c r="G52" s="248"/>
      <c r="H52" s="247"/>
      <c r="I52" s="249" t="s">
        <v>304</v>
      </c>
      <c r="J52" s="249" t="s">
        <v>21</v>
      </c>
      <c r="K52" s="249" t="s">
        <v>22</v>
      </c>
      <c r="L52" s="250">
        <f t="shared" si="0"/>
        <v>1</v>
      </c>
      <c r="M52" s="237">
        <f t="array" ref="M52">INDEX('BKTT T4.26'!$N$12:$N$55,MATCH(V52,'BKTT T4.26'!$A$12:$A$55,0),0)</f>
        <v>654871</v>
      </c>
      <c r="N52" s="162">
        <f t="shared" si="3"/>
        <v>654871</v>
      </c>
      <c r="O52" s="238" t="s">
        <v>264</v>
      </c>
      <c r="P52" s="251" t="s">
        <v>1448</v>
      </c>
      <c r="R52" s="191" t="str">
        <f t="shared" si="1"/>
        <v>Cước vận chuyển Container hàng 20' tuyến đường PAN HA - HẢI AN. BKS: 15C09877</v>
      </c>
      <c r="S52" s="191" t="str">
        <f t="shared" si="2"/>
        <v xml:space="preserve"> hàng 20' </v>
      </c>
      <c r="V52" s="191">
        <v>1</v>
      </c>
    </row>
    <row r="53" spans="1:22" s="191" customFormat="1" ht="15">
      <c r="A53" s="236">
        <v>42</v>
      </c>
      <c r="B53" s="244">
        <v>46108</v>
      </c>
      <c r="C53" s="245" t="s">
        <v>261</v>
      </c>
      <c r="D53" s="246" t="s">
        <v>312</v>
      </c>
      <c r="E53" s="247">
        <v>1</v>
      </c>
      <c r="F53" s="247"/>
      <c r="G53" s="248"/>
      <c r="H53" s="247"/>
      <c r="I53" s="249" t="s">
        <v>304</v>
      </c>
      <c r="J53" s="249" t="s">
        <v>21</v>
      </c>
      <c r="K53" s="249" t="s">
        <v>22</v>
      </c>
      <c r="L53" s="250">
        <f t="shared" si="0"/>
        <v>1</v>
      </c>
      <c r="M53" s="237">
        <f t="array" ref="M53">INDEX('BKTT T4.26'!$N$12:$N$55,MATCH(V53,'BKTT T4.26'!$A$12:$A$55,0),0)</f>
        <v>654871</v>
      </c>
      <c r="N53" s="162">
        <f t="shared" si="3"/>
        <v>654871</v>
      </c>
      <c r="O53" s="238" t="s">
        <v>264</v>
      </c>
      <c r="P53" s="251" t="s">
        <v>1448</v>
      </c>
      <c r="R53" s="191" t="str">
        <f t="shared" si="1"/>
        <v>Cước vận chuyển Container hàng 20' tuyến đường PAN HA - HẢI AN. BKS: 15C09877</v>
      </c>
      <c r="S53" s="191" t="str">
        <f t="shared" si="2"/>
        <v xml:space="preserve"> hàng 20' </v>
      </c>
      <c r="V53" s="191">
        <v>1</v>
      </c>
    </row>
    <row r="54" spans="1:22" s="191" customFormat="1" ht="15">
      <c r="A54" s="236">
        <v>43</v>
      </c>
      <c r="B54" s="244">
        <v>46108</v>
      </c>
      <c r="C54" s="245" t="s">
        <v>261</v>
      </c>
      <c r="D54" s="246" t="s">
        <v>313</v>
      </c>
      <c r="E54" s="247">
        <v>1</v>
      </c>
      <c r="F54" s="247"/>
      <c r="G54" s="248"/>
      <c r="H54" s="247"/>
      <c r="I54" s="249" t="s">
        <v>304</v>
      </c>
      <c r="J54" s="249" t="s">
        <v>21</v>
      </c>
      <c r="K54" s="249" t="s">
        <v>22</v>
      </c>
      <c r="L54" s="250">
        <f t="shared" si="0"/>
        <v>1</v>
      </c>
      <c r="M54" s="237">
        <f t="array" ref="M54">INDEX('BKTT T4.26'!$N$12:$N$55,MATCH(V54,'BKTT T4.26'!$A$12:$A$55,0),0)</f>
        <v>654871</v>
      </c>
      <c r="N54" s="162">
        <f t="shared" si="3"/>
        <v>654871</v>
      </c>
      <c r="O54" s="238" t="s">
        <v>264</v>
      </c>
      <c r="P54" s="251" t="s">
        <v>1448</v>
      </c>
      <c r="R54" s="191" t="str">
        <f t="shared" si="1"/>
        <v>Cước vận chuyển Container hàng 20' tuyến đường PAN HA - HẢI AN. BKS: 15C09877</v>
      </c>
      <c r="S54" s="191" t="str">
        <f t="shared" si="2"/>
        <v xml:space="preserve"> hàng 20' </v>
      </c>
      <c r="V54" s="191">
        <v>1</v>
      </c>
    </row>
    <row r="55" spans="1:22" s="191" customFormat="1" ht="15">
      <c r="A55" s="236">
        <v>44</v>
      </c>
      <c r="B55" s="244">
        <v>46108</v>
      </c>
      <c r="C55" s="245" t="s">
        <v>261</v>
      </c>
      <c r="D55" s="246" t="s">
        <v>314</v>
      </c>
      <c r="E55" s="247">
        <v>1</v>
      </c>
      <c r="F55" s="247"/>
      <c r="G55" s="248"/>
      <c r="H55" s="247"/>
      <c r="I55" s="249" t="s">
        <v>304</v>
      </c>
      <c r="J55" s="249" t="s">
        <v>21</v>
      </c>
      <c r="K55" s="249" t="s">
        <v>22</v>
      </c>
      <c r="L55" s="250">
        <f t="shared" si="0"/>
        <v>1</v>
      </c>
      <c r="M55" s="237">
        <f t="array" ref="M55">INDEX('BKTT T4.26'!$N$12:$N$55,MATCH(V55,'BKTT T4.26'!$A$12:$A$55,0),0)</f>
        <v>654871</v>
      </c>
      <c r="N55" s="162">
        <f t="shared" si="3"/>
        <v>654871</v>
      </c>
      <c r="O55" s="238" t="s">
        <v>264</v>
      </c>
      <c r="P55" s="251" t="s">
        <v>1448</v>
      </c>
      <c r="R55" s="191" t="str">
        <f t="shared" si="1"/>
        <v>Cước vận chuyển Container hàng 20' tuyến đường PAN HA - HẢI AN. BKS: 15C09877</v>
      </c>
      <c r="S55" s="191" t="str">
        <f t="shared" si="2"/>
        <v xml:space="preserve"> hàng 20' </v>
      </c>
      <c r="V55" s="191">
        <v>1</v>
      </c>
    </row>
    <row r="56" spans="1:22" s="191" customFormat="1" ht="15">
      <c r="A56" s="236">
        <v>45</v>
      </c>
      <c r="B56" s="244">
        <v>46108</v>
      </c>
      <c r="C56" s="245" t="s">
        <v>261</v>
      </c>
      <c r="D56" s="246" t="s">
        <v>315</v>
      </c>
      <c r="E56" s="247">
        <v>1</v>
      </c>
      <c r="F56" s="247"/>
      <c r="G56" s="248"/>
      <c r="H56" s="247"/>
      <c r="I56" s="249" t="s">
        <v>304</v>
      </c>
      <c r="J56" s="249" t="s">
        <v>21</v>
      </c>
      <c r="K56" s="249" t="s">
        <v>22</v>
      </c>
      <c r="L56" s="250">
        <f t="shared" si="0"/>
        <v>1</v>
      </c>
      <c r="M56" s="237">
        <f t="array" ref="M56">INDEX('BKTT T4.26'!$N$12:$N$55,MATCH(V56,'BKTT T4.26'!$A$12:$A$55,0),0)</f>
        <v>654871</v>
      </c>
      <c r="N56" s="162">
        <f t="shared" si="3"/>
        <v>654871</v>
      </c>
      <c r="O56" s="238" t="s">
        <v>264</v>
      </c>
      <c r="P56" s="251" t="s">
        <v>1448</v>
      </c>
      <c r="R56" s="191" t="str">
        <f t="shared" si="1"/>
        <v>Cước vận chuyển Container hàng 20' tuyến đường PAN HA - HẢI AN. BKS: 15C09877</v>
      </c>
      <c r="S56" s="191" t="str">
        <f t="shared" si="2"/>
        <v xml:space="preserve"> hàng 20' </v>
      </c>
      <c r="V56" s="191">
        <v>1</v>
      </c>
    </row>
    <row r="57" spans="1:22" s="191" customFormat="1" ht="15">
      <c r="A57" s="236">
        <v>46</v>
      </c>
      <c r="B57" s="244">
        <v>46108</v>
      </c>
      <c r="C57" s="245" t="s">
        <v>261</v>
      </c>
      <c r="D57" s="246" t="s">
        <v>316</v>
      </c>
      <c r="E57" s="247"/>
      <c r="F57" s="247">
        <v>1</v>
      </c>
      <c r="G57" s="248"/>
      <c r="H57" s="247"/>
      <c r="I57" s="249" t="s">
        <v>304</v>
      </c>
      <c r="J57" s="249" t="s">
        <v>21</v>
      </c>
      <c r="K57" s="249" t="s">
        <v>25</v>
      </c>
      <c r="L57" s="250">
        <f t="shared" si="0"/>
        <v>1</v>
      </c>
      <c r="M57" s="237">
        <f t="array" ref="M57">INDEX('BKTT T4.26'!$N$12:$N$55,MATCH(V57,'BKTT T4.26'!$A$12:$A$55,0),0)</f>
        <v>681050</v>
      </c>
      <c r="N57" s="162">
        <f t="shared" si="3"/>
        <v>681050</v>
      </c>
      <c r="O57" s="238" t="s">
        <v>264</v>
      </c>
      <c r="P57" s="251" t="s">
        <v>1448</v>
      </c>
      <c r="R57" s="191" t="str">
        <f t="shared" si="1"/>
        <v>Cước vận chuyển Container hàng 40' tuyến đường PAN HA - HẢI AN,. BKS: 15C09877</v>
      </c>
      <c r="S57" s="191" t="str">
        <f t="shared" si="2"/>
        <v xml:space="preserve"> hàng 40' </v>
      </c>
      <c r="V57" s="191">
        <v>2</v>
      </c>
    </row>
    <row r="58" spans="1:22" s="191" customFormat="1" ht="15">
      <c r="A58" s="236">
        <v>47</v>
      </c>
      <c r="B58" s="244">
        <v>46108</v>
      </c>
      <c r="C58" s="245" t="s">
        <v>261</v>
      </c>
      <c r="D58" s="246" t="s">
        <v>317</v>
      </c>
      <c r="E58" s="247"/>
      <c r="F58" s="247"/>
      <c r="G58" s="248"/>
      <c r="H58" s="247">
        <v>1</v>
      </c>
      <c r="I58" s="249" t="s">
        <v>304</v>
      </c>
      <c r="J58" s="249" t="s">
        <v>56</v>
      </c>
      <c r="K58" s="249" t="s">
        <v>21</v>
      </c>
      <c r="L58" s="250">
        <f t="shared" si="0"/>
        <v>1</v>
      </c>
      <c r="M58" s="237">
        <f t="array" ref="M58">INDEX('BKTT T4.26'!$N$12:$N$55,MATCH(V58,'BKTT T4.26'!$A$12:$A$55,0),0)</f>
        <v>1002400</v>
      </c>
      <c r="N58" s="162">
        <f t="shared" si="3"/>
        <v>1002400</v>
      </c>
      <c r="O58" s="238" t="s">
        <v>267</v>
      </c>
      <c r="P58" s="251" t="s">
        <v>1448</v>
      </c>
      <c r="R58" s="191" t="str">
        <f t="shared" si="1"/>
        <v>Cước vận chuyển Container vỏ tuyến đường HATECO - PAN HA. BKS: 15C09877</v>
      </c>
      <c r="S58" s="191" t="str">
        <f t="shared" si="2"/>
        <v xml:space="preserve"> vỏ </v>
      </c>
      <c r="V58" s="191">
        <v>35</v>
      </c>
    </row>
    <row r="59" spans="1:22" s="191" customFormat="1" ht="15">
      <c r="A59" s="236">
        <v>48</v>
      </c>
      <c r="B59" s="244">
        <v>46109</v>
      </c>
      <c r="C59" s="245" t="s">
        <v>261</v>
      </c>
      <c r="D59" s="246" t="s">
        <v>318</v>
      </c>
      <c r="E59" s="247">
        <v>1</v>
      </c>
      <c r="F59" s="247"/>
      <c r="G59" s="248"/>
      <c r="H59" s="247"/>
      <c r="I59" s="249" t="s">
        <v>263</v>
      </c>
      <c r="J59" s="249" t="s">
        <v>21</v>
      </c>
      <c r="K59" s="249" t="s">
        <v>49</v>
      </c>
      <c r="L59" s="250">
        <f t="shared" si="0"/>
        <v>1</v>
      </c>
      <c r="M59" s="237">
        <f t="array" ref="M59">INDEX('BKTT T4.26'!$N$12:$N$55,MATCH(V59,'BKTT T4.26'!$A$12:$A$55,0),0)</f>
        <v>576331</v>
      </c>
      <c r="N59" s="162">
        <f t="shared" si="3"/>
        <v>576331</v>
      </c>
      <c r="O59" s="238" t="s">
        <v>264</v>
      </c>
      <c r="P59" s="251" t="s">
        <v>1448</v>
      </c>
      <c r="R59" s="191" t="str">
        <f t="shared" si="1"/>
        <v>Cước vận chuyển Container hàng 20' tuyến đường PAN HA - VIP. BKS: 15C17442</v>
      </c>
      <c r="S59" s="191" t="str">
        <f t="shared" si="2"/>
        <v xml:space="preserve"> hàng 20' </v>
      </c>
      <c r="V59" s="191">
        <v>27</v>
      </c>
    </row>
    <row r="60" spans="1:22" s="191" customFormat="1" ht="15">
      <c r="A60" s="236">
        <v>49</v>
      </c>
      <c r="B60" s="244">
        <v>46109</v>
      </c>
      <c r="C60" s="245" t="s">
        <v>261</v>
      </c>
      <c r="D60" s="246" t="s">
        <v>319</v>
      </c>
      <c r="E60" s="247">
        <v>1</v>
      </c>
      <c r="F60" s="247"/>
      <c r="G60" s="248"/>
      <c r="H60" s="247"/>
      <c r="I60" s="249" t="s">
        <v>263</v>
      </c>
      <c r="J60" s="249" t="s">
        <v>21</v>
      </c>
      <c r="K60" s="249" t="s">
        <v>49</v>
      </c>
      <c r="L60" s="250">
        <f t="shared" si="0"/>
        <v>1</v>
      </c>
      <c r="M60" s="237">
        <f t="array" ref="M60">INDEX('BKTT T4.26'!$N$12:$N$55,MATCH(V60,'BKTT T4.26'!$A$12:$A$55,0),0)</f>
        <v>576331</v>
      </c>
      <c r="N60" s="162">
        <f t="shared" si="3"/>
        <v>576331</v>
      </c>
      <c r="O60" s="238" t="s">
        <v>264</v>
      </c>
      <c r="P60" s="251" t="s">
        <v>1448</v>
      </c>
      <c r="R60" s="191" t="str">
        <f t="shared" si="1"/>
        <v>Cước vận chuyển Container hàng 20' tuyến đường PAN HA - VIP. BKS: 15C17442</v>
      </c>
      <c r="S60" s="191" t="str">
        <f t="shared" si="2"/>
        <v xml:space="preserve"> hàng 20' </v>
      </c>
      <c r="V60" s="191">
        <v>27</v>
      </c>
    </row>
    <row r="61" spans="1:22" s="191" customFormat="1" ht="15">
      <c r="A61" s="236">
        <v>50</v>
      </c>
      <c r="B61" s="244">
        <v>46109</v>
      </c>
      <c r="C61" s="245" t="s">
        <v>261</v>
      </c>
      <c r="D61" s="246" t="s">
        <v>320</v>
      </c>
      <c r="E61" s="247">
        <v>1</v>
      </c>
      <c r="F61" s="247"/>
      <c r="G61" s="248"/>
      <c r="H61" s="247"/>
      <c r="I61" s="249" t="s">
        <v>263</v>
      </c>
      <c r="J61" s="249" t="s">
        <v>21</v>
      </c>
      <c r="K61" s="249" t="s">
        <v>49</v>
      </c>
      <c r="L61" s="250">
        <f t="shared" si="0"/>
        <v>1</v>
      </c>
      <c r="M61" s="237">
        <f t="array" ref="M61">INDEX('BKTT T4.26'!$N$12:$N$55,MATCH(V61,'BKTT T4.26'!$A$12:$A$55,0),0)</f>
        <v>576331</v>
      </c>
      <c r="N61" s="162">
        <f t="shared" si="3"/>
        <v>576331</v>
      </c>
      <c r="O61" s="238" t="s">
        <v>264</v>
      </c>
      <c r="P61" s="251" t="s">
        <v>1448</v>
      </c>
      <c r="R61" s="191" t="str">
        <f t="shared" si="1"/>
        <v>Cước vận chuyển Container hàng 20' tuyến đường PAN HA - VIP. BKS: 15C17442</v>
      </c>
      <c r="S61" s="191" t="str">
        <f t="shared" si="2"/>
        <v xml:space="preserve"> hàng 20' </v>
      </c>
      <c r="V61" s="191">
        <v>27</v>
      </c>
    </row>
    <row r="62" spans="1:22" s="191" customFormat="1" ht="15">
      <c r="A62" s="236">
        <v>51</v>
      </c>
      <c r="B62" s="244">
        <v>46109</v>
      </c>
      <c r="C62" s="245" t="s">
        <v>261</v>
      </c>
      <c r="D62" s="246" t="s">
        <v>321</v>
      </c>
      <c r="E62" s="247">
        <v>1</v>
      </c>
      <c r="F62" s="247"/>
      <c r="G62" s="248"/>
      <c r="H62" s="247"/>
      <c r="I62" s="249" t="s">
        <v>263</v>
      </c>
      <c r="J62" s="249" t="s">
        <v>21</v>
      </c>
      <c r="K62" s="249" t="s">
        <v>49</v>
      </c>
      <c r="L62" s="250">
        <f t="shared" si="0"/>
        <v>1</v>
      </c>
      <c r="M62" s="237">
        <f t="array" ref="M62">INDEX('BKTT T4.26'!$N$12:$N$55,MATCH(V62,'BKTT T4.26'!$A$12:$A$55,0),0)</f>
        <v>576331</v>
      </c>
      <c r="N62" s="162">
        <f t="shared" si="3"/>
        <v>576331</v>
      </c>
      <c r="O62" s="238" t="s">
        <v>264</v>
      </c>
      <c r="P62" s="251" t="s">
        <v>1448</v>
      </c>
      <c r="R62" s="191" t="str">
        <f t="shared" si="1"/>
        <v>Cước vận chuyển Container hàng 20' tuyến đường PAN HA - VIP. BKS: 15C17442</v>
      </c>
      <c r="S62" s="191" t="str">
        <f t="shared" si="2"/>
        <v xml:space="preserve"> hàng 20' </v>
      </c>
      <c r="V62" s="191">
        <v>27</v>
      </c>
    </row>
    <row r="63" spans="1:22" s="191" customFormat="1" ht="15">
      <c r="A63" s="236">
        <v>52</v>
      </c>
      <c r="B63" s="244">
        <v>46109</v>
      </c>
      <c r="C63" s="245" t="s">
        <v>261</v>
      </c>
      <c r="D63" s="246" t="s">
        <v>322</v>
      </c>
      <c r="E63" s="247"/>
      <c r="F63" s="247"/>
      <c r="G63" s="248"/>
      <c r="H63" s="247">
        <v>1</v>
      </c>
      <c r="I63" s="249" t="s">
        <v>263</v>
      </c>
      <c r="J63" s="249" t="s">
        <v>21</v>
      </c>
      <c r="K63" s="249" t="s">
        <v>51</v>
      </c>
      <c r="L63" s="250">
        <f t="shared" si="0"/>
        <v>1</v>
      </c>
      <c r="M63" s="237">
        <f t="array" ref="M63">INDEX('BKTT T4.26'!$N$12:$N$55,MATCH(V63,'BKTT T4.26'!$A$12:$A$55,0),0)</f>
        <v>550151</v>
      </c>
      <c r="N63" s="162">
        <f t="shared" si="3"/>
        <v>550151</v>
      </c>
      <c r="O63" s="238" t="s">
        <v>264</v>
      </c>
      <c r="P63" s="251" t="s">
        <v>1448</v>
      </c>
      <c r="R63" s="191" t="str">
        <f t="shared" si="1"/>
        <v>Cước vận chuyển Container vỏ tuyến đường PAN HA - VIP.. BKS: 15C17442</v>
      </c>
      <c r="S63" s="191" t="str">
        <f t="shared" si="2"/>
        <v xml:space="preserve"> vỏ </v>
      </c>
      <c r="V63" s="191">
        <v>29</v>
      </c>
    </row>
    <row r="64" spans="1:22" s="191" customFormat="1" ht="15">
      <c r="A64" s="236">
        <v>53</v>
      </c>
      <c r="B64" s="244">
        <v>46109</v>
      </c>
      <c r="C64" s="245" t="s">
        <v>261</v>
      </c>
      <c r="D64" s="246" t="s">
        <v>323</v>
      </c>
      <c r="E64" s="247"/>
      <c r="F64" s="247"/>
      <c r="G64" s="248"/>
      <c r="H64" s="247">
        <v>1</v>
      </c>
      <c r="I64" s="249" t="s">
        <v>263</v>
      </c>
      <c r="J64" s="249" t="s">
        <v>21</v>
      </c>
      <c r="K64" s="249" t="s">
        <v>51</v>
      </c>
      <c r="L64" s="250">
        <f t="shared" si="0"/>
        <v>1</v>
      </c>
      <c r="M64" s="237">
        <f t="array" ref="M64">INDEX('BKTT T4.26'!$N$12:$N$55,MATCH(V64,'BKTT T4.26'!$A$12:$A$55,0),0)</f>
        <v>550151</v>
      </c>
      <c r="N64" s="162">
        <f t="shared" si="3"/>
        <v>550151</v>
      </c>
      <c r="O64" s="238" t="s">
        <v>264</v>
      </c>
      <c r="P64" s="251" t="s">
        <v>1448</v>
      </c>
      <c r="R64" s="191" t="str">
        <f t="shared" si="1"/>
        <v>Cước vận chuyển Container vỏ tuyến đường PAN HA - VIP.. BKS: 15C17442</v>
      </c>
      <c r="S64" s="191" t="str">
        <f t="shared" si="2"/>
        <v xml:space="preserve"> vỏ </v>
      </c>
      <c r="V64" s="191">
        <v>29</v>
      </c>
    </row>
    <row r="65" spans="1:22" s="191" customFormat="1" ht="15">
      <c r="A65" s="236">
        <v>54</v>
      </c>
      <c r="B65" s="244">
        <v>46109</v>
      </c>
      <c r="C65" s="245" t="s">
        <v>261</v>
      </c>
      <c r="D65" s="246" t="s">
        <v>324</v>
      </c>
      <c r="E65" s="247"/>
      <c r="F65" s="247">
        <v>1</v>
      </c>
      <c r="G65" s="248"/>
      <c r="H65" s="247"/>
      <c r="I65" s="249" t="s">
        <v>263</v>
      </c>
      <c r="J65" s="249" t="s">
        <v>21</v>
      </c>
      <c r="K65" s="249" t="s">
        <v>25</v>
      </c>
      <c r="L65" s="250">
        <f t="shared" si="0"/>
        <v>1</v>
      </c>
      <c r="M65" s="237">
        <f t="array" ref="M65">INDEX('BKTT T4.26'!$N$12:$N$55,MATCH(V65,'BKTT T4.26'!$A$12:$A$55,0),0)</f>
        <v>681050</v>
      </c>
      <c r="N65" s="162">
        <f t="shared" si="3"/>
        <v>681050</v>
      </c>
      <c r="O65" s="238" t="s">
        <v>264</v>
      </c>
      <c r="P65" s="251" t="s">
        <v>1448</v>
      </c>
      <c r="R65" s="191" t="str">
        <f t="shared" si="1"/>
        <v>Cước vận chuyển Container hàng 40' tuyến đường PAN HA - HẢI AN,. BKS: 15C17442</v>
      </c>
      <c r="S65" s="191" t="str">
        <f t="shared" si="2"/>
        <v xml:space="preserve"> hàng 40' </v>
      </c>
      <c r="V65" s="191">
        <v>2</v>
      </c>
    </row>
    <row r="66" spans="1:22" s="191" customFormat="1" ht="15">
      <c r="A66" s="236">
        <v>55</v>
      </c>
      <c r="B66" s="244">
        <v>46109</v>
      </c>
      <c r="C66" s="245" t="s">
        <v>261</v>
      </c>
      <c r="D66" s="246" t="s">
        <v>325</v>
      </c>
      <c r="E66" s="247"/>
      <c r="F66" s="247"/>
      <c r="G66" s="248"/>
      <c r="H66" s="247">
        <v>1</v>
      </c>
      <c r="I66" s="249" t="s">
        <v>274</v>
      </c>
      <c r="J66" s="249" t="s">
        <v>56</v>
      </c>
      <c r="K66" s="249" t="s">
        <v>21</v>
      </c>
      <c r="L66" s="250">
        <f t="shared" si="0"/>
        <v>1</v>
      </c>
      <c r="M66" s="237">
        <f t="array" ref="M66">INDEX('BKTT T4.26'!$N$12:$N$55,MATCH(V66,'BKTT T4.26'!$A$12:$A$55,0),0)</f>
        <v>1002400</v>
      </c>
      <c r="N66" s="162">
        <f t="shared" si="3"/>
        <v>1002400</v>
      </c>
      <c r="O66" s="238" t="s">
        <v>267</v>
      </c>
      <c r="P66" s="251" t="s">
        <v>1448</v>
      </c>
      <c r="R66" s="191" t="str">
        <f t="shared" si="1"/>
        <v>Cước vận chuyển Container vỏ tuyến đường HATECO - PAN HA. BKS: 15H12925</v>
      </c>
      <c r="S66" s="191" t="str">
        <f t="shared" si="2"/>
        <v xml:space="preserve"> vỏ </v>
      </c>
      <c r="V66" s="191">
        <v>35</v>
      </c>
    </row>
    <row r="67" spans="1:22" s="191" customFormat="1" ht="15">
      <c r="A67" s="236">
        <v>56</v>
      </c>
      <c r="B67" s="244">
        <v>46109</v>
      </c>
      <c r="C67" s="245" t="s">
        <v>261</v>
      </c>
      <c r="D67" s="246" t="s">
        <v>326</v>
      </c>
      <c r="E67" s="247"/>
      <c r="F67" s="247"/>
      <c r="G67" s="248"/>
      <c r="H67" s="247">
        <v>1</v>
      </c>
      <c r="I67" s="249" t="s">
        <v>274</v>
      </c>
      <c r="J67" s="249" t="s">
        <v>56</v>
      </c>
      <c r="K67" s="249" t="s">
        <v>21</v>
      </c>
      <c r="L67" s="250">
        <f t="shared" si="0"/>
        <v>1</v>
      </c>
      <c r="M67" s="237">
        <f t="array" ref="M67">INDEX('BKTT T4.26'!$N$12:$N$55,MATCH(V67,'BKTT T4.26'!$A$12:$A$55,0),0)</f>
        <v>1002400</v>
      </c>
      <c r="N67" s="162">
        <f t="shared" si="3"/>
        <v>1002400</v>
      </c>
      <c r="O67" s="238" t="s">
        <v>267</v>
      </c>
      <c r="P67" s="251" t="s">
        <v>1448</v>
      </c>
      <c r="R67" s="191" t="str">
        <f t="shared" si="1"/>
        <v>Cước vận chuyển Container vỏ tuyến đường HATECO - PAN HA. BKS: 15H12925</v>
      </c>
      <c r="S67" s="191" t="str">
        <f t="shared" si="2"/>
        <v xml:space="preserve"> vỏ </v>
      </c>
      <c r="V67" s="191">
        <v>35</v>
      </c>
    </row>
    <row r="68" spans="1:22" s="191" customFormat="1" ht="15">
      <c r="A68" s="236">
        <v>57</v>
      </c>
      <c r="B68" s="244">
        <v>46109</v>
      </c>
      <c r="C68" s="245" t="s">
        <v>261</v>
      </c>
      <c r="D68" s="246" t="s">
        <v>327</v>
      </c>
      <c r="E68" s="247"/>
      <c r="F68" s="247">
        <v>1</v>
      </c>
      <c r="G68" s="248"/>
      <c r="H68" s="247"/>
      <c r="I68" s="249" t="s">
        <v>274</v>
      </c>
      <c r="J68" s="249" t="s">
        <v>21</v>
      </c>
      <c r="K68" s="249" t="s">
        <v>50</v>
      </c>
      <c r="L68" s="250">
        <f t="shared" si="0"/>
        <v>1</v>
      </c>
      <c r="M68" s="237">
        <f t="array" ref="M68">INDEX('BKTT T4.26'!$N$12:$N$55,MATCH(V68,'BKTT T4.26'!$A$12:$A$55,0),0)</f>
        <v>602510</v>
      </c>
      <c r="N68" s="162">
        <f t="shared" si="3"/>
        <v>602510</v>
      </c>
      <c r="O68" s="238" t="s">
        <v>264</v>
      </c>
      <c r="P68" s="251" t="s">
        <v>1448</v>
      </c>
      <c r="R68" s="191" t="str">
        <f t="shared" si="1"/>
        <v>Cước vận chuyển Container hàng 40' tuyến đường PAN HA - VIP,. BKS: 15H12925</v>
      </c>
      <c r="S68" s="191" t="str">
        <f t="shared" si="2"/>
        <v xml:space="preserve"> hàng 40' </v>
      </c>
      <c r="V68" s="191">
        <v>28</v>
      </c>
    </row>
    <row r="69" spans="1:22" s="191" customFormat="1" ht="15">
      <c r="A69" s="236">
        <v>58</v>
      </c>
      <c r="B69" s="244">
        <v>46109</v>
      </c>
      <c r="C69" s="245" t="s">
        <v>261</v>
      </c>
      <c r="D69" s="246" t="s">
        <v>328</v>
      </c>
      <c r="E69" s="247"/>
      <c r="F69" s="247">
        <v>1</v>
      </c>
      <c r="G69" s="248"/>
      <c r="H69" s="247"/>
      <c r="I69" s="249" t="s">
        <v>274</v>
      </c>
      <c r="J69" s="249" t="s">
        <v>21</v>
      </c>
      <c r="K69" s="249" t="s">
        <v>50</v>
      </c>
      <c r="L69" s="250">
        <f t="shared" si="0"/>
        <v>1</v>
      </c>
      <c r="M69" s="237">
        <f t="array" ref="M69">INDEX('BKTT T4.26'!$N$12:$N$55,MATCH(V69,'BKTT T4.26'!$A$12:$A$55,0),0)</f>
        <v>602510</v>
      </c>
      <c r="N69" s="162">
        <f t="shared" si="3"/>
        <v>602510</v>
      </c>
      <c r="O69" s="238" t="s">
        <v>264</v>
      </c>
      <c r="P69" s="251" t="s">
        <v>1448</v>
      </c>
      <c r="R69" s="191" t="str">
        <f t="shared" si="1"/>
        <v>Cước vận chuyển Container hàng 40' tuyến đường PAN HA - VIP,. BKS: 15H12925</v>
      </c>
      <c r="S69" s="191" t="str">
        <f t="shared" si="2"/>
        <v xml:space="preserve"> hàng 40' </v>
      </c>
      <c r="V69" s="191">
        <v>28</v>
      </c>
    </row>
    <row r="70" spans="1:22" s="191" customFormat="1" ht="15">
      <c r="A70" s="236">
        <v>59</v>
      </c>
      <c r="B70" s="244">
        <v>46109</v>
      </c>
      <c r="C70" s="245" t="s">
        <v>261</v>
      </c>
      <c r="D70" s="246" t="s">
        <v>329</v>
      </c>
      <c r="E70" s="247"/>
      <c r="F70" s="247">
        <v>1</v>
      </c>
      <c r="G70" s="248"/>
      <c r="H70" s="247"/>
      <c r="I70" s="249" t="s">
        <v>274</v>
      </c>
      <c r="J70" s="249" t="s">
        <v>21</v>
      </c>
      <c r="K70" s="249" t="s">
        <v>50</v>
      </c>
      <c r="L70" s="250">
        <f t="shared" si="0"/>
        <v>1</v>
      </c>
      <c r="M70" s="237">
        <f t="array" ref="M70">INDEX('BKTT T4.26'!$N$12:$N$55,MATCH(V70,'BKTT T4.26'!$A$12:$A$55,0),0)</f>
        <v>602510</v>
      </c>
      <c r="N70" s="162">
        <f t="shared" si="3"/>
        <v>602510</v>
      </c>
      <c r="O70" s="238" t="s">
        <v>264</v>
      </c>
      <c r="P70" s="251" t="s">
        <v>1448</v>
      </c>
      <c r="R70" s="191" t="str">
        <f t="shared" si="1"/>
        <v>Cước vận chuyển Container hàng 40' tuyến đường PAN HA - VIP,. BKS: 15H12925</v>
      </c>
      <c r="S70" s="191" t="str">
        <f t="shared" si="2"/>
        <v xml:space="preserve"> hàng 40' </v>
      </c>
      <c r="V70" s="191">
        <v>28</v>
      </c>
    </row>
    <row r="71" spans="1:22" s="191" customFormat="1" ht="15">
      <c r="A71" s="236">
        <v>60</v>
      </c>
      <c r="B71" s="244">
        <v>46109</v>
      </c>
      <c r="C71" s="245" t="s">
        <v>261</v>
      </c>
      <c r="D71" s="246" t="s">
        <v>330</v>
      </c>
      <c r="E71" s="247"/>
      <c r="F71" s="247">
        <v>1</v>
      </c>
      <c r="G71" s="248"/>
      <c r="H71" s="247"/>
      <c r="I71" s="249" t="s">
        <v>274</v>
      </c>
      <c r="J71" s="249" t="s">
        <v>21</v>
      </c>
      <c r="K71" s="249" t="s">
        <v>50</v>
      </c>
      <c r="L71" s="250">
        <f t="shared" si="0"/>
        <v>1</v>
      </c>
      <c r="M71" s="237">
        <f t="array" ref="M71">INDEX('BKTT T4.26'!$N$12:$N$55,MATCH(V71,'BKTT T4.26'!$A$12:$A$55,0),0)</f>
        <v>602510</v>
      </c>
      <c r="N71" s="162">
        <f t="shared" si="3"/>
        <v>602510</v>
      </c>
      <c r="O71" s="238" t="s">
        <v>264</v>
      </c>
      <c r="P71" s="251" t="s">
        <v>1448</v>
      </c>
      <c r="R71" s="191" t="str">
        <f t="shared" si="1"/>
        <v>Cước vận chuyển Container hàng 40' tuyến đường PAN HA - VIP,. BKS: 15H12925</v>
      </c>
      <c r="S71" s="191" t="str">
        <f t="shared" si="2"/>
        <v xml:space="preserve"> hàng 40' </v>
      </c>
      <c r="V71" s="191">
        <v>28</v>
      </c>
    </row>
    <row r="72" spans="1:22" s="191" customFormat="1" ht="15">
      <c r="A72" s="236">
        <v>61</v>
      </c>
      <c r="B72" s="244">
        <v>46109</v>
      </c>
      <c r="C72" s="245" t="s">
        <v>261</v>
      </c>
      <c r="D72" s="246" t="s">
        <v>331</v>
      </c>
      <c r="E72" s="247"/>
      <c r="F72" s="247">
        <v>1</v>
      </c>
      <c r="G72" s="248"/>
      <c r="H72" s="247"/>
      <c r="I72" s="249" t="s">
        <v>274</v>
      </c>
      <c r="J72" s="249" t="s">
        <v>21</v>
      </c>
      <c r="K72" s="249" t="s">
        <v>25</v>
      </c>
      <c r="L72" s="250">
        <f t="shared" si="0"/>
        <v>1</v>
      </c>
      <c r="M72" s="237">
        <f t="array" ref="M72">INDEX('BKTT T4.26'!$N$12:$N$55,MATCH(V72,'BKTT T4.26'!$A$12:$A$55,0),0)</f>
        <v>681050</v>
      </c>
      <c r="N72" s="162">
        <f t="shared" si="3"/>
        <v>681050</v>
      </c>
      <c r="O72" s="238" t="s">
        <v>264</v>
      </c>
      <c r="P72" s="251" t="s">
        <v>1448</v>
      </c>
      <c r="R72" s="191" t="str">
        <f t="shared" si="1"/>
        <v>Cước vận chuyển Container hàng 40' tuyến đường PAN HA - HẢI AN,. BKS: 15H12925</v>
      </c>
      <c r="S72" s="191" t="str">
        <f t="shared" si="2"/>
        <v xml:space="preserve"> hàng 40' </v>
      </c>
      <c r="V72" s="191">
        <v>2</v>
      </c>
    </row>
    <row r="73" spans="1:22" s="191" customFormat="1" ht="15">
      <c r="A73" s="236">
        <v>62</v>
      </c>
      <c r="B73" s="244">
        <v>46109</v>
      </c>
      <c r="C73" s="245" t="s">
        <v>261</v>
      </c>
      <c r="D73" s="246" t="s">
        <v>332</v>
      </c>
      <c r="E73" s="247"/>
      <c r="F73" s="247">
        <v>1</v>
      </c>
      <c r="G73" s="248"/>
      <c r="H73" s="247"/>
      <c r="I73" s="249" t="s">
        <v>274</v>
      </c>
      <c r="J73" s="249" t="s">
        <v>21</v>
      </c>
      <c r="K73" s="249" t="s">
        <v>25</v>
      </c>
      <c r="L73" s="250">
        <f t="shared" si="0"/>
        <v>1</v>
      </c>
      <c r="M73" s="237">
        <f t="array" ref="M73">INDEX('BKTT T4.26'!$N$12:$N$55,MATCH(V73,'BKTT T4.26'!$A$12:$A$55,0),0)</f>
        <v>681050</v>
      </c>
      <c r="N73" s="162">
        <f t="shared" si="3"/>
        <v>681050</v>
      </c>
      <c r="O73" s="238" t="s">
        <v>264</v>
      </c>
      <c r="P73" s="251" t="s">
        <v>1448</v>
      </c>
      <c r="R73" s="191" t="str">
        <f t="shared" si="1"/>
        <v>Cước vận chuyển Container hàng 40' tuyến đường PAN HA - HẢI AN,. BKS: 15H12925</v>
      </c>
      <c r="S73" s="191" t="str">
        <f t="shared" si="2"/>
        <v xml:space="preserve"> hàng 40' </v>
      </c>
      <c r="V73" s="191">
        <v>2</v>
      </c>
    </row>
    <row r="74" spans="1:22" s="191" customFormat="1" ht="15">
      <c r="A74" s="236">
        <v>63</v>
      </c>
      <c r="B74" s="244">
        <v>46109</v>
      </c>
      <c r="C74" s="245" t="s">
        <v>261</v>
      </c>
      <c r="D74" s="246" t="s">
        <v>333</v>
      </c>
      <c r="E74" s="247"/>
      <c r="F74" s="247">
        <v>1</v>
      </c>
      <c r="G74" s="248"/>
      <c r="H74" s="247"/>
      <c r="I74" s="249" t="s">
        <v>274</v>
      </c>
      <c r="J74" s="249" t="s">
        <v>21</v>
      </c>
      <c r="K74" s="249" t="s">
        <v>25</v>
      </c>
      <c r="L74" s="250">
        <f t="shared" si="0"/>
        <v>1</v>
      </c>
      <c r="M74" s="237">
        <f t="array" ref="M74">INDEX('BKTT T4.26'!$N$12:$N$55,MATCH(V74,'BKTT T4.26'!$A$12:$A$55,0),0)</f>
        <v>681050</v>
      </c>
      <c r="N74" s="162">
        <f t="shared" si="3"/>
        <v>681050</v>
      </c>
      <c r="O74" s="238" t="s">
        <v>264</v>
      </c>
      <c r="P74" s="251" t="s">
        <v>1448</v>
      </c>
      <c r="R74" s="191" t="str">
        <f t="shared" si="1"/>
        <v>Cước vận chuyển Container hàng 40' tuyến đường PAN HA - HẢI AN,. BKS: 15H12925</v>
      </c>
      <c r="S74" s="191" t="str">
        <f t="shared" si="2"/>
        <v xml:space="preserve"> hàng 40' </v>
      </c>
      <c r="V74" s="191">
        <v>2</v>
      </c>
    </row>
    <row r="75" spans="1:22" s="191" customFormat="1" ht="15">
      <c r="A75" s="236">
        <v>64</v>
      </c>
      <c r="B75" s="244">
        <v>46107</v>
      </c>
      <c r="C75" s="245" t="s">
        <v>261</v>
      </c>
      <c r="D75" s="246" t="s">
        <v>334</v>
      </c>
      <c r="E75" s="247"/>
      <c r="F75" s="247"/>
      <c r="G75" s="248">
        <v>0.5</v>
      </c>
      <c r="H75" s="247"/>
      <c r="I75" s="249" t="s">
        <v>335</v>
      </c>
      <c r="J75" s="249" t="s">
        <v>56</v>
      </c>
      <c r="K75" s="249" t="s">
        <v>21</v>
      </c>
      <c r="L75" s="250">
        <f t="shared" si="0"/>
        <v>0.5</v>
      </c>
      <c r="M75" s="237">
        <f t="array" ref="M75">INDEX('BKTT T4.26'!$N$12:$N$55,MATCH(V75,'BKTT T4.26'!$A$12:$A$55,0),0)</f>
        <v>1002400</v>
      </c>
      <c r="N75" s="162">
        <f t="shared" si="3"/>
        <v>501200</v>
      </c>
      <c r="O75" s="238" t="s">
        <v>267</v>
      </c>
      <c r="P75" s="251" t="s">
        <v>1448</v>
      </c>
      <c r="R75" s="191" t="str">
        <f t="shared" si="1"/>
        <v>Cước vận chuyển Container vỏ tuyến đường HATECO - PAN HA. BKS: 15H18552</v>
      </c>
      <c r="S75" s="191" t="str">
        <f t="shared" si="2"/>
        <v xml:space="preserve"> vỏ </v>
      </c>
      <c r="V75" s="191">
        <v>35</v>
      </c>
    </row>
    <row r="76" spans="1:22" s="191" customFormat="1" ht="15">
      <c r="A76" s="236">
        <v>65</v>
      </c>
      <c r="B76" s="244">
        <v>46107</v>
      </c>
      <c r="C76" s="245" t="s">
        <v>261</v>
      </c>
      <c r="D76" s="246" t="s">
        <v>336</v>
      </c>
      <c r="E76" s="247"/>
      <c r="F76" s="247"/>
      <c r="G76" s="248">
        <v>0.5</v>
      </c>
      <c r="H76" s="247"/>
      <c r="I76" s="249" t="s">
        <v>335</v>
      </c>
      <c r="J76" s="249" t="s">
        <v>56</v>
      </c>
      <c r="K76" s="249" t="s">
        <v>21</v>
      </c>
      <c r="L76" s="250">
        <f t="shared" ref="L76:L136" si="4">E76+F76+G76+H76</f>
        <v>0.5</v>
      </c>
      <c r="M76" s="237">
        <f t="array" ref="M76">INDEX('BKTT T4.26'!$N$12:$N$55,MATCH(V76,'BKTT T4.26'!$A$12:$A$55,0),0)</f>
        <v>1002400</v>
      </c>
      <c r="N76" s="162">
        <f t="shared" si="3"/>
        <v>501200</v>
      </c>
      <c r="O76" s="238" t="s">
        <v>267</v>
      </c>
      <c r="P76" s="251" t="s">
        <v>1448</v>
      </c>
      <c r="R76" s="191" t="str">
        <f t="shared" ref="R76:R136" si="5">$R$10&amp;S76&amp;$R$9&amp;J76&amp;$S$10&amp;K76&amp;$R$8&amp;I76</f>
        <v>Cước vận chuyển Container vỏ tuyến đường HATECO - PAN HA. BKS: 15H18552</v>
      </c>
      <c r="S76" s="191" t="str">
        <f t="shared" ref="S76:S136" si="6">IF(E76=1," hàng 20' ",IF(F76=1," hàng 40' "," vỏ "))</f>
        <v xml:space="preserve"> vỏ </v>
      </c>
      <c r="V76" s="191">
        <v>35</v>
      </c>
    </row>
    <row r="77" spans="1:22" s="191" customFormat="1" ht="15">
      <c r="A77" s="236">
        <v>66</v>
      </c>
      <c r="B77" s="244">
        <v>46107</v>
      </c>
      <c r="C77" s="245" t="s">
        <v>261</v>
      </c>
      <c r="D77" s="246" t="s">
        <v>337</v>
      </c>
      <c r="E77" s="247"/>
      <c r="F77" s="247"/>
      <c r="G77" s="248">
        <v>0.5</v>
      </c>
      <c r="H77" s="247"/>
      <c r="I77" s="249" t="s">
        <v>335</v>
      </c>
      <c r="J77" s="249" t="s">
        <v>56</v>
      </c>
      <c r="K77" s="249" t="s">
        <v>21</v>
      </c>
      <c r="L77" s="250">
        <f t="shared" si="4"/>
        <v>0.5</v>
      </c>
      <c r="M77" s="237">
        <f t="array" ref="M77">INDEX('BKTT T4.26'!$N$12:$N$55,MATCH(V77,'BKTT T4.26'!$A$12:$A$55,0),0)</f>
        <v>1002400</v>
      </c>
      <c r="N77" s="162">
        <f t="shared" si="3"/>
        <v>501200</v>
      </c>
      <c r="O77" s="238" t="s">
        <v>267</v>
      </c>
      <c r="P77" s="251" t="s">
        <v>1448</v>
      </c>
      <c r="R77" s="191" t="str">
        <f t="shared" si="5"/>
        <v>Cước vận chuyển Container vỏ tuyến đường HATECO - PAN HA. BKS: 15H18552</v>
      </c>
      <c r="S77" s="191" t="str">
        <f t="shared" si="6"/>
        <v xml:space="preserve"> vỏ </v>
      </c>
      <c r="V77" s="191">
        <v>35</v>
      </c>
    </row>
    <row r="78" spans="1:22" s="191" customFormat="1" ht="15">
      <c r="A78" s="236">
        <v>67</v>
      </c>
      <c r="B78" s="244">
        <v>46107</v>
      </c>
      <c r="C78" s="245" t="s">
        <v>261</v>
      </c>
      <c r="D78" s="246" t="s">
        <v>338</v>
      </c>
      <c r="E78" s="247"/>
      <c r="F78" s="247"/>
      <c r="G78" s="248">
        <v>0.5</v>
      </c>
      <c r="H78" s="247"/>
      <c r="I78" s="249" t="s">
        <v>335</v>
      </c>
      <c r="J78" s="249" t="s">
        <v>56</v>
      </c>
      <c r="K78" s="249" t="s">
        <v>21</v>
      </c>
      <c r="L78" s="250">
        <f t="shared" si="4"/>
        <v>0.5</v>
      </c>
      <c r="M78" s="237">
        <f t="array" ref="M78">INDEX('BKTT T4.26'!$N$12:$N$55,MATCH(V78,'BKTT T4.26'!$A$12:$A$55,0),0)</f>
        <v>1002400</v>
      </c>
      <c r="N78" s="162">
        <f t="shared" ref="N78:N138" si="7">L78*M78</f>
        <v>501200</v>
      </c>
      <c r="O78" s="238" t="s">
        <v>267</v>
      </c>
      <c r="P78" s="251" t="s">
        <v>1448</v>
      </c>
      <c r="R78" s="191" t="str">
        <f t="shared" si="5"/>
        <v>Cước vận chuyển Container vỏ tuyến đường HATECO - PAN HA. BKS: 15H18552</v>
      </c>
      <c r="S78" s="191" t="str">
        <f t="shared" si="6"/>
        <v xml:space="preserve"> vỏ </v>
      </c>
      <c r="V78" s="191">
        <v>35</v>
      </c>
    </row>
    <row r="79" spans="1:22" s="191" customFormat="1" ht="15">
      <c r="A79" s="236">
        <v>68</v>
      </c>
      <c r="B79" s="244">
        <v>46109</v>
      </c>
      <c r="C79" s="245" t="s">
        <v>261</v>
      </c>
      <c r="D79" s="246" t="s">
        <v>339</v>
      </c>
      <c r="E79" s="247">
        <v>1</v>
      </c>
      <c r="F79" s="247"/>
      <c r="G79" s="248"/>
      <c r="H79" s="247"/>
      <c r="I79" s="249" t="s">
        <v>282</v>
      </c>
      <c r="J79" s="249" t="s">
        <v>21</v>
      </c>
      <c r="K79" s="249" t="s">
        <v>49</v>
      </c>
      <c r="L79" s="250">
        <f t="shared" si="4"/>
        <v>1</v>
      </c>
      <c r="M79" s="237">
        <f t="array" ref="M79">INDEX('BKTT T4.26'!$N$12:$N$55,MATCH(V79,'BKTT T4.26'!$A$12:$A$55,0),0)</f>
        <v>576331</v>
      </c>
      <c r="N79" s="162">
        <f t="shared" si="7"/>
        <v>576331</v>
      </c>
      <c r="O79" s="238" t="s">
        <v>264</v>
      </c>
      <c r="P79" s="251" t="s">
        <v>1448</v>
      </c>
      <c r="R79" s="191" t="str">
        <f t="shared" si="5"/>
        <v>Cước vận chuyển Container hàng 20' tuyến đường PAN HA - VIP. BKS: 15C17301</v>
      </c>
      <c r="S79" s="191" t="str">
        <f t="shared" si="6"/>
        <v xml:space="preserve"> hàng 20' </v>
      </c>
      <c r="V79" s="191">
        <v>27</v>
      </c>
    </row>
    <row r="80" spans="1:22" s="191" customFormat="1" ht="15">
      <c r="A80" s="236">
        <v>69</v>
      </c>
      <c r="B80" s="244">
        <v>46109</v>
      </c>
      <c r="C80" s="245" t="s">
        <v>261</v>
      </c>
      <c r="D80" s="246" t="s">
        <v>340</v>
      </c>
      <c r="E80" s="247">
        <v>1</v>
      </c>
      <c r="F80" s="247"/>
      <c r="G80" s="248"/>
      <c r="H80" s="247"/>
      <c r="I80" s="249" t="s">
        <v>282</v>
      </c>
      <c r="J80" s="249" t="s">
        <v>21</v>
      </c>
      <c r="K80" s="249" t="s">
        <v>49</v>
      </c>
      <c r="L80" s="250">
        <f t="shared" si="4"/>
        <v>1</v>
      </c>
      <c r="M80" s="237">
        <f t="array" ref="M80">INDEX('BKTT T4.26'!$N$12:$N$55,MATCH(V80,'BKTT T4.26'!$A$12:$A$55,0),0)</f>
        <v>576331</v>
      </c>
      <c r="N80" s="162">
        <f t="shared" si="7"/>
        <v>576331</v>
      </c>
      <c r="O80" s="238" t="s">
        <v>264</v>
      </c>
      <c r="P80" s="251" t="s">
        <v>1448</v>
      </c>
      <c r="R80" s="191" t="str">
        <f t="shared" si="5"/>
        <v>Cước vận chuyển Container hàng 20' tuyến đường PAN HA - VIP. BKS: 15C17301</v>
      </c>
      <c r="S80" s="191" t="str">
        <f t="shared" si="6"/>
        <v xml:space="preserve"> hàng 20' </v>
      </c>
      <c r="V80" s="191">
        <v>27</v>
      </c>
    </row>
    <row r="81" spans="1:22" s="191" customFormat="1" ht="15">
      <c r="A81" s="236">
        <v>70</v>
      </c>
      <c r="B81" s="244">
        <v>46109</v>
      </c>
      <c r="C81" s="245" t="s">
        <v>261</v>
      </c>
      <c r="D81" s="246" t="s">
        <v>341</v>
      </c>
      <c r="E81" s="247">
        <v>1</v>
      </c>
      <c r="F81" s="247"/>
      <c r="G81" s="248"/>
      <c r="H81" s="247"/>
      <c r="I81" s="249" t="s">
        <v>282</v>
      </c>
      <c r="J81" s="249" t="s">
        <v>21</v>
      </c>
      <c r="K81" s="249" t="s">
        <v>49</v>
      </c>
      <c r="L81" s="250">
        <f t="shared" si="4"/>
        <v>1</v>
      </c>
      <c r="M81" s="237">
        <f t="array" ref="M81">INDEX('BKTT T4.26'!$N$12:$N$55,MATCH(V81,'BKTT T4.26'!$A$12:$A$55,0),0)</f>
        <v>576331</v>
      </c>
      <c r="N81" s="162">
        <f t="shared" si="7"/>
        <v>576331</v>
      </c>
      <c r="O81" s="238" t="s">
        <v>264</v>
      </c>
      <c r="P81" s="251" t="s">
        <v>1448</v>
      </c>
      <c r="R81" s="191" t="str">
        <f t="shared" si="5"/>
        <v>Cước vận chuyển Container hàng 20' tuyến đường PAN HA - VIP. BKS: 15C17301</v>
      </c>
      <c r="S81" s="191" t="str">
        <f t="shared" si="6"/>
        <v xml:space="preserve"> hàng 20' </v>
      </c>
      <c r="V81" s="191">
        <v>27</v>
      </c>
    </row>
    <row r="82" spans="1:22" s="191" customFormat="1" ht="15">
      <c r="A82" s="236">
        <v>71</v>
      </c>
      <c r="B82" s="244">
        <v>46109</v>
      </c>
      <c r="C82" s="245" t="s">
        <v>261</v>
      </c>
      <c r="D82" s="246" t="s">
        <v>342</v>
      </c>
      <c r="E82" s="247">
        <v>1</v>
      </c>
      <c r="F82" s="247"/>
      <c r="G82" s="248"/>
      <c r="H82" s="247"/>
      <c r="I82" s="249" t="s">
        <v>282</v>
      </c>
      <c r="J82" s="249" t="s">
        <v>21</v>
      </c>
      <c r="K82" s="249" t="s">
        <v>49</v>
      </c>
      <c r="L82" s="250">
        <f t="shared" si="4"/>
        <v>1</v>
      </c>
      <c r="M82" s="237">
        <f t="array" ref="M82">INDEX('BKTT T4.26'!$N$12:$N$55,MATCH(V82,'BKTT T4.26'!$A$12:$A$55,0),0)</f>
        <v>576331</v>
      </c>
      <c r="N82" s="162">
        <f t="shared" si="7"/>
        <v>576331</v>
      </c>
      <c r="O82" s="238" t="s">
        <v>264</v>
      </c>
      <c r="P82" s="251" t="s">
        <v>1448</v>
      </c>
      <c r="R82" s="191" t="str">
        <f t="shared" si="5"/>
        <v>Cước vận chuyển Container hàng 20' tuyến đường PAN HA - VIP. BKS: 15C17301</v>
      </c>
      <c r="S82" s="191" t="str">
        <f t="shared" si="6"/>
        <v xml:space="preserve"> hàng 20' </v>
      </c>
      <c r="V82" s="191">
        <v>27</v>
      </c>
    </row>
    <row r="83" spans="1:22" s="191" customFormat="1" ht="15">
      <c r="A83" s="236">
        <v>72</v>
      </c>
      <c r="B83" s="244">
        <v>46109</v>
      </c>
      <c r="C83" s="245" t="s">
        <v>261</v>
      </c>
      <c r="D83" s="246" t="s">
        <v>343</v>
      </c>
      <c r="E83" s="247"/>
      <c r="F83" s="247">
        <v>1</v>
      </c>
      <c r="G83" s="248"/>
      <c r="H83" s="247"/>
      <c r="I83" s="249" t="s">
        <v>282</v>
      </c>
      <c r="J83" s="249" t="s">
        <v>21</v>
      </c>
      <c r="K83" s="249" t="s">
        <v>25</v>
      </c>
      <c r="L83" s="250">
        <f t="shared" si="4"/>
        <v>1</v>
      </c>
      <c r="M83" s="237">
        <f t="array" ref="M83">INDEX('BKTT T4.26'!$N$12:$N$55,MATCH(V83,'BKTT T4.26'!$A$12:$A$55,0),0)</f>
        <v>681050</v>
      </c>
      <c r="N83" s="162">
        <f t="shared" si="7"/>
        <v>681050</v>
      </c>
      <c r="O83" s="238" t="s">
        <v>264</v>
      </c>
      <c r="P83" s="251" t="s">
        <v>1448</v>
      </c>
      <c r="R83" s="191" t="str">
        <f t="shared" si="5"/>
        <v>Cước vận chuyển Container hàng 40' tuyến đường PAN HA - HẢI AN,. BKS: 15C17301</v>
      </c>
      <c r="S83" s="191" t="str">
        <f t="shared" si="6"/>
        <v xml:space="preserve"> hàng 40' </v>
      </c>
      <c r="V83" s="191">
        <v>2</v>
      </c>
    </row>
    <row r="84" spans="1:22" s="191" customFormat="1" ht="15">
      <c r="A84" s="236">
        <v>73</v>
      </c>
      <c r="B84" s="244">
        <v>46109</v>
      </c>
      <c r="C84" s="245" t="s">
        <v>261</v>
      </c>
      <c r="D84" s="246" t="s">
        <v>344</v>
      </c>
      <c r="E84" s="247"/>
      <c r="F84" s="247">
        <v>1</v>
      </c>
      <c r="G84" s="248"/>
      <c r="H84" s="247"/>
      <c r="I84" s="249" t="s">
        <v>282</v>
      </c>
      <c r="J84" s="249" t="s">
        <v>21</v>
      </c>
      <c r="K84" s="249" t="s">
        <v>25</v>
      </c>
      <c r="L84" s="250">
        <f t="shared" si="4"/>
        <v>1</v>
      </c>
      <c r="M84" s="237">
        <f t="array" ref="M84">INDEX('BKTT T4.26'!$N$12:$N$55,MATCH(V84,'BKTT T4.26'!$A$12:$A$55,0),0)</f>
        <v>681050</v>
      </c>
      <c r="N84" s="162">
        <f t="shared" si="7"/>
        <v>681050</v>
      </c>
      <c r="O84" s="238" t="s">
        <v>264</v>
      </c>
      <c r="P84" s="251" t="s">
        <v>1448</v>
      </c>
      <c r="R84" s="191" t="str">
        <f t="shared" si="5"/>
        <v>Cước vận chuyển Container hàng 40' tuyến đường PAN HA - HẢI AN,. BKS: 15C17301</v>
      </c>
      <c r="S84" s="191" t="str">
        <f t="shared" si="6"/>
        <v xml:space="preserve"> hàng 40' </v>
      </c>
      <c r="V84" s="191">
        <v>2</v>
      </c>
    </row>
    <row r="85" spans="1:22" s="191" customFormat="1" ht="15">
      <c r="A85" s="236">
        <v>74</v>
      </c>
      <c r="B85" s="244">
        <v>46109</v>
      </c>
      <c r="C85" s="245" t="s">
        <v>261</v>
      </c>
      <c r="D85" s="246" t="s">
        <v>345</v>
      </c>
      <c r="E85" s="247"/>
      <c r="F85" s="247">
        <v>1</v>
      </c>
      <c r="G85" s="248"/>
      <c r="H85" s="247"/>
      <c r="I85" s="249" t="s">
        <v>282</v>
      </c>
      <c r="J85" s="249" t="s">
        <v>21</v>
      </c>
      <c r="K85" s="249" t="s">
        <v>25</v>
      </c>
      <c r="L85" s="250">
        <f t="shared" si="4"/>
        <v>1</v>
      </c>
      <c r="M85" s="237">
        <f t="array" ref="M85">INDEX('BKTT T4.26'!$N$12:$N$55,MATCH(V85,'BKTT T4.26'!$A$12:$A$55,0),0)</f>
        <v>681050</v>
      </c>
      <c r="N85" s="162">
        <f t="shared" si="7"/>
        <v>681050</v>
      </c>
      <c r="O85" s="238" t="s">
        <v>264</v>
      </c>
      <c r="P85" s="251" t="s">
        <v>1448</v>
      </c>
      <c r="R85" s="191" t="str">
        <f t="shared" si="5"/>
        <v>Cước vận chuyển Container hàng 40' tuyến đường PAN HA - HẢI AN,. BKS: 15C17301</v>
      </c>
      <c r="S85" s="191" t="str">
        <f t="shared" si="6"/>
        <v xml:space="preserve"> hàng 40' </v>
      </c>
      <c r="V85" s="191">
        <v>2</v>
      </c>
    </row>
    <row r="86" spans="1:22" s="191" customFormat="1" ht="15">
      <c r="A86" s="236">
        <v>75</v>
      </c>
      <c r="B86" s="244">
        <v>46109</v>
      </c>
      <c r="C86" s="245" t="s">
        <v>261</v>
      </c>
      <c r="D86" s="246" t="s">
        <v>346</v>
      </c>
      <c r="E86" s="247"/>
      <c r="F86" s="247">
        <v>1</v>
      </c>
      <c r="G86" s="248"/>
      <c r="H86" s="247"/>
      <c r="I86" s="249" t="s">
        <v>282</v>
      </c>
      <c r="J86" s="249" t="s">
        <v>21</v>
      </c>
      <c r="K86" s="249" t="s">
        <v>25</v>
      </c>
      <c r="L86" s="250">
        <f t="shared" si="4"/>
        <v>1</v>
      </c>
      <c r="M86" s="237">
        <f t="array" ref="M86">INDEX('BKTT T4.26'!$N$12:$N$55,MATCH(V86,'BKTT T4.26'!$A$12:$A$55,0),0)</f>
        <v>681050</v>
      </c>
      <c r="N86" s="162">
        <f t="shared" si="7"/>
        <v>681050</v>
      </c>
      <c r="O86" s="238" t="s">
        <v>264</v>
      </c>
      <c r="P86" s="251" t="s">
        <v>1448</v>
      </c>
      <c r="R86" s="191" t="str">
        <f t="shared" si="5"/>
        <v>Cước vận chuyển Container hàng 40' tuyến đường PAN HA - HẢI AN,. BKS: 15C17301</v>
      </c>
      <c r="S86" s="191" t="str">
        <f t="shared" si="6"/>
        <v xml:space="preserve"> hàng 40' </v>
      </c>
      <c r="V86" s="191">
        <v>2</v>
      </c>
    </row>
    <row r="87" spans="1:22" s="191" customFormat="1" ht="15">
      <c r="A87" s="236">
        <v>76</v>
      </c>
      <c r="B87" s="244">
        <v>46109</v>
      </c>
      <c r="C87" s="245" t="s">
        <v>261</v>
      </c>
      <c r="D87" s="246" t="s">
        <v>347</v>
      </c>
      <c r="E87" s="247"/>
      <c r="F87" s="247">
        <v>1</v>
      </c>
      <c r="G87" s="248"/>
      <c r="H87" s="247"/>
      <c r="I87" s="249" t="s">
        <v>282</v>
      </c>
      <c r="J87" s="249" t="s">
        <v>21</v>
      </c>
      <c r="K87" s="249" t="s">
        <v>25</v>
      </c>
      <c r="L87" s="250">
        <f t="shared" si="4"/>
        <v>1</v>
      </c>
      <c r="M87" s="237">
        <f t="array" ref="M87">INDEX('BKTT T4.26'!$N$12:$N$55,MATCH(V87,'BKTT T4.26'!$A$12:$A$55,0),0)</f>
        <v>681050</v>
      </c>
      <c r="N87" s="162">
        <f t="shared" si="7"/>
        <v>681050</v>
      </c>
      <c r="O87" s="238" t="s">
        <v>264</v>
      </c>
      <c r="P87" s="251" t="s">
        <v>1448</v>
      </c>
      <c r="R87" s="191" t="str">
        <f t="shared" si="5"/>
        <v>Cước vận chuyển Container hàng 40' tuyến đường PAN HA - HẢI AN,. BKS: 15C17301</v>
      </c>
      <c r="S87" s="191" t="str">
        <f t="shared" si="6"/>
        <v xml:space="preserve"> hàng 40' </v>
      </c>
      <c r="V87" s="191">
        <v>2</v>
      </c>
    </row>
    <row r="88" spans="1:22" s="191" customFormat="1" ht="15">
      <c r="A88" s="236">
        <v>77</v>
      </c>
      <c r="B88" s="244">
        <v>46110</v>
      </c>
      <c r="C88" s="245" t="s">
        <v>261</v>
      </c>
      <c r="D88" s="246" t="s">
        <v>348</v>
      </c>
      <c r="E88" s="247"/>
      <c r="F88" s="247">
        <v>1</v>
      </c>
      <c r="G88" s="248"/>
      <c r="H88" s="247"/>
      <c r="I88" s="249" t="s">
        <v>335</v>
      </c>
      <c r="J88" s="249" t="s">
        <v>21</v>
      </c>
      <c r="K88" s="249" t="s">
        <v>50</v>
      </c>
      <c r="L88" s="250">
        <f t="shared" si="4"/>
        <v>1</v>
      </c>
      <c r="M88" s="237">
        <f t="array" ref="M88">INDEX('BKTT T4.26'!$N$12:$N$55,MATCH(V88,'BKTT T4.26'!$A$12:$A$55,0),0)</f>
        <v>602510</v>
      </c>
      <c r="N88" s="162">
        <f t="shared" si="7"/>
        <v>602510</v>
      </c>
      <c r="O88" s="238" t="s">
        <v>264</v>
      </c>
      <c r="P88" s="251" t="s">
        <v>1448</v>
      </c>
      <c r="R88" s="191" t="str">
        <f t="shared" si="5"/>
        <v>Cước vận chuyển Container hàng 40' tuyến đường PAN HA - VIP,. BKS: 15H18552</v>
      </c>
      <c r="S88" s="191" t="str">
        <f t="shared" si="6"/>
        <v xml:space="preserve"> hàng 40' </v>
      </c>
      <c r="V88" s="191">
        <v>28</v>
      </c>
    </row>
    <row r="89" spans="1:22" s="191" customFormat="1" ht="15">
      <c r="A89" s="236">
        <v>78</v>
      </c>
      <c r="B89" s="244">
        <v>46110</v>
      </c>
      <c r="C89" s="245" t="s">
        <v>261</v>
      </c>
      <c r="D89" s="246" t="s">
        <v>349</v>
      </c>
      <c r="E89" s="247">
        <v>1</v>
      </c>
      <c r="F89" s="247"/>
      <c r="G89" s="248"/>
      <c r="H89" s="247"/>
      <c r="I89" s="249" t="s">
        <v>335</v>
      </c>
      <c r="J89" s="249" t="s">
        <v>21</v>
      </c>
      <c r="K89" s="249" t="s">
        <v>49</v>
      </c>
      <c r="L89" s="250">
        <f t="shared" si="4"/>
        <v>1</v>
      </c>
      <c r="M89" s="237">
        <f t="array" ref="M89">INDEX('BKTT T4.26'!$N$12:$N$55,MATCH(V89,'BKTT T4.26'!$A$12:$A$55,0),0)</f>
        <v>576331</v>
      </c>
      <c r="N89" s="162">
        <f t="shared" si="7"/>
        <v>576331</v>
      </c>
      <c r="O89" s="238" t="s">
        <v>264</v>
      </c>
      <c r="P89" s="251" t="s">
        <v>1448</v>
      </c>
      <c r="R89" s="191" t="str">
        <f t="shared" si="5"/>
        <v>Cước vận chuyển Container hàng 20' tuyến đường PAN HA - VIP. BKS: 15H18552</v>
      </c>
      <c r="S89" s="191" t="str">
        <f t="shared" si="6"/>
        <v xml:space="preserve"> hàng 20' </v>
      </c>
      <c r="V89" s="191">
        <v>27</v>
      </c>
    </row>
    <row r="90" spans="1:22" s="191" customFormat="1" ht="15">
      <c r="A90" s="236">
        <v>79</v>
      </c>
      <c r="B90" s="244">
        <v>46110</v>
      </c>
      <c r="C90" s="245" t="s">
        <v>261</v>
      </c>
      <c r="D90" s="246" t="s">
        <v>350</v>
      </c>
      <c r="E90" s="247"/>
      <c r="F90" s="247">
        <v>1</v>
      </c>
      <c r="G90" s="248"/>
      <c r="H90" s="247"/>
      <c r="I90" s="249" t="s">
        <v>335</v>
      </c>
      <c r="J90" s="249" t="s">
        <v>21</v>
      </c>
      <c r="K90" s="249" t="s">
        <v>50</v>
      </c>
      <c r="L90" s="250">
        <f t="shared" si="4"/>
        <v>1</v>
      </c>
      <c r="M90" s="237">
        <f t="array" ref="M90">INDEX('BKTT T4.26'!$N$12:$N$55,MATCH(V90,'BKTT T4.26'!$A$12:$A$55,0),0)</f>
        <v>602510</v>
      </c>
      <c r="N90" s="162">
        <f t="shared" si="7"/>
        <v>602510</v>
      </c>
      <c r="O90" s="238" t="s">
        <v>264</v>
      </c>
      <c r="P90" s="251" t="s">
        <v>1448</v>
      </c>
      <c r="R90" s="191" t="str">
        <f t="shared" si="5"/>
        <v>Cước vận chuyển Container hàng 40' tuyến đường PAN HA - VIP,. BKS: 15H18552</v>
      </c>
      <c r="S90" s="191" t="str">
        <f t="shared" si="6"/>
        <v xml:space="preserve"> hàng 40' </v>
      </c>
      <c r="V90" s="191">
        <v>28</v>
      </c>
    </row>
    <row r="91" spans="1:22" s="191" customFormat="1" ht="15">
      <c r="A91" s="236">
        <v>80</v>
      </c>
      <c r="B91" s="244">
        <v>46110</v>
      </c>
      <c r="C91" s="245" t="s">
        <v>261</v>
      </c>
      <c r="D91" s="246" t="s">
        <v>351</v>
      </c>
      <c r="E91" s="247"/>
      <c r="F91" s="247">
        <v>1</v>
      </c>
      <c r="G91" s="248"/>
      <c r="H91" s="247"/>
      <c r="I91" s="249" t="s">
        <v>335</v>
      </c>
      <c r="J91" s="249" t="s">
        <v>21</v>
      </c>
      <c r="K91" s="249" t="s">
        <v>50</v>
      </c>
      <c r="L91" s="250">
        <f t="shared" si="4"/>
        <v>1</v>
      </c>
      <c r="M91" s="237">
        <f t="array" ref="M91">INDEX('BKTT T4.26'!$N$12:$N$55,MATCH(V91,'BKTT T4.26'!$A$12:$A$55,0),0)</f>
        <v>602510</v>
      </c>
      <c r="N91" s="162">
        <f t="shared" si="7"/>
        <v>602510</v>
      </c>
      <c r="O91" s="238" t="s">
        <v>264</v>
      </c>
      <c r="P91" s="251" t="s">
        <v>1448</v>
      </c>
      <c r="R91" s="191" t="str">
        <f t="shared" si="5"/>
        <v>Cước vận chuyển Container hàng 40' tuyến đường PAN HA - VIP,. BKS: 15H18552</v>
      </c>
      <c r="S91" s="191" t="str">
        <f t="shared" si="6"/>
        <v xml:space="preserve"> hàng 40' </v>
      </c>
      <c r="V91" s="191">
        <v>28</v>
      </c>
    </row>
    <row r="92" spans="1:22" s="191" customFormat="1" ht="15">
      <c r="A92" s="236">
        <v>81</v>
      </c>
      <c r="B92" s="244">
        <v>46110</v>
      </c>
      <c r="C92" s="245" t="s">
        <v>261</v>
      </c>
      <c r="D92" s="246" t="s">
        <v>352</v>
      </c>
      <c r="E92" s="247"/>
      <c r="F92" s="247">
        <v>1</v>
      </c>
      <c r="G92" s="248"/>
      <c r="H92" s="247"/>
      <c r="I92" s="249" t="s">
        <v>335</v>
      </c>
      <c r="J92" s="249" t="s">
        <v>21</v>
      </c>
      <c r="K92" s="249" t="s">
        <v>25</v>
      </c>
      <c r="L92" s="250">
        <f t="shared" si="4"/>
        <v>1</v>
      </c>
      <c r="M92" s="237">
        <f t="array" ref="M92">INDEX('BKTT T4.26'!$N$12:$N$55,MATCH(V92,'BKTT T4.26'!$A$12:$A$55,0),0)</f>
        <v>681050</v>
      </c>
      <c r="N92" s="162">
        <f t="shared" si="7"/>
        <v>681050</v>
      </c>
      <c r="O92" s="238" t="s">
        <v>264</v>
      </c>
      <c r="P92" s="251" t="s">
        <v>1448</v>
      </c>
      <c r="R92" s="191" t="str">
        <f t="shared" si="5"/>
        <v>Cước vận chuyển Container hàng 40' tuyến đường PAN HA - HẢI AN,. BKS: 15H18552</v>
      </c>
      <c r="S92" s="191" t="str">
        <f t="shared" si="6"/>
        <v xml:space="preserve"> hàng 40' </v>
      </c>
      <c r="V92" s="191">
        <v>2</v>
      </c>
    </row>
    <row r="93" spans="1:22" s="191" customFormat="1" ht="15">
      <c r="A93" s="236">
        <v>82</v>
      </c>
      <c r="B93" s="244">
        <v>46110</v>
      </c>
      <c r="C93" s="245" t="s">
        <v>261</v>
      </c>
      <c r="D93" s="246" t="s">
        <v>353</v>
      </c>
      <c r="E93" s="247"/>
      <c r="F93" s="247">
        <v>1</v>
      </c>
      <c r="G93" s="248"/>
      <c r="H93" s="247"/>
      <c r="I93" s="249" t="s">
        <v>335</v>
      </c>
      <c r="J93" s="249" t="s">
        <v>21</v>
      </c>
      <c r="K93" s="249" t="s">
        <v>25</v>
      </c>
      <c r="L93" s="250">
        <f t="shared" si="4"/>
        <v>1</v>
      </c>
      <c r="M93" s="237">
        <f t="array" ref="M93">INDEX('BKTT T4.26'!$N$12:$N$55,MATCH(V93,'BKTT T4.26'!$A$12:$A$55,0),0)</f>
        <v>681050</v>
      </c>
      <c r="N93" s="162">
        <f t="shared" si="7"/>
        <v>681050</v>
      </c>
      <c r="O93" s="238" t="s">
        <v>264</v>
      </c>
      <c r="P93" s="251" t="s">
        <v>1448</v>
      </c>
      <c r="R93" s="191" t="str">
        <f t="shared" si="5"/>
        <v>Cước vận chuyển Container hàng 40' tuyến đường PAN HA - HẢI AN,. BKS: 15H18552</v>
      </c>
      <c r="S93" s="191" t="str">
        <f t="shared" si="6"/>
        <v xml:space="preserve"> hàng 40' </v>
      </c>
      <c r="V93" s="191">
        <v>2</v>
      </c>
    </row>
    <row r="94" spans="1:22" s="191" customFormat="1" ht="15">
      <c r="A94" s="236">
        <v>83</v>
      </c>
      <c r="B94" s="244">
        <v>46110</v>
      </c>
      <c r="C94" s="245" t="s">
        <v>261</v>
      </c>
      <c r="D94" s="246" t="s">
        <v>354</v>
      </c>
      <c r="E94" s="247">
        <v>1</v>
      </c>
      <c r="F94" s="247"/>
      <c r="G94" s="248"/>
      <c r="H94" s="247"/>
      <c r="I94" s="249" t="s">
        <v>282</v>
      </c>
      <c r="J94" s="249" t="s">
        <v>21</v>
      </c>
      <c r="K94" s="249" t="s">
        <v>22</v>
      </c>
      <c r="L94" s="250">
        <f t="shared" si="4"/>
        <v>1</v>
      </c>
      <c r="M94" s="237">
        <f t="array" ref="M94">INDEX('BKTT T4.26'!$N$12:$N$55,MATCH(V94,'BKTT T4.26'!$A$12:$A$55,0),0)</f>
        <v>654871</v>
      </c>
      <c r="N94" s="162">
        <f t="shared" si="7"/>
        <v>654871</v>
      </c>
      <c r="O94" s="238" t="s">
        <v>264</v>
      </c>
      <c r="P94" s="251" t="s">
        <v>1448</v>
      </c>
      <c r="R94" s="191" t="str">
        <f t="shared" si="5"/>
        <v>Cước vận chuyển Container hàng 20' tuyến đường PAN HA - HẢI AN. BKS: 15C17301</v>
      </c>
      <c r="S94" s="191" t="str">
        <f t="shared" si="6"/>
        <v xml:space="preserve"> hàng 20' </v>
      </c>
      <c r="V94" s="191">
        <v>1</v>
      </c>
    </row>
    <row r="95" spans="1:22" s="283" customFormat="1" ht="15">
      <c r="A95" s="236">
        <v>84</v>
      </c>
      <c r="B95" s="272">
        <v>46110</v>
      </c>
      <c r="C95" s="273" t="s">
        <v>261</v>
      </c>
      <c r="D95" s="285" t="s">
        <v>1453</v>
      </c>
      <c r="E95" s="275">
        <v>1</v>
      </c>
      <c r="F95" s="275"/>
      <c r="G95" s="276"/>
      <c r="H95" s="275"/>
      <c r="I95" s="277" t="s">
        <v>282</v>
      </c>
      <c r="J95" s="249" t="s">
        <v>21</v>
      </c>
      <c r="K95" s="277" t="s">
        <v>22</v>
      </c>
      <c r="L95" s="278">
        <f t="shared" si="4"/>
        <v>1</v>
      </c>
      <c r="M95" s="279">
        <f t="array" ref="M95">INDEX('BKTT T4.26'!$N$12:$N$55,MATCH(V95,'BKTT T4.26'!$A$12:$A$55,0),0)</f>
        <v>654871</v>
      </c>
      <c r="N95" s="280">
        <f t="shared" si="7"/>
        <v>654871</v>
      </c>
      <c r="O95" s="281" t="s">
        <v>264</v>
      </c>
      <c r="P95" s="282" t="s">
        <v>1447</v>
      </c>
      <c r="R95" s="283" t="str">
        <f t="shared" si="5"/>
        <v>Cước vận chuyển Container hàng 20' tuyến đường PAN HA - HẢI AN. BKS: 15C17301</v>
      </c>
      <c r="S95" s="283" t="str">
        <f t="shared" si="6"/>
        <v xml:space="preserve"> hàng 20' </v>
      </c>
      <c r="V95" s="191">
        <v>1</v>
      </c>
    </row>
    <row r="96" spans="1:22" s="191" customFormat="1" ht="15">
      <c r="A96" s="236">
        <v>85</v>
      </c>
      <c r="B96" s="244">
        <v>46110</v>
      </c>
      <c r="C96" s="245" t="s">
        <v>261</v>
      </c>
      <c r="D96" s="246" t="s">
        <v>355</v>
      </c>
      <c r="E96" s="247"/>
      <c r="F96" s="247">
        <v>1</v>
      </c>
      <c r="G96" s="248"/>
      <c r="H96" s="247"/>
      <c r="I96" s="249" t="s">
        <v>282</v>
      </c>
      <c r="J96" s="249" t="s">
        <v>21</v>
      </c>
      <c r="K96" s="249" t="s">
        <v>25</v>
      </c>
      <c r="L96" s="250">
        <f t="shared" si="4"/>
        <v>1</v>
      </c>
      <c r="M96" s="237">
        <f t="array" ref="M96">INDEX('BKTT T4.26'!$N$12:$N$55,MATCH(V96,'BKTT T4.26'!$A$12:$A$55,0),0)</f>
        <v>681050</v>
      </c>
      <c r="N96" s="162">
        <f t="shared" si="7"/>
        <v>681050</v>
      </c>
      <c r="O96" s="238" t="s">
        <v>264</v>
      </c>
      <c r="P96" s="251" t="s">
        <v>1448</v>
      </c>
      <c r="R96" s="191" t="str">
        <f t="shared" si="5"/>
        <v>Cước vận chuyển Container hàng 40' tuyến đường PAN HA - HẢI AN,. BKS: 15C17301</v>
      </c>
      <c r="S96" s="191" t="str">
        <f t="shared" si="6"/>
        <v xml:space="preserve"> hàng 40' </v>
      </c>
      <c r="V96" s="191">
        <v>2</v>
      </c>
    </row>
    <row r="97" spans="1:22" s="191" customFormat="1" ht="15">
      <c r="A97" s="236">
        <v>86</v>
      </c>
      <c r="B97" s="244">
        <v>46110</v>
      </c>
      <c r="C97" s="245" t="s">
        <v>261</v>
      </c>
      <c r="D97" s="246" t="s">
        <v>356</v>
      </c>
      <c r="E97" s="247"/>
      <c r="F97" s="247">
        <v>1</v>
      </c>
      <c r="G97" s="248"/>
      <c r="H97" s="247"/>
      <c r="I97" s="249" t="s">
        <v>282</v>
      </c>
      <c r="J97" s="249" t="s">
        <v>21</v>
      </c>
      <c r="K97" s="249" t="s">
        <v>25</v>
      </c>
      <c r="L97" s="250">
        <f t="shared" si="4"/>
        <v>1</v>
      </c>
      <c r="M97" s="237">
        <f t="array" ref="M97">INDEX('BKTT T4.26'!$N$12:$N$55,MATCH(V97,'BKTT T4.26'!$A$12:$A$55,0),0)</f>
        <v>681050</v>
      </c>
      <c r="N97" s="162">
        <f t="shared" si="7"/>
        <v>681050</v>
      </c>
      <c r="O97" s="238" t="s">
        <v>264</v>
      </c>
      <c r="P97" s="251" t="s">
        <v>1448</v>
      </c>
      <c r="R97" s="191" t="str">
        <f t="shared" si="5"/>
        <v>Cước vận chuyển Container hàng 40' tuyến đường PAN HA - HẢI AN,. BKS: 15C17301</v>
      </c>
      <c r="S97" s="191" t="str">
        <f t="shared" si="6"/>
        <v xml:space="preserve"> hàng 40' </v>
      </c>
      <c r="V97" s="191">
        <v>2</v>
      </c>
    </row>
    <row r="98" spans="1:22" s="191" customFormat="1" ht="15">
      <c r="A98" s="236">
        <v>87</v>
      </c>
      <c r="B98" s="244">
        <v>46110</v>
      </c>
      <c r="C98" s="245" t="s">
        <v>261</v>
      </c>
      <c r="D98" s="246" t="s">
        <v>357</v>
      </c>
      <c r="E98" s="247"/>
      <c r="F98" s="247">
        <v>1</v>
      </c>
      <c r="G98" s="248"/>
      <c r="H98" s="247"/>
      <c r="I98" s="249" t="s">
        <v>282</v>
      </c>
      <c r="J98" s="249" t="s">
        <v>21</v>
      </c>
      <c r="K98" s="249" t="s">
        <v>25</v>
      </c>
      <c r="L98" s="250">
        <f t="shared" si="4"/>
        <v>1</v>
      </c>
      <c r="M98" s="237">
        <f t="array" ref="M98">INDEX('BKTT T4.26'!$N$12:$N$55,MATCH(V98,'BKTT T4.26'!$A$12:$A$55,0),0)</f>
        <v>681050</v>
      </c>
      <c r="N98" s="162">
        <f t="shared" si="7"/>
        <v>681050</v>
      </c>
      <c r="O98" s="238" t="s">
        <v>264</v>
      </c>
      <c r="P98" s="251" t="s">
        <v>1448</v>
      </c>
      <c r="R98" s="191" t="str">
        <f t="shared" si="5"/>
        <v>Cước vận chuyển Container hàng 40' tuyến đường PAN HA - HẢI AN,. BKS: 15C17301</v>
      </c>
      <c r="S98" s="191" t="str">
        <f t="shared" si="6"/>
        <v xml:space="preserve"> hàng 40' </v>
      </c>
      <c r="V98" s="191">
        <v>2</v>
      </c>
    </row>
    <row r="99" spans="1:22" s="191" customFormat="1" ht="15">
      <c r="A99" s="236">
        <v>88</v>
      </c>
      <c r="B99" s="244">
        <v>46110</v>
      </c>
      <c r="C99" s="245" t="s">
        <v>261</v>
      </c>
      <c r="D99" s="246" t="s">
        <v>359</v>
      </c>
      <c r="E99" s="247"/>
      <c r="F99" s="247">
        <v>1</v>
      </c>
      <c r="G99" s="248"/>
      <c r="H99" s="247"/>
      <c r="I99" s="249" t="s">
        <v>358</v>
      </c>
      <c r="J99" s="249" t="s">
        <v>21</v>
      </c>
      <c r="K99" s="249" t="s">
        <v>50</v>
      </c>
      <c r="L99" s="250">
        <f t="shared" si="4"/>
        <v>1</v>
      </c>
      <c r="M99" s="237">
        <f t="array" ref="M99">INDEX('BKTT T4.26'!$N$12:$N$55,MATCH(V99,'BKTT T4.26'!$A$12:$A$55,0),0)</f>
        <v>602510</v>
      </c>
      <c r="N99" s="162">
        <f t="shared" si="7"/>
        <v>602510</v>
      </c>
      <c r="O99" s="238" t="s">
        <v>264</v>
      </c>
      <c r="P99" s="251" t="s">
        <v>1448</v>
      </c>
      <c r="R99" s="191" t="str">
        <f t="shared" si="5"/>
        <v>Cước vận chuyển Container hàng 40' tuyến đường PAN HA - VIP,. BKS: 15H18753</v>
      </c>
      <c r="S99" s="191" t="str">
        <f t="shared" si="6"/>
        <v xml:space="preserve"> hàng 40' </v>
      </c>
      <c r="V99" s="191">
        <v>28</v>
      </c>
    </row>
    <row r="100" spans="1:22" s="191" customFormat="1" ht="15">
      <c r="A100" s="236">
        <v>89</v>
      </c>
      <c r="B100" s="244">
        <v>46110</v>
      </c>
      <c r="C100" s="245" t="s">
        <v>261</v>
      </c>
      <c r="D100" s="246" t="s">
        <v>360</v>
      </c>
      <c r="E100" s="247"/>
      <c r="F100" s="247">
        <v>1</v>
      </c>
      <c r="G100" s="248"/>
      <c r="H100" s="247"/>
      <c r="I100" s="249" t="s">
        <v>358</v>
      </c>
      <c r="J100" s="249" t="s">
        <v>21</v>
      </c>
      <c r="K100" s="249" t="s">
        <v>50</v>
      </c>
      <c r="L100" s="250">
        <f t="shared" si="4"/>
        <v>1</v>
      </c>
      <c r="M100" s="237">
        <f t="array" ref="M100">INDEX('BKTT T4.26'!$N$12:$N$55,MATCH(V100,'BKTT T4.26'!$A$12:$A$55,0),0)</f>
        <v>602510</v>
      </c>
      <c r="N100" s="162">
        <f t="shared" si="7"/>
        <v>602510</v>
      </c>
      <c r="O100" s="238" t="s">
        <v>264</v>
      </c>
      <c r="P100" s="251" t="s">
        <v>1448</v>
      </c>
      <c r="R100" s="191" t="str">
        <f t="shared" si="5"/>
        <v>Cước vận chuyển Container hàng 40' tuyến đường PAN HA - VIP,. BKS: 15H18753</v>
      </c>
      <c r="S100" s="191" t="str">
        <f t="shared" si="6"/>
        <v xml:space="preserve"> hàng 40' </v>
      </c>
      <c r="V100" s="191">
        <v>28</v>
      </c>
    </row>
    <row r="101" spans="1:22" s="191" customFormat="1" ht="15">
      <c r="A101" s="236">
        <v>90</v>
      </c>
      <c r="B101" s="244">
        <v>46110</v>
      </c>
      <c r="C101" s="245" t="s">
        <v>261</v>
      </c>
      <c r="D101" s="246" t="s">
        <v>361</v>
      </c>
      <c r="E101" s="247"/>
      <c r="F101" s="247">
        <v>1</v>
      </c>
      <c r="G101" s="248"/>
      <c r="H101" s="247"/>
      <c r="I101" s="249" t="s">
        <v>358</v>
      </c>
      <c r="J101" s="249" t="s">
        <v>21</v>
      </c>
      <c r="K101" s="249" t="s">
        <v>25</v>
      </c>
      <c r="L101" s="250">
        <f t="shared" si="4"/>
        <v>1</v>
      </c>
      <c r="M101" s="237">
        <f t="array" ref="M101">INDEX('BKTT T4.26'!$N$12:$N$55,MATCH(V101,'BKTT T4.26'!$A$12:$A$55,0),0)</f>
        <v>681050</v>
      </c>
      <c r="N101" s="162">
        <f t="shared" si="7"/>
        <v>681050</v>
      </c>
      <c r="O101" s="238" t="s">
        <v>264</v>
      </c>
      <c r="P101" s="251" t="s">
        <v>1448</v>
      </c>
      <c r="R101" s="191" t="str">
        <f t="shared" si="5"/>
        <v>Cước vận chuyển Container hàng 40' tuyến đường PAN HA - HẢI AN,. BKS: 15H18753</v>
      </c>
      <c r="S101" s="191" t="str">
        <f t="shared" si="6"/>
        <v xml:space="preserve"> hàng 40' </v>
      </c>
      <c r="V101" s="191">
        <v>2</v>
      </c>
    </row>
    <row r="102" spans="1:22" s="191" customFormat="1" ht="15">
      <c r="A102" s="236">
        <v>91</v>
      </c>
      <c r="B102" s="244">
        <v>46108</v>
      </c>
      <c r="C102" s="245" t="s">
        <v>261</v>
      </c>
      <c r="D102" s="246" t="s">
        <v>362</v>
      </c>
      <c r="E102" s="247"/>
      <c r="F102" s="247">
        <v>1</v>
      </c>
      <c r="G102" s="248"/>
      <c r="H102" s="247"/>
      <c r="I102" s="249" t="s">
        <v>363</v>
      </c>
      <c r="J102" s="249" t="s">
        <v>21</v>
      </c>
      <c r="K102" s="249" t="s">
        <v>25</v>
      </c>
      <c r="L102" s="250">
        <f t="shared" si="4"/>
        <v>1</v>
      </c>
      <c r="M102" s="237">
        <f t="array" ref="M102">INDEX('BKTT T4.26'!$N$12:$N$55,MATCH(V102,'BKTT T4.26'!$A$12:$A$55,0),0)</f>
        <v>681050</v>
      </c>
      <c r="N102" s="162">
        <f t="shared" si="7"/>
        <v>681050</v>
      </c>
      <c r="O102" s="238" t="s">
        <v>264</v>
      </c>
      <c r="P102" s="251" t="s">
        <v>1448</v>
      </c>
      <c r="R102" s="191" t="str">
        <f t="shared" si="5"/>
        <v>Cước vận chuyển Container hàng 40' tuyến đường PAN HA - HẢI AN,. BKS: 15H20645</v>
      </c>
      <c r="S102" s="191" t="str">
        <f t="shared" si="6"/>
        <v xml:space="preserve"> hàng 40' </v>
      </c>
      <c r="V102" s="191">
        <v>2</v>
      </c>
    </row>
    <row r="103" spans="1:22" s="191" customFormat="1" ht="15">
      <c r="A103" s="236">
        <v>92</v>
      </c>
      <c r="B103" s="244">
        <v>46108</v>
      </c>
      <c r="C103" s="245" t="s">
        <v>261</v>
      </c>
      <c r="D103" s="246" t="s">
        <v>364</v>
      </c>
      <c r="E103" s="247"/>
      <c r="F103" s="247">
        <v>1</v>
      </c>
      <c r="G103" s="248"/>
      <c r="H103" s="247"/>
      <c r="I103" s="249" t="s">
        <v>363</v>
      </c>
      <c r="J103" s="249" t="s">
        <v>21</v>
      </c>
      <c r="K103" s="249" t="s">
        <v>25</v>
      </c>
      <c r="L103" s="250">
        <f t="shared" si="4"/>
        <v>1</v>
      </c>
      <c r="M103" s="237">
        <f t="array" ref="M103">INDEX('BKTT T4.26'!$N$12:$N$55,MATCH(V103,'BKTT T4.26'!$A$12:$A$55,0),0)</f>
        <v>681050</v>
      </c>
      <c r="N103" s="162">
        <f t="shared" si="7"/>
        <v>681050</v>
      </c>
      <c r="O103" s="238" t="s">
        <v>264</v>
      </c>
      <c r="P103" s="251" t="s">
        <v>1448</v>
      </c>
      <c r="R103" s="191" t="str">
        <f t="shared" si="5"/>
        <v>Cước vận chuyển Container hàng 40' tuyến đường PAN HA - HẢI AN,. BKS: 15H20645</v>
      </c>
      <c r="S103" s="191" t="str">
        <f t="shared" si="6"/>
        <v xml:space="preserve"> hàng 40' </v>
      </c>
      <c r="V103" s="191">
        <v>2</v>
      </c>
    </row>
    <row r="104" spans="1:22" s="191" customFormat="1" ht="15">
      <c r="A104" s="236">
        <v>93</v>
      </c>
      <c r="B104" s="244">
        <v>46110</v>
      </c>
      <c r="C104" s="245" t="s">
        <v>261</v>
      </c>
      <c r="D104" s="246" t="s">
        <v>365</v>
      </c>
      <c r="E104" s="247"/>
      <c r="F104" s="247">
        <v>1</v>
      </c>
      <c r="G104" s="248"/>
      <c r="H104" s="247"/>
      <c r="I104" s="249" t="s">
        <v>363</v>
      </c>
      <c r="J104" s="249" t="s">
        <v>21</v>
      </c>
      <c r="K104" s="249" t="s">
        <v>25</v>
      </c>
      <c r="L104" s="250">
        <f t="shared" si="4"/>
        <v>1</v>
      </c>
      <c r="M104" s="237">
        <f t="array" ref="M104">INDEX('BKTT T4.26'!$N$12:$N$55,MATCH(V104,'BKTT T4.26'!$A$12:$A$55,0),0)</f>
        <v>681050</v>
      </c>
      <c r="N104" s="162">
        <f t="shared" si="7"/>
        <v>681050</v>
      </c>
      <c r="O104" s="238" t="s">
        <v>264</v>
      </c>
      <c r="P104" s="251" t="s">
        <v>1448</v>
      </c>
      <c r="R104" s="191" t="str">
        <f t="shared" si="5"/>
        <v>Cước vận chuyển Container hàng 40' tuyến đường PAN HA - HẢI AN,. BKS: 15H20645</v>
      </c>
      <c r="S104" s="191" t="str">
        <f t="shared" si="6"/>
        <v xml:space="preserve"> hàng 40' </v>
      </c>
      <c r="V104" s="191">
        <v>2</v>
      </c>
    </row>
    <row r="105" spans="1:22" s="191" customFormat="1" ht="15">
      <c r="A105" s="236">
        <v>94</v>
      </c>
      <c r="B105" s="244">
        <v>46110</v>
      </c>
      <c r="C105" s="245" t="s">
        <v>261</v>
      </c>
      <c r="D105" s="246" t="s">
        <v>366</v>
      </c>
      <c r="E105" s="247"/>
      <c r="F105" s="247">
        <v>1</v>
      </c>
      <c r="G105" s="248"/>
      <c r="H105" s="247"/>
      <c r="I105" s="249" t="s">
        <v>363</v>
      </c>
      <c r="J105" s="249" t="s">
        <v>21</v>
      </c>
      <c r="K105" s="249" t="s">
        <v>25</v>
      </c>
      <c r="L105" s="250">
        <f t="shared" si="4"/>
        <v>1</v>
      </c>
      <c r="M105" s="237">
        <f t="array" ref="M105">INDEX('BKTT T4.26'!$N$12:$N$55,MATCH(V105,'BKTT T4.26'!$A$12:$A$55,0),0)</f>
        <v>681050</v>
      </c>
      <c r="N105" s="162">
        <f t="shared" si="7"/>
        <v>681050</v>
      </c>
      <c r="O105" s="238" t="s">
        <v>264</v>
      </c>
      <c r="P105" s="251" t="s">
        <v>1448</v>
      </c>
      <c r="R105" s="191" t="str">
        <f t="shared" si="5"/>
        <v>Cước vận chuyển Container hàng 40' tuyến đường PAN HA - HẢI AN,. BKS: 15H20645</v>
      </c>
      <c r="S105" s="191" t="str">
        <f t="shared" si="6"/>
        <v xml:space="preserve"> hàng 40' </v>
      </c>
      <c r="V105" s="191">
        <v>2</v>
      </c>
    </row>
    <row r="106" spans="1:22" s="191" customFormat="1" ht="15">
      <c r="A106" s="236">
        <v>95</v>
      </c>
      <c r="B106" s="244">
        <v>46110</v>
      </c>
      <c r="C106" s="245" t="s">
        <v>261</v>
      </c>
      <c r="D106" s="246" t="s">
        <v>367</v>
      </c>
      <c r="E106" s="247"/>
      <c r="F106" s="247">
        <v>1</v>
      </c>
      <c r="G106" s="248"/>
      <c r="H106" s="247"/>
      <c r="I106" s="249" t="s">
        <v>363</v>
      </c>
      <c r="J106" s="249" t="s">
        <v>21</v>
      </c>
      <c r="K106" s="249" t="s">
        <v>50</v>
      </c>
      <c r="L106" s="250">
        <f t="shared" si="4"/>
        <v>1</v>
      </c>
      <c r="M106" s="237">
        <f t="array" ref="M106">INDEX('BKTT T4.26'!$N$12:$N$55,MATCH(V106,'BKTT T4.26'!$A$12:$A$55,0),0)</f>
        <v>602510</v>
      </c>
      <c r="N106" s="162">
        <f t="shared" si="7"/>
        <v>602510</v>
      </c>
      <c r="O106" s="238" t="s">
        <v>264</v>
      </c>
      <c r="P106" s="251" t="s">
        <v>1448</v>
      </c>
      <c r="R106" s="191" t="str">
        <f t="shared" si="5"/>
        <v>Cước vận chuyển Container hàng 40' tuyến đường PAN HA - VIP,. BKS: 15H20645</v>
      </c>
      <c r="S106" s="191" t="str">
        <f t="shared" si="6"/>
        <v xml:space="preserve"> hàng 40' </v>
      </c>
      <c r="V106" s="191">
        <v>28</v>
      </c>
    </row>
    <row r="107" spans="1:22" s="191" customFormat="1" ht="15">
      <c r="A107" s="236">
        <v>96</v>
      </c>
      <c r="B107" s="244">
        <v>46110</v>
      </c>
      <c r="C107" s="245" t="s">
        <v>261</v>
      </c>
      <c r="D107" s="246" t="s">
        <v>368</v>
      </c>
      <c r="E107" s="247">
        <v>1</v>
      </c>
      <c r="F107" s="247"/>
      <c r="G107" s="248"/>
      <c r="H107" s="247"/>
      <c r="I107" s="249" t="s">
        <v>369</v>
      </c>
      <c r="J107" s="249" t="s">
        <v>21</v>
      </c>
      <c r="K107" s="249" t="s">
        <v>22</v>
      </c>
      <c r="L107" s="250">
        <f t="shared" si="4"/>
        <v>1</v>
      </c>
      <c r="M107" s="237">
        <f t="array" ref="M107">INDEX('BKTT T4.26'!$N$12:$N$55,MATCH(V107,'BKTT T4.26'!$A$12:$A$55,0),0)</f>
        <v>654871</v>
      </c>
      <c r="N107" s="162">
        <f t="shared" si="7"/>
        <v>654871</v>
      </c>
      <c r="O107" s="238" t="s">
        <v>264</v>
      </c>
      <c r="P107" s="251" t="s">
        <v>1448</v>
      </c>
      <c r="R107" s="191" t="str">
        <f t="shared" si="5"/>
        <v>Cước vận chuyển Container hàng 20' tuyến đường PAN HA - HẢI AN. BKS: 15C15033</v>
      </c>
      <c r="S107" s="191" t="str">
        <f t="shared" si="6"/>
        <v xml:space="preserve"> hàng 20' </v>
      </c>
      <c r="V107" s="191">
        <v>1</v>
      </c>
    </row>
    <row r="108" spans="1:22" s="191" customFormat="1" ht="15">
      <c r="A108" s="236">
        <v>97</v>
      </c>
      <c r="B108" s="244">
        <v>46110</v>
      </c>
      <c r="C108" s="245" t="s">
        <v>261</v>
      </c>
      <c r="D108" s="246" t="s">
        <v>370</v>
      </c>
      <c r="E108" s="247">
        <v>1</v>
      </c>
      <c r="F108" s="247"/>
      <c r="G108" s="248"/>
      <c r="H108" s="247"/>
      <c r="I108" s="249" t="s">
        <v>369</v>
      </c>
      <c r="J108" s="249" t="s">
        <v>21</v>
      </c>
      <c r="K108" s="249" t="s">
        <v>22</v>
      </c>
      <c r="L108" s="250">
        <f t="shared" si="4"/>
        <v>1</v>
      </c>
      <c r="M108" s="237">
        <f t="array" ref="M108">INDEX('BKTT T4.26'!$N$12:$N$55,MATCH(V108,'BKTT T4.26'!$A$12:$A$55,0),0)</f>
        <v>654871</v>
      </c>
      <c r="N108" s="162">
        <f t="shared" si="7"/>
        <v>654871</v>
      </c>
      <c r="O108" s="238" t="s">
        <v>264</v>
      </c>
      <c r="P108" s="251" t="s">
        <v>1448</v>
      </c>
      <c r="R108" s="191" t="str">
        <f t="shared" si="5"/>
        <v>Cước vận chuyển Container hàng 20' tuyến đường PAN HA - HẢI AN. BKS: 15C15033</v>
      </c>
      <c r="S108" s="191" t="str">
        <f t="shared" si="6"/>
        <v xml:space="preserve"> hàng 20' </v>
      </c>
      <c r="V108" s="191">
        <v>1</v>
      </c>
    </row>
    <row r="109" spans="1:22" s="191" customFormat="1" ht="15">
      <c r="A109" s="236">
        <v>98</v>
      </c>
      <c r="B109" s="244">
        <v>46110</v>
      </c>
      <c r="C109" s="245" t="s">
        <v>261</v>
      </c>
      <c r="D109" s="246" t="s">
        <v>371</v>
      </c>
      <c r="E109" s="247">
        <v>1</v>
      </c>
      <c r="F109" s="247"/>
      <c r="G109" s="248"/>
      <c r="H109" s="247"/>
      <c r="I109" s="249" t="s">
        <v>369</v>
      </c>
      <c r="J109" s="249" t="s">
        <v>21</v>
      </c>
      <c r="K109" s="249" t="s">
        <v>22</v>
      </c>
      <c r="L109" s="250">
        <f t="shared" si="4"/>
        <v>1</v>
      </c>
      <c r="M109" s="237">
        <f t="array" ref="M109">INDEX('BKTT T4.26'!$N$12:$N$55,MATCH(V109,'BKTT T4.26'!$A$12:$A$55,0),0)</f>
        <v>654871</v>
      </c>
      <c r="N109" s="162">
        <f t="shared" si="7"/>
        <v>654871</v>
      </c>
      <c r="O109" s="238" t="s">
        <v>264</v>
      </c>
      <c r="P109" s="251" t="s">
        <v>1448</v>
      </c>
      <c r="R109" s="191" t="str">
        <f t="shared" si="5"/>
        <v>Cước vận chuyển Container hàng 20' tuyến đường PAN HA - HẢI AN. BKS: 15C15033</v>
      </c>
      <c r="S109" s="191" t="str">
        <f t="shared" si="6"/>
        <v xml:space="preserve"> hàng 20' </v>
      </c>
      <c r="V109" s="191">
        <v>1</v>
      </c>
    </row>
    <row r="110" spans="1:22" s="191" customFormat="1" ht="15">
      <c r="A110" s="236">
        <v>99</v>
      </c>
      <c r="B110" s="244">
        <v>46110</v>
      </c>
      <c r="C110" s="245" t="s">
        <v>261</v>
      </c>
      <c r="D110" s="246" t="s">
        <v>372</v>
      </c>
      <c r="E110" s="247">
        <v>1</v>
      </c>
      <c r="F110" s="247"/>
      <c r="G110" s="248"/>
      <c r="H110" s="247"/>
      <c r="I110" s="249" t="s">
        <v>369</v>
      </c>
      <c r="J110" s="249" t="s">
        <v>21</v>
      </c>
      <c r="K110" s="249" t="s">
        <v>22</v>
      </c>
      <c r="L110" s="250">
        <f t="shared" si="4"/>
        <v>1</v>
      </c>
      <c r="M110" s="237">
        <f t="array" ref="M110">INDEX('BKTT T4.26'!$N$12:$N$55,MATCH(V110,'BKTT T4.26'!$A$12:$A$55,0),0)</f>
        <v>654871</v>
      </c>
      <c r="N110" s="162">
        <f t="shared" si="7"/>
        <v>654871</v>
      </c>
      <c r="O110" s="238" t="s">
        <v>264</v>
      </c>
      <c r="P110" s="251" t="s">
        <v>1448</v>
      </c>
      <c r="R110" s="191" t="str">
        <f t="shared" si="5"/>
        <v>Cước vận chuyển Container hàng 20' tuyến đường PAN HA - HẢI AN. BKS: 15C15033</v>
      </c>
      <c r="S110" s="191" t="str">
        <f t="shared" si="6"/>
        <v xml:space="preserve"> hàng 20' </v>
      </c>
      <c r="V110" s="191">
        <v>1</v>
      </c>
    </row>
    <row r="111" spans="1:22" s="191" customFormat="1" ht="15">
      <c r="A111" s="236">
        <v>100</v>
      </c>
      <c r="B111" s="244">
        <v>46110</v>
      </c>
      <c r="C111" s="245" t="s">
        <v>261</v>
      </c>
      <c r="D111" s="246" t="s">
        <v>373</v>
      </c>
      <c r="E111" s="247">
        <v>1</v>
      </c>
      <c r="F111" s="247"/>
      <c r="G111" s="248"/>
      <c r="H111" s="247"/>
      <c r="I111" s="249" t="s">
        <v>369</v>
      </c>
      <c r="J111" s="249" t="s">
        <v>21</v>
      </c>
      <c r="K111" s="249" t="s">
        <v>22</v>
      </c>
      <c r="L111" s="250">
        <f t="shared" si="4"/>
        <v>1</v>
      </c>
      <c r="M111" s="237">
        <f t="array" ref="M111">INDEX('BKTT T4.26'!$N$12:$N$55,MATCH(V111,'BKTT T4.26'!$A$12:$A$55,0),0)</f>
        <v>654871</v>
      </c>
      <c r="N111" s="162">
        <f t="shared" si="7"/>
        <v>654871</v>
      </c>
      <c r="O111" s="238" t="s">
        <v>264</v>
      </c>
      <c r="P111" s="251" t="s">
        <v>1448</v>
      </c>
      <c r="R111" s="191" t="str">
        <f t="shared" si="5"/>
        <v>Cước vận chuyển Container hàng 20' tuyến đường PAN HA - HẢI AN. BKS: 15C15033</v>
      </c>
      <c r="S111" s="191" t="str">
        <f t="shared" si="6"/>
        <v xml:space="preserve"> hàng 20' </v>
      </c>
      <c r="V111" s="191">
        <v>1</v>
      </c>
    </row>
    <row r="112" spans="1:22" s="191" customFormat="1" ht="15">
      <c r="A112" s="236">
        <v>101</v>
      </c>
      <c r="B112" s="244">
        <v>46110</v>
      </c>
      <c r="C112" s="245" t="s">
        <v>261</v>
      </c>
      <c r="D112" s="246" t="s">
        <v>374</v>
      </c>
      <c r="E112" s="247">
        <v>1</v>
      </c>
      <c r="F112" s="247"/>
      <c r="G112" s="248"/>
      <c r="H112" s="247"/>
      <c r="I112" s="249" t="s">
        <v>369</v>
      </c>
      <c r="J112" s="249" t="s">
        <v>21</v>
      </c>
      <c r="K112" s="249" t="s">
        <v>22</v>
      </c>
      <c r="L112" s="250">
        <f t="shared" si="4"/>
        <v>1</v>
      </c>
      <c r="M112" s="237">
        <f t="array" ref="M112">INDEX('BKTT T4.26'!$N$12:$N$55,MATCH(V112,'BKTT T4.26'!$A$12:$A$55,0),0)</f>
        <v>654871</v>
      </c>
      <c r="N112" s="162">
        <f t="shared" si="7"/>
        <v>654871</v>
      </c>
      <c r="O112" s="238" t="s">
        <v>264</v>
      </c>
      <c r="P112" s="251" t="s">
        <v>1448</v>
      </c>
      <c r="R112" s="191" t="str">
        <f t="shared" si="5"/>
        <v>Cước vận chuyển Container hàng 20' tuyến đường PAN HA - HẢI AN. BKS: 15C15033</v>
      </c>
      <c r="S112" s="191" t="str">
        <f t="shared" si="6"/>
        <v xml:space="preserve"> hàng 20' </v>
      </c>
      <c r="V112" s="191">
        <v>1</v>
      </c>
    </row>
    <row r="113" spans="1:22" s="191" customFormat="1" ht="15">
      <c r="A113" s="236">
        <v>102</v>
      </c>
      <c r="B113" s="244">
        <v>46110</v>
      </c>
      <c r="C113" s="245" t="s">
        <v>261</v>
      </c>
      <c r="D113" s="246" t="s">
        <v>375</v>
      </c>
      <c r="E113" s="247"/>
      <c r="F113" s="247">
        <v>1</v>
      </c>
      <c r="G113" s="248"/>
      <c r="H113" s="247"/>
      <c r="I113" s="249" t="s">
        <v>369</v>
      </c>
      <c r="J113" s="249" t="s">
        <v>21</v>
      </c>
      <c r="K113" s="249" t="s">
        <v>25</v>
      </c>
      <c r="L113" s="250">
        <f t="shared" si="4"/>
        <v>1</v>
      </c>
      <c r="M113" s="237">
        <f t="array" ref="M113">INDEX('BKTT T4.26'!$N$12:$N$55,MATCH(V113,'BKTT T4.26'!$A$12:$A$55,0),0)</f>
        <v>681050</v>
      </c>
      <c r="N113" s="162">
        <f t="shared" si="7"/>
        <v>681050</v>
      </c>
      <c r="O113" s="238" t="s">
        <v>264</v>
      </c>
      <c r="P113" s="251" t="s">
        <v>1448</v>
      </c>
      <c r="R113" s="191" t="str">
        <f t="shared" si="5"/>
        <v>Cước vận chuyển Container hàng 40' tuyến đường PAN HA - HẢI AN,. BKS: 15C15033</v>
      </c>
      <c r="S113" s="191" t="str">
        <f t="shared" si="6"/>
        <v xml:space="preserve"> hàng 40' </v>
      </c>
      <c r="V113" s="191">
        <v>2</v>
      </c>
    </row>
    <row r="114" spans="1:22" s="191" customFormat="1" ht="15">
      <c r="A114" s="236">
        <v>103</v>
      </c>
      <c r="B114" s="244">
        <v>46110</v>
      </c>
      <c r="C114" s="245" t="s">
        <v>261</v>
      </c>
      <c r="D114" s="246" t="s">
        <v>376</v>
      </c>
      <c r="E114" s="247"/>
      <c r="F114" s="247">
        <v>1</v>
      </c>
      <c r="G114" s="248"/>
      <c r="H114" s="247"/>
      <c r="I114" s="249" t="s">
        <v>274</v>
      </c>
      <c r="J114" s="249" t="s">
        <v>21</v>
      </c>
      <c r="K114" s="249" t="s">
        <v>50</v>
      </c>
      <c r="L114" s="250">
        <f t="shared" si="4"/>
        <v>1</v>
      </c>
      <c r="M114" s="237">
        <f t="array" ref="M114">INDEX('BKTT T4.26'!$N$12:$N$55,MATCH(V114,'BKTT T4.26'!$A$12:$A$55,0),0)</f>
        <v>602510</v>
      </c>
      <c r="N114" s="162">
        <f t="shared" si="7"/>
        <v>602510</v>
      </c>
      <c r="O114" s="238" t="s">
        <v>264</v>
      </c>
      <c r="P114" s="251" t="s">
        <v>1448</v>
      </c>
      <c r="R114" s="191" t="str">
        <f t="shared" si="5"/>
        <v>Cước vận chuyển Container hàng 40' tuyến đường PAN HA - VIP,. BKS: 15H12925</v>
      </c>
      <c r="S114" s="191" t="str">
        <f t="shared" si="6"/>
        <v xml:space="preserve"> hàng 40' </v>
      </c>
      <c r="V114" s="191">
        <v>28</v>
      </c>
    </row>
    <row r="115" spans="1:22" s="191" customFormat="1" ht="15">
      <c r="A115" s="236">
        <v>104</v>
      </c>
      <c r="B115" s="244">
        <v>46110</v>
      </c>
      <c r="C115" s="245" t="s">
        <v>261</v>
      </c>
      <c r="D115" s="246" t="s">
        <v>377</v>
      </c>
      <c r="E115" s="247"/>
      <c r="F115" s="247">
        <v>1</v>
      </c>
      <c r="G115" s="248"/>
      <c r="H115" s="247"/>
      <c r="I115" s="249" t="s">
        <v>274</v>
      </c>
      <c r="J115" s="249" t="s">
        <v>21</v>
      </c>
      <c r="K115" s="249" t="s">
        <v>50</v>
      </c>
      <c r="L115" s="250">
        <f t="shared" si="4"/>
        <v>1</v>
      </c>
      <c r="M115" s="237">
        <f t="array" ref="M115">INDEX('BKTT T4.26'!$N$12:$N$55,MATCH(V115,'BKTT T4.26'!$A$12:$A$55,0),0)</f>
        <v>602510</v>
      </c>
      <c r="N115" s="162">
        <f t="shared" si="7"/>
        <v>602510</v>
      </c>
      <c r="O115" s="238" t="s">
        <v>264</v>
      </c>
      <c r="P115" s="251" t="s">
        <v>1448</v>
      </c>
      <c r="R115" s="191" t="str">
        <f t="shared" si="5"/>
        <v>Cước vận chuyển Container hàng 40' tuyến đường PAN HA - VIP,. BKS: 15H12925</v>
      </c>
      <c r="S115" s="191" t="str">
        <f t="shared" si="6"/>
        <v xml:space="preserve"> hàng 40' </v>
      </c>
      <c r="V115" s="191">
        <v>28</v>
      </c>
    </row>
    <row r="116" spans="1:22" s="191" customFormat="1" ht="15">
      <c r="A116" s="236">
        <v>105</v>
      </c>
      <c r="B116" s="244">
        <v>46110</v>
      </c>
      <c r="C116" s="245" t="s">
        <v>261</v>
      </c>
      <c r="D116" s="246" t="s">
        <v>378</v>
      </c>
      <c r="E116" s="247"/>
      <c r="F116" s="247">
        <v>1</v>
      </c>
      <c r="G116" s="248"/>
      <c r="H116" s="247"/>
      <c r="I116" s="249" t="s">
        <v>274</v>
      </c>
      <c r="J116" s="249" t="s">
        <v>21</v>
      </c>
      <c r="K116" s="249" t="s">
        <v>50</v>
      </c>
      <c r="L116" s="250">
        <f t="shared" si="4"/>
        <v>1</v>
      </c>
      <c r="M116" s="237">
        <f t="array" ref="M116">INDEX('BKTT T4.26'!$N$12:$N$55,MATCH(V116,'BKTT T4.26'!$A$12:$A$55,0),0)</f>
        <v>602510</v>
      </c>
      <c r="N116" s="162">
        <f t="shared" si="7"/>
        <v>602510</v>
      </c>
      <c r="O116" s="238" t="s">
        <v>264</v>
      </c>
      <c r="P116" s="251" t="s">
        <v>1448</v>
      </c>
      <c r="R116" s="191" t="str">
        <f t="shared" si="5"/>
        <v>Cước vận chuyển Container hàng 40' tuyến đường PAN HA - VIP,. BKS: 15H12925</v>
      </c>
      <c r="S116" s="191" t="str">
        <f t="shared" si="6"/>
        <v xml:space="preserve"> hàng 40' </v>
      </c>
      <c r="V116" s="191">
        <v>28</v>
      </c>
    </row>
    <row r="117" spans="1:22" s="283" customFormat="1" ht="15">
      <c r="A117" s="236">
        <v>106</v>
      </c>
      <c r="B117" s="272">
        <v>46110</v>
      </c>
      <c r="C117" s="273" t="s">
        <v>261</v>
      </c>
      <c r="D117" s="285" t="s">
        <v>1455</v>
      </c>
      <c r="E117" s="275"/>
      <c r="F117" s="247">
        <v>1</v>
      </c>
      <c r="G117" s="276"/>
      <c r="H117" s="275"/>
      <c r="I117" s="249" t="s">
        <v>274</v>
      </c>
      <c r="J117" s="249" t="s">
        <v>21</v>
      </c>
      <c r="K117" s="249" t="s">
        <v>25</v>
      </c>
      <c r="L117" s="278">
        <f t="shared" si="4"/>
        <v>1</v>
      </c>
      <c r="M117" s="279">
        <f t="array" ref="M117">INDEX('BKTT T4.26'!$N$12:$N$55,MATCH(V117,'BKTT T4.26'!$A$12:$A$55,0),0)</f>
        <v>681050</v>
      </c>
      <c r="N117" s="280">
        <f t="shared" si="7"/>
        <v>681050</v>
      </c>
      <c r="O117" s="281" t="s">
        <v>264</v>
      </c>
      <c r="P117" s="282" t="s">
        <v>1447</v>
      </c>
      <c r="R117" s="283" t="str">
        <f t="shared" si="5"/>
        <v>Cước vận chuyển Container hàng 40' tuyến đường PAN HA - HẢI AN,. BKS: 15H12925</v>
      </c>
      <c r="S117" s="283" t="str">
        <f t="shared" si="6"/>
        <v xml:space="preserve"> hàng 40' </v>
      </c>
      <c r="V117" s="191">
        <v>2</v>
      </c>
    </row>
    <row r="118" spans="1:22" s="283" customFormat="1" ht="15">
      <c r="A118" s="236">
        <v>107</v>
      </c>
      <c r="B118" s="272">
        <v>46110</v>
      </c>
      <c r="C118" s="273" t="s">
        <v>261</v>
      </c>
      <c r="D118" s="285" t="s">
        <v>1454</v>
      </c>
      <c r="E118" s="275"/>
      <c r="F118" s="247">
        <v>1</v>
      </c>
      <c r="G118" s="276"/>
      <c r="H118" s="275"/>
      <c r="I118" s="249" t="s">
        <v>274</v>
      </c>
      <c r="J118" s="249" t="s">
        <v>21</v>
      </c>
      <c r="K118" s="249" t="s">
        <v>25</v>
      </c>
      <c r="L118" s="278">
        <f t="shared" si="4"/>
        <v>1</v>
      </c>
      <c r="M118" s="279">
        <f t="array" ref="M118">INDEX('BKTT T4.26'!$N$12:$N$55,MATCH(V118,'BKTT T4.26'!$A$12:$A$55,0),0)</f>
        <v>681050</v>
      </c>
      <c r="N118" s="280">
        <f t="shared" si="7"/>
        <v>681050</v>
      </c>
      <c r="O118" s="281" t="s">
        <v>264</v>
      </c>
      <c r="P118" s="282" t="s">
        <v>1447</v>
      </c>
      <c r="R118" s="283" t="str">
        <f t="shared" si="5"/>
        <v>Cước vận chuyển Container hàng 40' tuyến đường PAN HA - HẢI AN,. BKS: 15H12925</v>
      </c>
      <c r="S118" s="283" t="str">
        <f t="shared" si="6"/>
        <v xml:space="preserve"> hàng 40' </v>
      </c>
      <c r="V118" s="191">
        <v>2</v>
      </c>
    </row>
    <row r="119" spans="1:22" s="191" customFormat="1" ht="15">
      <c r="A119" s="236">
        <v>108</v>
      </c>
      <c r="B119" s="244">
        <v>46109</v>
      </c>
      <c r="C119" s="245" t="s">
        <v>261</v>
      </c>
      <c r="D119" s="246" t="s">
        <v>379</v>
      </c>
      <c r="E119" s="247">
        <v>1</v>
      </c>
      <c r="F119" s="247"/>
      <c r="G119" s="248"/>
      <c r="H119" s="247"/>
      <c r="I119" s="249" t="s">
        <v>304</v>
      </c>
      <c r="J119" s="249" t="s">
        <v>21</v>
      </c>
      <c r="K119" s="249" t="s">
        <v>49</v>
      </c>
      <c r="L119" s="250">
        <f t="shared" si="4"/>
        <v>1</v>
      </c>
      <c r="M119" s="237">
        <f t="array" ref="M119">INDEX('BKTT T4.26'!$N$12:$N$55,MATCH(V119,'BKTT T4.26'!$A$12:$A$55,0),0)</f>
        <v>576331</v>
      </c>
      <c r="N119" s="162">
        <f t="shared" si="7"/>
        <v>576331</v>
      </c>
      <c r="O119" s="238" t="s">
        <v>264</v>
      </c>
      <c r="P119" s="251" t="s">
        <v>1448</v>
      </c>
      <c r="R119" s="191" t="str">
        <f t="shared" si="5"/>
        <v>Cước vận chuyển Container hàng 20' tuyến đường PAN HA - VIP. BKS: 15C09877</v>
      </c>
      <c r="S119" s="191" t="str">
        <f t="shared" si="6"/>
        <v xml:space="preserve"> hàng 20' </v>
      </c>
      <c r="V119" s="191">
        <v>27</v>
      </c>
    </row>
    <row r="120" spans="1:22" s="191" customFormat="1" ht="15">
      <c r="A120" s="236">
        <v>109</v>
      </c>
      <c r="B120" s="244">
        <v>46109</v>
      </c>
      <c r="C120" s="245" t="s">
        <v>261</v>
      </c>
      <c r="D120" s="246" t="s">
        <v>380</v>
      </c>
      <c r="E120" s="247">
        <v>1</v>
      </c>
      <c r="F120" s="247"/>
      <c r="G120" s="248"/>
      <c r="H120" s="247"/>
      <c r="I120" s="249" t="s">
        <v>304</v>
      </c>
      <c r="J120" s="249" t="s">
        <v>21</v>
      </c>
      <c r="K120" s="249" t="s">
        <v>49</v>
      </c>
      <c r="L120" s="250">
        <f t="shared" si="4"/>
        <v>1</v>
      </c>
      <c r="M120" s="237">
        <f t="array" ref="M120">INDEX('BKTT T4.26'!$N$12:$N$55,MATCH(V120,'BKTT T4.26'!$A$12:$A$55,0),0)</f>
        <v>576331</v>
      </c>
      <c r="N120" s="162">
        <f t="shared" si="7"/>
        <v>576331</v>
      </c>
      <c r="O120" s="238" t="s">
        <v>264</v>
      </c>
      <c r="P120" s="251" t="s">
        <v>1448</v>
      </c>
      <c r="R120" s="191" t="str">
        <f t="shared" si="5"/>
        <v>Cước vận chuyển Container hàng 20' tuyến đường PAN HA - VIP. BKS: 15C09877</v>
      </c>
      <c r="S120" s="191" t="str">
        <f t="shared" si="6"/>
        <v xml:space="preserve"> hàng 20' </v>
      </c>
      <c r="V120" s="191">
        <v>27</v>
      </c>
    </row>
    <row r="121" spans="1:22" s="191" customFormat="1" ht="15">
      <c r="A121" s="236">
        <v>110</v>
      </c>
      <c r="B121" s="244">
        <v>46109</v>
      </c>
      <c r="C121" s="245" t="s">
        <v>261</v>
      </c>
      <c r="D121" s="246" t="s">
        <v>381</v>
      </c>
      <c r="E121" s="247">
        <v>1</v>
      </c>
      <c r="F121" s="247"/>
      <c r="G121" s="248"/>
      <c r="H121" s="247"/>
      <c r="I121" s="249" t="s">
        <v>304</v>
      </c>
      <c r="J121" s="249" t="s">
        <v>21</v>
      </c>
      <c r="K121" s="249" t="s">
        <v>49</v>
      </c>
      <c r="L121" s="250">
        <f t="shared" si="4"/>
        <v>1</v>
      </c>
      <c r="M121" s="237">
        <f t="array" ref="M121">INDEX('BKTT T4.26'!$N$12:$N$55,MATCH(V121,'BKTT T4.26'!$A$12:$A$55,0),0)</f>
        <v>576331</v>
      </c>
      <c r="N121" s="162">
        <f t="shared" si="7"/>
        <v>576331</v>
      </c>
      <c r="O121" s="238" t="s">
        <v>264</v>
      </c>
      <c r="P121" s="251" t="s">
        <v>1448</v>
      </c>
      <c r="R121" s="191" t="str">
        <f t="shared" si="5"/>
        <v>Cước vận chuyển Container hàng 20' tuyến đường PAN HA - VIP. BKS: 15C09877</v>
      </c>
      <c r="S121" s="191" t="str">
        <f t="shared" si="6"/>
        <v xml:space="preserve"> hàng 20' </v>
      </c>
      <c r="V121" s="191">
        <v>27</v>
      </c>
    </row>
    <row r="122" spans="1:22" s="191" customFormat="1" ht="15">
      <c r="A122" s="236">
        <v>111</v>
      </c>
      <c r="B122" s="244">
        <v>46109</v>
      </c>
      <c r="C122" s="245" t="s">
        <v>261</v>
      </c>
      <c r="D122" s="246" t="s">
        <v>382</v>
      </c>
      <c r="E122" s="247">
        <v>1</v>
      </c>
      <c r="F122" s="247"/>
      <c r="G122" s="248"/>
      <c r="H122" s="247"/>
      <c r="I122" s="249" t="s">
        <v>304</v>
      </c>
      <c r="J122" s="249" t="s">
        <v>21</v>
      </c>
      <c r="K122" s="249" t="s">
        <v>49</v>
      </c>
      <c r="L122" s="250">
        <f t="shared" si="4"/>
        <v>1</v>
      </c>
      <c r="M122" s="237">
        <f t="array" ref="M122">INDEX('BKTT T4.26'!$N$12:$N$55,MATCH(V122,'BKTT T4.26'!$A$12:$A$55,0),0)</f>
        <v>576331</v>
      </c>
      <c r="N122" s="162">
        <f t="shared" si="7"/>
        <v>576331</v>
      </c>
      <c r="O122" s="238" t="s">
        <v>264</v>
      </c>
      <c r="P122" s="251" t="s">
        <v>1448</v>
      </c>
      <c r="R122" s="191" t="str">
        <f t="shared" si="5"/>
        <v>Cước vận chuyển Container hàng 20' tuyến đường PAN HA - VIP. BKS: 15C09877</v>
      </c>
      <c r="S122" s="191" t="str">
        <f t="shared" si="6"/>
        <v xml:space="preserve"> hàng 20' </v>
      </c>
      <c r="V122" s="191">
        <v>27</v>
      </c>
    </row>
    <row r="123" spans="1:22" s="191" customFormat="1" ht="15">
      <c r="A123" s="236">
        <v>112</v>
      </c>
      <c r="B123" s="244">
        <v>46109</v>
      </c>
      <c r="C123" s="245" t="s">
        <v>261</v>
      </c>
      <c r="D123" s="246" t="s">
        <v>383</v>
      </c>
      <c r="E123" s="247">
        <v>1</v>
      </c>
      <c r="F123" s="247"/>
      <c r="G123" s="248"/>
      <c r="H123" s="247"/>
      <c r="I123" s="249" t="s">
        <v>304</v>
      </c>
      <c r="J123" s="249" t="s">
        <v>21</v>
      </c>
      <c r="K123" s="249" t="s">
        <v>49</v>
      </c>
      <c r="L123" s="250">
        <f t="shared" si="4"/>
        <v>1</v>
      </c>
      <c r="M123" s="237">
        <f t="array" ref="M123">INDEX('BKTT T4.26'!$N$12:$N$55,MATCH(V123,'BKTT T4.26'!$A$12:$A$55,0),0)</f>
        <v>576331</v>
      </c>
      <c r="N123" s="162">
        <f t="shared" si="7"/>
        <v>576331</v>
      </c>
      <c r="O123" s="238" t="s">
        <v>264</v>
      </c>
      <c r="P123" s="251" t="s">
        <v>1448</v>
      </c>
      <c r="R123" s="191" t="str">
        <f t="shared" si="5"/>
        <v>Cước vận chuyển Container hàng 20' tuyến đường PAN HA - VIP. BKS: 15C09877</v>
      </c>
      <c r="S123" s="191" t="str">
        <f t="shared" si="6"/>
        <v xml:space="preserve"> hàng 20' </v>
      </c>
      <c r="V123" s="191">
        <v>27</v>
      </c>
    </row>
    <row r="124" spans="1:22" s="191" customFormat="1" ht="15">
      <c r="A124" s="236">
        <v>113</v>
      </c>
      <c r="B124" s="244">
        <v>46109</v>
      </c>
      <c r="C124" s="245" t="s">
        <v>261</v>
      </c>
      <c r="D124" s="246" t="s">
        <v>384</v>
      </c>
      <c r="E124" s="247">
        <v>1</v>
      </c>
      <c r="F124" s="247"/>
      <c r="G124" s="248"/>
      <c r="H124" s="247"/>
      <c r="I124" s="249" t="s">
        <v>304</v>
      </c>
      <c r="J124" s="249" t="s">
        <v>21</v>
      </c>
      <c r="K124" s="249" t="s">
        <v>49</v>
      </c>
      <c r="L124" s="250">
        <f t="shared" si="4"/>
        <v>1</v>
      </c>
      <c r="M124" s="237">
        <f t="array" ref="M124">INDEX('BKTT T4.26'!$N$12:$N$55,MATCH(V124,'BKTT T4.26'!$A$12:$A$55,0),0)</f>
        <v>576331</v>
      </c>
      <c r="N124" s="162">
        <f t="shared" si="7"/>
        <v>576331</v>
      </c>
      <c r="O124" s="238" t="s">
        <v>264</v>
      </c>
      <c r="P124" s="251" t="s">
        <v>1448</v>
      </c>
      <c r="R124" s="191" t="str">
        <f t="shared" si="5"/>
        <v>Cước vận chuyển Container hàng 20' tuyến đường PAN HA - VIP. BKS: 15C09877</v>
      </c>
      <c r="S124" s="191" t="str">
        <f t="shared" si="6"/>
        <v xml:space="preserve"> hàng 20' </v>
      </c>
      <c r="V124" s="191">
        <v>27</v>
      </c>
    </row>
    <row r="125" spans="1:22" s="191" customFormat="1" ht="15">
      <c r="A125" s="236">
        <v>114</v>
      </c>
      <c r="B125" s="244">
        <v>46110</v>
      </c>
      <c r="C125" s="245" t="s">
        <v>261</v>
      </c>
      <c r="D125" s="246" t="s">
        <v>385</v>
      </c>
      <c r="E125" s="247"/>
      <c r="F125" s="247">
        <v>1</v>
      </c>
      <c r="G125" s="248"/>
      <c r="H125" s="247"/>
      <c r="I125" s="249" t="s">
        <v>304</v>
      </c>
      <c r="J125" s="249" t="s">
        <v>21</v>
      </c>
      <c r="K125" s="249" t="s">
        <v>50</v>
      </c>
      <c r="L125" s="250">
        <f t="shared" si="4"/>
        <v>1</v>
      </c>
      <c r="M125" s="237">
        <f t="array" ref="M125">INDEX('BKTT T4.26'!$N$12:$N$55,MATCH(V125,'BKTT T4.26'!$A$12:$A$55,0),0)</f>
        <v>602510</v>
      </c>
      <c r="N125" s="162">
        <f t="shared" si="7"/>
        <v>602510</v>
      </c>
      <c r="O125" s="238" t="s">
        <v>264</v>
      </c>
      <c r="P125" s="251" t="s">
        <v>1448</v>
      </c>
      <c r="R125" s="191" t="str">
        <f t="shared" si="5"/>
        <v>Cước vận chuyển Container hàng 40' tuyến đường PAN HA - VIP,. BKS: 15C09877</v>
      </c>
      <c r="S125" s="191" t="str">
        <f t="shared" si="6"/>
        <v xml:space="preserve"> hàng 40' </v>
      </c>
      <c r="V125" s="191">
        <v>28</v>
      </c>
    </row>
    <row r="126" spans="1:22" s="191" customFormat="1" ht="15">
      <c r="A126" s="236">
        <v>115</v>
      </c>
      <c r="B126" s="244">
        <v>46110</v>
      </c>
      <c r="C126" s="245" t="s">
        <v>261</v>
      </c>
      <c r="D126" s="246" t="s">
        <v>386</v>
      </c>
      <c r="E126" s="247"/>
      <c r="F126" s="247">
        <v>1</v>
      </c>
      <c r="G126" s="248"/>
      <c r="H126" s="247"/>
      <c r="I126" s="249" t="s">
        <v>304</v>
      </c>
      <c r="J126" s="249" t="s">
        <v>21</v>
      </c>
      <c r="K126" s="249" t="s">
        <v>50</v>
      </c>
      <c r="L126" s="250">
        <f t="shared" si="4"/>
        <v>1</v>
      </c>
      <c r="M126" s="237">
        <f t="array" ref="M126">INDEX('BKTT T4.26'!$N$12:$N$55,MATCH(V126,'BKTT T4.26'!$A$12:$A$55,0),0)</f>
        <v>602510</v>
      </c>
      <c r="N126" s="162">
        <f t="shared" si="7"/>
        <v>602510</v>
      </c>
      <c r="O126" s="238" t="s">
        <v>264</v>
      </c>
      <c r="P126" s="251" t="s">
        <v>1448</v>
      </c>
      <c r="R126" s="191" t="str">
        <f t="shared" si="5"/>
        <v>Cước vận chuyển Container hàng 40' tuyến đường PAN HA - VIP,. BKS: 15C09877</v>
      </c>
      <c r="S126" s="191" t="str">
        <f t="shared" si="6"/>
        <v xml:space="preserve"> hàng 40' </v>
      </c>
      <c r="V126" s="191">
        <v>28</v>
      </c>
    </row>
    <row r="127" spans="1:22" s="191" customFormat="1" ht="15">
      <c r="A127" s="236">
        <v>116</v>
      </c>
      <c r="B127" s="244">
        <v>46110</v>
      </c>
      <c r="C127" s="245" t="s">
        <v>261</v>
      </c>
      <c r="D127" s="246" t="s">
        <v>387</v>
      </c>
      <c r="E127" s="247">
        <v>1</v>
      </c>
      <c r="F127" s="247"/>
      <c r="G127" s="248"/>
      <c r="H127" s="247"/>
      <c r="I127" s="249" t="s">
        <v>304</v>
      </c>
      <c r="J127" s="249" t="s">
        <v>21</v>
      </c>
      <c r="K127" s="249" t="s">
        <v>22</v>
      </c>
      <c r="L127" s="250">
        <f t="shared" si="4"/>
        <v>1</v>
      </c>
      <c r="M127" s="237">
        <f t="array" ref="M127">INDEX('BKTT T4.26'!$N$12:$N$55,MATCH(V127,'BKTT T4.26'!$A$12:$A$55,0),0)</f>
        <v>654871</v>
      </c>
      <c r="N127" s="162">
        <f t="shared" si="7"/>
        <v>654871</v>
      </c>
      <c r="O127" s="238" t="s">
        <v>264</v>
      </c>
      <c r="P127" s="251" t="s">
        <v>1495</v>
      </c>
      <c r="R127" s="191" t="str">
        <f t="shared" si="5"/>
        <v>Cước vận chuyển Container hàng 20' tuyến đường PAN HA - HẢI AN. BKS: 15C09877</v>
      </c>
      <c r="S127" s="191" t="str">
        <f t="shared" si="6"/>
        <v xml:space="preserve"> hàng 20' </v>
      </c>
      <c r="V127" s="191">
        <v>1</v>
      </c>
    </row>
    <row r="128" spans="1:22" s="191" customFormat="1" ht="15">
      <c r="A128" s="236">
        <v>117</v>
      </c>
      <c r="B128" s="244">
        <v>46110</v>
      </c>
      <c r="C128" s="245" t="s">
        <v>261</v>
      </c>
      <c r="D128" s="246" t="s">
        <v>388</v>
      </c>
      <c r="E128" s="247">
        <v>1</v>
      </c>
      <c r="F128" s="247"/>
      <c r="G128" s="248"/>
      <c r="H128" s="247"/>
      <c r="I128" s="249" t="s">
        <v>304</v>
      </c>
      <c r="J128" s="249" t="s">
        <v>21</v>
      </c>
      <c r="K128" s="249" t="s">
        <v>22</v>
      </c>
      <c r="L128" s="250">
        <f t="shared" si="4"/>
        <v>1</v>
      </c>
      <c r="M128" s="237">
        <f t="array" ref="M128">INDEX('BKTT T4.26'!$N$12:$N$55,MATCH(V128,'BKTT T4.26'!$A$12:$A$55,0),0)</f>
        <v>654871</v>
      </c>
      <c r="N128" s="162">
        <f t="shared" si="7"/>
        <v>654871</v>
      </c>
      <c r="O128" s="238" t="s">
        <v>264</v>
      </c>
      <c r="P128" s="251" t="s">
        <v>1495</v>
      </c>
      <c r="R128" s="191" t="str">
        <f t="shared" si="5"/>
        <v>Cước vận chuyển Container hàng 20' tuyến đường PAN HA - HẢI AN. BKS: 15C09877</v>
      </c>
      <c r="S128" s="191" t="str">
        <f t="shared" si="6"/>
        <v xml:space="preserve"> hàng 20' </v>
      </c>
      <c r="V128" s="191">
        <v>1</v>
      </c>
    </row>
    <row r="129" spans="1:22" s="191" customFormat="1" ht="15">
      <c r="A129" s="236">
        <v>118</v>
      </c>
      <c r="B129" s="244">
        <v>46110</v>
      </c>
      <c r="C129" s="245" t="s">
        <v>261</v>
      </c>
      <c r="D129" s="246" t="s">
        <v>389</v>
      </c>
      <c r="E129" s="247">
        <v>1</v>
      </c>
      <c r="F129" s="247"/>
      <c r="G129" s="248"/>
      <c r="H129" s="247"/>
      <c r="I129" s="249" t="s">
        <v>304</v>
      </c>
      <c r="J129" s="249" t="s">
        <v>21</v>
      </c>
      <c r="K129" s="249" t="s">
        <v>22</v>
      </c>
      <c r="L129" s="250">
        <f t="shared" si="4"/>
        <v>1</v>
      </c>
      <c r="M129" s="237">
        <f t="array" ref="M129">INDEX('BKTT T4.26'!$N$12:$N$55,MATCH(V129,'BKTT T4.26'!$A$12:$A$55,0),0)</f>
        <v>654871</v>
      </c>
      <c r="N129" s="162">
        <f t="shared" si="7"/>
        <v>654871</v>
      </c>
      <c r="O129" s="238" t="s">
        <v>264</v>
      </c>
      <c r="P129" s="251" t="s">
        <v>1495</v>
      </c>
      <c r="R129" s="191" t="str">
        <f t="shared" si="5"/>
        <v>Cước vận chuyển Container hàng 20' tuyến đường PAN HA - HẢI AN. BKS: 15C09877</v>
      </c>
      <c r="S129" s="191" t="str">
        <f t="shared" si="6"/>
        <v xml:space="preserve"> hàng 20' </v>
      </c>
      <c r="V129" s="191">
        <v>1</v>
      </c>
    </row>
    <row r="130" spans="1:22" s="191" customFormat="1" ht="15">
      <c r="A130" s="236">
        <v>119</v>
      </c>
      <c r="B130" s="244">
        <v>46110</v>
      </c>
      <c r="C130" s="245" t="s">
        <v>261</v>
      </c>
      <c r="D130" s="246" t="s">
        <v>390</v>
      </c>
      <c r="E130" s="247">
        <v>1</v>
      </c>
      <c r="F130" s="247"/>
      <c r="G130" s="248"/>
      <c r="H130" s="247"/>
      <c r="I130" s="249" t="s">
        <v>304</v>
      </c>
      <c r="J130" s="249" t="s">
        <v>21</v>
      </c>
      <c r="K130" s="249" t="s">
        <v>22</v>
      </c>
      <c r="L130" s="250">
        <f t="shared" si="4"/>
        <v>1</v>
      </c>
      <c r="M130" s="237">
        <f t="array" ref="M130">INDEX('BKTT T4.26'!$N$12:$N$55,MATCH(V130,'BKTT T4.26'!$A$12:$A$55,0),0)</f>
        <v>654871</v>
      </c>
      <c r="N130" s="162">
        <f t="shared" si="7"/>
        <v>654871</v>
      </c>
      <c r="O130" s="238" t="s">
        <v>264</v>
      </c>
      <c r="P130" s="251" t="s">
        <v>1495</v>
      </c>
      <c r="R130" s="191" t="str">
        <f t="shared" si="5"/>
        <v>Cước vận chuyển Container hàng 20' tuyến đường PAN HA - HẢI AN. BKS: 15C09877</v>
      </c>
      <c r="S130" s="191" t="str">
        <f t="shared" si="6"/>
        <v xml:space="preserve"> hàng 20' </v>
      </c>
      <c r="V130" s="191">
        <v>1</v>
      </c>
    </row>
    <row r="131" spans="1:22" s="191" customFormat="1" ht="15">
      <c r="A131" s="236">
        <v>120</v>
      </c>
      <c r="B131" s="244">
        <v>46110</v>
      </c>
      <c r="C131" s="245" t="s">
        <v>261</v>
      </c>
      <c r="D131" s="246" t="s">
        <v>391</v>
      </c>
      <c r="E131" s="247"/>
      <c r="F131" s="247">
        <v>1</v>
      </c>
      <c r="G131" s="248"/>
      <c r="H131" s="247"/>
      <c r="I131" s="249" t="s">
        <v>304</v>
      </c>
      <c r="J131" s="249" t="s">
        <v>21</v>
      </c>
      <c r="K131" s="249" t="s">
        <v>25</v>
      </c>
      <c r="L131" s="250">
        <f t="shared" si="4"/>
        <v>1</v>
      </c>
      <c r="M131" s="237">
        <f t="array" ref="M131">INDEX('BKTT T4.26'!$N$12:$N$55,MATCH(V131,'BKTT T4.26'!$A$12:$A$55,0),0)</f>
        <v>681050</v>
      </c>
      <c r="N131" s="162">
        <f t="shared" si="7"/>
        <v>681050</v>
      </c>
      <c r="O131" s="238" t="s">
        <v>264</v>
      </c>
      <c r="P131" s="251" t="s">
        <v>98</v>
      </c>
      <c r="R131" s="191" t="str">
        <f t="shared" si="5"/>
        <v>Cước vận chuyển Container hàng 40' tuyến đường PAN HA - HẢI AN,. BKS: 15C09877</v>
      </c>
      <c r="S131" s="191" t="str">
        <f t="shared" si="6"/>
        <v xml:space="preserve"> hàng 40' </v>
      </c>
      <c r="V131" s="191">
        <v>2</v>
      </c>
    </row>
    <row r="132" spans="1:22" s="191" customFormat="1" ht="15">
      <c r="A132" s="236">
        <v>121</v>
      </c>
      <c r="B132" s="244">
        <v>46110</v>
      </c>
      <c r="C132" s="245" t="s">
        <v>261</v>
      </c>
      <c r="D132" s="246" t="s">
        <v>392</v>
      </c>
      <c r="E132" s="247">
        <v>1</v>
      </c>
      <c r="F132" s="247"/>
      <c r="G132" s="248"/>
      <c r="H132" s="247"/>
      <c r="I132" s="249" t="s">
        <v>269</v>
      </c>
      <c r="J132" s="249" t="s">
        <v>21</v>
      </c>
      <c r="K132" s="249" t="s">
        <v>22</v>
      </c>
      <c r="L132" s="250">
        <f t="shared" si="4"/>
        <v>1</v>
      </c>
      <c r="M132" s="237">
        <f t="array" ref="M132">INDEX('BKTT T4.26'!$N$12:$N$55,MATCH(V132,'BKTT T4.26'!$A$12:$A$55,0),0)</f>
        <v>654871</v>
      </c>
      <c r="N132" s="162">
        <f t="shared" si="7"/>
        <v>654871</v>
      </c>
      <c r="O132" s="238" t="s">
        <v>264</v>
      </c>
      <c r="P132" s="251" t="s">
        <v>1448</v>
      </c>
      <c r="R132" s="191" t="str">
        <f t="shared" si="5"/>
        <v>Cước vận chuyển Container hàng 20' tuyến đường PAN HA - HẢI AN. BKS: 15H07644</v>
      </c>
      <c r="S132" s="191" t="str">
        <f t="shared" si="6"/>
        <v xml:space="preserve"> hàng 20' </v>
      </c>
      <c r="V132" s="191">
        <v>1</v>
      </c>
    </row>
    <row r="133" spans="1:22" s="191" customFormat="1" ht="15">
      <c r="A133" s="236">
        <v>122</v>
      </c>
      <c r="B133" s="244">
        <v>46110</v>
      </c>
      <c r="C133" s="245" t="s">
        <v>261</v>
      </c>
      <c r="D133" s="246" t="s">
        <v>393</v>
      </c>
      <c r="E133" s="247">
        <v>1</v>
      </c>
      <c r="F133" s="247"/>
      <c r="G133" s="248"/>
      <c r="H133" s="247"/>
      <c r="I133" s="249" t="s">
        <v>269</v>
      </c>
      <c r="J133" s="249" t="s">
        <v>21</v>
      </c>
      <c r="K133" s="249" t="s">
        <v>22</v>
      </c>
      <c r="L133" s="250">
        <f t="shared" si="4"/>
        <v>1</v>
      </c>
      <c r="M133" s="237">
        <f t="array" ref="M133">INDEX('BKTT T4.26'!$N$12:$N$55,MATCH(V133,'BKTT T4.26'!$A$12:$A$55,0),0)</f>
        <v>654871</v>
      </c>
      <c r="N133" s="162">
        <f t="shared" si="7"/>
        <v>654871</v>
      </c>
      <c r="O133" s="238" t="s">
        <v>264</v>
      </c>
      <c r="P133" s="251" t="s">
        <v>1448</v>
      </c>
      <c r="R133" s="191" t="str">
        <f t="shared" si="5"/>
        <v>Cước vận chuyển Container hàng 20' tuyến đường PAN HA - HẢI AN. BKS: 15H07644</v>
      </c>
      <c r="S133" s="191" t="str">
        <f t="shared" si="6"/>
        <v xml:space="preserve"> hàng 20' </v>
      </c>
      <c r="V133" s="191">
        <v>1</v>
      </c>
    </row>
    <row r="134" spans="1:22" s="191" customFormat="1" ht="15">
      <c r="A134" s="236">
        <v>123</v>
      </c>
      <c r="B134" s="244">
        <v>46110</v>
      </c>
      <c r="C134" s="245" t="s">
        <v>261</v>
      </c>
      <c r="D134" s="246" t="s">
        <v>394</v>
      </c>
      <c r="E134" s="247"/>
      <c r="F134" s="247"/>
      <c r="G134" s="248"/>
      <c r="H134" s="247">
        <v>1</v>
      </c>
      <c r="I134" s="249" t="s">
        <v>269</v>
      </c>
      <c r="J134" s="249" t="s">
        <v>21</v>
      </c>
      <c r="K134" s="249" t="s">
        <v>51</v>
      </c>
      <c r="L134" s="250">
        <f t="shared" si="4"/>
        <v>1</v>
      </c>
      <c r="M134" s="237">
        <f t="array" ref="M134">INDEX('BKTT T4.26'!$N$12:$N$55,MATCH(V134,'BKTT T4.26'!$A$12:$A$55,0),0)</f>
        <v>550151</v>
      </c>
      <c r="N134" s="162">
        <f t="shared" si="7"/>
        <v>550151</v>
      </c>
      <c r="O134" s="238" t="s">
        <v>264</v>
      </c>
      <c r="P134" s="251" t="s">
        <v>1448</v>
      </c>
      <c r="R134" s="191" t="str">
        <f t="shared" si="5"/>
        <v>Cước vận chuyển Container vỏ tuyến đường PAN HA - VIP.. BKS: 15H07644</v>
      </c>
      <c r="S134" s="191" t="str">
        <f t="shared" si="6"/>
        <v xml:space="preserve"> vỏ </v>
      </c>
      <c r="V134" s="191">
        <v>29</v>
      </c>
    </row>
    <row r="135" spans="1:22" s="191" customFormat="1" ht="15">
      <c r="A135" s="236">
        <v>124</v>
      </c>
      <c r="B135" s="244">
        <v>46108</v>
      </c>
      <c r="C135" s="245" t="s">
        <v>261</v>
      </c>
      <c r="D135" s="246" t="s">
        <v>395</v>
      </c>
      <c r="E135" s="247">
        <v>1</v>
      </c>
      <c r="F135" s="247"/>
      <c r="G135" s="248"/>
      <c r="H135" s="247"/>
      <c r="I135" s="249" t="s">
        <v>269</v>
      </c>
      <c r="J135" s="249" t="s">
        <v>21</v>
      </c>
      <c r="K135" s="249" t="s">
        <v>22</v>
      </c>
      <c r="L135" s="250">
        <f t="shared" si="4"/>
        <v>1</v>
      </c>
      <c r="M135" s="237">
        <f t="array" ref="M135">INDEX('BKTT T4.26'!$N$12:$N$55,MATCH(V135,'BKTT T4.26'!$A$12:$A$55,0),0)</f>
        <v>654871</v>
      </c>
      <c r="N135" s="162">
        <f t="shared" si="7"/>
        <v>654871</v>
      </c>
      <c r="O135" s="238" t="s">
        <v>264</v>
      </c>
      <c r="P135" s="251" t="s">
        <v>1448</v>
      </c>
      <c r="R135" s="191" t="str">
        <f t="shared" si="5"/>
        <v>Cước vận chuyển Container hàng 20' tuyến đường PAN HA - HẢI AN. BKS: 15H07644</v>
      </c>
      <c r="S135" s="191" t="str">
        <f t="shared" si="6"/>
        <v xml:space="preserve"> hàng 20' </v>
      </c>
      <c r="V135" s="191">
        <v>1</v>
      </c>
    </row>
    <row r="136" spans="1:22" s="191" customFormat="1" ht="15">
      <c r="A136" s="236">
        <v>125</v>
      </c>
      <c r="B136" s="244">
        <v>46108</v>
      </c>
      <c r="C136" s="245" t="s">
        <v>261</v>
      </c>
      <c r="D136" s="246" t="s">
        <v>396</v>
      </c>
      <c r="E136" s="247">
        <v>1</v>
      </c>
      <c r="F136" s="247"/>
      <c r="G136" s="248"/>
      <c r="H136" s="247"/>
      <c r="I136" s="249" t="s">
        <v>269</v>
      </c>
      <c r="J136" s="249" t="s">
        <v>21</v>
      </c>
      <c r="K136" s="249" t="s">
        <v>22</v>
      </c>
      <c r="L136" s="250">
        <f t="shared" si="4"/>
        <v>1</v>
      </c>
      <c r="M136" s="237">
        <f t="array" ref="M136">INDEX('BKTT T4.26'!$N$12:$N$55,MATCH(V136,'BKTT T4.26'!$A$12:$A$55,0),0)</f>
        <v>654871</v>
      </c>
      <c r="N136" s="162">
        <f t="shared" si="7"/>
        <v>654871</v>
      </c>
      <c r="O136" s="238" t="s">
        <v>264</v>
      </c>
      <c r="P136" s="251" t="s">
        <v>1448</v>
      </c>
      <c r="R136" s="191" t="str">
        <f t="shared" si="5"/>
        <v>Cước vận chuyển Container hàng 20' tuyến đường PAN HA - HẢI AN. BKS: 15H07644</v>
      </c>
      <c r="S136" s="191" t="str">
        <f t="shared" si="6"/>
        <v xml:space="preserve"> hàng 20' </v>
      </c>
      <c r="V136" s="191">
        <v>1</v>
      </c>
    </row>
    <row r="137" spans="1:22" s="191" customFormat="1" ht="15">
      <c r="A137" s="236">
        <v>126</v>
      </c>
      <c r="B137" s="244">
        <v>46108</v>
      </c>
      <c r="C137" s="245" t="s">
        <v>261</v>
      </c>
      <c r="D137" s="246" t="s">
        <v>397</v>
      </c>
      <c r="E137" s="247">
        <v>1</v>
      </c>
      <c r="F137" s="247"/>
      <c r="G137" s="248"/>
      <c r="H137" s="247"/>
      <c r="I137" s="249" t="s">
        <v>269</v>
      </c>
      <c r="J137" s="249" t="s">
        <v>21</v>
      </c>
      <c r="K137" s="249" t="s">
        <v>22</v>
      </c>
      <c r="L137" s="250">
        <f t="shared" ref="L137:L200" si="8">E137+F137+G137+H137</f>
        <v>1</v>
      </c>
      <c r="M137" s="237">
        <f t="array" ref="M137">INDEX('BKTT T4.26'!$N$12:$N$55,MATCH(V137,'BKTT T4.26'!$A$12:$A$55,0),0)</f>
        <v>654871</v>
      </c>
      <c r="N137" s="162">
        <f t="shared" si="7"/>
        <v>654871</v>
      </c>
      <c r="O137" s="238" t="s">
        <v>264</v>
      </c>
      <c r="P137" s="251" t="s">
        <v>1448</v>
      </c>
      <c r="R137" s="191" t="str">
        <f t="shared" ref="R137:R200" si="9">$R$10&amp;S137&amp;$R$9&amp;J137&amp;$S$10&amp;K137&amp;$R$8&amp;I137</f>
        <v>Cước vận chuyển Container hàng 20' tuyến đường PAN HA - HẢI AN. BKS: 15H07644</v>
      </c>
      <c r="S137" s="191" t="str">
        <f t="shared" ref="S137:S200" si="10">IF(E137=1," hàng 20' ",IF(F137=1," hàng 40' "," vỏ "))</f>
        <v xml:space="preserve"> hàng 20' </v>
      </c>
      <c r="V137" s="191">
        <v>1</v>
      </c>
    </row>
    <row r="138" spans="1:22" s="191" customFormat="1" ht="15">
      <c r="A138" s="236">
        <v>127</v>
      </c>
      <c r="B138" s="244">
        <v>46108</v>
      </c>
      <c r="C138" s="245" t="s">
        <v>261</v>
      </c>
      <c r="D138" s="246" t="s">
        <v>398</v>
      </c>
      <c r="E138" s="247">
        <v>1</v>
      </c>
      <c r="F138" s="247"/>
      <c r="G138" s="248"/>
      <c r="H138" s="247"/>
      <c r="I138" s="249" t="s">
        <v>269</v>
      </c>
      <c r="J138" s="249" t="s">
        <v>21</v>
      </c>
      <c r="K138" s="249" t="s">
        <v>22</v>
      </c>
      <c r="L138" s="250">
        <f t="shared" si="8"/>
        <v>1</v>
      </c>
      <c r="M138" s="237">
        <f t="array" ref="M138">INDEX('BKTT T4.26'!$N$12:$N$55,MATCH(V138,'BKTT T4.26'!$A$12:$A$55,0),0)</f>
        <v>654871</v>
      </c>
      <c r="N138" s="162">
        <f t="shared" si="7"/>
        <v>654871</v>
      </c>
      <c r="O138" s="238" t="s">
        <v>264</v>
      </c>
      <c r="P138" s="251" t="s">
        <v>1448</v>
      </c>
      <c r="R138" s="191" t="str">
        <f t="shared" si="9"/>
        <v>Cước vận chuyển Container hàng 20' tuyến đường PAN HA - HẢI AN. BKS: 15H07644</v>
      </c>
      <c r="S138" s="191" t="str">
        <f t="shared" si="10"/>
        <v xml:space="preserve"> hàng 20' </v>
      </c>
      <c r="V138" s="191">
        <v>1</v>
      </c>
    </row>
    <row r="139" spans="1:22" s="283" customFormat="1" ht="15">
      <c r="A139" s="236">
        <v>128</v>
      </c>
      <c r="B139" s="272">
        <v>46110</v>
      </c>
      <c r="C139" s="273" t="s">
        <v>261</v>
      </c>
      <c r="D139" s="285" t="s">
        <v>1456</v>
      </c>
      <c r="E139" s="275"/>
      <c r="F139" s="275">
        <v>1</v>
      </c>
      <c r="G139" s="276"/>
      <c r="H139" s="275"/>
      <c r="I139" s="277" t="s">
        <v>399</v>
      </c>
      <c r="J139" s="249" t="s">
        <v>21</v>
      </c>
      <c r="K139" s="249" t="s">
        <v>50</v>
      </c>
      <c r="L139" s="278">
        <f t="shared" si="8"/>
        <v>1</v>
      </c>
      <c r="M139" s="279">
        <f t="array" ref="M139">INDEX('BKTT T4.26'!$N$12:$N$55,MATCH(V139,'BKTT T4.26'!$A$12:$A$55,0),0)</f>
        <v>602510</v>
      </c>
      <c r="N139" s="280">
        <f>L139*M139</f>
        <v>602510</v>
      </c>
      <c r="O139" s="281" t="s">
        <v>264</v>
      </c>
      <c r="P139" s="282" t="s">
        <v>1447</v>
      </c>
      <c r="R139" s="283" t="str">
        <f t="shared" si="9"/>
        <v>Cước vận chuyển Container hàng 40' tuyến đường PAN HA - VIP,. BKS: 15H15378</v>
      </c>
      <c r="S139" s="283" t="str">
        <f t="shared" si="10"/>
        <v xml:space="preserve"> hàng 40' </v>
      </c>
      <c r="V139" s="191">
        <v>28</v>
      </c>
    </row>
    <row r="140" spans="1:22" s="191" customFormat="1" ht="15">
      <c r="A140" s="236">
        <v>129</v>
      </c>
      <c r="B140" s="244">
        <v>46110</v>
      </c>
      <c r="C140" s="245" t="s">
        <v>261</v>
      </c>
      <c r="D140" s="246" t="s">
        <v>400</v>
      </c>
      <c r="E140" s="247"/>
      <c r="F140" s="247">
        <v>1</v>
      </c>
      <c r="G140" s="248"/>
      <c r="H140" s="247"/>
      <c r="I140" s="249" t="s">
        <v>399</v>
      </c>
      <c r="J140" s="249" t="s">
        <v>21</v>
      </c>
      <c r="K140" s="249" t="s">
        <v>25</v>
      </c>
      <c r="L140" s="250">
        <f t="shared" si="8"/>
        <v>1</v>
      </c>
      <c r="M140" s="237">
        <f t="array" ref="M140">INDEX('BKTT T4.26'!$N$12:$N$55,MATCH(V140,'BKTT T4.26'!$A$12:$A$55,0),0)</f>
        <v>681050</v>
      </c>
      <c r="N140" s="162">
        <f>L140*M140</f>
        <v>681050</v>
      </c>
      <c r="O140" s="238" t="s">
        <v>264</v>
      </c>
      <c r="P140" s="251" t="s">
        <v>1448</v>
      </c>
      <c r="R140" s="191" t="str">
        <f t="shared" si="9"/>
        <v>Cước vận chuyển Container hàng 40' tuyến đường PAN HA - HẢI AN,. BKS: 15H15378</v>
      </c>
      <c r="S140" s="191" t="str">
        <f t="shared" si="10"/>
        <v xml:space="preserve"> hàng 40' </v>
      </c>
      <c r="V140" s="191">
        <v>2</v>
      </c>
    </row>
    <row r="141" spans="1:22" s="191" customFormat="1" ht="15">
      <c r="A141" s="236">
        <v>130</v>
      </c>
      <c r="B141" s="244">
        <v>46110</v>
      </c>
      <c r="C141" s="245" t="s">
        <v>261</v>
      </c>
      <c r="D141" s="246" t="s">
        <v>401</v>
      </c>
      <c r="E141" s="247"/>
      <c r="F141" s="247">
        <v>1</v>
      </c>
      <c r="G141" s="248"/>
      <c r="H141" s="247"/>
      <c r="I141" s="249" t="s">
        <v>399</v>
      </c>
      <c r="J141" s="249" t="s">
        <v>21</v>
      </c>
      <c r="K141" s="249" t="s">
        <v>25</v>
      </c>
      <c r="L141" s="250">
        <f t="shared" si="8"/>
        <v>1</v>
      </c>
      <c r="M141" s="237">
        <f t="array" ref="M141">INDEX('BKTT T4.26'!$N$12:$N$55,MATCH(V141,'BKTT T4.26'!$A$12:$A$55,0),0)</f>
        <v>681050</v>
      </c>
      <c r="N141" s="162">
        <f>L141*M141</f>
        <v>681050</v>
      </c>
      <c r="O141" s="238" t="s">
        <v>264</v>
      </c>
      <c r="P141" s="251" t="s">
        <v>1448</v>
      </c>
      <c r="R141" s="191" t="str">
        <f t="shared" si="9"/>
        <v>Cước vận chuyển Container hàng 40' tuyến đường PAN HA - HẢI AN,. BKS: 15H15378</v>
      </c>
      <c r="S141" s="191" t="str">
        <f t="shared" si="10"/>
        <v xml:space="preserve"> hàng 40' </v>
      </c>
      <c r="V141" s="191">
        <v>2</v>
      </c>
    </row>
    <row r="142" spans="1:22" s="191" customFormat="1" ht="15">
      <c r="A142" s="236">
        <v>131</v>
      </c>
      <c r="B142" s="244">
        <v>46110</v>
      </c>
      <c r="C142" s="245" t="s">
        <v>261</v>
      </c>
      <c r="D142" s="246" t="s">
        <v>402</v>
      </c>
      <c r="E142" s="247"/>
      <c r="F142" s="247">
        <v>1</v>
      </c>
      <c r="G142" s="248"/>
      <c r="H142" s="247"/>
      <c r="I142" s="249" t="s">
        <v>399</v>
      </c>
      <c r="J142" s="249" t="s">
        <v>21</v>
      </c>
      <c r="K142" s="249" t="s">
        <v>25</v>
      </c>
      <c r="L142" s="250">
        <f t="shared" si="8"/>
        <v>1</v>
      </c>
      <c r="M142" s="237">
        <f t="array" ref="M142">INDEX('BKTT T4.26'!$N$12:$N$55,MATCH(V142,'BKTT T4.26'!$A$12:$A$55,0),0)</f>
        <v>681050</v>
      </c>
      <c r="N142" s="162">
        <f>L142*M142</f>
        <v>681050</v>
      </c>
      <c r="O142" s="238" t="s">
        <v>264</v>
      </c>
      <c r="P142" s="251" t="s">
        <v>1448</v>
      </c>
      <c r="R142" s="191" t="str">
        <f t="shared" si="9"/>
        <v>Cước vận chuyển Container hàng 40' tuyến đường PAN HA - HẢI AN,. BKS: 15H15378</v>
      </c>
      <c r="S142" s="191" t="str">
        <f t="shared" si="10"/>
        <v xml:space="preserve"> hàng 40' </v>
      </c>
      <c r="V142" s="191">
        <v>2</v>
      </c>
    </row>
    <row r="143" spans="1:22" s="283" customFormat="1" ht="15">
      <c r="A143" s="236">
        <v>132</v>
      </c>
      <c r="B143" s="272">
        <v>46107</v>
      </c>
      <c r="C143" s="273" t="s">
        <v>261</v>
      </c>
      <c r="D143" s="274" t="s">
        <v>1446</v>
      </c>
      <c r="E143" s="275"/>
      <c r="F143" s="275"/>
      <c r="G143" s="276"/>
      <c r="H143" s="275">
        <v>1</v>
      </c>
      <c r="I143" s="277" t="s">
        <v>399</v>
      </c>
      <c r="J143" s="277" t="s">
        <v>56</v>
      </c>
      <c r="K143" s="249" t="s">
        <v>21</v>
      </c>
      <c r="L143" s="278">
        <f t="shared" si="8"/>
        <v>1</v>
      </c>
      <c r="M143" s="279">
        <f t="array" ref="M143">INDEX('BKTT T4.26'!$N$12:$N$55,MATCH(V143,'BKTT T4.26'!$A$12:$A$55,0),0)</f>
        <v>1002400</v>
      </c>
      <c r="N143" s="280">
        <f>L143*M143</f>
        <v>1002400</v>
      </c>
      <c r="O143" s="281" t="s">
        <v>267</v>
      </c>
      <c r="P143" s="282" t="s">
        <v>1447</v>
      </c>
      <c r="R143" s="283" t="str">
        <f t="shared" si="9"/>
        <v>Cước vận chuyển Container vỏ tuyến đường HATECO - PAN HA. BKS: 15H15378</v>
      </c>
      <c r="S143" s="283" t="str">
        <f t="shared" si="10"/>
        <v xml:space="preserve"> vỏ </v>
      </c>
      <c r="V143" s="191">
        <v>35</v>
      </c>
    </row>
    <row r="144" spans="1:22" s="191" customFormat="1" ht="15">
      <c r="A144" s="236">
        <v>133</v>
      </c>
      <c r="B144" s="244">
        <v>46107</v>
      </c>
      <c r="C144" s="245" t="s">
        <v>261</v>
      </c>
      <c r="D144" s="246" t="s">
        <v>403</v>
      </c>
      <c r="E144" s="247"/>
      <c r="F144" s="247"/>
      <c r="G144" s="248"/>
      <c r="H144" s="247">
        <v>1</v>
      </c>
      <c r="I144" s="249" t="s">
        <v>399</v>
      </c>
      <c r="J144" s="249" t="s">
        <v>56</v>
      </c>
      <c r="K144" s="249" t="s">
        <v>21</v>
      </c>
      <c r="L144" s="250">
        <f t="shared" si="8"/>
        <v>1</v>
      </c>
      <c r="M144" s="237">
        <f t="array" ref="M144">INDEX('BKTT T4.26'!$N$12:$N$55,MATCH(V144,'BKTT T4.26'!$A$12:$A$55,0),0)</f>
        <v>1002400</v>
      </c>
      <c r="N144" s="162">
        <f t="shared" ref="N144:N198" si="11">L144*M144</f>
        <v>1002400</v>
      </c>
      <c r="O144" s="238" t="s">
        <v>267</v>
      </c>
      <c r="P144" s="251" t="s">
        <v>1448</v>
      </c>
      <c r="R144" s="191" t="str">
        <f t="shared" si="9"/>
        <v>Cước vận chuyển Container vỏ tuyến đường HATECO - PAN HA. BKS: 15H15378</v>
      </c>
      <c r="S144" s="191" t="str">
        <f t="shared" si="10"/>
        <v xml:space="preserve"> vỏ </v>
      </c>
      <c r="V144" s="191">
        <v>35</v>
      </c>
    </row>
    <row r="145" spans="1:22" s="191" customFormat="1" ht="15">
      <c r="A145" s="236">
        <v>134</v>
      </c>
      <c r="B145" s="244">
        <v>46111</v>
      </c>
      <c r="C145" s="245" t="s">
        <v>261</v>
      </c>
      <c r="D145" s="246" t="s">
        <v>404</v>
      </c>
      <c r="E145" s="247"/>
      <c r="F145" s="247"/>
      <c r="G145" s="248"/>
      <c r="H145" s="247">
        <v>1</v>
      </c>
      <c r="I145" s="249" t="s">
        <v>304</v>
      </c>
      <c r="J145" s="249" t="s">
        <v>21</v>
      </c>
      <c r="K145" s="249" t="s">
        <v>27</v>
      </c>
      <c r="L145" s="250">
        <f t="shared" si="8"/>
        <v>1</v>
      </c>
      <c r="M145" s="237">
        <f t="array" ref="M145">INDEX('BKTT T4.26'!$N$12:$N$55,MATCH(V145,'BKTT T4.26'!$A$12:$A$55,0),0)</f>
        <v>628690</v>
      </c>
      <c r="N145" s="162">
        <f t="shared" si="11"/>
        <v>628690</v>
      </c>
      <c r="O145" s="238" t="s">
        <v>264</v>
      </c>
      <c r="P145" s="251" t="s">
        <v>1448</v>
      </c>
      <c r="R145" s="191" t="str">
        <f t="shared" si="9"/>
        <v>Cước vận chuyển Container vỏ tuyến đường PAN HA - HẢI AN.. BKS: 15C09877</v>
      </c>
      <c r="S145" s="191" t="str">
        <f t="shared" si="10"/>
        <v xml:space="preserve"> vỏ </v>
      </c>
      <c r="V145" s="191">
        <v>3</v>
      </c>
    </row>
    <row r="146" spans="1:22" s="191" customFormat="1" ht="15">
      <c r="A146" s="236">
        <v>135</v>
      </c>
      <c r="B146" s="244">
        <v>46111</v>
      </c>
      <c r="C146" s="245" t="s">
        <v>261</v>
      </c>
      <c r="D146" s="246" t="s">
        <v>405</v>
      </c>
      <c r="E146" s="247">
        <v>1</v>
      </c>
      <c r="F146" s="247"/>
      <c r="G146" s="248"/>
      <c r="H146" s="247"/>
      <c r="I146" s="249" t="s">
        <v>304</v>
      </c>
      <c r="J146" s="249" t="s">
        <v>21</v>
      </c>
      <c r="K146" s="249" t="s">
        <v>36</v>
      </c>
      <c r="L146" s="250">
        <f t="shared" si="8"/>
        <v>1</v>
      </c>
      <c r="M146" s="237">
        <f t="array" ref="M146">INDEX('BKTT T4.26'!$N$12:$N$55,MATCH(V146,'BKTT T4.26'!$A$12:$A$55,0),0)</f>
        <v>576331</v>
      </c>
      <c r="N146" s="162">
        <f t="shared" si="11"/>
        <v>576331</v>
      </c>
      <c r="O146" s="238" t="s">
        <v>264</v>
      </c>
      <c r="P146" s="251" t="s">
        <v>1448</v>
      </c>
      <c r="R146" s="191" t="str">
        <f t="shared" si="9"/>
        <v>Cước vận chuyển Container hàng 20' tuyến đường PAN HA - NHĐV. BKS: 15C09877</v>
      </c>
      <c r="S146" s="191" t="str">
        <f t="shared" si="10"/>
        <v xml:space="preserve"> hàng 20' </v>
      </c>
      <c r="V146" s="191">
        <v>11</v>
      </c>
    </row>
    <row r="147" spans="1:22" s="191" customFormat="1" ht="15">
      <c r="A147" s="236">
        <v>136</v>
      </c>
      <c r="B147" s="244">
        <v>46111</v>
      </c>
      <c r="C147" s="245" t="s">
        <v>261</v>
      </c>
      <c r="D147" s="246" t="s">
        <v>406</v>
      </c>
      <c r="E147" s="247">
        <v>1</v>
      </c>
      <c r="F147" s="247"/>
      <c r="G147" s="248"/>
      <c r="H147" s="247"/>
      <c r="I147" s="249" t="s">
        <v>304</v>
      </c>
      <c r="J147" s="249" t="s">
        <v>21</v>
      </c>
      <c r="K147" s="249" t="s">
        <v>36</v>
      </c>
      <c r="L147" s="250">
        <f t="shared" si="8"/>
        <v>1</v>
      </c>
      <c r="M147" s="237">
        <f t="array" ref="M147">INDEX('BKTT T4.26'!$N$12:$N$55,MATCH(V147,'BKTT T4.26'!$A$12:$A$55,0),0)</f>
        <v>576331</v>
      </c>
      <c r="N147" s="162">
        <f t="shared" si="11"/>
        <v>576331</v>
      </c>
      <c r="O147" s="238" t="s">
        <v>264</v>
      </c>
      <c r="P147" s="251" t="s">
        <v>1448</v>
      </c>
      <c r="R147" s="191" t="str">
        <f t="shared" si="9"/>
        <v>Cước vận chuyển Container hàng 20' tuyến đường PAN HA - NHĐV. BKS: 15C09877</v>
      </c>
      <c r="S147" s="191" t="str">
        <f t="shared" si="10"/>
        <v xml:space="preserve"> hàng 20' </v>
      </c>
      <c r="V147" s="191">
        <v>11</v>
      </c>
    </row>
    <row r="148" spans="1:22" s="191" customFormat="1" ht="15">
      <c r="A148" s="236">
        <v>137</v>
      </c>
      <c r="B148" s="244">
        <v>46111</v>
      </c>
      <c r="C148" s="245" t="s">
        <v>261</v>
      </c>
      <c r="D148" s="246" t="s">
        <v>407</v>
      </c>
      <c r="E148" s="247">
        <v>1</v>
      </c>
      <c r="F148" s="247"/>
      <c r="G148" s="248"/>
      <c r="H148" s="247"/>
      <c r="I148" s="249" t="s">
        <v>304</v>
      </c>
      <c r="J148" s="249" t="s">
        <v>21</v>
      </c>
      <c r="K148" s="249" t="s">
        <v>36</v>
      </c>
      <c r="L148" s="250">
        <f t="shared" si="8"/>
        <v>1</v>
      </c>
      <c r="M148" s="237">
        <f t="array" ref="M148">INDEX('BKTT T4.26'!$N$12:$N$55,MATCH(V148,'BKTT T4.26'!$A$12:$A$55,0),0)</f>
        <v>576331</v>
      </c>
      <c r="N148" s="162">
        <f t="shared" si="11"/>
        <v>576331</v>
      </c>
      <c r="O148" s="238" t="s">
        <v>264</v>
      </c>
      <c r="P148" s="251" t="s">
        <v>1448</v>
      </c>
      <c r="R148" s="191" t="str">
        <f t="shared" si="9"/>
        <v>Cước vận chuyển Container hàng 20' tuyến đường PAN HA - NHĐV. BKS: 15C09877</v>
      </c>
      <c r="S148" s="191" t="str">
        <f t="shared" si="10"/>
        <v xml:space="preserve"> hàng 20' </v>
      </c>
      <c r="V148" s="191">
        <v>11</v>
      </c>
    </row>
    <row r="149" spans="1:22" s="191" customFormat="1" ht="15">
      <c r="A149" s="236">
        <v>138</v>
      </c>
      <c r="B149" s="244">
        <v>46111</v>
      </c>
      <c r="C149" s="245" t="s">
        <v>261</v>
      </c>
      <c r="D149" s="246" t="s">
        <v>408</v>
      </c>
      <c r="E149" s="247">
        <v>1</v>
      </c>
      <c r="F149" s="247"/>
      <c r="G149" s="248"/>
      <c r="H149" s="247"/>
      <c r="I149" s="249" t="s">
        <v>304</v>
      </c>
      <c r="J149" s="249" t="s">
        <v>21</v>
      </c>
      <c r="K149" s="249" t="s">
        <v>36</v>
      </c>
      <c r="L149" s="250">
        <f t="shared" si="8"/>
        <v>1</v>
      </c>
      <c r="M149" s="237">
        <f t="array" ref="M149">INDEX('BKTT T4.26'!$N$12:$N$55,MATCH(V149,'BKTT T4.26'!$A$12:$A$55,0),0)</f>
        <v>576331</v>
      </c>
      <c r="N149" s="162">
        <f t="shared" si="11"/>
        <v>576331</v>
      </c>
      <c r="O149" s="238" t="s">
        <v>264</v>
      </c>
      <c r="P149" s="251" t="s">
        <v>1448</v>
      </c>
      <c r="R149" s="191" t="str">
        <f t="shared" si="9"/>
        <v>Cước vận chuyển Container hàng 20' tuyến đường PAN HA - NHĐV. BKS: 15C09877</v>
      </c>
      <c r="S149" s="191" t="str">
        <f t="shared" si="10"/>
        <v xml:space="preserve"> hàng 20' </v>
      </c>
      <c r="V149" s="191">
        <v>11</v>
      </c>
    </row>
    <row r="150" spans="1:22" s="191" customFormat="1" ht="15">
      <c r="A150" s="236">
        <v>139</v>
      </c>
      <c r="B150" s="244">
        <v>46111</v>
      </c>
      <c r="C150" s="245" t="s">
        <v>261</v>
      </c>
      <c r="D150" s="246" t="s">
        <v>409</v>
      </c>
      <c r="E150" s="247">
        <v>1</v>
      </c>
      <c r="F150" s="247"/>
      <c r="G150" s="248"/>
      <c r="H150" s="247"/>
      <c r="I150" s="249" t="s">
        <v>304</v>
      </c>
      <c r="J150" s="249" t="s">
        <v>21</v>
      </c>
      <c r="K150" s="249" t="s">
        <v>36</v>
      </c>
      <c r="L150" s="250">
        <f t="shared" si="8"/>
        <v>1</v>
      </c>
      <c r="M150" s="237">
        <f t="array" ref="M150">INDEX('BKTT T4.26'!$N$12:$N$55,MATCH(V150,'BKTT T4.26'!$A$12:$A$55,0),0)</f>
        <v>576331</v>
      </c>
      <c r="N150" s="162">
        <f t="shared" si="11"/>
        <v>576331</v>
      </c>
      <c r="O150" s="238" t="s">
        <v>264</v>
      </c>
      <c r="P150" s="251" t="s">
        <v>1448</v>
      </c>
      <c r="R150" s="191" t="str">
        <f t="shared" si="9"/>
        <v>Cước vận chuyển Container hàng 20' tuyến đường PAN HA - NHĐV. BKS: 15C09877</v>
      </c>
      <c r="S150" s="191" t="str">
        <f t="shared" si="10"/>
        <v xml:space="preserve"> hàng 20' </v>
      </c>
      <c r="V150" s="191">
        <v>11</v>
      </c>
    </row>
    <row r="151" spans="1:22" s="191" customFormat="1" ht="15">
      <c r="A151" s="236">
        <v>140</v>
      </c>
      <c r="B151" s="244">
        <v>46111</v>
      </c>
      <c r="C151" s="245" t="s">
        <v>261</v>
      </c>
      <c r="D151" s="246" t="s">
        <v>410</v>
      </c>
      <c r="E151" s="247">
        <v>1</v>
      </c>
      <c r="F151" s="247"/>
      <c r="G151" s="248"/>
      <c r="H151" s="247"/>
      <c r="I151" s="249" t="s">
        <v>304</v>
      </c>
      <c r="J151" s="249" t="s">
        <v>21</v>
      </c>
      <c r="K151" s="249" t="s">
        <v>36</v>
      </c>
      <c r="L151" s="250">
        <f t="shared" si="8"/>
        <v>1</v>
      </c>
      <c r="M151" s="237">
        <f t="array" ref="M151">INDEX('BKTT T4.26'!$N$12:$N$55,MATCH(V151,'BKTT T4.26'!$A$12:$A$55,0),0)</f>
        <v>576331</v>
      </c>
      <c r="N151" s="162">
        <f t="shared" si="11"/>
        <v>576331</v>
      </c>
      <c r="O151" s="238" t="s">
        <v>264</v>
      </c>
      <c r="P151" s="251" t="s">
        <v>1448</v>
      </c>
      <c r="R151" s="191" t="str">
        <f t="shared" si="9"/>
        <v>Cước vận chuyển Container hàng 20' tuyến đường PAN HA - NHĐV. BKS: 15C09877</v>
      </c>
      <c r="S151" s="191" t="str">
        <f t="shared" si="10"/>
        <v xml:space="preserve"> hàng 20' </v>
      </c>
      <c r="V151" s="191">
        <v>11</v>
      </c>
    </row>
    <row r="152" spans="1:22" s="191" customFormat="1" ht="15">
      <c r="A152" s="236">
        <v>141</v>
      </c>
      <c r="B152" s="244">
        <v>46111</v>
      </c>
      <c r="C152" s="245" t="s">
        <v>261</v>
      </c>
      <c r="D152" s="246" t="s">
        <v>411</v>
      </c>
      <c r="E152" s="247">
        <v>1</v>
      </c>
      <c r="F152" s="247"/>
      <c r="G152" s="248"/>
      <c r="H152" s="247"/>
      <c r="I152" s="249" t="s">
        <v>269</v>
      </c>
      <c r="J152" s="249" t="s">
        <v>21</v>
      </c>
      <c r="K152" s="249" t="s">
        <v>36</v>
      </c>
      <c r="L152" s="250">
        <f t="shared" si="8"/>
        <v>1</v>
      </c>
      <c r="M152" s="237">
        <f t="array" ref="M152">INDEX('BKTT T4.26'!$N$12:$N$55,MATCH(V152,'BKTT T4.26'!$A$12:$A$55,0),0)</f>
        <v>576331</v>
      </c>
      <c r="N152" s="162">
        <f t="shared" si="11"/>
        <v>576331</v>
      </c>
      <c r="O152" s="238" t="s">
        <v>264</v>
      </c>
      <c r="P152" s="251" t="s">
        <v>1448</v>
      </c>
      <c r="R152" s="191" t="str">
        <f t="shared" si="9"/>
        <v>Cước vận chuyển Container hàng 20' tuyến đường PAN HA - NHĐV. BKS: 15H07644</v>
      </c>
      <c r="S152" s="191" t="str">
        <f t="shared" si="10"/>
        <v xml:space="preserve"> hàng 20' </v>
      </c>
      <c r="V152" s="191">
        <v>11</v>
      </c>
    </row>
    <row r="153" spans="1:22" s="191" customFormat="1" ht="15">
      <c r="A153" s="236">
        <v>142</v>
      </c>
      <c r="B153" s="244">
        <v>46111</v>
      </c>
      <c r="C153" s="245" t="s">
        <v>261</v>
      </c>
      <c r="D153" s="246" t="s">
        <v>412</v>
      </c>
      <c r="E153" s="247">
        <v>1</v>
      </c>
      <c r="F153" s="247"/>
      <c r="G153" s="248"/>
      <c r="H153" s="247"/>
      <c r="I153" s="249" t="s">
        <v>269</v>
      </c>
      <c r="J153" s="249" t="s">
        <v>21</v>
      </c>
      <c r="K153" s="249" t="s">
        <v>36</v>
      </c>
      <c r="L153" s="250">
        <f t="shared" si="8"/>
        <v>1</v>
      </c>
      <c r="M153" s="237">
        <f t="array" ref="M153">INDEX('BKTT T4.26'!$N$12:$N$55,MATCH(V153,'BKTT T4.26'!$A$12:$A$55,0),0)</f>
        <v>576331</v>
      </c>
      <c r="N153" s="162">
        <f t="shared" si="11"/>
        <v>576331</v>
      </c>
      <c r="O153" s="238" t="s">
        <v>264</v>
      </c>
      <c r="P153" s="251" t="s">
        <v>1448</v>
      </c>
      <c r="R153" s="191" t="str">
        <f t="shared" si="9"/>
        <v>Cước vận chuyển Container hàng 20' tuyến đường PAN HA - NHĐV. BKS: 15H07644</v>
      </c>
      <c r="S153" s="191" t="str">
        <f t="shared" si="10"/>
        <v xml:space="preserve"> hàng 20' </v>
      </c>
      <c r="V153" s="191">
        <v>11</v>
      </c>
    </row>
    <row r="154" spans="1:22" s="191" customFormat="1" ht="15">
      <c r="A154" s="236">
        <v>143</v>
      </c>
      <c r="B154" s="244">
        <v>46108</v>
      </c>
      <c r="C154" s="245" t="s">
        <v>261</v>
      </c>
      <c r="D154" s="246" t="s">
        <v>413</v>
      </c>
      <c r="E154" s="247">
        <v>1</v>
      </c>
      <c r="F154" s="247"/>
      <c r="G154" s="248"/>
      <c r="H154" s="247"/>
      <c r="I154" s="249" t="s">
        <v>272</v>
      </c>
      <c r="J154" s="249" t="s">
        <v>21</v>
      </c>
      <c r="K154" s="249" t="s">
        <v>22</v>
      </c>
      <c r="L154" s="250">
        <f t="shared" si="8"/>
        <v>1</v>
      </c>
      <c r="M154" s="237">
        <f t="array" ref="M154">INDEX('BKTT T4.26'!$N$12:$N$55,MATCH(V154,'BKTT T4.26'!$A$12:$A$55,0),0)</f>
        <v>654871</v>
      </c>
      <c r="N154" s="162">
        <f t="shared" si="11"/>
        <v>654871</v>
      </c>
      <c r="O154" s="238" t="s">
        <v>264</v>
      </c>
      <c r="P154" s="251" t="s">
        <v>1448</v>
      </c>
      <c r="R154" s="191" t="str">
        <f t="shared" si="9"/>
        <v>Cước vận chuyển Container hàng 20' tuyến đường PAN HA - HẢI AN. BKS: 15H07788</v>
      </c>
      <c r="S154" s="191" t="str">
        <f t="shared" si="10"/>
        <v xml:space="preserve"> hàng 20' </v>
      </c>
      <c r="V154" s="191">
        <v>1</v>
      </c>
    </row>
    <row r="155" spans="1:22" s="191" customFormat="1" ht="15">
      <c r="A155" s="236">
        <v>144</v>
      </c>
      <c r="B155" s="244">
        <v>46108</v>
      </c>
      <c r="C155" s="245" t="s">
        <v>261</v>
      </c>
      <c r="D155" s="246" t="s">
        <v>414</v>
      </c>
      <c r="E155" s="247">
        <v>1</v>
      </c>
      <c r="F155" s="247"/>
      <c r="G155" s="248"/>
      <c r="H155" s="247"/>
      <c r="I155" s="249" t="s">
        <v>272</v>
      </c>
      <c r="J155" s="249" t="s">
        <v>21</v>
      </c>
      <c r="K155" s="249" t="s">
        <v>22</v>
      </c>
      <c r="L155" s="250">
        <f t="shared" si="8"/>
        <v>1</v>
      </c>
      <c r="M155" s="237">
        <f t="array" ref="M155">INDEX('BKTT T4.26'!$N$12:$N$55,MATCH(V155,'BKTT T4.26'!$A$12:$A$55,0),0)</f>
        <v>654871</v>
      </c>
      <c r="N155" s="162">
        <f t="shared" si="11"/>
        <v>654871</v>
      </c>
      <c r="O155" s="238" t="s">
        <v>264</v>
      </c>
      <c r="P155" s="251" t="s">
        <v>1448</v>
      </c>
      <c r="R155" s="191" t="str">
        <f t="shared" si="9"/>
        <v>Cước vận chuyển Container hàng 20' tuyến đường PAN HA - HẢI AN. BKS: 15H07788</v>
      </c>
      <c r="S155" s="191" t="str">
        <f t="shared" si="10"/>
        <v xml:space="preserve"> hàng 20' </v>
      </c>
      <c r="V155" s="191">
        <v>1</v>
      </c>
    </row>
    <row r="156" spans="1:22" s="191" customFormat="1" ht="15">
      <c r="A156" s="236">
        <v>145</v>
      </c>
      <c r="B156" s="244">
        <v>46108</v>
      </c>
      <c r="C156" s="245" t="s">
        <v>261</v>
      </c>
      <c r="D156" s="246" t="s">
        <v>415</v>
      </c>
      <c r="E156" s="247">
        <v>1</v>
      </c>
      <c r="F156" s="247"/>
      <c r="G156" s="248"/>
      <c r="H156" s="247"/>
      <c r="I156" s="249" t="s">
        <v>272</v>
      </c>
      <c r="J156" s="249" t="s">
        <v>21</v>
      </c>
      <c r="K156" s="249" t="s">
        <v>22</v>
      </c>
      <c r="L156" s="250">
        <f t="shared" si="8"/>
        <v>1</v>
      </c>
      <c r="M156" s="237">
        <f t="array" ref="M156">INDEX('BKTT T4.26'!$N$12:$N$55,MATCH(V156,'BKTT T4.26'!$A$12:$A$55,0),0)</f>
        <v>654871</v>
      </c>
      <c r="N156" s="162">
        <f t="shared" si="11"/>
        <v>654871</v>
      </c>
      <c r="O156" s="238" t="s">
        <v>264</v>
      </c>
      <c r="P156" s="251" t="s">
        <v>1448</v>
      </c>
      <c r="R156" s="191" t="str">
        <f t="shared" si="9"/>
        <v>Cước vận chuyển Container hàng 20' tuyến đường PAN HA - HẢI AN. BKS: 15H07788</v>
      </c>
      <c r="S156" s="191" t="str">
        <f t="shared" si="10"/>
        <v xml:space="preserve"> hàng 20' </v>
      </c>
      <c r="V156" s="191">
        <v>1</v>
      </c>
    </row>
    <row r="157" spans="1:22" s="191" customFormat="1" ht="15">
      <c r="A157" s="236">
        <v>146</v>
      </c>
      <c r="B157" s="244">
        <v>46108</v>
      </c>
      <c r="C157" s="245" t="s">
        <v>261</v>
      </c>
      <c r="D157" s="246" t="s">
        <v>416</v>
      </c>
      <c r="E157" s="247">
        <v>1</v>
      </c>
      <c r="F157" s="247"/>
      <c r="G157" s="248"/>
      <c r="H157" s="247"/>
      <c r="I157" s="249" t="s">
        <v>272</v>
      </c>
      <c r="J157" s="249" t="s">
        <v>21</v>
      </c>
      <c r="K157" s="249" t="s">
        <v>22</v>
      </c>
      <c r="L157" s="250">
        <f t="shared" si="8"/>
        <v>1</v>
      </c>
      <c r="M157" s="237">
        <f t="array" ref="M157">INDEX('BKTT T4.26'!$N$12:$N$55,MATCH(V157,'BKTT T4.26'!$A$12:$A$55,0),0)</f>
        <v>654871</v>
      </c>
      <c r="N157" s="162">
        <f t="shared" si="11"/>
        <v>654871</v>
      </c>
      <c r="O157" s="238" t="s">
        <v>264</v>
      </c>
      <c r="P157" s="251" t="s">
        <v>1448</v>
      </c>
      <c r="R157" s="191" t="str">
        <f t="shared" si="9"/>
        <v>Cước vận chuyển Container hàng 20' tuyến đường PAN HA - HẢI AN. BKS: 15H07788</v>
      </c>
      <c r="S157" s="191" t="str">
        <f t="shared" si="10"/>
        <v xml:space="preserve"> hàng 20' </v>
      </c>
      <c r="V157" s="191">
        <v>1</v>
      </c>
    </row>
    <row r="158" spans="1:22" s="191" customFormat="1" ht="15">
      <c r="A158" s="236">
        <v>147</v>
      </c>
      <c r="B158" s="244">
        <v>46108</v>
      </c>
      <c r="C158" s="245" t="s">
        <v>261</v>
      </c>
      <c r="D158" s="246" t="s">
        <v>417</v>
      </c>
      <c r="E158" s="247"/>
      <c r="F158" s="247">
        <v>1</v>
      </c>
      <c r="G158" s="248"/>
      <c r="H158" s="247"/>
      <c r="I158" s="249" t="s">
        <v>272</v>
      </c>
      <c r="J158" s="249" t="s">
        <v>21</v>
      </c>
      <c r="K158" s="249" t="s">
        <v>25</v>
      </c>
      <c r="L158" s="250">
        <f t="shared" si="8"/>
        <v>1</v>
      </c>
      <c r="M158" s="237">
        <f t="array" ref="M158">INDEX('BKTT T4.26'!$N$12:$N$55,MATCH(V158,'BKTT T4.26'!$A$12:$A$55,0),0)</f>
        <v>681050</v>
      </c>
      <c r="N158" s="162">
        <f t="shared" si="11"/>
        <v>681050</v>
      </c>
      <c r="O158" s="238" t="s">
        <v>264</v>
      </c>
      <c r="P158" s="251" t="s">
        <v>1448</v>
      </c>
      <c r="R158" s="191" t="str">
        <f t="shared" si="9"/>
        <v>Cước vận chuyển Container hàng 40' tuyến đường PAN HA - HẢI AN,. BKS: 15H07788</v>
      </c>
      <c r="S158" s="191" t="str">
        <f t="shared" si="10"/>
        <v xml:space="preserve"> hàng 40' </v>
      </c>
      <c r="V158" s="191">
        <v>2</v>
      </c>
    </row>
    <row r="159" spans="1:22" s="191" customFormat="1" ht="15">
      <c r="A159" s="236">
        <v>148</v>
      </c>
      <c r="B159" s="244">
        <v>46108</v>
      </c>
      <c r="C159" s="245" t="s">
        <v>261</v>
      </c>
      <c r="D159" s="246" t="s">
        <v>418</v>
      </c>
      <c r="E159" s="247"/>
      <c r="F159" s="247"/>
      <c r="G159" s="248"/>
      <c r="H159" s="247">
        <v>1</v>
      </c>
      <c r="I159" s="249" t="s">
        <v>272</v>
      </c>
      <c r="J159" s="249" t="s">
        <v>56</v>
      </c>
      <c r="K159" s="249" t="s">
        <v>21</v>
      </c>
      <c r="L159" s="250">
        <f t="shared" si="8"/>
        <v>1</v>
      </c>
      <c r="M159" s="237">
        <f t="array" ref="M159">INDEX('BKTT T4.26'!$N$12:$N$55,MATCH(V159,'BKTT T4.26'!$A$12:$A$55,0),0)</f>
        <v>1002400</v>
      </c>
      <c r="N159" s="162">
        <f t="shared" si="11"/>
        <v>1002400</v>
      </c>
      <c r="O159" s="238" t="s">
        <v>267</v>
      </c>
      <c r="P159" s="251" t="s">
        <v>1448</v>
      </c>
      <c r="R159" s="191" t="str">
        <f t="shared" si="9"/>
        <v>Cước vận chuyển Container vỏ tuyến đường HATECO - PAN HA. BKS: 15H07788</v>
      </c>
      <c r="S159" s="191" t="str">
        <f t="shared" si="10"/>
        <v xml:space="preserve"> vỏ </v>
      </c>
      <c r="V159" s="191">
        <v>35</v>
      </c>
    </row>
    <row r="160" spans="1:22" s="191" customFormat="1" ht="15">
      <c r="A160" s="236">
        <v>149</v>
      </c>
      <c r="B160" s="244">
        <v>46108</v>
      </c>
      <c r="C160" s="245" t="s">
        <v>261</v>
      </c>
      <c r="D160" s="246" t="s">
        <v>419</v>
      </c>
      <c r="E160" s="247"/>
      <c r="F160" s="247"/>
      <c r="G160" s="248"/>
      <c r="H160" s="247">
        <v>1</v>
      </c>
      <c r="I160" s="249" t="s">
        <v>272</v>
      </c>
      <c r="J160" s="249" t="s">
        <v>56</v>
      </c>
      <c r="K160" s="249" t="s">
        <v>21</v>
      </c>
      <c r="L160" s="250">
        <f t="shared" si="8"/>
        <v>1</v>
      </c>
      <c r="M160" s="237">
        <f t="array" ref="M160">INDEX('BKTT T4.26'!$N$12:$N$55,MATCH(V160,'BKTT T4.26'!$A$12:$A$55,0),0)</f>
        <v>1002400</v>
      </c>
      <c r="N160" s="162">
        <f t="shared" si="11"/>
        <v>1002400</v>
      </c>
      <c r="O160" s="238" t="s">
        <v>267</v>
      </c>
      <c r="P160" s="251" t="s">
        <v>1448</v>
      </c>
      <c r="R160" s="191" t="str">
        <f t="shared" si="9"/>
        <v>Cước vận chuyển Container vỏ tuyến đường HATECO - PAN HA. BKS: 15H07788</v>
      </c>
      <c r="S160" s="191" t="str">
        <f t="shared" si="10"/>
        <v xml:space="preserve"> vỏ </v>
      </c>
      <c r="V160" s="191">
        <v>35</v>
      </c>
    </row>
    <row r="161" spans="1:22" s="191" customFormat="1" ht="15">
      <c r="A161" s="236">
        <v>150</v>
      </c>
      <c r="B161" s="244">
        <v>46108</v>
      </c>
      <c r="C161" s="245" t="s">
        <v>261</v>
      </c>
      <c r="D161" s="246" t="s">
        <v>420</v>
      </c>
      <c r="E161" s="247">
        <v>1</v>
      </c>
      <c r="F161" s="247"/>
      <c r="G161" s="248"/>
      <c r="H161" s="247"/>
      <c r="I161" s="249" t="s">
        <v>272</v>
      </c>
      <c r="J161" s="249" t="s">
        <v>21</v>
      </c>
      <c r="K161" s="249" t="s">
        <v>49</v>
      </c>
      <c r="L161" s="250">
        <f t="shared" si="8"/>
        <v>1</v>
      </c>
      <c r="M161" s="237">
        <f t="array" ref="M161">INDEX('BKTT T4.26'!$N$12:$N$55,MATCH(V161,'BKTT T4.26'!$A$12:$A$55,0),0)</f>
        <v>576331</v>
      </c>
      <c r="N161" s="162">
        <f t="shared" si="11"/>
        <v>576331</v>
      </c>
      <c r="O161" s="238" t="s">
        <v>264</v>
      </c>
      <c r="P161" s="251" t="s">
        <v>1448</v>
      </c>
      <c r="R161" s="191" t="str">
        <f t="shared" si="9"/>
        <v>Cước vận chuyển Container hàng 20' tuyến đường PAN HA - VIP. BKS: 15H07788</v>
      </c>
      <c r="S161" s="191" t="str">
        <f t="shared" si="10"/>
        <v xml:space="preserve"> hàng 20' </v>
      </c>
      <c r="V161" s="191">
        <v>27</v>
      </c>
    </row>
    <row r="162" spans="1:22" s="191" customFormat="1" ht="15">
      <c r="A162" s="236">
        <v>151</v>
      </c>
      <c r="B162" s="244">
        <v>46108</v>
      </c>
      <c r="C162" s="245" t="s">
        <v>261</v>
      </c>
      <c r="D162" s="246" t="s">
        <v>421</v>
      </c>
      <c r="E162" s="247">
        <v>1</v>
      </c>
      <c r="F162" s="247"/>
      <c r="G162" s="248"/>
      <c r="H162" s="247"/>
      <c r="I162" s="249" t="s">
        <v>272</v>
      </c>
      <c r="J162" s="249" t="s">
        <v>21</v>
      </c>
      <c r="K162" s="249" t="s">
        <v>49</v>
      </c>
      <c r="L162" s="250">
        <f t="shared" si="8"/>
        <v>1</v>
      </c>
      <c r="M162" s="237">
        <f t="array" ref="M162">INDEX('BKTT T4.26'!$N$12:$N$55,MATCH(V162,'BKTT T4.26'!$A$12:$A$55,0),0)</f>
        <v>576331</v>
      </c>
      <c r="N162" s="162">
        <f t="shared" si="11"/>
        <v>576331</v>
      </c>
      <c r="O162" s="238" t="s">
        <v>264</v>
      </c>
      <c r="P162" s="251" t="s">
        <v>1448</v>
      </c>
      <c r="R162" s="191" t="str">
        <f t="shared" si="9"/>
        <v>Cước vận chuyển Container hàng 20' tuyến đường PAN HA - VIP. BKS: 15H07788</v>
      </c>
      <c r="S162" s="191" t="str">
        <f t="shared" si="10"/>
        <v xml:space="preserve"> hàng 20' </v>
      </c>
      <c r="V162" s="191">
        <v>27</v>
      </c>
    </row>
    <row r="163" spans="1:22" s="191" customFormat="1" ht="15">
      <c r="A163" s="236">
        <v>152</v>
      </c>
      <c r="B163" s="244">
        <v>46108</v>
      </c>
      <c r="C163" s="245" t="s">
        <v>261</v>
      </c>
      <c r="D163" s="246" t="s">
        <v>422</v>
      </c>
      <c r="E163" s="247">
        <v>1</v>
      </c>
      <c r="F163" s="247"/>
      <c r="G163" s="248"/>
      <c r="H163" s="247"/>
      <c r="I163" s="249" t="s">
        <v>272</v>
      </c>
      <c r="J163" s="249" t="s">
        <v>21</v>
      </c>
      <c r="K163" s="249" t="s">
        <v>49</v>
      </c>
      <c r="L163" s="250">
        <f t="shared" si="8"/>
        <v>1</v>
      </c>
      <c r="M163" s="237">
        <f t="array" ref="M163">INDEX('BKTT T4.26'!$N$12:$N$55,MATCH(V163,'BKTT T4.26'!$A$12:$A$55,0),0)</f>
        <v>576331</v>
      </c>
      <c r="N163" s="162">
        <f t="shared" si="11"/>
        <v>576331</v>
      </c>
      <c r="O163" s="238" t="s">
        <v>264</v>
      </c>
      <c r="P163" s="251" t="s">
        <v>1448</v>
      </c>
      <c r="R163" s="191" t="str">
        <f t="shared" si="9"/>
        <v>Cước vận chuyển Container hàng 20' tuyến đường PAN HA - VIP. BKS: 15H07788</v>
      </c>
      <c r="S163" s="191" t="str">
        <f t="shared" si="10"/>
        <v xml:space="preserve"> hàng 20' </v>
      </c>
      <c r="V163" s="191">
        <v>27</v>
      </c>
    </row>
    <row r="164" spans="1:22" s="191" customFormat="1" ht="15">
      <c r="A164" s="236">
        <v>153</v>
      </c>
      <c r="B164" s="244">
        <v>46108</v>
      </c>
      <c r="C164" s="245" t="s">
        <v>261</v>
      </c>
      <c r="D164" s="246" t="s">
        <v>423</v>
      </c>
      <c r="E164" s="247">
        <v>1</v>
      </c>
      <c r="F164" s="247"/>
      <c r="G164" s="248"/>
      <c r="H164" s="247"/>
      <c r="I164" s="249" t="s">
        <v>272</v>
      </c>
      <c r="J164" s="249" t="s">
        <v>21</v>
      </c>
      <c r="K164" s="249" t="s">
        <v>49</v>
      </c>
      <c r="L164" s="250">
        <f t="shared" si="8"/>
        <v>1</v>
      </c>
      <c r="M164" s="237">
        <f t="array" ref="M164">INDEX('BKTT T4.26'!$N$12:$N$55,MATCH(V164,'BKTT T4.26'!$A$12:$A$55,0),0)</f>
        <v>576331</v>
      </c>
      <c r="N164" s="162">
        <f t="shared" si="11"/>
        <v>576331</v>
      </c>
      <c r="O164" s="238" t="s">
        <v>264</v>
      </c>
      <c r="P164" s="251" t="s">
        <v>1448</v>
      </c>
      <c r="R164" s="191" t="str">
        <f t="shared" si="9"/>
        <v>Cước vận chuyển Container hàng 20' tuyến đường PAN HA - VIP. BKS: 15H07788</v>
      </c>
      <c r="S164" s="191" t="str">
        <f t="shared" si="10"/>
        <v xml:space="preserve"> hàng 20' </v>
      </c>
      <c r="V164" s="191">
        <v>27</v>
      </c>
    </row>
    <row r="165" spans="1:22" s="191" customFormat="1" ht="15">
      <c r="A165" s="236">
        <v>154</v>
      </c>
      <c r="B165" s="244">
        <v>46108</v>
      </c>
      <c r="C165" s="245" t="s">
        <v>261</v>
      </c>
      <c r="D165" s="246" t="s">
        <v>424</v>
      </c>
      <c r="E165" s="247">
        <v>1</v>
      </c>
      <c r="F165" s="247"/>
      <c r="G165" s="248"/>
      <c r="H165" s="247"/>
      <c r="I165" s="249" t="s">
        <v>272</v>
      </c>
      <c r="J165" s="249" t="s">
        <v>21</v>
      </c>
      <c r="K165" s="249" t="s">
        <v>49</v>
      </c>
      <c r="L165" s="250">
        <f t="shared" si="8"/>
        <v>1</v>
      </c>
      <c r="M165" s="237">
        <f t="array" ref="M165">INDEX('BKTT T4.26'!$N$12:$N$55,MATCH(V165,'BKTT T4.26'!$A$12:$A$55,0),0)</f>
        <v>576331</v>
      </c>
      <c r="N165" s="162">
        <f t="shared" si="11"/>
        <v>576331</v>
      </c>
      <c r="O165" s="238" t="s">
        <v>264</v>
      </c>
      <c r="P165" s="251" t="s">
        <v>1448</v>
      </c>
      <c r="R165" s="191" t="str">
        <f t="shared" si="9"/>
        <v>Cước vận chuyển Container hàng 20' tuyến đường PAN HA - VIP. BKS: 15H07788</v>
      </c>
      <c r="S165" s="191" t="str">
        <f t="shared" si="10"/>
        <v xml:space="preserve"> hàng 20' </v>
      </c>
      <c r="V165" s="191">
        <v>27</v>
      </c>
    </row>
    <row r="166" spans="1:22" s="191" customFormat="1" ht="15">
      <c r="A166" s="236">
        <v>155</v>
      </c>
      <c r="B166" s="244">
        <v>46108</v>
      </c>
      <c r="C166" s="245" t="s">
        <v>261</v>
      </c>
      <c r="D166" s="246" t="s">
        <v>425</v>
      </c>
      <c r="E166" s="247">
        <v>1</v>
      </c>
      <c r="F166" s="247"/>
      <c r="G166" s="248"/>
      <c r="H166" s="247"/>
      <c r="I166" s="249" t="s">
        <v>272</v>
      </c>
      <c r="J166" s="249" t="s">
        <v>21</v>
      </c>
      <c r="K166" s="249" t="s">
        <v>49</v>
      </c>
      <c r="L166" s="250">
        <f t="shared" si="8"/>
        <v>1</v>
      </c>
      <c r="M166" s="237">
        <f t="array" ref="M166">INDEX('BKTT T4.26'!$N$12:$N$55,MATCH(V166,'BKTT T4.26'!$A$12:$A$55,0),0)</f>
        <v>576331</v>
      </c>
      <c r="N166" s="162">
        <f t="shared" si="11"/>
        <v>576331</v>
      </c>
      <c r="O166" s="238" t="s">
        <v>264</v>
      </c>
      <c r="P166" s="251" t="s">
        <v>1448</v>
      </c>
      <c r="R166" s="191" t="str">
        <f t="shared" si="9"/>
        <v>Cước vận chuyển Container hàng 20' tuyến đường PAN HA - VIP. BKS: 15H07788</v>
      </c>
      <c r="S166" s="191" t="str">
        <f t="shared" si="10"/>
        <v xml:space="preserve"> hàng 20' </v>
      </c>
      <c r="V166" s="191">
        <v>27</v>
      </c>
    </row>
    <row r="167" spans="1:22" s="191" customFormat="1" ht="15">
      <c r="A167" s="236">
        <v>156</v>
      </c>
      <c r="B167" s="244">
        <v>46110</v>
      </c>
      <c r="C167" s="245" t="s">
        <v>261</v>
      </c>
      <c r="D167" s="246" t="s">
        <v>426</v>
      </c>
      <c r="E167" s="247"/>
      <c r="F167" s="247">
        <v>1</v>
      </c>
      <c r="G167" s="248"/>
      <c r="H167" s="247"/>
      <c r="I167" s="249" t="s">
        <v>272</v>
      </c>
      <c r="J167" s="249" t="s">
        <v>21</v>
      </c>
      <c r="K167" s="249" t="s">
        <v>50</v>
      </c>
      <c r="L167" s="250">
        <f t="shared" si="8"/>
        <v>1</v>
      </c>
      <c r="M167" s="237">
        <f t="array" ref="M167">INDEX('BKTT T4.26'!$N$12:$N$55,MATCH(V167,'BKTT T4.26'!$A$12:$A$55,0),0)</f>
        <v>602510</v>
      </c>
      <c r="N167" s="162">
        <f t="shared" si="11"/>
        <v>602510</v>
      </c>
      <c r="O167" s="238" t="s">
        <v>264</v>
      </c>
      <c r="P167" s="251" t="s">
        <v>1448</v>
      </c>
      <c r="R167" s="191" t="str">
        <f t="shared" si="9"/>
        <v>Cước vận chuyển Container hàng 40' tuyến đường PAN HA - VIP,. BKS: 15H07788</v>
      </c>
      <c r="S167" s="191" t="str">
        <f t="shared" si="10"/>
        <v xml:space="preserve"> hàng 40' </v>
      </c>
      <c r="V167" s="191">
        <v>28</v>
      </c>
    </row>
    <row r="168" spans="1:22" s="191" customFormat="1" ht="15">
      <c r="A168" s="236">
        <v>157</v>
      </c>
      <c r="B168" s="244">
        <v>46110</v>
      </c>
      <c r="C168" s="245" t="s">
        <v>261</v>
      </c>
      <c r="D168" s="246" t="s">
        <v>427</v>
      </c>
      <c r="E168" s="247"/>
      <c r="F168" s="247">
        <v>1</v>
      </c>
      <c r="G168" s="248"/>
      <c r="H168" s="247"/>
      <c r="I168" s="249" t="s">
        <v>272</v>
      </c>
      <c r="J168" s="249" t="s">
        <v>21</v>
      </c>
      <c r="K168" s="249" t="s">
        <v>50</v>
      </c>
      <c r="L168" s="250">
        <f t="shared" si="8"/>
        <v>1</v>
      </c>
      <c r="M168" s="237">
        <f t="array" ref="M168">INDEX('BKTT T4.26'!$N$12:$N$55,MATCH(V168,'BKTT T4.26'!$A$12:$A$55,0),0)</f>
        <v>602510</v>
      </c>
      <c r="N168" s="162">
        <f t="shared" si="11"/>
        <v>602510</v>
      </c>
      <c r="O168" s="238" t="s">
        <v>264</v>
      </c>
      <c r="P168" s="251" t="s">
        <v>1448</v>
      </c>
      <c r="R168" s="191" t="str">
        <f t="shared" si="9"/>
        <v>Cước vận chuyển Container hàng 40' tuyến đường PAN HA - VIP,. BKS: 15H07788</v>
      </c>
      <c r="S168" s="191" t="str">
        <f t="shared" si="10"/>
        <v xml:space="preserve"> hàng 40' </v>
      </c>
      <c r="V168" s="191">
        <v>28</v>
      </c>
    </row>
    <row r="169" spans="1:22" s="191" customFormat="1" ht="15">
      <c r="A169" s="236">
        <v>158</v>
      </c>
      <c r="B169" s="244">
        <v>46110</v>
      </c>
      <c r="C169" s="245" t="s">
        <v>261</v>
      </c>
      <c r="D169" s="246" t="s">
        <v>428</v>
      </c>
      <c r="E169" s="247">
        <v>1</v>
      </c>
      <c r="F169" s="247"/>
      <c r="G169" s="248"/>
      <c r="H169" s="247"/>
      <c r="I169" s="249" t="s">
        <v>272</v>
      </c>
      <c r="J169" s="249" t="s">
        <v>21</v>
      </c>
      <c r="K169" s="249" t="s">
        <v>22</v>
      </c>
      <c r="L169" s="250">
        <f t="shared" si="8"/>
        <v>1</v>
      </c>
      <c r="M169" s="237">
        <f t="array" ref="M169">INDEX('BKTT T4.26'!$N$12:$N$55,MATCH(V169,'BKTT T4.26'!$A$12:$A$55,0),0)</f>
        <v>654871</v>
      </c>
      <c r="N169" s="162">
        <f t="shared" si="11"/>
        <v>654871</v>
      </c>
      <c r="O169" s="238" t="s">
        <v>264</v>
      </c>
      <c r="P169" s="251" t="s">
        <v>1448</v>
      </c>
      <c r="R169" s="191" t="str">
        <f t="shared" si="9"/>
        <v>Cước vận chuyển Container hàng 20' tuyến đường PAN HA - HẢI AN. BKS: 15H07788</v>
      </c>
      <c r="S169" s="191" t="str">
        <f t="shared" si="10"/>
        <v xml:space="preserve"> hàng 20' </v>
      </c>
      <c r="V169" s="191">
        <v>1</v>
      </c>
    </row>
    <row r="170" spans="1:22" s="191" customFormat="1" ht="15">
      <c r="A170" s="236">
        <v>159</v>
      </c>
      <c r="B170" s="244">
        <v>46110</v>
      </c>
      <c r="C170" s="245" t="s">
        <v>261</v>
      </c>
      <c r="D170" s="246" t="s">
        <v>429</v>
      </c>
      <c r="E170" s="247">
        <v>1</v>
      </c>
      <c r="F170" s="247"/>
      <c r="G170" s="248"/>
      <c r="H170" s="247"/>
      <c r="I170" s="249" t="s">
        <v>272</v>
      </c>
      <c r="J170" s="249" t="s">
        <v>21</v>
      </c>
      <c r="K170" s="249" t="s">
        <v>22</v>
      </c>
      <c r="L170" s="250">
        <f t="shared" si="8"/>
        <v>1</v>
      </c>
      <c r="M170" s="237">
        <f t="array" ref="M170">INDEX('BKTT T4.26'!$N$12:$N$55,MATCH(V170,'BKTT T4.26'!$A$12:$A$55,0),0)</f>
        <v>654871</v>
      </c>
      <c r="N170" s="162">
        <f t="shared" si="11"/>
        <v>654871</v>
      </c>
      <c r="O170" s="238" t="s">
        <v>264</v>
      </c>
      <c r="P170" s="251" t="s">
        <v>1448</v>
      </c>
      <c r="R170" s="191" t="str">
        <f t="shared" si="9"/>
        <v>Cước vận chuyển Container hàng 20' tuyến đường PAN HA - HẢI AN. BKS: 15H07788</v>
      </c>
      <c r="S170" s="191" t="str">
        <f t="shared" si="10"/>
        <v xml:space="preserve"> hàng 20' </v>
      </c>
      <c r="V170" s="191">
        <v>1</v>
      </c>
    </row>
    <row r="171" spans="1:22" s="191" customFormat="1" ht="15">
      <c r="A171" s="236">
        <v>160</v>
      </c>
      <c r="B171" s="244">
        <v>46110</v>
      </c>
      <c r="C171" s="245" t="s">
        <v>261</v>
      </c>
      <c r="D171" s="246" t="s">
        <v>430</v>
      </c>
      <c r="E171" s="247">
        <v>1</v>
      </c>
      <c r="F171" s="247"/>
      <c r="G171" s="248"/>
      <c r="H171" s="247"/>
      <c r="I171" s="249" t="s">
        <v>272</v>
      </c>
      <c r="J171" s="249" t="s">
        <v>21</v>
      </c>
      <c r="K171" s="249" t="s">
        <v>22</v>
      </c>
      <c r="L171" s="250">
        <f t="shared" si="8"/>
        <v>1</v>
      </c>
      <c r="M171" s="237">
        <f t="array" ref="M171">INDEX('BKTT T4.26'!$N$12:$N$55,MATCH(V171,'BKTT T4.26'!$A$12:$A$55,0),0)</f>
        <v>654871</v>
      </c>
      <c r="N171" s="162">
        <f t="shared" si="11"/>
        <v>654871</v>
      </c>
      <c r="O171" s="238" t="s">
        <v>264</v>
      </c>
      <c r="P171" s="251" t="s">
        <v>1448</v>
      </c>
      <c r="R171" s="191" t="str">
        <f t="shared" si="9"/>
        <v>Cước vận chuyển Container hàng 20' tuyến đường PAN HA - HẢI AN. BKS: 15H07788</v>
      </c>
      <c r="S171" s="191" t="str">
        <f t="shared" si="10"/>
        <v xml:space="preserve"> hàng 20' </v>
      </c>
      <c r="V171" s="191">
        <v>1</v>
      </c>
    </row>
    <row r="172" spans="1:22" s="191" customFormat="1" ht="15">
      <c r="A172" s="236">
        <v>161</v>
      </c>
      <c r="B172" s="244">
        <v>46110</v>
      </c>
      <c r="C172" s="245" t="s">
        <v>261</v>
      </c>
      <c r="D172" s="246" t="s">
        <v>431</v>
      </c>
      <c r="E172" s="247">
        <v>1</v>
      </c>
      <c r="F172" s="247"/>
      <c r="G172" s="248"/>
      <c r="H172" s="247"/>
      <c r="I172" s="249" t="s">
        <v>272</v>
      </c>
      <c r="J172" s="249" t="s">
        <v>21</v>
      </c>
      <c r="K172" s="249" t="s">
        <v>22</v>
      </c>
      <c r="L172" s="250">
        <f t="shared" si="8"/>
        <v>1</v>
      </c>
      <c r="M172" s="237">
        <f t="array" ref="M172">INDEX('BKTT T4.26'!$N$12:$N$55,MATCH(V172,'BKTT T4.26'!$A$12:$A$55,0),0)</f>
        <v>654871</v>
      </c>
      <c r="N172" s="162">
        <f t="shared" si="11"/>
        <v>654871</v>
      </c>
      <c r="O172" s="238" t="s">
        <v>264</v>
      </c>
      <c r="P172" s="251" t="s">
        <v>1448</v>
      </c>
      <c r="R172" s="191" t="str">
        <f t="shared" si="9"/>
        <v>Cước vận chuyển Container hàng 20' tuyến đường PAN HA - HẢI AN. BKS: 15H07788</v>
      </c>
      <c r="S172" s="191" t="str">
        <f t="shared" si="10"/>
        <v xml:space="preserve"> hàng 20' </v>
      </c>
      <c r="V172" s="191">
        <v>1</v>
      </c>
    </row>
    <row r="173" spans="1:22" s="191" customFormat="1" ht="15">
      <c r="A173" s="236">
        <v>162</v>
      </c>
      <c r="B173" s="244">
        <v>46110</v>
      </c>
      <c r="C173" s="245" t="s">
        <v>261</v>
      </c>
      <c r="D173" s="246" t="s">
        <v>432</v>
      </c>
      <c r="E173" s="247"/>
      <c r="F173" s="247">
        <v>1</v>
      </c>
      <c r="G173" s="248"/>
      <c r="H173" s="247"/>
      <c r="I173" s="249" t="s">
        <v>272</v>
      </c>
      <c r="J173" s="249" t="s">
        <v>21</v>
      </c>
      <c r="K173" s="249" t="s">
        <v>25</v>
      </c>
      <c r="L173" s="250">
        <f t="shared" si="8"/>
        <v>1</v>
      </c>
      <c r="M173" s="237">
        <f t="array" ref="M173">INDEX('BKTT T4.26'!$N$12:$N$55,MATCH(V173,'BKTT T4.26'!$A$12:$A$55,0),0)</f>
        <v>681050</v>
      </c>
      <c r="N173" s="162">
        <f t="shared" si="11"/>
        <v>681050</v>
      </c>
      <c r="O173" s="238" t="s">
        <v>264</v>
      </c>
      <c r="P173" s="251" t="s">
        <v>1448</v>
      </c>
      <c r="R173" s="191" t="str">
        <f t="shared" si="9"/>
        <v>Cước vận chuyển Container hàng 40' tuyến đường PAN HA - HẢI AN,. BKS: 15H07788</v>
      </c>
      <c r="S173" s="191" t="str">
        <f t="shared" si="10"/>
        <v xml:space="preserve"> hàng 40' </v>
      </c>
      <c r="V173" s="191">
        <v>2</v>
      </c>
    </row>
    <row r="174" spans="1:22" s="191" customFormat="1" ht="15">
      <c r="A174" s="236">
        <v>163</v>
      </c>
      <c r="B174" s="244">
        <v>46110</v>
      </c>
      <c r="C174" s="245" t="s">
        <v>261</v>
      </c>
      <c r="D174" s="246" t="s">
        <v>433</v>
      </c>
      <c r="E174" s="247">
        <v>1</v>
      </c>
      <c r="F174" s="247"/>
      <c r="G174" s="248"/>
      <c r="H174" s="247"/>
      <c r="I174" s="249" t="s">
        <v>263</v>
      </c>
      <c r="J174" s="249" t="s">
        <v>21</v>
      </c>
      <c r="K174" s="249" t="s">
        <v>22</v>
      </c>
      <c r="L174" s="250">
        <f t="shared" si="8"/>
        <v>1</v>
      </c>
      <c r="M174" s="237">
        <f t="array" ref="M174">INDEX('BKTT T4.26'!$N$12:$N$55,MATCH(V174,'BKTT T4.26'!$A$12:$A$55,0),0)</f>
        <v>654871</v>
      </c>
      <c r="N174" s="162">
        <f t="shared" si="11"/>
        <v>654871</v>
      </c>
      <c r="O174" s="238" t="s">
        <v>264</v>
      </c>
      <c r="P174" s="251" t="s">
        <v>1448</v>
      </c>
      <c r="R174" s="191" t="str">
        <f t="shared" si="9"/>
        <v>Cước vận chuyển Container hàng 20' tuyến đường PAN HA - HẢI AN. BKS: 15C17442</v>
      </c>
      <c r="S174" s="191" t="str">
        <f t="shared" si="10"/>
        <v xml:space="preserve"> hàng 20' </v>
      </c>
      <c r="V174" s="191">
        <v>1</v>
      </c>
    </row>
    <row r="175" spans="1:22" s="191" customFormat="1" ht="15">
      <c r="A175" s="236">
        <v>164</v>
      </c>
      <c r="B175" s="244">
        <v>46110</v>
      </c>
      <c r="C175" s="245" t="s">
        <v>261</v>
      </c>
      <c r="D175" s="246" t="s">
        <v>434</v>
      </c>
      <c r="E175" s="247">
        <v>1</v>
      </c>
      <c r="F175" s="247"/>
      <c r="G175" s="248"/>
      <c r="H175" s="247"/>
      <c r="I175" s="249" t="s">
        <v>263</v>
      </c>
      <c r="J175" s="249" t="s">
        <v>21</v>
      </c>
      <c r="K175" s="249" t="s">
        <v>22</v>
      </c>
      <c r="L175" s="250">
        <f t="shared" si="8"/>
        <v>1</v>
      </c>
      <c r="M175" s="237">
        <f t="array" ref="M175">INDEX('BKTT T4.26'!$N$12:$N$55,MATCH(V175,'BKTT T4.26'!$A$12:$A$55,0),0)</f>
        <v>654871</v>
      </c>
      <c r="N175" s="162">
        <f t="shared" si="11"/>
        <v>654871</v>
      </c>
      <c r="O175" s="238" t="s">
        <v>264</v>
      </c>
      <c r="P175" s="251" t="s">
        <v>1448</v>
      </c>
      <c r="R175" s="191" t="str">
        <f t="shared" si="9"/>
        <v>Cước vận chuyển Container hàng 20' tuyến đường PAN HA - HẢI AN. BKS: 15C17442</v>
      </c>
      <c r="S175" s="191" t="str">
        <f t="shared" si="10"/>
        <v xml:space="preserve"> hàng 20' </v>
      </c>
      <c r="V175" s="191">
        <v>1</v>
      </c>
    </row>
    <row r="176" spans="1:22" s="191" customFormat="1" ht="15">
      <c r="A176" s="236">
        <v>165</v>
      </c>
      <c r="B176" s="244">
        <v>46110</v>
      </c>
      <c r="C176" s="245" t="s">
        <v>261</v>
      </c>
      <c r="D176" s="246" t="s">
        <v>435</v>
      </c>
      <c r="E176" s="247">
        <v>1</v>
      </c>
      <c r="F176" s="247"/>
      <c r="G176" s="248"/>
      <c r="H176" s="247"/>
      <c r="I176" s="249" t="s">
        <v>263</v>
      </c>
      <c r="J176" s="249" t="s">
        <v>21</v>
      </c>
      <c r="K176" s="249" t="s">
        <v>22</v>
      </c>
      <c r="L176" s="250">
        <f t="shared" si="8"/>
        <v>1</v>
      </c>
      <c r="M176" s="237">
        <f t="array" ref="M176">INDEX('BKTT T4.26'!$N$12:$N$55,MATCH(V176,'BKTT T4.26'!$A$12:$A$55,0),0)</f>
        <v>654871</v>
      </c>
      <c r="N176" s="162">
        <f t="shared" si="11"/>
        <v>654871</v>
      </c>
      <c r="O176" s="238" t="s">
        <v>264</v>
      </c>
      <c r="P176" s="251" t="s">
        <v>1448</v>
      </c>
      <c r="R176" s="191" t="str">
        <f t="shared" si="9"/>
        <v>Cước vận chuyển Container hàng 20' tuyến đường PAN HA - HẢI AN. BKS: 15C17442</v>
      </c>
      <c r="S176" s="191" t="str">
        <f t="shared" si="10"/>
        <v xml:space="preserve"> hàng 20' </v>
      </c>
      <c r="V176" s="191">
        <v>1</v>
      </c>
    </row>
    <row r="177" spans="1:22" s="191" customFormat="1" ht="15">
      <c r="A177" s="236">
        <v>166</v>
      </c>
      <c r="B177" s="244">
        <v>46110</v>
      </c>
      <c r="C177" s="245" t="s">
        <v>261</v>
      </c>
      <c r="D177" s="246" t="s">
        <v>436</v>
      </c>
      <c r="E177" s="247">
        <v>1</v>
      </c>
      <c r="F177" s="247"/>
      <c r="G177" s="248"/>
      <c r="H177" s="247"/>
      <c r="I177" s="249" t="s">
        <v>263</v>
      </c>
      <c r="J177" s="249" t="s">
        <v>21</v>
      </c>
      <c r="K177" s="249" t="s">
        <v>22</v>
      </c>
      <c r="L177" s="250">
        <f t="shared" si="8"/>
        <v>1</v>
      </c>
      <c r="M177" s="237">
        <f t="array" ref="M177">INDEX('BKTT T4.26'!$N$12:$N$55,MATCH(V177,'BKTT T4.26'!$A$12:$A$55,0),0)</f>
        <v>654871</v>
      </c>
      <c r="N177" s="162">
        <f t="shared" si="11"/>
        <v>654871</v>
      </c>
      <c r="O177" s="238" t="s">
        <v>264</v>
      </c>
      <c r="P177" s="251" t="s">
        <v>1448</v>
      </c>
      <c r="R177" s="191" t="str">
        <f t="shared" si="9"/>
        <v>Cước vận chuyển Container hàng 20' tuyến đường PAN HA - HẢI AN. BKS: 15C17442</v>
      </c>
      <c r="S177" s="191" t="str">
        <f t="shared" si="10"/>
        <v xml:space="preserve"> hàng 20' </v>
      </c>
      <c r="V177" s="191">
        <v>1</v>
      </c>
    </row>
    <row r="178" spans="1:22" s="191" customFormat="1" ht="15">
      <c r="A178" s="236">
        <v>167</v>
      </c>
      <c r="B178" s="244">
        <v>46108</v>
      </c>
      <c r="C178" s="245" t="s">
        <v>261</v>
      </c>
      <c r="D178" s="246" t="s">
        <v>437</v>
      </c>
      <c r="E178" s="247">
        <v>1</v>
      </c>
      <c r="F178" s="247"/>
      <c r="G178" s="248"/>
      <c r="H178" s="247"/>
      <c r="I178" s="249" t="s">
        <v>438</v>
      </c>
      <c r="J178" s="249" t="s">
        <v>21</v>
      </c>
      <c r="K178" s="249" t="s">
        <v>22</v>
      </c>
      <c r="L178" s="250">
        <f t="shared" si="8"/>
        <v>1</v>
      </c>
      <c r="M178" s="237">
        <f t="array" ref="M178">INDEX('BKTT T4.26'!$N$12:$N$55,MATCH(V178,'BKTT T4.26'!$A$12:$A$55,0),0)</f>
        <v>654871</v>
      </c>
      <c r="N178" s="162">
        <f t="shared" si="11"/>
        <v>654871</v>
      </c>
      <c r="O178" s="238" t="s">
        <v>264</v>
      </c>
      <c r="P178" s="251" t="s">
        <v>1448</v>
      </c>
      <c r="R178" s="191" t="str">
        <f t="shared" si="9"/>
        <v>Cước vận chuyển Container hàng 20' tuyến đường PAN HA - HẢI AN. BKS: 15C30649</v>
      </c>
      <c r="S178" s="191" t="str">
        <f t="shared" si="10"/>
        <v xml:space="preserve"> hàng 20' </v>
      </c>
      <c r="V178" s="191">
        <v>1</v>
      </c>
    </row>
    <row r="179" spans="1:22" s="191" customFormat="1" ht="15">
      <c r="A179" s="236">
        <v>168</v>
      </c>
      <c r="B179" s="244">
        <v>46108</v>
      </c>
      <c r="C179" s="245" t="s">
        <v>261</v>
      </c>
      <c r="D179" s="246" t="s">
        <v>439</v>
      </c>
      <c r="E179" s="247">
        <v>1</v>
      </c>
      <c r="F179" s="247"/>
      <c r="G179" s="248"/>
      <c r="H179" s="247"/>
      <c r="I179" s="249" t="s">
        <v>438</v>
      </c>
      <c r="J179" s="249" t="s">
        <v>21</v>
      </c>
      <c r="K179" s="249" t="s">
        <v>22</v>
      </c>
      <c r="L179" s="250">
        <f t="shared" si="8"/>
        <v>1</v>
      </c>
      <c r="M179" s="237">
        <f t="array" ref="M179">INDEX('BKTT T4.26'!$N$12:$N$55,MATCH(V179,'BKTT T4.26'!$A$12:$A$55,0),0)</f>
        <v>654871</v>
      </c>
      <c r="N179" s="162">
        <f t="shared" si="11"/>
        <v>654871</v>
      </c>
      <c r="O179" s="238" t="s">
        <v>264</v>
      </c>
      <c r="P179" s="251" t="s">
        <v>1448</v>
      </c>
      <c r="R179" s="191" t="str">
        <f t="shared" si="9"/>
        <v>Cước vận chuyển Container hàng 20' tuyến đường PAN HA - HẢI AN. BKS: 15C30649</v>
      </c>
      <c r="S179" s="191" t="str">
        <f t="shared" si="10"/>
        <v xml:space="preserve"> hàng 20' </v>
      </c>
      <c r="V179" s="191">
        <v>1</v>
      </c>
    </row>
    <row r="180" spans="1:22" s="191" customFormat="1" ht="15">
      <c r="A180" s="236">
        <v>169</v>
      </c>
      <c r="B180" s="244">
        <v>46108</v>
      </c>
      <c r="C180" s="245" t="s">
        <v>261</v>
      </c>
      <c r="D180" s="246" t="s">
        <v>440</v>
      </c>
      <c r="E180" s="247">
        <v>1</v>
      </c>
      <c r="F180" s="247"/>
      <c r="G180" s="248"/>
      <c r="H180" s="247"/>
      <c r="I180" s="249" t="s">
        <v>438</v>
      </c>
      <c r="J180" s="249" t="s">
        <v>21</v>
      </c>
      <c r="K180" s="249" t="s">
        <v>22</v>
      </c>
      <c r="L180" s="250">
        <f t="shared" si="8"/>
        <v>1</v>
      </c>
      <c r="M180" s="237">
        <f t="array" ref="M180">INDEX('BKTT T4.26'!$N$12:$N$55,MATCH(V180,'BKTT T4.26'!$A$12:$A$55,0),0)</f>
        <v>654871</v>
      </c>
      <c r="N180" s="162">
        <f t="shared" si="11"/>
        <v>654871</v>
      </c>
      <c r="O180" s="238" t="s">
        <v>264</v>
      </c>
      <c r="P180" s="251" t="s">
        <v>1448</v>
      </c>
      <c r="R180" s="191" t="str">
        <f t="shared" si="9"/>
        <v>Cước vận chuyển Container hàng 20' tuyến đường PAN HA - HẢI AN. BKS: 15C30649</v>
      </c>
      <c r="S180" s="191" t="str">
        <f t="shared" si="10"/>
        <v xml:space="preserve"> hàng 20' </v>
      </c>
      <c r="V180" s="191">
        <v>1</v>
      </c>
    </row>
    <row r="181" spans="1:22" s="191" customFormat="1" ht="15">
      <c r="A181" s="236">
        <v>170</v>
      </c>
      <c r="B181" s="244">
        <v>46108</v>
      </c>
      <c r="C181" s="245" t="s">
        <v>261</v>
      </c>
      <c r="D181" s="246" t="s">
        <v>441</v>
      </c>
      <c r="E181" s="247">
        <v>1</v>
      </c>
      <c r="F181" s="247"/>
      <c r="G181" s="248"/>
      <c r="H181" s="247"/>
      <c r="I181" s="249" t="s">
        <v>438</v>
      </c>
      <c r="J181" s="249" t="s">
        <v>21</v>
      </c>
      <c r="K181" s="249" t="s">
        <v>22</v>
      </c>
      <c r="L181" s="250">
        <f t="shared" si="8"/>
        <v>1</v>
      </c>
      <c r="M181" s="237">
        <f t="array" ref="M181">INDEX('BKTT T4.26'!$N$12:$N$55,MATCH(V181,'BKTT T4.26'!$A$12:$A$55,0),0)</f>
        <v>654871</v>
      </c>
      <c r="N181" s="162">
        <f t="shared" si="11"/>
        <v>654871</v>
      </c>
      <c r="O181" s="238" t="s">
        <v>264</v>
      </c>
      <c r="P181" s="251" t="s">
        <v>1448</v>
      </c>
      <c r="R181" s="191" t="str">
        <f t="shared" si="9"/>
        <v>Cước vận chuyển Container hàng 20' tuyến đường PAN HA - HẢI AN. BKS: 15C30649</v>
      </c>
      <c r="S181" s="191" t="str">
        <f t="shared" si="10"/>
        <v xml:space="preserve"> hàng 20' </v>
      </c>
      <c r="V181" s="191">
        <v>1</v>
      </c>
    </row>
    <row r="182" spans="1:22" s="191" customFormat="1" ht="15">
      <c r="A182" s="236">
        <v>171</v>
      </c>
      <c r="B182" s="244">
        <v>46108</v>
      </c>
      <c r="C182" s="245" t="s">
        <v>261</v>
      </c>
      <c r="D182" s="246" t="s">
        <v>442</v>
      </c>
      <c r="E182" s="247">
        <v>1</v>
      </c>
      <c r="F182" s="247"/>
      <c r="G182" s="248"/>
      <c r="H182" s="247"/>
      <c r="I182" s="249" t="s">
        <v>438</v>
      </c>
      <c r="J182" s="249" t="s">
        <v>21</v>
      </c>
      <c r="K182" s="249" t="s">
        <v>22</v>
      </c>
      <c r="L182" s="250">
        <f t="shared" si="8"/>
        <v>1</v>
      </c>
      <c r="M182" s="237">
        <f t="array" ref="M182">INDEX('BKTT T4.26'!$N$12:$N$55,MATCH(V182,'BKTT T4.26'!$A$12:$A$55,0),0)</f>
        <v>654871</v>
      </c>
      <c r="N182" s="162">
        <f t="shared" si="11"/>
        <v>654871</v>
      </c>
      <c r="O182" s="238" t="s">
        <v>264</v>
      </c>
      <c r="P182" s="251" t="s">
        <v>1448</v>
      </c>
      <c r="R182" s="191" t="str">
        <f t="shared" si="9"/>
        <v>Cước vận chuyển Container hàng 20' tuyến đường PAN HA - HẢI AN. BKS: 15C30649</v>
      </c>
      <c r="S182" s="191" t="str">
        <f t="shared" si="10"/>
        <v xml:space="preserve"> hàng 20' </v>
      </c>
      <c r="V182" s="191">
        <v>1</v>
      </c>
    </row>
    <row r="183" spans="1:22" s="191" customFormat="1" ht="15">
      <c r="A183" s="236">
        <v>172</v>
      </c>
      <c r="B183" s="244">
        <v>46108</v>
      </c>
      <c r="C183" s="245" t="s">
        <v>261</v>
      </c>
      <c r="D183" s="246" t="s">
        <v>443</v>
      </c>
      <c r="E183" s="247">
        <v>1</v>
      </c>
      <c r="F183" s="247"/>
      <c r="G183" s="248"/>
      <c r="H183" s="247"/>
      <c r="I183" s="249" t="s">
        <v>438</v>
      </c>
      <c r="J183" s="249" t="s">
        <v>21</v>
      </c>
      <c r="K183" s="249" t="s">
        <v>22</v>
      </c>
      <c r="L183" s="250">
        <f t="shared" si="8"/>
        <v>1</v>
      </c>
      <c r="M183" s="237">
        <f t="array" ref="M183">INDEX('BKTT T4.26'!$N$12:$N$55,MATCH(V183,'BKTT T4.26'!$A$12:$A$55,0),0)</f>
        <v>654871</v>
      </c>
      <c r="N183" s="162">
        <f t="shared" si="11"/>
        <v>654871</v>
      </c>
      <c r="O183" s="238" t="s">
        <v>264</v>
      </c>
      <c r="P183" s="251" t="s">
        <v>1448</v>
      </c>
      <c r="R183" s="191" t="str">
        <f t="shared" si="9"/>
        <v>Cước vận chuyển Container hàng 20' tuyến đường PAN HA - HẢI AN. BKS: 15C30649</v>
      </c>
      <c r="S183" s="191" t="str">
        <f t="shared" si="10"/>
        <v xml:space="preserve"> hàng 20' </v>
      </c>
      <c r="V183" s="191">
        <v>1</v>
      </c>
    </row>
    <row r="184" spans="1:22" s="191" customFormat="1" ht="15">
      <c r="A184" s="236">
        <v>173</v>
      </c>
      <c r="B184" s="244">
        <v>46108</v>
      </c>
      <c r="C184" s="245" t="s">
        <v>261</v>
      </c>
      <c r="D184" s="246" t="s">
        <v>444</v>
      </c>
      <c r="E184" s="247">
        <v>1</v>
      </c>
      <c r="F184" s="247"/>
      <c r="G184" s="248"/>
      <c r="H184" s="247"/>
      <c r="I184" s="249" t="s">
        <v>438</v>
      </c>
      <c r="J184" s="249" t="s">
        <v>21</v>
      </c>
      <c r="K184" s="249" t="s">
        <v>22</v>
      </c>
      <c r="L184" s="250">
        <f t="shared" si="8"/>
        <v>1</v>
      </c>
      <c r="M184" s="237">
        <f t="array" ref="M184">INDEX('BKTT T4.26'!$N$12:$N$55,MATCH(V184,'BKTT T4.26'!$A$12:$A$55,0),0)</f>
        <v>654871</v>
      </c>
      <c r="N184" s="162">
        <f t="shared" si="11"/>
        <v>654871</v>
      </c>
      <c r="O184" s="238" t="s">
        <v>264</v>
      </c>
      <c r="P184" s="251" t="s">
        <v>1448</v>
      </c>
      <c r="R184" s="191" t="str">
        <f t="shared" si="9"/>
        <v>Cước vận chuyển Container hàng 20' tuyến đường PAN HA - HẢI AN. BKS: 15C30649</v>
      </c>
      <c r="S184" s="191" t="str">
        <f t="shared" si="10"/>
        <v xml:space="preserve"> hàng 20' </v>
      </c>
      <c r="V184" s="191">
        <v>1</v>
      </c>
    </row>
    <row r="185" spans="1:22" s="191" customFormat="1" ht="15">
      <c r="A185" s="236">
        <v>174</v>
      </c>
      <c r="B185" s="244">
        <v>46108</v>
      </c>
      <c r="C185" s="245" t="s">
        <v>261</v>
      </c>
      <c r="D185" s="246" t="s">
        <v>445</v>
      </c>
      <c r="E185" s="247">
        <v>1</v>
      </c>
      <c r="F185" s="247"/>
      <c r="G185" s="248"/>
      <c r="H185" s="247"/>
      <c r="I185" s="249" t="s">
        <v>438</v>
      </c>
      <c r="J185" s="249" t="s">
        <v>21</v>
      </c>
      <c r="K185" s="249" t="s">
        <v>22</v>
      </c>
      <c r="L185" s="250">
        <f t="shared" si="8"/>
        <v>1</v>
      </c>
      <c r="M185" s="237">
        <f t="array" ref="M185">INDEX('BKTT T4.26'!$N$12:$N$55,MATCH(V185,'BKTT T4.26'!$A$12:$A$55,0),0)</f>
        <v>654871</v>
      </c>
      <c r="N185" s="162">
        <f t="shared" si="11"/>
        <v>654871</v>
      </c>
      <c r="O185" s="238" t="s">
        <v>264</v>
      </c>
      <c r="P185" s="251" t="s">
        <v>1448</v>
      </c>
      <c r="R185" s="191" t="str">
        <f t="shared" si="9"/>
        <v>Cước vận chuyển Container hàng 20' tuyến đường PAN HA - HẢI AN. BKS: 15C30649</v>
      </c>
      <c r="S185" s="191" t="str">
        <f t="shared" si="10"/>
        <v xml:space="preserve"> hàng 20' </v>
      </c>
      <c r="V185" s="191">
        <v>1</v>
      </c>
    </row>
    <row r="186" spans="1:22" s="191" customFormat="1" ht="15">
      <c r="A186" s="236">
        <v>175</v>
      </c>
      <c r="B186" s="244">
        <v>46108</v>
      </c>
      <c r="C186" s="245" t="s">
        <v>261</v>
      </c>
      <c r="D186" s="246" t="s">
        <v>446</v>
      </c>
      <c r="E186" s="247"/>
      <c r="F186" s="247">
        <v>1</v>
      </c>
      <c r="G186" s="248"/>
      <c r="H186" s="247"/>
      <c r="I186" s="249" t="s">
        <v>438</v>
      </c>
      <c r="J186" s="249" t="s">
        <v>21</v>
      </c>
      <c r="K186" s="249" t="s">
        <v>25</v>
      </c>
      <c r="L186" s="250">
        <f t="shared" si="8"/>
        <v>1</v>
      </c>
      <c r="M186" s="237">
        <f t="array" ref="M186">INDEX('BKTT T4.26'!$N$12:$N$55,MATCH(V186,'BKTT T4.26'!$A$12:$A$55,0),0)</f>
        <v>681050</v>
      </c>
      <c r="N186" s="162">
        <f t="shared" si="11"/>
        <v>681050</v>
      </c>
      <c r="O186" s="238" t="s">
        <v>264</v>
      </c>
      <c r="P186" s="251" t="s">
        <v>98</v>
      </c>
      <c r="R186" s="191" t="str">
        <f t="shared" si="9"/>
        <v>Cước vận chuyển Container hàng 40' tuyến đường PAN HA - HẢI AN,. BKS: 15C30649</v>
      </c>
      <c r="S186" s="191" t="str">
        <f t="shared" si="10"/>
        <v xml:space="preserve"> hàng 40' </v>
      </c>
      <c r="V186" s="191">
        <v>2</v>
      </c>
    </row>
    <row r="187" spans="1:22" s="191" customFormat="1" ht="15">
      <c r="A187" s="236">
        <v>176</v>
      </c>
      <c r="B187" s="244">
        <v>46108</v>
      </c>
      <c r="C187" s="245" t="s">
        <v>261</v>
      </c>
      <c r="D187" s="246" t="s">
        <v>447</v>
      </c>
      <c r="E187" s="247">
        <v>1</v>
      </c>
      <c r="F187" s="247"/>
      <c r="G187" s="248"/>
      <c r="H187" s="247"/>
      <c r="I187" s="249" t="s">
        <v>438</v>
      </c>
      <c r="J187" s="249" t="s">
        <v>21</v>
      </c>
      <c r="K187" s="249" t="s">
        <v>22</v>
      </c>
      <c r="L187" s="250">
        <f t="shared" si="8"/>
        <v>1</v>
      </c>
      <c r="M187" s="237">
        <f t="array" ref="M187">INDEX('BKTT T4.26'!$N$12:$N$55,MATCH(V187,'BKTT T4.26'!$A$12:$A$55,0),0)</f>
        <v>654871</v>
      </c>
      <c r="N187" s="162">
        <f t="shared" si="11"/>
        <v>654871</v>
      </c>
      <c r="O187" s="238" t="s">
        <v>264</v>
      </c>
      <c r="P187" s="251" t="s">
        <v>1448</v>
      </c>
      <c r="R187" s="191" t="str">
        <f t="shared" si="9"/>
        <v>Cước vận chuyển Container hàng 20' tuyến đường PAN HA - HẢI AN. BKS: 15C30649</v>
      </c>
      <c r="S187" s="191" t="str">
        <f t="shared" si="10"/>
        <v xml:space="preserve"> hàng 20' </v>
      </c>
      <c r="V187" s="191">
        <v>1</v>
      </c>
    </row>
    <row r="188" spans="1:22" s="191" customFormat="1" ht="15">
      <c r="A188" s="236">
        <v>177</v>
      </c>
      <c r="B188" s="244">
        <v>46108</v>
      </c>
      <c r="C188" s="245" t="s">
        <v>261</v>
      </c>
      <c r="D188" s="246" t="s">
        <v>448</v>
      </c>
      <c r="E188" s="247">
        <v>1</v>
      </c>
      <c r="F188" s="247"/>
      <c r="G188" s="248"/>
      <c r="H188" s="247"/>
      <c r="I188" s="249" t="s">
        <v>438</v>
      </c>
      <c r="J188" s="249" t="s">
        <v>21</v>
      </c>
      <c r="K188" s="249" t="s">
        <v>22</v>
      </c>
      <c r="L188" s="250">
        <f t="shared" si="8"/>
        <v>1</v>
      </c>
      <c r="M188" s="237">
        <f t="array" ref="M188">INDEX('BKTT T4.26'!$N$12:$N$55,MATCH(V188,'BKTT T4.26'!$A$12:$A$55,0),0)</f>
        <v>654871</v>
      </c>
      <c r="N188" s="162">
        <f t="shared" si="11"/>
        <v>654871</v>
      </c>
      <c r="O188" s="238" t="s">
        <v>264</v>
      </c>
      <c r="P188" s="251" t="s">
        <v>1448</v>
      </c>
      <c r="R188" s="191" t="str">
        <f t="shared" si="9"/>
        <v>Cước vận chuyển Container hàng 20' tuyến đường PAN HA - HẢI AN. BKS: 15C30649</v>
      </c>
      <c r="S188" s="191" t="str">
        <f t="shared" si="10"/>
        <v xml:space="preserve"> hàng 20' </v>
      </c>
      <c r="V188" s="191">
        <v>1</v>
      </c>
    </row>
    <row r="189" spans="1:22" s="191" customFormat="1" ht="15">
      <c r="A189" s="236">
        <v>178</v>
      </c>
      <c r="B189" s="244">
        <v>46108</v>
      </c>
      <c r="C189" s="245" t="s">
        <v>261</v>
      </c>
      <c r="D189" s="246" t="s">
        <v>449</v>
      </c>
      <c r="E189" s="247">
        <v>1</v>
      </c>
      <c r="F189" s="247"/>
      <c r="G189" s="248"/>
      <c r="H189" s="247"/>
      <c r="I189" s="249" t="s">
        <v>438</v>
      </c>
      <c r="J189" s="249" t="s">
        <v>21</v>
      </c>
      <c r="K189" s="249" t="s">
        <v>22</v>
      </c>
      <c r="L189" s="250">
        <f t="shared" si="8"/>
        <v>1</v>
      </c>
      <c r="M189" s="237">
        <f t="array" ref="M189">INDEX('BKTT T4.26'!$N$12:$N$55,MATCH(V189,'BKTT T4.26'!$A$12:$A$55,0),0)</f>
        <v>654871</v>
      </c>
      <c r="N189" s="162">
        <f t="shared" si="11"/>
        <v>654871</v>
      </c>
      <c r="O189" s="238" t="s">
        <v>264</v>
      </c>
      <c r="P189" s="251" t="s">
        <v>1448</v>
      </c>
      <c r="R189" s="191" t="str">
        <f t="shared" si="9"/>
        <v>Cước vận chuyển Container hàng 20' tuyến đường PAN HA - HẢI AN. BKS: 15C30649</v>
      </c>
      <c r="S189" s="191" t="str">
        <f t="shared" si="10"/>
        <v xml:space="preserve"> hàng 20' </v>
      </c>
      <c r="V189" s="191">
        <v>1</v>
      </c>
    </row>
    <row r="190" spans="1:22" s="191" customFormat="1" ht="15">
      <c r="A190" s="236">
        <v>179</v>
      </c>
      <c r="B190" s="244">
        <v>46108</v>
      </c>
      <c r="C190" s="245" t="s">
        <v>261</v>
      </c>
      <c r="D190" s="246" t="s">
        <v>450</v>
      </c>
      <c r="E190" s="247">
        <v>1</v>
      </c>
      <c r="F190" s="247"/>
      <c r="G190" s="248"/>
      <c r="H190" s="247"/>
      <c r="I190" s="249" t="s">
        <v>438</v>
      </c>
      <c r="J190" s="249" t="s">
        <v>21</v>
      </c>
      <c r="K190" s="249" t="s">
        <v>22</v>
      </c>
      <c r="L190" s="250">
        <f t="shared" si="8"/>
        <v>1</v>
      </c>
      <c r="M190" s="237">
        <f t="array" ref="M190">INDEX('BKTT T4.26'!$N$12:$N$55,MATCH(V190,'BKTT T4.26'!$A$12:$A$55,0),0)</f>
        <v>654871</v>
      </c>
      <c r="N190" s="162">
        <f t="shared" si="11"/>
        <v>654871</v>
      </c>
      <c r="O190" s="238" t="s">
        <v>264</v>
      </c>
      <c r="P190" s="251" t="s">
        <v>1448</v>
      </c>
      <c r="R190" s="191" t="str">
        <f t="shared" si="9"/>
        <v>Cước vận chuyển Container hàng 20' tuyến đường PAN HA - HẢI AN. BKS: 15C30649</v>
      </c>
      <c r="S190" s="191" t="str">
        <f t="shared" si="10"/>
        <v xml:space="preserve"> hàng 20' </v>
      </c>
      <c r="V190" s="191">
        <v>1</v>
      </c>
    </row>
    <row r="191" spans="1:22" s="191" customFormat="1" ht="15">
      <c r="A191" s="236">
        <v>180</v>
      </c>
      <c r="B191" s="244">
        <v>46108</v>
      </c>
      <c r="C191" s="245" t="s">
        <v>261</v>
      </c>
      <c r="D191" s="246" t="s">
        <v>451</v>
      </c>
      <c r="E191" s="247"/>
      <c r="F191" s="247">
        <v>1</v>
      </c>
      <c r="G191" s="248"/>
      <c r="H191" s="247"/>
      <c r="I191" s="249" t="s">
        <v>438</v>
      </c>
      <c r="J191" s="249" t="s">
        <v>21</v>
      </c>
      <c r="K191" s="249" t="s">
        <v>25</v>
      </c>
      <c r="L191" s="250">
        <f t="shared" si="8"/>
        <v>1</v>
      </c>
      <c r="M191" s="237">
        <f t="array" ref="M191">INDEX('BKTT T4.26'!$N$12:$N$55,MATCH(V191,'BKTT T4.26'!$A$12:$A$55,0),0)</f>
        <v>681050</v>
      </c>
      <c r="N191" s="162">
        <f t="shared" si="11"/>
        <v>681050</v>
      </c>
      <c r="O191" s="238" t="s">
        <v>264</v>
      </c>
      <c r="P191" s="251" t="s">
        <v>1448</v>
      </c>
      <c r="R191" s="191" t="str">
        <f t="shared" si="9"/>
        <v>Cước vận chuyển Container hàng 40' tuyến đường PAN HA - HẢI AN,. BKS: 15C30649</v>
      </c>
      <c r="S191" s="191" t="str">
        <f t="shared" si="10"/>
        <v xml:space="preserve"> hàng 40' </v>
      </c>
      <c r="V191" s="191">
        <v>2</v>
      </c>
    </row>
    <row r="192" spans="1:22" s="191" customFormat="1" ht="15">
      <c r="A192" s="236">
        <v>181</v>
      </c>
      <c r="B192" s="244">
        <v>46108</v>
      </c>
      <c r="C192" s="245" t="s">
        <v>261</v>
      </c>
      <c r="D192" s="246" t="s">
        <v>452</v>
      </c>
      <c r="E192" s="247"/>
      <c r="F192" s="247"/>
      <c r="G192" s="248"/>
      <c r="H192" s="247">
        <v>1</v>
      </c>
      <c r="I192" s="249" t="s">
        <v>438</v>
      </c>
      <c r="J192" s="249" t="s">
        <v>21</v>
      </c>
      <c r="K192" s="249" t="s">
        <v>27</v>
      </c>
      <c r="L192" s="250">
        <f t="shared" si="8"/>
        <v>1</v>
      </c>
      <c r="M192" s="237">
        <f t="array" ref="M192">INDEX('BKTT T4.26'!$N$12:$N$55,MATCH(V192,'BKTT T4.26'!$A$12:$A$55,0),0)</f>
        <v>628690</v>
      </c>
      <c r="N192" s="162">
        <f t="shared" si="11"/>
        <v>628690</v>
      </c>
      <c r="O192" s="238" t="s">
        <v>264</v>
      </c>
      <c r="P192" s="251" t="s">
        <v>1448</v>
      </c>
      <c r="R192" s="191" t="str">
        <f t="shared" si="9"/>
        <v>Cước vận chuyển Container vỏ tuyến đường PAN HA - HẢI AN.. BKS: 15C30649</v>
      </c>
      <c r="S192" s="191" t="str">
        <f t="shared" si="10"/>
        <v xml:space="preserve"> vỏ </v>
      </c>
      <c r="V192" s="191">
        <v>3</v>
      </c>
    </row>
    <row r="193" spans="1:22" s="191" customFormat="1" ht="15">
      <c r="A193" s="236">
        <v>182</v>
      </c>
      <c r="B193" s="244">
        <v>46108</v>
      </c>
      <c r="C193" s="245" t="s">
        <v>261</v>
      </c>
      <c r="D193" s="246" t="s">
        <v>453</v>
      </c>
      <c r="E193" s="247"/>
      <c r="F193" s="247"/>
      <c r="G193" s="248"/>
      <c r="H193" s="247">
        <v>1</v>
      </c>
      <c r="I193" s="249" t="s">
        <v>438</v>
      </c>
      <c r="J193" s="249" t="s">
        <v>21</v>
      </c>
      <c r="K193" s="249" t="s">
        <v>27</v>
      </c>
      <c r="L193" s="250">
        <f t="shared" si="8"/>
        <v>1</v>
      </c>
      <c r="M193" s="237">
        <f t="array" ref="M193">INDEX('BKTT T4.26'!$N$12:$N$55,MATCH(V193,'BKTT T4.26'!$A$12:$A$55,0),0)</f>
        <v>628690</v>
      </c>
      <c r="N193" s="162">
        <f t="shared" si="11"/>
        <v>628690</v>
      </c>
      <c r="O193" s="238" t="s">
        <v>264</v>
      </c>
      <c r="P193" s="251" t="s">
        <v>1448</v>
      </c>
      <c r="R193" s="191" t="str">
        <f t="shared" si="9"/>
        <v>Cước vận chuyển Container vỏ tuyến đường PAN HA - HẢI AN.. BKS: 15C30649</v>
      </c>
      <c r="S193" s="191" t="str">
        <f t="shared" si="10"/>
        <v xml:space="preserve"> vỏ </v>
      </c>
      <c r="V193" s="191">
        <v>3</v>
      </c>
    </row>
    <row r="194" spans="1:22" s="191" customFormat="1" ht="15">
      <c r="A194" s="236">
        <v>183</v>
      </c>
      <c r="B194" s="244">
        <v>46110</v>
      </c>
      <c r="C194" s="245" t="s">
        <v>261</v>
      </c>
      <c r="D194" s="246" t="s">
        <v>454</v>
      </c>
      <c r="E194" s="247">
        <v>1</v>
      </c>
      <c r="F194" s="247"/>
      <c r="G194" s="248"/>
      <c r="H194" s="247"/>
      <c r="I194" s="249" t="s">
        <v>438</v>
      </c>
      <c r="J194" s="249" t="s">
        <v>21</v>
      </c>
      <c r="K194" s="249" t="s">
        <v>22</v>
      </c>
      <c r="L194" s="250">
        <f t="shared" si="8"/>
        <v>1</v>
      </c>
      <c r="M194" s="237">
        <f t="array" ref="M194">INDEX('BKTT T4.26'!$N$12:$N$55,MATCH(V194,'BKTT T4.26'!$A$12:$A$55,0),0)</f>
        <v>654871</v>
      </c>
      <c r="N194" s="162">
        <f t="shared" si="11"/>
        <v>654871</v>
      </c>
      <c r="O194" s="238" t="s">
        <v>264</v>
      </c>
      <c r="P194" s="251" t="s">
        <v>1448</v>
      </c>
      <c r="R194" s="191" t="str">
        <f t="shared" si="9"/>
        <v>Cước vận chuyển Container hàng 20' tuyến đường PAN HA - HẢI AN. BKS: 15C30649</v>
      </c>
      <c r="S194" s="191" t="str">
        <f t="shared" si="10"/>
        <v xml:space="preserve"> hàng 20' </v>
      </c>
      <c r="V194" s="191">
        <v>1</v>
      </c>
    </row>
    <row r="195" spans="1:22" s="191" customFormat="1" ht="15">
      <c r="A195" s="236">
        <v>184</v>
      </c>
      <c r="B195" s="244">
        <v>46110</v>
      </c>
      <c r="C195" s="245" t="s">
        <v>261</v>
      </c>
      <c r="D195" s="246" t="s">
        <v>455</v>
      </c>
      <c r="E195" s="247">
        <v>1</v>
      </c>
      <c r="F195" s="247"/>
      <c r="G195" s="248"/>
      <c r="H195" s="247"/>
      <c r="I195" s="249" t="s">
        <v>438</v>
      </c>
      <c r="J195" s="249" t="s">
        <v>21</v>
      </c>
      <c r="K195" s="249" t="s">
        <v>22</v>
      </c>
      <c r="L195" s="250">
        <f t="shared" si="8"/>
        <v>1</v>
      </c>
      <c r="M195" s="237">
        <f t="array" ref="M195">INDEX('BKTT T4.26'!$N$12:$N$55,MATCH(V195,'BKTT T4.26'!$A$12:$A$55,0),0)</f>
        <v>654871</v>
      </c>
      <c r="N195" s="162">
        <f t="shared" si="11"/>
        <v>654871</v>
      </c>
      <c r="O195" s="238" t="s">
        <v>264</v>
      </c>
      <c r="P195" s="251" t="s">
        <v>1448</v>
      </c>
      <c r="R195" s="191" t="str">
        <f t="shared" si="9"/>
        <v>Cước vận chuyển Container hàng 20' tuyến đường PAN HA - HẢI AN. BKS: 15C30649</v>
      </c>
      <c r="S195" s="191" t="str">
        <f t="shared" si="10"/>
        <v xml:space="preserve"> hàng 20' </v>
      </c>
      <c r="V195" s="191">
        <v>1</v>
      </c>
    </row>
    <row r="196" spans="1:22" s="283" customFormat="1" ht="15">
      <c r="A196" s="236">
        <v>185</v>
      </c>
      <c r="B196" s="272">
        <v>46110</v>
      </c>
      <c r="C196" s="273" t="s">
        <v>261</v>
      </c>
      <c r="D196" s="285" t="s">
        <v>1457</v>
      </c>
      <c r="E196" s="275">
        <v>1</v>
      </c>
      <c r="F196" s="275"/>
      <c r="G196" s="276"/>
      <c r="H196" s="275"/>
      <c r="I196" s="277" t="s">
        <v>438</v>
      </c>
      <c r="J196" s="249" t="s">
        <v>21</v>
      </c>
      <c r="K196" s="277" t="s">
        <v>36</v>
      </c>
      <c r="L196" s="278">
        <f t="shared" si="8"/>
        <v>1</v>
      </c>
      <c r="M196" s="279">
        <f t="array" ref="M196">INDEX('BKTT T4.26'!$N$12:$N$55,MATCH(V196,'BKTT T4.26'!$A$12:$A$55,0),0)</f>
        <v>576331</v>
      </c>
      <c r="N196" s="280">
        <f t="shared" si="11"/>
        <v>576331</v>
      </c>
      <c r="O196" s="281" t="s">
        <v>264</v>
      </c>
      <c r="P196" s="282" t="s">
        <v>1447</v>
      </c>
      <c r="R196" s="283" t="str">
        <f t="shared" si="9"/>
        <v>Cước vận chuyển Container hàng 20' tuyến đường PAN HA - NHĐV. BKS: 15C30649</v>
      </c>
      <c r="S196" s="283" t="str">
        <f t="shared" si="10"/>
        <v xml:space="preserve"> hàng 20' </v>
      </c>
      <c r="V196" s="191">
        <v>11</v>
      </c>
    </row>
    <row r="197" spans="1:22" s="191" customFormat="1" ht="15">
      <c r="A197" s="236">
        <v>186</v>
      </c>
      <c r="B197" s="244">
        <v>46110</v>
      </c>
      <c r="C197" s="245" t="s">
        <v>261</v>
      </c>
      <c r="D197" s="246" t="s">
        <v>456</v>
      </c>
      <c r="E197" s="247">
        <v>1</v>
      </c>
      <c r="F197" s="247"/>
      <c r="G197" s="248"/>
      <c r="H197" s="247"/>
      <c r="I197" s="249" t="s">
        <v>438</v>
      </c>
      <c r="J197" s="249" t="s">
        <v>21</v>
      </c>
      <c r="K197" s="249" t="s">
        <v>36</v>
      </c>
      <c r="L197" s="250">
        <f t="shared" si="8"/>
        <v>1</v>
      </c>
      <c r="M197" s="237">
        <f t="array" ref="M197">INDEX('BKTT T4.26'!$N$12:$N$55,MATCH(V197,'BKTT T4.26'!$A$12:$A$55,0),0)</f>
        <v>576331</v>
      </c>
      <c r="N197" s="162">
        <f t="shared" si="11"/>
        <v>576331</v>
      </c>
      <c r="O197" s="238" t="s">
        <v>264</v>
      </c>
      <c r="P197" s="251" t="s">
        <v>1448</v>
      </c>
      <c r="R197" s="191" t="str">
        <f t="shared" si="9"/>
        <v>Cước vận chuyển Container hàng 20' tuyến đường PAN HA - NHĐV. BKS: 15C30649</v>
      </c>
      <c r="S197" s="191" t="str">
        <f t="shared" si="10"/>
        <v xml:space="preserve"> hàng 20' </v>
      </c>
      <c r="V197" s="191">
        <v>11</v>
      </c>
    </row>
    <row r="198" spans="1:22" s="191" customFormat="1" ht="15">
      <c r="A198" s="236">
        <v>187</v>
      </c>
      <c r="B198" s="244">
        <v>46111</v>
      </c>
      <c r="C198" s="245" t="s">
        <v>261</v>
      </c>
      <c r="D198" s="246" t="s">
        <v>457</v>
      </c>
      <c r="E198" s="247">
        <v>1</v>
      </c>
      <c r="F198" s="247"/>
      <c r="G198" s="248"/>
      <c r="H198" s="247"/>
      <c r="I198" s="249" t="s">
        <v>279</v>
      </c>
      <c r="J198" s="249" t="s">
        <v>21</v>
      </c>
      <c r="K198" s="249" t="s">
        <v>22</v>
      </c>
      <c r="L198" s="250">
        <f t="shared" si="8"/>
        <v>1</v>
      </c>
      <c r="M198" s="237">
        <f t="array" ref="M198">INDEX('BKTT T4.26'!$N$12:$N$55,MATCH(V198,'BKTT T4.26'!$A$12:$A$55,0),0)</f>
        <v>654871</v>
      </c>
      <c r="N198" s="162">
        <f t="shared" si="11"/>
        <v>654871</v>
      </c>
      <c r="O198" s="238" t="s">
        <v>264</v>
      </c>
      <c r="P198" s="251" t="s">
        <v>1448</v>
      </c>
      <c r="R198" s="191" t="str">
        <f t="shared" si="9"/>
        <v>Cước vận chuyển Container hàng 20' tuyến đường PAN HA - HẢI AN. BKS: 15H07524</v>
      </c>
      <c r="S198" s="191" t="str">
        <f t="shared" si="10"/>
        <v xml:space="preserve"> hàng 20' </v>
      </c>
      <c r="V198" s="191">
        <v>1</v>
      </c>
    </row>
    <row r="199" spans="1:22" s="191" customFormat="1" ht="15">
      <c r="A199" s="236">
        <v>188</v>
      </c>
      <c r="B199" s="244">
        <v>46111</v>
      </c>
      <c r="C199" s="245" t="s">
        <v>261</v>
      </c>
      <c r="D199" s="246" t="s">
        <v>458</v>
      </c>
      <c r="E199" s="247">
        <v>1</v>
      </c>
      <c r="F199" s="247"/>
      <c r="G199" s="248"/>
      <c r="H199" s="247"/>
      <c r="I199" s="249" t="s">
        <v>279</v>
      </c>
      <c r="J199" s="249" t="s">
        <v>21</v>
      </c>
      <c r="K199" s="249" t="s">
        <v>22</v>
      </c>
      <c r="L199" s="250">
        <f t="shared" si="8"/>
        <v>1</v>
      </c>
      <c r="M199" s="237">
        <f t="array" ref="M199">INDEX('BKTT T4.26'!$N$12:$N$55,MATCH(V199,'BKTT T4.26'!$A$12:$A$55,0),0)</f>
        <v>654871</v>
      </c>
      <c r="N199" s="162">
        <f t="shared" ref="N199:N226" si="12">L199*M199</f>
        <v>654871</v>
      </c>
      <c r="O199" s="238" t="s">
        <v>264</v>
      </c>
      <c r="P199" s="251" t="s">
        <v>1448</v>
      </c>
      <c r="R199" s="191" t="str">
        <f t="shared" si="9"/>
        <v>Cước vận chuyển Container hàng 20' tuyến đường PAN HA - HẢI AN. BKS: 15H07524</v>
      </c>
      <c r="S199" s="191" t="str">
        <f t="shared" si="10"/>
        <v xml:space="preserve"> hàng 20' </v>
      </c>
      <c r="V199" s="191">
        <v>1</v>
      </c>
    </row>
    <row r="200" spans="1:22" s="191" customFormat="1" ht="15">
      <c r="A200" s="236">
        <v>189</v>
      </c>
      <c r="B200" s="244">
        <v>46111</v>
      </c>
      <c r="C200" s="245" t="s">
        <v>261</v>
      </c>
      <c r="D200" s="246" t="s">
        <v>459</v>
      </c>
      <c r="E200" s="247">
        <v>1</v>
      </c>
      <c r="F200" s="247"/>
      <c r="G200" s="248"/>
      <c r="H200" s="247"/>
      <c r="I200" s="249" t="s">
        <v>282</v>
      </c>
      <c r="J200" s="249" t="s">
        <v>21</v>
      </c>
      <c r="K200" s="249" t="s">
        <v>36</v>
      </c>
      <c r="L200" s="250">
        <f t="shared" si="8"/>
        <v>1</v>
      </c>
      <c r="M200" s="237">
        <f t="array" ref="M200">INDEX('BKTT T4.26'!$N$12:$N$55,MATCH(V200,'BKTT T4.26'!$A$12:$A$55,0),0)</f>
        <v>576331</v>
      </c>
      <c r="N200" s="162">
        <f t="shared" si="12"/>
        <v>576331</v>
      </c>
      <c r="O200" s="238" t="s">
        <v>264</v>
      </c>
      <c r="P200" s="251" t="s">
        <v>1448</v>
      </c>
      <c r="R200" s="191" t="str">
        <f t="shared" si="9"/>
        <v>Cước vận chuyển Container hàng 20' tuyến đường PAN HA - NHĐV. BKS: 15C17301</v>
      </c>
      <c r="S200" s="191" t="str">
        <f t="shared" si="10"/>
        <v xml:space="preserve"> hàng 20' </v>
      </c>
      <c r="V200" s="191">
        <v>11</v>
      </c>
    </row>
    <row r="201" spans="1:22" s="191" customFormat="1" ht="15">
      <c r="A201" s="236">
        <v>190</v>
      </c>
      <c r="B201" s="244">
        <v>46111</v>
      </c>
      <c r="C201" s="245" t="s">
        <v>261</v>
      </c>
      <c r="D201" s="246" t="s">
        <v>460</v>
      </c>
      <c r="E201" s="247">
        <v>1</v>
      </c>
      <c r="F201" s="247"/>
      <c r="G201" s="248"/>
      <c r="H201" s="247"/>
      <c r="I201" s="249" t="s">
        <v>282</v>
      </c>
      <c r="J201" s="249" t="s">
        <v>21</v>
      </c>
      <c r="K201" s="249" t="s">
        <v>36</v>
      </c>
      <c r="L201" s="250">
        <f t="shared" ref="L201:L264" si="13">E201+F201+G201+H201</f>
        <v>1</v>
      </c>
      <c r="M201" s="237">
        <f t="array" ref="M201">INDEX('BKTT T4.26'!$N$12:$N$55,MATCH(V201,'BKTT T4.26'!$A$12:$A$55,0),0)</f>
        <v>576331</v>
      </c>
      <c r="N201" s="162">
        <f t="shared" si="12"/>
        <v>576331</v>
      </c>
      <c r="O201" s="238" t="s">
        <v>264</v>
      </c>
      <c r="P201" s="251" t="s">
        <v>1448</v>
      </c>
      <c r="R201" s="191" t="str">
        <f t="shared" ref="R201:R264" si="14">$R$10&amp;S201&amp;$R$9&amp;J201&amp;$S$10&amp;K201&amp;$R$8&amp;I201</f>
        <v>Cước vận chuyển Container hàng 20' tuyến đường PAN HA - NHĐV. BKS: 15C17301</v>
      </c>
      <c r="S201" s="191" t="str">
        <f t="shared" ref="S201:S264" si="15">IF(E201=1," hàng 20' ",IF(F201=1," hàng 40' "," vỏ "))</f>
        <v xml:space="preserve"> hàng 20' </v>
      </c>
      <c r="V201" s="191">
        <v>11</v>
      </c>
    </row>
    <row r="202" spans="1:22" s="191" customFormat="1" ht="15">
      <c r="A202" s="236">
        <v>191</v>
      </c>
      <c r="B202" s="244">
        <v>46111</v>
      </c>
      <c r="C202" s="245" t="s">
        <v>261</v>
      </c>
      <c r="D202" s="246" t="s">
        <v>461</v>
      </c>
      <c r="E202" s="247">
        <v>1</v>
      </c>
      <c r="F202" s="247"/>
      <c r="G202" s="248"/>
      <c r="H202" s="247"/>
      <c r="I202" s="249" t="s">
        <v>282</v>
      </c>
      <c r="J202" s="249" t="s">
        <v>21</v>
      </c>
      <c r="K202" s="249" t="s">
        <v>22</v>
      </c>
      <c r="L202" s="250">
        <f t="shared" si="13"/>
        <v>1</v>
      </c>
      <c r="M202" s="237">
        <f t="array" ref="M202">INDEX('BKTT T4.26'!$N$12:$N$55,MATCH(V202,'BKTT T4.26'!$A$12:$A$55,0),0)</f>
        <v>654871</v>
      </c>
      <c r="N202" s="162">
        <f t="shared" si="12"/>
        <v>654871</v>
      </c>
      <c r="O202" s="238" t="s">
        <v>264</v>
      </c>
      <c r="P202" s="251" t="s">
        <v>1448</v>
      </c>
      <c r="R202" s="191" t="str">
        <f t="shared" si="14"/>
        <v>Cước vận chuyển Container hàng 20' tuyến đường PAN HA - HẢI AN. BKS: 15C17301</v>
      </c>
      <c r="S202" s="191" t="str">
        <f t="shared" si="15"/>
        <v xml:space="preserve"> hàng 20' </v>
      </c>
      <c r="V202" s="191">
        <v>1</v>
      </c>
    </row>
    <row r="203" spans="1:22" s="191" customFormat="1" ht="15">
      <c r="A203" s="236">
        <v>192</v>
      </c>
      <c r="B203" s="244">
        <v>46111</v>
      </c>
      <c r="C203" s="245" t="s">
        <v>261</v>
      </c>
      <c r="D203" s="246" t="s">
        <v>462</v>
      </c>
      <c r="E203" s="247">
        <v>1</v>
      </c>
      <c r="F203" s="247"/>
      <c r="G203" s="248"/>
      <c r="H203" s="247"/>
      <c r="I203" s="249" t="s">
        <v>282</v>
      </c>
      <c r="J203" s="249" t="s">
        <v>21</v>
      </c>
      <c r="K203" s="249" t="s">
        <v>22</v>
      </c>
      <c r="L203" s="250">
        <f t="shared" si="13"/>
        <v>1</v>
      </c>
      <c r="M203" s="237">
        <f t="array" ref="M203">INDEX('BKTT T4.26'!$N$12:$N$55,MATCH(V203,'BKTT T4.26'!$A$12:$A$55,0),0)</f>
        <v>654871</v>
      </c>
      <c r="N203" s="162">
        <f t="shared" si="12"/>
        <v>654871</v>
      </c>
      <c r="O203" s="238" t="s">
        <v>264</v>
      </c>
      <c r="P203" s="251" t="s">
        <v>1448</v>
      </c>
      <c r="R203" s="191" t="str">
        <f t="shared" si="14"/>
        <v>Cước vận chuyển Container hàng 20' tuyến đường PAN HA - HẢI AN. BKS: 15C17301</v>
      </c>
      <c r="S203" s="191" t="str">
        <f t="shared" si="15"/>
        <v xml:space="preserve"> hàng 20' </v>
      </c>
      <c r="V203" s="191">
        <v>1</v>
      </c>
    </row>
    <row r="204" spans="1:22" s="191" customFormat="1" ht="15">
      <c r="A204" s="236">
        <v>193</v>
      </c>
      <c r="B204" s="244">
        <v>46111</v>
      </c>
      <c r="C204" s="245" t="s">
        <v>261</v>
      </c>
      <c r="D204" s="246" t="s">
        <v>463</v>
      </c>
      <c r="E204" s="247">
        <v>1</v>
      </c>
      <c r="F204" s="247"/>
      <c r="G204" s="248"/>
      <c r="H204" s="247"/>
      <c r="I204" s="249" t="s">
        <v>282</v>
      </c>
      <c r="J204" s="249" t="s">
        <v>21</v>
      </c>
      <c r="K204" s="249" t="s">
        <v>22</v>
      </c>
      <c r="L204" s="250">
        <f t="shared" si="13"/>
        <v>1</v>
      </c>
      <c r="M204" s="237">
        <f t="array" ref="M204">INDEX('BKTT T4.26'!$N$12:$N$55,MATCH(V204,'BKTT T4.26'!$A$12:$A$55,0),0)</f>
        <v>654871</v>
      </c>
      <c r="N204" s="162">
        <f t="shared" si="12"/>
        <v>654871</v>
      </c>
      <c r="O204" s="238" t="s">
        <v>264</v>
      </c>
      <c r="P204" s="251" t="s">
        <v>1448</v>
      </c>
      <c r="R204" s="191" t="str">
        <f t="shared" si="14"/>
        <v>Cước vận chuyển Container hàng 20' tuyến đường PAN HA - HẢI AN. BKS: 15C17301</v>
      </c>
      <c r="S204" s="191" t="str">
        <f t="shared" si="15"/>
        <v xml:space="preserve"> hàng 20' </v>
      </c>
      <c r="V204" s="191">
        <v>1</v>
      </c>
    </row>
    <row r="205" spans="1:22" s="191" customFormat="1" ht="15">
      <c r="A205" s="236">
        <v>194</v>
      </c>
      <c r="B205" s="244">
        <v>46111</v>
      </c>
      <c r="C205" s="245" t="s">
        <v>261</v>
      </c>
      <c r="D205" s="246" t="s">
        <v>464</v>
      </c>
      <c r="E205" s="247"/>
      <c r="F205" s="247">
        <v>1</v>
      </c>
      <c r="G205" s="248"/>
      <c r="H205" s="247"/>
      <c r="I205" s="249" t="s">
        <v>282</v>
      </c>
      <c r="J205" s="249" t="s">
        <v>21</v>
      </c>
      <c r="K205" s="249" t="s">
        <v>25</v>
      </c>
      <c r="L205" s="250">
        <f t="shared" si="13"/>
        <v>1</v>
      </c>
      <c r="M205" s="237">
        <f t="array" ref="M205">INDEX('BKTT T4.26'!$N$12:$N$55,MATCH(V205,'BKTT T4.26'!$A$12:$A$55,0),0)</f>
        <v>681050</v>
      </c>
      <c r="N205" s="162">
        <f t="shared" si="12"/>
        <v>681050</v>
      </c>
      <c r="O205" s="238" t="s">
        <v>264</v>
      </c>
      <c r="P205" s="251" t="s">
        <v>1448</v>
      </c>
      <c r="R205" s="191" t="str">
        <f t="shared" si="14"/>
        <v>Cước vận chuyển Container hàng 40' tuyến đường PAN HA - HẢI AN,. BKS: 15C17301</v>
      </c>
      <c r="S205" s="191" t="str">
        <f t="shared" si="15"/>
        <v xml:space="preserve"> hàng 40' </v>
      </c>
      <c r="V205" s="191">
        <v>2</v>
      </c>
    </row>
    <row r="206" spans="1:22" s="191" customFormat="1" ht="15">
      <c r="A206" s="236">
        <v>195</v>
      </c>
      <c r="B206" s="244">
        <v>46111</v>
      </c>
      <c r="C206" s="245" t="s">
        <v>261</v>
      </c>
      <c r="D206" s="246" t="s">
        <v>465</v>
      </c>
      <c r="E206" s="247"/>
      <c r="F206" s="247">
        <v>1</v>
      </c>
      <c r="G206" s="248"/>
      <c r="H206" s="247"/>
      <c r="I206" s="249" t="s">
        <v>282</v>
      </c>
      <c r="J206" s="249" t="s">
        <v>21</v>
      </c>
      <c r="K206" s="249" t="s">
        <v>25</v>
      </c>
      <c r="L206" s="250">
        <f t="shared" si="13"/>
        <v>1</v>
      </c>
      <c r="M206" s="237">
        <f t="array" ref="M206">INDEX('BKTT T4.26'!$N$12:$N$55,MATCH(V206,'BKTT T4.26'!$A$12:$A$55,0),0)</f>
        <v>681050</v>
      </c>
      <c r="N206" s="162">
        <f t="shared" si="12"/>
        <v>681050</v>
      </c>
      <c r="O206" s="238" t="s">
        <v>264</v>
      </c>
      <c r="P206" s="251" t="s">
        <v>1448</v>
      </c>
      <c r="R206" s="191" t="str">
        <f t="shared" si="14"/>
        <v>Cước vận chuyển Container hàng 40' tuyến đường PAN HA - HẢI AN,. BKS: 15C17301</v>
      </c>
      <c r="S206" s="191" t="str">
        <f t="shared" si="15"/>
        <v xml:space="preserve"> hàng 40' </v>
      </c>
      <c r="V206" s="191">
        <v>2</v>
      </c>
    </row>
    <row r="207" spans="1:22" s="191" customFormat="1" ht="15">
      <c r="A207" s="236">
        <v>196</v>
      </c>
      <c r="B207" s="244">
        <v>46111</v>
      </c>
      <c r="C207" s="245" t="s">
        <v>261</v>
      </c>
      <c r="D207" s="246" t="s">
        <v>466</v>
      </c>
      <c r="E207" s="247"/>
      <c r="F207" s="247">
        <v>1</v>
      </c>
      <c r="G207" s="248"/>
      <c r="H207" s="247"/>
      <c r="I207" s="249" t="s">
        <v>282</v>
      </c>
      <c r="J207" s="249" t="s">
        <v>21</v>
      </c>
      <c r="K207" s="249" t="s">
        <v>25</v>
      </c>
      <c r="L207" s="250">
        <f t="shared" si="13"/>
        <v>1</v>
      </c>
      <c r="M207" s="237">
        <f t="array" ref="M207">INDEX('BKTT T4.26'!$N$12:$N$55,MATCH(V207,'BKTT T4.26'!$A$12:$A$55,0),0)</f>
        <v>681050</v>
      </c>
      <c r="N207" s="162">
        <f t="shared" si="12"/>
        <v>681050</v>
      </c>
      <c r="O207" s="238" t="s">
        <v>264</v>
      </c>
      <c r="P207" s="251" t="s">
        <v>1448</v>
      </c>
      <c r="R207" s="191" t="str">
        <f t="shared" si="14"/>
        <v>Cước vận chuyển Container hàng 40' tuyến đường PAN HA - HẢI AN,. BKS: 15C17301</v>
      </c>
      <c r="S207" s="191" t="str">
        <f t="shared" si="15"/>
        <v xml:space="preserve"> hàng 40' </v>
      </c>
      <c r="V207" s="191">
        <v>2</v>
      </c>
    </row>
    <row r="208" spans="1:22" s="191" customFormat="1" ht="15">
      <c r="A208" s="236">
        <v>197</v>
      </c>
      <c r="B208" s="244">
        <v>46111</v>
      </c>
      <c r="C208" s="245" t="s">
        <v>261</v>
      </c>
      <c r="D208" s="246" t="s">
        <v>467</v>
      </c>
      <c r="E208" s="247"/>
      <c r="F208" s="247">
        <v>1</v>
      </c>
      <c r="G208" s="248"/>
      <c r="H208" s="247"/>
      <c r="I208" s="249" t="s">
        <v>358</v>
      </c>
      <c r="J208" s="249" t="s">
        <v>21</v>
      </c>
      <c r="K208" s="249" t="s">
        <v>37</v>
      </c>
      <c r="L208" s="250">
        <f t="shared" si="13"/>
        <v>1</v>
      </c>
      <c r="M208" s="237">
        <f t="array" ref="M208">INDEX('BKTT T4.26'!$N$12:$N$55,MATCH(V208,'BKTT T4.26'!$A$12:$A$55,0),0)</f>
        <v>602510</v>
      </c>
      <c r="N208" s="162">
        <f t="shared" si="12"/>
        <v>602510</v>
      </c>
      <c r="O208" s="238" t="s">
        <v>264</v>
      </c>
      <c r="P208" s="251" t="s">
        <v>1448</v>
      </c>
      <c r="R208" s="191" t="str">
        <f t="shared" si="14"/>
        <v>Cước vận chuyển Container hàng 40' tuyến đường PAN HA - NHĐV,. BKS: 15H18753</v>
      </c>
      <c r="S208" s="191" t="str">
        <f t="shared" si="15"/>
        <v xml:space="preserve"> hàng 40' </v>
      </c>
      <c r="V208" s="191">
        <v>12</v>
      </c>
    </row>
    <row r="209" spans="1:22" s="191" customFormat="1" ht="15">
      <c r="A209" s="236">
        <v>198</v>
      </c>
      <c r="B209" s="244">
        <v>46111</v>
      </c>
      <c r="C209" s="245" t="s">
        <v>261</v>
      </c>
      <c r="D209" s="246" t="s">
        <v>468</v>
      </c>
      <c r="E209" s="247"/>
      <c r="F209" s="247">
        <v>1</v>
      </c>
      <c r="G209" s="248"/>
      <c r="H209" s="247"/>
      <c r="I209" s="249" t="s">
        <v>358</v>
      </c>
      <c r="J209" s="249" t="s">
        <v>21</v>
      </c>
      <c r="K209" s="249" t="s">
        <v>25</v>
      </c>
      <c r="L209" s="250">
        <f t="shared" si="13"/>
        <v>1</v>
      </c>
      <c r="M209" s="237">
        <f t="array" ref="M209">INDEX('BKTT T4.26'!$N$12:$N$55,MATCH(V209,'BKTT T4.26'!$A$12:$A$55,0),0)</f>
        <v>681050</v>
      </c>
      <c r="N209" s="162">
        <f t="shared" si="12"/>
        <v>681050</v>
      </c>
      <c r="O209" s="238" t="s">
        <v>264</v>
      </c>
      <c r="P209" s="251" t="s">
        <v>1448</v>
      </c>
      <c r="R209" s="191" t="str">
        <f t="shared" si="14"/>
        <v>Cước vận chuyển Container hàng 40' tuyến đường PAN HA - HẢI AN,. BKS: 15H18753</v>
      </c>
      <c r="S209" s="191" t="str">
        <f t="shared" si="15"/>
        <v xml:space="preserve"> hàng 40' </v>
      </c>
      <c r="V209" s="191">
        <v>2</v>
      </c>
    </row>
    <row r="210" spans="1:22" s="191" customFormat="1" ht="15">
      <c r="A210" s="236">
        <v>199</v>
      </c>
      <c r="B210" s="244">
        <v>46111</v>
      </c>
      <c r="C210" s="245" t="s">
        <v>261</v>
      </c>
      <c r="D210" s="246" t="s">
        <v>469</v>
      </c>
      <c r="E210" s="247">
        <v>1</v>
      </c>
      <c r="F210" s="247"/>
      <c r="G210" s="248"/>
      <c r="H210" s="247"/>
      <c r="I210" s="249" t="s">
        <v>269</v>
      </c>
      <c r="J210" s="249" t="s">
        <v>21</v>
      </c>
      <c r="K210" s="249" t="s">
        <v>22</v>
      </c>
      <c r="L210" s="250">
        <f t="shared" si="13"/>
        <v>1</v>
      </c>
      <c r="M210" s="237">
        <f t="array" ref="M210">INDEX('BKTT T4.26'!$N$12:$N$55,MATCH(V210,'BKTT T4.26'!$A$12:$A$55,0),0)</f>
        <v>654871</v>
      </c>
      <c r="N210" s="162">
        <f t="shared" si="12"/>
        <v>654871</v>
      </c>
      <c r="O210" s="238" t="s">
        <v>264</v>
      </c>
      <c r="P210" s="251" t="s">
        <v>1448</v>
      </c>
      <c r="R210" s="191" t="str">
        <f t="shared" si="14"/>
        <v>Cước vận chuyển Container hàng 20' tuyến đường PAN HA - HẢI AN. BKS: 15H07644</v>
      </c>
      <c r="S210" s="191" t="str">
        <f t="shared" si="15"/>
        <v xml:space="preserve"> hàng 20' </v>
      </c>
      <c r="V210" s="191">
        <v>1</v>
      </c>
    </row>
    <row r="211" spans="1:22" s="191" customFormat="1" ht="15">
      <c r="A211" s="236">
        <v>200</v>
      </c>
      <c r="B211" s="244">
        <v>46111</v>
      </c>
      <c r="C211" s="245" t="s">
        <v>261</v>
      </c>
      <c r="D211" s="246" t="s">
        <v>470</v>
      </c>
      <c r="E211" s="247">
        <v>1</v>
      </c>
      <c r="F211" s="247"/>
      <c r="G211" s="248"/>
      <c r="H211" s="247"/>
      <c r="I211" s="249" t="s">
        <v>269</v>
      </c>
      <c r="J211" s="249" t="s">
        <v>21</v>
      </c>
      <c r="K211" s="249" t="s">
        <v>22</v>
      </c>
      <c r="L211" s="250">
        <f t="shared" si="13"/>
        <v>1</v>
      </c>
      <c r="M211" s="237">
        <f t="array" ref="M211">INDEX('BKTT T4.26'!$N$12:$N$55,MATCH(V211,'BKTT T4.26'!$A$12:$A$55,0),0)</f>
        <v>654871</v>
      </c>
      <c r="N211" s="162">
        <f t="shared" si="12"/>
        <v>654871</v>
      </c>
      <c r="O211" s="238" t="s">
        <v>264</v>
      </c>
      <c r="P211" s="251" t="s">
        <v>1448</v>
      </c>
      <c r="R211" s="191" t="str">
        <f t="shared" si="14"/>
        <v>Cước vận chuyển Container hàng 20' tuyến đường PAN HA - HẢI AN. BKS: 15H07644</v>
      </c>
      <c r="S211" s="191" t="str">
        <f t="shared" si="15"/>
        <v xml:space="preserve"> hàng 20' </v>
      </c>
      <c r="V211" s="191">
        <v>1</v>
      </c>
    </row>
    <row r="212" spans="1:22" s="191" customFormat="1" ht="15">
      <c r="A212" s="236">
        <v>201</v>
      </c>
      <c r="B212" s="244">
        <v>46110</v>
      </c>
      <c r="C212" s="245" t="s">
        <v>261</v>
      </c>
      <c r="D212" s="246" t="s">
        <v>471</v>
      </c>
      <c r="E212" s="247">
        <v>1</v>
      </c>
      <c r="F212" s="247"/>
      <c r="G212" s="248"/>
      <c r="H212" s="247"/>
      <c r="I212" s="249" t="s">
        <v>472</v>
      </c>
      <c r="J212" s="249" t="s">
        <v>21</v>
      </c>
      <c r="K212" s="249" t="s">
        <v>22</v>
      </c>
      <c r="L212" s="250">
        <f t="shared" si="13"/>
        <v>1</v>
      </c>
      <c r="M212" s="237">
        <f t="array" ref="M212">INDEX('BKTT T4.26'!$N$12:$N$55,MATCH(V212,'BKTT T4.26'!$A$12:$A$55,0),0)</f>
        <v>654871</v>
      </c>
      <c r="N212" s="162">
        <f t="shared" si="12"/>
        <v>654871</v>
      </c>
      <c r="O212" s="238" t="s">
        <v>264</v>
      </c>
      <c r="P212" s="251" t="s">
        <v>1448</v>
      </c>
      <c r="R212" s="191" t="str">
        <f t="shared" si="14"/>
        <v>Cước vận chuyển Container hàng 20' tuyến đường PAN HA - HẢI AN. BKS: 15H08574</v>
      </c>
      <c r="S212" s="191" t="str">
        <f t="shared" si="15"/>
        <v xml:space="preserve"> hàng 20' </v>
      </c>
      <c r="V212" s="191">
        <v>1</v>
      </c>
    </row>
    <row r="213" spans="1:22" s="191" customFormat="1" ht="15">
      <c r="A213" s="236">
        <v>202</v>
      </c>
      <c r="B213" s="244">
        <v>46110</v>
      </c>
      <c r="C213" s="245" t="s">
        <v>261</v>
      </c>
      <c r="D213" s="246" t="s">
        <v>473</v>
      </c>
      <c r="E213" s="247">
        <v>1</v>
      </c>
      <c r="F213" s="247"/>
      <c r="G213" s="248"/>
      <c r="H213" s="247"/>
      <c r="I213" s="249" t="s">
        <v>472</v>
      </c>
      <c r="J213" s="249" t="s">
        <v>21</v>
      </c>
      <c r="K213" s="249" t="s">
        <v>22</v>
      </c>
      <c r="L213" s="250">
        <f t="shared" si="13"/>
        <v>1</v>
      </c>
      <c r="M213" s="237">
        <f t="array" ref="M213">INDEX('BKTT T4.26'!$N$12:$N$55,MATCH(V213,'BKTT T4.26'!$A$12:$A$55,0),0)</f>
        <v>654871</v>
      </c>
      <c r="N213" s="162">
        <f t="shared" si="12"/>
        <v>654871</v>
      </c>
      <c r="O213" s="238" t="s">
        <v>264</v>
      </c>
      <c r="P213" s="251" t="s">
        <v>1448</v>
      </c>
      <c r="R213" s="191" t="str">
        <f t="shared" si="14"/>
        <v>Cước vận chuyển Container hàng 20' tuyến đường PAN HA - HẢI AN. BKS: 15H08574</v>
      </c>
      <c r="S213" s="191" t="str">
        <f t="shared" si="15"/>
        <v xml:space="preserve"> hàng 20' </v>
      </c>
      <c r="V213" s="191">
        <v>1</v>
      </c>
    </row>
    <row r="214" spans="1:22" s="191" customFormat="1" ht="15">
      <c r="A214" s="236">
        <v>203</v>
      </c>
      <c r="B214" s="244">
        <v>46110</v>
      </c>
      <c r="C214" s="245" t="s">
        <v>261</v>
      </c>
      <c r="D214" s="246" t="s">
        <v>474</v>
      </c>
      <c r="E214" s="247">
        <v>1</v>
      </c>
      <c r="F214" s="247"/>
      <c r="G214" s="248"/>
      <c r="H214" s="247"/>
      <c r="I214" s="249" t="s">
        <v>472</v>
      </c>
      <c r="J214" s="249" t="s">
        <v>21</v>
      </c>
      <c r="K214" s="249" t="s">
        <v>22</v>
      </c>
      <c r="L214" s="250">
        <f t="shared" si="13"/>
        <v>1</v>
      </c>
      <c r="M214" s="237">
        <f t="array" ref="M214">INDEX('BKTT T4.26'!$N$12:$N$55,MATCH(V214,'BKTT T4.26'!$A$12:$A$55,0),0)</f>
        <v>654871</v>
      </c>
      <c r="N214" s="162">
        <f t="shared" si="12"/>
        <v>654871</v>
      </c>
      <c r="O214" s="238" t="s">
        <v>264</v>
      </c>
      <c r="P214" s="251" t="s">
        <v>1448</v>
      </c>
      <c r="R214" s="191" t="str">
        <f t="shared" si="14"/>
        <v>Cước vận chuyển Container hàng 20' tuyến đường PAN HA - HẢI AN. BKS: 15H08574</v>
      </c>
      <c r="S214" s="191" t="str">
        <f t="shared" si="15"/>
        <v xml:space="preserve"> hàng 20' </v>
      </c>
      <c r="V214" s="191">
        <v>1</v>
      </c>
    </row>
    <row r="215" spans="1:22" s="191" customFormat="1" ht="15">
      <c r="A215" s="236">
        <v>204</v>
      </c>
      <c r="B215" s="244">
        <v>46110</v>
      </c>
      <c r="C215" s="245" t="s">
        <v>261</v>
      </c>
      <c r="D215" s="246" t="s">
        <v>475</v>
      </c>
      <c r="E215" s="247">
        <v>1</v>
      </c>
      <c r="F215" s="247"/>
      <c r="G215" s="248"/>
      <c r="H215" s="247"/>
      <c r="I215" s="249" t="s">
        <v>472</v>
      </c>
      <c r="J215" s="249" t="s">
        <v>21</v>
      </c>
      <c r="K215" s="249" t="s">
        <v>22</v>
      </c>
      <c r="L215" s="250">
        <f t="shared" si="13"/>
        <v>1</v>
      </c>
      <c r="M215" s="237">
        <f t="array" ref="M215">INDEX('BKTT T4.26'!$N$12:$N$55,MATCH(V215,'BKTT T4.26'!$A$12:$A$55,0),0)</f>
        <v>654871</v>
      </c>
      <c r="N215" s="162">
        <f t="shared" si="12"/>
        <v>654871</v>
      </c>
      <c r="O215" s="238" t="s">
        <v>264</v>
      </c>
      <c r="P215" s="251" t="s">
        <v>1448</v>
      </c>
      <c r="R215" s="191" t="str">
        <f t="shared" si="14"/>
        <v>Cước vận chuyển Container hàng 20' tuyến đường PAN HA - HẢI AN. BKS: 15H08574</v>
      </c>
      <c r="S215" s="191" t="str">
        <f t="shared" si="15"/>
        <v xml:space="preserve"> hàng 20' </v>
      </c>
      <c r="V215" s="191">
        <v>1</v>
      </c>
    </row>
    <row r="216" spans="1:22" s="191" customFormat="1" ht="15">
      <c r="A216" s="236">
        <v>205</v>
      </c>
      <c r="B216" s="244">
        <v>46110</v>
      </c>
      <c r="C216" s="245" t="s">
        <v>261</v>
      </c>
      <c r="D216" s="246" t="s">
        <v>476</v>
      </c>
      <c r="E216" s="247"/>
      <c r="F216" s="247">
        <v>1</v>
      </c>
      <c r="G216" s="248"/>
      <c r="H216" s="247"/>
      <c r="I216" s="249" t="s">
        <v>472</v>
      </c>
      <c r="J216" s="249" t="s">
        <v>21</v>
      </c>
      <c r="K216" s="249" t="s">
        <v>25</v>
      </c>
      <c r="L216" s="250">
        <f t="shared" si="13"/>
        <v>1</v>
      </c>
      <c r="M216" s="237">
        <f t="array" ref="M216">INDEX('BKTT T4.26'!$N$12:$N$55,MATCH(V216,'BKTT T4.26'!$A$12:$A$55,0),0)</f>
        <v>681050</v>
      </c>
      <c r="N216" s="162">
        <f t="shared" si="12"/>
        <v>681050</v>
      </c>
      <c r="O216" s="238" t="s">
        <v>264</v>
      </c>
      <c r="P216" s="251" t="s">
        <v>1448</v>
      </c>
      <c r="R216" s="191" t="str">
        <f t="shared" si="14"/>
        <v>Cước vận chuyển Container hàng 40' tuyến đường PAN HA - HẢI AN,. BKS: 15H08574</v>
      </c>
      <c r="S216" s="191" t="str">
        <f t="shared" si="15"/>
        <v xml:space="preserve"> hàng 40' </v>
      </c>
      <c r="V216" s="191">
        <v>2</v>
      </c>
    </row>
    <row r="217" spans="1:22" s="191" customFormat="1" ht="15">
      <c r="A217" s="236">
        <v>206</v>
      </c>
      <c r="B217" s="244">
        <v>46110</v>
      </c>
      <c r="C217" s="245" t="s">
        <v>261</v>
      </c>
      <c r="D217" s="246" t="s">
        <v>477</v>
      </c>
      <c r="E217" s="247"/>
      <c r="F217" s="247">
        <v>1</v>
      </c>
      <c r="G217" s="248"/>
      <c r="H217" s="247"/>
      <c r="I217" s="249" t="s">
        <v>472</v>
      </c>
      <c r="J217" s="249" t="s">
        <v>21</v>
      </c>
      <c r="K217" s="249" t="s">
        <v>25</v>
      </c>
      <c r="L217" s="250">
        <f t="shared" si="13"/>
        <v>1</v>
      </c>
      <c r="M217" s="237">
        <f t="array" ref="M217">INDEX('BKTT T4.26'!$N$12:$N$55,MATCH(V217,'BKTT T4.26'!$A$12:$A$55,0),0)</f>
        <v>681050</v>
      </c>
      <c r="N217" s="162">
        <f t="shared" si="12"/>
        <v>681050</v>
      </c>
      <c r="O217" s="238" t="s">
        <v>264</v>
      </c>
      <c r="P217" s="251" t="s">
        <v>1448</v>
      </c>
      <c r="R217" s="191" t="str">
        <f t="shared" si="14"/>
        <v>Cước vận chuyển Container hàng 40' tuyến đường PAN HA - HẢI AN,. BKS: 15H08574</v>
      </c>
      <c r="S217" s="191" t="str">
        <f t="shared" si="15"/>
        <v xml:space="preserve"> hàng 40' </v>
      </c>
      <c r="V217" s="191">
        <v>2</v>
      </c>
    </row>
    <row r="218" spans="1:22" s="191" customFormat="1" ht="15">
      <c r="A218" s="236">
        <v>207</v>
      </c>
      <c r="B218" s="244">
        <v>46110</v>
      </c>
      <c r="C218" s="245" t="s">
        <v>261</v>
      </c>
      <c r="D218" s="246" t="s">
        <v>478</v>
      </c>
      <c r="E218" s="247">
        <v>1</v>
      </c>
      <c r="F218" s="247"/>
      <c r="G218" s="248"/>
      <c r="H218" s="247"/>
      <c r="I218" s="249" t="s">
        <v>472</v>
      </c>
      <c r="J218" s="249" t="s">
        <v>21</v>
      </c>
      <c r="K218" s="249" t="s">
        <v>49</v>
      </c>
      <c r="L218" s="250">
        <f t="shared" si="13"/>
        <v>1</v>
      </c>
      <c r="M218" s="237">
        <f t="array" ref="M218">INDEX('BKTT T4.26'!$N$12:$N$55,MATCH(V218,'BKTT T4.26'!$A$12:$A$55,0),0)</f>
        <v>576331</v>
      </c>
      <c r="N218" s="162">
        <f t="shared" si="12"/>
        <v>576331</v>
      </c>
      <c r="O218" s="238" t="s">
        <v>264</v>
      </c>
      <c r="P218" s="251" t="s">
        <v>1448</v>
      </c>
      <c r="R218" s="191" t="str">
        <f t="shared" si="14"/>
        <v>Cước vận chuyển Container hàng 20' tuyến đường PAN HA - VIP. BKS: 15H08574</v>
      </c>
      <c r="S218" s="191" t="str">
        <f t="shared" si="15"/>
        <v xml:space="preserve"> hàng 20' </v>
      </c>
      <c r="V218" s="191">
        <v>27</v>
      </c>
    </row>
    <row r="219" spans="1:22" s="191" customFormat="1" ht="15">
      <c r="A219" s="236">
        <v>208</v>
      </c>
      <c r="B219" s="244">
        <v>46110</v>
      </c>
      <c r="C219" s="245" t="s">
        <v>261</v>
      </c>
      <c r="D219" s="246" t="s">
        <v>479</v>
      </c>
      <c r="E219" s="247">
        <v>1</v>
      </c>
      <c r="F219" s="247"/>
      <c r="G219" s="248"/>
      <c r="H219" s="247"/>
      <c r="I219" s="249" t="s">
        <v>472</v>
      </c>
      <c r="J219" s="249" t="s">
        <v>21</v>
      </c>
      <c r="K219" s="249" t="s">
        <v>49</v>
      </c>
      <c r="L219" s="250">
        <f t="shared" si="13"/>
        <v>1</v>
      </c>
      <c r="M219" s="237">
        <f t="array" ref="M219">INDEX('BKTT T4.26'!$N$12:$N$55,MATCH(V219,'BKTT T4.26'!$A$12:$A$55,0),0)</f>
        <v>576331</v>
      </c>
      <c r="N219" s="162">
        <f t="shared" si="12"/>
        <v>576331</v>
      </c>
      <c r="O219" s="238" t="s">
        <v>264</v>
      </c>
      <c r="P219" s="251" t="s">
        <v>1448</v>
      </c>
      <c r="R219" s="191" t="str">
        <f t="shared" si="14"/>
        <v>Cước vận chuyển Container hàng 20' tuyến đường PAN HA - VIP. BKS: 15H08574</v>
      </c>
      <c r="S219" s="191" t="str">
        <f t="shared" si="15"/>
        <v xml:space="preserve"> hàng 20' </v>
      </c>
      <c r="V219" s="191">
        <v>27</v>
      </c>
    </row>
    <row r="220" spans="1:22" s="191" customFormat="1" ht="15">
      <c r="A220" s="236">
        <v>209</v>
      </c>
      <c r="B220" s="244">
        <v>46110</v>
      </c>
      <c r="C220" s="245" t="s">
        <v>261</v>
      </c>
      <c r="D220" s="246" t="s">
        <v>480</v>
      </c>
      <c r="E220" s="247"/>
      <c r="F220" s="247">
        <v>1</v>
      </c>
      <c r="G220" s="248"/>
      <c r="H220" s="247"/>
      <c r="I220" s="249" t="s">
        <v>472</v>
      </c>
      <c r="J220" s="249" t="s">
        <v>21</v>
      </c>
      <c r="K220" s="249" t="s">
        <v>50</v>
      </c>
      <c r="L220" s="250">
        <f t="shared" si="13"/>
        <v>1</v>
      </c>
      <c r="M220" s="237">
        <f t="array" ref="M220">INDEX('BKTT T4.26'!$N$12:$N$55,MATCH(V220,'BKTT T4.26'!$A$12:$A$55,0),0)</f>
        <v>602510</v>
      </c>
      <c r="N220" s="162">
        <f t="shared" si="12"/>
        <v>602510</v>
      </c>
      <c r="O220" s="238" t="s">
        <v>264</v>
      </c>
      <c r="P220" s="251" t="s">
        <v>1448</v>
      </c>
      <c r="R220" s="191" t="str">
        <f t="shared" si="14"/>
        <v>Cước vận chuyển Container hàng 40' tuyến đường PAN HA - VIP,. BKS: 15H08574</v>
      </c>
      <c r="S220" s="191" t="str">
        <f t="shared" si="15"/>
        <v xml:space="preserve"> hàng 40' </v>
      </c>
      <c r="V220" s="191">
        <v>28</v>
      </c>
    </row>
    <row r="221" spans="1:22" s="191" customFormat="1" ht="15">
      <c r="A221" s="236">
        <v>210</v>
      </c>
      <c r="B221" s="244">
        <v>46110</v>
      </c>
      <c r="C221" s="245" t="s">
        <v>261</v>
      </c>
      <c r="D221" s="246" t="s">
        <v>481</v>
      </c>
      <c r="E221" s="247"/>
      <c r="F221" s="247">
        <v>1</v>
      </c>
      <c r="G221" s="248"/>
      <c r="H221" s="247"/>
      <c r="I221" s="249" t="s">
        <v>472</v>
      </c>
      <c r="J221" s="249" t="s">
        <v>21</v>
      </c>
      <c r="K221" s="249" t="s">
        <v>50</v>
      </c>
      <c r="L221" s="250">
        <f t="shared" si="13"/>
        <v>1</v>
      </c>
      <c r="M221" s="237">
        <f t="array" ref="M221">INDEX('BKTT T4.26'!$N$12:$N$55,MATCH(V221,'BKTT T4.26'!$A$12:$A$55,0),0)</f>
        <v>602510</v>
      </c>
      <c r="N221" s="162">
        <f t="shared" si="12"/>
        <v>602510</v>
      </c>
      <c r="O221" s="238" t="s">
        <v>264</v>
      </c>
      <c r="P221" s="251" t="s">
        <v>1448</v>
      </c>
      <c r="R221" s="191" t="str">
        <f t="shared" si="14"/>
        <v>Cước vận chuyển Container hàng 40' tuyến đường PAN HA - VIP,. BKS: 15H08574</v>
      </c>
      <c r="S221" s="191" t="str">
        <f t="shared" si="15"/>
        <v xml:space="preserve"> hàng 40' </v>
      </c>
      <c r="V221" s="191">
        <v>28</v>
      </c>
    </row>
    <row r="222" spans="1:22" s="191" customFormat="1" ht="15">
      <c r="A222" s="236">
        <v>211</v>
      </c>
      <c r="B222" s="244">
        <v>46111</v>
      </c>
      <c r="C222" s="245" t="s">
        <v>261</v>
      </c>
      <c r="D222" s="246" t="s">
        <v>482</v>
      </c>
      <c r="E222" s="247"/>
      <c r="F222" s="247">
        <v>1</v>
      </c>
      <c r="G222" s="248"/>
      <c r="H222" s="247"/>
      <c r="I222" s="249" t="s">
        <v>472</v>
      </c>
      <c r="J222" s="249" t="s">
        <v>21</v>
      </c>
      <c r="K222" s="249" t="s">
        <v>25</v>
      </c>
      <c r="L222" s="250">
        <f t="shared" si="13"/>
        <v>1</v>
      </c>
      <c r="M222" s="237">
        <f t="array" ref="M222">INDEX('BKTT T4.26'!$N$12:$N$55,MATCH(V222,'BKTT T4.26'!$A$12:$A$55,0),0)</f>
        <v>681050</v>
      </c>
      <c r="N222" s="162">
        <f t="shared" si="12"/>
        <v>681050</v>
      </c>
      <c r="O222" s="238" t="s">
        <v>264</v>
      </c>
      <c r="P222" s="251" t="s">
        <v>1448</v>
      </c>
      <c r="R222" s="191" t="str">
        <f t="shared" si="14"/>
        <v>Cước vận chuyển Container hàng 40' tuyến đường PAN HA - HẢI AN,. BKS: 15H08574</v>
      </c>
      <c r="S222" s="191" t="str">
        <f t="shared" si="15"/>
        <v xml:space="preserve"> hàng 40' </v>
      </c>
      <c r="V222" s="191">
        <v>2</v>
      </c>
    </row>
    <row r="223" spans="1:22" s="191" customFormat="1" ht="15">
      <c r="A223" s="236">
        <v>212</v>
      </c>
      <c r="B223" s="244">
        <v>46111</v>
      </c>
      <c r="C223" s="245" t="s">
        <v>261</v>
      </c>
      <c r="D223" s="246" t="s">
        <v>483</v>
      </c>
      <c r="E223" s="247">
        <v>1</v>
      </c>
      <c r="F223" s="247"/>
      <c r="G223" s="248"/>
      <c r="H223" s="247"/>
      <c r="I223" s="249" t="s">
        <v>472</v>
      </c>
      <c r="J223" s="249" t="s">
        <v>21</v>
      </c>
      <c r="K223" s="249" t="s">
        <v>22</v>
      </c>
      <c r="L223" s="250">
        <f t="shared" si="13"/>
        <v>1</v>
      </c>
      <c r="M223" s="237">
        <f t="array" ref="M223">INDEX('BKTT T4.26'!$N$12:$N$55,MATCH(V223,'BKTT T4.26'!$A$12:$A$55,0),0)</f>
        <v>654871</v>
      </c>
      <c r="N223" s="162">
        <f t="shared" si="12"/>
        <v>654871</v>
      </c>
      <c r="O223" s="238" t="s">
        <v>264</v>
      </c>
      <c r="P223" s="251" t="s">
        <v>1448</v>
      </c>
      <c r="R223" s="191" t="str">
        <f t="shared" si="14"/>
        <v>Cước vận chuyển Container hàng 20' tuyến đường PAN HA - HẢI AN. BKS: 15H08574</v>
      </c>
      <c r="S223" s="191" t="str">
        <f t="shared" si="15"/>
        <v xml:space="preserve"> hàng 20' </v>
      </c>
      <c r="V223" s="191">
        <v>1</v>
      </c>
    </row>
    <row r="224" spans="1:22" s="191" customFormat="1" ht="15">
      <c r="A224" s="236">
        <v>213</v>
      </c>
      <c r="B224" s="244">
        <v>46111</v>
      </c>
      <c r="C224" s="245" t="s">
        <v>261</v>
      </c>
      <c r="D224" s="246" t="s">
        <v>484</v>
      </c>
      <c r="E224" s="247">
        <v>1</v>
      </c>
      <c r="F224" s="247"/>
      <c r="G224" s="248"/>
      <c r="H224" s="247"/>
      <c r="I224" s="249" t="s">
        <v>472</v>
      </c>
      <c r="J224" s="249" t="s">
        <v>21</v>
      </c>
      <c r="K224" s="249" t="s">
        <v>22</v>
      </c>
      <c r="L224" s="250">
        <f t="shared" si="13"/>
        <v>1</v>
      </c>
      <c r="M224" s="237">
        <f t="array" ref="M224">INDEX('BKTT T4.26'!$N$12:$N$55,MATCH(V224,'BKTT T4.26'!$A$12:$A$55,0),0)</f>
        <v>654871</v>
      </c>
      <c r="N224" s="162">
        <f t="shared" si="12"/>
        <v>654871</v>
      </c>
      <c r="O224" s="238" t="s">
        <v>264</v>
      </c>
      <c r="P224" s="251" t="s">
        <v>1448</v>
      </c>
      <c r="R224" s="191" t="str">
        <f t="shared" si="14"/>
        <v>Cước vận chuyển Container hàng 20' tuyến đường PAN HA - HẢI AN. BKS: 15H08574</v>
      </c>
      <c r="S224" s="191" t="str">
        <f t="shared" si="15"/>
        <v xml:space="preserve"> hàng 20' </v>
      </c>
      <c r="V224" s="191">
        <v>1</v>
      </c>
    </row>
    <row r="225" spans="1:22" s="191" customFormat="1" ht="15">
      <c r="A225" s="236">
        <v>214</v>
      </c>
      <c r="B225" s="244">
        <v>46111</v>
      </c>
      <c r="C225" s="245" t="s">
        <v>261</v>
      </c>
      <c r="D225" s="246" t="s">
        <v>485</v>
      </c>
      <c r="E225" s="247">
        <v>1</v>
      </c>
      <c r="F225" s="247"/>
      <c r="G225" s="248"/>
      <c r="H225" s="247"/>
      <c r="I225" s="249" t="s">
        <v>369</v>
      </c>
      <c r="J225" s="249" t="s">
        <v>21</v>
      </c>
      <c r="K225" s="249" t="s">
        <v>36</v>
      </c>
      <c r="L225" s="250">
        <f t="shared" si="13"/>
        <v>1</v>
      </c>
      <c r="M225" s="237">
        <f t="array" ref="M225">INDEX('BKTT T4.26'!$N$12:$N$55,MATCH(V225,'BKTT T4.26'!$A$12:$A$55,0),0)</f>
        <v>576331</v>
      </c>
      <c r="N225" s="162">
        <f t="shared" si="12"/>
        <v>576331</v>
      </c>
      <c r="O225" s="238" t="s">
        <v>264</v>
      </c>
      <c r="P225" s="251" t="s">
        <v>1448</v>
      </c>
      <c r="R225" s="191" t="str">
        <f t="shared" si="14"/>
        <v>Cước vận chuyển Container hàng 20' tuyến đường PAN HA - NHĐV. BKS: 15C15033</v>
      </c>
      <c r="S225" s="191" t="str">
        <f t="shared" si="15"/>
        <v xml:space="preserve"> hàng 20' </v>
      </c>
      <c r="V225" s="191">
        <v>11</v>
      </c>
    </row>
    <row r="226" spans="1:22" s="191" customFormat="1" ht="15">
      <c r="A226" s="236">
        <v>215</v>
      </c>
      <c r="B226" s="244">
        <v>46111</v>
      </c>
      <c r="C226" s="245" t="s">
        <v>261</v>
      </c>
      <c r="D226" s="246" t="s">
        <v>486</v>
      </c>
      <c r="E226" s="247">
        <v>1</v>
      </c>
      <c r="F226" s="247"/>
      <c r="G226" s="248"/>
      <c r="H226" s="247"/>
      <c r="I226" s="249" t="s">
        <v>369</v>
      </c>
      <c r="J226" s="249" t="s">
        <v>21</v>
      </c>
      <c r="K226" s="249" t="s">
        <v>36</v>
      </c>
      <c r="L226" s="250">
        <f t="shared" si="13"/>
        <v>1</v>
      </c>
      <c r="M226" s="237">
        <f t="array" ref="M226">INDEX('BKTT T4.26'!$N$12:$N$55,MATCH(V226,'BKTT T4.26'!$A$12:$A$55,0),0)</f>
        <v>576331</v>
      </c>
      <c r="N226" s="162">
        <f t="shared" si="12"/>
        <v>576331</v>
      </c>
      <c r="O226" s="238" t="s">
        <v>264</v>
      </c>
      <c r="P226" s="251" t="s">
        <v>1448</v>
      </c>
      <c r="R226" s="191" t="str">
        <f t="shared" si="14"/>
        <v>Cước vận chuyển Container hàng 20' tuyến đường PAN HA - NHĐV. BKS: 15C15033</v>
      </c>
      <c r="S226" s="191" t="str">
        <f t="shared" si="15"/>
        <v xml:space="preserve"> hàng 20' </v>
      </c>
      <c r="V226" s="191">
        <v>11</v>
      </c>
    </row>
    <row r="227" spans="1:22" s="191" customFormat="1" ht="15">
      <c r="A227" s="236">
        <v>216</v>
      </c>
      <c r="B227" s="244">
        <v>46111</v>
      </c>
      <c r="C227" s="245" t="s">
        <v>261</v>
      </c>
      <c r="D227" s="246" t="s">
        <v>487</v>
      </c>
      <c r="E227" s="247"/>
      <c r="F227" s="247">
        <v>1</v>
      </c>
      <c r="G227" s="248"/>
      <c r="H227" s="247"/>
      <c r="I227" s="249" t="s">
        <v>274</v>
      </c>
      <c r="J227" s="249" t="s">
        <v>21</v>
      </c>
      <c r="K227" s="249" t="s">
        <v>37</v>
      </c>
      <c r="L227" s="250">
        <f t="shared" si="13"/>
        <v>1</v>
      </c>
      <c r="M227" s="237">
        <f t="array" ref="M227">INDEX('BKTT T4.26'!$N$12:$N$55,MATCH(V227,'BKTT T4.26'!$A$12:$A$55,0),0)</f>
        <v>602510</v>
      </c>
      <c r="N227" s="162">
        <f t="shared" ref="N227:N260" si="16">L227*M227</f>
        <v>602510</v>
      </c>
      <c r="O227" s="238" t="s">
        <v>264</v>
      </c>
      <c r="P227" s="251" t="s">
        <v>1448</v>
      </c>
      <c r="R227" s="191" t="str">
        <f t="shared" si="14"/>
        <v>Cước vận chuyển Container hàng 40' tuyến đường PAN HA - NHĐV,. BKS: 15H12925</v>
      </c>
      <c r="S227" s="191" t="str">
        <f t="shared" si="15"/>
        <v xml:space="preserve"> hàng 40' </v>
      </c>
      <c r="V227" s="191">
        <v>12</v>
      </c>
    </row>
    <row r="228" spans="1:22" s="191" customFormat="1" ht="15">
      <c r="A228" s="236">
        <v>217</v>
      </c>
      <c r="B228" s="244">
        <v>46111</v>
      </c>
      <c r="C228" s="245" t="s">
        <v>261</v>
      </c>
      <c r="D228" s="246" t="s">
        <v>488</v>
      </c>
      <c r="E228" s="247"/>
      <c r="F228" s="247">
        <v>1</v>
      </c>
      <c r="G228" s="248"/>
      <c r="H228" s="247"/>
      <c r="I228" s="249" t="s">
        <v>274</v>
      </c>
      <c r="J228" s="249" t="s">
        <v>21</v>
      </c>
      <c r="K228" s="249" t="s">
        <v>25</v>
      </c>
      <c r="L228" s="250">
        <f t="shared" si="13"/>
        <v>1</v>
      </c>
      <c r="M228" s="237">
        <f t="array" ref="M228">INDEX('BKTT T4.26'!$N$12:$N$55,MATCH(V228,'BKTT T4.26'!$A$12:$A$55,0),0)</f>
        <v>681050</v>
      </c>
      <c r="N228" s="162">
        <f t="shared" si="16"/>
        <v>681050</v>
      </c>
      <c r="O228" s="238" t="s">
        <v>264</v>
      </c>
      <c r="P228" s="251" t="s">
        <v>1448</v>
      </c>
      <c r="R228" s="191" t="str">
        <f t="shared" si="14"/>
        <v>Cước vận chuyển Container hàng 40' tuyến đường PAN HA - HẢI AN,. BKS: 15H12925</v>
      </c>
      <c r="S228" s="191" t="str">
        <f t="shared" si="15"/>
        <v xml:space="preserve"> hàng 40' </v>
      </c>
      <c r="V228" s="191">
        <v>2</v>
      </c>
    </row>
    <row r="229" spans="1:22" s="191" customFormat="1" ht="15">
      <c r="A229" s="236">
        <v>218</v>
      </c>
      <c r="B229" s="244">
        <v>46111</v>
      </c>
      <c r="C229" s="245" t="s">
        <v>261</v>
      </c>
      <c r="D229" s="246" t="s">
        <v>489</v>
      </c>
      <c r="E229" s="247"/>
      <c r="F229" s="247"/>
      <c r="G229" s="248"/>
      <c r="H229" s="247">
        <v>1</v>
      </c>
      <c r="I229" s="249" t="s">
        <v>335</v>
      </c>
      <c r="J229" s="249" t="s">
        <v>21</v>
      </c>
      <c r="K229" s="249" t="s">
        <v>27</v>
      </c>
      <c r="L229" s="250">
        <f t="shared" si="13"/>
        <v>1</v>
      </c>
      <c r="M229" s="237">
        <f t="array" ref="M229">INDEX('BKTT T4.26'!$N$12:$N$55,MATCH(V229,'BKTT T4.26'!$A$12:$A$55,0),0)</f>
        <v>628690</v>
      </c>
      <c r="N229" s="162">
        <f t="shared" si="16"/>
        <v>628690</v>
      </c>
      <c r="O229" s="238" t="s">
        <v>264</v>
      </c>
      <c r="P229" s="251" t="s">
        <v>1448</v>
      </c>
      <c r="R229" s="191" t="str">
        <f t="shared" si="14"/>
        <v>Cước vận chuyển Container vỏ tuyến đường PAN HA - HẢI AN.. BKS: 15H18552</v>
      </c>
      <c r="S229" s="191" t="str">
        <f t="shared" si="15"/>
        <v xml:space="preserve"> vỏ </v>
      </c>
      <c r="V229" s="191">
        <v>3</v>
      </c>
    </row>
    <row r="230" spans="1:22" s="191" customFormat="1" ht="15">
      <c r="A230" s="236">
        <v>219</v>
      </c>
      <c r="B230" s="244">
        <v>46111</v>
      </c>
      <c r="C230" s="245" t="s">
        <v>261</v>
      </c>
      <c r="D230" s="246" t="s">
        <v>490</v>
      </c>
      <c r="E230" s="247"/>
      <c r="F230" s="247"/>
      <c r="G230" s="248"/>
      <c r="H230" s="247">
        <v>1</v>
      </c>
      <c r="I230" s="249" t="s">
        <v>335</v>
      </c>
      <c r="J230" s="249" t="s">
        <v>21</v>
      </c>
      <c r="K230" s="249" t="s">
        <v>27</v>
      </c>
      <c r="L230" s="250">
        <f t="shared" si="13"/>
        <v>1</v>
      </c>
      <c r="M230" s="237">
        <f t="array" ref="M230">INDEX('BKTT T4.26'!$N$12:$N$55,MATCH(V230,'BKTT T4.26'!$A$12:$A$55,0),0)</f>
        <v>628690</v>
      </c>
      <c r="N230" s="162">
        <f t="shared" si="16"/>
        <v>628690</v>
      </c>
      <c r="O230" s="238" t="s">
        <v>264</v>
      </c>
      <c r="P230" s="251" t="s">
        <v>1448</v>
      </c>
      <c r="R230" s="191" t="str">
        <f t="shared" si="14"/>
        <v>Cước vận chuyển Container vỏ tuyến đường PAN HA - HẢI AN.. BKS: 15H18552</v>
      </c>
      <c r="S230" s="191" t="str">
        <f t="shared" si="15"/>
        <v xml:space="preserve"> vỏ </v>
      </c>
      <c r="V230" s="191">
        <v>3</v>
      </c>
    </row>
    <row r="231" spans="1:22" s="191" customFormat="1" ht="15">
      <c r="A231" s="236">
        <v>220</v>
      </c>
      <c r="B231" s="244">
        <v>46111</v>
      </c>
      <c r="C231" s="245" t="s">
        <v>261</v>
      </c>
      <c r="D231" s="246" t="s">
        <v>491</v>
      </c>
      <c r="E231" s="247"/>
      <c r="F231" s="247">
        <v>1</v>
      </c>
      <c r="G231" s="248"/>
      <c r="H231" s="247"/>
      <c r="I231" s="249" t="s">
        <v>335</v>
      </c>
      <c r="J231" s="249" t="s">
        <v>21</v>
      </c>
      <c r="K231" s="249" t="s">
        <v>25</v>
      </c>
      <c r="L231" s="250">
        <f t="shared" si="13"/>
        <v>1</v>
      </c>
      <c r="M231" s="237">
        <f t="array" ref="M231">INDEX('BKTT T4.26'!$N$12:$N$55,MATCH(V231,'BKTT T4.26'!$A$12:$A$55,0),0)</f>
        <v>681050</v>
      </c>
      <c r="N231" s="162">
        <f t="shared" si="16"/>
        <v>681050</v>
      </c>
      <c r="O231" s="238" t="s">
        <v>264</v>
      </c>
      <c r="P231" s="251" t="s">
        <v>98</v>
      </c>
      <c r="R231" s="191" t="str">
        <f t="shared" si="14"/>
        <v>Cước vận chuyển Container hàng 40' tuyến đường PAN HA - HẢI AN,. BKS: 15H18552</v>
      </c>
      <c r="S231" s="191" t="str">
        <f t="shared" si="15"/>
        <v xml:space="preserve"> hàng 40' </v>
      </c>
      <c r="V231" s="191">
        <v>2</v>
      </c>
    </row>
    <row r="232" spans="1:22" s="191" customFormat="1" ht="15">
      <c r="A232" s="236">
        <v>221</v>
      </c>
      <c r="B232" s="244">
        <v>46111</v>
      </c>
      <c r="C232" s="245" t="s">
        <v>261</v>
      </c>
      <c r="D232" s="246" t="s">
        <v>492</v>
      </c>
      <c r="E232" s="247"/>
      <c r="F232" s="247">
        <v>1</v>
      </c>
      <c r="G232" s="248"/>
      <c r="H232" s="247"/>
      <c r="I232" s="249" t="s">
        <v>335</v>
      </c>
      <c r="J232" s="249" t="s">
        <v>21</v>
      </c>
      <c r="K232" s="249" t="s">
        <v>37</v>
      </c>
      <c r="L232" s="250">
        <f t="shared" si="13"/>
        <v>1</v>
      </c>
      <c r="M232" s="237">
        <f t="array" ref="M232">INDEX('BKTT T4.26'!$N$12:$N$55,MATCH(V232,'BKTT T4.26'!$A$12:$A$55,0),0)</f>
        <v>602510</v>
      </c>
      <c r="N232" s="162">
        <f t="shared" si="16"/>
        <v>602510</v>
      </c>
      <c r="O232" s="238" t="s">
        <v>264</v>
      </c>
      <c r="P232" s="251" t="s">
        <v>1448</v>
      </c>
      <c r="R232" s="191" t="str">
        <f t="shared" si="14"/>
        <v>Cước vận chuyển Container hàng 40' tuyến đường PAN HA - NHĐV,. BKS: 15H18552</v>
      </c>
      <c r="S232" s="191" t="str">
        <f t="shared" si="15"/>
        <v xml:space="preserve"> hàng 40' </v>
      </c>
      <c r="V232" s="191">
        <v>12</v>
      </c>
    </row>
    <row r="233" spans="1:22" s="191" customFormat="1" ht="15">
      <c r="A233" s="236">
        <v>222</v>
      </c>
      <c r="B233" s="244">
        <v>46112</v>
      </c>
      <c r="C233" s="245" t="s">
        <v>261</v>
      </c>
      <c r="D233" s="246" t="s">
        <v>493</v>
      </c>
      <c r="E233" s="247">
        <v>1</v>
      </c>
      <c r="F233" s="247"/>
      <c r="G233" s="248"/>
      <c r="H233" s="247"/>
      <c r="I233" s="249" t="s">
        <v>282</v>
      </c>
      <c r="J233" s="249" t="s">
        <v>21</v>
      </c>
      <c r="K233" s="249" t="s">
        <v>31</v>
      </c>
      <c r="L233" s="250">
        <f t="shared" si="13"/>
        <v>1</v>
      </c>
      <c r="M233" s="237">
        <f t="array" ref="M233">INDEX('BKTT T4.26'!$N$12:$N$55,MATCH(V233,'BKTT T4.26'!$A$12:$A$55,0),0)</f>
        <v>454158</v>
      </c>
      <c r="N233" s="162">
        <f t="shared" si="16"/>
        <v>454158</v>
      </c>
      <c r="O233" s="238" t="s">
        <v>264</v>
      </c>
      <c r="P233" s="251" t="s">
        <v>1448</v>
      </c>
      <c r="R233" s="191" t="str">
        <f t="shared" si="14"/>
        <v>Cước vận chuyển Container hàng 20' tuyến đường PAN HA - NDV. BKS: 15C17301</v>
      </c>
      <c r="S233" s="191" t="str">
        <f t="shared" si="15"/>
        <v xml:space="preserve"> hàng 20' </v>
      </c>
      <c r="V233" s="191">
        <v>7</v>
      </c>
    </row>
    <row r="234" spans="1:22" s="191" customFormat="1" ht="15">
      <c r="A234" s="236">
        <v>223</v>
      </c>
      <c r="B234" s="244">
        <v>46112</v>
      </c>
      <c r="C234" s="245" t="s">
        <v>261</v>
      </c>
      <c r="D234" s="246" t="s">
        <v>494</v>
      </c>
      <c r="E234" s="247">
        <v>1</v>
      </c>
      <c r="F234" s="247"/>
      <c r="G234" s="248"/>
      <c r="H234" s="247"/>
      <c r="I234" s="249" t="s">
        <v>282</v>
      </c>
      <c r="J234" s="249" t="s">
        <v>21</v>
      </c>
      <c r="K234" s="249" t="s">
        <v>31</v>
      </c>
      <c r="L234" s="250">
        <f t="shared" si="13"/>
        <v>1</v>
      </c>
      <c r="M234" s="237">
        <f t="array" ref="M234">INDEX('BKTT T4.26'!$N$12:$N$55,MATCH(V234,'BKTT T4.26'!$A$12:$A$55,0),0)</f>
        <v>454158</v>
      </c>
      <c r="N234" s="162">
        <f t="shared" si="16"/>
        <v>454158</v>
      </c>
      <c r="O234" s="238" t="s">
        <v>264</v>
      </c>
      <c r="P234" s="251" t="s">
        <v>1448</v>
      </c>
      <c r="R234" s="191" t="str">
        <f t="shared" si="14"/>
        <v>Cước vận chuyển Container hàng 20' tuyến đường PAN HA - NDV. BKS: 15C17301</v>
      </c>
      <c r="S234" s="191" t="str">
        <f t="shared" si="15"/>
        <v xml:space="preserve"> hàng 20' </v>
      </c>
      <c r="V234" s="191">
        <v>7</v>
      </c>
    </row>
    <row r="235" spans="1:22" s="191" customFormat="1" ht="15">
      <c r="A235" s="236">
        <v>224</v>
      </c>
      <c r="B235" s="244">
        <v>46112</v>
      </c>
      <c r="C235" s="245" t="s">
        <v>261</v>
      </c>
      <c r="D235" s="246" t="s">
        <v>495</v>
      </c>
      <c r="E235" s="247"/>
      <c r="F235" s="247"/>
      <c r="G235" s="248">
        <v>0.5</v>
      </c>
      <c r="H235" s="247"/>
      <c r="I235" s="249" t="s">
        <v>274</v>
      </c>
      <c r="J235" s="249" t="s">
        <v>21</v>
      </c>
      <c r="K235" s="249" t="s">
        <v>27</v>
      </c>
      <c r="L235" s="250">
        <f t="shared" si="13"/>
        <v>0.5</v>
      </c>
      <c r="M235" s="237">
        <f t="array" ref="M235">INDEX('BKTT T4.26'!$N$12:$N$55,MATCH(V235,'BKTT T4.26'!$A$12:$A$55,0),0)</f>
        <v>628690</v>
      </c>
      <c r="N235" s="162">
        <f t="shared" si="16"/>
        <v>314345</v>
      </c>
      <c r="O235" s="238" t="s">
        <v>264</v>
      </c>
      <c r="P235" s="251" t="s">
        <v>1448</v>
      </c>
      <c r="R235" s="191" t="str">
        <f t="shared" si="14"/>
        <v>Cước vận chuyển Container vỏ tuyến đường PAN HA - HẢI AN.. BKS: 15H12925</v>
      </c>
      <c r="S235" s="191" t="str">
        <f t="shared" si="15"/>
        <v xml:space="preserve"> vỏ </v>
      </c>
      <c r="V235" s="191">
        <v>3</v>
      </c>
    </row>
    <row r="236" spans="1:22" s="191" customFormat="1" ht="15">
      <c r="A236" s="236">
        <v>225</v>
      </c>
      <c r="B236" s="244">
        <v>46112</v>
      </c>
      <c r="C236" s="245" t="s">
        <v>261</v>
      </c>
      <c r="D236" s="246" t="s">
        <v>496</v>
      </c>
      <c r="E236" s="247"/>
      <c r="F236" s="247"/>
      <c r="G236" s="248">
        <v>0.5</v>
      </c>
      <c r="H236" s="247"/>
      <c r="I236" s="249" t="s">
        <v>274</v>
      </c>
      <c r="J236" s="249" t="s">
        <v>21</v>
      </c>
      <c r="K236" s="249" t="s">
        <v>27</v>
      </c>
      <c r="L236" s="250">
        <f t="shared" si="13"/>
        <v>0.5</v>
      </c>
      <c r="M236" s="237">
        <f t="array" ref="M236">INDEX('BKTT T4.26'!$N$12:$N$55,MATCH(V236,'BKTT T4.26'!$A$12:$A$55,0),0)</f>
        <v>628690</v>
      </c>
      <c r="N236" s="162">
        <f t="shared" si="16"/>
        <v>314345</v>
      </c>
      <c r="O236" s="238" t="s">
        <v>264</v>
      </c>
      <c r="P236" s="251" t="s">
        <v>1448</v>
      </c>
      <c r="R236" s="191" t="str">
        <f t="shared" si="14"/>
        <v>Cước vận chuyển Container vỏ tuyến đường PAN HA - HẢI AN.. BKS: 15H12925</v>
      </c>
      <c r="S236" s="191" t="str">
        <f t="shared" si="15"/>
        <v xml:space="preserve"> vỏ </v>
      </c>
      <c r="V236" s="191">
        <v>3</v>
      </c>
    </row>
    <row r="237" spans="1:22" s="191" customFormat="1" ht="15">
      <c r="A237" s="236">
        <v>226</v>
      </c>
      <c r="B237" s="244">
        <v>46112</v>
      </c>
      <c r="C237" s="245" t="s">
        <v>261</v>
      </c>
      <c r="D237" s="246" t="s">
        <v>497</v>
      </c>
      <c r="E237" s="247"/>
      <c r="F237" s="247"/>
      <c r="G237" s="248">
        <v>0.5</v>
      </c>
      <c r="H237" s="247"/>
      <c r="I237" s="249" t="s">
        <v>274</v>
      </c>
      <c r="J237" s="249" t="s">
        <v>21</v>
      </c>
      <c r="K237" s="249" t="s">
        <v>27</v>
      </c>
      <c r="L237" s="250">
        <f t="shared" si="13"/>
        <v>0.5</v>
      </c>
      <c r="M237" s="237">
        <f t="array" ref="M237">INDEX('BKTT T4.26'!$N$12:$N$55,MATCH(V237,'BKTT T4.26'!$A$12:$A$55,0),0)</f>
        <v>628690</v>
      </c>
      <c r="N237" s="162">
        <f t="shared" si="16"/>
        <v>314345</v>
      </c>
      <c r="O237" s="238" t="s">
        <v>264</v>
      </c>
      <c r="P237" s="251" t="s">
        <v>1448</v>
      </c>
      <c r="R237" s="191" t="str">
        <f t="shared" si="14"/>
        <v>Cước vận chuyển Container vỏ tuyến đường PAN HA - HẢI AN.. BKS: 15H12925</v>
      </c>
      <c r="S237" s="191" t="str">
        <f t="shared" si="15"/>
        <v xml:space="preserve"> vỏ </v>
      </c>
      <c r="V237" s="191">
        <v>3</v>
      </c>
    </row>
    <row r="238" spans="1:22" s="283" customFormat="1" ht="15">
      <c r="A238" s="236">
        <v>227</v>
      </c>
      <c r="B238" s="272">
        <v>46112</v>
      </c>
      <c r="C238" s="273" t="s">
        <v>261</v>
      </c>
      <c r="D238" s="285" t="s">
        <v>1458</v>
      </c>
      <c r="E238" s="275"/>
      <c r="F238" s="275"/>
      <c r="G238" s="276">
        <v>0.5</v>
      </c>
      <c r="H238" s="275"/>
      <c r="I238" s="249" t="s">
        <v>274</v>
      </c>
      <c r="J238" s="249" t="s">
        <v>21</v>
      </c>
      <c r="K238" s="249" t="s">
        <v>27</v>
      </c>
      <c r="L238" s="278">
        <f t="shared" si="13"/>
        <v>0.5</v>
      </c>
      <c r="M238" s="279">
        <f t="array" ref="M238">INDEX('BKTT T4.26'!$N$12:$N$55,MATCH(V238,'BKTT T4.26'!$A$12:$A$55,0),0)</f>
        <v>628690</v>
      </c>
      <c r="N238" s="280">
        <f t="shared" si="16"/>
        <v>314345</v>
      </c>
      <c r="O238" s="281" t="s">
        <v>264</v>
      </c>
      <c r="P238" s="282" t="s">
        <v>1447</v>
      </c>
      <c r="R238" s="283" t="str">
        <f t="shared" si="14"/>
        <v>Cước vận chuyển Container vỏ tuyến đường PAN HA - HẢI AN.. BKS: 15H12925</v>
      </c>
      <c r="S238" s="283" t="str">
        <f t="shared" si="15"/>
        <v xml:space="preserve"> vỏ </v>
      </c>
      <c r="V238" s="191">
        <v>3</v>
      </c>
    </row>
    <row r="239" spans="1:22" s="191" customFormat="1" ht="15">
      <c r="A239" s="236">
        <v>228</v>
      </c>
      <c r="B239" s="244">
        <v>46112</v>
      </c>
      <c r="C239" s="245" t="s">
        <v>261</v>
      </c>
      <c r="D239" s="246" t="s">
        <v>498</v>
      </c>
      <c r="E239" s="247"/>
      <c r="F239" s="247"/>
      <c r="G239" s="248">
        <v>0.5</v>
      </c>
      <c r="H239" s="247"/>
      <c r="I239" s="249" t="s">
        <v>274</v>
      </c>
      <c r="J239" s="249" t="s">
        <v>21</v>
      </c>
      <c r="K239" s="249" t="s">
        <v>27</v>
      </c>
      <c r="L239" s="250">
        <f t="shared" si="13"/>
        <v>0.5</v>
      </c>
      <c r="M239" s="237">
        <f t="array" ref="M239">INDEX('BKTT T4.26'!$N$12:$N$55,MATCH(V239,'BKTT T4.26'!$A$12:$A$55,0),0)</f>
        <v>628690</v>
      </c>
      <c r="N239" s="162">
        <f t="shared" si="16"/>
        <v>314345</v>
      </c>
      <c r="O239" s="238" t="s">
        <v>264</v>
      </c>
      <c r="P239" s="251" t="s">
        <v>1448</v>
      </c>
      <c r="R239" s="191" t="str">
        <f t="shared" si="14"/>
        <v>Cước vận chuyển Container vỏ tuyến đường PAN HA - HẢI AN.. BKS: 15H12925</v>
      </c>
      <c r="S239" s="191" t="str">
        <f t="shared" si="15"/>
        <v xml:space="preserve"> vỏ </v>
      </c>
      <c r="V239" s="191">
        <v>3</v>
      </c>
    </row>
    <row r="240" spans="1:22" s="191" customFormat="1" ht="15">
      <c r="A240" s="236">
        <v>229</v>
      </c>
      <c r="B240" s="244">
        <v>46112</v>
      </c>
      <c r="C240" s="245" t="s">
        <v>261</v>
      </c>
      <c r="D240" s="246" t="s">
        <v>499</v>
      </c>
      <c r="E240" s="247"/>
      <c r="F240" s="247"/>
      <c r="G240" s="248">
        <v>0.5</v>
      </c>
      <c r="H240" s="247"/>
      <c r="I240" s="249" t="s">
        <v>274</v>
      </c>
      <c r="J240" s="249" t="s">
        <v>21</v>
      </c>
      <c r="K240" s="249" t="s">
        <v>27</v>
      </c>
      <c r="L240" s="250">
        <f t="shared" si="13"/>
        <v>0.5</v>
      </c>
      <c r="M240" s="237">
        <f t="array" ref="M240">INDEX('BKTT T4.26'!$N$12:$N$55,MATCH(V240,'BKTT T4.26'!$A$12:$A$55,0),0)</f>
        <v>628690</v>
      </c>
      <c r="N240" s="162">
        <f t="shared" si="16"/>
        <v>314345</v>
      </c>
      <c r="O240" s="238" t="s">
        <v>264</v>
      </c>
      <c r="P240" s="251" t="s">
        <v>1448</v>
      </c>
      <c r="R240" s="191" t="str">
        <f t="shared" si="14"/>
        <v>Cước vận chuyển Container vỏ tuyến đường PAN HA - HẢI AN.. BKS: 15H12925</v>
      </c>
      <c r="S240" s="191" t="str">
        <f t="shared" si="15"/>
        <v xml:space="preserve"> vỏ </v>
      </c>
      <c r="V240" s="191">
        <v>3</v>
      </c>
    </row>
    <row r="241" spans="1:22" s="191" customFormat="1" ht="15">
      <c r="A241" s="236">
        <v>230</v>
      </c>
      <c r="B241" s="244">
        <v>46111</v>
      </c>
      <c r="C241" s="245" t="s">
        <v>261</v>
      </c>
      <c r="D241" s="246" t="s">
        <v>500</v>
      </c>
      <c r="E241" s="247"/>
      <c r="F241" s="247">
        <v>1</v>
      </c>
      <c r="G241" s="252"/>
      <c r="H241" s="247"/>
      <c r="I241" s="249" t="s">
        <v>399</v>
      </c>
      <c r="J241" s="249" t="s">
        <v>21</v>
      </c>
      <c r="K241" s="249" t="s">
        <v>37</v>
      </c>
      <c r="L241" s="250">
        <f t="shared" si="13"/>
        <v>1</v>
      </c>
      <c r="M241" s="237">
        <f t="array" ref="M241">INDEX('BKTT T4.26'!$N$12:$N$55,MATCH(V241,'BKTT T4.26'!$A$12:$A$55,0),0)</f>
        <v>602510</v>
      </c>
      <c r="N241" s="162">
        <f t="shared" si="16"/>
        <v>602510</v>
      </c>
      <c r="O241" s="238" t="s">
        <v>264</v>
      </c>
      <c r="P241" s="251" t="s">
        <v>1448</v>
      </c>
      <c r="R241" s="191" t="str">
        <f t="shared" si="14"/>
        <v>Cước vận chuyển Container hàng 40' tuyến đường PAN HA - NHĐV,. BKS: 15H15378</v>
      </c>
      <c r="S241" s="191" t="str">
        <f t="shared" si="15"/>
        <v xml:space="preserve"> hàng 40' </v>
      </c>
      <c r="V241" s="191">
        <v>12</v>
      </c>
    </row>
    <row r="242" spans="1:22" s="191" customFormat="1" ht="15">
      <c r="A242" s="236">
        <v>231</v>
      </c>
      <c r="B242" s="244">
        <v>46111</v>
      </c>
      <c r="C242" s="245" t="s">
        <v>261</v>
      </c>
      <c r="D242" s="246" t="s">
        <v>501</v>
      </c>
      <c r="E242" s="247"/>
      <c r="F242" s="247">
        <v>1</v>
      </c>
      <c r="G242" s="248"/>
      <c r="H242" s="247"/>
      <c r="I242" s="249" t="s">
        <v>363</v>
      </c>
      <c r="J242" s="249" t="s">
        <v>21</v>
      </c>
      <c r="K242" s="249" t="s">
        <v>37</v>
      </c>
      <c r="L242" s="250">
        <f t="shared" si="13"/>
        <v>1</v>
      </c>
      <c r="M242" s="237">
        <f t="array" ref="M242">INDEX('BKTT T4.26'!$N$12:$N$55,MATCH(V242,'BKTT T4.26'!$A$12:$A$55,0),0)</f>
        <v>602510</v>
      </c>
      <c r="N242" s="162">
        <f t="shared" si="16"/>
        <v>602510</v>
      </c>
      <c r="O242" s="238" t="s">
        <v>264</v>
      </c>
      <c r="P242" s="251" t="s">
        <v>1448</v>
      </c>
      <c r="R242" s="191" t="str">
        <f t="shared" si="14"/>
        <v>Cước vận chuyển Container hàng 40' tuyến đường PAN HA - NHĐV,. BKS: 15H20645</v>
      </c>
      <c r="S242" s="191" t="str">
        <f t="shared" si="15"/>
        <v xml:space="preserve"> hàng 40' </v>
      </c>
      <c r="V242" s="191">
        <v>12</v>
      </c>
    </row>
    <row r="243" spans="1:22" s="191" customFormat="1" ht="15">
      <c r="A243" s="236">
        <v>232</v>
      </c>
      <c r="B243" s="244">
        <v>46113</v>
      </c>
      <c r="C243" s="245" t="s">
        <v>261</v>
      </c>
      <c r="D243" s="246" t="s">
        <v>502</v>
      </c>
      <c r="E243" s="247"/>
      <c r="F243" s="247">
        <v>1</v>
      </c>
      <c r="G243" s="248"/>
      <c r="H243" s="247"/>
      <c r="I243" s="249" t="s">
        <v>269</v>
      </c>
      <c r="J243" s="249" t="s">
        <v>21</v>
      </c>
      <c r="K243" s="249" t="s">
        <v>25</v>
      </c>
      <c r="L243" s="250">
        <f t="shared" si="13"/>
        <v>1</v>
      </c>
      <c r="M243" s="237">
        <f t="array" ref="M243">INDEX('BKTT T4.26'!$N$12:$N$55,MATCH(V243,'BKTT T4.26'!$A$12:$A$55,0),0)</f>
        <v>681050</v>
      </c>
      <c r="N243" s="162">
        <f t="shared" si="16"/>
        <v>681050</v>
      </c>
      <c r="O243" s="238" t="s">
        <v>264</v>
      </c>
      <c r="P243" s="251" t="s">
        <v>1448</v>
      </c>
      <c r="R243" s="191" t="str">
        <f t="shared" si="14"/>
        <v>Cước vận chuyển Container hàng 40' tuyến đường PAN HA - HẢI AN,. BKS: 15H07644</v>
      </c>
      <c r="S243" s="191" t="str">
        <f t="shared" si="15"/>
        <v xml:space="preserve"> hàng 40' </v>
      </c>
      <c r="V243" s="191">
        <v>2</v>
      </c>
    </row>
    <row r="244" spans="1:22" s="191" customFormat="1" ht="15">
      <c r="A244" s="236">
        <v>233</v>
      </c>
      <c r="B244" s="244">
        <v>46113</v>
      </c>
      <c r="C244" s="245" t="s">
        <v>261</v>
      </c>
      <c r="D244" s="246" t="s">
        <v>503</v>
      </c>
      <c r="E244" s="247"/>
      <c r="F244" s="247">
        <v>1</v>
      </c>
      <c r="G244" s="248"/>
      <c r="H244" s="247"/>
      <c r="I244" s="249" t="s">
        <v>269</v>
      </c>
      <c r="J244" s="249" t="s">
        <v>21</v>
      </c>
      <c r="K244" s="249" t="s">
        <v>25</v>
      </c>
      <c r="L244" s="250">
        <f t="shared" si="13"/>
        <v>1</v>
      </c>
      <c r="M244" s="237">
        <f t="array" ref="M244">INDEX('BKTT T4.26'!$N$12:$N$55,MATCH(V244,'BKTT T4.26'!$A$12:$A$55,0),0)</f>
        <v>681050</v>
      </c>
      <c r="N244" s="162">
        <f t="shared" si="16"/>
        <v>681050</v>
      </c>
      <c r="O244" s="238" t="s">
        <v>264</v>
      </c>
      <c r="P244" s="251" t="s">
        <v>1448</v>
      </c>
      <c r="R244" s="191" t="str">
        <f t="shared" si="14"/>
        <v>Cước vận chuyển Container hàng 40' tuyến đường PAN HA - HẢI AN,. BKS: 15H07644</v>
      </c>
      <c r="S244" s="191" t="str">
        <f t="shared" si="15"/>
        <v xml:space="preserve"> hàng 40' </v>
      </c>
      <c r="V244" s="191">
        <v>2</v>
      </c>
    </row>
    <row r="245" spans="1:22" s="191" customFormat="1" ht="15">
      <c r="A245" s="236">
        <v>234</v>
      </c>
      <c r="B245" s="244">
        <v>46113</v>
      </c>
      <c r="C245" s="245" t="s">
        <v>261</v>
      </c>
      <c r="D245" s="246" t="s">
        <v>504</v>
      </c>
      <c r="E245" s="247"/>
      <c r="F245" s="247">
        <v>1</v>
      </c>
      <c r="G245" s="248"/>
      <c r="H245" s="247"/>
      <c r="I245" s="249" t="s">
        <v>269</v>
      </c>
      <c r="J245" s="249" t="s">
        <v>21</v>
      </c>
      <c r="K245" s="249" t="s">
        <v>25</v>
      </c>
      <c r="L245" s="250">
        <f t="shared" si="13"/>
        <v>1</v>
      </c>
      <c r="M245" s="237">
        <f t="array" ref="M245">INDEX('BKTT T4.26'!$N$12:$N$55,MATCH(V245,'BKTT T4.26'!$A$12:$A$55,0),0)</f>
        <v>681050</v>
      </c>
      <c r="N245" s="162">
        <f t="shared" si="16"/>
        <v>681050</v>
      </c>
      <c r="O245" s="238" t="s">
        <v>264</v>
      </c>
      <c r="P245" s="251" t="s">
        <v>1448</v>
      </c>
      <c r="R245" s="191" t="str">
        <f t="shared" si="14"/>
        <v>Cước vận chuyển Container hàng 40' tuyến đường PAN HA - HẢI AN,. BKS: 15H07644</v>
      </c>
      <c r="S245" s="191" t="str">
        <f t="shared" si="15"/>
        <v xml:space="preserve"> hàng 40' </v>
      </c>
      <c r="V245" s="191">
        <v>2</v>
      </c>
    </row>
    <row r="246" spans="1:22" s="191" customFormat="1" ht="15">
      <c r="A246" s="236">
        <v>235</v>
      </c>
      <c r="B246" s="244">
        <v>46113</v>
      </c>
      <c r="C246" s="245" t="s">
        <v>261</v>
      </c>
      <c r="D246" s="246" t="s">
        <v>505</v>
      </c>
      <c r="E246" s="247">
        <v>1</v>
      </c>
      <c r="F246" s="247"/>
      <c r="G246" s="248"/>
      <c r="H246" s="247"/>
      <c r="I246" s="249" t="s">
        <v>369</v>
      </c>
      <c r="J246" s="249" t="s">
        <v>21</v>
      </c>
      <c r="K246" s="249" t="s">
        <v>22</v>
      </c>
      <c r="L246" s="250">
        <f t="shared" si="13"/>
        <v>1</v>
      </c>
      <c r="M246" s="237">
        <f t="array" ref="M246">INDEX('BKTT T4.26'!$N$12:$N$55,MATCH(V246,'BKTT T4.26'!$A$12:$A$55,0),0)</f>
        <v>654871</v>
      </c>
      <c r="N246" s="162">
        <f t="shared" si="16"/>
        <v>654871</v>
      </c>
      <c r="O246" s="238" t="s">
        <v>264</v>
      </c>
      <c r="P246" s="251" t="s">
        <v>1448</v>
      </c>
      <c r="R246" s="191" t="str">
        <f t="shared" si="14"/>
        <v>Cước vận chuyển Container hàng 20' tuyến đường PAN HA - HẢI AN. BKS: 15C15033</v>
      </c>
      <c r="S246" s="191" t="str">
        <f t="shared" si="15"/>
        <v xml:space="preserve"> hàng 20' </v>
      </c>
      <c r="V246" s="191">
        <v>1</v>
      </c>
    </row>
    <row r="247" spans="1:22" s="191" customFormat="1" ht="15">
      <c r="A247" s="236">
        <v>236</v>
      </c>
      <c r="B247" s="244">
        <v>46113</v>
      </c>
      <c r="C247" s="245" t="s">
        <v>261</v>
      </c>
      <c r="D247" s="246" t="s">
        <v>506</v>
      </c>
      <c r="E247" s="247">
        <v>1</v>
      </c>
      <c r="F247" s="247"/>
      <c r="G247" s="248"/>
      <c r="H247" s="247"/>
      <c r="I247" s="249" t="s">
        <v>369</v>
      </c>
      <c r="J247" s="249" t="s">
        <v>21</v>
      </c>
      <c r="K247" s="249" t="s">
        <v>22</v>
      </c>
      <c r="L247" s="250">
        <f t="shared" si="13"/>
        <v>1</v>
      </c>
      <c r="M247" s="237">
        <f t="array" ref="M247">INDEX('BKTT T4.26'!$N$12:$N$55,MATCH(V247,'BKTT T4.26'!$A$12:$A$55,0),0)</f>
        <v>654871</v>
      </c>
      <c r="N247" s="162">
        <f t="shared" si="16"/>
        <v>654871</v>
      </c>
      <c r="O247" s="238" t="s">
        <v>264</v>
      </c>
      <c r="P247" s="251" t="s">
        <v>1448</v>
      </c>
      <c r="R247" s="191" t="str">
        <f t="shared" si="14"/>
        <v>Cước vận chuyển Container hàng 20' tuyến đường PAN HA - HẢI AN. BKS: 15C15033</v>
      </c>
      <c r="S247" s="191" t="str">
        <f t="shared" si="15"/>
        <v xml:space="preserve"> hàng 20' </v>
      </c>
      <c r="V247" s="191">
        <v>1</v>
      </c>
    </row>
    <row r="248" spans="1:22" s="191" customFormat="1" ht="15">
      <c r="A248" s="236">
        <v>237</v>
      </c>
      <c r="B248" s="244">
        <v>46113</v>
      </c>
      <c r="C248" s="245" t="s">
        <v>261</v>
      </c>
      <c r="D248" s="246" t="s">
        <v>507</v>
      </c>
      <c r="E248" s="247">
        <v>1</v>
      </c>
      <c r="F248" s="247"/>
      <c r="G248" s="248"/>
      <c r="H248" s="247"/>
      <c r="I248" s="249" t="s">
        <v>369</v>
      </c>
      <c r="J248" s="249" t="s">
        <v>21</v>
      </c>
      <c r="K248" s="249" t="s">
        <v>22</v>
      </c>
      <c r="L248" s="250">
        <f t="shared" si="13"/>
        <v>1</v>
      </c>
      <c r="M248" s="237">
        <f t="array" ref="M248">INDEX('BKTT T4.26'!$N$12:$N$55,MATCH(V248,'BKTT T4.26'!$A$12:$A$55,0),0)</f>
        <v>654871</v>
      </c>
      <c r="N248" s="162">
        <f t="shared" si="16"/>
        <v>654871</v>
      </c>
      <c r="O248" s="238" t="s">
        <v>264</v>
      </c>
      <c r="P248" s="251" t="s">
        <v>1448</v>
      </c>
      <c r="R248" s="191" t="str">
        <f t="shared" si="14"/>
        <v>Cước vận chuyển Container hàng 20' tuyến đường PAN HA - HẢI AN. BKS: 15C15033</v>
      </c>
      <c r="S248" s="191" t="str">
        <f t="shared" si="15"/>
        <v xml:space="preserve"> hàng 20' </v>
      </c>
      <c r="V248" s="191">
        <v>1</v>
      </c>
    </row>
    <row r="249" spans="1:22" s="191" customFormat="1" ht="15">
      <c r="A249" s="236">
        <v>238</v>
      </c>
      <c r="B249" s="244">
        <v>46113</v>
      </c>
      <c r="C249" s="245" t="s">
        <v>261</v>
      </c>
      <c r="D249" s="246" t="s">
        <v>508</v>
      </c>
      <c r="E249" s="247">
        <v>1</v>
      </c>
      <c r="F249" s="247"/>
      <c r="G249" s="248"/>
      <c r="H249" s="247"/>
      <c r="I249" s="249" t="s">
        <v>369</v>
      </c>
      <c r="J249" s="249" t="s">
        <v>21</v>
      </c>
      <c r="K249" s="249" t="s">
        <v>22</v>
      </c>
      <c r="L249" s="250">
        <f t="shared" si="13"/>
        <v>1</v>
      </c>
      <c r="M249" s="237">
        <f t="array" ref="M249">INDEX('BKTT T4.26'!$N$12:$N$55,MATCH(V249,'BKTT T4.26'!$A$12:$A$55,0),0)</f>
        <v>654871</v>
      </c>
      <c r="N249" s="162">
        <f t="shared" si="16"/>
        <v>654871</v>
      </c>
      <c r="O249" s="238" t="s">
        <v>264</v>
      </c>
      <c r="P249" s="251" t="s">
        <v>1448</v>
      </c>
      <c r="R249" s="191" t="str">
        <f t="shared" si="14"/>
        <v>Cước vận chuyển Container hàng 20' tuyến đường PAN HA - HẢI AN. BKS: 15C15033</v>
      </c>
      <c r="S249" s="191" t="str">
        <f t="shared" si="15"/>
        <v xml:space="preserve"> hàng 20' </v>
      </c>
      <c r="V249" s="191">
        <v>1</v>
      </c>
    </row>
    <row r="250" spans="1:22" s="191" customFormat="1" ht="15">
      <c r="A250" s="236">
        <v>239</v>
      </c>
      <c r="B250" s="244">
        <v>46113</v>
      </c>
      <c r="C250" s="245" t="s">
        <v>261</v>
      </c>
      <c r="D250" s="246" t="s">
        <v>509</v>
      </c>
      <c r="E250" s="247">
        <v>1</v>
      </c>
      <c r="F250" s="247"/>
      <c r="G250" s="248"/>
      <c r="H250" s="247"/>
      <c r="I250" s="249" t="s">
        <v>282</v>
      </c>
      <c r="J250" s="249" t="s">
        <v>21</v>
      </c>
      <c r="K250" s="249" t="s">
        <v>22</v>
      </c>
      <c r="L250" s="250">
        <f t="shared" si="13"/>
        <v>1</v>
      </c>
      <c r="M250" s="237">
        <f t="array" ref="M250">INDEX('BKTT T4.26'!$N$12:$N$55,MATCH(V250,'BKTT T4.26'!$A$12:$A$55,0),0)</f>
        <v>654871</v>
      </c>
      <c r="N250" s="162">
        <f t="shared" si="16"/>
        <v>654871</v>
      </c>
      <c r="O250" s="238" t="s">
        <v>264</v>
      </c>
      <c r="P250" s="251" t="s">
        <v>1448</v>
      </c>
      <c r="R250" s="191" t="str">
        <f t="shared" si="14"/>
        <v>Cước vận chuyển Container hàng 20' tuyến đường PAN HA - HẢI AN. BKS: 15C17301</v>
      </c>
      <c r="S250" s="191" t="str">
        <f t="shared" si="15"/>
        <v xml:space="preserve"> hàng 20' </v>
      </c>
      <c r="V250" s="191">
        <v>1</v>
      </c>
    </row>
    <row r="251" spans="1:22" s="191" customFormat="1" ht="15">
      <c r="A251" s="236">
        <v>240</v>
      </c>
      <c r="B251" s="244">
        <v>46113</v>
      </c>
      <c r="C251" s="245" t="s">
        <v>261</v>
      </c>
      <c r="D251" s="246" t="s">
        <v>510</v>
      </c>
      <c r="E251" s="247">
        <v>1</v>
      </c>
      <c r="F251" s="247"/>
      <c r="G251" s="248"/>
      <c r="H251" s="247"/>
      <c r="I251" s="249" t="s">
        <v>282</v>
      </c>
      <c r="J251" s="249" t="s">
        <v>21</v>
      </c>
      <c r="K251" s="249" t="s">
        <v>22</v>
      </c>
      <c r="L251" s="250">
        <f t="shared" si="13"/>
        <v>1</v>
      </c>
      <c r="M251" s="237">
        <f t="array" ref="M251">INDEX('BKTT T4.26'!$N$12:$N$55,MATCH(V251,'BKTT T4.26'!$A$12:$A$55,0),0)</f>
        <v>654871</v>
      </c>
      <c r="N251" s="162">
        <f t="shared" si="16"/>
        <v>654871</v>
      </c>
      <c r="O251" s="238" t="s">
        <v>264</v>
      </c>
      <c r="P251" s="251" t="s">
        <v>1448</v>
      </c>
      <c r="R251" s="191" t="str">
        <f t="shared" si="14"/>
        <v>Cước vận chuyển Container hàng 20' tuyến đường PAN HA - HẢI AN. BKS: 15C17301</v>
      </c>
      <c r="S251" s="191" t="str">
        <f t="shared" si="15"/>
        <v xml:space="preserve"> hàng 20' </v>
      </c>
      <c r="V251" s="191">
        <v>1</v>
      </c>
    </row>
    <row r="252" spans="1:22" s="191" customFormat="1" ht="15">
      <c r="A252" s="236">
        <v>241</v>
      </c>
      <c r="B252" s="244">
        <v>46113</v>
      </c>
      <c r="C252" s="245" t="s">
        <v>261</v>
      </c>
      <c r="D252" s="246" t="s">
        <v>511</v>
      </c>
      <c r="E252" s="247"/>
      <c r="F252" s="247">
        <v>1</v>
      </c>
      <c r="G252" s="248"/>
      <c r="H252" s="247"/>
      <c r="I252" s="249" t="s">
        <v>282</v>
      </c>
      <c r="J252" s="249" t="s">
        <v>21</v>
      </c>
      <c r="K252" s="249" t="s">
        <v>25</v>
      </c>
      <c r="L252" s="250">
        <f t="shared" si="13"/>
        <v>1</v>
      </c>
      <c r="M252" s="237">
        <f t="array" ref="M252">INDEX('BKTT T4.26'!$N$12:$N$55,MATCH(V252,'BKTT T4.26'!$A$12:$A$55,0),0)</f>
        <v>681050</v>
      </c>
      <c r="N252" s="162">
        <f t="shared" si="16"/>
        <v>681050</v>
      </c>
      <c r="O252" s="238" t="s">
        <v>264</v>
      </c>
      <c r="P252" s="251" t="s">
        <v>1448</v>
      </c>
      <c r="R252" s="191" t="str">
        <f t="shared" si="14"/>
        <v>Cước vận chuyển Container hàng 40' tuyến đường PAN HA - HẢI AN,. BKS: 15C17301</v>
      </c>
      <c r="S252" s="191" t="str">
        <f t="shared" si="15"/>
        <v xml:space="preserve"> hàng 40' </v>
      </c>
      <c r="V252" s="191">
        <v>2</v>
      </c>
    </row>
    <row r="253" spans="1:22" s="191" customFormat="1" ht="15">
      <c r="A253" s="236">
        <v>242</v>
      </c>
      <c r="B253" s="244">
        <v>46113</v>
      </c>
      <c r="C253" s="245" t="s">
        <v>261</v>
      </c>
      <c r="D253" s="246" t="s">
        <v>512</v>
      </c>
      <c r="E253" s="247"/>
      <c r="F253" s="247">
        <v>1</v>
      </c>
      <c r="G253" s="248"/>
      <c r="H253" s="247"/>
      <c r="I253" s="249" t="s">
        <v>282</v>
      </c>
      <c r="J253" s="249" t="s">
        <v>21</v>
      </c>
      <c r="K253" s="249" t="s">
        <v>25</v>
      </c>
      <c r="L253" s="250">
        <f t="shared" si="13"/>
        <v>1</v>
      </c>
      <c r="M253" s="237">
        <f t="array" ref="M253">INDEX('BKTT T4.26'!$N$12:$N$55,MATCH(V253,'BKTT T4.26'!$A$12:$A$55,0),0)</f>
        <v>681050</v>
      </c>
      <c r="N253" s="162">
        <f t="shared" si="16"/>
        <v>681050</v>
      </c>
      <c r="O253" s="238" t="s">
        <v>264</v>
      </c>
      <c r="P253" s="251" t="s">
        <v>1448</v>
      </c>
      <c r="R253" s="191" t="str">
        <f t="shared" si="14"/>
        <v>Cước vận chuyển Container hàng 40' tuyến đường PAN HA - HẢI AN,. BKS: 15C17301</v>
      </c>
      <c r="S253" s="191" t="str">
        <f t="shared" si="15"/>
        <v xml:space="preserve"> hàng 40' </v>
      </c>
      <c r="V253" s="191">
        <v>2</v>
      </c>
    </row>
    <row r="254" spans="1:22" s="191" customFormat="1" ht="15">
      <c r="A254" s="236">
        <v>243</v>
      </c>
      <c r="B254" s="244">
        <v>46113</v>
      </c>
      <c r="C254" s="245" t="s">
        <v>261</v>
      </c>
      <c r="D254" s="246" t="s">
        <v>513</v>
      </c>
      <c r="E254" s="247"/>
      <c r="F254" s="247">
        <v>1</v>
      </c>
      <c r="G254" s="248"/>
      <c r="H254" s="247"/>
      <c r="I254" s="249" t="s">
        <v>335</v>
      </c>
      <c r="J254" s="249" t="s">
        <v>21</v>
      </c>
      <c r="K254" s="249" t="s">
        <v>25</v>
      </c>
      <c r="L254" s="250">
        <f t="shared" si="13"/>
        <v>1</v>
      </c>
      <c r="M254" s="237">
        <f t="array" ref="M254">INDEX('BKTT T4.26'!$N$12:$N$55,MATCH(V254,'BKTT T4.26'!$A$12:$A$55,0),0)</f>
        <v>681050</v>
      </c>
      <c r="N254" s="162">
        <f t="shared" si="16"/>
        <v>681050</v>
      </c>
      <c r="O254" s="238" t="s">
        <v>264</v>
      </c>
      <c r="P254" s="251" t="s">
        <v>1448</v>
      </c>
      <c r="R254" s="191" t="str">
        <f t="shared" si="14"/>
        <v>Cước vận chuyển Container hàng 40' tuyến đường PAN HA - HẢI AN,. BKS: 15H18552</v>
      </c>
      <c r="S254" s="191" t="str">
        <f t="shared" si="15"/>
        <v xml:space="preserve"> hàng 40' </v>
      </c>
      <c r="V254" s="191">
        <v>2</v>
      </c>
    </row>
    <row r="255" spans="1:22" s="191" customFormat="1" ht="15">
      <c r="A255" s="236">
        <v>244</v>
      </c>
      <c r="B255" s="244">
        <v>46113</v>
      </c>
      <c r="C255" s="245" t="s">
        <v>261</v>
      </c>
      <c r="D255" s="246" t="s">
        <v>514</v>
      </c>
      <c r="E255" s="247"/>
      <c r="F255" s="247">
        <v>1</v>
      </c>
      <c r="G255" s="248"/>
      <c r="H255" s="247"/>
      <c r="I255" s="249" t="s">
        <v>335</v>
      </c>
      <c r="J255" s="249" t="s">
        <v>21</v>
      </c>
      <c r="K255" s="249" t="s">
        <v>25</v>
      </c>
      <c r="L255" s="250">
        <f t="shared" si="13"/>
        <v>1</v>
      </c>
      <c r="M255" s="237">
        <f t="array" ref="M255">INDEX('BKTT T4.26'!$N$12:$N$55,MATCH(V255,'BKTT T4.26'!$A$12:$A$55,0),0)</f>
        <v>681050</v>
      </c>
      <c r="N255" s="162">
        <f t="shared" si="16"/>
        <v>681050</v>
      </c>
      <c r="O255" s="238" t="s">
        <v>264</v>
      </c>
      <c r="P255" s="251" t="s">
        <v>1448</v>
      </c>
      <c r="R255" s="191" t="str">
        <f t="shared" si="14"/>
        <v>Cước vận chuyển Container hàng 40' tuyến đường PAN HA - HẢI AN,. BKS: 15H18552</v>
      </c>
      <c r="S255" s="191" t="str">
        <f t="shared" si="15"/>
        <v xml:space="preserve"> hàng 40' </v>
      </c>
      <c r="V255" s="191">
        <v>2</v>
      </c>
    </row>
    <row r="256" spans="1:22" s="191" customFormat="1" ht="15">
      <c r="A256" s="236">
        <v>245</v>
      </c>
      <c r="B256" s="244">
        <v>46113</v>
      </c>
      <c r="C256" s="245" t="s">
        <v>261</v>
      </c>
      <c r="D256" s="246" t="s">
        <v>515</v>
      </c>
      <c r="E256" s="247"/>
      <c r="F256" s="247">
        <v>1</v>
      </c>
      <c r="G256" s="248"/>
      <c r="H256" s="247"/>
      <c r="I256" s="249" t="s">
        <v>335</v>
      </c>
      <c r="J256" s="249" t="s">
        <v>21</v>
      </c>
      <c r="K256" s="249" t="s">
        <v>25</v>
      </c>
      <c r="L256" s="250">
        <f t="shared" si="13"/>
        <v>1</v>
      </c>
      <c r="M256" s="237">
        <f t="array" ref="M256">INDEX('BKTT T4.26'!$N$12:$N$55,MATCH(V256,'BKTT T4.26'!$A$12:$A$55,0),0)</f>
        <v>681050</v>
      </c>
      <c r="N256" s="162">
        <f t="shared" si="16"/>
        <v>681050</v>
      </c>
      <c r="O256" s="238" t="s">
        <v>264</v>
      </c>
      <c r="P256" s="251" t="s">
        <v>1448</v>
      </c>
      <c r="R256" s="191" t="str">
        <f t="shared" si="14"/>
        <v>Cước vận chuyển Container hàng 40' tuyến đường PAN HA - HẢI AN,. BKS: 15H18552</v>
      </c>
      <c r="S256" s="191" t="str">
        <f t="shared" si="15"/>
        <v xml:space="preserve"> hàng 40' </v>
      </c>
      <c r="V256" s="191">
        <v>2</v>
      </c>
    </row>
    <row r="257" spans="1:22" s="191" customFormat="1" ht="15">
      <c r="A257" s="236">
        <v>246</v>
      </c>
      <c r="B257" s="244">
        <v>46113</v>
      </c>
      <c r="C257" s="245" t="s">
        <v>261</v>
      </c>
      <c r="D257" s="246" t="s">
        <v>516</v>
      </c>
      <c r="E257" s="247"/>
      <c r="F257" s="247">
        <v>1</v>
      </c>
      <c r="G257" s="248"/>
      <c r="H257" s="247"/>
      <c r="I257" s="249" t="s">
        <v>335</v>
      </c>
      <c r="J257" s="249" t="s">
        <v>21</v>
      </c>
      <c r="K257" s="249" t="s">
        <v>25</v>
      </c>
      <c r="L257" s="250">
        <f t="shared" si="13"/>
        <v>1</v>
      </c>
      <c r="M257" s="237">
        <f t="array" ref="M257">INDEX('BKTT T4.26'!$N$12:$N$55,MATCH(V257,'BKTT T4.26'!$A$12:$A$55,0),0)</f>
        <v>681050</v>
      </c>
      <c r="N257" s="162">
        <f t="shared" si="16"/>
        <v>681050</v>
      </c>
      <c r="O257" s="238" t="s">
        <v>264</v>
      </c>
      <c r="P257" s="251" t="s">
        <v>1448</v>
      </c>
      <c r="R257" s="191" t="str">
        <f t="shared" si="14"/>
        <v>Cước vận chuyển Container hàng 40' tuyến đường PAN HA - HẢI AN,. BKS: 15H18552</v>
      </c>
      <c r="S257" s="191" t="str">
        <f t="shared" si="15"/>
        <v xml:space="preserve"> hàng 40' </v>
      </c>
      <c r="V257" s="191">
        <v>2</v>
      </c>
    </row>
    <row r="258" spans="1:22" s="191" customFormat="1" ht="15">
      <c r="A258" s="236">
        <v>247</v>
      </c>
      <c r="B258" s="244">
        <v>46113</v>
      </c>
      <c r="C258" s="245" t="s">
        <v>261</v>
      </c>
      <c r="D258" s="246" t="s">
        <v>517</v>
      </c>
      <c r="E258" s="247"/>
      <c r="F258" s="247">
        <v>1</v>
      </c>
      <c r="G258" s="252"/>
      <c r="H258" s="247"/>
      <c r="I258" s="249" t="s">
        <v>335</v>
      </c>
      <c r="J258" s="249" t="s">
        <v>21</v>
      </c>
      <c r="K258" s="249" t="s">
        <v>25</v>
      </c>
      <c r="L258" s="250">
        <f t="shared" si="13"/>
        <v>1</v>
      </c>
      <c r="M258" s="237">
        <f t="array" ref="M258">INDEX('BKTT T4.26'!$N$12:$N$55,MATCH(V258,'BKTT T4.26'!$A$12:$A$55,0),0)</f>
        <v>681050</v>
      </c>
      <c r="N258" s="162">
        <f t="shared" si="16"/>
        <v>681050</v>
      </c>
      <c r="O258" s="238" t="s">
        <v>264</v>
      </c>
      <c r="P258" s="251" t="s">
        <v>1448</v>
      </c>
      <c r="R258" s="191" t="str">
        <f t="shared" si="14"/>
        <v>Cước vận chuyển Container hàng 40' tuyến đường PAN HA - HẢI AN,. BKS: 15H18552</v>
      </c>
      <c r="S258" s="191" t="str">
        <f t="shared" si="15"/>
        <v xml:space="preserve"> hàng 40' </v>
      </c>
      <c r="V258" s="191">
        <v>2</v>
      </c>
    </row>
    <row r="259" spans="1:22" s="191" customFormat="1" ht="15">
      <c r="A259" s="236">
        <v>248</v>
      </c>
      <c r="B259" s="244">
        <v>46113</v>
      </c>
      <c r="C259" s="245" t="s">
        <v>261</v>
      </c>
      <c r="D259" s="246" t="s">
        <v>518</v>
      </c>
      <c r="E259" s="247">
        <v>1</v>
      </c>
      <c r="F259" s="247"/>
      <c r="G259" s="252"/>
      <c r="H259" s="247"/>
      <c r="I259" s="249" t="s">
        <v>279</v>
      </c>
      <c r="J259" s="249" t="s">
        <v>21</v>
      </c>
      <c r="K259" s="249" t="s">
        <v>22</v>
      </c>
      <c r="L259" s="250">
        <f t="shared" si="13"/>
        <v>1</v>
      </c>
      <c r="M259" s="237">
        <f t="array" ref="M259">INDEX('BKTT T4.26'!$N$12:$N$55,MATCH(V259,'BKTT T4.26'!$A$12:$A$55,0),0)</f>
        <v>654871</v>
      </c>
      <c r="N259" s="162">
        <f t="shared" si="16"/>
        <v>654871</v>
      </c>
      <c r="O259" s="238" t="s">
        <v>264</v>
      </c>
      <c r="P259" s="251" t="s">
        <v>1448</v>
      </c>
      <c r="R259" s="191" t="str">
        <f t="shared" si="14"/>
        <v>Cước vận chuyển Container hàng 20' tuyến đường PAN HA - HẢI AN. BKS: 15H07524</v>
      </c>
      <c r="S259" s="191" t="str">
        <f t="shared" si="15"/>
        <v xml:space="preserve"> hàng 20' </v>
      </c>
      <c r="V259" s="191">
        <v>1</v>
      </c>
    </row>
    <row r="260" spans="1:22" s="191" customFormat="1" ht="15">
      <c r="A260" s="236">
        <v>249</v>
      </c>
      <c r="B260" s="244">
        <v>46113</v>
      </c>
      <c r="C260" s="245" t="s">
        <v>261</v>
      </c>
      <c r="D260" s="246" t="s">
        <v>519</v>
      </c>
      <c r="E260" s="247">
        <v>1</v>
      </c>
      <c r="F260" s="247"/>
      <c r="G260" s="248"/>
      <c r="H260" s="247"/>
      <c r="I260" s="249" t="s">
        <v>279</v>
      </c>
      <c r="J260" s="249" t="s">
        <v>21</v>
      </c>
      <c r="K260" s="249" t="s">
        <v>22</v>
      </c>
      <c r="L260" s="250">
        <f t="shared" si="13"/>
        <v>1</v>
      </c>
      <c r="M260" s="237">
        <f t="array" ref="M260">INDEX('BKTT T4.26'!$N$12:$N$55,MATCH(V260,'BKTT T4.26'!$A$12:$A$55,0),0)</f>
        <v>654871</v>
      </c>
      <c r="N260" s="162">
        <f t="shared" si="16"/>
        <v>654871</v>
      </c>
      <c r="O260" s="238" t="s">
        <v>264</v>
      </c>
      <c r="P260" s="251" t="s">
        <v>1448</v>
      </c>
      <c r="R260" s="191" t="str">
        <f t="shared" si="14"/>
        <v>Cước vận chuyển Container hàng 20' tuyến đường PAN HA - HẢI AN. BKS: 15H07524</v>
      </c>
      <c r="S260" s="191" t="str">
        <f t="shared" si="15"/>
        <v xml:space="preserve"> hàng 20' </v>
      </c>
      <c r="V260" s="191">
        <v>1</v>
      </c>
    </row>
    <row r="261" spans="1:22" s="191" customFormat="1" ht="15">
      <c r="A261" s="236">
        <v>250</v>
      </c>
      <c r="B261" s="244">
        <v>46113</v>
      </c>
      <c r="C261" s="245" t="s">
        <v>261</v>
      </c>
      <c r="D261" s="246" t="s">
        <v>520</v>
      </c>
      <c r="E261" s="247">
        <v>1</v>
      </c>
      <c r="F261" s="247"/>
      <c r="G261" s="248"/>
      <c r="H261" s="247"/>
      <c r="I261" s="249" t="s">
        <v>279</v>
      </c>
      <c r="J261" s="249" t="s">
        <v>21</v>
      </c>
      <c r="K261" s="249" t="s">
        <v>22</v>
      </c>
      <c r="L261" s="250">
        <f t="shared" si="13"/>
        <v>1</v>
      </c>
      <c r="M261" s="237">
        <f t="array" ref="M261">INDEX('BKTT T4.26'!$N$12:$N$55,MATCH(V261,'BKTT T4.26'!$A$12:$A$55,0),0)</f>
        <v>654871</v>
      </c>
      <c r="N261" s="162">
        <f t="shared" ref="N261:N324" si="17">L261*M261</f>
        <v>654871</v>
      </c>
      <c r="O261" s="238" t="s">
        <v>264</v>
      </c>
      <c r="P261" s="251" t="s">
        <v>1448</v>
      </c>
      <c r="R261" s="191" t="str">
        <f t="shared" si="14"/>
        <v>Cước vận chuyển Container hàng 20' tuyến đường PAN HA - HẢI AN. BKS: 15H07524</v>
      </c>
      <c r="S261" s="191" t="str">
        <f t="shared" si="15"/>
        <v xml:space="preserve"> hàng 20' </v>
      </c>
      <c r="V261" s="191">
        <v>1</v>
      </c>
    </row>
    <row r="262" spans="1:22" s="191" customFormat="1" ht="15">
      <c r="A262" s="236">
        <v>251</v>
      </c>
      <c r="B262" s="244">
        <v>46113</v>
      </c>
      <c r="C262" s="245" t="s">
        <v>261</v>
      </c>
      <c r="D262" s="246" t="s">
        <v>521</v>
      </c>
      <c r="E262" s="247">
        <v>1</v>
      </c>
      <c r="F262" s="247"/>
      <c r="G262" s="248"/>
      <c r="H262" s="247"/>
      <c r="I262" s="249" t="s">
        <v>279</v>
      </c>
      <c r="J262" s="249" t="s">
        <v>21</v>
      </c>
      <c r="K262" s="249" t="s">
        <v>22</v>
      </c>
      <c r="L262" s="250">
        <f t="shared" si="13"/>
        <v>1</v>
      </c>
      <c r="M262" s="237">
        <f t="array" ref="M262">INDEX('BKTT T4.26'!$N$12:$N$55,MATCH(V262,'BKTT T4.26'!$A$12:$A$55,0),0)</f>
        <v>654871</v>
      </c>
      <c r="N262" s="162">
        <f t="shared" si="17"/>
        <v>654871</v>
      </c>
      <c r="O262" s="238" t="s">
        <v>264</v>
      </c>
      <c r="P262" s="251" t="s">
        <v>1448</v>
      </c>
      <c r="R262" s="191" t="str">
        <f t="shared" si="14"/>
        <v>Cước vận chuyển Container hàng 20' tuyến đường PAN HA - HẢI AN. BKS: 15H07524</v>
      </c>
      <c r="S262" s="191" t="str">
        <f t="shared" si="15"/>
        <v xml:space="preserve"> hàng 20' </v>
      </c>
      <c r="V262" s="191">
        <v>1</v>
      </c>
    </row>
    <row r="263" spans="1:22" s="191" customFormat="1" ht="15">
      <c r="A263" s="236">
        <v>252</v>
      </c>
      <c r="B263" s="244">
        <v>46113</v>
      </c>
      <c r="C263" s="245" t="s">
        <v>261</v>
      </c>
      <c r="D263" s="246" t="s">
        <v>522</v>
      </c>
      <c r="E263" s="247"/>
      <c r="F263" s="247">
        <v>1</v>
      </c>
      <c r="G263" s="248"/>
      <c r="H263" s="247"/>
      <c r="I263" s="249" t="s">
        <v>279</v>
      </c>
      <c r="J263" s="249" t="s">
        <v>21</v>
      </c>
      <c r="K263" s="249" t="s">
        <v>25</v>
      </c>
      <c r="L263" s="250">
        <f t="shared" si="13"/>
        <v>1</v>
      </c>
      <c r="M263" s="237">
        <f t="array" ref="M263">INDEX('BKTT T4.26'!$N$12:$N$55,MATCH(V263,'BKTT T4.26'!$A$12:$A$55,0),0)</f>
        <v>681050</v>
      </c>
      <c r="N263" s="162">
        <f t="shared" si="17"/>
        <v>681050</v>
      </c>
      <c r="O263" s="238" t="s">
        <v>264</v>
      </c>
      <c r="P263" s="251" t="s">
        <v>1448</v>
      </c>
      <c r="R263" s="191" t="str">
        <f t="shared" si="14"/>
        <v>Cước vận chuyển Container hàng 40' tuyến đường PAN HA - HẢI AN,. BKS: 15H07524</v>
      </c>
      <c r="S263" s="191" t="str">
        <f t="shared" si="15"/>
        <v xml:space="preserve"> hàng 40' </v>
      </c>
      <c r="V263" s="191">
        <v>2</v>
      </c>
    </row>
    <row r="264" spans="1:22" s="191" customFormat="1" ht="15">
      <c r="A264" s="236">
        <v>253</v>
      </c>
      <c r="B264" s="244">
        <v>46113</v>
      </c>
      <c r="C264" s="245" t="s">
        <v>261</v>
      </c>
      <c r="D264" s="246" t="s">
        <v>523</v>
      </c>
      <c r="E264" s="247"/>
      <c r="F264" s="247">
        <v>1</v>
      </c>
      <c r="G264" s="248"/>
      <c r="H264" s="247"/>
      <c r="I264" s="249" t="s">
        <v>279</v>
      </c>
      <c r="J264" s="249" t="s">
        <v>21</v>
      </c>
      <c r="K264" s="249" t="s">
        <v>25</v>
      </c>
      <c r="L264" s="250">
        <f t="shared" si="13"/>
        <v>1</v>
      </c>
      <c r="M264" s="237">
        <f t="array" ref="M264">INDEX('BKTT T4.26'!$N$12:$N$55,MATCH(V264,'BKTT T4.26'!$A$12:$A$55,0),0)</f>
        <v>681050</v>
      </c>
      <c r="N264" s="162">
        <f t="shared" si="17"/>
        <v>681050</v>
      </c>
      <c r="O264" s="238" t="s">
        <v>264</v>
      </c>
      <c r="P264" s="251" t="s">
        <v>1448</v>
      </c>
      <c r="R264" s="191" t="str">
        <f t="shared" si="14"/>
        <v>Cước vận chuyển Container hàng 40' tuyến đường PAN HA - HẢI AN,. BKS: 15H07524</v>
      </c>
      <c r="S264" s="191" t="str">
        <f t="shared" si="15"/>
        <v xml:space="preserve"> hàng 40' </v>
      </c>
      <c r="V264" s="191">
        <v>2</v>
      </c>
    </row>
    <row r="265" spans="1:22" s="191" customFormat="1" ht="15">
      <c r="A265" s="236">
        <v>254</v>
      </c>
      <c r="B265" s="244">
        <v>46113</v>
      </c>
      <c r="C265" s="245" t="s">
        <v>261</v>
      </c>
      <c r="D265" s="246" t="s">
        <v>524</v>
      </c>
      <c r="E265" s="247"/>
      <c r="F265" s="247">
        <v>1</v>
      </c>
      <c r="G265" s="248"/>
      <c r="H265" s="247"/>
      <c r="I265" s="249" t="s">
        <v>358</v>
      </c>
      <c r="J265" s="249" t="s">
        <v>21</v>
      </c>
      <c r="K265" s="249" t="s">
        <v>25</v>
      </c>
      <c r="L265" s="250">
        <f t="shared" ref="L265:L328" si="18">E265+F265+G265+H265</f>
        <v>1</v>
      </c>
      <c r="M265" s="237">
        <f t="array" ref="M265">INDEX('BKTT T4.26'!$N$12:$N$55,MATCH(V265,'BKTT T4.26'!$A$12:$A$55,0),0)</f>
        <v>681050</v>
      </c>
      <c r="N265" s="162">
        <f t="shared" si="17"/>
        <v>681050</v>
      </c>
      <c r="O265" s="238" t="s">
        <v>264</v>
      </c>
      <c r="P265" s="251" t="s">
        <v>1448</v>
      </c>
      <c r="R265" s="191" t="str">
        <f t="shared" ref="R265:R328" si="19">$R$10&amp;S265&amp;$R$9&amp;J265&amp;$S$10&amp;K265&amp;$R$8&amp;I265</f>
        <v>Cước vận chuyển Container hàng 40' tuyến đường PAN HA - HẢI AN,. BKS: 15H18753</v>
      </c>
      <c r="S265" s="191" t="str">
        <f t="shared" ref="S265:S328" si="20">IF(E265=1," hàng 20' ",IF(F265=1," hàng 40' "," vỏ "))</f>
        <v xml:space="preserve"> hàng 40' </v>
      </c>
      <c r="V265" s="191">
        <v>2</v>
      </c>
    </row>
    <row r="266" spans="1:22" s="191" customFormat="1" ht="15">
      <c r="A266" s="236">
        <v>255</v>
      </c>
      <c r="B266" s="244">
        <v>46113</v>
      </c>
      <c r="C266" s="245" t="s">
        <v>261</v>
      </c>
      <c r="D266" s="246" t="s">
        <v>525</v>
      </c>
      <c r="E266" s="247"/>
      <c r="F266" s="247">
        <v>1</v>
      </c>
      <c r="G266" s="248"/>
      <c r="H266" s="247"/>
      <c r="I266" s="249" t="s">
        <v>358</v>
      </c>
      <c r="J266" s="249" t="s">
        <v>21</v>
      </c>
      <c r="K266" s="249" t="s">
        <v>25</v>
      </c>
      <c r="L266" s="250">
        <f t="shared" si="18"/>
        <v>1</v>
      </c>
      <c r="M266" s="237">
        <f t="array" ref="M266">INDEX('BKTT T4.26'!$N$12:$N$55,MATCH(V266,'BKTT T4.26'!$A$12:$A$55,0),0)</f>
        <v>681050</v>
      </c>
      <c r="N266" s="162">
        <f t="shared" si="17"/>
        <v>681050</v>
      </c>
      <c r="O266" s="238" t="s">
        <v>264</v>
      </c>
      <c r="P266" s="251" t="s">
        <v>1448</v>
      </c>
      <c r="R266" s="191" t="str">
        <f t="shared" si="19"/>
        <v>Cước vận chuyển Container hàng 40' tuyến đường PAN HA - HẢI AN,. BKS: 15H18753</v>
      </c>
      <c r="S266" s="191" t="str">
        <f t="shared" si="20"/>
        <v xml:space="preserve"> hàng 40' </v>
      </c>
      <c r="V266" s="191">
        <v>2</v>
      </c>
    </row>
    <row r="267" spans="1:22" s="191" customFormat="1" ht="15">
      <c r="A267" s="236">
        <v>256</v>
      </c>
      <c r="B267" s="244">
        <v>46111</v>
      </c>
      <c r="C267" s="245" t="s">
        <v>261</v>
      </c>
      <c r="D267" s="246" t="s">
        <v>526</v>
      </c>
      <c r="E267" s="247"/>
      <c r="F267" s="247">
        <v>1</v>
      </c>
      <c r="G267" s="248"/>
      <c r="H267" s="247"/>
      <c r="I267" s="249" t="s">
        <v>438</v>
      </c>
      <c r="J267" s="249" t="s">
        <v>21</v>
      </c>
      <c r="K267" s="249" t="s">
        <v>25</v>
      </c>
      <c r="L267" s="250">
        <f t="shared" si="18"/>
        <v>1</v>
      </c>
      <c r="M267" s="237">
        <f t="array" ref="M267">INDEX('BKTT T4.26'!$N$12:$N$55,MATCH(V267,'BKTT T4.26'!$A$12:$A$55,0),0)</f>
        <v>681050</v>
      </c>
      <c r="N267" s="162">
        <f t="shared" si="17"/>
        <v>681050</v>
      </c>
      <c r="O267" s="238" t="s">
        <v>264</v>
      </c>
      <c r="P267" s="251" t="s">
        <v>1448</v>
      </c>
      <c r="R267" s="191" t="str">
        <f t="shared" si="19"/>
        <v>Cước vận chuyển Container hàng 40' tuyến đường PAN HA - HẢI AN,. BKS: 15C30649</v>
      </c>
      <c r="S267" s="191" t="str">
        <f t="shared" si="20"/>
        <v xml:space="preserve"> hàng 40' </v>
      </c>
      <c r="V267" s="191">
        <v>2</v>
      </c>
    </row>
    <row r="268" spans="1:22" s="191" customFormat="1" ht="15">
      <c r="A268" s="236">
        <v>257</v>
      </c>
      <c r="B268" s="244">
        <v>46113</v>
      </c>
      <c r="C268" s="245" t="s">
        <v>261</v>
      </c>
      <c r="D268" s="246" t="s">
        <v>527</v>
      </c>
      <c r="E268" s="247">
        <v>1</v>
      </c>
      <c r="F268" s="247"/>
      <c r="G268" s="248"/>
      <c r="H268" s="247"/>
      <c r="I268" s="249" t="s">
        <v>438</v>
      </c>
      <c r="J268" s="249" t="s">
        <v>21</v>
      </c>
      <c r="K268" s="249" t="s">
        <v>22</v>
      </c>
      <c r="L268" s="250">
        <f t="shared" si="18"/>
        <v>1</v>
      </c>
      <c r="M268" s="237">
        <f t="array" ref="M268">INDEX('BKTT T4.26'!$N$12:$N$55,MATCH(V268,'BKTT T4.26'!$A$12:$A$55,0),0)</f>
        <v>654871</v>
      </c>
      <c r="N268" s="162">
        <f t="shared" si="17"/>
        <v>654871</v>
      </c>
      <c r="O268" s="238" t="s">
        <v>264</v>
      </c>
      <c r="P268" s="251" t="s">
        <v>1448</v>
      </c>
      <c r="R268" s="191" t="str">
        <f t="shared" si="19"/>
        <v>Cước vận chuyển Container hàng 20' tuyến đường PAN HA - HẢI AN. BKS: 15C30649</v>
      </c>
      <c r="S268" s="191" t="str">
        <f t="shared" si="20"/>
        <v xml:space="preserve"> hàng 20' </v>
      </c>
      <c r="V268" s="191">
        <v>1</v>
      </c>
    </row>
    <row r="269" spans="1:22" s="191" customFormat="1" ht="15">
      <c r="A269" s="236">
        <v>258</v>
      </c>
      <c r="B269" s="244">
        <v>46113</v>
      </c>
      <c r="C269" s="245" t="s">
        <v>261</v>
      </c>
      <c r="D269" s="246" t="s">
        <v>528</v>
      </c>
      <c r="E269" s="247">
        <v>1</v>
      </c>
      <c r="F269" s="247"/>
      <c r="G269" s="248"/>
      <c r="H269" s="247"/>
      <c r="I269" s="249" t="s">
        <v>438</v>
      </c>
      <c r="J269" s="249" t="s">
        <v>21</v>
      </c>
      <c r="K269" s="249" t="s">
        <v>22</v>
      </c>
      <c r="L269" s="250">
        <f t="shared" si="18"/>
        <v>1</v>
      </c>
      <c r="M269" s="237">
        <f t="array" ref="M269">INDEX('BKTT T4.26'!$N$12:$N$55,MATCH(V269,'BKTT T4.26'!$A$12:$A$55,0),0)</f>
        <v>654871</v>
      </c>
      <c r="N269" s="162">
        <f t="shared" si="17"/>
        <v>654871</v>
      </c>
      <c r="O269" s="238" t="s">
        <v>264</v>
      </c>
      <c r="P269" s="251" t="s">
        <v>1448</v>
      </c>
      <c r="R269" s="191" t="str">
        <f t="shared" si="19"/>
        <v>Cước vận chuyển Container hàng 20' tuyến đường PAN HA - HẢI AN. BKS: 15C30649</v>
      </c>
      <c r="S269" s="191" t="str">
        <f t="shared" si="20"/>
        <v xml:space="preserve"> hàng 20' </v>
      </c>
      <c r="V269" s="191">
        <v>1</v>
      </c>
    </row>
    <row r="270" spans="1:22" s="191" customFormat="1" ht="15">
      <c r="A270" s="236">
        <v>259</v>
      </c>
      <c r="B270" s="244">
        <v>46113</v>
      </c>
      <c r="C270" s="245" t="s">
        <v>261</v>
      </c>
      <c r="D270" s="246" t="s">
        <v>529</v>
      </c>
      <c r="E270" s="247">
        <v>1</v>
      </c>
      <c r="F270" s="247"/>
      <c r="G270" s="248"/>
      <c r="H270" s="247"/>
      <c r="I270" s="249" t="s">
        <v>438</v>
      </c>
      <c r="J270" s="249" t="s">
        <v>21</v>
      </c>
      <c r="K270" s="249" t="s">
        <v>22</v>
      </c>
      <c r="L270" s="250">
        <f t="shared" si="18"/>
        <v>1</v>
      </c>
      <c r="M270" s="237">
        <f t="array" ref="M270">INDEX('BKTT T4.26'!$N$12:$N$55,MATCH(V270,'BKTT T4.26'!$A$12:$A$55,0),0)</f>
        <v>654871</v>
      </c>
      <c r="N270" s="162">
        <f t="shared" si="17"/>
        <v>654871</v>
      </c>
      <c r="O270" s="238" t="s">
        <v>264</v>
      </c>
      <c r="P270" s="251" t="s">
        <v>1448</v>
      </c>
      <c r="R270" s="191" t="str">
        <f t="shared" si="19"/>
        <v>Cước vận chuyển Container hàng 20' tuyến đường PAN HA - HẢI AN. BKS: 15C30649</v>
      </c>
      <c r="S270" s="191" t="str">
        <f t="shared" si="20"/>
        <v xml:space="preserve"> hàng 20' </v>
      </c>
      <c r="V270" s="191">
        <v>1</v>
      </c>
    </row>
    <row r="271" spans="1:22" s="191" customFormat="1" ht="15">
      <c r="A271" s="236">
        <v>260</v>
      </c>
      <c r="B271" s="244">
        <v>46113</v>
      </c>
      <c r="C271" s="245" t="s">
        <v>261</v>
      </c>
      <c r="D271" s="246" t="s">
        <v>530</v>
      </c>
      <c r="E271" s="247">
        <v>1</v>
      </c>
      <c r="F271" s="247"/>
      <c r="G271" s="248"/>
      <c r="H271" s="247"/>
      <c r="I271" s="249" t="s">
        <v>438</v>
      </c>
      <c r="J271" s="249" t="s">
        <v>21</v>
      </c>
      <c r="K271" s="249" t="s">
        <v>22</v>
      </c>
      <c r="L271" s="250">
        <f t="shared" si="18"/>
        <v>1</v>
      </c>
      <c r="M271" s="237">
        <f t="array" ref="M271">INDEX('BKTT T4.26'!$N$12:$N$55,MATCH(V271,'BKTT T4.26'!$A$12:$A$55,0),0)</f>
        <v>654871</v>
      </c>
      <c r="N271" s="162">
        <f t="shared" si="17"/>
        <v>654871</v>
      </c>
      <c r="O271" s="238" t="s">
        <v>264</v>
      </c>
      <c r="P271" s="251" t="s">
        <v>1448</v>
      </c>
      <c r="R271" s="191" t="str">
        <f t="shared" si="19"/>
        <v>Cước vận chuyển Container hàng 20' tuyến đường PAN HA - HẢI AN. BKS: 15C30649</v>
      </c>
      <c r="S271" s="191" t="str">
        <f t="shared" si="20"/>
        <v xml:space="preserve"> hàng 20' </v>
      </c>
      <c r="V271" s="191">
        <v>1</v>
      </c>
    </row>
    <row r="272" spans="1:22" s="191" customFormat="1" ht="15">
      <c r="A272" s="236">
        <v>261</v>
      </c>
      <c r="B272" s="244">
        <v>46112</v>
      </c>
      <c r="C272" s="245" t="s">
        <v>261</v>
      </c>
      <c r="D272" s="246" t="s">
        <v>531</v>
      </c>
      <c r="E272" s="247"/>
      <c r="F272" s="247"/>
      <c r="G272" s="248">
        <v>0.5</v>
      </c>
      <c r="H272" s="247"/>
      <c r="I272" s="249" t="s">
        <v>263</v>
      </c>
      <c r="J272" s="249" t="s">
        <v>21</v>
      </c>
      <c r="K272" s="249" t="s">
        <v>27</v>
      </c>
      <c r="L272" s="250">
        <f t="shared" si="18"/>
        <v>0.5</v>
      </c>
      <c r="M272" s="237">
        <f t="array" ref="M272">INDEX('BKTT T4.26'!$N$12:$N$55,MATCH(V272,'BKTT T4.26'!$A$12:$A$55,0),0)</f>
        <v>628690</v>
      </c>
      <c r="N272" s="162">
        <f t="shared" si="17"/>
        <v>314345</v>
      </c>
      <c r="O272" s="238" t="s">
        <v>264</v>
      </c>
      <c r="P272" s="251" t="s">
        <v>1448</v>
      </c>
      <c r="R272" s="191" t="str">
        <f t="shared" si="19"/>
        <v>Cước vận chuyển Container vỏ tuyến đường PAN HA - HẢI AN.. BKS: 15C17442</v>
      </c>
      <c r="S272" s="191" t="str">
        <f t="shared" si="20"/>
        <v xml:space="preserve"> vỏ </v>
      </c>
      <c r="V272" s="191">
        <v>3</v>
      </c>
    </row>
    <row r="273" spans="1:22" s="191" customFormat="1" ht="15">
      <c r="A273" s="236">
        <v>262</v>
      </c>
      <c r="B273" s="244">
        <v>46112</v>
      </c>
      <c r="C273" s="245" t="s">
        <v>261</v>
      </c>
      <c r="D273" s="246" t="s">
        <v>532</v>
      </c>
      <c r="E273" s="247"/>
      <c r="F273" s="247"/>
      <c r="G273" s="248">
        <v>0.5</v>
      </c>
      <c r="H273" s="247"/>
      <c r="I273" s="249" t="s">
        <v>263</v>
      </c>
      <c r="J273" s="249" t="s">
        <v>21</v>
      </c>
      <c r="K273" s="249" t="s">
        <v>27</v>
      </c>
      <c r="L273" s="250">
        <f t="shared" si="18"/>
        <v>0.5</v>
      </c>
      <c r="M273" s="237">
        <f t="array" ref="M273">INDEX('BKTT T4.26'!$N$12:$N$55,MATCH(V273,'BKTT T4.26'!$A$12:$A$55,0),0)</f>
        <v>628690</v>
      </c>
      <c r="N273" s="162">
        <f t="shared" si="17"/>
        <v>314345</v>
      </c>
      <c r="O273" s="238" t="s">
        <v>264</v>
      </c>
      <c r="P273" s="251" t="s">
        <v>1448</v>
      </c>
      <c r="R273" s="191" t="str">
        <f t="shared" si="19"/>
        <v>Cước vận chuyển Container vỏ tuyến đường PAN HA - HẢI AN.. BKS: 15C17442</v>
      </c>
      <c r="S273" s="191" t="str">
        <f t="shared" si="20"/>
        <v xml:space="preserve"> vỏ </v>
      </c>
      <c r="V273" s="191">
        <v>3</v>
      </c>
    </row>
    <row r="274" spans="1:22" s="191" customFormat="1" ht="15">
      <c r="A274" s="236">
        <v>263</v>
      </c>
      <c r="B274" s="244">
        <v>46112</v>
      </c>
      <c r="C274" s="245" t="s">
        <v>261</v>
      </c>
      <c r="D274" s="246" t="s">
        <v>533</v>
      </c>
      <c r="E274" s="247">
        <v>1</v>
      </c>
      <c r="F274" s="247"/>
      <c r="G274" s="248"/>
      <c r="H274" s="247"/>
      <c r="I274" s="249" t="s">
        <v>263</v>
      </c>
      <c r="J274" s="249" t="s">
        <v>21</v>
      </c>
      <c r="K274" s="249" t="s">
        <v>31</v>
      </c>
      <c r="L274" s="250">
        <f t="shared" si="18"/>
        <v>1</v>
      </c>
      <c r="M274" s="237">
        <f t="array" ref="M274">INDEX('BKTT T4.26'!$N$12:$N$55,MATCH(V274,'BKTT T4.26'!$A$12:$A$55,0),0)</f>
        <v>454158</v>
      </c>
      <c r="N274" s="162">
        <f t="shared" si="17"/>
        <v>454158</v>
      </c>
      <c r="O274" s="238" t="s">
        <v>264</v>
      </c>
      <c r="P274" s="251" t="s">
        <v>1448</v>
      </c>
      <c r="R274" s="191" t="str">
        <f t="shared" si="19"/>
        <v>Cước vận chuyển Container hàng 20' tuyến đường PAN HA - NDV. BKS: 15C17442</v>
      </c>
      <c r="S274" s="191" t="str">
        <f t="shared" si="20"/>
        <v xml:space="preserve"> hàng 20' </v>
      </c>
      <c r="V274" s="191">
        <v>7</v>
      </c>
    </row>
    <row r="275" spans="1:22" s="191" customFormat="1" ht="15">
      <c r="A275" s="236">
        <v>264</v>
      </c>
      <c r="B275" s="244">
        <v>46112</v>
      </c>
      <c r="C275" s="245" t="s">
        <v>261</v>
      </c>
      <c r="D275" s="246" t="s">
        <v>534</v>
      </c>
      <c r="E275" s="247">
        <v>1</v>
      </c>
      <c r="F275" s="247"/>
      <c r="G275" s="248"/>
      <c r="H275" s="247"/>
      <c r="I275" s="249" t="s">
        <v>263</v>
      </c>
      <c r="J275" s="249" t="s">
        <v>21</v>
      </c>
      <c r="K275" s="249" t="s">
        <v>31</v>
      </c>
      <c r="L275" s="250">
        <f t="shared" si="18"/>
        <v>1</v>
      </c>
      <c r="M275" s="237">
        <f t="array" ref="M275">INDEX('BKTT T4.26'!$N$12:$N$55,MATCH(V275,'BKTT T4.26'!$A$12:$A$55,0),0)</f>
        <v>454158</v>
      </c>
      <c r="N275" s="162">
        <f t="shared" si="17"/>
        <v>454158</v>
      </c>
      <c r="O275" s="238" t="s">
        <v>264</v>
      </c>
      <c r="P275" s="251" t="s">
        <v>1448</v>
      </c>
      <c r="R275" s="191" t="str">
        <f t="shared" si="19"/>
        <v>Cước vận chuyển Container hàng 20' tuyến đường PAN HA - NDV. BKS: 15C17442</v>
      </c>
      <c r="S275" s="191" t="str">
        <f t="shared" si="20"/>
        <v xml:space="preserve"> hàng 20' </v>
      </c>
      <c r="V275" s="191">
        <v>7</v>
      </c>
    </row>
    <row r="276" spans="1:22" s="191" customFormat="1" ht="15">
      <c r="A276" s="236">
        <v>265</v>
      </c>
      <c r="B276" s="244">
        <v>46112</v>
      </c>
      <c r="C276" s="245" t="s">
        <v>261</v>
      </c>
      <c r="D276" s="246" t="s">
        <v>535</v>
      </c>
      <c r="E276" s="247">
        <v>1</v>
      </c>
      <c r="F276" s="247"/>
      <c r="G276" s="248"/>
      <c r="H276" s="247"/>
      <c r="I276" s="249" t="s">
        <v>263</v>
      </c>
      <c r="J276" s="249" t="s">
        <v>21</v>
      </c>
      <c r="K276" s="249" t="s">
        <v>31</v>
      </c>
      <c r="L276" s="250">
        <f t="shared" si="18"/>
        <v>1</v>
      </c>
      <c r="M276" s="237">
        <f t="array" ref="M276">INDEX('BKTT T4.26'!$N$12:$N$55,MATCH(V276,'BKTT T4.26'!$A$12:$A$55,0),0)</f>
        <v>454158</v>
      </c>
      <c r="N276" s="162">
        <f t="shared" si="17"/>
        <v>454158</v>
      </c>
      <c r="O276" s="238" t="s">
        <v>264</v>
      </c>
      <c r="P276" s="251" t="s">
        <v>1448</v>
      </c>
      <c r="R276" s="191" t="str">
        <f t="shared" si="19"/>
        <v>Cước vận chuyển Container hàng 20' tuyến đường PAN HA - NDV. BKS: 15C17442</v>
      </c>
      <c r="S276" s="191" t="str">
        <f t="shared" si="20"/>
        <v xml:space="preserve"> hàng 20' </v>
      </c>
      <c r="V276" s="191">
        <v>7</v>
      </c>
    </row>
    <row r="277" spans="1:22" s="191" customFormat="1" ht="15">
      <c r="A277" s="236">
        <v>266</v>
      </c>
      <c r="B277" s="244">
        <v>46112</v>
      </c>
      <c r="C277" s="245" t="s">
        <v>261</v>
      </c>
      <c r="D277" s="246" t="s">
        <v>536</v>
      </c>
      <c r="E277" s="247">
        <v>1</v>
      </c>
      <c r="F277" s="247"/>
      <c r="G277" s="248"/>
      <c r="H277" s="247"/>
      <c r="I277" s="249" t="s">
        <v>263</v>
      </c>
      <c r="J277" s="249" t="s">
        <v>21</v>
      </c>
      <c r="K277" s="249" t="s">
        <v>31</v>
      </c>
      <c r="L277" s="250">
        <f t="shared" si="18"/>
        <v>1</v>
      </c>
      <c r="M277" s="237">
        <f t="array" ref="M277">INDEX('BKTT T4.26'!$N$12:$N$55,MATCH(V277,'BKTT T4.26'!$A$12:$A$55,0),0)</f>
        <v>454158</v>
      </c>
      <c r="N277" s="162">
        <f t="shared" si="17"/>
        <v>454158</v>
      </c>
      <c r="O277" s="238" t="s">
        <v>264</v>
      </c>
      <c r="P277" s="251" t="s">
        <v>1448</v>
      </c>
      <c r="R277" s="191" t="str">
        <f t="shared" si="19"/>
        <v>Cước vận chuyển Container hàng 20' tuyến đường PAN HA - NDV. BKS: 15C17442</v>
      </c>
      <c r="S277" s="191" t="str">
        <f t="shared" si="20"/>
        <v xml:space="preserve"> hàng 20' </v>
      </c>
      <c r="V277" s="191">
        <v>7</v>
      </c>
    </row>
    <row r="278" spans="1:22" s="191" customFormat="1" ht="15">
      <c r="A278" s="236">
        <v>267</v>
      </c>
      <c r="B278" s="244">
        <v>46113</v>
      </c>
      <c r="C278" s="245" t="s">
        <v>261</v>
      </c>
      <c r="D278" s="246" t="s">
        <v>537</v>
      </c>
      <c r="E278" s="247">
        <v>1</v>
      </c>
      <c r="F278" s="247"/>
      <c r="G278" s="248"/>
      <c r="H278" s="247"/>
      <c r="I278" s="249" t="s">
        <v>263</v>
      </c>
      <c r="J278" s="249" t="s">
        <v>21</v>
      </c>
      <c r="K278" s="249" t="s">
        <v>22</v>
      </c>
      <c r="L278" s="250">
        <f t="shared" si="18"/>
        <v>1</v>
      </c>
      <c r="M278" s="237">
        <f t="array" ref="M278">INDEX('BKTT T4.26'!$N$12:$N$55,MATCH(V278,'BKTT T4.26'!$A$12:$A$55,0),0)</f>
        <v>654871</v>
      </c>
      <c r="N278" s="162">
        <f t="shared" si="17"/>
        <v>654871</v>
      </c>
      <c r="O278" s="238" t="s">
        <v>264</v>
      </c>
      <c r="P278" s="251" t="s">
        <v>1448</v>
      </c>
      <c r="R278" s="191" t="str">
        <f t="shared" si="19"/>
        <v>Cước vận chuyển Container hàng 20' tuyến đường PAN HA - HẢI AN. BKS: 15C17442</v>
      </c>
      <c r="S278" s="191" t="str">
        <f t="shared" si="20"/>
        <v xml:space="preserve"> hàng 20' </v>
      </c>
      <c r="V278" s="191">
        <v>1</v>
      </c>
    </row>
    <row r="279" spans="1:22" s="283" customFormat="1" ht="15">
      <c r="A279" s="236">
        <v>268</v>
      </c>
      <c r="B279" s="272">
        <v>46113</v>
      </c>
      <c r="C279" s="273" t="s">
        <v>261</v>
      </c>
      <c r="D279" s="285" t="s">
        <v>1459</v>
      </c>
      <c r="E279" s="275">
        <v>1</v>
      </c>
      <c r="F279" s="275"/>
      <c r="G279" s="276"/>
      <c r="H279" s="275"/>
      <c r="I279" s="277" t="s">
        <v>263</v>
      </c>
      <c r="J279" s="249" t="s">
        <v>21</v>
      </c>
      <c r="K279" s="277" t="s">
        <v>22</v>
      </c>
      <c r="L279" s="278">
        <f t="shared" si="18"/>
        <v>1</v>
      </c>
      <c r="M279" s="279">
        <f t="array" ref="M279">INDEX('BKTT T4.26'!$N$12:$N$55,MATCH(V279,'BKTT T4.26'!$A$12:$A$55,0),0)</f>
        <v>654871</v>
      </c>
      <c r="N279" s="280">
        <f t="shared" si="17"/>
        <v>654871</v>
      </c>
      <c r="O279" s="281" t="s">
        <v>264</v>
      </c>
      <c r="P279" s="282" t="s">
        <v>1447</v>
      </c>
      <c r="R279" s="283" t="str">
        <f t="shared" si="19"/>
        <v>Cước vận chuyển Container hàng 20' tuyến đường PAN HA - HẢI AN. BKS: 15C17442</v>
      </c>
      <c r="S279" s="283" t="str">
        <f t="shared" si="20"/>
        <v xml:space="preserve"> hàng 20' </v>
      </c>
      <c r="V279" s="191">
        <v>1</v>
      </c>
    </row>
    <row r="280" spans="1:22" s="191" customFormat="1" ht="15">
      <c r="A280" s="236">
        <v>269</v>
      </c>
      <c r="B280" s="244">
        <v>46117</v>
      </c>
      <c r="C280" s="245" t="s">
        <v>261</v>
      </c>
      <c r="D280" s="246" t="s">
        <v>538</v>
      </c>
      <c r="E280" s="247"/>
      <c r="F280" s="247"/>
      <c r="G280" s="248"/>
      <c r="H280" s="247">
        <v>1</v>
      </c>
      <c r="I280" s="249" t="s">
        <v>335</v>
      </c>
      <c r="J280" s="249" t="s">
        <v>21</v>
      </c>
      <c r="K280" s="249" t="s">
        <v>27</v>
      </c>
      <c r="L280" s="250">
        <f t="shared" si="18"/>
        <v>1</v>
      </c>
      <c r="M280" s="237">
        <f t="array" ref="M280">INDEX('BKTT T4.26'!$N$12:$N$55,MATCH(V280,'BKTT T4.26'!$A$12:$A$55,0),0)</f>
        <v>628690</v>
      </c>
      <c r="N280" s="162">
        <f t="shared" si="17"/>
        <v>628690</v>
      </c>
      <c r="O280" s="238" t="s">
        <v>264</v>
      </c>
      <c r="P280" s="251" t="s">
        <v>1448</v>
      </c>
      <c r="R280" s="191" t="str">
        <f t="shared" si="19"/>
        <v>Cước vận chuyển Container vỏ tuyến đường PAN HA - HẢI AN.. BKS: 15H18552</v>
      </c>
      <c r="S280" s="191" t="str">
        <f t="shared" si="20"/>
        <v xml:space="preserve"> vỏ </v>
      </c>
      <c r="V280" s="191">
        <v>3</v>
      </c>
    </row>
    <row r="281" spans="1:22" s="191" customFormat="1" ht="15">
      <c r="A281" s="236">
        <v>270</v>
      </c>
      <c r="B281" s="244">
        <v>46117</v>
      </c>
      <c r="C281" s="245" t="s">
        <v>261</v>
      </c>
      <c r="D281" s="246" t="s">
        <v>539</v>
      </c>
      <c r="E281" s="247"/>
      <c r="F281" s="247"/>
      <c r="G281" s="248"/>
      <c r="H281" s="247">
        <v>1</v>
      </c>
      <c r="I281" s="249" t="s">
        <v>335</v>
      </c>
      <c r="J281" s="249" t="s">
        <v>21</v>
      </c>
      <c r="K281" s="249" t="s">
        <v>27</v>
      </c>
      <c r="L281" s="250">
        <f t="shared" si="18"/>
        <v>1</v>
      </c>
      <c r="M281" s="237">
        <f t="array" ref="M281">INDEX('BKTT T4.26'!$N$12:$N$55,MATCH(V281,'BKTT T4.26'!$A$12:$A$55,0),0)</f>
        <v>628690</v>
      </c>
      <c r="N281" s="162">
        <f t="shared" si="17"/>
        <v>628690</v>
      </c>
      <c r="O281" s="238" t="s">
        <v>264</v>
      </c>
      <c r="P281" s="251" t="s">
        <v>1448</v>
      </c>
      <c r="R281" s="191" t="str">
        <f t="shared" si="19"/>
        <v>Cước vận chuyển Container vỏ tuyến đường PAN HA - HẢI AN.. BKS: 15H18552</v>
      </c>
      <c r="S281" s="191" t="str">
        <f t="shared" si="20"/>
        <v xml:space="preserve"> vỏ </v>
      </c>
      <c r="V281" s="191">
        <v>3</v>
      </c>
    </row>
    <row r="282" spans="1:22" s="191" customFormat="1" ht="15">
      <c r="A282" s="236">
        <v>271</v>
      </c>
      <c r="B282" s="244">
        <v>46114</v>
      </c>
      <c r="C282" s="245" t="s">
        <v>261</v>
      </c>
      <c r="D282" s="246" t="s">
        <v>540</v>
      </c>
      <c r="E282" s="247"/>
      <c r="F282" s="247">
        <v>1</v>
      </c>
      <c r="G282" s="248"/>
      <c r="H282" s="247"/>
      <c r="I282" s="249" t="s">
        <v>541</v>
      </c>
      <c r="J282" s="249" t="s">
        <v>21</v>
      </c>
      <c r="K282" s="249" t="s">
        <v>25</v>
      </c>
      <c r="L282" s="250">
        <f t="shared" si="18"/>
        <v>1</v>
      </c>
      <c r="M282" s="237">
        <f t="array" ref="M282">INDEX('BKTT T4.26'!$N$12:$N$55,MATCH(V282,'BKTT T4.26'!$A$12:$A$55,0),0)</f>
        <v>681050</v>
      </c>
      <c r="N282" s="162">
        <f t="shared" si="17"/>
        <v>681050</v>
      </c>
      <c r="O282" s="238" t="s">
        <v>264</v>
      </c>
      <c r="P282" s="251" t="s">
        <v>1448</v>
      </c>
      <c r="R282" s="191" t="str">
        <f t="shared" si="19"/>
        <v>Cước vận chuyển Container hàng 40' tuyến đường PAN HA - HẢI AN,. BKS: 15H17403</v>
      </c>
      <c r="S282" s="191" t="str">
        <f t="shared" si="20"/>
        <v xml:space="preserve"> hàng 40' </v>
      </c>
      <c r="V282" s="191">
        <v>2</v>
      </c>
    </row>
    <row r="283" spans="1:22" s="191" customFormat="1" ht="15">
      <c r="A283" s="236">
        <v>272</v>
      </c>
      <c r="B283" s="244">
        <v>46114</v>
      </c>
      <c r="C283" s="245" t="s">
        <v>261</v>
      </c>
      <c r="D283" s="246" t="s">
        <v>542</v>
      </c>
      <c r="E283" s="247"/>
      <c r="F283" s="247">
        <v>1</v>
      </c>
      <c r="G283" s="248"/>
      <c r="H283" s="247"/>
      <c r="I283" s="249" t="s">
        <v>541</v>
      </c>
      <c r="J283" s="249" t="s">
        <v>21</v>
      </c>
      <c r="K283" s="249" t="s">
        <v>25</v>
      </c>
      <c r="L283" s="250">
        <f t="shared" si="18"/>
        <v>1</v>
      </c>
      <c r="M283" s="237">
        <f t="array" ref="M283">INDEX('BKTT T4.26'!$N$12:$N$55,MATCH(V283,'BKTT T4.26'!$A$12:$A$55,0),0)</f>
        <v>681050</v>
      </c>
      <c r="N283" s="162">
        <f t="shared" si="17"/>
        <v>681050</v>
      </c>
      <c r="O283" s="238" t="s">
        <v>264</v>
      </c>
      <c r="P283" s="251" t="s">
        <v>1448</v>
      </c>
      <c r="R283" s="191" t="str">
        <f t="shared" si="19"/>
        <v>Cước vận chuyển Container hàng 40' tuyến đường PAN HA - HẢI AN,. BKS: 15H17403</v>
      </c>
      <c r="S283" s="191" t="str">
        <f t="shared" si="20"/>
        <v xml:space="preserve"> hàng 40' </v>
      </c>
      <c r="V283" s="191">
        <v>2</v>
      </c>
    </row>
    <row r="284" spans="1:22" s="191" customFormat="1" ht="15">
      <c r="A284" s="236">
        <v>273</v>
      </c>
      <c r="B284" s="244">
        <v>46114</v>
      </c>
      <c r="C284" s="245" t="s">
        <v>261</v>
      </c>
      <c r="D284" s="246" t="s">
        <v>543</v>
      </c>
      <c r="E284" s="247"/>
      <c r="F284" s="247"/>
      <c r="G284" s="248"/>
      <c r="H284" s="247">
        <v>1</v>
      </c>
      <c r="I284" s="249" t="s">
        <v>541</v>
      </c>
      <c r="J284" s="249" t="s">
        <v>21</v>
      </c>
      <c r="K284" s="249" t="s">
        <v>27</v>
      </c>
      <c r="L284" s="250">
        <f t="shared" si="18"/>
        <v>1</v>
      </c>
      <c r="M284" s="237">
        <f t="array" ref="M284">INDEX('BKTT T4.26'!$N$12:$N$55,MATCH(V284,'BKTT T4.26'!$A$12:$A$55,0),0)</f>
        <v>628690</v>
      </c>
      <c r="N284" s="162">
        <f t="shared" si="17"/>
        <v>628690</v>
      </c>
      <c r="O284" s="238" t="s">
        <v>264</v>
      </c>
      <c r="P284" s="251" t="s">
        <v>1448</v>
      </c>
      <c r="R284" s="191" t="str">
        <f t="shared" si="19"/>
        <v>Cước vận chuyển Container vỏ tuyến đường PAN HA - HẢI AN.. BKS: 15H17403</v>
      </c>
      <c r="S284" s="191" t="str">
        <f t="shared" si="20"/>
        <v xml:space="preserve"> vỏ </v>
      </c>
      <c r="V284" s="191">
        <v>3</v>
      </c>
    </row>
    <row r="285" spans="1:22" s="191" customFormat="1" ht="15">
      <c r="A285" s="236">
        <v>274</v>
      </c>
      <c r="B285" s="244">
        <v>46114</v>
      </c>
      <c r="C285" s="245" t="s">
        <v>261</v>
      </c>
      <c r="D285" s="246" t="s">
        <v>544</v>
      </c>
      <c r="E285" s="247"/>
      <c r="F285" s="247"/>
      <c r="G285" s="248"/>
      <c r="H285" s="247">
        <v>1</v>
      </c>
      <c r="I285" s="249" t="s">
        <v>541</v>
      </c>
      <c r="J285" s="249" t="s">
        <v>21</v>
      </c>
      <c r="K285" s="249" t="s">
        <v>27</v>
      </c>
      <c r="L285" s="250">
        <f t="shared" si="18"/>
        <v>1</v>
      </c>
      <c r="M285" s="237">
        <f t="array" ref="M285">INDEX('BKTT T4.26'!$N$12:$N$55,MATCH(V285,'BKTT T4.26'!$A$12:$A$55,0),0)</f>
        <v>628690</v>
      </c>
      <c r="N285" s="162">
        <f t="shared" si="17"/>
        <v>628690</v>
      </c>
      <c r="O285" s="238" t="s">
        <v>264</v>
      </c>
      <c r="P285" s="251" t="s">
        <v>1448</v>
      </c>
      <c r="R285" s="191" t="str">
        <f t="shared" si="19"/>
        <v>Cước vận chuyển Container vỏ tuyến đường PAN HA - HẢI AN.. BKS: 15H17403</v>
      </c>
      <c r="S285" s="191" t="str">
        <f t="shared" si="20"/>
        <v xml:space="preserve"> vỏ </v>
      </c>
      <c r="V285" s="191">
        <v>3</v>
      </c>
    </row>
    <row r="286" spans="1:22" s="191" customFormat="1" ht="15">
      <c r="A286" s="236">
        <v>275</v>
      </c>
      <c r="B286" s="244">
        <v>46117</v>
      </c>
      <c r="C286" s="245" t="s">
        <v>261</v>
      </c>
      <c r="D286" s="246" t="s">
        <v>545</v>
      </c>
      <c r="E286" s="247"/>
      <c r="F286" s="247"/>
      <c r="G286" s="248"/>
      <c r="H286" s="247">
        <v>1</v>
      </c>
      <c r="I286" s="249" t="s">
        <v>282</v>
      </c>
      <c r="J286" s="249" t="s">
        <v>21</v>
      </c>
      <c r="K286" s="249" t="s">
        <v>27</v>
      </c>
      <c r="L286" s="250">
        <f t="shared" si="18"/>
        <v>1</v>
      </c>
      <c r="M286" s="237">
        <f t="array" ref="M286">INDEX('BKTT T4.26'!$N$12:$N$55,MATCH(V286,'BKTT T4.26'!$A$12:$A$55,0),0)</f>
        <v>628690</v>
      </c>
      <c r="N286" s="162">
        <f t="shared" si="17"/>
        <v>628690</v>
      </c>
      <c r="O286" s="238" t="s">
        <v>264</v>
      </c>
      <c r="P286" s="251" t="s">
        <v>1448</v>
      </c>
      <c r="R286" s="191" t="str">
        <f t="shared" si="19"/>
        <v>Cước vận chuyển Container vỏ tuyến đường PAN HA - HẢI AN.. BKS: 15C17301</v>
      </c>
      <c r="S286" s="191" t="str">
        <f t="shared" si="20"/>
        <v xml:space="preserve"> vỏ </v>
      </c>
      <c r="V286" s="191">
        <v>3</v>
      </c>
    </row>
    <row r="287" spans="1:22" s="191" customFormat="1" ht="15">
      <c r="A287" s="236">
        <v>276</v>
      </c>
      <c r="B287" s="244">
        <v>46117</v>
      </c>
      <c r="C287" s="245" t="s">
        <v>261</v>
      </c>
      <c r="D287" s="246" t="s">
        <v>546</v>
      </c>
      <c r="E287" s="247"/>
      <c r="F287" s="247"/>
      <c r="G287" s="252"/>
      <c r="H287" s="247">
        <v>1</v>
      </c>
      <c r="I287" s="249" t="s">
        <v>279</v>
      </c>
      <c r="J287" s="249" t="s">
        <v>21</v>
      </c>
      <c r="K287" s="249" t="s">
        <v>27</v>
      </c>
      <c r="L287" s="250">
        <f t="shared" si="18"/>
        <v>1</v>
      </c>
      <c r="M287" s="237">
        <f t="array" ref="M287">INDEX('BKTT T4.26'!$N$12:$N$55,MATCH(V287,'BKTT T4.26'!$A$12:$A$55,0),0)</f>
        <v>628690</v>
      </c>
      <c r="N287" s="162">
        <f t="shared" si="17"/>
        <v>628690</v>
      </c>
      <c r="O287" s="238" t="s">
        <v>264</v>
      </c>
      <c r="P287" s="251" t="s">
        <v>1448</v>
      </c>
      <c r="R287" s="191" t="str">
        <f t="shared" si="19"/>
        <v>Cước vận chuyển Container vỏ tuyến đường PAN HA - HẢI AN.. BKS: 15H07524</v>
      </c>
      <c r="S287" s="191" t="str">
        <f t="shared" si="20"/>
        <v xml:space="preserve"> vỏ </v>
      </c>
      <c r="V287" s="191">
        <v>3</v>
      </c>
    </row>
    <row r="288" spans="1:22" s="191" customFormat="1" ht="15">
      <c r="A288" s="236">
        <v>277</v>
      </c>
      <c r="B288" s="244">
        <v>46117</v>
      </c>
      <c r="C288" s="245" t="s">
        <v>261</v>
      </c>
      <c r="D288" s="246" t="s">
        <v>547</v>
      </c>
      <c r="E288" s="247"/>
      <c r="F288" s="247"/>
      <c r="G288" s="252"/>
      <c r="H288" s="247">
        <v>1</v>
      </c>
      <c r="I288" s="249" t="s">
        <v>279</v>
      </c>
      <c r="J288" s="249" t="s">
        <v>21</v>
      </c>
      <c r="K288" s="249" t="s">
        <v>27</v>
      </c>
      <c r="L288" s="250">
        <f t="shared" si="18"/>
        <v>1</v>
      </c>
      <c r="M288" s="237">
        <f t="array" ref="M288">INDEX('BKTT T4.26'!$N$12:$N$55,MATCH(V288,'BKTT T4.26'!$A$12:$A$55,0),0)</f>
        <v>628690</v>
      </c>
      <c r="N288" s="162">
        <f t="shared" si="17"/>
        <v>628690</v>
      </c>
      <c r="O288" s="238" t="s">
        <v>264</v>
      </c>
      <c r="P288" s="251" t="s">
        <v>1448</v>
      </c>
      <c r="R288" s="191" t="str">
        <f t="shared" si="19"/>
        <v>Cước vận chuyển Container vỏ tuyến đường PAN HA - HẢI AN.. BKS: 15H07524</v>
      </c>
      <c r="S288" s="191" t="str">
        <f t="shared" si="20"/>
        <v xml:space="preserve"> vỏ </v>
      </c>
      <c r="V288" s="191">
        <v>3</v>
      </c>
    </row>
    <row r="289" spans="1:22" s="191" customFormat="1" ht="15">
      <c r="A289" s="236">
        <v>278</v>
      </c>
      <c r="B289" s="244">
        <v>46117</v>
      </c>
      <c r="C289" s="245" t="s">
        <v>261</v>
      </c>
      <c r="D289" s="246" t="s">
        <v>548</v>
      </c>
      <c r="E289" s="247"/>
      <c r="F289" s="247"/>
      <c r="G289" s="252"/>
      <c r="H289" s="247">
        <v>1</v>
      </c>
      <c r="I289" s="249" t="s">
        <v>279</v>
      </c>
      <c r="J289" s="249" t="s">
        <v>21</v>
      </c>
      <c r="K289" s="249" t="s">
        <v>27</v>
      </c>
      <c r="L289" s="250">
        <f t="shared" si="18"/>
        <v>1</v>
      </c>
      <c r="M289" s="237">
        <f t="array" ref="M289">INDEX('BKTT T4.26'!$N$12:$N$55,MATCH(V289,'BKTT T4.26'!$A$12:$A$55,0),0)</f>
        <v>628690</v>
      </c>
      <c r="N289" s="162">
        <f t="shared" si="17"/>
        <v>628690</v>
      </c>
      <c r="O289" s="238" t="s">
        <v>264</v>
      </c>
      <c r="P289" s="251" t="s">
        <v>1448</v>
      </c>
      <c r="R289" s="191" t="str">
        <f t="shared" si="19"/>
        <v>Cước vận chuyển Container vỏ tuyến đường PAN HA - HẢI AN.. BKS: 15H07524</v>
      </c>
      <c r="S289" s="191" t="str">
        <f t="shared" si="20"/>
        <v xml:space="preserve"> vỏ </v>
      </c>
      <c r="V289" s="191">
        <v>3</v>
      </c>
    </row>
    <row r="290" spans="1:22" s="191" customFormat="1" ht="15">
      <c r="A290" s="236">
        <v>279</v>
      </c>
      <c r="B290" s="244">
        <v>46117</v>
      </c>
      <c r="C290" s="245" t="s">
        <v>261</v>
      </c>
      <c r="D290" s="246" t="s">
        <v>549</v>
      </c>
      <c r="E290" s="247"/>
      <c r="F290" s="247"/>
      <c r="G290" s="248"/>
      <c r="H290" s="247">
        <v>1</v>
      </c>
      <c r="I290" s="249" t="s">
        <v>279</v>
      </c>
      <c r="J290" s="249" t="s">
        <v>21</v>
      </c>
      <c r="K290" s="249" t="s">
        <v>27</v>
      </c>
      <c r="L290" s="250">
        <f t="shared" si="18"/>
        <v>1</v>
      </c>
      <c r="M290" s="237">
        <f t="array" ref="M290">INDEX('BKTT T4.26'!$N$12:$N$55,MATCH(V290,'BKTT T4.26'!$A$12:$A$55,0),0)</f>
        <v>628690</v>
      </c>
      <c r="N290" s="162">
        <f t="shared" si="17"/>
        <v>628690</v>
      </c>
      <c r="O290" s="238" t="s">
        <v>264</v>
      </c>
      <c r="P290" s="251" t="s">
        <v>1448</v>
      </c>
      <c r="R290" s="191" t="str">
        <f t="shared" si="19"/>
        <v>Cước vận chuyển Container vỏ tuyến đường PAN HA - HẢI AN.. BKS: 15H07524</v>
      </c>
      <c r="S290" s="191" t="str">
        <f t="shared" si="20"/>
        <v xml:space="preserve"> vỏ </v>
      </c>
      <c r="V290" s="191">
        <v>3</v>
      </c>
    </row>
    <row r="291" spans="1:22" s="191" customFormat="1" ht="15">
      <c r="A291" s="236">
        <v>280</v>
      </c>
      <c r="B291" s="244">
        <v>46117</v>
      </c>
      <c r="C291" s="245" t="s">
        <v>261</v>
      </c>
      <c r="D291" s="246" t="s">
        <v>550</v>
      </c>
      <c r="E291" s="247"/>
      <c r="F291" s="247"/>
      <c r="G291" s="248"/>
      <c r="H291" s="247">
        <v>1</v>
      </c>
      <c r="I291" s="249" t="s">
        <v>304</v>
      </c>
      <c r="J291" s="249" t="s">
        <v>21</v>
      </c>
      <c r="K291" s="249" t="s">
        <v>27</v>
      </c>
      <c r="L291" s="250">
        <f t="shared" si="18"/>
        <v>1</v>
      </c>
      <c r="M291" s="237">
        <f t="array" ref="M291">INDEX('BKTT T4.26'!$N$12:$N$55,MATCH(V291,'BKTT T4.26'!$A$12:$A$55,0),0)</f>
        <v>628690</v>
      </c>
      <c r="N291" s="162">
        <f t="shared" si="17"/>
        <v>628690</v>
      </c>
      <c r="O291" s="238" t="s">
        <v>264</v>
      </c>
      <c r="P291" s="251" t="s">
        <v>1448</v>
      </c>
      <c r="R291" s="191" t="str">
        <f t="shared" si="19"/>
        <v>Cước vận chuyển Container vỏ tuyến đường PAN HA - HẢI AN.. BKS: 15C09877</v>
      </c>
      <c r="S291" s="191" t="str">
        <f t="shared" si="20"/>
        <v xml:space="preserve"> vỏ </v>
      </c>
      <c r="V291" s="191">
        <v>3</v>
      </c>
    </row>
    <row r="292" spans="1:22" s="191" customFormat="1" ht="15">
      <c r="A292" s="236">
        <v>281</v>
      </c>
      <c r="B292" s="244">
        <v>46117</v>
      </c>
      <c r="C292" s="245" t="s">
        <v>261</v>
      </c>
      <c r="D292" s="246" t="s">
        <v>551</v>
      </c>
      <c r="E292" s="247"/>
      <c r="F292" s="247"/>
      <c r="G292" s="248"/>
      <c r="H292" s="247">
        <v>1</v>
      </c>
      <c r="I292" s="249" t="s">
        <v>304</v>
      </c>
      <c r="J292" s="249" t="s">
        <v>21</v>
      </c>
      <c r="K292" s="249" t="s">
        <v>27</v>
      </c>
      <c r="L292" s="250">
        <f t="shared" si="18"/>
        <v>1</v>
      </c>
      <c r="M292" s="237">
        <f t="array" ref="M292">INDEX('BKTT T4.26'!$N$12:$N$55,MATCH(V292,'BKTT T4.26'!$A$12:$A$55,0),0)</f>
        <v>628690</v>
      </c>
      <c r="N292" s="162">
        <f t="shared" si="17"/>
        <v>628690</v>
      </c>
      <c r="O292" s="238" t="s">
        <v>264</v>
      </c>
      <c r="P292" s="251" t="s">
        <v>1448</v>
      </c>
      <c r="R292" s="191" t="str">
        <f t="shared" si="19"/>
        <v>Cước vận chuyển Container vỏ tuyến đường PAN HA - HẢI AN.. BKS: 15C09877</v>
      </c>
      <c r="S292" s="191" t="str">
        <f t="shared" si="20"/>
        <v xml:space="preserve"> vỏ </v>
      </c>
      <c r="V292" s="191">
        <v>3</v>
      </c>
    </row>
    <row r="293" spans="1:22" s="191" customFormat="1" ht="15">
      <c r="A293" s="236">
        <v>282</v>
      </c>
      <c r="B293" s="244">
        <v>46117</v>
      </c>
      <c r="C293" s="245" t="s">
        <v>261</v>
      </c>
      <c r="D293" s="246" t="s">
        <v>552</v>
      </c>
      <c r="E293" s="247"/>
      <c r="F293" s="247"/>
      <c r="G293" s="248"/>
      <c r="H293" s="247">
        <v>1</v>
      </c>
      <c r="I293" s="249" t="s">
        <v>304</v>
      </c>
      <c r="J293" s="249" t="s">
        <v>21</v>
      </c>
      <c r="K293" s="249" t="s">
        <v>27</v>
      </c>
      <c r="L293" s="250">
        <f t="shared" si="18"/>
        <v>1</v>
      </c>
      <c r="M293" s="237">
        <f t="array" ref="M293">INDEX('BKTT T4.26'!$N$12:$N$55,MATCH(V293,'BKTT T4.26'!$A$12:$A$55,0),0)</f>
        <v>628690</v>
      </c>
      <c r="N293" s="162">
        <f t="shared" si="17"/>
        <v>628690</v>
      </c>
      <c r="O293" s="238" t="s">
        <v>264</v>
      </c>
      <c r="P293" s="251" t="s">
        <v>1448</v>
      </c>
      <c r="R293" s="191" t="str">
        <f t="shared" si="19"/>
        <v>Cước vận chuyển Container vỏ tuyến đường PAN HA - HẢI AN.. BKS: 15C09877</v>
      </c>
      <c r="S293" s="191" t="str">
        <f t="shared" si="20"/>
        <v xml:space="preserve"> vỏ </v>
      </c>
      <c r="V293" s="191">
        <v>3</v>
      </c>
    </row>
    <row r="294" spans="1:22" s="191" customFormat="1" ht="15">
      <c r="A294" s="236">
        <v>283</v>
      </c>
      <c r="B294" s="244">
        <v>46117</v>
      </c>
      <c r="C294" s="245" t="s">
        <v>261</v>
      </c>
      <c r="D294" s="246" t="s">
        <v>553</v>
      </c>
      <c r="E294" s="247"/>
      <c r="F294" s="247"/>
      <c r="G294" s="248"/>
      <c r="H294" s="247">
        <v>1</v>
      </c>
      <c r="I294" s="249" t="s">
        <v>304</v>
      </c>
      <c r="J294" s="249" t="s">
        <v>21</v>
      </c>
      <c r="K294" s="249" t="s">
        <v>27</v>
      </c>
      <c r="L294" s="250">
        <f t="shared" si="18"/>
        <v>1</v>
      </c>
      <c r="M294" s="237">
        <f t="array" ref="M294">INDEX('BKTT T4.26'!$N$12:$N$55,MATCH(V294,'BKTT T4.26'!$A$12:$A$55,0),0)</f>
        <v>628690</v>
      </c>
      <c r="N294" s="162">
        <f t="shared" si="17"/>
        <v>628690</v>
      </c>
      <c r="O294" s="238" t="s">
        <v>264</v>
      </c>
      <c r="P294" s="251" t="s">
        <v>1448</v>
      </c>
      <c r="R294" s="191" t="str">
        <f t="shared" si="19"/>
        <v>Cước vận chuyển Container vỏ tuyến đường PAN HA - HẢI AN.. BKS: 15C09877</v>
      </c>
      <c r="S294" s="191" t="str">
        <f t="shared" si="20"/>
        <v xml:space="preserve"> vỏ </v>
      </c>
      <c r="V294" s="191">
        <v>3</v>
      </c>
    </row>
    <row r="295" spans="1:22" s="191" customFormat="1" ht="15">
      <c r="A295" s="236">
        <v>284</v>
      </c>
      <c r="B295" s="244">
        <v>46117</v>
      </c>
      <c r="C295" s="245" t="s">
        <v>261</v>
      </c>
      <c r="D295" s="246" t="s">
        <v>554</v>
      </c>
      <c r="E295" s="247"/>
      <c r="F295" s="247"/>
      <c r="G295" s="248"/>
      <c r="H295" s="247">
        <v>1</v>
      </c>
      <c r="I295" s="249" t="s">
        <v>304</v>
      </c>
      <c r="J295" s="249" t="s">
        <v>21</v>
      </c>
      <c r="K295" s="249" t="s">
        <v>27</v>
      </c>
      <c r="L295" s="250">
        <f t="shared" si="18"/>
        <v>1</v>
      </c>
      <c r="M295" s="237">
        <f t="array" ref="M295">INDEX('BKTT T4.26'!$N$12:$N$55,MATCH(V295,'BKTT T4.26'!$A$12:$A$55,0),0)</f>
        <v>628690</v>
      </c>
      <c r="N295" s="162">
        <f t="shared" si="17"/>
        <v>628690</v>
      </c>
      <c r="O295" s="238" t="s">
        <v>264</v>
      </c>
      <c r="P295" s="251" t="s">
        <v>1448</v>
      </c>
      <c r="R295" s="191" t="str">
        <f t="shared" si="19"/>
        <v>Cước vận chuyển Container vỏ tuyến đường PAN HA - HẢI AN.. BKS: 15C09877</v>
      </c>
      <c r="S295" s="191" t="str">
        <f t="shared" si="20"/>
        <v xml:space="preserve"> vỏ </v>
      </c>
      <c r="V295" s="191">
        <v>3</v>
      </c>
    </row>
    <row r="296" spans="1:22" s="191" customFormat="1" ht="15">
      <c r="A296" s="236">
        <v>285</v>
      </c>
      <c r="B296" s="244">
        <v>46117</v>
      </c>
      <c r="C296" s="245" t="s">
        <v>261</v>
      </c>
      <c r="D296" s="246" t="s">
        <v>555</v>
      </c>
      <c r="E296" s="247"/>
      <c r="F296" s="247"/>
      <c r="G296" s="248"/>
      <c r="H296" s="247">
        <v>1</v>
      </c>
      <c r="I296" s="249" t="s">
        <v>279</v>
      </c>
      <c r="J296" s="249" t="s">
        <v>21</v>
      </c>
      <c r="K296" s="249" t="s">
        <v>27</v>
      </c>
      <c r="L296" s="250">
        <f t="shared" si="18"/>
        <v>1</v>
      </c>
      <c r="M296" s="237">
        <f t="array" ref="M296">INDEX('BKTT T4.26'!$N$12:$N$55,MATCH(V296,'BKTT T4.26'!$A$12:$A$55,0),0)</f>
        <v>628690</v>
      </c>
      <c r="N296" s="162">
        <f t="shared" si="17"/>
        <v>628690</v>
      </c>
      <c r="O296" s="238" t="s">
        <v>264</v>
      </c>
      <c r="P296" s="251" t="s">
        <v>1448</v>
      </c>
      <c r="R296" s="191" t="str">
        <f t="shared" si="19"/>
        <v>Cước vận chuyển Container vỏ tuyến đường PAN HA - HẢI AN.. BKS: 15H07524</v>
      </c>
      <c r="S296" s="191" t="str">
        <f t="shared" si="20"/>
        <v xml:space="preserve"> vỏ </v>
      </c>
      <c r="V296" s="191">
        <v>3</v>
      </c>
    </row>
    <row r="297" spans="1:22" s="191" customFormat="1" ht="15">
      <c r="A297" s="236">
        <v>286</v>
      </c>
      <c r="B297" s="244">
        <v>46117</v>
      </c>
      <c r="C297" s="245" t="s">
        <v>261</v>
      </c>
      <c r="D297" s="246" t="s">
        <v>556</v>
      </c>
      <c r="E297" s="247"/>
      <c r="F297" s="247"/>
      <c r="G297" s="248"/>
      <c r="H297" s="247">
        <v>1</v>
      </c>
      <c r="I297" s="249" t="s">
        <v>279</v>
      </c>
      <c r="J297" s="249" t="s">
        <v>21</v>
      </c>
      <c r="K297" s="249" t="s">
        <v>27</v>
      </c>
      <c r="L297" s="250">
        <f t="shared" si="18"/>
        <v>1</v>
      </c>
      <c r="M297" s="237">
        <f t="array" ref="M297">INDEX('BKTT T4.26'!$N$12:$N$55,MATCH(V297,'BKTT T4.26'!$A$12:$A$55,0),0)</f>
        <v>628690</v>
      </c>
      <c r="N297" s="162">
        <f t="shared" si="17"/>
        <v>628690</v>
      </c>
      <c r="O297" s="238" t="s">
        <v>264</v>
      </c>
      <c r="P297" s="251" t="s">
        <v>1448</v>
      </c>
      <c r="R297" s="191" t="str">
        <f t="shared" si="19"/>
        <v>Cước vận chuyển Container vỏ tuyến đường PAN HA - HẢI AN.. BKS: 15H07524</v>
      </c>
      <c r="S297" s="191" t="str">
        <f t="shared" si="20"/>
        <v xml:space="preserve"> vỏ </v>
      </c>
      <c r="V297" s="191">
        <v>3</v>
      </c>
    </row>
    <row r="298" spans="1:22" s="191" customFormat="1" ht="15">
      <c r="A298" s="236">
        <v>287</v>
      </c>
      <c r="B298" s="244">
        <v>46117</v>
      </c>
      <c r="C298" s="245" t="s">
        <v>261</v>
      </c>
      <c r="D298" s="246" t="s">
        <v>557</v>
      </c>
      <c r="E298" s="247"/>
      <c r="F298" s="247"/>
      <c r="G298" s="248"/>
      <c r="H298" s="247">
        <v>1</v>
      </c>
      <c r="I298" s="249" t="s">
        <v>279</v>
      </c>
      <c r="J298" s="249" t="s">
        <v>21</v>
      </c>
      <c r="K298" s="249" t="s">
        <v>27</v>
      </c>
      <c r="L298" s="250">
        <f t="shared" si="18"/>
        <v>1</v>
      </c>
      <c r="M298" s="237">
        <f t="array" ref="M298">INDEX('BKTT T4.26'!$N$12:$N$55,MATCH(V298,'BKTT T4.26'!$A$12:$A$55,0),0)</f>
        <v>628690</v>
      </c>
      <c r="N298" s="162">
        <f t="shared" si="17"/>
        <v>628690</v>
      </c>
      <c r="O298" s="238" t="s">
        <v>264</v>
      </c>
      <c r="P298" s="251" t="s">
        <v>1448</v>
      </c>
      <c r="R298" s="191" t="str">
        <f t="shared" si="19"/>
        <v>Cước vận chuyển Container vỏ tuyến đường PAN HA - HẢI AN.. BKS: 15H07524</v>
      </c>
      <c r="S298" s="191" t="str">
        <f t="shared" si="20"/>
        <v xml:space="preserve"> vỏ </v>
      </c>
      <c r="V298" s="191">
        <v>3</v>
      </c>
    </row>
    <row r="299" spans="1:22" s="191" customFormat="1" ht="15">
      <c r="A299" s="236">
        <v>288</v>
      </c>
      <c r="B299" s="244">
        <v>46117</v>
      </c>
      <c r="C299" s="245" t="s">
        <v>261</v>
      </c>
      <c r="D299" s="246" t="s">
        <v>558</v>
      </c>
      <c r="E299" s="247"/>
      <c r="F299" s="247"/>
      <c r="G299" s="248"/>
      <c r="H299" s="247">
        <v>1</v>
      </c>
      <c r="I299" s="249" t="s">
        <v>279</v>
      </c>
      <c r="J299" s="249" t="s">
        <v>21</v>
      </c>
      <c r="K299" s="249" t="s">
        <v>27</v>
      </c>
      <c r="L299" s="250">
        <f t="shared" si="18"/>
        <v>1</v>
      </c>
      <c r="M299" s="237">
        <f t="array" ref="M299">INDEX('BKTT T4.26'!$N$12:$N$55,MATCH(V299,'BKTT T4.26'!$A$12:$A$55,0),0)</f>
        <v>628690</v>
      </c>
      <c r="N299" s="162">
        <f t="shared" si="17"/>
        <v>628690</v>
      </c>
      <c r="O299" s="238" t="s">
        <v>264</v>
      </c>
      <c r="P299" s="251" t="s">
        <v>1448</v>
      </c>
      <c r="R299" s="191" t="str">
        <f t="shared" si="19"/>
        <v>Cước vận chuyển Container vỏ tuyến đường PAN HA - HẢI AN.. BKS: 15H07524</v>
      </c>
      <c r="S299" s="191" t="str">
        <f t="shared" si="20"/>
        <v xml:space="preserve"> vỏ </v>
      </c>
      <c r="V299" s="191">
        <v>3</v>
      </c>
    </row>
    <row r="300" spans="1:22" s="191" customFormat="1" ht="15">
      <c r="A300" s="236">
        <v>289</v>
      </c>
      <c r="B300" s="244">
        <v>46117</v>
      </c>
      <c r="C300" s="245" t="s">
        <v>261</v>
      </c>
      <c r="D300" s="246" t="s">
        <v>559</v>
      </c>
      <c r="E300" s="247"/>
      <c r="F300" s="247"/>
      <c r="G300" s="248"/>
      <c r="H300" s="247">
        <v>1</v>
      </c>
      <c r="I300" s="249" t="s">
        <v>358</v>
      </c>
      <c r="J300" s="249" t="s">
        <v>21</v>
      </c>
      <c r="K300" s="249" t="s">
        <v>27</v>
      </c>
      <c r="L300" s="250">
        <f t="shared" si="18"/>
        <v>1</v>
      </c>
      <c r="M300" s="237">
        <f t="array" ref="M300">INDEX('BKTT T4.26'!$N$12:$N$55,MATCH(V300,'BKTT T4.26'!$A$12:$A$55,0),0)</f>
        <v>628690</v>
      </c>
      <c r="N300" s="162">
        <f t="shared" si="17"/>
        <v>628690</v>
      </c>
      <c r="O300" s="238" t="s">
        <v>264</v>
      </c>
      <c r="P300" s="251" t="s">
        <v>1448</v>
      </c>
      <c r="R300" s="191" t="str">
        <f t="shared" si="19"/>
        <v>Cước vận chuyển Container vỏ tuyến đường PAN HA - HẢI AN.. BKS: 15H18753</v>
      </c>
      <c r="S300" s="191" t="str">
        <f t="shared" si="20"/>
        <v xml:space="preserve"> vỏ </v>
      </c>
      <c r="V300" s="191">
        <v>3</v>
      </c>
    </row>
    <row r="301" spans="1:22" s="191" customFormat="1" ht="15">
      <c r="A301" s="236">
        <v>290</v>
      </c>
      <c r="B301" s="244">
        <v>46117</v>
      </c>
      <c r="C301" s="245" t="s">
        <v>261</v>
      </c>
      <c r="D301" s="246" t="s">
        <v>560</v>
      </c>
      <c r="E301" s="247"/>
      <c r="F301" s="247"/>
      <c r="G301" s="248"/>
      <c r="H301" s="247">
        <v>1</v>
      </c>
      <c r="I301" s="249" t="s">
        <v>358</v>
      </c>
      <c r="J301" s="249" t="s">
        <v>21</v>
      </c>
      <c r="K301" s="249" t="s">
        <v>27</v>
      </c>
      <c r="L301" s="250">
        <f t="shared" si="18"/>
        <v>1</v>
      </c>
      <c r="M301" s="237">
        <f t="array" ref="M301">INDEX('BKTT T4.26'!$N$12:$N$55,MATCH(V301,'BKTT T4.26'!$A$12:$A$55,0),0)</f>
        <v>628690</v>
      </c>
      <c r="N301" s="162">
        <f t="shared" si="17"/>
        <v>628690</v>
      </c>
      <c r="O301" s="238" t="s">
        <v>264</v>
      </c>
      <c r="P301" s="251" t="s">
        <v>1448</v>
      </c>
      <c r="R301" s="191" t="str">
        <f t="shared" si="19"/>
        <v>Cước vận chuyển Container vỏ tuyến đường PAN HA - HẢI AN.. BKS: 15H18753</v>
      </c>
      <c r="S301" s="191" t="str">
        <f t="shared" si="20"/>
        <v xml:space="preserve"> vỏ </v>
      </c>
      <c r="V301" s="191">
        <v>3</v>
      </c>
    </row>
    <row r="302" spans="1:22" s="191" customFormat="1" ht="15">
      <c r="A302" s="236">
        <v>291</v>
      </c>
      <c r="B302" s="244">
        <v>46117</v>
      </c>
      <c r="C302" s="245" t="s">
        <v>261</v>
      </c>
      <c r="D302" s="246" t="s">
        <v>561</v>
      </c>
      <c r="E302" s="247"/>
      <c r="F302" s="247"/>
      <c r="G302" s="248"/>
      <c r="H302" s="247">
        <v>1</v>
      </c>
      <c r="I302" s="249" t="s">
        <v>358</v>
      </c>
      <c r="J302" s="249" t="s">
        <v>21</v>
      </c>
      <c r="K302" s="249" t="s">
        <v>27</v>
      </c>
      <c r="L302" s="250">
        <f t="shared" si="18"/>
        <v>1</v>
      </c>
      <c r="M302" s="237">
        <f t="array" ref="M302">INDEX('BKTT T4.26'!$N$12:$N$55,MATCH(V302,'BKTT T4.26'!$A$12:$A$55,0),0)</f>
        <v>628690</v>
      </c>
      <c r="N302" s="162">
        <f t="shared" si="17"/>
        <v>628690</v>
      </c>
      <c r="O302" s="238" t="s">
        <v>264</v>
      </c>
      <c r="P302" s="251" t="s">
        <v>1448</v>
      </c>
      <c r="R302" s="191" t="str">
        <f t="shared" si="19"/>
        <v>Cước vận chuyển Container vỏ tuyến đường PAN HA - HẢI AN.. BKS: 15H18753</v>
      </c>
      <c r="S302" s="191" t="str">
        <f t="shared" si="20"/>
        <v xml:space="preserve"> vỏ </v>
      </c>
      <c r="V302" s="191">
        <v>3</v>
      </c>
    </row>
    <row r="303" spans="1:22" s="191" customFormat="1" ht="15">
      <c r="A303" s="236">
        <v>292</v>
      </c>
      <c r="B303" s="244">
        <v>46117</v>
      </c>
      <c r="C303" s="245" t="s">
        <v>261</v>
      </c>
      <c r="D303" s="246" t="s">
        <v>562</v>
      </c>
      <c r="E303" s="247"/>
      <c r="F303" s="247"/>
      <c r="G303" s="252"/>
      <c r="H303" s="247">
        <v>1</v>
      </c>
      <c r="I303" s="249" t="s">
        <v>358</v>
      </c>
      <c r="J303" s="249" t="s">
        <v>21</v>
      </c>
      <c r="K303" s="249" t="s">
        <v>27</v>
      </c>
      <c r="L303" s="250">
        <f t="shared" si="18"/>
        <v>1</v>
      </c>
      <c r="M303" s="237">
        <f t="array" ref="M303">INDEX('BKTT T4.26'!$N$12:$N$55,MATCH(V303,'BKTT T4.26'!$A$12:$A$55,0),0)</f>
        <v>628690</v>
      </c>
      <c r="N303" s="162">
        <f t="shared" si="17"/>
        <v>628690</v>
      </c>
      <c r="O303" s="238" t="s">
        <v>264</v>
      </c>
      <c r="P303" s="251" t="s">
        <v>1448</v>
      </c>
      <c r="R303" s="191" t="str">
        <f t="shared" si="19"/>
        <v>Cước vận chuyển Container vỏ tuyến đường PAN HA - HẢI AN.. BKS: 15H18753</v>
      </c>
      <c r="S303" s="191" t="str">
        <f t="shared" si="20"/>
        <v xml:space="preserve"> vỏ </v>
      </c>
      <c r="V303" s="191">
        <v>3</v>
      </c>
    </row>
    <row r="304" spans="1:22" s="191" customFormat="1" ht="15">
      <c r="A304" s="236">
        <v>293</v>
      </c>
      <c r="B304" s="244">
        <v>46113</v>
      </c>
      <c r="C304" s="245" t="s">
        <v>261</v>
      </c>
      <c r="D304" s="246" t="s">
        <v>563</v>
      </c>
      <c r="E304" s="247"/>
      <c r="F304" s="247">
        <v>1</v>
      </c>
      <c r="G304" s="252"/>
      <c r="H304" s="247"/>
      <c r="I304" s="249" t="s">
        <v>564</v>
      </c>
      <c r="J304" s="249" t="s">
        <v>21</v>
      </c>
      <c r="K304" s="249" t="s">
        <v>25</v>
      </c>
      <c r="L304" s="250">
        <f t="shared" si="18"/>
        <v>1</v>
      </c>
      <c r="M304" s="237">
        <f t="array" ref="M304">INDEX('BKTT T4.26'!$N$12:$N$55,MATCH(V304,'BKTT T4.26'!$A$12:$A$55,0),0)</f>
        <v>681050</v>
      </c>
      <c r="N304" s="162">
        <f t="shared" si="17"/>
        <v>681050</v>
      </c>
      <c r="O304" s="238" t="s">
        <v>264</v>
      </c>
      <c r="P304" s="251" t="s">
        <v>1448</v>
      </c>
      <c r="R304" s="191" t="str">
        <f t="shared" si="19"/>
        <v>Cước vận chuyển Container hàng 40' tuyến đường PAN HA - HẢI AN,. BKS: 15H06892</v>
      </c>
      <c r="S304" s="191" t="str">
        <f t="shared" si="20"/>
        <v xml:space="preserve"> hàng 40' </v>
      </c>
      <c r="V304" s="191">
        <v>2</v>
      </c>
    </row>
    <row r="305" spans="1:22" s="191" customFormat="1" ht="15">
      <c r="A305" s="236">
        <v>294</v>
      </c>
      <c r="B305" s="244">
        <v>46113</v>
      </c>
      <c r="C305" s="245" t="s">
        <v>261</v>
      </c>
      <c r="D305" s="246" t="s">
        <v>565</v>
      </c>
      <c r="E305" s="247"/>
      <c r="F305" s="247">
        <v>1</v>
      </c>
      <c r="G305" s="248"/>
      <c r="H305" s="247"/>
      <c r="I305" s="249" t="s">
        <v>564</v>
      </c>
      <c r="J305" s="249" t="s">
        <v>21</v>
      </c>
      <c r="K305" s="249" t="s">
        <v>25</v>
      </c>
      <c r="L305" s="250">
        <f t="shared" si="18"/>
        <v>1</v>
      </c>
      <c r="M305" s="237">
        <f t="array" ref="M305">INDEX('BKTT T4.26'!$N$12:$N$55,MATCH(V305,'BKTT T4.26'!$A$12:$A$55,0),0)</f>
        <v>681050</v>
      </c>
      <c r="N305" s="162">
        <f t="shared" si="17"/>
        <v>681050</v>
      </c>
      <c r="O305" s="238" t="s">
        <v>264</v>
      </c>
      <c r="P305" s="251" t="s">
        <v>1448</v>
      </c>
      <c r="R305" s="191" t="str">
        <f t="shared" si="19"/>
        <v>Cước vận chuyển Container hàng 40' tuyến đường PAN HA - HẢI AN,. BKS: 15H06892</v>
      </c>
      <c r="S305" s="191" t="str">
        <f t="shared" si="20"/>
        <v xml:space="preserve"> hàng 40' </v>
      </c>
      <c r="V305" s="191">
        <v>2</v>
      </c>
    </row>
    <row r="306" spans="1:22" s="191" customFormat="1" ht="15">
      <c r="A306" s="236">
        <v>295</v>
      </c>
      <c r="B306" s="244">
        <v>46113</v>
      </c>
      <c r="C306" s="245" t="s">
        <v>261</v>
      </c>
      <c r="D306" s="246" t="s">
        <v>566</v>
      </c>
      <c r="E306" s="247"/>
      <c r="F306" s="247">
        <v>1</v>
      </c>
      <c r="G306" s="248"/>
      <c r="H306" s="247"/>
      <c r="I306" s="249" t="s">
        <v>564</v>
      </c>
      <c r="J306" s="249" t="s">
        <v>21</v>
      </c>
      <c r="K306" s="249" t="s">
        <v>25</v>
      </c>
      <c r="L306" s="250">
        <f t="shared" si="18"/>
        <v>1</v>
      </c>
      <c r="M306" s="237">
        <f t="array" ref="M306">INDEX('BKTT T4.26'!$N$12:$N$55,MATCH(V306,'BKTT T4.26'!$A$12:$A$55,0),0)</f>
        <v>681050</v>
      </c>
      <c r="N306" s="162">
        <f t="shared" si="17"/>
        <v>681050</v>
      </c>
      <c r="O306" s="238" t="s">
        <v>264</v>
      </c>
      <c r="P306" s="251" t="s">
        <v>1448</v>
      </c>
      <c r="R306" s="191" t="str">
        <f t="shared" si="19"/>
        <v>Cước vận chuyển Container hàng 40' tuyến đường PAN HA - HẢI AN,. BKS: 15H06892</v>
      </c>
      <c r="S306" s="191" t="str">
        <f t="shared" si="20"/>
        <v xml:space="preserve"> hàng 40' </v>
      </c>
      <c r="V306" s="191">
        <v>2</v>
      </c>
    </row>
    <row r="307" spans="1:22" s="191" customFormat="1" ht="15">
      <c r="A307" s="236">
        <v>296</v>
      </c>
      <c r="B307" s="244">
        <v>46113</v>
      </c>
      <c r="C307" s="245" t="s">
        <v>261</v>
      </c>
      <c r="D307" s="246" t="s">
        <v>567</v>
      </c>
      <c r="E307" s="247"/>
      <c r="F307" s="247">
        <v>1</v>
      </c>
      <c r="G307" s="248"/>
      <c r="H307" s="247"/>
      <c r="I307" s="249" t="s">
        <v>564</v>
      </c>
      <c r="J307" s="249" t="s">
        <v>21</v>
      </c>
      <c r="K307" s="249" t="s">
        <v>25</v>
      </c>
      <c r="L307" s="250">
        <f t="shared" si="18"/>
        <v>1</v>
      </c>
      <c r="M307" s="237">
        <f t="array" ref="M307">INDEX('BKTT T4.26'!$N$12:$N$55,MATCH(V307,'BKTT T4.26'!$A$12:$A$55,0),0)</f>
        <v>681050</v>
      </c>
      <c r="N307" s="162">
        <f t="shared" si="17"/>
        <v>681050</v>
      </c>
      <c r="O307" s="238" t="s">
        <v>264</v>
      </c>
      <c r="P307" s="251" t="s">
        <v>1448</v>
      </c>
      <c r="R307" s="191" t="str">
        <f t="shared" si="19"/>
        <v>Cước vận chuyển Container hàng 40' tuyến đường PAN HA - HẢI AN,. BKS: 15H06892</v>
      </c>
      <c r="S307" s="191" t="str">
        <f t="shared" si="20"/>
        <v xml:space="preserve"> hàng 40' </v>
      </c>
      <c r="V307" s="191">
        <v>2</v>
      </c>
    </row>
    <row r="308" spans="1:22" s="191" customFormat="1" ht="15">
      <c r="A308" s="236">
        <v>297</v>
      </c>
      <c r="B308" s="244">
        <v>46108</v>
      </c>
      <c r="C308" s="245" t="s">
        <v>261</v>
      </c>
      <c r="D308" s="246" t="s">
        <v>568</v>
      </c>
      <c r="E308" s="247">
        <v>1</v>
      </c>
      <c r="F308" s="247"/>
      <c r="G308" s="252"/>
      <c r="H308" s="247"/>
      <c r="I308" s="249" t="s">
        <v>564</v>
      </c>
      <c r="J308" s="249" t="s">
        <v>21</v>
      </c>
      <c r="K308" s="249" t="s">
        <v>22</v>
      </c>
      <c r="L308" s="250">
        <f t="shared" si="18"/>
        <v>1</v>
      </c>
      <c r="M308" s="237">
        <f t="array" ref="M308">INDEX('BKTT T4.26'!$N$12:$N$55,MATCH(V308,'BKTT T4.26'!$A$12:$A$55,0),0)</f>
        <v>654871</v>
      </c>
      <c r="N308" s="162">
        <f t="shared" si="17"/>
        <v>654871</v>
      </c>
      <c r="O308" s="238" t="s">
        <v>264</v>
      </c>
      <c r="P308" s="251" t="s">
        <v>1448</v>
      </c>
      <c r="R308" s="191" t="str">
        <f t="shared" si="19"/>
        <v>Cước vận chuyển Container hàng 20' tuyến đường PAN HA - HẢI AN. BKS: 15H06892</v>
      </c>
      <c r="S308" s="191" t="str">
        <f t="shared" si="20"/>
        <v xml:space="preserve"> hàng 20' </v>
      </c>
      <c r="V308" s="191">
        <v>1</v>
      </c>
    </row>
    <row r="309" spans="1:22" s="191" customFormat="1" ht="15">
      <c r="A309" s="236">
        <v>298</v>
      </c>
      <c r="B309" s="244">
        <v>46108</v>
      </c>
      <c r="C309" s="245" t="s">
        <v>261</v>
      </c>
      <c r="D309" s="246" t="s">
        <v>569</v>
      </c>
      <c r="E309" s="247">
        <v>1</v>
      </c>
      <c r="F309" s="247"/>
      <c r="G309" s="248"/>
      <c r="H309" s="247"/>
      <c r="I309" s="249" t="s">
        <v>564</v>
      </c>
      <c r="J309" s="249" t="s">
        <v>21</v>
      </c>
      <c r="K309" s="249" t="s">
        <v>22</v>
      </c>
      <c r="L309" s="250">
        <f t="shared" si="18"/>
        <v>1</v>
      </c>
      <c r="M309" s="237">
        <f t="array" ref="M309">INDEX('BKTT T4.26'!$N$12:$N$55,MATCH(V309,'BKTT T4.26'!$A$12:$A$55,0),0)</f>
        <v>654871</v>
      </c>
      <c r="N309" s="162">
        <f t="shared" si="17"/>
        <v>654871</v>
      </c>
      <c r="O309" s="238" t="s">
        <v>264</v>
      </c>
      <c r="P309" s="251" t="s">
        <v>1448</v>
      </c>
      <c r="R309" s="191" t="str">
        <f t="shared" si="19"/>
        <v>Cước vận chuyển Container hàng 20' tuyến đường PAN HA - HẢI AN. BKS: 15H06892</v>
      </c>
      <c r="S309" s="191" t="str">
        <f t="shared" si="20"/>
        <v xml:space="preserve"> hàng 20' </v>
      </c>
      <c r="V309" s="191">
        <v>1</v>
      </c>
    </row>
    <row r="310" spans="1:22" s="191" customFormat="1" ht="15">
      <c r="A310" s="236">
        <v>299</v>
      </c>
      <c r="B310" s="244">
        <v>46108</v>
      </c>
      <c r="C310" s="245" t="s">
        <v>261</v>
      </c>
      <c r="D310" s="246" t="s">
        <v>570</v>
      </c>
      <c r="E310" s="247">
        <v>1</v>
      </c>
      <c r="F310" s="247"/>
      <c r="G310" s="248"/>
      <c r="H310" s="247"/>
      <c r="I310" s="249" t="s">
        <v>564</v>
      </c>
      <c r="J310" s="249" t="s">
        <v>21</v>
      </c>
      <c r="K310" s="249" t="s">
        <v>22</v>
      </c>
      <c r="L310" s="250">
        <f t="shared" si="18"/>
        <v>1</v>
      </c>
      <c r="M310" s="237">
        <f t="array" ref="M310">INDEX('BKTT T4.26'!$N$12:$N$55,MATCH(V310,'BKTT T4.26'!$A$12:$A$55,0),0)</f>
        <v>654871</v>
      </c>
      <c r="N310" s="162">
        <f t="shared" si="17"/>
        <v>654871</v>
      </c>
      <c r="O310" s="238" t="s">
        <v>264</v>
      </c>
      <c r="P310" s="251" t="s">
        <v>1448</v>
      </c>
      <c r="R310" s="191" t="str">
        <f t="shared" si="19"/>
        <v>Cước vận chuyển Container hàng 20' tuyến đường PAN HA - HẢI AN. BKS: 15H06892</v>
      </c>
      <c r="S310" s="191" t="str">
        <f t="shared" si="20"/>
        <v xml:space="preserve"> hàng 20' </v>
      </c>
      <c r="V310" s="191">
        <v>1</v>
      </c>
    </row>
    <row r="311" spans="1:22" s="191" customFormat="1" ht="15">
      <c r="A311" s="236">
        <v>300</v>
      </c>
      <c r="B311" s="244">
        <v>46108</v>
      </c>
      <c r="C311" s="245" t="s">
        <v>261</v>
      </c>
      <c r="D311" s="246" t="s">
        <v>571</v>
      </c>
      <c r="E311" s="247">
        <v>1</v>
      </c>
      <c r="F311" s="247"/>
      <c r="G311" s="248"/>
      <c r="H311" s="247"/>
      <c r="I311" s="249" t="s">
        <v>564</v>
      </c>
      <c r="J311" s="249" t="s">
        <v>21</v>
      </c>
      <c r="K311" s="249" t="s">
        <v>22</v>
      </c>
      <c r="L311" s="250">
        <f t="shared" si="18"/>
        <v>1</v>
      </c>
      <c r="M311" s="237">
        <f t="array" ref="M311">INDEX('BKTT T4.26'!$N$12:$N$55,MATCH(V311,'BKTT T4.26'!$A$12:$A$55,0),0)</f>
        <v>654871</v>
      </c>
      <c r="N311" s="162">
        <f t="shared" si="17"/>
        <v>654871</v>
      </c>
      <c r="O311" s="238" t="s">
        <v>264</v>
      </c>
      <c r="P311" s="251" t="s">
        <v>1448</v>
      </c>
      <c r="R311" s="191" t="str">
        <f t="shared" si="19"/>
        <v>Cước vận chuyển Container hàng 20' tuyến đường PAN HA - HẢI AN. BKS: 15H06892</v>
      </c>
      <c r="S311" s="191" t="str">
        <f t="shared" si="20"/>
        <v xml:space="preserve"> hàng 20' </v>
      </c>
      <c r="V311" s="191">
        <v>1</v>
      </c>
    </row>
    <row r="312" spans="1:22" s="191" customFormat="1" ht="15">
      <c r="A312" s="236">
        <v>301</v>
      </c>
      <c r="B312" s="244">
        <v>46108</v>
      </c>
      <c r="C312" s="245" t="s">
        <v>261</v>
      </c>
      <c r="D312" s="246" t="s">
        <v>572</v>
      </c>
      <c r="E312" s="247">
        <v>1</v>
      </c>
      <c r="F312" s="247"/>
      <c r="G312" s="248"/>
      <c r="H312" s="247"/>
      <c r="I312" s="249" t="s">
        <v>564</v>
      </c>
      <c r="J312" s="249" t="s">
        <v>21</v>
      </c>
      <c r="K312" s="249" t="s">
        <v>22</v>
      </c>
      <c r="L312" s="250">
        <f t="shared" si="18"/>
        <v>1</v>
      </c>
      <c r="M312" s="237">
        <f t="array" ref="M312">INDEX('BKTT T4.26'!$N$12:$N$55,MATCH(V312,'BKTT T4.26'!$A$12:$A$55,0),0)</f>
        <v>654871</v>
      </c>
      <c r="N312" s="162">
        <f t="shared" si="17"/>
        <v>654871</v>
      </c>
      <c r="O312" s="238" t="s">
        <v>264</v>
      </c>
      <c r="P312" s="251" t="s">
        <v>1448</v>
      </c>
      <c r="R312" s="191" t="str">
        <f t="shared" si="19"/>
        <v>Cước vận chuyển Container hàng 20' tuyến đường PAN HA - HẢI AN. BKS: 15H06892</v>
      </c>
      <c r="S312" s="191" t="str">
        <f t="shared" si="20"/>
        <v xml:space="preserve"> hàng 20' </v>
      </c>
      <c r="V312" s="191">
        <v>1</v>
      </c>
    </row>
    <row r="313" spans="1:22" s="191" customFormat="1" ht="15">
      <c r="A313" s="236">
        <v>302</v>
      </c>
      <c r="B313" s="244">
        <v>46108</v>
      </c>
      <c r="C313" s="245" t="s">
        <v>261</v>
      </c>
      <c r="D313" s="246" t="s">
        <v>573</v>
      </c>
      <c r="E313" s="247">
        <v>1</v>
      </c>
      <c r="F313" s="247"/>
      <c r="G313" s="248"/>
      <c r="H313" s="247"/>
      <c r="I313" s="249" t="s">
        <v>564</v>
      </c>
      <c r="J313" s="249" t="s">
        <v>21</v>
      </c>
      <c r="K313" s="249" t="s">
        <v>22</v>
      </c>
      <c r="L313" s="250">
        <f t="shared" si="18"/>
        <v>1</v>
      </c>
      <c r="M313" s="237">
        <f t="array" ref="M313">INDEX('BKTT T4.26'!$N$12:$N$55,MATCH(V313,'BKTT T4.26'!$A$12:$A$55,0),0)</f>
        <v>654871</v>
      </c>
      <c r="N313" s="162">
        <f t="shared" si="17"/>
        <v>654871</v>
      </c>
      <c r="O313" s="238" t="s">
        <v>264</v>
      </c>
      <c r="P313" s="251" t="s">
        <v>1448</v>
      </c>
      <c r="R313" s="191" t="str">
        <f t="shared" si="19"/>
        <v>Cước vận chuyển Container hàng 20' tuyến đường PAN HA - HẢI AN. BKS: 15H06892</v>
      </c>
      <c r="S313" s="191" t="str">
        <f t="shared" si="20"/>
        <v xml:space="preserve"> hàng 20' </v>
      </c>
      <c r="V313" s="191">
        <v>1</v>
      </c>
    </row>
    <row r="314" spans="1:22" s="191" customFormat="1" ht="15">
      <c r="A314" s="236">
        <v>303</v>
      </c>
      <c r="B314" s="244">
        <v>46109</v>
      </c>
      <c r="C314" s="245" t="s">
        <v>261</v>
      </c>
      <c r="D314" s="246" t="s">
        <v>574</v>
      </c>
      <c r="E314" s="247">
        <v>1</v>
      </c>
      <c r="F314" s="247"/>
      <c r="G314" s="248"/>
      <c r="H314" s="247"/>
      <c r="I314" s="249" t="s">
        <v>564</v>
      </c>
      <c r="J314" s="249" t="s">
        <v>21</v>
      </c>
      <c r="K314" s="249" t="s">
        <v>49</v>
      </c>
      <c r="L314" s="250">
        <f t="shared" si="18"/>
        <v>1</v>
      </c>
      <c r="M314" s="237">
        <f t="array" ref="M314">INDEX('BKTT T4.26'!$N$12:$N$55,MATCH(V314,'BKTT T4.26'!$A$12:$A$55,0),0)</f>
        <v>576331</v>
      </c>
      <c r="N314" s="162">
        <f t="shared" si="17"/>
        <v>576331</v>
      </c>
      <c r="O314" s="238" t="s">
        <v>264</v>
      </c>
      <c r="P314" s="251" t="s">
        <v>1448</v>
      </c>
      <c r="R314" s="191" t="str">
        <f t="shared" si="19"/>
        <v>Cước vận chuyển Container hàng 20' tuyến đường PAN HA - VIP. BKS: 15H06892</v>
      </c>
      <c r="S314" s="191" t="str">
        <f t="shared" si="20"/>
        <v xml:space="preserve"> hàng 20' </v>
      </c>
      <c r="V314" s="191">
        <v>27</v>
      </c>
    </row>
    <row r="315" spans="1:22" s="191" customFormat="1" ht="15">
      <c r="A315" s="236">
        <v>304</v>
      </c>
      <c r="B315" s="244">
        <v>46109</v>
      </c>
      <c r="C315" s="245" t="s">
        <v>261</v>
      </c>
      <c r="D315" s="246" t="s">
        <v>575</v>
      </c>
      <c r="E315" s="247">
        <v>1</v>
      </c>
      <c r="F315" s="247"/>
      <c r="G315" s="248"/>
      <c r="H315" s="247"/>
      <c r="I315" s="249" t="s">
        <v>564</v>
      </c>
      <c r="J315" s="249" t="s">
        <v>21</v>
      </c>
      <c r="K315" s="249" t="s">
        <v>49</v>
      </c>
      <c r="L315" s="250">
        <f t="shared" si="18"/>
        <v>1</v>
      </c>
      <c r="M315" s="237">
        <f t="array" ref="M315">INDEX('BKTT T4.26'!$N$12:$N$55,MATCH(V315,'BKTT T4.26'!$A$12:$A$55,0),0)</f>
        <v>576331</v>
      </c>
      <c r="N315" s="162">
        <f t="shared" si="17"/>
        <v>576331</v>
      </c>
      <c r="O315" s="238" t="s">
        <v>264</v>
      </c>
      <c r="P315" s="251" t="s">
        <v>1448</v>
      </c>
      <c r="R315" s="191" t="str">
        <f t="shared" si="19"/>
        <v>Cước vận chuyển Container hàng 20' tuyến đường PAN HA - VIP. BKS: 15H06892</v>
      </c>
      <c r="S315" s="191" t="str">
        <f t="shared" si="20"/>
        <v xml:space="preserve"> hàng 20' </v>
      </c>
      <c r="V315" s="191">
        <v>27</v>
      </c>
    </row>
    <row r="316" spans="1:22" s="191" customFormat="1" ht="15">
      <c r="A316" s="236">
        <v>305</v>
      </c>
      <c r="B316" s="244">
        <v>46109</v>
      </c>
      <c r="C316" s="245" t="s">
        <v>261</v>
      </c>
      <c r="D316" s="246" t="s">
        <v>576</v>
      </c>
      <c r="E316" s="247">
        <v>1</v>
      </c>
      <c r="F316" s="247"/>
      <c r="G316" s="248"/>
      <c r="H316" s="247"/>
      <c r="I316" s="249" t="s">
        <v>564</v>
      </c>
      <c r="J316" s="249" t="s">
        <v>21</v>
      </c>
      <c r="K316" s="249" t="s">
        <v>49</v>
      </c>
      <c r="L316" s="250">
        <f t="shared" si="18"/>
        <v>1</v>
      </c>
      <c r="M316" s="237">
        <f t="array" ref="M316">INDEX('BKTT T4.26'!$N$12:$N$55,MATCH(V316,'BKTT T4.26'!$A$12:$A$55,0),0)</f>
        <v>576331</v>
      </c>
      <c r="N316" s="162">
        <f t="shared" si="17"/>
        <v>576331</v>
      </c>
      <c r="O316" s="238" t="s">
        <v>264</v>
      </c>
      <c r="P316" s="251" t="s">
        <v>1448</v>
      </c>
      <c r="R316" s="191" t="str">
        <f t="shared" si="19"/>
        <v>Cước vận chuyển Container hàng 20' tuyến đường PAN HA - VIP. BKS: 15H06892</v>
      </c>
      <c r="S316" s="191" t="str">
        <f t="shared" si="20"/>
        <v xml:space="preserve"> hàng 20' </v>
      </c>
      <c r="V316" s="191">
        <v>27</v>
      </c>
    </row>
    <row r="317" spans="1:22" s="191" customFormat="1" ht="15">
      <c r="A317" s="236">
        <v>306</v>
      </c>
      <c r="B317" s="244">
        <v>46109</v>
      </c>
      <c r="C317" s="245" t="s">
        <v>261</v>
      </c>
      <c r="D317" s="246" t="s">
        <v>577</v>
      </c>
      <c r="E317" s="247">
        <v>1</v>
      </c>
      <c r="F317" s="247"/>
      <c r="G317" s="248"/>
      <c r="H317" s="247"/>
      <c r="I317" s="249" t="s">
        <v>564</v>
      </c>
      <c r="J317" s="249" t="s">
        <v>21</v>
      </c>
      <c r="K317" s="249" t="s">
        <v>49</v>
      </c>
      <c r="L317" s="250">
        <f t="shared" si="18"/>
        <v>1</v>
      </c>
      <c r="M317" s="237">
        <f t="array" ref="M317">INDEX('BKTT T4.26'!$N$12:$N$55,MATCH(V317,'BKTT T4.26'!$A$12:$A$55,0),0)</f>
        <v>576331</v>
      </c>
      <c r="N317" s="162">
        <f t="shared" si="17"/>
        <v>576331</v>
      </c>
      <c r="O317" s="238" t="s">
        <v>264</v>
      </c>
      <c r="P317" s="251" t="s">
        <v>1448</v>
      </c>
      <c r="R317" s="191" t="str">
        <f t="shared" si="19"/>
        <v>Cước vận chuyển Container hàng 20' tuyến đường PAN HA - VIP. BKS: 15H06892</v>
      </c>
      <c r="S317" s="191" t="str">
        <f t="shared" si="20"/>
        <v xml:space="preserve"> hàng 20' </v>
      </c>
      <c r="V317" s="191">
        <v>27</v>
      </c>
    </row>
    <row r="318" spans="1:22" s="191" customFormat="1" ht="15">
      <c r="A318" s="236">
        <v>307</v>
      </c>
      <c r="B318" s="244">
        <v>46109</v>
      </c>
      <c r="C318" s="245" t="s">
        <v>261</v>
      </c>
      <c r="D318" s="246" t="s">
        <v>578</v>
      </c>
      <c r="E318" s="247"/>
      <c r="F318" s="247"/>
      <c r="G318" s="248"/>
      <c r="H318" s="247">
        <v>1</v>
      </c>
      <c r="I318" s="249" t="s">
        <v>564</v>
      </c>
      <c r="J318" s="249" t="s">
        <v>21</v>
      </c>
      <c r="K318" s="249" t="s">
        <v>51</v>
      </c>
      <c r="L318" s="250">
        <f t="shared" si="18"/>
        <v>1</v>
      </c>
      <c r="M318" s="237">
        <f t="array" ref="M318">INDEX('BKTT T4.26'!$N$12:$N$55,MATCH(V318,'BKTT T4.26'!$A$12:$A$55,0),0)</f>
        <v>550151</v>
      </c>
      <c r="N318" s="162">
        <f t="shared" si="17"/>
        <v>550151</v>
      </c>
      <c r="O318" s="238" t="s">
        <v>264</v>
      </c>
      <c r="P318" s="251" t="s">
        <v>1448</v>
      </c>
      <c r="R318" s="191" t="str">
        <f t="shared" si="19"/>
        <v>Cước vận chuyển Container vỏ tuyến đường PAN HA - VIP.. BKS: 15H06892</v>
      </c>
      <c r="S318" s="191" t="str">
        <f t="shared" si="20"/>
        <v xml:space="preserve"> vỏ </v>
      </c>
      <c r="V318" s="191">
        <v>29</v>
      </c>
    </row>
    <row r="319" spans="1:22" s="191" customFormat="1" ht="15">
      <c r="A319" s="236">
        <v>308</v>
      </c>
      <c r="B319" s="244">
        <v>46110</v>
      </c>
      <c r="C319" s="245" t="s">
        <v>261</v>
      </c>
      <c r="D319" s="246" t="s">
        <v>579</v>
      </c>
      <c r="E319" s="247">
        <v>1</v>
      </c>
      <c r="F319" s="247"/>
      <c r="G319" s="248"/>
      <c r="H319" s="247"/>
      <c r="I319" s="249" t="s">
        <v>564</v>
      </c>
      <c r="J319" s="249" t="s">
        <v>21</v>
      </c>
      <c r="K319" s="249" t="s">
        <v>22</v>
      </c>
      <c r="L319" s="250">
        <f t="shared" si="18"/>
        <v>1</v>
      </c>
      <c r="M319" s="237">
        <f t="array" ref="M319">INDEX('BKTT T4.26'!$N$12:$N$55,MATCH(V319,'BKTT T4.26'!$A$12:$A$55,0),0)</f>
        <v>654871</v>
      </c>
      <c r="N319" s="162">
        <f t="shared" si="17"/>
        <v>654871</v>
      </c>
      <c r="O319" s="238" t="s">
        <v>264</v>
      </c>
      <c r="P319" s="251" t="s">
        <v>1448</v>
      </c>
      <c r="R319" s="191" t="str">
        <f t="shared" si="19"/>
        <v>Cước vận chuyển Container hàng 20' tuyến đường PAN HA - HẢI AN. BKS: 15H06892</v>
      </c>
      <c r="S319" s="191" t="str">
        <f t="shared" si="20"/>
        <v xml:space="preserve"> hàng 20' </v>
      </c>
      <c r="V319" s="191">
        <v>1</v>
      </c>
    </row>
    <row r="320" spans="1:22" s="191" customFormat="1" ht="15">
      <c r="A320" s="236">
        <v>309</v>
      </c>
      <c r="B320" s="244">
        <v>46110</v>
      </c>
      <c r="C320" s="245" t="s">
        <v>261</v>
      </c>
      <c r="D320" s="246" t="s">
        <v>580</v>
      </c>
      <c r="E320" s="247">
        <v>1</v>
      </c>
      <c r="F320" s="247"/>
      <c r="G320" s="248"/>
      <c r="H320" s="247"/>
      <c r="I320" s="249" t="s">
        <v>564</v>
      </c>
      <c r="J320" s="249" t="s">
        <v>21</v>
      </c>
      <c r="K320" s="249" t="s">
        <v>22</v>
      </c>
      <c r="L320" s="250">
        <f t="shared" si="18"/>
        <v>1</v>
      </c>
      <c r="M320" s="237">
        <f t="array" ref="M320">INDEX('BKTT T4.26'!$N$12:$N$55,MATCH(V320,'BKTT T4.26'!$A$12:$A$55,0),0)</f>
        <v>654871</v>
      </c>
      <c r="N320" s="162">
        <f t="shared" si="17"/>
        <v>654871</v>
      </c>
      <c r="O320" s="238" t="s">
        <v>264</v>
      </c>
      <c r="P320" s="251" t="s">
        <v>1448</v>
      </c>
      <c r="R320" s="191" t="str">
        <f t="shared" si="19"/>
        <v>Cước vận chuyển Container hàng 20' tuyến đường PAN HA - HẢI AN. BKS: 15H06892</v>
      </c>
      <c r="S320" s="191" t="str">
        <f t="shared" si="20"/>
        <v xml:space="preserve"> hàng 20' </v>
      </c>
      <c r="V320" s="191">
        <v>1</v>
      </c>
    </row>
    <row r="321" spans="1:22" s="191" customFormat="1" ht="15">
      <c r="A321" s="236">
        <v>310</v>
      </c>
      <c r="B321" s="244">
        <v>46110</v>
      </c>
      <c r="C321" s="245" t="s">
        <v>261</v>
      </c>
      <c r="D321" s="246" t="s">
        <v>581</v>
      </c>
      <c r="E321" s="247"/>
      <c r="F321" s="247">
        <v>1</v>
      </c>
      <c r="G321" s="248"/>
      <c r="H321" s="247"/>
      <c r="I321" s="249" t="s">
        <v>564</v>
      </c>
      <c r="J321" s="249" t="s">
        <v>21</v>
      </c>
      <c r="K321" s="249" t="s">
        <v>25</v>
      </c>
      <c r="L321" s="250">
        <f t="shared" si="18"/>
        <v>1</v>
      </c>
      <c r="M321" s="237">
        <f t="array" ref="M321">INDEX('BKTT T4.26'!$N$12:$N$55,MATCH(V321,'BKTT T4.26'!$A$12:$A$55,0),0)</f>
        <v>681050</v>
      </c>
      <c r="N321" s="162">
        <f t="shared" si="17"/>
        <v>681050</v>
      </c>
      <c r="O321" s="238" t="s">
        <v>264</v>
      </c>
      <c r="P321" s="251" t="s">
        <v>1448</v>
      </c>
      <c r="R321" s="191" t="str">
        <f t="shared" si="19"/>
        <v>Cước vận chuyển Container hàng 40' tuyến đường PAN HA - HẢI AN,. BKS: 15H06892</v>
      </c>
      <c r="S321" s="191" t="str">
        <f t="shared" si="20"/>
        <v xml:space="preserve"> hàng 40' </v>
      </c>
      <c r="V321" s="191">
        <v>2</v>
      </c>
    </row>
    <row r="322" spans="1:22" s="191" customFormat="1" ht="15">
      <c r="A322" s="236">
        <v>311</v>
      </c>
      <c r="B322" s="244">
        <v>46110</v>
      </c>
      <c r="C322" s="245" t="s">
        <v>261</v>
      </c>
      <c r="D322" s="246" t="s">
        <v>582</v>
      </c>
      <c r="E322" s="247"/>
      <c r="F322" s="247">
        <v>1</v>
      </c>
      <c r="G322" s="248"/>
      <c r="H322" s="247"/>
      <c r="I322" s="249" t="s">
        <v>564</v>
      </c>
      <c r="J322" s="249" t="s">
        <v>21</v>
      </c>
      <c r="K322" s="249" t="s">
        <v>25</v>
      </c>
      <c r="L322" s="250">
        <f t="shared" si="18"/>
        <v>1</v>
      </c>
      <c r="M322" s="237">
        <f t="array" ref="M322">INDEX('BKTT T4.26'!$N$12:$N$55,MATCH(V322,'BKTT T4.26'!$A$12:$A$55,0),0)</f>
        <v>681050</v>
      </c>
      <c r="N322" s="162">
        <f t="shared" si="17"/>
        <v>681050</v>
      </c>
      <c r="O322" s="238" t="s">
        <v>264</v>
      </c>
      <c r="P322" s="251" t="s">
        <v>1448</v>
      </c>
      <c r="R322" s="191" t="str">
        <f t="shared" si="19"/>
        <v>Cước vận chuyển Container hàng 40' tuyến đường PAN HA - HẢI AN,. BKS: 15H06892</v>
      </c>
      <c r="S322" s="191" t="str">
        <f t="shared" si="20"/>
        <v xml:space="preserve"> hàng 40' </v>
      </c>
      <c r="V322" s="191">
        <v>2</v>
      </c>
    </row>
    <row r="323" spans="1:22" s="191" customFormat="1" ht="15">
      <c r="A323" s="236">
        <v>312</v>
      </c>
      <c r="B323" s="244">
        <v>46110</v>
      </c>
      <c r="C323" s="245" t="s">
        <v>261</v>
      </c>
      <c r="D323" s="246" t="s">
        <v>583</v>
      </c>
      <c r="E323" s="247"/>
      <c r="F323" s="247">
        <v>1</v>
      </c>
      <c r="G323" s="248"/>
      <c r="H323" s="247"/>
      <c r="I323" s="249" t="s">
        <v>564</v>
      </c>
      <c r="J323" s="249" t="s">
        <v>21</v>
      </c>
      <c r="K323" s="249" t="s">
        <v>25</v>
      </c>
      <c r="L323" s="250">
        <f t="shared" si="18"/>
        <v>1</v>
      </c>
      <c r="M323" s="237">
        <f t="array" ref="M323">INDEX('BKTT T4.26'!$N$12:$N$55,MATCH(V323,'BKTT T4.26'!$A$12:$A$55,0),0)</f>
        <v>681050</v>
      </c>
      <c r="N323" s="162">
        <f t="shared" si="17"/>
        <v>681050</v>
      </c>
      <c r="O323" s="238" t="s">
        <v>264</v>
      </c>
      <c r="P323" s="251" t="s">
        <v>1448</v>
      </c>
      <c r="R323" s="191" t="str">
        <f t="shared" si="19"/>
        <v>Cước vận chuyển Container hàng 40' tuyến đường PAN HA - HẢI AN,. BKS: 15H06892</v>
      </c>
      <c r="S323" s="191" t="str">
        <f t="shared" si="20"/>
        <v xml:space="preserve"> hàng 40' </v>
      </c>
      <c r="V323" s="191">
        <v>2</v>
      </c>
    </row>
    <row r="324" spans="1:22" s="191" customFormat="1" ht="15">
      <c r="A324" s="236">
        <v>313</v>
      </c>
      <c r="B324" s="244">
        <v>46117</v>
      </c>
      <c r="C324" s="245" t="s">
        <v>261</v>
      </c>
      <c r="D324" s="246" t="s">
        <v>584</v>
      </c>
      <c r="E324" s="247"/>
      <c r="F324" s="247"/>
      <c r="G324" s="248"/>
      <c r="H324" s="247">
        <v>1</v>
      </c>
      <c r="I324" s="249" t="s">
        <v>274</v>
      </c>
      <c r="J324" s="249" t="s">
        <v>21</v>
      </c>
      <c r="K324" s="249" t="s">
        <v>27</v>
      </c>
      <c r="L324" s="250">
        <f t="shared" si="18"/>
        <v>1</v>
      </c>
      <c r="M324" s="237">
        <f t="array" ref="M324">INDEX('BKTT T4.26'!$N$12:$N$55,MATCH(V324,'BKTT T4.26'!$A$12:$A$55,0),0)</f>
        <v>628690</v>
      </c>
      <c r="N324" s="162">
        <f t="shared" si="17"/>
        <v>628690</v>
      </c>
      <c r="O324" s="238" t="s">
        <v>264</v>
      </c>
      <c r="P324" s="251" t="s">
        <v>1448</v>
      </c>
      <c r="R324" s="191" t="str">
        <f t="shared" si="19"/>
        <v>Cước vận chuyển Container vỏ tuyến đường PAN HA - HẢI AN.. BKS: 15H12925</v>
      </c>
      <c r="S324" s="191" t="str">
        <f t="shared" si="20"/>
        <v xml:space="preserve"> vỏ </v>
      </c>
      <c r="V324" s="191">
        <v>3</v>
      </c>
    </row>
    <row r="325" spans="1:22" s="191" customFormat="1" ht="15">
      <c r="A325" s="236">
        <v>314</v>
      </c>
      <c r="B325" s="244">
        <v>46117</v>
      </c>
      <c r="C325" s="245" t="s">
        <v>261</v>
      </c>
      <c r="D325" s="246" t="s">
        <v>585</v>
      </c>
      <c r="E325" s="247"/>
      <c r="F325" s="247"/>
      <c r="G325" s="248"/>
      <c r="H325" s="247">
        <v>1</v>
      </c>
      <c r="I325" s="249" t="s">
        <v>274</v>
      </c>
      <c r="J325" s="249" t="s">
        <v>21</v>
      </c>
      <c r="K325" s="249" t="s">
        <v>27</v>
      </c>
      <c r="L325" s="250">
        <f t="shared" si="18"/>
        <v>1</v>
      </c>
      <c r="M325" s="237">
        <f t="array" ref="M325">INDEX('BKTT T4.26'!$N$12:$N$55,MATCH(V325,'BKTT T4.26'!$A$12:$A$55,0),0)</f>
        <v>628690</v>
      </c>
      <c r="N325" s="162">
        <f t="shared" ref="N325:N388" si="21">L325*M325</f>
        <v>628690</v>
      </c>
      <c r="O325" s="238" t="s">
        <v>264</v>
      </c>
      <c r="P325" s="251" t="s">
        <v>1448</v>
      </c>
      <c r="R325" s="191" t="str">
        <f t="shared" si="19"/>
        <v>Cước vận chuyển Container vỏ tuyến đường PAN HA - HẢI AN.. BKS: 15H12925</v>
      </c>
      <c r="S325" s="191" t="str">
        <f t="shared" si="20"/>
        <v xml:space="preserve"> vỏ </v>
      </c>
      <c r="V325" s="191">
        <v>3</v>
      </c>
    </row>
    <row r="326" spans="1:22" s="191" customFormat="1" ht="15">
      <c r="A326" s="236">
        <v>315</v>
      </c>
      <c r="B326" s="244">
        <v>46118</v>
      </c>
      <c r="C326" s="245" t="s">
        <v>261</v>
      </c>
      <c r="D326" s="246" t="s">
        <v>586</v>
      </c>
      <c r="E326" s="247">
        <v>1</v>
      </c>
      <c r="F326" s="247"/>
      <c r="G326" s="248"/>
      <c r="H326" s="247"/>
      <c r="I326" s="249" t="s">
        <v>282</v>
      </c>
      <c r="J326" s="249" t="s">
        <v>21</v>
      </c>
      <c r="K326" s="249" t="s">
        <v>36</v>
      </c>
      <c r="L326" s="250">
        <f t="shared" si="18"/>
        <v>1</v>
      </c>
      <c r="M326" s="237">
        <f t="array" ref="M326">INDEX('BKTT T4.26'!$N$12:$N$55,MATCH(V326,'BKTT T4.26'!$A$12:$A$55,0),0)</f>
        <v>576331</v>
      </c>
      <c r="N326" s="162">
        <f t="shared" si="21"/>
        <v>576331</v>
      </c>
      <c r="O326" s="238" t="s">
        <v>264</v>
      </c>
      <c r="P326" s="251" t="s">
        <v>1448</v>
      </c>
      <c r="R326" s="191" t="str">
        <f t="shared" si="19"/>
        <v>Cước vận chuyển Container hàng 20' tuyến đường PAN HA - NHĐV. BKS: 15C17301</v>
      </c>
      <c r="S326" s="191" t="str">
        <f t="shared" si="20"/>
        <v xml:space="preserve"> hàng 20' </v>
      </c>
      <c r="V326" s="191">
        <v>11</v>
      </c>
    </row>
    <row r="327" spans="1:22" s="191" customFormat="1" ht="15">
      <c r="A327" s="236">
        <v>316</v>
      </c>
      <c r="B327" s="244">
        <v>46118</v>
      </c>
      <c r="C327" s="245" t="s">
        <v>261</v>
      </c>
      <c r="D327" s="246" t="s">
        <v>587</v>
      </c>
      <c r="E327" s="247">
        <v>1</v>
      </c>
      <c r="F327" s="247"/>
      <c r="G327" s="248"/>
      <c r="H327" s="247"/>
      <c r="I327" s="249" t="s">
        <v>282</v>
      </c>
      <c r="J327" s="249" t="s">
        <v>21</v>
      </c>
      <c r="K327" s="249" t="s">
        <v>36</v>
      </c>
      <c r="L327" s="250">
        <f t="shared" si="18"/>
        <v>1</v>
      </c>
      <c r="M327" s="237">
        <f t="array" ref="M327">INDEX('BKTT T4.26'!$N$12:$N$55,MATCH(V327,'BKTT T4.26'!$A$12:$A$55,0),0)</f>
        <v>576331</v>
      </c>
      <c r="N327" s="162">
        <f t="shared" si="21"/>
        <v>576331</v>
      </c>
      <c r="O327" s="238" t="s">
        <v>264</v>
      </c>
      <c r="P327" s="251" t="s">
        <v>1448</v>
      </c>
      <c r="R327" s="191" t="str">
        <f t="shared" si="19"/>
        <v>Cước vận chuyển Container hàng 20' tuyến đường PAN HA - NHĐV. BKS: 15C17301</v>
      </c>
      <c r="S327" s="191" t="str">
        <f t="shared" si="20"/>
        <v xml:space="preserve"> hàng 20' </v>
      </c>
      <c r="V327" s="191">
        <v>11</v>
      </c>
    </row>
    <row r="328" spans="1:22" s="191" customFormat="1" ht="15">
      <c r="A328" s="236">
        <v>317</v>
      </c>
      <c r="B328" s="244">
        <v>46118</v>
      </c>
      <c r="C328" s="245" t="s">
        <v>261</v>
      </c>
      <c r="D328" s="246" t="s">
        <v>588</v>
      </c>
      <c r="E328" s="247">
        <v>1</v>
      </c>
      <c r="F328" s="247"/>
      <c r="G328" s="248"/>
      <c r="H328" s="247"/>
      <c r="I328" s="249" t="s">
        <v>282</v>
      </c>
      <c r="J328" s="249" t="s">
        <v>21</v>
      </c>
      <c r="K328" s="249" t="s">
        <v>36</v>
      </c>
      <c r="L328" s="250">
        <f t="shared" si="18"/>
        <v>1</v>
      </c>
      <c r="M328" s="237">
        <f t="array" ref="M328">INDEX('BKTT T4.26'!$N$12:$N$55,MATCH(V328,'BKTT T4.26'!$A$12:$A$55,0),0)</f>
        <v>576331</v>
      </c>
      <c r="N328" s="162">
        <f t="shared" si="21"/>
        <v>576331</v>
      </c>
      <c r="O328" s="238" t="s">
        <v>264</v>
      </c>
      <c r="P328" s="251" t="s">
        <v>1448</v>
      </c>
      <c r="R328" s="191" t="str">
        <f t="shared" si="19"/>
        <v>Cước vận chuyển Container hàng 20' tuyến đường PAN HA - NHĐV. BKS: 15C17301</v>
      </c>
      <c r="S328" s="191" t="str">
        <f t="shared" si="20"/>
        <v xml:space="preserve"> hàng 20' </v>
      </c>
      <c r="V328" s="191">
        <v>11</v>
      </c>
    </row>
    <row r="329" spans="1:22" s="191" customFormat="1" ht="15">
      <c r="A329" s="236">
        <v>318</v>
      </c>
      <c r="B329" s="244">
        <v>46118</v>
      </c>
      <c r="C329" s="245" t="s">
        <v>261</v>
      </c>
      <c r="D329" s="246" t="s">
        <v>589</v>
      </c>
      <c r="E329" s="247">
        <v>1</v>
      </c>
      <c r="F329" s="247"/>
      <c r="G329" s="248"/>
      <c r="H329" s="247"/>
      <c r="I329" s="249" t="s">
        <v>282</v>
      </c>
      <c r="J329" s="249" t="s">
        <v>21</v>
      </c>
      <c r="K329" s="249" t="s">
        <v>36</v>
      </c>
      <c r="L329" s="250">
        <f t="shared" ref="L329:L392" si="22">E329+F329+G329+H329</f>
        <v>1</v>
      </c>
      <c r="M329" s="237">
        <f t="array" ref="M329">INDEX('BKTT T4.26'!$N$12:$N$55,MATCH(V329,'BKTT T4.26'!$A$12:$A$55,0),0)</f>
        <v>576331</v>
      </c>
      <c r="N329" s="162">
        <f t="shared" si="21"/>
        <v>576331</v>
      </c>
      <c r="O329" s="238" t="s">
        <v>264</v>
      </c>
      <c r="P329" s="251" t="s">
        <v>1448</v>
      </c>
      <c r="R329" s="191" t="str">
        <f t="shared" ref="R329:R392" si="23">$R$10&amp;S329&amp;$R$9&amp;J329&amp;$S$10&amp;K329&amp;$R$8&amp;I329</f>
        <v>Cước vận chuyển Container hàng 20' tuyến đường PAN HA - NHĐV. BKS: 15C17301</v>
      </c>
      <c r="S329" s="191" t="str">
        <f t="shared" ref="S329:S392" si="24">IF(E329=1," hàng 20' ",IF(F329=1," hàng 40' "," vỏ "))</f>
        <v xml:space="preserve"> hàng 20' </v>
      </c>
      <c r="V329" s="191">
        <v>11</v>
      </c>
    </row>
    <row r="330" spans="1:22" s="191" customFormat="1" ht="15">
      <c r="A330" s="236">
        <v>319</v>
      </c>
      <c r="B330" s="244">
        <v>46118</v>
      </c>
      <c r="C330" s="245" t="s">
        <v>261</v>
      </c>
      <c r="D330" s="246" t="s">
        <v>590</v>
      </c>
      <c r="E330" s="247"/>
      <c r="F330" s="247">
        <v>1</v>
      </c>
      <c r="G330" s="248"/>
      <c r="H330" s="247"/>
      <c r="I330" s="249" t="s">
        <v>282</v>
      </c>
      <c r="J330" s="249" t="s">
        <v>21</v>
      </c>
      <c r="K330" s="249" t="s">
        <v>25</v>
      </c>
      <c r="L330" s="250">
        <f t="shared" si="22"/>
        <v>1</v>
      </c>
      <c r="M330" s="237">
        <f t="array" ref="M330">INDEX('BKTT T4.26'!$N$12:$N$55,MATCH(V330,'BKTT T4.26'!$A$12:$A$55,0),0)</f>
        <v>681050</v>
      </c>
      <c r="N330" s="162">
        <f t="shared" si="21"/>
        <v>681050</v>
      </c>
      <c r="O330" s="238" t="s">
        <v>264</v>
      </c>
      <c r="P330" s="251" t="s">
        <v>1448</v>
      </c>
      <c r="R330" s="191" t="str">
        <f t="shared" si="23"/>
        <v>Cước vận chuyển Container hàng 40' tuyến đường PAN HA - HẢI AN,. BKS: 15C17301</v>
      </c>
      <c r="S330" s="191" t="str">
        <f t="shared" si="24"/>
        <v xml:space="preserve"> hàng 40' </v>
      </c>
      <c r="V330" s="191">
        <v>2</v>
      </c>
    </row>
    <row r="331" spans="1:22" s="191" customFormat="1" ht="15">
      <c r="A331" s="236">
        <v>320</v>
      </c>
      <c r="B331" s="244">
        <v>46118</v>
      </c>
      <c r="C331" s="245" t="s">
        <v>261</v>
      </c>
      <c r="D331" s="246" t="s">
        <v>591</v>
      </c>
      <c r="E331" s="247"/>
      <c r="F331" s="247"/>
      <c r="G331" s="248">
        <v>0.5</v>
      </c>
      <c r="H331" s="247"/>
      <c r="I331" s="249" t="s">
        <v>282</v>
      </c>
      <c r="J331" s="249" t="s">
        <v>21</v>
      </c>
      <c r="K331" s="249" t="s">
        <v>27</v>
      </c>
      <c r="L331" s="250">
        <f t="shared" si="22"/>
        <v>0.5</v>
      </c>
      <c r="M331" s="237">
        <f t="array" ref="M331">INDEX('BKTT T4.26'!$N$12:$N$55,MATCH(V331,'BKTT T4.26'!$A$12:$A$55,0),0)</f>
        <v>628690</v>
      </c>
      <c r="N331" s="162">
        <f t="shared" si="21"/>
        <v>314345</v>
      </c>
      <c r="O331" s="238" t="s">
        <v>264</v>
      </c>
      <c r="P331" s="251" t="s">
        <v>1494</v>
      </c>
      <c r="R331" s="191" t="str">
        <f t="shared" si="23"/>
        <v>Cước vận chuyển Container vỏ tuyến đường PAN HA - HẢI AN.. BKS: 15C17301</v>
      </c>
      <c r="S331" s="191" t="str">
        <f t="shared" si="24"/>
        <v xml:space="preserve"> vỏ </v>
      </c>
      <c r="V331" s="191">
        <v>3</v>
      </c>
    </row>
    <row r="332" spans="1:22" s="191" customFormat="1" ht="15">
      <c r="A332" s="236">
        <v>321</v>
      </c>
      <c r="B332" s="244">
        <v>46118</v>
      </c>
      <c r="C332" s="245" t="s">
        <v>261</v>
      </c>
      <c r="D332" s="246" t="s">
        <v>592</v>
      </c>
      <c r="E332" s="247"/>
      <c r="F332" s="247"/>
      <c r="G332" s="248">
        <v>0.5</v>
      </c>
      <c r="H332" s="247"/>
      <c r="I332" s="249" t="s">
        <v>282</v>
      </c>
      <c r="J332" s="249" t="s">
        <v>21</v>
      </c>
      <c r="K332" s="249" t="s">
        <v>27</v>
      </c>
      <c r="L332" s="250">
        <f t="shared" si="22"/>
        <v>0.5</v>
      </c>
      <c r="M332" s="237">
        <f t="array" ref="M332">INDEX('BKTT T4.26'!$N$12:$N$55,MATCH(V332,'BKTT T4.26'!$A$12:$A$55,0),0)</f>
        <v>628690</v>
      </c>
      <c r="N332" s="162">
        <f t="shared" si="21"/>
        <v>314345</v>
      </c>
      <c r="O332" s="238" t="s">
        <v>264</v>
      </c>
      <c r="P332" s="251" t="s">
        <v>1494</v>
      </c>
      <c r="R332" s="191" t="str">
        <f t="shared" si="23"/>
        <v>Cước vận chuyển Container vỏ tuyến đường PAN HA - HẢI AN.. BKS: 15C17301</v>
      </c>
      <c r="S332" s="191" t="str">
        <f t="shared" si="24"/>
        <v xml:space="preserve"> vỏ </v>
      </c>
      <c r="V332" s="191">
        <v>3</v>
      </c>
    </row>
    <row r="333" spans="1:22" s="191" customFormat="1" ht="15">
      <c r="A333" s="236">
        <v>322</v>
      </c>
      <c r="B333" s="244">
        <v>46118</v>
      </c>
      <c r="C333" s="245" t="s">
        <v>261</v>
      </c>
      <c r="D333" s="246" t="s">
        <v>593</v>
      </c>
      <c r="E333" s="247"/>
      <c r="F333" s="247">
        <v>1</v>
      </c>
      <c r="G333" s="248"/>
      <c r="H333" s="247"/>
      <c r="I333" s="249" t="s">
        <v>274</v>
      </c>
      <c r="J333" s="249" t="s">
        <v>21</v>
      </c>
      <c r="K333" s="249" t="s">
        <v>37</v>
      </c>
      <c r="L333" s="250">
        <f t="shared" si="22"/>
        <v>1</v>
      </c>
      <c r="M333" s="237">
        <f t="array" ref="M333">INDEX('BKTT T4.26'!$N$12:$N$55,MATCH(V333,'BKTT T4.26'!$A$12:$A$55,0),0)</f>
        <v>602510</v>
      </c>
      <c r="N333" s="162">
        <f t="shared" si="21"/>
        <v>602510</v>
      </c>
      <c r="O333" s="238" t="s">
        <v>264</v>
      </c>
      <c r="P333" s="251" t="s">
        <v>1448</v>
      </c>
      <c r="R333" s="191" t="str">
        <f t="shared" si="23"/>
        <v>Cước vận chuyển Container hàng 40' tuyến đường PAN HA - NHĐV,. BKS: 15H12925</v>
      </c>
      <c r="S333" s="191" t="str">
        <f t="shared" si="24"/>
        <v xml:space="preserve"> hàng 40' </v>
      </c>
      <c r="V333" s="191">
        <v>12</v>
      </c>
    </row>
    <row r="334" spans="1:22" s="191" customFormat="1" ht="15">
      <c r="A334" s="236">
        <v>323</v>
      </c>
      <c r="B334" s="244">
        <v>46118</v>
      </c>
      <c r="C334" s="245" t="s">
        <v>261</v>
      </c>
      <c r="D334" s="246" t="s">
        <v>594</v>
      </c>
      <c r="E334" s="247">
        <v>1</v>
      </c>
      <c r="F334" s="247"/>
      <c r="G334" s="248"/>
      <c r="H334" s="247"/>
      <c r="I334" s="249" t="s">
        <v>274</v>
      </c>
      <c r="J334" s="249" t="s">
        <v>21</v>
      </c>
      <c r="K334" s="249" t="s">
        <v>36</v>
      </c>
      <c r="L334" s="250">
        <f t="shared" si="22"/>
        <v>1</v>
      </c>
      <c r="M334" s="237">
        <f t="array" ref="M334">INDEX('BKTT T4.26'!$N$12:$N$55,MATCH(V334,'BKTT T4.26'!$A$12:$A$55,0),0)</f>
        <v>576331</v>
      </c>
      <c r="N334" s="162">
        <f t="shared" si="21"/>
        <v>576331</v>
      </c>
      <c r="O334" s="238" t="s">
        <v>264</v>
      </c>
      <c r="P334" s="251" t="s">
        <v>1448</v>
      </c>
      <c r="R334" s="191" t="str">
        <f t="shared" si="23"/>
        <v>Cước vận chuyển Container hàng 20' tuyến đường PAN HA - NHĐV. BKS: 15H12925</v>
      </c>
      <c r="S334" s="191" t="str">
        <f t="shared" si="24"/>
        <v xml:space="preserve"> hàng 20' </v>
      </c>
      <c r="V334" s="191">
        <v>11</v>
      </c>
    </row>
    <row r="335" spans="1:22" s="191" customFormat="1" ht="15">
      <c r="A335" s="236">
        <v>324</v>
      </c>
      <c r="B335" s="244">
        <v>46118</v>
      </c>
      <c r="C335" s="245" t="s">
        <v>261</v>
      </c>
      <c r="D335" s="246" t="s">
        <v>595</v>
      </c>
      <c r="E335" s="247"/>
      <c r="F335" s="247">
        <v>1</v>
      </c>
      <c r="G335" s="248"/>
      <c r="H335" s="247"/>
      <c r="I335" s="249" t="s">
        <v>274</v>
      </c>
      <c r="J335" s="249" t="s">
        <v>21</v>
      </c>
      <c r="K335" s="249" t="s">
        <v>25</v>
      </c>
      <c r="L335" s="250">
        <f t="shared" si="22"/>
        <v>1</v>
      </c>
      <c r="M335" s="237">
        <f t="array" ref="M335">INDEX('BKTT T4.26'!$N$12:$N$55,MATCH(V335,'BKTT T4.26'!$A$12:$A$55,0),0)</f>
        <v>681050</v>
      </c>
      <c r="N335" s="162">
        <f t="shared" si="21"/>
        <v>681050</v>
      </c>
      <c r="O335" s="238" t="s">
        <v>264</v>
      </c>
      <c r="P335" s="251" t="s">
        <v>1448</v>
      </c>
      <c r="R335" s="191" t="str">
        <f t="shared" si="23"/>
        <v>Cước vận chuyển Container hàng 40' tuyến đường PAN HA - HẢI AN,. BKS: 15H12925</v>
      </c>
      <c r="S335" s="191" t="str">
        <f t="shared" si="24"/>
        <v xml:space="preserve"> hàng 40' </v>
      </c>
      <c r="V335" s="191">
        <v>2</v>
      </c>
    </row>
    <row r="336" spans="1:22" s="191" customFormat="1" ht="15">
      <c r="A336" s="236">
        <v>325</v>
      </c>
      <c r="B336" s="244">
        <v>46118</v>
      </c>
      <c r="C336" s="245" t="s">
        <v>261</v>
      </c>
      <c r="D336" s="246" t="s">
        <v>596</v>
      </c>
      <c r="E336" s="247"/>
      <c r="F336" s="247">
        <v>1</v>
      </c>
      <c r="G336" s="248"/>
      <c r="H336" s="247"/>
      <c r="I336" s="249" t="s">
        <v>269</v>
      </c>
      <c r="J336" s="249" t="s">
        <v>21</v>
      </c>
      <c r="K336" s="249" t="s">
        <v>25</v>
      </c>
      <c r="L336" s="250">
        <f t="shared" si="22"/>
        <v>1</v>
      </c>
      <c r="M336" s="237">
        <f t="array" ref="M336">INDEX('BKTT T4.26'!$N$12:$N$55,MATCH(V336,'BKTT T4.26'!$A$12:$A$55,0),0)</f>
        <v>681050</v>
      </c>
      <c r="N336" s="162">
        <f t="shared" si="21"/>
        <v>681050</v>
      </c>
      <c r="O336" s="238" t="s">
        <v>264</v>
      </c>
      <c r="P336" s="251" t="s">
        <v>1448</v>
      </c>
      <c r="R336" s="191" t="str">
        <f t="shared" si="23"/>
        <v>Cước vận chuyển Container hàng 40' tuyến đường PAN HA - HẢI AN,. BKS: 15H07644</v>
      </c>
      <c r="S336" s="191" t="str">
        <f t="shared" si="24"/>
        <v xml:space="preserve"> hàng 40' </v>
      </c>
      <c r="V336" s="191">
        <v>2</v>
      </c>
    </row>
    <row r="337" spans="1:22" s="191" customFormat="1" ht="15">
      <c r="A337" s="236">
        <v>326</v>
      </c>
      <c r="B337" s="244">
        <v>46118</v>
      </c>
      <c r="C337" s="245" t="s">
        <v>261</v>
      </c>
      <c r="D337" s="246" t="s">
        <v>597</v>
      </c>
      <c r="E337" s="247">
        <v>1</v>
      </c>
      <c r="F337" s="247"/>
      <c r="G337" s="248"/>
      <c r="H337" s="247"/>
      <c r="I337" s="249" t="s">
        <v>269</v>
      </c>
      <c r="J337" s="249" t="s">
        <v>21</v>
      </c>
      <c r="K337" s="249" t="s">
        <v>22</v>
      </c>
      <c r="L337" s="250">
        <f t="shared" si="22"/>
        <v>1</v>
      </c>
      <c r="M337" s="237">
        <f t="array" ref="M337">INDEX('BKTT T4.26'!$N$12:$N$55,MATCH(V337,'BKTT T4.26'!$A$12:$A$55,0),0)</f>
        <v>654871</v>
      </c>
      <c r="N337" s="162">
        <f t="shared" si="21"/>
        <v>654871</v>
      </c>
      <c r="O337" s="238" t="s">
        <v>264</v>
      </c>
      <c r="P337" s="251" t="s">
        <v>1448</v>
      </c>
      <c r="R337" s="191" t="str">
        <f t="shared" si="23"/>
        <v>Cước vận chuyển Container hàng 20' tuyến đường PAN HA - HẢI AN. BKS: 15H07644</v>
      </c>
      <c r="S337" s="191" t="str">
        <f t="shared" si="24"/>
        <v xml:space="preserve"> hàng 20' </v>
      </c>
      <c r="V337" s="191">
        <v>1</v>
      </c>
    </row>
    <row r="338" spans="1:22" s="191" customFormat="1" ht="15">
      <c r="A338" s="236">
        <v>327</v>
      </c>
      <c r="B338" s="244">
        <v>46118</v>
      </c>
      <c r="C338" s="245" t="s">
        <v>261</v>
      </c>
      <c r="D338" s="246" t="s">
        <v>598</v>
      </c>
      <c r="E338" s="247">
        <v>1</v>
      </c>
      <c r="F338" s="247"/>
      <c r="G338" s="248"/>
      <c r="H338" s="247"/>
      <c r="I338" s="249" t="s">
        <v>269</v>
      </c>
      <c r="J338" s="249" t="s">
        <v>21</v>
      </c>
      <c r="K338" s="249" t="s">
        <v>22</v>
      </c>
      <c r="L338" s="250">
        <f t="shared" si="22"/>
        <v>1</v>
      </c>
      <c r="M338" s="237">
        <f t="array" ref="M338">INDEX('BKTT T4.26'!$N$12:$N$55,MATCH(V338,'BKTT T4.26'!$A$12:$A$55,0),0)</f>
        <v>654871</v>
      </c>
      <c r="N338" s="162">
        <f t="shared" si="21"/>
        <v>654871</v>
      </c>
      <c r="O338" s="238" t="s">
        <v>264</v>
      </c>
      <c r="P338" s="251" t="s">
        <v>1448</v>
      </c>
      <c r="R338" s="191" t="str">
        <f t="shared" si="23"/>
        <v>Cước vận chuyển Container hàng 20' tuyến đường PAN HA - HẢI AN. BKS: 15H07644</v>
      </c>
      <c r="S338" s="191" t="str">
        <f t="shared" si="24"/>
        <v xml:space="preserve"> hàng 20' </v>
      </c>
      <c r="V338" s="191">
        <v>1</v>
      </c>
    </row>
    <row r="339" spans="1:22" s="191" customFormat="1" ht="15">
      <c r="A339" s="236">
        <v>328</v>
      </c>
      <c r="B339" s="244">
        <v>46118</v>
      </c>
      <c r="C339" s="245" t="s">
        <v>261</v>
      </c>
      <c r="D339" s="246" t="s">
        <v>599</v>
      </c>
      <c r="E339" s="247">
        <v>1</v>
      </c>
      <c r="F339" s="247"/>
      <c r="G339" s="248"/>
      <c r="H339" s="247"/>
      <c r="I339" s="249" t="s">
        <v>269</v>
      </c>
      <c r="J339" s="249" t="s">
        <v>21</v>
      </c>
      <c r="K339" s="249" t="s">
        <v>36</v>
      </c>
      <c r="L339" s="250">
        <f t="shared" si="22"/>
        <v>1</v>
      </c>
      <c r="M339" s="237">
        <f t="array" ref="M339">INDEX('BKTT T4.26'!$N$12:$N$55,MATCH(V339,'BKTT T4.26'!$A$12:$A$55,0),0)</f>
        <v>576331</v>
      </c>
      <c r="N339" s="162">
        <f t="shared" si="21"/>
        <v>576331</v>
      </c>
      <c r="O339" s="238" t="s">
        <v>264</v>
      </c>
      <c r="P339" s="251" t="s">
        <v>1448</v>
      </c>
      <c r="R339" s="191" t="str">
        <f t="shared" si="23"/>
        <v>Cước vận chuyển Container hàng 20' tuyến đường PAN HA - NHĐV. BKS: 15H07644</v>
      </c>
      <c r="S339" s="191" t="str">
        <f t="shared" si="24"/>
        <v xml:space="preserve"> hàng 20' </v>
      </c>
      <c r="V339" s="191">
        <v>11</v>
      </c>
    </row>
    <row r="340" spans="1:22" s="191" customFormat="1" ht="15">
      <c r="A340" s="236">
        <v>329</v>
      </c>
      <c r="B340" s="244">
        <v>46118</v>
      </c>
      <c r="C340" s="245" t="s">
        <v>261</v>
      </c>
      <c r="D340" s="246" t="s">
        <v>600</v>
      </c>
      <c r="E340" s="247">
        <v>1</v>
      </c>
      <c r="F340" s="247"/>
      <c r="G340" s="248"/>
      <c r="H340" s="247"/>
      <c r="I340" s="249" t="s">
        <v>269</v>
      </c>
      <c r="J340" s="249" t="s">
        <v>21</v>
      </c>
      <c r="K340" s="249" t="s">
        <v>36</v>
      </c>
      <c r="L340" s="250">
        <f t="shared" si="22"/>
        <v>1</v>
      </c>
      <c r="M340" s="237">
        <f t="array" ref="M340">INDEX('BKTT T4.26'!$N$12:$N$55,MATCH(V340,'BKTT T4.26'!$A$12:$A$55,0),0)</f>
        <v>576331</v>
      </c>
      <c r="N340" s="162">
        <f t="shared" si="21"/>
        <v>576331</v>
      </c>
      <c r="O340" s="238" t="s">
        <v>264</v>
      </c>
      <c r="P340" s="251" t="s">
        <v>1448</v>
      </c>
      <c r="R340" s="191" t="str">
        <f t="shared" si="23"/>
        <v>Cước vận chuyển Container hàng 20' tuyến đường PAN HA - NHĐV. BKS: 15H07644</v>
      </c>
      <c r="S340" s="191" t="str">
        <f t="shared" si="24"/>
        <v xml:space="preserve"> hàng 20' </v>
      </c>
      <c r="V340" s="191">
        <v>11</v>
      </c>
    </row>
    <row r="341" spans="1:22" s="191" customFormat="1" ht="15">
      <c r="A341" s="236">
        <v>330</v>
      </c>
      <c r="B341" s="244">
        <v>46118</v>
      </c>
      <c r="C341" s="245" t="s">
        <v>261</v>
      </c>
      <c r="D341" s="246" t="s">
        <v>601</v>
      </c>
      <c r="E341" s="247">
        <v>1</v>
      </c>
      <c r="F341" s="247"/>
      <c r="G341" s="248"/>
      <c r="H341" s="247"/>
      <c r="I341" s="249" t="s">
        <v>269</v>
      </c>
      <c r="J341" s="249" t="s">
        <v>21</v>
      </c>
      <c r="K341" s="249" t="s">
        <v>36</v>
      </c>
      <c r="L341" s="250">
        <f t="shared" si="22"/>
        <v>1</v>
      </c>
      <c r="M341" s="237">
        <f t="array" ref="M341">INDEX('BKTT T4.26'!$N$12:$N$55,MATCH(V341,'BKTT T4.26'!$A$12:$A$55,0),0)</f>
        <v>576331</v>
      </c>
      <c r="N341" s="162">
        <f t="shared" si="21"/>
        <v>576331</v>
      </c>
      <c r="O341" s="238" t="s">
        <v>264</v>
      </c>
      <c r="P341" s="251" t="s">
        <v>1448</v>
      </c>
      <c r="R341" s="191" t="str">
        <f t="shared" si="23"/>
        <v>Cước vận chuyển Container hàng 20' tuyến đường PAN HA - NHĐV. BKS: 15H07644</v>
      </c>
      <c r="S341" s="191" t="str">
        <f t="shared" si="24"/>
        <v xml:space="preserve"> hàng 20' </v>
      </c>
      <c r="V341" s="191">
        <v>11</v>
      </c>
    </row>
    <row r="342" spans="1:22" s="283" customFormat="1" ht="15">
      <c r="A342" s="236">
        <v>331</v>
      </c>
      <c r="B342" s="272">
        <v>46118</v>
      </c>
      <c r="C342" s="273" t="s">
        <v>261</v>
      </c>
      <c r="D342" s="285" t="s">
        <v>1460</v>
      </c>
      <c r="E342" s="275">
        <v>1</v>
      </c>
      <c r="F342" s="275"/>
      <c r="G342" s="276"/>
      <c r="H342" s="275"/>
      <c r="I342" s="277" t="s">
        <v>269</v>
      </c>
      <c r="J342" s="249" t="s">
        <v>21</v>
      </c>
      <c r="K342" s="277" t="s">
        <v>36</v>
      </c>
      <c r="L342" s="278">
        <f t="shared" si="22"/>
        <v>1</v>
      </c>
      <c r="M342" s="279">
        <f t="array" ref="M342">INDEX('BKTT T4.26'!$N$12:$N$55,MATCH(V342,'BKTT T4.26'!$A$12:$A$55,0),0)</f>
        <v>576331</v>
      </c>
      <c r="N342" s="280">
        <f t="shared" si="21"/>
        <v>576331</v>
      </c>
      <c r="O342" s="281" t="s">
        <v>264</v>
      </c>
      <c r="P342" s="282" t="s">
        <v>1447</v>
      </c>
      <c r="R342" s="283" t="str">
        <f t="shared" si="23"/>
        <v>Cước vận chuyển Container hàng 20' tuyến đường PAN HA - NHĐV. BKS: 15H07644</v>
      </c>
      <c r="S342" s="283" t="str">
        <f t="shared" si="24"/>
        <v xml:space="preserve"> hàng 20' </v>
      </c>
      <c r="V342" s="191">
        <v>11</v>
      </c>
    </row>
    <row r="343" spans="1:22" s="191" customFormat="1" ht="15">
      <c r="A343" s="236">
        <v>332</v>
      </c>
      <c r="B343" s="244">
        <v>46118</v>
      </c>
      <c r="C343" s="245" t="s">
        <v>261</v>
      </c>
      <c r="D343" s="246" t="s">
        <v>602</v>
      </c>
      <c r="E343" s="247">
        <v>1</v>
      </c>
      <c r="F343" s="247"/>
      <c r="G343" s="248"/>
      <c r="H343" s="247"/>
      <c r="I343" s="249" t="s">
        <v>269</v>
      </c>
      <c r="J343" s="249" t="s">
        <v>21</v>
      </c>
      <c r="K343" s="249" t="s">
        <v>36</v>
      </c>
      <c r="L343" s="250">
        <f t="shared" si="22"/>
        <v>1</v>
      </c>
      <c r="M343" s="237">
        <f t="array" ref="M343">INDEX('BKTT T4.26'!$N$12:$N$55,MATCH(V343,'BKTT T4.26'!$A$12:$A$55,0),0)</f>
        <v>576331</v>
      </c>
      <c r="N343" s="162">
        <f t="shared" si="21"/>
        <v>576331</v>
      </c>
      <c r="O343" s="238" t="s">
        <v>264</v>
      </c>
      <c r="P343" s="251" t="s">
        <v>1448</v>
      </c>
      <c r="R343" s="191" t="str">
        <f t="shared" si="23"/>
        <v>Cước vận chuyển Container hàng 20' tuyến đường PAN HA - NHĐV. BKS: 15H07644</v>
      </c>
      <c r="S343" s="191" t="str">
        <f t="shared" si="24"/>
        <v xml:space="preserve"> hàng 20' </v>
      </c>
      <c r="V343" s="191">
        <v>11</v>
      </c>
    </row>
    <row r="344" spans="1:22" s="191" customFormat="1" ht="15">
      <c r="A344" s="236">
        <v>333</v>
      </c>
      <c r="B344" s="244">
        <v>46118</v>
      </c>
      <c r="C344" s="245" t="s">
        <v>261</v>
      </c>
      <c r="D344" s="246" t="s">
        <v>603</v>
      </c>
      <c r="E344" s="247">
        <v>1</v>
      </c>
      <c r="F344" s="247"/>
      <c r="G344" s="248"/>
      <c r="H344" s="247"/>
      <c r="I344" s="249" t="s">
        <v>269</v>
      </c>
      <c r="J344" s="249" t="s">
        <v>21</v>
      </c>
      <c r="K344" s="249" t="s">
        <v>36</v>
      </c>
      <c r="L344" s="250">
        <f t="shared" si="22"/>
        <v>1</v>
      </c>
      <c r="M344" s="237">
        <f t="array" ref="M344">INDEX('BKTT T4.26'!$N$12:$N$55,MATCH(V344,'BKTT T4.26'!$A$12:$A$55,0),0)</f>
        <v>576331</v>
      </c>
      <c r="N344" s="162">
        <f t="shared" si="21"/>
        <v>576331</v>
      </c>
      <c r="O344" s="238" t="s">
        <v>264</v>
      </c>
      <c r="P344" s="251" t="s">
        <v>1448</v>
      </c>
      <c r="R344" s="191" t="str">
        <f t="shared" si="23"/>
        <v>Cước vận chuyển Container hàng 20' tuyến đường PAN HA - NHĐV. BKS: 15H07644</v>
      </c>
      <c r="S344" s="191" t="str">
        <f t="shared" si="24"/>
        <v xml:space="preserve"> hàng 20' </v>
      </c>
      <c r="V344" s="191">
        <v>11</v>
      </c>
    </row>
    <row r="345" spans="1:22" s="191" customFormat="1" ht="15">
      <c r="A345" s="236">
        <v>334</v>
      </c>
      <c r="B345" s="244">
        <v>46118</v>
      </c>
      <c r="C345" s="245" t="s">
        <v>261</v>
      </c>
      <c r="D345" s="246" t="s">
        <v>604</v>
      </c>
      <c r="E345" s="247"/>
      <c r="F345" s="247"/>
      <c r="G345" s="248"/>
      <c r="H345" s="247">
        <v>1</v>
      </c>
      <c r="I345" s="249" t="s">
        <v>369</v>
      </c>
      <c r="J345" s="249" t="s">
        <v>21</v>
      </c>
      <c r="K345" s="249" t="s">
        <v>27</v>
      </c>
      <c r="L345" s="250">
        <f t="shared" si="22"/>
        <v>1</v>
      </c>
      <c r="M345" s="237">
        <f t="array" ref="M345">INDEX('BKTT T4.26'!$N$12:$N$55,MATCH(V345,'BKTT T4.26'!$A$12:$A$55,0),0)</f>
        <v>628690</v>
      </c>
      <c r="N345" s="162">
        <f t="shared" si="21"/>
        <v>628690</v>
      </c>
      <c r="O345" s="238" t="s">
        <v>264</v>
      </c>
      <c r="P345" s="251" t="s">
        <v>1448</v>
      </c>
      <c r="R345" s="191" t="str">
        <f t="shared" si="23"/>
        <v>Cước vận chuyển Container vỏ tuyến đường PAN HA - HẢI AN.. BKS: 15C15033</v>
      </c>
      <c r="S345" s="191" t="str">
        <f t="shared" si="24"/>
        <v xml:space="preserve"> vỏ </v>
      </c>
      <c r="V345" s="191">
        <v>3</v>
      </c>
    </row>
    <row r="346" spans="1:22" s="191" customFormat="1" ht="15">
      <c r="A346" s="236">
        <v>335</v>
      </c>
      <c r="B346" s="244">
        <v>46118</v>
      </c>
      <c r="C346" s="245" t="s">
        <v>261</v>
      </c>
      <c r="D346" s="246" t="s">
        <v>605</v>
      </c>
      <c r="E346" s="247"/>
      <c r="F346" s="247">
        <v>1</v>
      </c>
      <c r="G346" s="248"/>
      <c r="H346" s="247"/>
      <c r="I346" s="249" t="s">
        <v>369</v>
      </c>
      <c r="J346" s="249" t="s">
        <v>21</v>
      </c>
      <c r="K346" s="249" t="s">
        <v>25</v>
      </c>
      <c r="L346" s="250">
        <f t="shared" si="22"/>
        <v>1</v>
      </c>
      <c r="M346" s="237">
        <f t="array" ref="M346">INDEX('BKTT T4.26'!$N$12:$N$55,MATCH(V346,'BKTT T4.26'!$A$12:$A$55,0),0)</f>
        <v>681050</v>
      </c>
      <c r="N346" s="162">
        <f t="shared" si="21"/>
        <v>681050</v>
      </c>
      <c r="O346" s="238" t="s">
        <v>264</v>
      </c>
      <c r="P346" s="251" t="s">
        <v>1448</v>
      </c>
      <c r="R346" s="191" t="str">
        <f t="shared" si="23"/>
        <v>Cước vận chuyển Container hàng 40' tuyến đường PAN HA - HẢI AN,. BKS: 15C15033</v>
      </c>
      <c r="S346" s="191" t="str">
        <f t="shared" si="24"/>
        <v xml:space="preserve"> hàng 40' </v>
      </c>
      <c r="V346" s="191">
        <v>2</v>
      </c>
    </row>
    <row r="347" spans="1:22" s="191" customFormat="1" ht="15">
      <c r="A347" s="236">
        <v>336</v>
      </c>
      <c r="B347" s="244">
        <v>46118</v>
      </c>
      <c r="C347" s="245" t="s">
        <v>261</v>
      </c>
      <c r="D347" s="246" t="s">
        <v>606</v>
      </c>
      <c r="E347" s="247">
        <v>1</v>
      </c>
      <c r="F347" s="247"/>
      <c r="G347" s="248"/>
      <c r="H347" s="247"/>
      <c r="I347" s="249" t="s">
        <v>369</v>
      </c>
      <c r="J347" s="249" t="s">
        <v>21</v>
      </c>
      <c r="K347" s="249" t="s">
        <v>36</v>
      </c>
      <c r="L347" s="250">
        <f t="shared" si="22"/>
        <v>1</v>
      </c>
      <c r="M347" s="237">
        <f t="array" ref="M347">INDEX('BKTT T4.26'!$N$12:$N$55,MATCH(V347,'BKTT T4.26'!$A$12:$A$55,0),0)</f>
        <v>576331</v>
      </c>
      <c r="N347" s="162">
        <f t="shared" si="21"/>
        <v>576331</v>
      </c>
      <c r="O347" s="238" t="s">
        <v>264</v>
      </c>
      <c r="P347" s="251" t="s">
        <v>1448</v>
      </c>
      <c r="R347" s="191" t="str">
        <f t="shared" si="23"/>
        <v>Cước vận chuyển Container hàng 20' tuyến đường PAN HA - NHĐV. BKS: 15C15033</v>
      </c>
      <c r="S347" s="191" t="str">
        <f t="shared" si="24"/>
        <v xml:space="preserve"> hàng 20' </v>
      </c>
      <c r="V347" s="191">
        <v>11</v>
      </c>
    </row>
    <row r="348" spans="1:22" s="191" customFormat="1" ht="15">
      <c r="A348" s="236">
        <v>337</v>
      </c>
      <c r="B348" s="244">
        <v>46118</v>
      </c>
      <c r="C348" s="245" t="s">
        <v>261</v>
      </c>
      <c r="D348" s="246" t="s">
        <v>607</v>
      </c>
      <c r="E348" s="247">
        <v>1</v>
      </c>
      <c r="F348" s="247"/>
      <c r="G348" s="248"/>
      <c r="H348" s="247"/>
      <c r="I348" s="249" t="s">
        <v>369</v>
      </c>
      <c r="J348" s="249" t="s">
        <v>21</v>
      </c>
      <c r="K348" s="249" t="s">
        <v>36</v>
      </c>
      <c r="L348" s="250">
        <f t="shared" si="22"/>
        <v>1</v>
      </c>
      <c r="M348" s="237">
        <f t="array" ref="M348">INDEX('BKTT T4.26'!$N$12:$N$55,MATCH(V348,'BKTT T4.26'!$A$12:$A$55,0),0)</f>
        <v>576331</v>
      </c>
      <c r="N348" s="162">
        <f t="shared" si="21"/>
        <v>576331</v>
      </c>
      <c r="O348" s="238" t="s">
        <v>264</v>
      </c>
      <c r="P348" s="251" t="s">
        <v>1448</v>
      </c>
      <c r="R348" s="191" t="str">
        <f t="shared" si="23"/>
        <v>Cước vận chuyển Container hàng 20' tuyến đường PAN HA - NHĐV. BKS: 15C15033</v>
      </c>
      <c r="S348" s="191" t="str">
        <f t="shared" si="24"/>
        <v xml:space="preserve"> hàng 20' </v>
      </c>
      <c r="V348" s="191">
        <v>11</v>
      </c>
    </row>
    <row r="349" spans="1:22" s="191" customFormat="1" ht="15">
      <c r="A349" s="236">
        <v>338</v>
      </c>
      <c r="B349" s="244">
        <v>46118</v>
      </c>
      <c r="C349" s="245" t="s">
        <v>261</v>
      </c>
      <c r="D349" s="246" t="s">
        <v>608</v>
      </c>
      <c r="E349" s="247">
        <v>1</v>
      </c>
      <c r="F349" s="247"/>
      <c r="G349" s="248"/>
      <c r="H349" s="247"/>
      <c r="I349" s="249" t="s">
        <v>369</v>
      </c>
      <c r="J349" s="249" t="s">
        <v>21</v>
      </c>
      <c r="K349" s="249" t="s">
        <v>36</v>
      </c>
      <c r="L349" s="250">
        <f t="shared" si="22"/>
        <v>1</v>
      </c>
      <c r="M349" s="237">
        <f t="array" ref="M349">INDEX('BKTT T4.26'!$N$12:$N$55,MATCH(V349,'BKTT T4.26'!$A$12:$A$55,0),0)</f>
        <v>576331</v>
      </c>
      <c r="N349" s="162">
        <f t="shared" si="21"/>
        <v>576331</v>
      </c>
      <c r="O349" s="238" t="s">
        <v>264</v>
      </c>
      <c r="P349" s="251" t="s">
        <v>1448</v>
      </c>
      <c r="R349" s="191" t="str">
        <f t="shared" si="23"/>
        <v>Cước vận chuyển Container hàng 20' tuyến đường PAN HA - NHĐV. BKS: 15C15033</v>
      </c>
      <c r="S349" s="191" t="str">
        <f t="shared" si="24"/>
        <v xml:space="preserve"> hàng 20' </v>
      </c>
      <c r="V349" s="191">
        <v>11</v>
      </c>
    </row>
    <row r="350" spans="1:22" s="191" customFormat="1" ht="15">
      <c r="A350" s="236">
        <v>339</v>
      </c>
      <c r="B350" s="244">
        <v>46118</v>
      </c>
      <c r="C350" s="245" t="s">
        <v>261</v>
      </c>
      <c r="D350" s="246" t="s">
        <v>609</v>
      </c>
      <c r="E350" s="247">
        <v>1</v>
      </c>
      <c r="F350" s="247"/>
      <c r="G350" s="248"/>
      <c r="H350" s="247"/>
      <c r="I350" s="249" t="s">
        <v>369</v>
      </c>
      <c r="J350" s="249" t="s">
        <v>21</v>
      </c>
      <c r="K350" s="249" t="s">
        <v>36</v>
      </c>
      <c r="L350" s="250">
        <f t="shared" si="22"/>
        <v>1</v>
      </c>
      <c r="M350" s="237">
        <f t="array" ref="M350">INDEX('BKTT T4.26'!$N$12:$N$55,MATCH(V350,'BKTT T4.26'!$A$12:$A$55,0),0)</f>
        <v>576331</v>
      </c>
      <c r="N350" s="162">
        <f t="shared" si="21"/>
        <v>576331</v>
      </c>
      <c r="O350" s="238" t="s">
        <v>264</v>
      </c>
      <c r="P350" s="251" t="s">
        <v>1448</v>
      </c>
      <c r="R350" s="191" t="str">
        <f t="shared" si="23"/>
        <v>Cước vận chuyển Container hàng 20' tuyến đường PAN HA - NHĐV. BKS: 15C15033</v>
      </c>
      <c r="S350" s="191" t="str">
        <f t="shared" si="24"/>
        <v xml:space="preserve"> hàng 20' </v>
      </c>
      <c r="V350" s="191">
        <v>11</v>
      </c>
    </row>
    <row r="351" spans="1:22" s="191" customFormat="1" ht="15">
      <c r="A351" s="236">
        <v>340</v>
      </c>
      <c r="B351" s="244">
        <v>46118</v>
      </c>
      <c r="C351" s="245" t="s">
        <v>261</v>
      </c>
      <c r="D351" s="246" t="s">
        <v>610</v>
      </c>
      <c r="E351" s="247">
        <v>1</v>
      </c>
      <c r="F351" s="247"/>
      <c r="G351" s="248"/>
      <c r="H351" s="247"/>
      <c r="I351" s="249" t="s">
        <v>369</v>
      </c>
      <c r="J351" s="249" t="s">
        <v>21</v>
      </c>
      <c r="K351" s="249" t="s">
        <v>36</v>
      </c>
      <c r="L351" s="250">
        <f t="shared" si="22"/>
        <v>1</v>
      </c>
      <c r="M351" s="237">
        <f t="array" ref="M351">INDEX('BKTT T4.26'!$N$12:$N$55,MATCH(V351,'BKTT T4.26'!$A$12:$A$55,0),0)</f>
        <v>576331</v>
      </c>
      <c r="N351" s="162">
        <f t="shared" si="21"/>
        <v>576331</v>
      </c>
      <c r="O351" s="238" t="s">
        <v>264</v>
      </c>
      <c r="P351" s="251" t="s">
        <v>1448</v>
      </c>
      <c r="R351" s="191" t="str">
        <f t="shared" si="23"/>
        <v>Cước vận chuyển Container hàng 20' tuyến đường PAN HA - NHĐV. BKS: 15C15033</v>
      </c>
      <c r="S351" s="191" t="str">
        <f t="shared" si="24"/>
        <v xml:space="preserve"> hàng 20' </v>
      </c>
      <c r="V351" s="191">
        <v>11</v>
      </c>
    </row>
    <row r="352" spans="1:22" s="191" customFormat="1" ht="15">
      <c r="A352" s="236">
        <v>341</v>
      </c>
      <c r="B352" s="244">
        <v>46118</v>
      </c>
      <c r="C352" s="245" t="s">
        <v>261</v>
      </c>
      <c r="D352" s="246" t="s">
        <v>611</v>
      </c>
      <c r="E352" s="247">
        <v>1</v>
      </c>
      <c r="F352" s="247"/>
      <c r="G352" s="248"/>
      <c r="H352" s="247"/>
      <c r="I352" s="249" t="s">
        <v>369</v>
      </c>
      <c r="J352" s="249" t="s">
        <v>21</v>
      </c>
      <c r="K352" s="249" t="s">
        <v>36</v>
      </c>
      <c r="L352" s="250">
        <f t="shared" si="22"/>
        <v>1</v>
      </c>
      <c r="M352" s="237">
        <f t="array" ref="M352">INDEX('BKTT T4.26'!$N$12:$N$55,MATCH(V352,'BKTT T4.26'!$A$12:$A$55,0),0)</f>
        <v>576331</v>
      </c>
      <c r="N352" s="162">
        <f t="shared" si="21"/>
        <v>576331</v>
      </c>
      <c r="O352" s="238" t="s">
        <v>264</v>
      </c>
      <c r="P352" s="251" t="s">
        <v>1448</v>
      </c>
      <c r="R352" s="191" t="str">
        <f t="shared" si="23"/>
        <v>Cước vận chuyển Container hàng 20' tuyến đường PAN HA - NHĐV. BKS: 15C15033</v>
      </c>
      <c r="S352" s="191" t="str">
        <f t="shared" si="24"/>
        <v xml:space="preserve"> hàng 20' </v>
      </c>
      <c r="V352" s="191">
        <v>11</v>
      </c>
    </row>
    <row r="353" spans="1:22" s="191" customFormat="1" ht="15">
      <c r="A353" s="236">
        <v>342</v>
      </c>
      <c r="B353" s="244">
        <v>46118</v>
      </c>
      <c r="C353" s="245" t="s">
        <v>261</v>
      </c>
      <c r="D353" s="246" t="s">
        <v>612</v>
      </c>
      <c r="E353" s="247">
        <v>1</v>
      </c>
      <c r="F353" s="247"/>
      <c r="G353" s="248"/>
      <c r="H353" s="247"/>
      <c r="I353" s="249" t="s">
        <v>304</v>
      </c>
      <c r="J353" s="249" t="s">
        <v>21</v>
      </c>
      <c r="K353" s="249" t="s">
        <v>22</v>
      </c>
      <c r="L353" s="250">
        <f t="shared" si="22"/>
        <v>1</v>
      </c>
      <c r="M353" s="237">
        <f t="array" ref="M353">INDEX('BKTT T4.26'!$N$12:$N$55,MATCH(V353,'BKTT T4.26'!$A$12:$A$55,0),0)</f>
        <v>654871</v>
      </c>
      <c r="N353" s="162">
        <f t="shared" si="21"/>
        <v>654871</v>
      </c>
      <c r="O353" s="238" t="s">
        <v>264</v>
      </c>
      <c r="P353" s="251" t="s">
        <v>1448</v>
      </c>
      <c r="R353" s="191" t="str">
        <f t="shared" si="23"/>
        <v>Cước vận chuyển Container hàng 20' tuyến đường PAN HA - HẢI AN. BKS: 15C09877</v>
      </c>
      <c r="S353" s="191" t="str">
        <f t="shared" si="24"/>
        <v xml:space="preserve"> hàng 20' </v>
      </c>
      <c r="V353" s="191">
        <v>1</v>
      </c>
    </row>
    <row r="354" spans="1:22" s="191" customFormat="1" ht="15">
      <c r="A354" s="236">
        <v>343</v>
      </c>
      <c r="B354" s="244">
        <v>46118</v>
      </c>
      <c r="C354" s="245" t="s">
        <v>261</v>
      </c>
      <c r="D354" s="246" t="s">
        <v>613</v>
      </c>
      <c r="E354" s="247">
        <v>1</v>
      </c>
      <c r="F354" s="247"/>
      <c r="G354" s="248"/>
      <c r="H354" s="247"/>
      <c r="I354" s="249" t="s">
        <v>304</v>
      </c>
      <c r="J354" s="249" t="s">
        <v>21</v>
      </c>
      <c r="K354" s="249" t="s">
        <v>22</v>
      </c>
      <c r="L354" s="250">
        <f t="shared" si="22"/>
        <v>1</v>
      </c>
      <c r="M354" s="237">
        <f t="array" ref="M354">INDEX('BKTT T4.26'!$N$12:$N$55,MATCH(V354,'BKTT T4.26'!$A$12:$A$55,0),0)</f>
        <v>654871</v>
      </c>
      <c r="N354" s="162">
        <f t="shared" si="21"/>
        <v>654871</v>
      </c>
      <c r="O354" s="238" t="s">
        <v>264</v>
      </c>
      <c r="P354" s="251" t="s">
        <v>1448</v>
      </c>
      <c r="R354" s="191" t="str">
        <f t="shared" si="23"/>
        <v>Cước vận chuyển Container hàng 20' tuyến đường PAN HA - HẢI AN. BKS: 15C09877</v>
      </c>
      <c r="S354" s="191" t="str">
        <f t="shared" si="24"/>
        <v xml:space="preserve"> hàng 20' </v>
      </c>
      <c r="V354" s="191">
        <v>1</v>
      </c>
    </row>
    <row r="355" spans="1:22" s="191" customFormat="1" ht="15">
      <c r="A355" s="236">
        <v>344</v>
      </c>
      <c r="B355" s="244">
        <v>46118</v>
      </c>
      <c r="C355" s="245" t="s">
        <v>261</v>
      </c>
      <c r="D355" s="246" t="s">
        <v>614</v>
      </c>
      <c r="E355" s="247">
        <v>1</v>
      </c>
      <c r="F355" s="247"/>
      <c r="G355" s="248"/>
      <c r="H355" s="247"/>
      <c r="I355" s="249" t="s">
        <v>304</v>
      </c>
      <c r="J355" s="249" t="s">
        <v>21</v>
      </c>
      <c r="K355" s="249" t="s">
        <v>22</v>
      </c>
      <c r="L355" s="250">
        <f t="shared" si="22"/>
        <v>1</v>
      </c>
      <c r="M355" s="237">
        <f t="array" ref="M355">INDEX('BKTT T4.26'!$N$12:$N$55,MATCH(V355,'BKTT T4.26'!$A$12:$A$55,0),0)</f>
        <v>654871</v>
      </c>
      <c r="N355" s="162">
        <f t="shared" si="21"/>
        <v>654871</v>
      </c>
      <c r="O355" s="238" t="s">
        <v>264</v>
      </c>
      <c r="P355" s="251" t="s">
        <v>1448</v>
      </c>
      <c r="R355" s="191" t="str">
        <f t="shared" si="23"/>
        <v>Cước vận chuyển Container hàng 20' tuyến đường PAN HA - HẢI AN. BKS: 15C09877</v>
      </c>
      <c r="S355" s="191" t="str">
        <f t="shared" si="24"/>
        <v xml:space="preserve"> hàng 20' </v>
      </c>
      <c r="V355" s="191">
        <v>1</v>
      </c>
    </row>
    <row r="356" spans="1:22" s="191" customFormat="1" ht="15">
      <c r="A356" s="236">
        <v>345</v>
      </c>
      <c r="B356" s="244">
        <v>46118</v>
      </c>
      <c r="C356" s="245" t="s">
        <v>261</v>
      </c>
      <c r="D356" s="246" t="s">
        <v>615</v>
      </c>
      <c r="E356" s="247">
        <v>1</v>
      </c>
      <c r="F356" s="247"/>
      <c r="G356" s="248"/>
      <c r="H356" s="247"/>
      <c r="I356" s="249" t="s">
        <v>304</v>
      </c>
      <c r="J356" s="249" t="s">
        <v>21</v>
      </c>
      <c r="K356" s="249" t="s">
        <v>22</v>
      </c>
      <c r="L356" s="250">
        <f t="shared" si="22"/>
        <v>1</v>
      </c>
      <c r="M356" s="237">
        <f t="array" ref="M356">INDEX('BKTT T4.26'!$N$12:$N$55,MATCH(V356,'BKTT T4.26'!$A$12:$A$55,0),0)</f>
        <v>654871</v>
      </c>
      <c r="N356" s="162">
        <f t="shared" si="21"/>
        <v>654871</v>
      </c>
      <c r="O356" s="238" t="s">
        <v>264</v>
      </c>
      <c r="P356" s="251" t="s">
        <v>1448</v>
      </c>
      <c r="R356" s="191" t="str">
        <f t="shared" si="23"/>
        <v>Cước vận chuyển Container hàng 20' tuyến đường PAN HA - HẢI AN. BKS: 15C09877</v>
      </c>
      <c r="S356" s="191" t="str">
        <f t="shared" si="24"/>
        <v xml:space="preserve"> hàng 20' </v>
      </c>
      <c r="V356" s="191">
        <v>1</v>
      </c>
    </row>
    <row r="357" spans="1:22" s="191" customFormat="1" ht="15">
      <c r="A357" s="236">
        <v>346</v>
      </c>
      <c r="B357" s="244">
        <v>46118</v>
      </c>
      <c r="C357" s="245" t="s">
        <v>261</v>
      </c>
      <c r="D357" s="246" t="s">
        <v>616</v>
      </c>
      <c r="E357" s="247">
        <v>1</v>
      </c>
      <c r="F357" s="247"/>
      <c r="G357" s="248"/>
      <c r="H357" s="247"/>
      <c r="I357" s="249" t="s">
        <v>304</v>
      </c>
      <c r="J357" s="249" t="s">
        <v>21</v>
      </c>
      <c r="K357" s="249" t="s">
        <v>22</v>
      </c>
      <c r="L357" s="250">
        <f t="shared" si="22"/>
        <v>1</v>
      </c>
      <c r="M357" s="237">
        <f t="array" ref="M357">INDEX('BKTT T4.26'!$N$12:$N$55,MATCH(V357,'BKTT T4.26'!$A$12:$A$55,0),0)</f>
        <v>654871</v>
      </c>
      <c r="N357" s="162">
        <f t="shared" si="21"/>
        <v>654871</v>
      </c>
      <c r="O357" s="238" t="s">
        <v>264</v>
      </c>
      <c r="P357" s="251" t="s">
        <v>1448</v>
      </c>
      <c r="R357" s="191" t="str">
        <f t="shared" si="23"/>
        <v>Cước vận chuyển Container hàng 20' tuyến đường PAN HA - HẢI AN. BKS: 15C09877</v>
      </c>
      <c r="S357" s="191" t="str">
        <f t="shared" si="24"/>
        <v xml:space="preserve"> hàng 20' </v>
      </c>
      <c r="V357" s="191">
        <v>1</v>
      </c>
    </row>
    <row r="358" spans="1:22" s="191" customFormat="1" ht="15">
      <c r="A358" s="236">
        <v>347</v>
      </c>
      <c r="B358" s="244">
        <v>46118</v>
      </c>
      <c r="C358" s="245" t="s">
        <v>261</v>
      </c>
      <c r="D358" s="246" t="s">
        <v>617</v>
      </c>
      <c r="E358" s="247">
        <v>1</v>
      </c>
      <c r="F358" s="247"/>
      <c r="G358" s="248"/>
      <c r="H358" s="247"/>
      <c r="I358" s="249" t="s">
        <v>304</v>
      </c>
      <c r="J358" s="249" t="s">
        <v>21</v>
      </c>
      <c r="K358" s="249" t="s">
        <v>22</v>
      </c>
      <c r="L358" s="250">
        <f t="shared" si="22"/>
        <v>1</v>
      </c>
      <c r="M358" s="237">
        <f t="array" ref="M358">INDEX('BKTT T4.26'!$N$12:$N$55,MATCH(V358,'BKTT T4.26'!$A$12:$A$55,0),0)</f>
        <v>654871</v>
      </c>
      <c r="N358" s="162">
        <f t="shared" si="21"/>
        <v>654871</v>
      </c>
      <c r="O358" s="238" t="s">
        <v>264</v>
      </c>
      <c r="P358" s="251" t="s">
        <v>1448</v>
      </c>
      <c r="R358" s="191" t="str">
        <f t="shared" si="23"/>
        <v>Cước vận chuyển Container hàng 20' tuyến đường PAN HA - HẢI AN. BKS: 15C09877</v>
      </c>
      <c r="S358" s="191" t="str">
        <f t="shared" si="24"/>
        <v xml:space="preserve"> hàng 20' </v>
      </c>
      <c r="V358" s="191">
        <v>1</v>
      </c>
    </row>
    <row r="359" spans="1:22" s="191" customFormat="1" ht="15">
      <c r="A359" s="236">
        <v>348</v>
      </c>
      <c r="B359" s="244">
        <v>46118</v>
      </c>
      <c r="C359" s="245" t="s">
        <v>261</v>
      </c>
      <c r="D359" s="246" t="s">
        <v>618</v>
      </c>
      <c r="E359" s="247"/>
      <c r="F359" s="247">
        <v>1</v>
      </c>
      <c r="G359" s="248"/>
      <c r="H359" s="247"/>
      <c r="I359" s="249" t="s">
        <v>304</v>
      </c>
      <c r="J359" s="249" t="s">
        <v>21</v>
      </c>
      <c r="K359" s="249" t="s">
        <v>25</v>
      </c>
      <c r="L359" s="250">
        <f t="shared" si="22"/>
        <v>1</v>
      </c>
      <c r="M359" s="237">
        <f t="array" ref="M359">INDEX('BKTT T4.26'!$N$12:$N$55,MATCH(V359,'BKTT T4.26'!$A$12:$A$55,0),0)</f>
        <v>681050</v>
      </c>
      <c r="N359" s="162">
        <f t="shared" si="21"/>
        <v>681050</v>
      </c>
      <c r="O359" s="238" t="s">
        <v>264</v>
      </c>
      <c r="P359" s="251" t="s">
        <v>1448</v>
      </c>
      <c r="R359" s="191" t="str">
        <f t="shared" si="23"/>
        <v>Cước vận chuyển Container hàng 40' tuyến đường PAN HA - HẢI AN,. BKS: 15C09877</v>
      </c>
      <c r="S359" s="191" t="str">
        <f t="shared" si="24"/>
        <v xml:space="preserve"> hàng 40' </v>
      </c>
      <c r="V359" s="191">
        <v>2</v>
      </c>
    </row>
    <row r="360" spans="1:22" s="191" customFormat="1" ht="15">
      <c r="A360" s="236">
        <v>349</v>
      </c>
      <c r="B360" s="244">
        <v>46118</v>
      </c>
      <c r="C360" s="245" t="s">
        <v>261</v>
      </c>
      <c r="D360" s="246" t="s">
        <v>619</v>
      </c>
      <c r="E360" s="247"/>
      <c r="F360" s="247">
        <v>1</v>
      </c>
      <c r="G360" s="248"/>
      <c r="H360" s="247"/>
      <c r="I360" s="249" t="s">
        <v>335</v>
      </c>
      <c r="J360" s="249" t="s">
        <v>21</v>
      </c>
      <c r="K360" s="249" t="s">
        <v>25</v>
      </c>
      <c r="L360" s="250">
        <f t="shared" si="22"/>
        <v>1</v>
      </c>
      <c r="M360" s="237">
        <f t="array" ref="M360">INDEX('BKTT T4.26'!$N$12:$N$55,MATCH(V360,'BKTT T4.26'!$A$12:$A$55,0),0)</f>
        <v>681050</v>
      </c>
      <c r="N360" s="162">
        <f t="shared" si="21"/>
        <v>681050</v>
      </c>
      <c r="O360" s="238" t="s">
        <v>264</v>
      </c>
      <c r="P360" s="251" t="s">
        <v>1448</v>
      </c>
      <c r="R360" s="191" t="str">
        <f t="shared" si="23"/>
        <v>Cước vận chuyển Container hàng 40' tuyến đường PAN HA - HẢI AN,. BKS: 15H18552</v>
      </c>
      <c r="S360" s="191" t="str">
        <f t="shared" si="24"/>
        <v xml:space="preserve"> hàng 40' </v>
      </c>
      <c r="V360" s="191">
        <v>2</v>
      </c>
    </row>
    <row r="361" spans="1:22" s="191" customFormat="1" ht="15">
      <c r="A361" s="236">
        <v>350</v>
      </c>
      <c r="B361" s="244">
        <v>46118</v>
      </c>
      <c r="C361" s="245" t="s">
        <v>261</v>
      </c>
      <c r="D361" s="246" t="s">
        <v>620</v>
      </c>
      <c r="E361" s="247"/>
      <c r="F361" s="247">
        <v>1</v>
      </c>
      <c r="G361" s="248"/>
      <c r="H361" s="247"/>
      <c r="I361" s="249" t="s">
        <v>335</v>
      </c>
      <c r="J361" s="249" t="s">
        <v>21</v>
      </c>
      <c r="K361" s="249" t="s">
        <v>25</v>
      </c>
      <c r="L361" s="250">
        <f t="shared" si="22"/>
        <v>1</v>
      </c>
      <c r="M361" s="237">
        <f t="array" ref="M361">INDEX('BKTT T4.26'!$N$12:$N$55,MATCH(V361,'BKTT T4.26'!$A$12:$A$55,0),0)</f>
        <v>681050</v>
      </c>
      <c r="N361" s="162">
        <f t="shared" si="21"/>
        <v>681050</v>
      </c>
      <c r="O361" s="238" t="s">
        <v>264</v>
      </c>
      <c r="P361" s="251" t="s">
        <v>1448</v>
      </c>
      <c r="R361" s="191" t="str">
        <f t="shared" si="23"/>
        <v>Cước vận chuyển Container hàng 40' tuyến đường PAN HA - HẢI AN,. BKS: 15H18552</v>
      </c>
      <c r="S361" s="191" t="str">
        <f t="shared" si="24"/>
        <v xml:space="preserve"> hàng 40' </v>
      </c>
      <c r="V361" s="191">
        <v>2</v>
      </c>
    </row>
    <row r="362" spans="1:22" s="191" customFormat="1" ht="15">
      <c r="A362" s="236">
        <v>351</v>
      </c>
      <c r="B362" s="244">
        <v>46118</v>
      </c>
      <c r="C362" s="245" t="s">
        <v>261</v>
      </c>
      <c r="D362" s="246" t="s">
        <v>621</v>
      </c>
      <c r="E362" s="247"/>
      <c r="F362" s="247"/>
      <c r="G362" s="248">
        <v>0.5</v>
      </c>
      <c r="H362" s="247"/>
      <c r="I362" s="249" t="s">
        <v>335</v>
      </c>
      <c r="J362" s="249" t="s">
        <v>21</v>
      </c>
      <c r="K362" s="249" t="s">
        <v>27</v>
      </c>
      <c r="L362" s="250">
        <f t="shared" si="22"/>
        <v>0.5</v>
      </c>
      <c r="M362" s="237">
        <f t="array" ref="M362">INDEX('BKTT T4.26'!$N$12:$N$55,MATCH(V362,'BKTT T4.26'!$A$12:$A$55,0),0)</f>
        <v>628690</v>
      </c>
      <c r="N362" s="162">
        <f t="shared" si="21"/>
        <v>314345</v>
      </c>
      <c r="O362" s="238" t="s">
        <v>264</v>
      </c>
      <c r="P362" s="251" t="s">
        <v>1448</v>
      </c>
      <c r="R362" s="191" t="str">
        <f t="shared" si="23"/>
        <v>Cước vận chuyển Container vỏ tuyến đường PAN HA - HẢI AN.. BKS: 15H18552</v>
      </c>
      <c r="S362" s="191" t="str">
        <f t="shared" si="24"/>
        <v xml:space="preserve"> vỏ </v>
      </c>
      <c r="V362" s="191">
        <v>3</v>
      </c>
    </row>
    <row r="363" spans="1:22" s="191" customFormat="1" ht="15">
      <c r="A363" s="236">
        <v>352</v>
      </c>
      <c r="B363" s="244">
        <v>46118</v>
      </c>
      <c r="C363" s="245" t="s">
        <v>261</v>
      </c>
      <c r="D363" s="246" t="s">
        <v>622</v>
      </c>
      <c r="E363" s="247"/>
      <c r="F363" s="247"/>
      <c r="G363" s="248">
        <v>0.5</v>
      </c>
      <c r="H363" s="247"/>
      <c r="I363" s="249" t="s">
        <v>335</v>
      </c>
      <c r="J363" s="249" t="s">
        <v>21</v>
      </c>
      <c r="K363" s="249" t="s">
        <v>27</v>
      </c>
      <c r="L363" s="250">
        <f t="shared" si="22"/>
        <v>0.5</v>
      </c>
      <c r="M363" s="237">
        <f t="array" ref="M363">INDEX('BKTT T4.26'!$N$12:$N$55,MATCH(V363,'BKTT T4.26'!$A$12:$A$55,0),0)</f>
        <v>628690</v>
      </c>
      <c r="N363" s="162">
        <f t="shared" si="21"/>
        <v>314345</v>
      </c>
      <c r="O363" s="238" t="s">
        <v>264</v>
      </c>
      <c r="P363" s="251" t="s">
        <v>1448</v>
      </c>
      <c r="R363" s="191" t="str">
        <f t="shared" si="23"/>
        <v>Cước vận chuyển Container vỏ tuyến đường PAN HA - HẢI AN.. BKS: 15H18552</v>
      </c>
      <c r="S363" s="191" t="str">
        <f t="shared" si="24"/>
        <v xml:space="preserve"> vỏ </v>
      </c>
      <c r="V363" s="191">
        <v>3</v>
      </c>
    </row>
    <row r="364" spans="1:22" s="191" customFormat="1" ht="15">
      <c r="A364" s="236">
        <v>353</v>
      </c>
      <c r="B364" s="244">
        <v>46118</v>
      </c>
      <c r="C364" s="245" t="s">
        <v>261</v>
      </c>
      <c r="D364" s="246" t="s">
        <v>623</v>
      </c>
      <c r="E364" s="247">
        <v>1</v>
      </c>
      <c r="F364" s="247"/>
      <c r="G364" s="248"/>
      <c r="H364" s="247"/>
      <c r="I364" s="249" t="s">
        <v>335</v>
      </c>
      <c r="J364" s="249" t="s">
        <v>21</v>
      </c>
      <c r="K364" s="249" t="s">
        <v>36</v>
      </c>
      <c r="L364" s="250">
        <f t="shared" si="22"/>
        <v>1</v>
      </c>
      <c r="M364" s="237">
        <f t="array" ref="M364">INDEX('BKTT T4.26'!$N$12:$N$55,MATCH(V364,'BKTT T4.26'!$A$12:$A$55,0),0)</f>
        <v>576331</v>
      </c>
      <c r="N364" s="162">
        <f t="shared" si="21"/>
        <v>576331</v>
      </c>
      <c r="O364" s="238" t="s">
        <v>264</v>
      </c>
      <c r="P364" s="251" t="s">
        <v>1448</v>
      </c>
      <c r="R364" s="191" t="str">
        <f t="shared" si="23"/>
        <v>Cước vận chuyển Container hàng 20' tuyến đường PAN HA - NHĐV. BKS: 15H18552</v>
      </c>
      <c r="S364" s="191" t="str">
        <f t="shared" si="24"/>
        <v xml:space="preserve"> hàng 20' </v>
      </c>
      <c r="V364" s="191">
        <v>11</v>
      </c>
    </row>
    <row r="365" spans="1:22" s="191" customFormat="1" ht="15">
      <c r="A365" s="236">
        <v>354</v>
      </c>
      <c r="B365" s="244">
        <v>46118</v>
      </c>
      <c r="C365" s="245" t="s">
        <v>261</v>
      </c>
      <c r="D365" s="246" t="s">
        <v>624</v>
      </c>
      <c r="E365" s="247">
        <v>1</v>
      </c>
      <c r="F365" s="247"/>
      <c r="G365" s="248"/>
      <c r="H365" s="247"/>
      <c r="I365" s="249" t="s">
        <v>263</v>
      </c>
      <c r="J365" s="249" t="s">
        <v>21</v>
      </c>
      <c r="K365" s="249" t="s">
        <v>22</v>
      </c>
      <c r="L365" s="250">
        <f t="shared" si="22"/>
        <v>1</v>
      </c>
      <c r="M365" s="237">
        <f t="array" ref="M365">INDEX('BKTT T4.26'!$N$12:$N$55,MATCH(V365,'BKTT T4.26'!$A$12:$A$55,0),0)</f>
        <v>654871</v>
      </c>
      <c r="N365" s="162">
        <f t="shared" si="21"/>
        <v>654871</v>
      </c>
      <c r="O365" s="238" t="s">
        <v>264</v>
      </c>
      <c r="P365" s="251" t="s">
        <v>1448</v>
      </c>
      <c r="R365" s="191" t="str">
        <f t="shared" si="23"/>
        <v>Cước vận chuyển Container hàng 20' tuyến đường PAN HA - HẢI AN. BKS: 15C17442</v>
      </c>
      <c r="S365" s="191" t="str">
        <f t="shared" si="24"/>
        <v xml:space="preserve"> hàng 20' </v>
      </c>
      <c r="V365" s="191">
        <v>1</v>
      </c>
    </row>
    <row r="366" spans="1:22" s="283" customFormat="1" ht="15">
      <c r="A366" s="236">
        <v>355</v>
      </c>
      <c r="B366" s="272">
        <v>46118</v>
      </c>
      <c r="C366" s="273" t="s">
        <v>261</v>
      </c>
      <c r="D366" s="285" t="s">
        <v>1461</v>
      </c>
      <c r="E366" s="275">
        <v>1</v>
      </c>
      <c r="F366" s="275"/>
      <c r="G366" s="276"/>
      <c r="H366" s="275"/>
      <c r="I366" s="277" t="s">
        <v>263</v>
      </c>
      <c r="J366" s="249" t="s">
        <v>21</v>
      </c>
      <c r="K366" s="277" t="s">
        <v>22</v>
      </c>
      <c r="L366" s="278">
        <f t="shared" si="22"/>
        <v>1</v>
      </c>
      <c r="M366" s="279">
        <f t="array" ref="M366">INDEX('BKTT T4.26'!$N$12:$N$55,MATCH(V366,'BKTT T4.26'!$A$12:$A$55,0),0)</f>
        <v>654871</v>
      </c>
      <c r="N366" s="280">
        <f t="shared" si="21"/>
        <v>654871</v>
      </c>
      <c r="O366" s="281" t="s">
        <v>264</v>
      </c>
      <c r="P366" s="282" t="s">
        <v>1447</v>
      </c>
      <c r="R366" s="283" t="str">
        <f t="shared" si="23"/>
        <v>Cước vận chuyển Container hàng 20' tuyến đường PAN HA - HẢI AN. BKS: 15C17442</v>
      </c>
      <c r="S366" s="283" t="str">
        <f t="shared" si="24"/>
        <v xml:space="preserve"> hàng 20' </v>
      </c>
      <c r="V366" s="191">
        <v>1</v>
      </c>
    </row>
    <row r="367" spans="1:22" s="283" customFormat="1" ht="15">
      <c r="A367" s="236">
        <v>356</v>
      </c>
      <c r="B367" s="272">
        <v>46118</v>
      </c>
      <c r="C367" s="273" t="s">
        <v>261</v>
      </c>
      <c r="D367" s="285" t="s">
        <v>1462</v>
      </c>
      <c r="E367" s="275">
        <v>1</v>
      </c>
      <c r="F367" s="275"/>
      <c r="G367" s="276"/>
      <c r="H367" s="275"/>
      <c r="I367" s="277" t="s">
        <v>263</v>
      </c>
      <c r="J367" s="249" t="s">
        <v>21</v>
      </c>
      <c r="K367" s="277" t="s">
        <v>22</v>
      </c>
      <c r="L367" s="278">
        <f t="shared" si="22"/>
        <v>1</v>
      </c>
      <c r="M367" s="279">
        <f t="array" ref="M367">INDEX('BKTT T4.26'!$N$12:$N$55,MATCH(V367,'BKTT T4.26'!$A$12:$A$55,0),0)</f>
        <v>654871</v>
      </c>
      <c r="N367" s="280">
        <f t="shared" si="21"/>
        <v>654871</v>
      </c>
      <c r="O367" s="281" t="s">
        <v>264</v>
      </c>
      <c r="P367" s="282" t="s">
        <v>1447</v>
      </c>
      <c r="R367" s="283" t="str">
        <f t="shared" si="23"/>
        <v>Cước vận chuyển Container hàng 20' tuyến đường PAN HA - HẢI AN. BKS: 15C17442</v>
      </c>
      <c r="S367" s="283" t="str">
        <f t="shared" si="24"/>
        <v xml:space="preserve"> hàng 20' </v>
      </c>
      <c r="V367" s="191">
        <v>1</v>
      </c>
    </row>
    <row r="368" spans="1:22" s="191" customFormat="1" ht="15">
      <c r="A368" s="236">
        <v>357</v>
      </c>
      <c r="B368" s="244">
        <v>46118</v>
      </c>
      <c r="C368" s="245" t="s">
        <v>261</v>
      </c>
      <c r="D368" s="246" t="s">
        <v>625</v>
      </c>
      <c r="E368" s="247">
        <v>1</v>
      </c>
      <c r="F368" s="247"/>
      <c r="G368" s="248"/>
      <c r="H368" s="247"/>
      <c r="I368" s="249" t="s">
        <v>263</v>
      </c>
      <c r="J368" s="249" t="s">
        <v>21</v>
      </c>
      <c r="K368" s="249" t="s">
        <v>22</v>
      </c>
      <c r="L368" s="250">
        <f t="shared" si="22"/>
        <v>1</v>
      </c>
      <c r="M368" s="237">
        <f t="array" ref="M368">INDEX('BKTT T4.26'!$N$12:$N$55,MATCH(V368,'BKTT T4.26'!$A$12:$A$55,0),0)</f>
        <v>654871</v>
      </c>
      <c r="N368" s="162">
        <f t="shared" si="21"/>
        <v>654871</v>
      </c>
      <c r="O368" s="238" t="s">
        <v>264</v>
      </c>
      <c r="P368" s="251" t="s">
        <v>1448</v>
      </c>
      <c r="R368" s="191" t="str">
        <f t="shared" si="23"/>
        <v>Cước vận chuyển Container hàng 20' tuyến đường PAN HA - HẢI AN. BKS: 15C17442</v>
      </c>
      <c r="S368" s="191" t="str">
        <f t="shared" si="24"/>
        <v xml:space="preserve"> hàng 20' </v>
      </c>
      <c r="V368" s="191">
        <v>1</v>
      </c>
    </row>
    <row r="369" spans="1:22" s="191" customFormat="1" ht="15">
      <c r="A369" s="236">
        <v>358</v>
      </c>
      <c r="B369" s="244">
        <v>46118</v>
      </c>
      <c r="C369" s="245" t="s">
        <v>261</v>
      </c>
      <c r="D369" s="246" t="s">
        <v>626</v>
      </c>
      <c r="E369" s="247">
        <v>1</v>
      </c>
      <c r="F369" s="247"/>
      <c r="G369" s="248"/>
      <c r="H369" s="247"/>
      <c r="I369" s="249" t="s">
        <v>263</v>
      </c>
      <c r="J369" s="249" t="s">
        <v>21</v>
      </c>
      <c r="K369" s="249" t="s">
        <v>22</v>
      </c>
      <c r="L369" s="250">
        <f t="shared" si="22"/>
        <v>1</v>
      </c>
      <c r="M369" s="237">
        <f t="array" ref="M369">INDEX('BKTT T4.26'!$N$12:$N$55,MATCH(V369,'BKTT T4.26'!$A$12:$A$55,0),0)</f>
        <v>654871</v>
      </c>
      <c r="N369" s="162">
        <f t="shared" si="21"/>
        <v>654871</v>
      </c>
      <c r="O369" s="238" t="s">
        <v>264</v>
      </c>
      <c r="P369" s="251" t="s">
        <v>1448</v>
      </c>
      <c r="R369" s="191" t="str">
        <f t="shared" si="23"/>
        <v>Cước vận chuyển Container hàng 20' tuyến đường PAN HA - HẢI AN. BKS: 15C17442</v>
      </c>
      <c r="S369" s="191" t="str">
        <f t="shared" si="24"/>
        <v xml:space="preserve"> hàng 20' </v>
      </c>
      <c r="V369" s="191">
        <v>1</v>
      </c>
    </row>
    <row r="370" spans="1:22" s="191" customFormat="1" ht="15">
      <c r="A370" s="236">
        <v>359</v>
      </c>
      <c r="B370" s="244">
        <v>46118</v>
      </c>
      <c r="C370" s="245" t="s">
        <v>261</v>
      </c>
      <c r="D370" s="246" t="s">
        <v>627</v>
      </c>
      <c r="E370" s="247">
        <v>1</v>
      </c>
      <c r="F370" s="247"/>
      <c r="G370" s="248"/>
      <c r="H370" s="247"/>
      <c r="I370" s="249" t="s">
        <v>263</v>
      </c>
      <c r="J370" s="249" t="s">
        <v>21</v>
      </c>
      <c r="K370" s="249" t="s">
        <v>22</v>
      </c>
      <c r="L370" s="250">
        <f t="shared" si="22"/>
        <v>1</v>
      </c>
      <c r="M370" s="237">
        <f t="array" ref="M370">INDEX('BKTT T4.26'!$N$12:$N$55,MATCH(V370,'BKTT T4.26'!$A$12:$A$55,0),0)</f>
        <v>654871</v>
      </c>
      <c r="N370" s="162">
        <f t="shared" si="21"/>
        <v>654871</v>
      </c>
      <c r="O370" s="238" t="s">
        <v>264</v>
      </c>
      <c r="P370" s="251" t="s">
        <v>1448</v>
      </c>
      <c r="R370" s="191" t="str">
        <f t="shared" si="23"/>
        <v>Cước vận chuyển Container hàng 20' tuyến đường PAN HA - HẢI AN. BKS: 15C17442</v>
      </c>
      <c r="S370" s="191" t="str">
        <f t="shared" si="24"/>
        <v xml:space="preserve"> hàng 20' </v>
      </c>
      <c r="V370" s="191">
        <v>1</v>
      </c>
    </row>
    <row r="371" spans="1:22" s="191" customFormat="1" ht="15">
      <c r="A371" s="236">
        <v>360</v>
      </c>
      <c r="B371" s="244">
        <v>46118</v>
      </c>
      <c r="C371" s="245" t="s">
        <v>261</v>
      </c>
      <c r="D371" s="246" t="s">
        <v>628</v>
      </c>
      <c r="E371" s="247">
        <v>1</v>
      </c>
      <c r="F371" s="247"/>
      <c r="G371" s="248"/>
      <c r="H371" s="247"/>
      <c r="I371" s="249" t="s">
        <v>279</v>
      </c>
      <c r="J371" s="249" t="s">
        <v>21</v>
      </c>
      <c r="K371" s="249" t="s">
        <v>22</v>
      </c>
      <c r="L371" s="250">
        <f t="shared" si="22"/>
        <v>1</v>
      </c>
      <c r="M371" s="237">
        <f t="array" ref="M371">INDEX('BKTT T4.26'!$N$12:$N$55,MATCH(V371,'BKTT T4.26'!$A$12:$A$55,0),0)</f>
        <v>654871</v>
      </c>
      <c r="N371" s="162">
        <f t="shared" si="21"/>
        <v>654871</v>
      </c>
      <c r="O371" s="238" t="s">
        <v>264</v>
      </c>
      <c r="P371" s="251" t="s">
        <v>1448</v>
      </c>
      <c r="R371" s="191" t="str">
        <f t="shared" si="23"/>
        <v>Cước vận chuyển Container hàng 20' tuyến đường PAN HA - HẢI AN. BKS: 15H07524</v>
      </c>
      <c r="S371" s="191" t="str">
        <f t="shared" si="24"/>
        <v xml:space="preserve"> hàng 20' </v>
      </c>
      <c r="V371" s="191">
        <v>1</v>
      </c>
    </row>
    <row r="372" spans="1:22" s="191" customFormat="1" ht="15">
      <c r="A372" s="236">
        <v>361</v>
      </c>
      <c r="B372" s="244">
        <v>46118</v>
      </c>
      <c r="C372" s="245" t="s">
        <v>261</v>
      </c>
      <c r="D372" s="246" t="s">
        <v>629</v>
      </c>
      <c r="E372" s="247">
        <v>1</v>
      </c>
      <c r="F372" s="247"/>
      <c r="G372" s="248"/>
      <c r="H372" s="247"/>
      <c r="I372" s="249" t="s">
        <v>279</v>
      </c>
      <c r="J372" s="249" t="s">
        <v>21</v>
      </c>
      <c r="K372" s="249" t="s">
        <v>22</v>
      </c>
      <c r="L372" s="250">
        <f t="shared" si="22"/>
        <v>1</v>
      </c>
      <c r="M372" s="237">
        <f t="array" ref="M372">INDEX('BKTT T4.26'!$N$12:$N$55,MATCH(V372,'BKTT T4.26'!$A$12:$A$55,0),0)</f>
        <v>654871</v>
      </c>
      <c r="N372" s="162">
        <f t="shared" si="21"/>
        <v>654871</v>
      </c>
      <c r="O372" s="238" t="s">
        <v>264</v>
      </c>
      <c r="P372" s="251" t="s">
        <v>1448</v>
      </c>
      <c r="R372" s="191" t="str">
        <f t="shared" si="23"/>
        <v>Cước vận chuyển Container hàng 20' tuyến đường PAN HA - HẢI AN. BKS: 15H07524</v>
      </c>
      <c r="S372" s="191" t="str">
        <f t="shared" si="24"/>
        <v xml:space="preserve"> hàng 20' </v>
      </c>
      <c r="V372" s="191">
        <v>1</v>
      </c>
    </row>
    <row r="373" spans="1:22" s="191" customFormat="1" ht="15">
      <c r="A373" s="236">
        <v>362</v>
      </c>
      <c r="B373" s="244">
        <v>46118</v>
      </c>
      <c r="C373" s="245" t="s">
        <v>261</v>
      </c>
      <c r="D373" s="246" t="s">
        <v>630</v>
      </c>
      <c r="E373" s="247">
        <v>1</v>
      </c>
      <c r="F373" s="247"/>
      <c r="G373" s="248"/>
      <c r="H373" s="247"/>
      <c r="I373" s="249" t="s">
        <v>279</v>
      </c>
      <c r="J373" s="249" t="s">
        <v>21</v>
      </c>
      <c r="K373" s="249" t="s">
        <v>22</v>
      </c>
      <c r="L373" s="250">
        <f t="shared" si="22"/>
        <v>1</v>
      </c>
      <c r="M373" s="237">
        <f t="array" ref="M373">INDEX('BKTT T4.26'!$N$12:$N$55,MATCH(V373,'BKTT T4.26'!$A$12:$A$55,0),0)</f>
        <v>654871</v>
      </c>
      <c r="N373" s="162">
        <f t="shared" si="21"/>
        <v>654871</v>
      </c>
      <c r="O373" s="238" t="s">
        <v>264</v>
      </c>
      <c r="P373" s="251" t="s">
        <v>1448</v>
      </c>
      <c r="R373" s="191" t="str">
        <f t="shared" si="23"/>
        <v>Cước vận chuyển Container hàng 20' tuyến đường PAN HA - HẢI AN. BKS: 15H07524</v>
      </c>
      <c r="S373" s="191" t="str">
        <f t="shared" si="24"/>
        <v xml:space="preserve"> hàng 20' </v>
      </c>
      <c r="V373" s="191">
        <v>1</v>
      </c>
    </row>
    <row r="374" spans="1:22" s="191" customFormat="1" ht="15">
      <c r="A374" s="236">
        <v>363</v>
      </c>
      <c r="B374" s="244">
        <v>46118</v>
      </c>
      <c r="C374" s="245" t="s">
        <v>261</v>
      </c>
      <c r="D374" s="246" t="s">
        <v>631</v>
      </c>
      <c r="E374" s="247">
        <v>1</v>
      </c>
      <c r="F374" s="247"/>
      <c r="G374" s="248"/>
      <c r="H374" s="247"/>
      <c r="I374" s="249" t="s">
        <v>279</v>
      </c>
      <c r="J374" s="249" t="s">
        <v>21</v>
      </c>
      <c r="K374" s="249" t="s">
        <v>22</v>
      </c>
      <c r="L374" s="250">
        <f t="shared" si="22"/>
        <v>1</v>
      </c>
      <c r="M374" s="237">
        <f t="array" ref="M374">INDEX('BKTT T4.26'!$N$12:$N$55,MATCH(V374,'BKTT T4.26'!$A$12:$A$55,0),0)</f>
        <v>654871</v>
      </c>
      <c r="N374" s="162">
        <f t="shared" si="21"/>
        <v>654871</v>
      </c>
      <c r="O374" s="238" t="s">
        <v>264</v>
      </c>
      <c r="P374" s="251" t="s">
        <v>1448</v>
      </c>
      <c r="R374" s="191" t="str">
        <f t="shared" si="23"/>
        <v>Cước vận chuyển Container hàng 20' tuyến đường PAN HA - HẢI AN. BKS: 15H07524</v>
      </c>
      <c r="S374" s="191" t="str">
        <f t="shared" si="24"/>
        <v xml:space="preserve"> hàng 20' </v>
      </c>
      <c r="V374" s="191">
        <v>1</v>
      </c>
    </row>
    <row r="375" spans="1:22" s="191" customFormat="1" ht="15">
      <c r="A375" s="236">
        <v>364</v>
      </c>
      <c r="B375" s="244">
        <v>46118</v>
      </c>
      <c r="C375" s="245" t="s">
        <v>261</v>
      </c>
      <c r="D375" s="246" t="s">
        <v>632</v>
      </c>
      <c r="E375" s="247">
        <v>1</v>
      </c>
      <c r="F375" s="247"/>
      <c r="G375" s="248"/>
      <c r="H375" s="247"/>
      <c r="I375" s="249" t="s">
        <v>279</v>
      </c>
      <c r="J375" s="249" t="s">
        <v>21</v>
      </c>
      <c r="K375" s="249" t="s">
        <v>22</v>
      </c>
      <c r="L375" s="250">
        <f t="shared" si="22"/>
        <v>1</v>
      </c>
      <c r="M375" s="237">
        <f t="array" ref="M375">INDEX('BKTT T4.26'!$N$12:$N$55,MATCH(V375,'BKTT T4.26'!$A$12:$A$55,0),0)</f>
        <v>654871</v>
      </c>
      <c r="N375" s="162">
        <f t="shared" si="21"/>
        <v>654871</v>
      </c>
      <c r="O375" s="238" t="s">
        <v>264</v>
      </c>
      <c r="P375" s="251" t="s">
        <v>1448</v>
      </c>
      <c r="R375" s="191" t="str">
        <f t="shared" si="23"/>
        <v>Cước vận chuyển Container hàng 20' tuyến đường PAN HA - HẢI AN. BKS: 15H07524</v>
      </c>
      <c r="S375" s="191" t="str">
        <f t="shared" si="24"/>
        <v xml:space="preserve"> hàng 20' </v>
      </c>
      <c r="V375" s="191">
        <v>1</v>
      </c>
    </row>
    <row r="376" spans="1:22" s="191" customFormat="1" ht="15">
      <c r="A376" s="236">
        <v>365</v>
      </c>
      <c r="B376" s="244">
        <v>46118</v>
      </c>
      <c r="C376" s="245" t="s">
        <v>261</v>
      </c>
      <c r="D376" s="246" t="s">
        <v>633</v>
      </c>
      <c r="E376" s="247">
        <v>1</v>
      </c>
      <c r="F376" s="247"/>
      <c r="G376" s="248"/>
      <c r="H376" s="247"/>
      <c r="I376" s="249" t="s">
        <v>279</v>
      </c>
      <c r="J376" s="249" t="s">
        <v>21</v>
      </c>
      <c r="K376" s="249" t="s">
        <v>22</v>
      </c>
      <c r="L376" s="250">
        <f t="shared" si="22"/>
        <v>1</v>
      </c>
      <c r="M376" s="237">
        <f t="array" ref="M376">INDEX('BKTT T4.26'!$N$12:$N$55,MATCH(V376,'BKTT T4.26'!$A$12:$A$55,0),0)</f>
        <v>654871</v>
      </c>
      <c r="N376" s="162">
        <f t="shared" si="21"/>
        <v>654871</v>
      </c>
      <c r="O376" s="238" t="s">
        <v>264</v>
      </c>
      <c r="P376" s="251" t="s">
        <v>1448</v>
      </c>
      <c r="R376" s="191" t="str">
        <f t="shared" si="23"/>
        <v>Cước vận chuyển Container hàng 20' tuyến đường PAN HA - HẢI AN. BKS: 15H07524</v>
      </c>
      <c r="S376" s="191" t="str">
        <f t="shared" si="24"/>
        <v xml:space="preserve"> hàng 20' </v>
      </c>
      <c r="V376" s="191">
        <v>1</v>
      </c>
    </row>
    <row r="377" spans="1:22" s="191" customFormat="1" ht="15">
      <c r="A377" s="236">
        <v>366</v>
      </c>
      <c r="B377" s="244">
        <v>46118</v>
      </c>
      <c r="C377" s="245" t="s">
        <v>261</v>
      </c>
      <c r="D377" s="246" t="s">
        <v>634</v>
      </c>
      <c r="E377" s="247"/>
      <c r="F377" s="247"/>
      <c r="G377" s="248">
        <v>0.5</v>
      </c>
      <c r="H377" s="247"/>
      <c r="I377" s="249" t="s">
        <v>279</v>
      </c>
      <c r="J377" s="249" t="s">
        <v>21</v>
      </c>
      <c r="K377" s="249" t="s">
        <v>27</v>
      </c>
      <c r="L377" s="250">
        <f t="shared" si="22"/>
        <v>0.5</v>
      </c>
      <c r="M377" s="237">
        <f t="array" ref="M377">INDEX('BKTT T4.26'!$N$12:$N$55,MATCH(V377,'BKTT T4.26'!$A$12:$A$55,0),0)</f>
        <v>628690</v>
      </c>
      <c r="N377" s="162">
        <f t="shared" si="21"/>
        <v>314345</v>
      </c>
      <c r="O377" s="238" t="s">
        <v>264</v>
      </c>
      <c r="P377" s="251" t="s">
        <v>1448</v>
      </c>
      <c r="R377" s="191" t="str">
        <f t="shared" si="23"/>
        <v>Cước vận chuyển Container vỏ tuyến đường PAN HA - HẢI AN.. BKS: 15H07524</v>
      </c>
      <c r="S377" s="191" t="str">
        <f t="shared" si="24"/>
        <v xml:space="preserve"> vỏ </v>
      </c>
      <c r="V377" s="191">
        <v>3</v>
      </c>
    </row>
    <row r="378" spans="1:22" s="191" customFormat="1" ht="15">
      <c r="A378" s="236">
        <v>367</v>
      </c>
      <c r="B378" s="244">
        <v>46118</v>
      </c>
      <c r="C378" s="245" t="s">
        <v>261</v>
      </c>
      <c r="D378" s="246" t="s">
        <v>635</v>
      </c>
      <c r="E378" s="247"/>
      <c r="F378" s="247"/>
      <c r="G378" s="248">
        <v>0.5</v>
      </c>
      <c r="H378" s="247"/>
      <c r="I378" s="249" t="s">
        <v>279</v>
      </c>
      <c r="J378" s="249" t="s">
        <v>21</v>
      </c>
      <c r="K378" s="249" t="s">
        <v>27</v>
      </c>
      <c r="L378" s="250">
        <f t="shared" si="22"/>
        <v>0.5</v>
      </c>
      <c r="M378" s="237">
        <f t="array" ref="M378">INDEX('BKTT T4.26'!$N$12:$N$55,MATCH(V378,'BKTT T4.26'!$A$12:$A$55,0),0)</f>
        <v>628690</v>
      </c>
      <c r="N378" s="162">
        <f t="shared" si="21"/>
        <v>314345</v>
      </c>
      <c r="O378" s="238" t="s">
        <v>264</v>
      </c>
      <c r="P378" s="251" t="s">
        <v>1448</v>
      </c>
      <c r="R378" s="191" t="str">
        <f t="shared" si="23"/>
        <v>Cước vận chuyển Container vỏ tuyến đường PAN HA - HẢI AN.. BKS: 15H07524</v>
      </c>
      <c r="S378" s="191" t="str">
        <f t="shared" si="24"/>
        <v xml:space="preserve"> vỏ </v>
      </c>
      <c r="V378" s="191">
        <v>3</v>
      </c>
    </row>
    <row r="379" spans="1:22" s="191" customFormat="1" ht="15">
      <c r="A379" s="236">
        <v>368</v>
      </c>
      <c r="B379" s="244">
        <v>46118</v>
      </c>
      <c r="C379" s="245" t="s">
        <v>261</v>
      </c>
      <c r="D379" s="246" t="s">
        <v>636</v>
      </c>
      <c r="E379" s="247">
        <v>1</v>
      </c>
      <c r="F379" s="247"/>
      <c r="G379" s="248"/>
      <c r="H379" s="247"/>
      <c r="I379" s="249" t="s">
        <v>279</v>
      </c>
      <c r="J379" s="249" t="s">
        <v>21</v>
      </c>
      <c r="K379" s="249" t="s">
        <v>36</v>
      </c>
      <c r="L379" s="250">
        <f t="shared" si="22"/>
        <v>1</v>
      </c>
      <c r="M379" s="237">
        <f t="array" ref="M379">INDEX('BKTT T4.26'!$N$12:$N$55,MATCH(V379,'BKTT T4.26'!$A$12:$A$55,0),0)</f>
        <v>576331</v>
      </c>
      <c r="N379" s="162">
        <f t="shared" si="21"/>
        <v>576331</v>
      </c>
      <c r="O379" s="238" t="s">
        <v>264</v>
      </c>
      <c r="P379" s="251" t="s">
        <v>1448</v>
      </c>
      <c r="R379" s="191" t="str">
        <f t="shared" si="23"/>
        <v>Cước vận chuyển Container hàng 20' tuyến đường PAN HA - NHĐV. BKS: 15H07524</v>
      </c>
      <c r="S379" s="191" t="str">
        <f t="shared" si="24"/>
        <v xml:space="preserve"> hàng 20' </v>
      </c>
      <c r="V379" s="191">
        <v>11</v>
      </c>
    </row>
    <row r="380" spans="1:22" s="191" customFormat="1" ht="15">
      <c r="A380" s="236">
        <v>369</v>
      </c>
      <c r="B380" s="244">
        <v>46118</v>
      </c>
      <c r="C380" s="245" t="s">
        <v>261</v>
      </c>
      <c r="D380" s="246" t="s">
        <v>637</v>
      </c>
      <c r="E380" s="247">
        <v>1</v>
      </c>
      <c r="F380" s="247"/>
      <c r="G380" s="248"/>
      <c r="H380" s="247"/>
      <c r="I380" s="249" t="s">
        <v>279</v>
      </c>
      <c r="J380" s="249" t="s">
        <v>21</v>
      </c>
      <c r="K380" s="249" t="s">
        <v>36</v>
      </c>
      <c r="L380" s="250">
        <f t="shared" si="22"/>
        <v>1</v>
      </c>
      <c r="M380" s="237">
        <f t="array" ref="M380">INDEX('BKTT T4.26'!$N$12:$N$55,MATCH(V380,'BKTT T4.26'!$A$12:$A$55,0),0)</f>
        <v>576331</v>
      </c>
      <c r="N380" s="162">
        <f t="shared" si="21"/>
        <v>576331</v>
      </c>
      <c r="O380" s="238" t="s">
        <v>264</v>
      </c>
      <c r="P380" s="251" t="s">
        <v>1448</v>
      </c>
      <c r="R380" s="191" t="str">
        <f t="shared" si="23"/>
        <v>Cước vận chuyển Container hàng 20' tuyến đường PAN HA - NHĐV. BKS: 15H07524</v>
      </c>
      <c r="S380" s="191" t="str">
        <f t="shared" si="24"/>
        <v xml:space="preserve"> hàng 20' </v>
      </c>
      <c r="V380" s="191">
        <v>11</v>
      </c>
    </row>
    <row r="381" spans="1:22" s="191" customFormat="1" ht="15">
      <c r="A381" s="236">
        <v>370</v>
      </c>
      <c r="B381" s="244">
        <v>46118</v>
      </c>
      <c r="C381" s="245" t="s">
        <v>261</v>
      </c>
      <c r="D381" s="246" t="s">
        <v>638</v>
      </c>
      <c r="E381" s="247">
        <v>1</v>
      </c>
      <c r="F381" s="247"/>
      <c r="G381" s="248"/>
      <c r="H381" s="247"/>
      <c r="I381" s="249" t="s">
        <v>279</v>
      </c>
      <c r="J381" s="249" t="s">
        <v>21</v>
      </c>
      <c r="K381" s="249" t="s">
        <v>36</v>
      </c>
      <c r="L381" s="250">
        <f t="shared" si="22"/>
        <v>1</v>
      </c>
      <c r="M381" s="237">
        <f t="array" ref="M381">INDEX('BKTT T4.26'!$N$12:$N$55,MATCH(V381,'BKTT T4.26'!$A$12:$A$55,0),0)</f>
        <v>576331</v>
      </c>
      <c r="N381" s="162">
        <f t="shared" si="21"/>
        <v>576331</v>
      </c>
      <c r="O381" s="238" t="s">
        <v>264</v>
      </c>
      <c r="P381" s="251" t="s">
        <v>1448</v>
      </c>
      <c r="R381" s="191" t="str">
        <f t="shared" si="23"/>
        <v>Cước vận chuyển Container hàng 20' tuyến đường PAN HA - NHĐV. BKS: 15H07524</v>
      </c>
      <c r="S381" s="191" t="str">
        <f t="shared" si="24"/>
        <v xml:space="preserve"> hàng 20' </v>
      </c>
      <c r="V381" s="191">
        <v>11</v>
      </c>
    </row>
    <row r="382" spans="1:22" s="283" customFormat="1" ht="15">
      <c r="A382" s="236">
        <v>371</v>
      </c>
      <c r="B382" s="272">
        <v>46118</v>
      </c>
      <c r="C382" s="273" t="s">
        <v>261</v>
      </c>
      <c r="D382" s="285" t="s">
        <v>1463</v>
      </c>
      <c r="E382" s="275">
        <v>1</v>
      </c>
      <c r="F382" s="275"/>
      <c r="G382" s="276"/>
      <c r="H382" s="275"/>
      <c r="I382" s="277" t="s">
        <v>279</v>
      </c>
      <c r="J382" s="249" t="s">
        <v>21</v>
      </c>
      <c r="K382" s="277" t="s">
        <v>36</v>
      </c>
      <c r="L382" s="278">
        <f t="shared" si="22"/>
        <v>1</v>
      </c>
      <c r="M382" s="279">
        <f t="array" ref="M382">INDEX('BKTT T4.26'!$N$12:$N$55,MATCH(V382,'BKTT T4.26'!$A$12:$A$55,0),0)</f>
        <v>576331</v>
      </c>
      <c r="N382" s="280">
        <f t="shared" si="21"/>
        <v>576331</v>
      </c>
      <c r="O382" s="281" t="s">
        <v>264</v>
      </c>
      <c r="P382" s="282" t="s">
        <v>1447</v>
      </c>
      <c r="R382" s="283" t="str">
        <f t="shared" si="23"/>
        <v>Cước vận chuyển Container hàng 20' tuyến đường PAN HA - NHĐV. BKS: 15H07524</v>
      </c>
      <c r="S382" s="283" t="str">
        <f t="shared" si="24"/>
        <v xml:space="preserve"> hàng 20' </v>
      </c>
      <c r="V382" s="191">
        <v>11</v>
      </c>
    </row>
    <row r="383" spans="1:22" s="191" customFormat="1" ht="15">
      <c r="A383" s="236">
        <v>372</v>
      </c>
      <c r="B383" s="244">
        <v>46118</v>
      </c>
      <c r="C383" s="245" t="s">
        <v>261</v>
      </c>
      <c r="D383" s="246" t="s">
        <v>639</v>
      </c>
      <c r="E383" s="247">
        <v>1</v>
      </c>
      <c r="F383" s="247"/>
      <c r="G383" s="248"/>
      <c r="H383" s="247"/>
      <c r="I383" s="249" t="s">
        <v>279</v>
      </c>
      <c r="J383" s="249" t="s">
        <v>21</v>
      </c>
      <c r="K383" s="249" t="s">
        <v>36</v>
      </c>
      <c r="L383" s="250">
        <f t="shared" si="22"/>
        <v>1</v>
      </c>
      <c r="M383" s="237">
        <f t="array" ref="M383">INDEX('BKTT T4.26'!$N$12:$N$55,MATCH(V383,'BKTT T4.26'!$A$12:$A$55,0),0)</f>
        <v>576331</v>
      </c>
      <c r="N383" s="162">
        <f t="shared" si="21"/>
        <v>576331</v>
      </c>
      <c r="O383" s="238" t="s">
        <v>264</v>
      </c>
      <c r="P383" s="251" t="s">
        <v>1448</v>
      </c>
      <c r="R383" s="191" t="str">
        <f t="shared" si="23"/>
        <v>Cước vận chuyển Container hàng 20' tuyến đường PAN HA - NHĐV. BKS: 15H07524</v>
      </c>
      <c r="S383" s="191" t="str">
        <f t="shared" si="24"/>
        <v xml:space="preserve"> hàng 20' </v>
      </c>
      <c r="V383" s="191">
        <v>11</v>
      </c>
    </row>
    <row r="384" spans="1:22" s="191" customFormat="1" ht="15">
      <c r="A384" s="236">
        <v>373</v>
      </c>
      <c r="B384" s="244">
        <v>46118</v>
      </c>
      <c r="C384" s="245" t="s">
        <v>261</v>
      </c>
      <c r="D384" s="246" t="s">
        <v>640</v>
      </c>
      <c r="E384" s="247">
        <v>1</v>
      </c>
      <c r="F384" s="247"/>
      <c r="G384" s="248"/>
      <c r="H384" s="247"/>
      <c r="I384" s="249" t="s">
        <v>279</v>
      </c>
      <c r="J384" s="249" t="s">
        <v>21</v>
      </c>
      <c r="K384" s="249" t="s">
        <v>36</v>
      </c>
      <c r="L384" s="250">
        <f t="shared" si="22"/>
        <v>1</v>
      </c>
      <c r="M384" s="237">
        <f t="array" ref="M384">INDEX('BKTT T4.26'!$N$12:$N$55,MATCH(V384,'BKTT T4.26'!$A$12:$A$55,0),0)</f>
        <v>576331</v>
      </c>
      <c r="N384" s="162">
        <f t="shared" si="21"/>
        <v>576331</v>
      </c>
      <c r="O384" s="238" t="s">
        <v>264</v>
      </c>
      <c r="P384" s="251" t="s">
        <v>1448</v>
      </c>
      <c r="R384" s="191" t="str">
        <f t="shared" si="23"/>
        <v>Cước vận chuyển Container hàng 20' tuyến đường PAN HA - NHĐV. BKS: 15H07524</v>
      </c>
      <c r="S384" s="191" t="str">
        <f t="shared" si="24"/>
        <v xml:space="preserve"> hàng 20' </v>
      </c>
      <c r="V384" s="191">
        <v>11</v>
      </c>
    </row>
    <row r="385" spans="1:22" s="191" customFormat="1" ht="15">
      <c r="A385" s="236">
        <v>374</v>
      </c>
      <c r="B385" s="244">
        <v>46118</v>
      </c>
      <c r="C385" s="245" t="s">
        <v>261</v>
      </c>
      <c r="D385" s="246" t="s">
        <v>641</v>
      </c>
      <c r="E385" s="247"/>
      <c r="F385" s="247">
        <v>1</v>
      </c>
      <c r="G385" s="248"/>
      <c r="H385" s="247"/>
      <c r="I385" s="249" t="s">
        <v>399</v>
      </c>
      <c r="J385" s="249" t="s">
        <v>21</v>
      </c>
      <c r="K385" s="249" t="s">
        <v>25</v>
      </c>
      <c r="L385" s="250">
        <f t="shared" si="22"/>
        <v>1</v>
      </c>
      <c r="M385" s="237">
        <f t="array" ref="M385">INDEX('BKTT T4.26'!$N$12:$N$55,MATCH(V385,'BKTT T4.26'!$A$12:$A$55,0),0)</f>
        <v>681050</v>
      </c>
      <c r="N385" s="162">
        <f t="shared" si="21"/>
        <v>681050</v>
      </c>
      <c r="O385" s="238" t="s">
        <v>264</v>
      </c>
      <c r="P385" s="251" t="s">
        <v>1448</v>
      </c>
      <c r="R385" s="191" t="str">
        <f t="shared" si="23"/>
        <v>Cước vận chuyển Container hàng 40' tuyến đường PAN HA - HẢI AN,. BKS: 15H15378</v>
      </c>
      <c r="S385" s="191" t="str">
        <f t="shared" si="24"/>
        <v xml:space="preserve"> hàng 40' </v>
      </c>
      <c r="V385" s="191">
        <v>2</v>
      </c>
    </row>
    <row r="386" spans="1:22" s="191" customFormat="1" ht="15">
      <c r="A386" s="236">
        <v>375</v>
      </c>
      <c r="B386" s="244">
        <v>46118</v>
      </c>
      <c r="C386" s="245" t="s">
        <v>261</v>
      </c>
      <c r="D386" s="246" t="s">
        <v>642</v>
      </c>
      <c r="E386" s="247"/>
      <c r="F386" s="247"/>
      <c r="G386" s="248">
        <v>0.5</v>
      </c>
      <c r="H386" s="247"/>
      <c r="I386" s="249" t="s">
        <v>399</v>
      </c>
      <c r="J386" s="249" t="s">
        <v>21</v>
      </c>
      <c r="K386" s="249" t="s">
        <v>27</v>
      </c>
      <c r="L386" s="250">
        <f t="shared" si="22"/>
        <v>0.5</v>
      </c>
      <c r="M386" s="237">
        <f t="array" ref="M386">INDEX('BKTT T4.26'!$N$12:$N$55,MATCH(V386,'BKTT T4.26'!$A$12:$A$55,0),0)</f>
        <v>628690</v>
      </c>
      <c r="N386" s="162">
        <f t="shared" si="21"/>
        <v>314345</v>
      </c>
      <c r="O386" s="238" t="s">
        <v>264</v>
      </c>
      <c r="P386" s="251" t="s">
        <v>1448</v>
      </c>
      <c r="R386" s="191" t="str">
        <f t="shared" si="23"/>
        <v>Cước vận chuyển Container vỏ tuyến đường PAN HA - HẢI AN.. BKS: 15H15378</v>
      </c>
      <c r="S386" s="191" t="str">
        <f t="shared" si="24"/>
        <v xml:space="preserve"> vỏ </v>
      </c>
      <c r="V386" s="191">
        <v>3</v>
      </c>
    </row>
    <row r="387" spans="1:22" s="191" customFormat="1" ht="15">
      <c r="A387" s="236">
        <v>376</v>
      </c>
      <c r="B387" s="244">
        <v>46118</v>
      </c>
      <c r="C387" s="245" t="s">
        <v>261</v>
      </c>
      <c r="D387" s="246" t="s">
        <v>643</v>
      </c>
      <c r="E387" s="247"/>
      <c r="F387" s="247"/>
      <c r="G387" s="248">
        <v>0.5</v>
      </c>
      <c r="H387" s="247"/>
      <c r="I387" s="249" t="s">
        <v>399</v>
      </c>
      <c r="J387" s="249" t="s">
        <v>21</v>
      </c>
      <c r="K387" s="249" t="s">
        <v>27</v>
      </c>
      <c r="L387" s="250">
        <f t="shared" si="22"/>
        <v>0.5</v>
      </c>
      <c r="M387" s="237">
        <f t="array" ref="M387">INDEX('BKTT T4.26'!$N$12:$N$55,MATCH(V387,'BKTT T4.26'!$A$12:$A$55,0),0)</f>
        <v>628690</v>
      </c>
      <c r="N387" s="162">
        <f t="shared" si="21"/>
        <v>314345</v>
      </c>
      <c r="O387" s="238" t="s">
        <v>264</v>
      </c>
      <c r="P387" s="251" t="s">
        <v>1448</v>
      </c>
      <c r="R387" s="191" t="str">
        <f t="shared" si="23"/>
        <v>Cước vận chuyển Container vỏ tuyến đường PAN HA - HẢI AN.. BKS: 15H15378</v>
      </c>
      <c r="S387" s="191" t="str">
        <f t="shared" si="24"/>
        <v xml:space="preserve"> vỏ </v>
      </c>
      <c r="V387" s="191">
        <v>3</v>
      </c>
    </row>
    <row r="388" spans="1:22" s="191" customFormat="1" ht="15">
      <c r="A388" s="236">
        <v>377</v>
      </c>
      <c r="B388" s="244">
        <v>46118</v>
      </c>
      <c r="C388" s="245" t="s">
        <v>261</v>
      </c>
      <c r="D388" s="246" t="s">
        <v>644</v>
      </c>
      <c r="E388" s="247">
        <v>1</v>
      </c>
      <c r="F388" s="247"/>
      <c r="G388" s="248"/>
      <c r="H388" s="247"/>
      <c r="I388" s="249" t="s">
        <v>399</v>
      </c>
      <c r="J388" s="249" t="s">
        <v>21</v>
      </c>
      <c r="K388" s="249" t="s">
        <v>36</v>
      </c>
      <c r="L388" s="250">
        <f t="shared" si="22"/>
        <v>1</v>
      </c>
      <c r="M388" s="237">
        <f t="array" ref="M388">INDEX('BKTT T4.26'!$N$12:$N$55,MATCH(V388,'BKTT T4.26'!$A$12:$A$55,0),0)</f>
        <v>576331</v>
      </c>
      <c r="N388" s="162">
        <f t="shared" si="21"/>
        <v>576331</v>
      </c>
      <c r="O388" s="238" t="s">
        <v>264</v>
      </c>
      <c r="P388" s="251" t="s">
        <v>1448</v>
      </c>
      <c r="R388" s="191" t="str">
        <f t="shared" si="23"/>
        <v>Cước vận chuyển Container hàng 20' tuyến đường PAN HA - NHĐV. BKS: 15H15378</v>
      </c>
      <c r="S388" s="191" t="str">
        <f t="shared" si="24"/>
        <v xml:space="preserve"> hàng 20' </v>
      </c>
      <c r="V388" s="191">
        <v>11</v>
      </c>
    </row>
    <row r="389" spans="1:22" s="191" customFormat="1" ht="15">
      <c r="A389" s="236">
        <v>378</v>
      </c>
      <c r="B389" s="244">
        <v>46118</v>
      </c>
      <c r="C389" s="245" t="s">
        <v>261</v>
      </c>
      <c r="D389" s="246" t="s">
        <v>645</v>
      </c>
      <c r="E389" s="247">
        <v>1</v>
      </c>
      <c r="F389" s="247"/>
      <c r="G389" s="248"/>
      <c r="H389" s="247"/>
      <c r="I389" s="249" t="s">
        <v>399</v>
      </c>
      <c r="J389" s="249" t="s">
        <v>21</v>
      </c>
      <c r="K389" s="249" t="s">
        <v>36</v>
      </c>
      <c r="L389" s="250">
        <f t="shared" si="22"/>
        <v>1</v>
      </c>
      <c r="M389" s="237">
        <f t="array" ref="M389">INDEX('BKTT T4.26'!$N$12:$N$55,MATCH(V389,'BKTT T4.26'!$A$12:$A$55,0),0)</f>
        <v>576331</v>
      </c>
      <c r="N389" s="162">
        <f t="shared" ref="N389:N452" si="25">L389*M389</f>
        <v>576331</v>
      </c>
      <c r="O389" s="238" t="s">
        <v>264</v>
      </c>
      <c r="P389" s="251" t="s">
        <v>1448</v>
      </c>
      <c r="R389" s="191" t="str">
        <f t="shared" si="23"/>
        <v>Cước vận chuyển Container hàng 20' tuyến đường PAN HA - NHĐV. BKS: 15H15378</v>
      </c>
      <c r="S389" s="191" t="str">
        <f t="shared" si="24"/>
        <v xml:space="preserve"> hàng 20' </v>
      </c>
      <c r="V389" s="191">
        <v>11</v>
      </c>
    </row>
    <row r="390" spans="1:22" s="191" customFormat="1" ht="15">
      <c r="A390" s="236">
        <v>379</v>
      </c>
      <c r="B390" s="244">
        <v>46118</v>
      </c>
      <c r="C390" s="245" t="s">
        <v>261</v>
      </c>
      <c r="D390" s="246" t="s">
        <v>646</v>
      </c>
      <c r="E390" s="247"/>
      <c r="F390" s="247">
        <v>1</v>
      </c>
      <c r="G390" s="248"/>
      <c r="H390" s="247"/>
      <c r="I390" s="249" t="s">
        <v>541</v>
      </c>
      <c r="J390" s="249" t="s">
        <v>21</v>
      </c>
      <c r="K390" s="249" t="s">
        <v>25</v>
      </c>
      <c r="L390" s="250">
        <f t="shared" si="22"/>
        <v>1</v>
      </c>
      <c r="M390" s="237">
        <f t="array" ref="M390">INDEX('BKTT T4.26'!$N$12:$N$55,MATCH(V390,'BKTT T4.26'!$A$12:$A$55,0),0)</f>
        <v>681050</v>
      </c>
      <c r="N390" s="162">
        <f t="shared" si="25"/>
        <v>681050</v>
      </c>
      <c r="O390" s="238" t="s">
        <v>264</v>
      </c>
      <c r="P390" s="251" t="s">
        <v>1448</v>
      </c>
      <c r="R390" s="191" t="str">
        <f t="shared" si="23"/>
        <v>Cước vận chuyển Container hàng 40' tuyến đường PAN HA - HẢI AN,. BKS: 15H17403</v>
      </c>
      <c r="S390" s="191" t="str">
        <f t="shared" si="24"/>
        <v xml:space="preserve"> hàng 40' </v>
      </c>
      <c r="V390" s="191">
        <v>2</v>
      </c>
    </row>
    <row r="391" spans="1:22" s="191" customFormat="1" ht="15">
      <c r="A391" s="236">
        <v>380</v>
      </c>
      <c r="B391" s="244">
        <v>46118</v>
      </c>
      <c r="C391" s="245" t="s">
        <v>261</v>
      </c>
      <c r="D391" s="246" t="s">
        <v>647</v>
      </c>
      <c r="E391" s="247"/>
      <c r="F391" s="247">
        <v>1</v>
      </c>
      <c r="G391" s="248"/>
      <c r="H391" s="247"/>
      <c r="I391" s="249" t="s">
        <v>541</v>
      </c>
      <c r="J391" s="249" t="s">
        <v>21</v>
      </c>
      <c r="K391" s="249" t="s">
        <v>25</v>
      </c>
      <c r="L391" s="250">
        <f t="shared" si="22"/>
        <v>1</v>
      </c>
      <c r="M391" s="237">
        <f t="array" ref="M391">INDEX('BKTT T4.26'!$N$12:$N$55,MATCH(V391,'BKTT T4.26'!$A$12:$A$55,0),0)</f>
        <v>681050</v>
      </c>
      <c r="N391" s="162">
        <f t="shared" si="25"/>
        <v>681050</v>
      </c>
      <c r="O391" s="238" t="s">
        <v>264</v>
      </c>
      <c r="P391" s="251" t="s">
        <v>1448</v>
      </c>
      <c r="R391" s="191" t="str">
        <f t="shared" si="23"/>
        <v>Cước vận chuyển Container hàng 40' tuyến đường PAN HA - HẢI AN,. BKS: 15H17403</v>
      </c>
      <c r="S391" s="191" t="str">
        <f t="shared" si="24"/>
        <v xml:space="preserve"> hàng 40' </v>
      </c>
      <c r="V391" s="191">
        <v>2</v>
      </c>
    </row>
    <row r="392" spans="1:22" s="191" customFormat="1" ht="15">
      <c r="A392" s="236">
        <v>381</v>
      </c>
      <c r="B392" s="244">
        <v>46118</v>
      </c>
      <c r="C392" s="245" t="s">
        <v>261</v>
      </c>
      <c r="D392" s="246" t="s">
        <v>648</v>
      </c>
      <c r="E392" s="247"/>
      <c r="F392" s="247">
        <v>1</v>
      </c>
      <c r="G392" s="248"/>
      <c r="H392" s="247"/>
      <c r="I392" s="249" t="s">
        <v>358</v>
      </c>
      <c r="J392" s="249" t="s">
        <v>21</v>
      </c>
      <c r="K392" s="249" t="s">
        <v>25</v>
      </c>
      <c r="L392" s="250">
        <f t="shared" si="22"/>
        <v>1</v>
      </c>
      <c r="M392" s="237">
        <f t="array" ref="M392">INDEX('BKTT T4.26'!$N$12:$N$55,MATCH(V392,'BKTT T4.26'!$A$12:$A$55,0),0)</f>
        <v>681050</v>
      </c>
      <c r="N392" s="162">
        <f t="shared" si="25"/>
        <v>681050</v>
      </c>
      <c r="O392" s="238" t="s">
        <v>264</v>
      </c>
      <c r="P392" s="251" t="s">
        <v>1448</v>
      </c>
      <c r="R392" s="191" t="str">
        <f t="shared" si="23"/>
        <v>Cước vận chuyển Container hàng 40' tuyến đường PAN HA - HẢI AN,. BKS: 15H18753</v>
      </c>
      <c r="S392" s="191" t="str">
        <f t="shared" si="24"/>
        <v xml:space="preserve"> hàng 40' </v>
      </c>
      <c r="V392" s="191">
        <v>2</v>
      </c>
    </row>
    <row r="393" spans="1:22" s="191" customFormat="1" ht="15">
      <c r="A393" s="236">
        <v>382</v>
      </c>
      <c r="B393" s="244">
        <v>46118</v>
      </c>
      <c r="C393" s="245" t="s">
        <v>261</v>
      </c>
      <c r="D393" s="246" t="s">
        <v>649</v>
      </c>
      <c r="E393" s="247"/>
      <c r="F393" s="247">
        <v>1</v>
      </c>
      <c r="G393" s="248"/>
      <c r="H393" s="247"/>
      <c r="I393" s="249" t="s">
        <v>358</v>
      </c>
      <c r="J393" s="249" t="s">
        <v>21</v>
      </c>
      <c r="K393" s="249" t="s">
        <v>25</v>
      </c>
      <c r="L393" s="250">
        <f t="shared" ref="L393:L456" si="26">E393+F393+G393+H393</f>
        <v>1</v>
      </c>
      <c r="M393" s="237">
        <f t="array" ref="M393">INDEX('BKTT T4.26'!$N$12:$N$55,MATCH(V393,'BKTT T4.26'!$A$12:$A$55,0),0)</f>
        <v>681050</v>
      </c>
      <c r="N393" s="162">
        <f t="shared" si="25"/>
        <v>681050</v>
      </c>
      <c r="O393" s="238" t="s">
        <v>264</v>
      </c>
      <c r="P393" s="251" t="s">
        <v>1448</v>
      </c>
      <c r="R393" s="191" t="str">
        <f t="shared" ref="R393:R456" si="27">$R$10&amp;S393&amp;$R$9&amp;J393&amp;$S$10&amp;K393&amp;$R$8&amp;I393</f>
        <v>Cước vận chuyển Container hàng 40' tuyến đường PAN HA - HẢI AN,. BKS: 15H18753</v>
      </c>
      <c r="S393" s="191" t="str">
        <f t="shared" ref="S393:S456" si="28">IF(E393=1," hàng 20' ",IF(F393=1," hàng 40' "," vỏ "))</f>
        <v xml:space="preserve"> hàng 40' </v>
      </c>
      <c r="V393" s="191">
        <v>2</v>
      </c>
    </row>
    <row r="394" spans="1:22" s="191" customFormat="1" ht="15">
      <c r="A394" s="236">
        <v>383</v>
      </c>
      <c r="B394" s="244">
        <v>46118</v>
      </c>
      <c r="C394" s="245" t="s">
        <v>261</v>
      </c>
      <c r="D394" s="246" t="s">
        <v>650</v>
      </c>
      <c r="E394" s="247">
        <v>1</v>
      </c>
      <c r="F394" s="247"/>
      <c r="G394" s="248"/>
      <c r="H394" s="247"/>
      <c r="I394" s="249" t="s">
        <v>358</v>
      </c>
      <c r="J394" s="249" t="s">
        <v>21</v>
      </c>
      <c r="K394" s="249" t="s">
        <v>36</v>
      </c>
      <c r="L394" s="250">
        <f t="shared" si="26"/>
        <v>1</v>
      </c>
      <c r="M394" s="237">
        <f t="array" ref="M394">INDEX('BKTT T4.26'!$N$12:$N$55,MATCH(V394,'BKTT T4.26'!$A$12:$A$55,0),0)</f>
        <v>576331</v>
      </c>
      <c r="N394" s="162">
        <f t="shared" si="25"/>
        <v>576331</v>
      </c>
      <c r="O394" s="238" t="s">
        <v>264</v>
      </c>
      <c r="P394" s="251" t="s">
        <v>1448</v>
      </c>
      <c r="R394" s="191" t="str">
        <f t="shared" si="27"/>
        <v>Cước vận chuyển Container hàng 20' tuyến đường PAN HA - NHĐV. BKS: 15H18753</v>
      </c>
      <c r="S394" s="191" t="str">
        <f t="shared" si="28"/>
        <v xml:space="preserve"> hàng 20' </v>
      </c>
      <c r="V394" s="191">
        <v>11</v>
      </c>
    </row>
    <row r="395" spans="1:22" s="191" customFormat="1" ht="15">
      <c r="A395" s="236">
        <v>384</v>
      </c>
      <c r="B395" s="244">
        <v>46118</v>
      </c>
      <c r="C395" s="245" t="s">
        <v>261</v>
      </c>
      <c r="D395" s="246" t="s">
        <v>651</v>
      </c>
      <c r="E395" s="247">
        <v>1</v>
      </c>
      <c r="F395" s="247"/>
      <c r="G395" s="248"/>
      <c r="H395" s="247"/>
      <c r="I395" s="249" t="s">
        <v>363</v>
      </c>
      <c r="J395" s="249" t="s">
        <v>21</v>
      </c>
      <c r="K395" s="249" t="s">
        <v>36</v>
      </c>
      <c r="L395" s="250">
        <f t="shared" si="26"/>
        <v>1</v>
      </c>
      <c r="M395" s="237">
        <f t="array" ref="M395">INDEX('BKTT T4.26'!$N$12:$N$55,MATCH(V395,'BKTT T4.26'!$A$12:$A$55,0),0)</f>
        <v>576331</v>
      </c>
      <c r="N395" s="162">
        <f t="shared" si="25"/>
        <v>576331</v>
      </c>
      <c r="O395" s="238" t="s">
        <v>264</v>
      </c>
      <c r="P395" s="251" t="s">
        <v>1448</v>
      </c>
      <c r="R395" s="191" t="str">
        <f t="shared" si="27"/>
        <v>Cước vận chuyển Container hàng 20' tuyến đường PAN HA - NHĐV. BKS: 15H20645</v>
      </c>
      <c r="S395" s="191" t="str">
        <f t="shared" si="28"/>
        <v xml:space="preserve"> hàng 20' </v>
      </c>
      <c r="V395" s="191">
        <v>11</v>
      </c>
    </row>
    <row r="396" spans="1:22" s="191" customFormat="1" ht="15">
      <c r="A396" s="236">
        <v>385</v>
      </c>
      <c r="B396" s="244">
        <v>46118</v>
      </c>
      <c r="C396" s="245" t="s">
        <v>261</v>
      </c>
      <c r="D396" s="246" t="s">
        <v>652</v>
      </c>
      <c r="E396" s="247">
        <v>1</v>
      </c>
      <c r="F396" s="247"/>
      <c r="G396" s="248"/>
      <c r="H396" s="247"/>
      <c r="I396" s="249" t="s">
        <v>363</v>
      </c>
      <c r="J396" s="249" t="s">
        <v>21</v>
      </c>
      <c r="K396" s="249" t="s">
        <v>36</v>
      </c>
      <c r="L396" s="250">
        <f t="shared" si="26"/>
        <v>1</v>
      </c>
      <c r="M396" s="237">
        <f t="array" ref="M396">INDEX('BKTT T4.26'!$N$12:$N$55,MATCH(V396,'BKTT T4.26'!$A$12:$A$55,0),0)</f>
        <v>576331</v>
      </c>
      <c r="N396" s="162">
        <f t="shared" si="25"/>
        <v>576331</v>
      </c>
      <c r="O396" s="238" t="s">
        <v>264</v>
      </c>
      <c r="P396" s="251" t="s">
        <v>1448</v>
      </c>
      <c r="R396" s="191" t="str">
        <f t="shared" si="27"/>
        <v>Cước vận chuyển Container hàng 20' tuyến đường PAN HA - NHĐV. BKS: 15H20645</v>
      </c>
      <c r="S396" s="191" t="str">
        <f t="shared" si="28"/>
        <v xml:space="preserve"> hàng 20' </v>
      </c>
      <c r="V396" s="191">
        <v>11</v>
      </c>
    </row>
    <row r="397" spans="1:22" s="191" customFormat="1" ht="15">
      <c r="A397" s="236">
        <v>386</v>
      </c>
      <c r="B397" s="244">
        <v>46118</v>
      </c>
      <c r="C397" s="245" t="s">
        <v>261</v>
      </c>
      <c r="D397" s="246" t="s">
        <v>653</v>
      </c>
      <c r="E397" s="247">
        <v>1</v>
      </c>
      <c r="F397" s="247"/>
      <c r="G397" s="248"/>
      <c r="H397" s="247"/>
      <c r="I397" s="249" t="s">
        <v>363</v>
      </c>
      <c r="J397" s="249" t="s">
        <v>21</v>
      </c>
      <c r="K397" s="249" t="s">
        <v>36</v>
      </c>
      <c r="L397" s="250">
        <f t="shared" si="26"/>
        <v>1</v>
      </c>
      <c r="M397" s="237">
        <f t="array" ref="M397">INDEX('BKTT T4.26'!$N$12:$N$55,MATCH(V397,'BKTT T4.26'!$A$12:$A$55,0),0)</f>
        <v>576331</v>
      </c>
      <c r="N397" s="162">
        <f t="shared" si="25"/>
        <v>576331</v>
      </c>
      <c r="O397" s="238" t="s">
        <v>264</v>
      </c>
      <c r="P397" s="251" t="s">
        <v>1448</v>
      </c>
      <c r="R397" s="191" t="str">
        <f t="shared" si="27"/>
        <v>Cước vận chuyển Container hàng 20' tuyến đường PAN HA - NHĐV. BKS: 15H20645</v>
      </c>
      <c r="S397" s="191" t="str">
        <f t="shared" si="28"/>
        <v xml:space="preserve"> hàng 20' </v>
      </c>
      <c r="V397" s="191">
        <v>11</v>
      </c>
    </row>
    <row r="398" spans="1:22" s="191" customFormat="1" ht="15">
      <c r="A398" s="236">
        <v>387</v>
      </c>
      <c r="B398" s="244">
        <v>46118</v>
      </c>
      <c r="C398" s="245" t="s">
        <v>261</v>
      </c>
      <c r="D398" s="246" t="s">
        <v>654</v>
      </c>
      <c r="E398" s="247">
        <v>1</v>
      </c>
      <c r="F398" s="247"/>
      <c r="G398" s="248"/>
      <c r="H398" s="247"/>
      <c r="I398" s="249" t="s">
        <v>363</v>
      </c>
      <c r="J398" s="249" t="s">
        <v>21</v>
      </c>
      <c r="K398" s="249" t="s">
        <v>36</v>
      </c>
      <c r="L398" s="250">
        <f t="shared" si="26"/>
        <v>1</v>
      </c>
      <c r="M398" s="237">
        <f t="array" ref="M398">INDEX('BKTT T4.26'!$N$12:$N$55,MATCH(V398,'BKTT T4.26'!$A$12:$A$55,0),0)</f>
        <v>576331</v>
      </c>
      <c r="N398" s="162">
        <f t="shared" si="25"/>
        <v>576331</v>
      </c>
      <c r="O398" s="238" t="s">
        <v>264</v>
      </c>
      <c r="P398" s="251" t="s">
        <v>1448</v>
      </c>
      <c r="R398" s="191" t="str">
        <f t="shared" si="27"/>
        <v>Cước vận chuyển Container hàng 20' tuyến đường PAN HA - NHĐV. BKS: 15H20645</v>
      </c>
      <c r="S398" s="191" t="str">
        <f t="shared" si="28"/>
        <v xml:space="preserve"> hàng 20' </v>
      </c>
      <c r="V398" s="191">
        <v>11</v>
      </c>
    </row>
    <row r="399" spans="1:22" s="191" customFormat="1" ht="15">
      <c r="A399" s="236">
        <v>388</v>
      </c>
      <c r="B399" s="244">
        <v>46118</v>
      </c>
      <c r="C399" s="245" t="s">
        <v>261</v>
      </c>
      <c r="D399" s="246" t="s">
        <v>655</v>
      </c>
      <c r="E399" s="247"/>
      <c r="F399" s="247">
        <v>1</v>
      </c>
      <c r="G399" s="248"/>
      <c r="H399" s="247"/>
      <c r="I399" s="249" t="s">
        <v>363</v>
      </c>
      <c r="J399" s="249" t="s">
        <v>21</v>
      </c>
      <c r="K399" s="249" t="s">
        <v>37</v>
      </c>
      <c r="L399" s="250">
        <f t="shared" si="26"/>
        <v>1</v>
      </c>
      <c r="M399" s="237">
        <f t="array" ref="M399">INDEX('BKTT T4.26'!$N$12:$N$55,MATCH(V399,'BKTT T4.26'!$A$12:$A$55,0),0)</f>
        <v>602510</v>
      </c>
      <c r="N399" s="162">
        <f t="shared" si="25"/>
        <v>602510</v>
      </c>
      <c r="O399" s="238" t="s">
        <v>264</v>
      </c>
      <c r="P399" s="251" t="s">
        <v>1448</v>
      </c>
      <c r="R399" s="191" t="str">
        <f t="shared" si="27"/>
        <v>Cước vận chuyển Container hàng 40' tuyến đường PAN HA - NHĐV,. BKS: 15H20645</v>
      </c>
      <c r="S399" s="191" t="str">
        <f t="shared" si="28"/>
        <v xml:space="preserve"> hàng 40' </v>
      </c>
      <c r="V399" s="191">
        <v>12</v>
      </c>
    </row>
    <row r="400" spans="1:22" s="191" customFormat="1" ht="15">
      <c r="A400" s="236">
        <v>389</v>
      </c>
      <c r="B400" s="244">
        <v>46118</v>
      </c>
      <c r="C400" s="245" t="s">
        <v>261</v>
      </c>
      <c r="D400" s="246" t="s">
        <v>656</v>
      </c>
      <c r="E400" s="247"/>
      <c r="F400" s="247"/>
      <c r="G400" s="248"/>
      <c r="H400" s="247">
        <v>1</v>
      </c>
      <c r="I400" s="249" t="s">
        <v>363</v>
      </c>
      <c r="J400" s="249" t="s">
        <v>21</v>
      </c>
      <c r="K400" s="249" t="s">
        <v>27</v>
      </c>
      <c r="L400" s="250">
        <f t="shared" si="26"/>
        <v>1</v>
      </c>
      <c r="M400" s="237">
        <f t="array" ref="M400">INDEX('BKTT T4.26'!$N$12:$N$55,MATCH(V400,'BKTT T4.26'!$A$12:$A$55,0),0)</f>
        <v>628690</v>
      </c>
      <c r="N400" s="162">
        <f t="shared" si="25"/>
        <v>628690</v>
      </c>
      <c r="O400" s="238" t="s">
        <v>264</v>
      </c>
      <c r="P400" s="251" t="s">
        <v>1448</v>
      </c>
      <c r="R400" s="191" t="str">
        <f t="shared" si="27"/>
        <v>Cước vận chuyển Container vỏ tuyến đường PAN HA - HẢI AN.. BKS: 15H20645</v>
      </c>
      <c r="S400" s="191" t="str">
        <f t="shared" si="28"/>
        <v xml:space="preserve"> vỏ </v>
      </c>
      <c r="V400" s="191">
        <v>3</v>
      </c>
    </row>
    <row r="401" spans="1:22" s="283" customFormat="1" ht="15">
      <c r="A401" s="236">
        <v>390</v>
      </c>
      <c r="B401" s="272">
        <v>46118</v>
      </c>
      <c r="C401" s="273" t="s">
        <v>261</v>
      </c>
      <c r="D401" s="285" t="s">
        <v>1465</v>
      </c>
      <c r="E401" s="275"/>
      <c r="F401" s="275"/>
      <c r="G401" s="276"/>
      <c r="H401" s="275">
        <v>1</v>
      </c>
      <c r="I401" s="277" t="s">
        <v>363</v>
      </c>
      <c r="J401" s="249" t="s">
        <v>21</v>
      </c>
      <c r="K401" s="249" t="s">
        <v>27</v>
      </c>
      <c r="L401" s="278">
        <f t="shared" si="26"/>
        <v>1</v>
      </c>
      <c r="M401" s="279">
        <f t="array" ref="M401">INDEX('BKTT T4.26'!$N$12:$N$55,MATCH(V401,'BKTT T4.26'!$A$12:$A$55,0),0)</f>
        <v>628690</v>
      </c>
      <c r="N401" s="280">
        <f t="shared" si="25"/>
        <v>628690</v>
      </c>
      <c r="O401" s="281" t="s">
        <v>264</v>
      </c>
      <c r="P401" s="282" t="s">
        <v>1447</v>
      </c>
      <c r="R401" s="283" t="str">
        <f t="shared" si="27"/>
        <v>Cước vận chuyển Container vỏ tuyến đường PAN HA - HẢI AN.. BKS: 15H20645</v>
      </c>
      <c r="S401" s="283" t="str">
        <f t="shared" si="28"/>
        <v xml:space="preserve"> vỏ </v>
      </c>
      <c r="V401" s="191">
        <v>3</v>
      </c>
    </row>
    <row r="402" spans="1:22" s="191" customFormat="1" ht="15">
      <c r="A402" s="236">
        <v>391</v>
      </c>
      <c r="B402" s="244">
        <v>46118</v>
      </c>
      <c r="C402" s="245" t="s">
        <v>261</v>
      </c>
      <c r="D402" s="246" t="s">
        <v>657</v>
      </c>
      <c r="E402" s="247"/>
      <c r="F402" s="247"/>
      <c r="G402" s="248"/>
      <c r="H402" s="247">
        <v>1</v>
      </c>
      <c r="I402" s="249" t="s">
        <v>363</v>
      </c>
      <c r="J402" s="249" t="s">
        <v>21</v>
      </c>
      <c r="K402" s="249" t="s">
        <v>27</v>
      </c>
      <c r="L402" s="250">
        <f t="shared" si="26"/>
        <v>1</v>
      </c>
      <c r="M402" s="237">
        <f t="array" ref="M402">INDEX('BKTT T4.26'!$N$12:$N$55,MATCH(V402,'BKTT T4.26'!$A$12:$A$55,0),0)</f>
        <v>628690</v>
      </c>
      <c r="N402" s="162">
        <f t="shared" si="25"/>
        <v>628690</v>
      </c>
      <c r="O402" s="238" t="s">
        <v>264</v>
      </c>
      <c r="P402" s="251" t="s">
        <v>1448</v>
      </c>
      <c r="R402" s="191" t="str">
        <f t="shared" si="27"/>
        <v>Cước vận chuyển Container vỏ tuyến đường PAN HA - HẢI AN.. BKS: 15H20645</v>
      </c>
      <c r="S402" s="191" t="str">
        <f t="shared" si="28"/>
        <v xml:space="preserve"> vỏ </v>
      </c>
      <c r="V402" s="191">
        <v>3</v>
      </c>
    </row>
    <row r="403" spans="1:22" s="191" customFormat="1" ht="15">
      <c r="A403" s="236">
        <v>392</v>
      </c>
      <c r="B403" s="244">
        <v>46117</v>
      </c>
      <c r="C403" s="245" t="s">
        <v>261</v>
      </c>
      <c r="D403" s="246" t="s">
        <v>658</v>
      </c>
      <c r="E403" s="247"/>
      <c r="F403" s="247"/>
      <c r="G403" s="248"/>
      <c r="H403" s="247">
        <v>1</v>
      </c>
      <c r="I403" s="249" t="s">
        <v>363</v>
      </c>
      <c r="J403" s="249" t="s">
        <v>21</v>
      </c>
      <c r="K403" s="249" t="s">
        <v>27</v>
      </c>
      <c r="L403" s="250">
        <f t="shared" si="26"/>
        <v>1</v>
      </c>
      <c r="M403" s="237">
        <f t="array" ref="M403">INDEX('BKTT T4.26'!$N$12:$N$55,MATCH(V403,'BKTT T4.26'!$A$12:$A$55,0),0)</f>
        <v>628690</v>
      </c>
      <c r="N403" s="162">
        <f t="shared" si="25"/>
        <v>628690</v>
      </c>
      <c r="O403" s="238" t="s">
        <v>264</v>
      </c>
      <c r="P403" s="251" t="s">
        <v>1448</v>
      </c>
      <c r="R403" s="191" t="str">
        <f t="shared" si="27"/>
        <v>Cước vận chuyển Container vỏ tuyến đường PAN HA - HẢI AN.. BKS: 15H20645</v>
      </c>
      <c r="S403" s="191" t="str">
        <f t="shared" si="28"/>
        <v xml:space="preserve"> vỏ </v>
      </c>
      <c r="V403" s="191">
        <v>3</v>
      </c>
    </row>
    <row r="404" spans="1:22" s="191" customFormat="1" ht="15">
      <c r="A404" s="236">
        <v>393</v>
      </c>
      <c r="B404" s="244">
        <v>46118</v>
      </c>
      <c r="C404" s="245" t="s">
        <v>261</v>
      </c>
      <c r="D404" s="246" t="s">
        <v>659</v>
      </c>
      <c r="E404" s="247"/>
      <c r="F404" s="247">
        <v>1</v>
      </c>
      <c r="G404" s="248"/>
      <c r="H404" s="247"/>
      <c r="I404" s="249" t="s">
        <v>363</v>
      </c>
      <c r="J404" s="249" t="s">
        <v>21</v>
      </c>
      <c r="K404" s="249" t="s">
        <v>25</v>
      </c>
      <c r="L404" s="250">
        <f t="shared" si="26"/>
        <v>1</v>
      </c>
      <c r="M404" s="237">
        <f t="array" ref="M404">INDEX('BKTT T4.26'!$N$12:$N$55,MATCH(V404,'BKTT T4.26'!$A$12:$A$55,0),0)</f>
        <v>681050</v>
      </c>
      <c r="N404" s="162">
        <f t="shared" si="25"/>
        <v>681050</v>
      </c>
      <c r="O404" s="238" t="s">
        <v>264</v>
      </c>
      <c r="P404" s="251" t="s">
        <v>1448</v>
      </c>
      <c r="R404" s="191" t="str">
        <f t="shared" si="27"/>
        <v>Cước vận chuyển Container hàng 40' tuyến đường PAN HA - HẢI AN,. BKS: 15H20645</v>
      </c>
      <c r="S404" s="191" t="str">
        <f t="shared" si="28"/>
        <v xml:space="preserve"> hàng 40' </v>
      </c>
      <c r="V404" s="191">
        <v>2</v>
      </c>
    </row>
    <row r="405" spans="1:22" s="191" customFormat="1" ht="15">
      <c r="A405" s="236">
        <v>394</v>
      </c>
      <c r="B405" s="244">
        <v>46118</v>
      </c>
      <c r="C405" s="245" t="s">
        <v>261</v>
      </c>
      <c r="D405" s="246" t="s">
        <v>660</v>
      </c>
      <c r="E405" s="247"/>
      <c r="F405" s="247">
        <v>1</v>
      </c>
      <c r="G405" s="248"/>
      <c r="H405" s="247"/>
      <c r="I405" s="249" t="s">
        <v>363</v>
      </c>
      <c r="J405" s="249" t="s">
        <v>21</v>
      </c>
      <c r="K405" s="249" t="s">
        <v>25</v>
      </c>
      <c r="L405" s="250">
        <f t="shared" si="26"/>
        <v>1</v>
      </c>
      <c r="M405" s="237">
        <f t="array" ref="M405">INDEX('BKTT T4.26'!$N$12:$N$55,MATCH(V405,'BKTT T4.26'!$A$12:$A$55,0),0)</f>
        <v>681050</v>
      </c>
      <c r="N405" s="162">
        <f t="shared" si="25"/>
        <v>681050</v>
      </c>
      <c r="O405" s="238" t="s">
        <v>264</v>
      </c>
      <c r="P405" s="251" t="s">
        <v>1448</v>
      </c>
      <c r="R405" s="191" t="str">
        <f t="shared" si="27"/>
        <v>Cước vận chuyển Container hàng 40' tuyến đường PAN HA - HẢI AN,. BKS: 15H20645</v>
      </c>
      <c r="S405" s="191" t="str">
        <f t="shared" si="28"/>
        <v xml:space="preserve"> hàng 40' </v>
      </c>
      <c r="V405" s="191">
        <v>2</v>
      </c>
    </row>
    <row r="406" spans="1:22" s="191" customFormat="1" ht="15">
      <c r="A406" s="236">
        <v>395</v>
      </c>
      <c r="B406" s="244">
        <v>46118</v>
      </c>
      <c r="C406" s="245" t="s">
        <v>261</v>
      </c>
      <c r="D406" s="246" t="s">
        <v>661</v>
      </c>
      <c r="E406" s="247"/>
      <c r="F406" s="247">
        <v>1</v>
      </c>
      <c r="G406" s="248"/>
      <c r="H406" s="247"/>
      <c r="I406" s="249" t="s">
        <v>363</v>
      </c>
      <c r="J406" s="249" t="s">
        <v>21</v>
      </c>
      <c r="K406" s="249" t="s">
        <v>25</v>
      </c>
      <c r="L406" s="250">
        <f t="shared" si="26"/>
        <v>1</v>
      </c>
      <c r="M406" s="237">
        <f t="array" ref="M406">INDEX('BKTT T4.26'!$N$12:$N$55,MATCH(V406,'BKTT T4.26'!$A$12:$A$55,0),0)</f>
        <v>681050</v>
      </c>
      <c r="N406" s="162">
        <f t="shared" si="25"/>
        <v>681050</v>
      </c>
      <c r="O406" s="238" t="s">
        <v>264</v>
      </c>
      <c r="P406" s="251" t="s">
        <v>1448</v>
      </c>
      <c r="R406" s="191" t="str">
        <f t="shared" si="27"/>
        <v>Cước vận chuyển Container hàng 40' tuyến đường PAN HA - HẢI AN,. BKS: 15H20645</v>
      </c>
      <c r="S406" s="191" t="str">
        <f t="shared" si="28"/>
        <v xml:space="preserve"> hàng 40' </v>
      </c>
      <c r="V406" s="191">
        <v>2</v>
      </c>
    </row>
    <row r="407" spans="1:22" s="191" customFormat="1" ht="15">
      <c r="A407" s="236">
        <v>396</v>
      </c>
      <c r="B407" s="244">
        <v>46118</v>
      </c>
      <c r="C407" s="245" t="s">
        <v>261</v>
      </c>
      <c r="D407" s="246" t="s">
        <v>662</v>
      </c>
      <c r="E407" s="247"/>
      <c r="F407" s="247">
        <v>1</v>
      </c>
      <c r="G407" s="248"/>
      <c r="H407" s="247"/>
      <c r="I407" s="249" t="s">
        <v>363</v>
      </c>
      <c r="J407" s="249" t="s">
        <v>21</v>
      </c>
      <c r="K407" s="249" t="s">
        <v>25</v>
      </c>
      <c r="L407" s="250">
        <f t="shared" si="26"/>
        <v>1</v>
      </c>
      <c r="M407" s="237">
        <f t="array" ref="M407">INDEX('BKTT T4.26'!$N$12:$N$55,MATCH(V407,'BKTT T4.26'!$A$12:$A$55,0),0)</f>
        <v>681050</v>
      </c>
      <c r="N407" s="162">
        <f t="shared" si="25"/>
        <v>681050</v>
      </c>
      <c r="O407" s="238" t="s">
        <v>264</v>
      </c>
      <c r="P407" s="251" t="s">
        <v>1448</v>
      </c>
      <c r="R407" s="191" t="str">
        <f t="shared" si="27"/>
        <v>Cước vận chuyển Container hàng 40' tuyến đường PAN HA - HẢI AN,. BKS: 15H20645</v>
      </c>
      <c r="S407" s="191" t="str">
        <f t="shared" si="28"/>
        <v xml:space="preserve"> hàng 40' </v>
      </c>
      <c r="V407" s="191">
        <v>2</v>
      </c>
    </row>
    <row r="408" spans="1:22" s="191" customFormat="1" ht="15">
      <c r="A408" s="236">
        <v>397</v>
      </c>
      <c r="B408" s="244">
        <v>46118</v>
      </c>
      <c r="C408" s="245" t="s">
        <v>261</v>
      </c>
      <c r="D408" s="246" t="s">
        <v>663</v>
      </c>
      <c r="E408" s="247">
        <v>1</v>
      </c>
      <c r="F408" s="247"/>
      <c r="G408" s="248"/>
      <c r="H408" s="247"/>
      <c r="I408" s="249" t="s">
        <v>304</v>
      </c>
      <c r="J408" s="249" t="s">
        <v>21</v>
      </c>
      <c r="K408" s="249" t="s">
        <v>36</v>
      </c>
      <c r="L408" s="250">
        <f t="shared" si="26"/>
        <v>1</v>
      </c>
      <c r="M408" s="237">
        <f t="array" ref="M408">INDEX('BKTT T4.26'!$N$12:$N$55,MATCH(V408,'BKTT T4.26'!$A$12:$A$55,0),0)</f>
        <v>576331</v>
      </c>
      <c r="N408" s="162">
        <f t="shared" si="25"/>
        <v>576331</v>
      </c>
      <c r="O408" s="238" t="s">
        <v>264</v>
      </c>
      <c r="P408" s="251" t="s">
        <v>1448</v>
      </c>
      <c r="R408" s="191" t="str">
        <f t="shared" si="27"/>
        <v>Cước vận chuyển Container hàng 20' tuyến đường PAN HA - NHĐV. BKS: 15C09877</v>
      </c>
      <c r="S408" s="191" t="str">
        <f t="shared" si="28"/>
        <v xml:space="preserve"> hàng 20' </v>
      </c>
      <c r="V408" s="191">
        <v>11</v>
      </c>
    </row>
    <row r="409" spans="1:22" s="191" customFormat="1" ht="15">
      <c r="A409" s="236">
        <v>398</v>
      </c>
      <c r="B409" s="244">
        <v>46118</v>
      </c>
      <c r="C409" s="245" t="s">
        <v>261</v>
      </c>
      <c r="D409" s="246" t="s">
        <v>664</v>
      </c>
      <c r="E409" s="247">
        <v>1</v>
      </c>
      <c r="F409" s="247"/>
      <c r="G409" s="248"/>
      <c r="H409" s="247"/>
      <c r="I409" s="249" t="s">
        <v>304</v>
      </c>
      <c r="J409" s="249" t="s">
        <v>21</v>
      </c>
      <c r="K409" s="249" t="s">
        <v>36</v>
      </c>
      <c r="L409" s="250">
        <f t="shared" si="26"/>
        <v>1</v>
      </c>
      <c r="M409" s="237">
        <f t="array" ref="M409">INDEX('BKTT T4.26'!$N$12:$N$55,MATCH(V409,'BKTT T4.26'!$A$12:$A$55,0),0)</f>
        <v>576331</v>
      </c>
      <c r="N409" s="162">
        <f t="shared" si="25"/>
        <v>576331</v>
      </c>
      <c r="O409" s="238" t="s">
        <v>264</v>
      </c>
      <c r="P409" s="251" t="s">
        <v>1448</v>
      </c>
      <c r="R409" s="191" t="str">
        <f t="shared" si="27"/>
        <v>Cước vận chuyển Container hàng 20' tuyến đường PAN HA - NHĐV. BKS: 15C09877</v>
      </c>
      <c r="S409" s="191" t="str">
        <f t="shared" si="28"/>
        <v xml:space="preserve"> hàng 20' </v>
      </c>
      <c r="V409" s="191">
        <v>11</v>
      </c>
    </row>
    <row r="410" spans="1:22" s="191" customFormat="1" ht="15">
      <c r="A410" s="236">
        <v>399</v>
      </c>
      <c r="B410" s="244">
        <v>46118</v>
      </c>
      <c r="C410" s="245" t="s">
        <v>261</v>
      </c>
      <c r="D410" s="246" t="s">
        <v>665</v>
      </c>
      <c r="E410" s="247">
        <v>1</v>
      </c>
      <c r="F410" s="247"/>
      <c r="G410" s="248"/>
      <c r="H410" s="247"/>
      <c r="I410" s="249" t="s">
        <v>304</v>
      </c>
      <c r="J410" s="249" t="s">
        <v>21</v>
      </c>
      <c r="K410" s="249" t="s">
        <v>36</v>
      </c>
      <c r="L410" s="250">
        <f t="shared" si="26"/>
        <v>1</v>
      </c>
      <c r="M410" s="237">
        <f t="array" ref="M410">INDEX('BKTT T4.26'!$N$12:$N$55,MATCH(V410,'BKTT T4.26'!$A$12:$A$55,0),0)</f>
        <v>576331</v>
      </c>
      <c r="N410" s="162">
        <f t="shared" si="25"/>
        <v>576331</v>
      </c>
      <c r="O410" s="238" t="s">
        <v>264</v>
      </c>
      <c r="P410" s="251" t="s">
        <v>1448</v>
      </c>
      <c r="R410" s="191" t="str">
        <f t="shared" si="27"/>
        <v>Cước vận chuyển Container hàng 20' tuyến đường PAN HA - NHĐV. BKS: 15C09877</v>
      </c>
      <c r="S410" s="191" t="str">
        <f t="shared" si="28"/>
        <v xml:space="preserve"> hàng 20' </v>
      </c>
      <c r="V410" s="191">
        <v>11</v>
      </c>
    </row>
    <row r="411" spans="1:22" s="191" customFormat="1" ht="15">
      <c r="A411" s="236">
        <v>400</v>
      </c>
      <c r="B411" s="244">
        <v>46118</v>
      </c>
      <c r="C411" s="245" t="s">
        <v>261</v>
      </c>
      <c r="D411" s="246" t="s">
        <v>666</v>
      </c>
      <c r="E411" s="247">
        <v>1</v>
      </c>
      <c r="F411" s="247"/>
      <c r="G411" s="248"/>
      <c r="H411" s="247"/>
      <c r="I411" s="249" t="s">
        <v>304</v>
      </c>
      <c r="J411" s="249" t="s">
        <v>21</v>
      </c>
      <c r="K411" s="249" t="s">
        <v>36</v>
      </c>
      <c r="L411" s="250">
        <f t="shared" si="26"/>
        <v>1</v>
      </c>
      <c r="M411" s="237">
        <f t="array" ref="M411">INDEX('BKTT T4.26'!$N$12:$N$55,MATCH(V411,'BKTT T4.26'!$A$12:$A$55,0),0)</f>
        <v>576331</v>
      </c>
      <c r="N411" s="162">
        <f t="shared" si="25"/>
        <v>576331</v>
      </c>
      <c r="O411" s="238" t="s">
        <v>264</v>
      </c>
      <c r="P411" s="251" t="s">
        <v>1448</v>
      </c>
      <c r="R411" s="191" t="str">
        <f t="shared" si="27"/>
        <v>Cước vận chuyển Container hàng 20' tuyến đường PAN HA - NHĐV. BKS: 15C09877</v>
      </c>
      <c r="S411" s="191" t="str">
        <f t="shared" si="28"/>
        <v xml:space="preserve"> hàng 20' </v>
      </c>
      <c r="V411" s="191">
        <v>11</v>
      </c>
    </row>
    <row r="412" spans="1:22" s="283" customFormat="1" ht="15">
      <c r="A412" s="236">
        <v>401</v>
      </c>
      <c r="B412" s="272">
        <v>46119</v>
      </c>
      <c r="C412" s="273" t="s">
        <v>261</v>
      </c>
      <c r="D412" s="285" t="s">
        <v>1464</v>
      </c>
      <c r="E412" s="275">
        <v>1</v>
      </c>
      <c r="F412" s="275"/>
      <c r="G412" s="276"/>
      <c r="H412" s="275"/>
      <c r="I412" s="277" t="s">
        <v>304</v>
      </c>
      <c r="J412" s="249" t="s">
        <v>21</v>
      </c>
      <c r="K412" s="277" t="s">
        <v>36</v>
      </c>
      <c r="L412" s="278">
        <f t="shared" si="26"/>
        <v>1</v>
      </c>
      <c r="M412" s="279">
        <f t="array" ref="M412">INDEX('BKTT T4.26'!$N$12:$N$55,MATCH(V412,'BKTT T4.26'!$A$12:$A$55,0),0)</f>
        <v>576331</v>
      </c>
      <c r="N412" s="280">
        <f t="shared" si="25"/>
        <v>576331</v>
      </c>
      <c r="O412" s="281" t="s">
        <v>264</v>
      </c>
      <c r="P412" s="282" t="s">
        <v>1447</v>
      </c>
      <c r="R412" s="283" t="str">
        <f t="shared" si="27"/>
        <v>Cước vận chuyển Container hàng 20' tuyến đường PAN HA - NHĐV. BKS: 15C09877</v>
      </c>
      <c r="S412" s="283" t="str">
        <f t="shared" si="28"/>
        <v xml:space="preserve"> hàng 20' </v>
      </c>
      <c r="V412" s="191">
        <v>11</v>
      </c>
    </row>
    <row r="413" spans="1:22" s="191" customFormat="1" ht="15">
      <c r="A413" s="236">
        <v>402</v>
      </c>
      <c r="B413" s="244">
        <v>46119</v>
      </c>
      <c r="C413" s="245" t="s">
        <v>261</v>
      </c>
      <c r="D413" s="246" t="s">
        <v>667</v>
      </c>
      <c r="E413" s="247">
        <v>1</v>
      </c>
      <c r="F413" s="247"/>
      <c r="G413" s="248"/>
      <c r="H413" s="247"/>
      <c r="I413" s="249" t="s">
        <v>304</v>
      </c>
      <c r="J413" s="249" t="s">
        <v>21</v>
      </c>
      <c r="K413" s="249" t="s">
        <v>36</v>
      </c>
      <c r="L413" s="250">
        <f t="shared" si="26"/>
        <v>1</v>
      </c>
      <c r="M413" s="237">
        <f t="array" ref="M413">INDEX('BKTT T4.26'!$N$12:$N$55,MATCH(V413,'BKTT T4.26'!$A$12:$A$55,0),0)</f>
        <v>576331</v>
      </c>
      <c r="N413" s="162">
        <f t="shared" si="25"/>
        <v>576331</v>
      </c>
      <c r="O413" s="238" t="s">
        <v>264</v>
      </c>
      <c r="P413" s="251" t="s">
        <v>1448</v>
      </c>
      <c r="R413" s="191" t="str">
        <f t="shared" si="27"/>
        <v>Cước vận chuyển Container hàng 20' tuyến đường PAN HA - NHĐV. BKS: 15C09877</v>
      </c>
      <c r="S413" s="191" t="str">
        <f t="shared" si="28"/>
        <v xml:space="preserve"> hàng 20' </v>
      </c>
      <c r="V413" s="191">
        <v>11</v>
      </c>
    </row>
    <row r="414" spans="1:22" s="191" customFormat="1" ht="15">
      <c r="A414" s="236">
        <v>403</v>
      </c>
      <c r="B414" s="244">
        <v>46119</v>
      </c>
      <c r="C414" s="245" t="s">
        <v>261</v>
      </c>
      <c r="D414" s="246" t="s">
        <v>668</v>
      </c>
      <c r="E414" s="247"/>
      <c r="F414" s="247">
        <v>1</v>
      </c>
      <c r="G414" s="248"/>
      <c r="H414" s="247"/>
      <c r="I414" s="249" t="s">
        <v>304</v>
      </c>
      <c r="J414" s="249" t="s">
        <v>21</v>
      </c>
      <c r="K414" s="249" t="s">
        <v>37</v>
      </c>
      <c r="L414" s="250">
        <f t="shared" si="26"/>
        <v>1</v>
      </c>
      <c r="M414" s="237">
        <f t="array" ref="M414">INDEX('BKTT T4.26'!$N$12:$N$55,MATCH(V414,'BKTT T4.26'!$A$12:$A$55,0),0)</f>
        <v>602510</v>
      </c>
      <c r="N414" s="162">
        <f t="shared" si="25"/>
        <v>602510</v>
      </c>
      <c r="O414" s="238" t="s">
        <v>264</v>
      </c>
      <c r="P414" s="251" t="s">
        <v>1448</v>
      </c>
      <c r="R414" s="191" t="str">
        <f t="shared" si="27"/>
        <v>Cước vận chuyển Container hàng 40' tuyến đường PAN HA - NHĐV,. BKS: 15C09877</v>
      </c>
      <c r="S414" s="191" t="str">
        <f t="shared" si="28"/>
        <v xml:space="preserve"> hàng 40' </v>
      </c>
      <c r="V414" s="191">
        <v>12</v>
      </c>
    </row>
    <row r="415" spans="1:22" s="191" customFormat="1" ht="15">
      <c r="A415" s="236">
        <v>404</v>
      </c>
      <c r="B415" s="244">
        <v>46117</v>
      </c>
      <c r="C415" s="245" t="s">
        <v>261</v>
      </c>
      <c r="D415" s="246" t="s">
        <v>669</v>
      </c>
      <c r="E415" s="247">
        <v>1</v>
      </c>
      <c r="F415" s="247"/>
      <c r="G415" s="248"/>
      <c r="H415" s="247"/>
      <c r="I415" s="249" t="s">
        <v>438</v>
      </c>
      <c r="J415" s="249" t="s">
        <v>21</v>
      </c>
      <c r="K415" s="249" t="s">
        <v>22</v>
      </c>
      <c r="L415" s="250">
        <f t="shared" si="26"/>
        <v>1</v>
      </c>
      <c r="M415" s="237">
        <f t="array" ref="M415">INDEX('BKTT T4.26'!$N$12:$N$55,MATCH(V415,'BKTT T4.26'!$A$12:$A$55,0),0)</f>
        <v>654871</v>
      </c>
      <c r="N415" s="162">
        <f t="shared" si="25"/>
        <v>654871</v>
      </c>
      <c r="O415" s="238" t="s">
        <v>264</v>
      </c>
      <c r="P415" s="251" t="s">
        <v>1448</v>
      </c>
      <c r="R415" s="191" t="str">
        <f t="shared" si="27"/>
        <v>Cước vận chuyển Container hàng 20' tuyến đường PAN HA - HẢI AN. BKS: 15C30649</v>
      </c>
      <c r="S415" s="191" t="str">
        <f t="shared" si="28"/>
        <v xml:space="preserve"> hàng 20' </v>
      </c>
      <c r="V415" s="191">
        <v>1</v>
      </c>
    </row>
    <row r="416" spans="1:22" s="191" customFormat="1" ht="15">
      <c r="A416" s="236">
        <v>405</v>
      </c>
      <c r="B416" s="244">
        <v>46117</v>
      </c>
      <c r="C416" s="245" t="s">
        <v>261</v>
      </c>
      <c r="D416" s="246" t="s">
        <v>670</v>
      </c>
      <c r="E416" s="247">
        <v>1</v>
      </c>
      <c r="F416" s="247"/>
      <c r="G416" s="248"/>
      <c r="H416" s="247"/>
      <c r="I416" s="249" t="s">
        <v>438</v>
      </c>
      <c r="J416" s="249" t="s">
        <v>21</v>
      </c>
      <c r="K416" s="249" t="s">
        <v>22</v>
      </c>
      <c r="L416" s="250">
        <f t="shared" si="26"/>
        <v>1</v>
      </c>
      <c r="M416" s="237">
        <f t="array" ref="M416">INDEX('BKTT T4.26'!$N$12:$N$55,MATCH(V416,'BKTT T4.26'!$A$12:$A$55,0),0)</f>
        <v>654871</v>
      </c>
      <c r="N416" s="162">
        <f t="shared" si="25"/>
        <v>654871</v>
      </c>
      <c r="O416" s="238" t="s">
        <v>264</v>
      </c>
      <c r="P416" s="251" t="s">
        <v>1448</v>
      </c>
      <c r="R416" s="191" t="str">
        <f t="shared" si="27"/>
        <v>Cước vận chuyển Container hàng 20' tuyến đường PAN HA - HẢI AN. BKS: 15C30649</v>
      </c>
      <c r="S416" s="191" t="str">
        <f t="shared" si="28"/>
        <v xml:space="preserve"> hàng 20' </v>
      </c>
      <c r="V416" s="191">
        <v>1</v>
      </c>
    </row>
    <row r="417" spans="1:22" s="191" customFormat="1" ht="15">
      <c r="A417" s="236">
        <v>406</v>
      </c>
      <c r="B417" s="244">
        <v>46117</v>
      </c>
      <c r="C417" s="245" t="s">
        <v>261</v>
      </c>
      <c r="D417" s="246" t="s">
        <v>671</v>
      </c>
      <c r="E417" s="247">
        <v>1</v>
      </c>
      <c r="F417" s="247"/>
      <c r="G417" s="248"/>
      <c r="H417" s="247"/>
      <c r="I417" s="249" t="s">
        <v>438</v>
      </c>
      <c r="J417" s="249" t="s">
        <v>21</v>
      </c>
      <c r="K417" s="249" t="s">
        <v>22</v>
      </c>
      <c r="L417" s="250">
        <f t="shared" si="26"/>
        <v>1</v>
      </c>
      <c r="M417" s="237">
        <f t="array" ref="M417">INDEX('BKTT T4.26'!$N$12:$N$55,MATCH(V417,'BKTT T4.26'!$A$12:$A$55,0),0)</f>
        <v>654871</v>
      </c>
      <c r="N417" s="162">
        <f t="shared" si="25"/>
        <v>654871</v>
      </c>
      <c r="O417" s="238" t="s">
        <v>264</v>
      </c>
      <c r="P417" s="251" t="s">
        <v>1448</v>
      </c>
      <c r="R417" s="191" t="str">
        <f t="shared" si="27"/>
        <v>Cước vận chuyển Container hàng 20' tuyến đường PAN HA - HẢI AN. BKS: 15C30649</v>
      </c>
      <c r="S417" s="191" t="str">
        <f t="shared" si="28"/>
        <v xml:space="preserve"> hàng 20' </v>
      </c>
      <c r="V417" s="191">
        <v>1</v>
      </c>
    </row>
    <row r="418" spans="1:22" s="191" customFormat="1" ht="15">
      <c r="A418" s="236">
        <v>407</v>
      </c>
      <c r="B418" s="244">
        <v>46117</v>
      </c>
      <c r="C418" s="245" t="s">
        <v>261</v>
      </c>
      <c r="D418" s="246" t="s">
        <v>672</v>
      </c>
      <c r="E418" s="247">
        <v>1</v>
      </c>
      <c r="F418" s="247"/>
      <c r="G418" s="248"/>
      <c r="H418" s="247"/>
      <c r="I418" s="249" t="s">
        <v>438</v>
      </c>
      <c r="J418" s="249" t="s">
        <v>21</v>
      </c>
      <c r="K418" s="249" t="s">
        <v>22</v>
      </c>
      <c r="L418" s="250">
        <f t="shared" si="26"/>
        <v>1</v>
      </c>
      <c r="M418" s="237">
        <f t="array" ref="M418">INDEX('BKTT T4.26'!$N$12:$N$55,MATCH(V418,'BKTT T4.26'!$A$12:$A$55,0),0)</f>
        <v>654871</v>
      </c>
      <c r="N418" s="162">
        <f t="shared" si="25"/>
        <v>654871</v>
      </c>
      <c r="O418" s="238" t="s">
        <v>264</v>
      </c>
      <c r="P418" s="251" t="s">
        <v>1448</v>
      </c>
      <c r="R418" s="191" t="str">
        <f t="shared" si="27"/>
        <v>Cước vận chuyển Container hàng 20' tuyến đường PAN HA - HẢI AN. BKS: 15C30649</v>
      </c>
      <c r="S418" s="191" t="str">
        <f t="shared" si="28"/>
        <v xml:space="preserve"> hàng 20' </v>
      </c>
      <c r="V418" s="191">
        <v>1</v>
      </c>
    </row>
    <row r="419" spans="1:22" s="191" customFormat="1" ht="15">
      <c r="A419" s="236">
        <v>408</v>
      </c>
      <c r="B419" s="244">
        <v>46117</v>
      </c>
      <c r="C419" s="245" t="s">
        <v>261</v>
      </c>
      <c r="D419" s="246" t="s">
        <v>673</v>
      </c>
      <c r="E419" s="247">
        <v>1</v>
      </c>
      <c r="F419" s="247"/>
      <c r="G419" s="248"/>
      <c r="H419" s="247"/>
      <c r="I419" s="249" t="s">
        <v>438</v>
      </c>
      <c r="J419" s="249" t="s">
        <v>21</v>
      </c>
      <c r="K419" s="249" t="s">
        <v>22</v>
      </c>
      <c r="L419" s="250">
        <f t="shared" si="26"/>
        <v>1</v>
      </c>
      <c r="M419" s="237">
        <f t="array" ref="M419">INDEX('BKTT T4.26'!$N$12:$N$55,MATCH(V419,'BKTT T4.26'!$A$12:$A$55,0),0)</f>
        <v>654871</v>
      </c>
      <c r="N419" s="162">
        <f t="shared" si="25"/>
        <v>654871</v>
      </c>
      <c r="O419" s="238" t="s">
        <v>264</v>
      </c>
      <c r="P419" s="251" t="s">
        <v>1448</v>
      </c>
      <c r="R419" s="191" t="str">
        <f t="shared" si="27"/>
        <v>Cước vận chuyển Container hàng 20' tuyến đường PAN HA - HẢI AN. BKS: 15C30649</v>
      </c>
      <c r="S419" s="191" t="str">
        <f t="shared" si="28"/>
        <v xml:space="preserve"> hàng 20' </v>
      </c>
      <c r="V419" s="191">
        <v>1</v>
      </c>
    </row>
    <row r="420" spans="1:22" s="191" customFormat="1" ht="15">
      <c r="A420" s="236">
        <v>409</v>
      </c>
      <c r="B420" s="244">
        <v>46117</v>
      </c>
      <c r="C420" s="245" t="s">
        <v>261</v>
      </c>
      <c r="D420" s="246" t="s">
        <v>674</v>
      </c>
      <c r="E420" s="247">
        <v>1</v>
      </c>
      <c r="F420" s="247"/>
      <c r="G420" s="248"/>
      <c r="H420" s="247"/>
      <c r="I420" s="249" t="s">
        <v>438</v>
      </c>
      <c r="J420" s="249" t="s">
        <v>21</v>
      </c>
      <c r="K420" s="249" t="s">
        <v>22</v>
      </c>
      <c r="L420" s="250">
        <f t="shared" si="26"/>
        <v>1</v>
      </c>
      <c r="M420" s="237">
        <f t="array" ref="M420">INDEX('BKTT T4.26'!$N$12:$N$55,MATCH(V420,'BKTT T4.26'!$A$12:$A$55,0),0)</f>
        <v>654871</v>
      </c>
      <c r="N420" s="162">
        <f t="shared" si="25"/>
        <v>654871</v>
      </c>
      <c r="O420" s="238" t="s">
        <v>264</v>
      </c>
      <c r="P420" s="251" t="s">
        <v>1448</v>
      </c>
      <c r="R420" s="191" t="str">
        <f t="shared" si="27"/>
        <v>Cước vận chuyển Container hàng 20' tuyến đường PAN HA - HẢI AN. BKS: 15C30649</v>
      </c>
      <c r="S420" s="191" t="str">
        <f t="shared" si="28"/>
        <v xml:space="preserve"> hàng 20' </v>
      </c>
      <c r="V420" s="191">
        <v>1</v>
      </c>
    </row>
    <row r="421" spans="1:22" s="191" customFormat="1" ht="15">
      <c r="A421" s="236">
        <v>410</v>
      </c>
      <c r="B421" s="244">
        <v>46117</v>
      </c>
      <c r="C421" s="245" t="s">
        <v>261</v>
      </c>
      <c r="D421" s="246" t="s">
        <v>675</v>
      </c>
      <c r="E421" s="247"/>
      <c r="F421" s="247">
        <v>1</v>
      </c>
      <c r="G421" s="248"/>
      <c r="H421" s="247"/>
      <c r="I421" s="249" t="s">
        <v>438</v>
      </c>
      <c r="J421" s="249" t="s">
        <v>21</v>
      </c>
      <c r="K421" s="249" t="s">
        <v>25</v>
      </c>
      <c r="L421" s="250">
        <f t="shared" si="26"/>
        <v>1</v>
      </c>
      <c r="M421" s="237">
        <f t="array" ref="M421">INDEX('BKTT T4.26'!$N$12:$N$55,MATCH(V421,'BKTT T4.26'!$A$12:$A$55,0),0)</f>
        <v>681050</v>
      </c>
      <c r="N421" s="162">
        <f t="shared" si="25"/>
        <v>681050</v>
      </c>
      <c r="O421" s="238" t="s">
        <v>264</v>
      </c>
      <c r="P421" s="251" t="s">
        <v>1448</v>
      </c>
      <c r="R421" s="191" t="str">
        <f t="shared" si="27"/>
        <v>Cước vận chuyển Container hàng 40' tuyến đường PAN HA - HẢI AN,. BKS: 15C30649</v>
      </c>
      <c r="S421" s="191" t="str">
        <f t="shared" si="28"/>
        <v xml:space="preserve"> hàng 40' </v>
      </c>
      <c r="V421" s="191">
        <v>2</v>
      </c>
    </row>
    <row r="422" spans="1:22" s="191" customFormat="1" ht="15">
      <c r="A422" s="236">
        <v>411</v>
      </c>
      <c r="B422" s="244">
        <v>46117</v>
      </c>
      <c r="C422" s="245" t="s">
        <v>261</v>
      </c>
      <c r="D422" s="246" t="s">
        <v>676</v>
      </c>
      <c r="E422" s="247"/>
      <c r="F422" s="247"/>
      <c r="G422" s="248"/>
      <c r="H422" s="247">
        <v>1</v>
      </c>
      <c r="I422" s="249" t="s">
        <v>438</v>
      </c>
      <c r="J422" s="249" t="s">
        <v>21</v>
      </c>
      <c r="K422" s="249" t="s">
        <v>27</v>
      </c>
      <c r="L422" s="250">
        <f t="shared" si="26"/>
        <v>1</v>
      </c>
      <c r="M422" s="237">
        <f t="array" ref="M422">INDEX('BKTT T4.26'!$N$12:$N$55,MATCH(V422,'BKTT T4.26'!$A$12:$A$55,0),0)</f>
        <v>628690</v>
      </c>
      <c r="N422" s="162">
        <f t="shared" si="25"/>
        <v>628690</v>
      </c>
      <c r="O422" s="238" t="s">
        <v>264</v>
      </c>
      <c r="P422" s="251" t="s">
        <v>1448</v>
      </c>
      <c r="R422" s="191" t="str">
        <f t="shared" si="27"/>
        <v>Cước vận chuyển Container vỏ tuyến đường PAN HA - HẢI AN.. BKS: 15C30649</v>
      </c>
      <c r="S422" s="191" t="str">
        <f t="shared" si="28"/>
        <v xml:space="preserve"> vỏ </v>
      </c>
      <c r="V422" s="191">
        <v>3</v>
      </c>
    </row>
    <row r="423" spans="1:22" s="191" customFormat="1" ht="15">
      <c r="A423" s="236">
        <v>412</v>
      </c>
      <c r="B423" s="244">
        <v>46117</v>
      </c>
      <c r="C423" s="245" t="s">
        <v>261</v>
      </c>
      <c r="D423" s="246" t="s">
        <v>677</v>
      </c>
      <c r="E423" s="247">
        <v>1</v>
      </c>
      <c r="F423" s="247"/>
      <c r="G423" s="248"/>
      <c r="H423" s="247"/>
      <c r="I423" s="249" t="s">
        <v>438</v>
      </c>
      <c r="J423" s="249" t="s">
        <v>21</v>
      </c>
      <c r="K423" s="249" t="s">
        <v>36</v>
      </c>
      <c r="L423" s="250">
        <f t="shared" si="26"/>
        <v>1</v>
      </c>
      <c r="M423" s="237">
        <f t="array" ref="M423">INDEX('BKTT T4.26'!$N$12:$N$55,MATCH(V423,'BKTT T4.26'!$A$12:$A$55,0),0)</f>
        <v>576331</v>
      </c>
      <c r="N423" s="162">
        <f t="shared" si="25"/>
        <v>576331</v>
      </c>
      <c r="O423" s="238" t="s">
        <v>264</v>
      </c>
      <c r="P423" s="251" t="s">
        <v>1448</v>
      </c>
      <c r="R423" s="191" t="str">
        <f t="shared" si="27"/>
        <v>Cước vận chuyển Container hàng 20' tuyến đường PAN HA - NHĐV. BKS: 15C30649</v>
      </c>
      <c r="S423" s="191" t="str">
        <f t="shared" si="28"/>
        <v xml:space="preserve"> hàng 20' </v>
      </c>
      <c r="V423" s="191">
        <v>11</v>
      </c>
    </row>
    <row r="424" spans="1:22" s="191" customFormat="1" ht="15">
      <c r="A424" s="236">
        <v>413</v>
      </c>
      <c r="B424" s="244">
        <v>46117</v>
      </c>
      <c r="C424" s="245" t="s">
        <v>261</v>
      </c>
      <c r="D424" s="246" t="s">
        <v>678</v>
      </c>
      <c r="E424" s="247">
        <v>1</v>
      </c>
      <c r="F424" s="247"/>
      <c r="G424" s="248"/>
      <c r="H424" s="247"/>
      <c r="I424" s="249" t="s">
        <v>438</v>
      </c>
      <c r="J424" s="249" t="s">
        <v>21</v>
      </c>
      <c r="K424" s="249" t="s">
        <v>36</v>
      </c>
      <c r="L424" s="250">
        <f t="shared" si="26"/>
        <v>1</v>
      </c>
      <c r="M424" s="237">
        <f t="array" ref="M424">INDEX('BKTT T4.26'!$N$12:$N$55,MATCH(V424,'BKTT T4.26'!$A$12:$A$55,0),0)</f>
        <v>576331</v>
      </c>
      <c r="N424" s="162">
        <f t="shared" si="25"/>
        <v>576331</v>
      </c>
      <c r="O424" s="238" t="s">
        <v>264</v>
      </c>
      <c r="P424" s="251" t="s">
        <v>1448</v>
      </c>
      <c r="R424" s="191" t="str">
        <f t="shared" si="27"/>
        <v>Cước vận chuyển Container hàng 20' tuyến đường PAN HA - NHĐV. BKS: 15C30649</v>
      </c>
      <c r="S424" s="191" t="str">
        <f t="shared" si="28"/>
        <v xml:space="preserve"> hàng 20' </v>
      </c>
      <c r="V424" s="191">
        <v>11</v>
      </c>
    </row>
    <row r="425" spans="1:22" s="191" customFormat="1" ht="15">
      <c r="A425" s="236">
        <v>414</v>
      </c>
      <c r="B425" s="244">
        <v>46117</v>
      </c>
      <c r="C425" s="245" t="s">
        <v>261</v>
      </c>
      <c r="D425" s="246" t="s">
        <v>679</v>
      </c>
      <c r="E425" s="247">
        <v>1</v>
      </c>
      <c r="F425" s="247"/>
      <c r="G425" s="248"/>
      <c r="H425" s="247"/>
      <c r="I425" s="249" t="s">
        <v>438</v>
      </c>
      <c r="J425" s="249" t="s">
        <v>21</v>
      </c>
      <c r="K425" s="249" t="s">
        <v>36</v>
      </c>
      <c r="L425" s="250">
        <f t="shared" si="26"/>
        <v>1</v>
      </c>
      <c r="M425" s="237">
        <f t="array" ref="M425">INDEX('BKTT T4.26'!$N$12:$N$55,MATCH(V425,'BKTT T4.26'!$A$12:$A$55,0),0)</f>
        <v>576331</v>
      </c>
      <c r="N425" s="162">
        <f t="shared" si="25"/>
        <v>576331</v>
      </c>
      <c r="O425" s="238" t="s">
        <v>264</v>
      </c>
      <c r="P425" s="251" t="s">
        <v>1448</v>
      </c>
      <c r="R425" s="191" t="str">
        <f t="shared" si="27"/>
        <v>Cước vận chuyển Container hàng 20' tuyến đường PAN HA - NHĐV. BKS: 15C30649</v>
      </c>
      <c r="S425" s="191" t="str">
        <f t="shared" si="28"/>
        <v xml:space="preserve"> hàng 20' </v>
      </c>
      <c r="V425" s="191">
        <v>11</v>
      </c>
    </row>
    <row r="426" spans="1:22" s="191" customFormat="1" ht="15">
      <c r="A426" s="236">
        <v>415</v>
      </c>
      <c r="B426" s="244">
        <v>46117</v>
      </c>
      <c r="C426" s="245" t="s">
        <v>261</v>
      </c>
      <c r="D426" s="246" t="s">
        <v>680</v>
      </c>
      <c r="E426" s="247">
        <v>1</v>
      </c>
      <c r="F426" s="247"/>
      <c r="G426" s="248"/>
      <c r="H426" s="247"/>
      <c r="I426" s="249" t="s">
        <v>438</v>
      </c>
      <c r="J426" s="249" t="s">
        <v>21</v>
      </c>
      <c r="K426" s="249" t="s">
        <v>36</v>
      </c>
      <c r="L426" s="250">
        <f t="shared" si="26"/>
        <v>1</v>
      </c>
      <c r="M426" s="237">
        <f t="array" ref="M426">INDEX('BKTT T4.26'!$N$12:$N$55,MATCH(V426,'BKTT T4.26'!$A$12:$A$55,0),0)</f>
        <v>576331</v>
      </c>
      <c r="N426" s="162">
        <f t="shared" si="25"/>
        <v>576331</v>
      </c>
      <c r="O426" s="238" t="s">
        <v>264</v>
      </c>
      <c r="P426" s="251" t="s">
        <v>1448</v>
      </c>
      <c r="R426" s="191" t="str">
        <f t="shared" si="27"/>
        <v>Cước vận chuyển Container hàng 20' tuyến đường PAN HA - NHĐV. BKS: 15C30649</v>
      </c>
      <c r="S426" s="191" t="str">
        <f t="shared" si="28"/>
        <v xml:space="preserve"> hàng 20' </v>
      </c>
      <c r="V426" s="191">
        <v>11</v>
      </c>
    </row>
    <row r="427" spans="1:22" s="191" customFormat="1" ht="15">
      <c r="A427" s="236">
        <v>416</v>
      </c>
      <c r="B427" s="244">
        <v>46117</v>
      </c>
      <c r="C427" s="245" t="s">
        <v>261</v>
      </c>
      <c r="D427" s="246" t="s">
        <v>681</v>
      </c>
      <c r="E427" s="247"/>
      <c r="F427" s="247">
        <v>1</v>
      </c>
      <c r="G427" s="248"/>
      <c r="H427" s="247"/>
      <c r="I427" s="249" t="s">
        <v>438</v>
      </c>
      <c r="J427" s="249" t="s">
        <v>21</v>
      </c>
      <c r="K427" s="249" t="s">
        <v>37</v>
      </c>
      <c r="L427" s="250">
        <f t="shared" si="26"/>
        <v>1</v>
      </c>
      <c r="M427" s="237">
        <f t="array" ref="M427">INDEX('BKTT T4.26'!$N$12:$N$55,MATCH(V427,'BKTT T4.26'!$A$12:$A$55,0),0)</f>
        <v>602510</v>
      </c>
      <c r="N427" s="162">
        <f t="shared" si="25"/>
        <v>602510</v>
      </c>
      <c r="O427" s="238" t="s">
        <v>264</v>
      </c>
      <c r="P427" s="251" t="s">
        <v>1448</v>
      </c>
      <c r="R427" s="191" t="str">
        <f t="shared" si="27"/>
        <v>Cước vận chuyển Container hàng 40' tuyến đường PAN HA - NHĐV,. BKS: 15C30649</v>
      </c>
      <c r="S427" s="191" t="str">
        <f t="shared" si="28"/>
        <v xml:space="preserve"> hàng 40' </v>
      </c>
      <c r="V427" s="191">
        <v>12</v>
      </c>
    </row>
    <row r="428" spans="1:22" s="191" customFormat="1" ht="15">
      <c r="A428" s="236">
        <v>417</v>
      </c>
      <c r="B428" s="244">
        <v>46118</v>
      </c>
      <c r="C428" s="245" t="s">
        <v>261</v>
      </c>
      <c r="D428" s="246" t="s">
        <v>682</v>
      </c>
      <c r="E428" s="247"/>
      <c r="F428" s="247">
        <v>1</v>
      </c>
      <c r="G428" s="248"/>
      <c r="H428" s="247"/>
      <c r="I428" s="249" t="s">
        <v>472</v>
      </c>
      <c r="J428" s="249" t="s">
        <v>21</v>
      </c>
      <c r="K428" s="249" t="s">
        <v>25</v>
      </c>
      <c r="L428" s="250">
        <f t="shared" si="26"/>
        <v>1</v>
      </c>
      <c r="M428" s="237">
        <f t="array" ref="M428">INDEX('BKTT T4.26'!$N$12:$N$55,MATCH(V428,'BKTT T4.26'!$A$12:$A$55,0),0)</f>
        <v>681050</v>
      </c>
      <c r="N428" s="162">
        <f t="shared" si="25"/>
        <v>681050</v>
      </c>
      <c r="O428" s="238" t="s">
        <v>264</v>
      </c>
      <c r="P428" s="251" t="s">
        <v>1448</v>
      </c>
      <c r="R428" s="191" t="str">
        <f t="shared" si="27"/>
        <v>Cước vận chuyển Container hàng 40' tuyến đường PAN HA - HẢI AN,. BKS: 15H08574</v>
      </c>
      <c r="S428" s="191" t="str">
        <f t="shared" si="28"/>
        <v xml:space="preserve"> hàng 40' </v>
      </c>
      <c r="V428" s="191">
        <v>2</v>
      </c>
    </row>
    <row r="429" spans="1:22" s="191" customFormat="1" ht="15">
      <c r="A429" s="236">
        <v>418</v>
      </c>
      <c r="B429" s="244">
        <v>46118</v>
      </c>
      <c r="C429" s="245" t="s">
        <v>261</v>
      </c>
      <c r="D429" s="246" t="s">
        <v>683</v>
      </c>
      <c r="E429" s="247">
        <v>1</v>
      </c>
      <c r="F429" s="247"/>
      <c r="G429" s="248"/>
      <c r="H429" s="247"/>
      <c r="I429" s="249" t="s">
        <v>472</v>
      </c>
      <c r="J429" s="249" t="s">
        <v>21</v>
      </c>
      <c r="K429" s="249" t="s">
        <v>36</v>
      </c>
      <c r="L429" s="250">
        <f t="shared" si="26"/>
        <v>1</v>
      </c>
      <c r="M429" s="237">
        <f t="array" ref="M429">INDEX('BKTT T4.26'!$N$12:$N$55,MATCH(V429,'BKTT T4.26'!$A$12:$A$55,0),0)</f>
        <v>576331</v>
      </c>
      <c r="N429" s="162">
        <f t="shared" si="25"/>
        <v>576331</v>
      </c>
      <c r="O429" s="238" t="s">
        <v>264</v>
      </c>
      <c r="P429" s="251" t="s">
        <v>1448</v>
      </c>
      <c r="R429" s="191" t="str">
        <f t="shared" si="27"/>
        <v>Cước vận chuyển Container hàng 20' tuyến đường PAN HA - NHĐV. BKS: 15H08574</v>
      </c>
      <c r="S429" s="191" t="str">
        <f t="shared" si="28"/>
        <v xml:space="preserve"> hàng 20' </v>
      </c>
      <c r="V429" s="191">
        <v>11</v>
      </c>
    </row>
    <row r="430" spans="1:22" s="191" customFormat="1" ht="15">
      <c r="A430" s="236">
        <v>419</v>
      </c>
      <c r="B430" s="244">
        <v>46118</v>
      </c>
      <c r="C430" s="245" t="s">
        <v>261</v>
      </c>
      <c r="D430" s="246" t="s">
        <v>684</v>
      </c>
      <c r="E430" s="247">
        <v>1</v>
      </c>
      <c r="F430" s="247"/>
      <c r="G430" s="248"/>
      <c r="H430" s="247"/>
      <c r="I430" s="249" t="s">
        <v>472</v>
      </c>
      <c r="J430" s="249" t="s">
        <v>21</v>
      </c>
      <c r="K430" s="249" t="s">
        <v>36</v>
      </c>
      <c r="L430" s="250">
        <f t="shared" si="26"/>
        <v>1</v>
      </c>
      <c r="M430" s="237">
        <f t="array" ref="M430">INDEX('BKTT T4.26'!$N$12:$N$55,MATCH(V430,'BKTT T4.26'!$A$12:$A$55,0),0)</f>
        <v>576331</v>
      </c>
      <c r="N430" s="162">
        <f t="shared" si="25"/>
        <v>576331</v>
      </c>
      <c r="O430" s="238" t="s">
        <v>264</v>
      </c>
      <c r="P430" s="251" t="s">
        <v>1448</v>
      </c>
      <c r="R430" s="191" t="str">
        <f t="shared" si="27"/>
        <v>Cước vận chuyển Container hàng 20' tuyến đường PAN HA - NHĐV. BKS: 15H08574</v>
      </c>
      <c r="S430" s="191" t="str">
        <f t="shared" si="28"/>
        <v xml:space="preserve"> hàng 20' </v>
      </c>
      <c r="V430" s="191">
        <v>11</v>
      </c>
    </row>
    <row r="431" spans="1:22" s="191" customFormat="1" ht="15">
      <c r="A431" s="236">
        <v>420</v>
      </c>
      <c r="B431" s="244">
        <v>46118</v>
      </c>
      <c r="C431" s="245" t="s">
        <v>261</v>
      </c>
      <c r="D431" s="246" t="s">
        <v>685</v>
      </c>
      <c r="E431" s="247">
        <v>1</v>
      </c>
      <c r="F431" s="247"/>
      <c r="G431" s="248"/>
      <c r="H431" s="247"/>
      <c r="I431" s="249" t="s">
        <v>472</v>
      </c>
      <c r="J431" s="249" t="s">
        <v>21</v>
      </c>
      <c r="K431" s="249" t="s">
        <v>36</v>
      </c>
      <c r="L431" s="250">
        <f t="shared" si="26"/>
        <v>1</v>
      </c>
      <c r="M431" s="237">
        <f t="array" ref="M431">INDEX('BKTT T4.26'!$N$12:$N$55,MATCH(V431,'BKTT T4.26'!$A$12:$A$55,0),0)</f>
        <v>576331</v>
      </c>
      <c r="N431" s="162">
        <f t="shared" si="25"/>
        <v>576331</v>
      </c>
      <c r="O431" s="238" t="s">
        <v>264</v>
      </c>
      <c r="P431" s="251" t="s">
        <v>1448</v>
      </c>
      <c r="R431" s="191" t="str">
        <f t="shared" si="27"/>
        <v>Cước vận chuyển Container hàng 20' tuyến đường PAN HA - NHĐV. BKS: 15H08574</v>
      </c>
      <c r="S431" s="191" t="str">
        <f t="shared" si="28"/>
        <v xml:space="preserve"> hàng 20' </v>
      </c>
      <c r="V431" s="191">
        <v>11</v>
      </c>
    </row>
    <row r="432" spans="1:22" s="191" customFormat="1" ht="15">
      <c r="A432" s="236">
        <v>421</v>
      </c>
      <c r="B432" s="244">
        <v>46118</v>
      </c>
      <c r="C432" s="245" t="s">
        <v>261</v>
      </c>
      <c r="D432" s="246" t="s">
        <v>686</v>
      </c>
      <c r="E432" s="247">
        <v>1</v>
      </c>
      <c r="F432" s="247"/>
      <c r="G432" s="248"/>
      <c r="H432" s="247"/>
      <c r="I432" s="249" t="s">
        <v>472</v>
      </c>
      <c r="J432" s="249" t="s">
        <v>21</v>
      </c>
      <c r="K432" s="249" t="s">
        <v>36</v>
      </c>
      <c r="L432" s="250">
        <f t="shared" si="26"/>
        <v>1</v>
      </c>
      <c r="M432" s="237">
        <f t="array" ref="M432">INDEX('BKTT T4.26'!$N$12:$N$55,MATCH(V432,'BKTT T4.26'!$A$12:$A$55,0),0)</f>
        <v>576331</v>
      </c>
      <c r="N432" s="162">
        <f t="shared" si="25"/>
        <v>576331</v>
      </c>
      <c r="O432" s="238" t="s">
        <v>264</v>
      </c>
      <c r="P432" s="251" t="s">
        <v>1448</v>
      </c>
      <c r="R432" s="191" t="str">
        <f t="shared" si="27"/>
        <v>Cước vận chuyển Container hàng 20' tuyến đường PAN HA - NHĐV. BKS: 15H08574</v>
      </c>
      <c r="S432" s="191" t="str">
        <f t="shared" si="28"/>
        <v xml:space="preserve"> hàng 20' </v>
      </c>
      <c r="V432" s="191">
        <v>11</v>
      </c>
    </row>
    <row r="433" spans="1:22" s="191" customFormat="1" ht="15">
      <c r="A433" s="236">
        <v>422</v>
      </c>
      <c r="B433" s="244">
        <v>46118</v>
      </c>
      <c r="C433" s="245" t="s">
        <v>261</v>
      </c>
      <c r="D433" s="246" t="s">
        <v>687</v>
      </c>
      <c r="E433" s="247">
        <v>1</v>
      </c>
      <c r="F433" s="247"/>
      <c r="G433" s="248"/>
      <c r="H433" s="247"/>
      <c r="I433" s="249" t="s">
        <v>472</v>
      </c>
      <c r="J433" s="249" t="s">
        <v>21</v>
      </c>
      <c r="K433" s="249" t="s">
        <v>36</v>
      </c>
      <c r="L433" s="250">
        <f t="shared" si="26"/>
        <v>1</v>
      </c>
      <c r="M433" s="237">
        <f t="array" ref="M433">INDEX('BKTT T4.26'!$N$12:$N$55,MATCH(V433,'BKTT T4.26'!$A$12:$A$55,0),0)</f>
        <v>576331</v>
      </c>
      <c r="N433" s="162">
        <f t="shared" si="25"/>
        <v>576331</v>
      </c>
      <c r="O433" s="238" t="s">
        <v>264</v>
      </c>
      <c r="P433" s="251" t="s">
        <v>1448</v>
      </c>
      <c r="R433" s="191" t="str">
        <f t="shared" si="27"/>
        <v>Cước vận chuyển Container hàng 20' tuyến đường PAN HA - NHĐV. BKS: 15H08574</v>
      </c>
      <c r="S433" s="191" t="str">
        <f t="shared" si="28"/>
        <v xml:space="preserve"> hàng 20' </v>
      </c>
      <c r="V433" s="191">
        <v>11</v>
      </c>
    </row>
    <row r="434" spans="1:22" s="191" customFormat="1" ht="15">
      <c r="A434" s="236">
        <v>423</v>
      </c>
      <c r="B434" s="244">
        <v>46118</v>
      </c>
      <c r="C434" s="245" t="s">
        <v>261</v>
      </c>
      <c r="D434" s="246" t="s">
        <v>688</v>
      </c>
      <c r="E434" s="247">
        <v>1</v>
      </c>
      <c r="F434" s="247"/>
      <c r="G434" s="248"/>
      <c r="H434" s="247"/>
      <c r="I434" s="249" t="s">
        <v>472</v>
      </c>
      <c r="J434" s="249" t="s">
        <v>21</v>
      </c>
      <c r="K434" s="249" t="s">
        <v>36</v>
      </c>
      <c r="L434" s="250">
        <f t="shared" si="26"/>
        <v>1</v>
      </c>
      <c r="M434" s="237">
        <f t="array" ref="M434">INDEX('BKTT T4.26'!$N$12:$N$55,MATCH(V434,'BKTT T4.26'!$A$12:$A$55,0),0)</f>
        <v>576331</v>
      </c>
      <c r="N434" s="162">
        <f t="shared" si="25"/>
        <v>576331</v>
      </c>
      <c r="O434" s="238" t="s">
        <v>264</v>
      </c>
      <c r="P434" s="251" t="s">
        <v>1448</v>
      </c>
      <c r="R434" s="191" t="str">
        <f t="shared" si="27"/>
        <v>Cước vận chuyển Container hàng 20' tuyến đường PAN HA - NHĐV. BKS: 15H08574</v>
      </c>
      <c r="S434" s="191" t="str">
        <f t="shared" si="28"/>
        <v xml:space="preserve"> hàng 20' </v>
      </c>
      <c r="V434" s="191">
        <v>11</v>
      </c>
    </row>
    <row r="435" spans="1:22" s="191" customFormat="1" ht="15">
      <c r="A435" s="236">
        <v>424</v>
      </c>
      <c r="B435" s="244">
        <v>46119</v>
      </c>
      <c r="C435" s="245" t="s">
        <v>261</v>
      </c>
      <c r="D435" s="246" t="s">
        <v>689</v>
      </c>
      <c r="E435" s="247"/>
      <c r="F435" s="247">
        <v>1</v>
      </c>
      <c r="G435" s="248"/>
      <c r="H435" s="247"/>
      <c r="I435" s="249" t="s">
        <v>472</v>
      </c>
      <c r="J435" s="249" t="s">
        <v>21</v>
      </c>
      <c r="K435" s="249" t="s">
        <v>37</v>
      </c>
      <c r="L435" s="250">
        <f t="shared" si="26"/>
        <v>1</v>
      </c>
      <c r="M435" s="237">
        <f t="array" ref="M435">INDEX('BKTT T4.26'!$N$12:$N$55,MATCH(V435,'BKTT T4.26'!$A$12:$A$55,0),0)</f>
        <v>602510</v>
      </c>
      <c r="N435" s="162">
        <f t="shared" si="25"/>
        <v>602510</v>
      </c>
      <c r="O435" s="238" t="s">
        <v>264</v>
      </c>
      <c r="P435" s="251" t="s">
        <v>1448</v>
      </c>
      <c r="R435" s="191" t="str">
        <f t="shared" si="27"/>
        <v>Cước vận chuyển Container hàng 40' tuyến đường PAN HA - NHĐV,. BKS: 15H08574</v>
      </c>
      <c r="S435" s="191" t="str">
        <f t="shared" si="28"/>
        <v xml:space="preserve"> hàng 40' </v>
      </c>
      <c r="V435" s="191">
        <v>12</v>
      </c>
    </row>
    <row r="436" spans="1:22" s="191" customFormat="1" ht="15">
      <c r="A436" s="236">
        <v>425</v>
      </c>
      <c r="B436" s="244">
        <v>46119</v>
      </c>
      <c r="C436" s="245" t="s">
        <v>261</v>
      </c>
      <c r="D436" s="246" t="s">
        <v>690</v>
      </c>
      <c r="E436" s="247"/>
      <c r="F436" s="247">
        <v>1</v>
      </c>
      <c r="G436" s="248"/>
      <c r="H436" s="247"/>
      <c r="I436" s="249" t="s">
        <v>472</v>
      </c>
      <c r="J436" s="249" t="s">
        <v>21</v>
      </c>
      <c r="K436" s="249" t="s">
        <v>37</v>
      </c>
      <c r="L436" s="250">
        <f t="shared" si="26"/>
        <v>1</v>
      </c>
      <c r="M436" s="237">
        <f t="array" ref="M436">INDEX('BKTT T4.26'!$N$12:$N$55,MATCH(V436,'BKTT T4.26'!$A$12:$A$55,0),0)</f>
        <v>602510</v>
      </c>
      <c r="N436" s="162">
        <f t="shared" si="25"/>
        <v>602510</v>
      </c>
      <c r="O436" s="238" t="s">
        <v>264</v>
      </c>
      <c r="P436" s="251" t="s">
        <v>1448</v>
      </c>
      <c r="R436" s="191" t="str">
        <f t="shared" si="27"/>
        <v>Cước vận chuyển Container hàng 40' tuyến đường PAN HA - NHĐV,. BKS: 15H08574</v>
      </c>
      <c r="S436" s="191" t="str">
        <f t="shared" si="28"/>
        <v xml:space="preserve"> hàng 40' </v>
      </c>
      <c r="V436" s="191">
        <v>12</v>
      </c>
    </row>
    <row r="437" spans="1:22" s="191" customFormat="1" ht="15">
      <c r="A437" s="236">
        <v>426</v>
      </c>
      <c r="B437" s="244">
        <v>46119</v>
      </c>
      <c r="C437" s="245" t="s">
        <v>261</v>
      </c>
      <c r="D437" s="246" t="s">
        <v>691</v>
      </c>
      <c r="E437" s="247"/>
      <c r="F437" s="247">
        <v>1</v>
      </c>
      <c r="G437" s="248"/>
      <c r="H437" s="247"/>
      <c r="I437" s="249" t="s">
        <v>472</v>
      </c>
      <c r="J437" s="249" t="s">
        <v>21</v>
      </c>
      <c r="K437" s="249" t="s">
        <v>37</v>
      </c>
      <c r="L437" s="250">
        <f t="shared" si="26"/>
        <v>1</v>
      </c>
      <c r="M437" s="237">
        <f t="array" ref="M437">INDEX('BKTT T4.26'!$N$12:$N$55,MATCH(V437,'BKTT T4.26'!$A$12:$A$55,0),0)</f>
        <v>602510</v>
      </c>
      <c r="N437" s="162">
        <f t="shared" si="25"/>
        <v>602510</v>
      </c>
      <c r="O437" s="238" t="s">
        <v>264</v>
      </c>
      <c r="P437" s="251" t="s">
        <v>1448</v>
      </c>
      <c r="R437" s="191" t="str">
        <f t="shared" si="27"/>
        <v>Cước vận chuyển Container hàng 40' tuyến đường PAN HA - NHĐV,. BKS: 15H08574</v>
      </c>
      <c r="S437" s="191" t="str">
        <f t="shared" si="28"/>
        <v xml:space="preserve"> hàng 40' </v>
      </c>
      <c r="V437" s="191">
        <v>12</v>
      </c>
    </row>
    <row r="438" spans="1:22" s="191" customFormat="1" ht="15">
      <c r="A438" s="236">
        <v>427</v>
      </c>
      <c r="B438" s="244">
        <v>46119</v>
      </c>
      <c r="C438" s="245" t="s">
        <v>261</v>
      </c>
      <c r="D438" s="246" t="s">
        <v>692</v>
      </c>
      <c r="E438" s="247"/>
      <c r="F438" s="247"/>
      <c r="G438" s="248"/>
      <c r="H438" s="247">
        <v>1</v>
      </c>
      <c r="I438" s="249" t="s">
        <v>472</v>
      </c>
      <c r="J438" s="249" t="s">
        <v>21</v>
      </c>
      <c r="K438" s="249" t="s">
        <v>27</v>
      </c>
      <c r="L438" s="250">
        <f t="shared" si="26"/>
        <v>1</v>
      </c>
      <c r="M438" s="237">
        <f t="array" ref="M438">INDEX('BKTT T4.26'!$N$12:$N$55,MATCH(V438,'BKTT T4.26'!$A$12:$A$55,0),0)</f>
        <v>628690</v>
      </c>
      <c r="N438" s="162">
        <f t="shared" si="25"/>
        <v>628690</v>
      </c>
      <c r="O438" s="238" t="s">
        <v>264</v>
      </c>
      <c r="P438" s="251" t="s">
        <v>1448</v>
      </c>
      <c r="R438" s="191" t="str">
        <f t="shared" si="27"/>
        <v>Cước vận chuyển Container vỏ tuyến đường PAN HA - HẢI AN.. BKS: 15H08574</v>
      </c>
      <c r="S438" s="191" t="str">
        <f t="shared" si="28"/>
        <v xml:space="preserve"> vỏ </v>
      </c>
      <c r="V438" s="191">
        <v>3</v>
      </c>
    </row>
    <row r="439" spans="1:22" s="191" customFormat="1" ht="15">
      <c r="A439" s="236">
        <v>428</v>
      </c>
      <c r="B439" s="244">
        <v>46119</v>
      </c>
      <c r="C439" s="245" t="s">
        <v>261</v>
      </c>
      <c r="D439" s="246" t="s">
        <v>693</v>
      </c>
      <c r="E439" s="247"/>
      <c r="F439" s="247"/>
      <c r="G439" s="248"/>
      <c r="H439" s="247">
        <v>1</v>
      </c>
      <c r="I439" s="249" t="s">
        <v>472</v>
      </c>
      <c r="J439" s="249" t="s">
        <v>21</v>
      </c>
      <c r="K439" s="249" t="s">
        <v>27</v>
      </c>
      <c r="L439" s="250">
        <f t="shared" si="26"/>
        <v>1</v>
      </c>
      <c r="M439" s="237">
        <f t="array" ref="M439">INDEX('BKTT T4.26'!$N$12:$N$55,MATCH(V439,'BKTT T4.26'!$A$12:$A$55,0),0)</f>
        <v>628690</v>
      </c>
      <c r="N439" s="162">
        <f t="shared" si="25"/>
        <v>628690</v>
      </c>
      <c r="O439" s="238" t="s">
        <v>264</v>
      </c>
      <c r="P439" s="251" t="s">
        <v>1448</v>
      </c>
      <c r="R439" s="191" t="str">
        <f t="shared" si="27"/>
        <v>Cước vận chuyển Container vỏ tuyến đường PAN HA - HẢI AN.. BKS: 15H08574</v>
      </c>
      <c r="S439" s="191" t="str">
        <f t="shared" si="28"/>
        <v xml:space="preserve"> vỏ </v>
      </c>
      <c r="V439" s="191">
        <v>3</v>
      </c>
    </row>
    <row r="440" spans="1:22" s="191" customFormat="1" ht="15">
      <c r="A440" s="236">
        <v>429</v>
      </c>
      <c r="B440" s="244">
        <v>46119</v>
      </c>
      <c r="C440" s="245" t="s">
        <v>261</v>
      </c>
      <c r="D440" s="246" t="s">
        <v>694</v>
      </c>
      <c r="E440" s="247"/>
      <c r="F440" s="247">
        <v>1</v>
      </c>
      <c r="G440" s="248"/>
      <c r="H440" s="247"/>
      <c r="I440" s="249" t="s">
        <v>472</v>
      </c>
      <c r="J440" s="249" t="s">
        <v>21</v>
      </c>
      <c r="K440" s="249" t="s">
        <v>25</v>
      </c>
      <c r="L440" s="250">
        <f t="shared" si="26"/>
        <v>1</v>
      </c>
      <c r="M440" s="237">
        <f t="array" ref="M440">INDEX('BKTT T4.26'!$N$12:$N$55,MATCH(V440,'BKTT T4.26'!$A$12:$A$55,0),0)</f>
        <v>681050</v>
      </c>
      <c r="N440" s="162">
        <f t="shared" si="25"/>
        <v>681050</v>
      </c>
      <c r="O440" s="238" t="s">
        <v>264</v>
      </c>
      <c r="P440" s="251" t="s">
        <v>1448</v>
      </c>
      <c r="R440" s="191" t="str">
        <f t="shared" si="27"/>
        <v>Cước vận chuyển Container hàng 40' tuyến đường PAN HA - HẢI AN,. BKS: 15H08574</v>
      </c>
      <c r="S440" s="191" t="str">
        <f t="shared" si="28"/>
        <v xml:space="preserve"> hàng 40' </v>
      </c>
      <c r="V440" s="191">
        <v>2</v>
      </c>
    </row>
    <row r="441" spans="1:22" s="191" customFormat="1" ht="15">
      <c r="A441" s="236">
        <v>430</v>
      </c>
      <c r="B441" s="244">
        <v>46119</v>
      </c>
      <c r="C441" s="245" t="s">
        <v>261</v>
      </c>
      <c r="D441" s="246" t="s">
        <v>695</v>
      </c>
      <c r="E441" s="247"/>
      <c r="F441" s="247">
        <v>1</v>
      </c>
      <c r="G441" s="248"/>
      <c r="H441" s="247"/>
      <c r="I441" s="249" t="s">
        <v>472</v>
      </c>
      <c r="J441" s="249" t="s">
        <v>21</v>
      </c>
      <c r="K441" s="249" t="s">
        <v>25</v>
      </c>
      <c r="L441" s="250">
        <f t="shared" si="26"/>
        <v>1</v>
      </c>
      <c r="M441" s="237">
        <f t="array" ref="M441">INDEX('BKTT T4.26'!$N$12:$N$55,MATCH(V441,'BKTT T4.26'!$A$12:$A$55,0),0)</f>
        <v>681050</v>
      </c>
      <c r="N441" s="162">
        <f t="shared" si="25"/>
        <v>681050</v>
      </c>
      <c r="O441" s="238" t="s">
        <v>264</v>
      </c>
      <c r="P441" s="251" t="s">
        <v>1448</v>
      </c>
      <c r="R441" s="191" t="str">
        <f t="shared" si="27"/>
        <v>Cước vận chuyển Container hàng 40' tuyến đường PAN HA - HẢI AN,. BKS: 15H08574</v>
      </c>
      <c r="S441" s="191" t="str">
        <f t="shared" si="28"/>
        <v xml:space="preserve"> hàng 40' </v>
      </c>
      <c r="V441" s="191">
        <v>2</v>
      </c>
    </row>
    <row r="442" spans="1:22" s="191" customFormat="1" ht="15">
      <c r="A442" s="236">
        <v>431</v>
      </c>
      <c r="B442" s="244">
        <v>46119</v>
      </c>
      <c r="C442" s="245" t="s">
        <v>261</v>
      </c>
      <c r="D442" s="246" t="s">
        <v>696</v>
      </c>
      <c r="E442" s="247"/>
      <c r="F442" s="247">
        <v>1</v>
      </c>
      <c r="G442" s="248"/>
      <c r="H442" s="247"/>
      <c r="I442" s="249" t="s">
        <v>472</v>
      </c>
      <c r="J442" s="249" t="s">
        <v>21</v>
      </c>
      <c r="K442" s="249" t="s">
        <v>25</v>
      </c>
      <c r="L442" s="250">
        <f t="shared" si="26"/>
        <v>1</v>
      </c>
      <c r="M442" s="237">
        <f t="array" ref="M442">INDEX('BKTT T4.26'!$N$12:$N$55,MATCH(V442,'BKTT T4.26'!$A$12:$A$55,0),0)</f>
        <v>681050</v>
      </c>
      <c r="N442" s="162">
        <f t="shared" si="25"/>
        <v>681050</v>
      </c>
      <c r="O442" s="238" t="s">
        <v>264</v>
      </c>
      <c r="P442" s="251" t="s">
        <v>1448</v>
      </c>
      <c r="R442" s="191" t="str">
        <f t="shared" si="27"/>
        <v>Cước vận chuyển Container hàng 40' tuyến đường PAN HA - HẢI AN,. BKS: 15H08574</v>
      </c>
      <c r="S442" s="191" t="str">
        <f t="shared" si="28"/>
        <v xml:space="preserve"> hàng 40' </v>
      </c>
      <c r="V442" s="191">
        <v>2</v>
      </c>
    </row>
    <row r="443" spans="1:22" s="191" customFormat="1" ht="15">
      <c r="A443" s="236">
        <v>432</v>
      </c>
      <c r="B443" s="244">
        <v>46119</v>
      </c>
      <c r="C443" s="245" t="s">
        <v>261</v>
      </c>
      <c r="D443" s="246" t="s">
        <v>697</v>
      </c>
      <c r="E443" s="247">
        <v>1</v>
      </c>
      <c r="F443" s="247"/>
      <c r="G443" s="248"/>
      <c r="H443" s="247"/>
      <c r="I443" s="249" t="s">
        <v>263</v>
      </c>
      <c r="J443" s="249" t="s">
        <v>21</v>
      </c>
      <c r="K443" s="249" t="s">
        <v>36</v>
      </c>
      <c r="L443" s="250">
        <f t="shared" si="26"/>
        <v>1</v>
      </c>
      <c r="M443" s="237">
        <f t="array" ref="M443">INDEX('BKTT T4.26'!$N$12:$N$55,MATCH(V443,'BKTT T4.26'!$A$12:$A$55,0),0)</f>
        <v>576331</v>
      </c>
      <c r="N443" s="162">
        <f t="shared" si="25"/>
        <v>576331</v>
      </c>
      <c r="O443" s="238" t="s">
        <v>264</v>
      </c>
      <c r="P443" s="251" t="s">
        <v>1448</v>
      </c>
      <c r="R443" s="191" t="str">
        <f t="shared" si="27"/>
        <v>Cước vận chuyển Container hàng 20' tuyến đường PAN HA - NHĐV. BKS: 15C17442</v>
      </c>
      <c r="S443" s="191" t="str">
        <f t="shared" si="28"/>
        <v xml:space="preserve"> hàng 20' </v>
      </c>
      <c r="V443" s="191">
        <v>11</v>
      </c>
    </row>
    <row r="444" spans="1:22" s="191" customFormat="1" ht="15">
      <c r="A444" s="236">
        <v>433</v>
      </c>
      <c r="B444" s="244">
        <v>46119</v>
      </c>
      <c r="C444" s="245" t="s">
        <v>261</v>
      </c>
      <c r="D444" s="246" t="s">
        <v>698</v>
      </c>
      <c r="E444" s="247">
        <v>1</v>
      </c>
      <c r="F444" s="247"/>
      <c r="G444" s="248"/>
      <c r="H444" s="247"/>
      <c r="I444" s="249" t="s">
        <v>263</v>
      </c>
      <c r="J444" s="249" t="s">
        <v>21</v>
      </c>
      <c r="K444" s="249" t="s">
        <v>36</v>
      </c>
      <c r="L444" s="250">
        <f t="shared" si="26"/>
        <v>1</v>
      </c>
      <c r="M444" s="237">
        <f t="array" ref="M444">INDEX('BKTT T4.26'!$N$12:$N$55,MATCH(V444,'BKTT T4.26'!$A$12:$A$55,0),0)</f>
        <v>576331</v>
      </c>
      <c r="N444" s="162">
        <f t="shared" si="25"/>
        <v>576331</v>
      </c>
      <c r="O444" s="238" t="s">
        <v>264</v>
      </c>
      <c r="P444" s="251" t="s">
        <v>1448</v>
      </c>
      <c r="R444" s="191" t="str">
        <f t="shared" si="27"/>
        <v>Cước vận chuyển Container hàng 20' tuyến đường PAN HA - NHĐV. BKS: 15C17442</v>
      </c>
      <c r="S444" s="191" t="str">
        <f t="shared" si="28"/>
        <v xml:space="preserve"> hàng 20' </v>
      </c>
      <c r="V444" s="191">
        <v>11</v>
      </c>
    </row>
    <row r="445" spans="1:22" s="191" customFormat="1" ht="15">
      <c r="A445" s="236">
        <v>434</v>
      </c>
      <c r="B445" s="244">
        <v>46119</v>
      </c>
      <c r="C445" s="245" t="s">
        <v>261</v>
      </c>
      <c r="D445" s="246" t="s">
        <v>699</v>
      </c>
      <c r="E445" s="247">
        <v>1</v>
      </c>
      <c r="F445" s="247"/>
      <c r="G445" s="248"/>
      <c r="H445" s="247"/>
      <c r="I445" s="249" t="s">
        <v>263</v>
      </c>
      <c r="J445" s="249" t="s">
        <v>21</v>
      </c>
      <c r="K445" s="249" t="s">
        <v>36</v>
      </c>
      <c r="L445" s="250">
        <f t="shared" si="26"/>
        <v>1</v>
      </c>
      <c r="M445" s="237">
        <f t="array" ref="M445">INDEX('BKTT T4.26'!$N$12:$N$55,MATCH(V445,'BKTT T4.26'!$A$12:$A$55,0),0)</f>
        <v>576331</v>
      </c>
      <c r="N445" s="162">
        <f t="shared" si="25"/>
        <v>576331</v>
      </c>
      <c r="O445" s="238" t="s">
        <v>264</v>
      </c>
      <c r="P445" s="251" t="s">
        <v>1448</v>
      </c>
      <c r="R445" s="191" t="str">
        <f t="shared" si="27"/>
        <v>Cước vận chuyển Container hàng 20' tuyến đường PAN HA - NHĐV. BKS: 15C17442</v>
      </c>
      <c r="S445" s="191" t="str">
        <f t="shared" si="28"/>
        <v xml:space="preserve"> hàng 20' </v>
      </c>
      <c r="V445" s="191">
        <v>11</v>
      </c>
    </row>
    <row r="446" spans="1:22" s="191" customFormat="1" ht="15">
      <c r="A446" s="236">
        <v>435</v>
      </c>
      <c r="B446" s="244">
        <v>46119</v>
      </c>
      <c r="C446" s="245" t="s">
        <v>261</v>
      </c>
      <c r="D446" s="246" t="s">
        <v>700</v>
      </c>
      <c r="E446" s="247">
        <v>1</v>
      </c>
      <c r="F446" s="247"/>
      <c r="G446" s="248"/>
      <c r="H446" s="247"/>
      <c r="I446" s="249" t="s">
        <v>263</v>
      </c>
      <c r="J446" s="249" t="s">
        <v>21</v>
      </c>
      <c r="K446" s="249" t="s">
        <v>36</v>
      </c>
      <c r="L446" s="250">
        <f t="shared" si="26"/>
        <v>1</v>
      </c>
      <c r="M446" s="237">
        <f t="array" ref="M446">INDEX('BKTT T4.26'!$N$12:$N$55,MATCH(V446,'BKTT T4.26'!$A$12:$A$55,0),0)</f>
        <v>576331</v>
      </c>
      <c r="N446" s="162">
        <f t="shared" si="25"/>
        <v>576331</v>
      </c>
      <c r="O446" s="238" t="s">
        <v>264</v>
      </c>
      <c r="P446" s="251" t="s">
        <v>1448</v>
      </c>
      <c r="R446" s="191" t="str">
        <f t="shared" si="27"/>
        <v>Cước vận chuyển Container hàng 20' tuyến đường PAN HA - NHĐV. BKS: 15C17442</v>
      </c>
      <c r="S446" s="191" t="str">
        <f t="shared" si="28"/>
        <v xml:space="preserve"> hàng 20' </v>
      </c>
      <c r="V446" s="191">
        <v>11</v>
      </c>
    </row>
    <row r="447" spans="1:22" s="191" customFormat="1" ht="15">
      <c r="A447" s="236">
        <v>436</v>
      </c>
      <c r="B447" s="244">
        <v>46119</v>
      </c>
      <c r="C447" s="245" t="s">
        <v>261</v>
      </c>
      <c r="D447" s="246" t="s">
        <v>701</v>
      </c>
      <c r="E447" s="247"/>
      <c r="F447" s="247">
        <v>1</v>
      </c>
      <c r="G447" s="248"/>
      <c r="H447" s="247"/>
      <c r="I447" s="249" t="s">
        <v>263</v>
      </c>
      <c r="J447" s="249" t="s">
        <v>21</v>
      </c>
      <c r="K447" s="249" t="s">
        <v>37</v>
      </c>
      <c r="L447" s="250">
        <f t="shared" si="26"/>
        <v>1</v>
      </c>
      <c r="M447" s="237">
        <f t="array" ref="M447">INDEX('BKTT T4.26'!$N$12:$N$55,MATCH(V447,'BKTT T4.26'!$A$12:$A$55,0),0)</f>
        <v>602510</v>
      </c>
      <c r="N447" s="162">
        <f t="shared" si="25"/>
        <v>602510</v>
      </c>
      <c r="O447" s="238" t="s">
        <v>264</v>
      </c>
      <c r="P447" s="251" t="s">
        <v>1448</v>
      </c>
      <c r="R447" s="191" t="str">
        <f t="shared" si="27"/>
        <v>Cước vận chuyển Container hàng 40' tuyến đường PAN HA - NHĐV,. BKS: 15C17442</v>
      </c>
      <c r="S447" s="191" t="str">
        <f t="shared" si="28"/>
        <v xml:space="preserve"> hàng 40' </v>
      </c>
      <c r="V447" s="191">
        <v>12</v>
      </c>
    </row>
    <row r="448" spans="1:22" s="191" customFormat="1" ht="15">
      <c r="A448" s="236">
        <v>437</v>
      </c>
      <c r="B448" s="244">
        <v>46119</v>
      </c>
      <c r="C448" s="245" t="s">
        <v>261</v>
      </c>
      <c r="D448" s="246" t="s">
        <v>702</v>
      </c>
      <c r="E448" s="247"/>
      <c r="F448" s="247">
        <v>1</v>
      </c>
      <c r="G448" s="248"/>
      <c r="H448" s="247"/>
      <c r="I448" s="249" t="s">
        <v>263</v>
      </c>
      <c r="J448" s="249" t="s">
        <v>21</v>
      </c>
      <c r="K448" s="249" t="s">
        <v>37</v>
      </c>
      <c r="L448" s="250">
        <f t="shared" si="26"/>
        <v>1</v>
      </c>
      <c r="M448" s="237">
        <f t="array" ref="M448">INDEX('BKTT T4.26'!$N$12:$N$55,MATCH(V448,'BKTT T4.26'!$A$12:$A$55,0),0)</f>
        <v>602510</v>
      </c>
      <c r="N448" s="162">
        <f t="shared" si="25"/>
        <v>602510</v>
      </c>
      <c r="O448" s="238" t="s">
        <v>264</v>
      </c>
      <c r="P448" s="251" t="s">
        <v>1448</v>
      </c>
      <c r="R448" s="191" t="str">
        <f t="shared" si="27"/>
        <v>Cước vận chuyển Container hàng 40' tuyến đường PAN HA - NHĐV,. BKS: 15C17442</v>
      </c>
      <c r="S448" s="191" t="str">
        <f t="shared" si="28"/>
        <v xml:space="preserve"> hàng 40' </v>
      </c>
      <c r="V448" s="191">
        <v>12</v>
      </c>
    </row>
    <row r="449" spans="1:22" s="191" customFormat="1" ht="15">
      <c r="A449" s="236">
        <v>438</v>
      </c>
      <c r="B449" s="244">
        <v>46119</v>
      </c>
      <c r="C449" s="245" t="s">
        <v>261</v>
      </c>
      <c r="D449" s="246" t="s">
        <v>703</v>
      </c>
      <c r="E449" s="247"/>
      <c r="F449" s="247"/>
      <c r="G449" s="248"/>
      <c r="H449" s="247">
        <v>1</v>
      </c>
      <c r="I449" s="249" t="s">
        <v>263</v>
      </c>
      <c r="J449" s="249" t="s">
        <v>21</v>
      </c>
      <c r="K449" s="249" t="s">
        <v>27</v>
      </c>
      <c r="L449" s="250">
        <f t="shared" si="26"/>
        <v>1</v>
      </c>
      <c r="M449" s="237">
        <f t="array" ref="M449">INDEX('BKTT T4.26'!$N$12:$N$55,MATCH(V449,'BKTT T4.26'!$A$12:$A$55,0),0)</f>
        <v>628690</v>
      </c>
      <c r="N449" s="162">
        <f t="shared" si="25"/>
        <v>628690</v>
      </c>
      <c r="O449" s="238" t="s">
        <v>264</v>
      </c>
      <c r="P449" s="251" t="s">
        <v>1448</v>
      </c>
      <c r="R449" s="191" t="str">
        <f t="shared" si="27"/>
        <v>Cước vận chuyển Container vỏ tuyến đường PAN HA - HẢI AN.. BKS: 15C17442</v>
      </c>
      <c r="S449" s="191" t="str">
        <f t="shared" si="28"/>
        <v xml:space="preserve"> vỏ </v>
      </c>
      <c r="V449" s="191">
        <v>3</v>
      </c>
    </row>
    <row r="450" spans="1:22" s="283" customFormat="1" ht="15">
      <c r="A450" s="236">
        <v>439</v>
      </c>
      <c r="B450" s="272">
        <v>46119</v>
      </c>
      <c r="C450" s="273" t="s">
        <v>261</v>
      </c>
      <c r="D450" s="285" t="s">
        <v>1466</v>
      </c>
      <c r="E450" s="275"/>
      <c r="F450" s="275">
        <v>1</v>
      </c>
      <c r="G450" s="276"/>
      <c r="H450" s="275"/>
      <c r="I450" s="277" t="s">
        <v>369</v>
      </c>
      <c r="J450" s="249" t="s">
        <v>21</v>
      </c>
      <c r="K450" s="249" t="s">
        <v>37</v>
      </c>
      <c r="L450" s="278">
        <f t="shared" si="26"/>
        <v>1</v>
      </c>
      <c r="M450" s="279">
        <f t="array" ref="M450">INDEX('BKTT T4.26'!$N$12:$N$55,MATCH(V450,'BKTT T4.26'!$A$12:$A$55,0),0)</f>
        <v>602510</v>
      </c>
      <c r="N450" s="280">
        <f t="shared" si="25"/>
        <v>602510</v>
      </c>
      <c r="O450" s="281" t="s">
        <v>264</v>
      </c>
      <c r="P450" s="282" t="s">
        <v>1447</v>
      </c>
      <c r="R450" s="283" t="str">
        <f t="shared" si="27"/>
        <v>Cước vận chuyển Container hàng 40' tuyến đường PAN HA - NHĐV,. BKS: 15C15033</v>
      </c>
      <c r="S450" s="283" t="str">
        <f t="shared" si="28"/>
        <v xml:space="preserve"> hàng 40' </v>
      </c>
      <c r="V450" s="191">
        <v>12</v>
      </c>
    </row>
    <row r="451" spans="1:22" s="191" customFormat="1" ht="15">
      <c r="A451" s="236">
        <v>440</v>
      </c>
      <c r="B451" s="244">
        <v>46119</v>
      </c>
      <c r="C451" s="245" t="s">
        <v>261</v>
      </c>
      <c r="D451" s="246" t="s">
        <v>704</v>
      </c>
      <c r="E451" s="247">
        <v>1</v>
      </c>
      <c r="F451" s="247"/>
      <c r="G451" s="248"/>
      <c r="H451" s="247"/>
      <c r="I451" s="249" t="s">
        <v>369</v>
      </c>
      <c r="J451" s="249" t="s">
        <v>21</v>
      </c>
      <c r="K451" s="249" t="s">
        <v>36</v>
      </c>
      <c r="L451" s="250">
        <f t="shared" si="26"/>
        <v>1</v>
      </c>
      <c r="M451" s="237">
        <f t="array" ref="M451">INDEX('BKTT T4.26'!$N$12:$N$55,MATCH(V451,'BKTT T4.26'!$A$12:$A$55,0),0)</f>
        <v>576331</v>
      </c>
      <c r="N451" s="162">
        <f t="shared" si="25"/>
        <v>576331</v>
      </c>
      <c r="O451" s="238" t="s">
        <v>264</v>
      </c>
      <c r="P451" s="251" t="s">
        <v>1448</v>
      </c>
      <c r="R451" s="191" t="str">
        <f t="shared" si="27"/>
        <v>Cước vận chuyển Container hàng 20' tuyến đường PAN HA - NHĐV. BKS: 15C15033</v>
      </c>
      <c r="S451" s="191" t="str">
        <f t="shared" si="28"/>
        <v xml:space="preserve"> hàng 20' </v>
      </c>
      <c r="V451" s="191">
        <v>11</v>
      </c>
    </row>
    <row r="452" spans="1:22" s="191" customFormat="1" ht="15">
      <c r="A452" s="236">
        <v>441</v>
      </c>
      <c r="B452" s="244">
        <v>46119</v>
      </c>
      <c r="C452" s="245" t="s">
        <v>261</v>
      </c>
      <c r="D452" s="246" t="s">
        <v>705</v>
      </c>
      <c r="E452" s="247">
        <v>1</v>
      </c>
      <c r="F452" s="247"/>
      <c r="G452" s="248"/>
      <c r="H452" s="247"/>
      <c r="I452" s="249" t="s">
        <v>369</v>
      </c>
      <c r="J452" s="249" t="s">
        <v>21</v>
      </c>
      <c r="K452" s="249" t="s">
        <v>36</v>
      </c>
      <c r="L452" s="250">
        <f t="shared" si="26"/>
        <v>1</v>
      </c>
      <c r="M452" s="237">
        <f t="array" ref="M452">INDEX('BKTT T4.26'!$N$12:$N$55,MATCH(V452,'BKTT T4.26'!$A$12:$A$55,0),0)</f>
        <v>576331</v>
      </c>
      <c r="N452" s="162">
        <f t="shared" si="25"/>
        <v>576331</v>
      </c>
      <c r="O452" s="238" t="s">
        <v>264</v>
      </c>
      <c r="P452" s="251" t="s">
        <v>1448</v>
      </c>
      <c r="R452" s="191" t="str">
        <f t="shared" si="27"/>
        <v>Cước vận chuyển Container hàng 20' tuyến đường PAN HA - NHĐV. BKS: 15C15033</v>
      </c>
      <c r="S452" s="191" t="str">
        <f t="shared" si="28"/>
        <v xml:space="preserve"> hàng 20' </v>
      </c>
      <c r="V452" s="191">
        <v>11</v>
      </c>
    </row>
    <row r="453" spans="1:22" s="191" customFormat="1" ht="15">
      <c r="A453" s="236">
        <v>442</v>
      </c>
      <c r="B453" s="244">
        <v>46119</v>
      </c>
      <c r="C453" s="245" t="s">
        <v>261</v>
      </c>
      <c r="D453" s="246" t="s">
        <v>706</v>
      </c>
      <c r="E453" s="247"/>
      <c r="F453" s="247">
        <v>1</v>
      </c>
      <c r="G453" s="248"/>
      <c r="H453" s="247"/>
      <c r="I453" s="249" t="s">
        <v>369</v>
      </c>
      <c r="J453" s="249" t="s">
        <v>21</v>
      </c>
      <c r="K453" s="249" t="s">
        <v>37</v>
      </c>
      <c r="L453" s="250">
        <f t="shared" si="26"/>
        <v>1</v>
      </c>
      <c r="M453" s="237">
        <f t="array" ref="M453">INDEX('BKTT T4.26'!$N$12:$N$55,MATCH(V453,'BKTT T4.26'!$A$12:$A$55,0),0)</f>
        <v>602510</v>
      </c>
      <c r="N453" s="162">
        <f t="shared" ref="N453:N516" si="29">L453*M453</f>
        <v>602510</v>
      </c>
      <c r="O453" s="238" t="s">
        <v>264</v>
      </c>
      <c r="P453" s="251" t="s">
        <v>1448</v>
      </c>
      <c r="R453" s="191" t="str">
        <f t="shared" si="27"/>
        <v>Cước vận chuyển Container hàng 40' tuyến đường PAN HA - NHĐV,. BKS: 15C15033</v>
      </c>
      <c r="S453" s="191" t="str">
        <f t="shared" si="28"/>
        <v xml:space="preserve"> hàng 40' </v>
      </c>
      <c r="V453" s="191">
        <v>12</v>
      </c>
    </row>
    <row r="454" spans="1:22" s="191" customFormat="1" ht="15">
      <c r="A454" s="236">
        <v>443</v>
      </c>
      <c r="B454" s="244">
        <v>46119</v>
      </c>
      <c r="C454" s="245" t="s">
        <v>261</v>
      </c>
      <c r="D454" s="246" t="s">
        <v>707</v>
      </c>
      <c r="E454" s="247"/>
      <c r="F454" s="247">
        <v>1</v>
      </c>
      <c r="G454" s="248"/>
      <c r="H454" s="247"/>
      <c r="I454" s="249" t="s">
        <v>369</v>
      </c>
      <c r="J454" s="249" t="s">
        <v>21</v>
      </c>
      <c r="K454" s="249" t="s">
        <v>25</v>
      </c>
      <c r="L454" s="250">
        <f t="shared" si="26"/>
        <v>1</v>
      </c>
      <c r="M454" s="237">
        <f t="array" ref="M454">INDEX('BKTT T4.26'!$N$12:$N$55,MATCH(V454,'BKTT T4.26'!$A$12:$A$55,0),0)</f>
        <v>681050</v>
      </c>
      <c r="N454" s="162">
        <f t="shared" si="29"/>
        <v>681050</v>
      </c>
      <c r="O454" s="238" t="s">
        <v>264</v>
      </c>
      <c r="P454" s="251" t="s">
        <v>1448</v>
      </c>
      <c r="R454" s="191" t="str">
        <f t="shared" si="27"/>
        <v>Cước vận chuyển Container hàng 40' tuyến đường PAN HA - HẢI AN,. BKS: 15C15033</v>
      </c>
      <c r="S454" s="191" t="str">
        <f t="shared" si="28"/>
        <v xml:space="preserve"> hàng 40' </v>
      </c>
      <c r="V454" s="191">
        <v>2</v>
      </c>
    </row>
    <row r="455" spans="1:22" s="191" customFormat="1" ht="15">
      <c r="A455" s="236">
        <v>444</v>
      </c>
      <c r="B455" s="244">
        <v>46119</v>
      </c>
      <c r="C455" s="245" t="s">
        <v>261</v>
      </c>
      <c r="D455" s="246" t="s">
        <v>708</v>
      </c>
      <c r="E455" s="247"/>
      <c r="F455" s="247">
        <v>1</v>
      </c>
      <c r="G455" s="248"/>
      <c r="H455" s="247"/>
      <c r="I455" s="249" t="s">
        <v>369</v>
      </c>
      <c r="J455" s="249" t="s">
        <v>21</v>
      </c>
      <c r="K455" s="249" t="s">
        <v>25</v>
      </c>
      <c r="L455" s="250">
        <f t="shared" si="26"/>
        <v>1</v>
      </c>
      <c r="M455" s="237">
        <f t="array" ref="M455">INDEX('BKTT T4.26'!$N$12:$N$55,MATCH(V455,'BKTT T4.26'!$A$12:$A$55,0),0)</f>
        <v>681050</v>
      </c>
      <c r="N455" s="162">
        <f t="shared" si="29"/>
        <v>681050</v>
      </c>
      <c r="O455" s="238" t="s">
        <v>264</v>
      </c>
      <c r="P455" s="251" t="s">
        <v>1448</v>
      </c>
      <c r="R455" s="191" t="str">
        <f t="shared" si="27"/>
        <v>Cước vận chuyển Container hàng 40' tuyến đường PAN HA - HẢI AN,. BKS: 15C15033</v>
      </c>
      <c r="S455" s="191" t="str">
        <f t="shared" si="28"/>
        <v xml:space="preserve"> hàng 40' </v>
      </c>
      <c r="V455" s="191">
        <v>2</v>
      </c>
    </row>
    <row r="456" spans="1:22" s="191" customFormat="1" ht="15">
      <c r="A456" s="236">
        <v>445</v>
      </c>
      <c r="B456" s="244">
        <v>46119</v>
      </c>
      <c r="C456" s="245" t="s">
        <v>261</v>
      </c>
      <c r="D456" s="246" t="s">
        <v>709</v>
      </c>
      <c r="E456" s="247"/>
      <c r="F456" s="247">
        <v>1</v>
      </c>
      <c r="G456" s="248"/>
      <c r="H456" s="247"/>
      <c r="I456" s="249" t="s">
        <v>369</v>
      </c>
      <c r="J456" s="249" t="s">
        <v>21</v>
      </c>
      <c r="K456" s="249" t="s">
        <v>25</v>
      </c>
      <c r="L456" s="250">
        <f t="shared" si="26"/>
        <v>1</v>
      </c>
      <c r="M456" s="237">
        <f t="array" ref="M456">INDEX('BKTT T4.26'!$N$12:$N$55,MATCH(V456,'BKTT T4.26'!$A$12:$A$55,0),0)</f>
        <v>681050</v>
      </c>
      <c r="N456" s="162">
        <f t="shared" si="29"/>
        <v>681050</v>
      </c>
      <c r="O456" s="238" t="s">
        <v>264</v>
      </c>
      <c r="P456" s="251" t="s">
        <v>1448</v>
      </c>
      <c r="R456" s="191" t="str">
        <f t="shared" si="27"/>
        <v>Cước vận chuyển Container hàng 40' tuyến đường PAN HA - HẢI AN,. BKS: 15C15033</v>
      </c>
      <c r="S456" s="191" t="str">
        <f t="shared" si="28"/>
        <v xml:space="preserve"> hàng 40' </v>
      </c>
      <c r="V456" s="191">
        <v>2</v>
      </c>
    </row>
    <row r="457" spans="1:22" s="191" customFormat="1" ht="15">
      <c r="A457" s="236">
        <v>446</v>
      </c>
      <c r="B457" s="244">
        <v>46119</v>
      </c>
      <c r="C457" s="245" t="s">
        <v>261</v>
      </c>
      <c r="D457" s="246" t="s">
        <v>710</v>
      </c>
      <c r="E457" s="247"/>
      <c r="F457" s="247">
        <v>1</v>
      </c>
      <c r="G457" s="248"/>
      <c r="H457" s="247"/>
      <c r="I457" s="249" t="s">
        <v>369</v>
      </c>
      <c r="J457" s="249" t="s">
        <v>21</v>
      </c>
      <c r="K457" s="249" t="s">
        <v>25</v>
      </c>
      <c r="L457" s="250">
        <f t="shared" ref="L457:L520" si="30">E457+F457+G457+H457</f>
        <v>1</v>
      </c>
      <c r="M457" s="237">
        <f t="array" ref="M457">INDEX('BKTT T4.26'!$N$12:$N$55,MATCH(V457,'BKTT T4.26'!$A$12:$A$55,0),0)</f>
        <v>681050</v>
      </c>
      <c r="N457" s="162">
        <f t="shared" si="29"/>
        <v>681050</v>
      </c>
      <c r="O457" s="238" t="s">
        <v>264</v>
      </c>
      <c r="P457" s="251" t="s">
        <v>1448</v>
      </c>
      <c r="R457" s="191" t="str">
        <f t="shared" ref="R457:R520" si="31">$R$10&amp;S457&amp;$R$9&amp;J457&amp;$S$10&amp;K457&amp;$R$8&amp;I457</f>
        <v>Cước vận chuyển Container hàng 40' tuyến đường PAN HA - HẢI AN,. BKS: 15C15033</v>
      </c>
      <c r="S457" s="191" t="str">
        <f t="shared" ref="S457:S520" si="32">IF(E457=1," hàng 20' ",IF(F457=1," hàng 40' "," vỏ "))</f>
        <v xml:space="preserve"> hàng 40' </v>
      </c>
      <c r="V457" s="191">
        <v>2</v>
      </c>
    </row>
    <row r="458" spans="1:22" s="191" customFormat="1" ht="15">
      <c r="A458" s="236">
        <v>447</v>
      </c>
      <c r="B458" s="244">
        <v>46119</v>
      </c>
      <c r="C458" s="245" t="s">
        <v>261</v>
      </c>
      <c r="D458" s="246" t="s">
        <v>711</v>
      </c>
      <c r="E458" s="247"/>
      <c r="F458" s="247"/>
      <c r="G458" s="248"/>
      <c r="H458" s="247">
        <v>1</v>
      </c>
      <c r="I458" s="249" t="s">
        <v>369</v>
      </c>
      <c r="J458" s="249" t="s">
        <v>21</v>
      </c>
      <c r="K458" s="249" t="s">
        <v>27</v>
      </c>
      <c r="L458" s="250">
        <f t="shared" si="30"/>
        <v>1</v>
      </c>
      <c r="M458" s="237">
        <f t="array" ref="M458">INDEX('BKTT T4.26'!$N$12:$N$55,MATCH(V458,'BKTT T4.26'!$A$12:$A$55,0),0)</f>
        <v>628690</v>
      </c>
      <c r="N458" s="162">
        <f t="shared" si="29"/>
        <v>628690</v>
      </c>
      <c r="O458" s="238" t="s">
        <v>264</v>
      </c>
      <c r="P458" s="251" t="s">
        <v>1448</v>
      </c>
      <c r="R458" s="191" t="str">
        <f t="shared" si="31"/>
        <v>Cước vận chuyển Container vỏ tuyến đường PAN HA - HẢI AN.. BKS: 15C15033</v>
      </c>
      <c r="S458" s="191" t="str">
        <f t="shared" si="32"/>
        <v xml:space="preserve"> vỏ </v>
      </c>
      <c r="V458" s="191">
        <v>3</v>
      </c>
    </row>
    <row r="459" spans="1:22" s="191" customFormat="1" ht="15">
      <c r="A459" s="236">
        <v>448</v>
      </c>
      <c r="B459" s="244">
        <v>46119</v>
      </c>
      <c r="C459" s="245" t="s">
        <v>261</v>
      </c>
      <c r="D459" s="246" t="s">
        <v>712</v>
      </c>
      <c r="E459" s="247"/>
      <c r="F459" s="247"/>
      <c r="G459" s="248"/>
      <c r="H459" s="247">
        <v>1</v>
      </c>
      <c r="I459" s="249" t="s">
        <v>369</v>
      </c>
      <c r="J459" s="249" t="s">
        <v>21</v>
      </c>
      <c r="K459" s="249" t="s">
        <v>27</v>
      </c>
      <c r="L459" s="250">
        <f t="shared" si="30"/>
        <v>1</v>
      </c>
      <c r="M459" s="237">
        <f t="array" ref="M459">INDEX('BKTT T4.26'!$N$12:$N$55,MATCH(V459,'BKTT T4.26'!$A$12:$A$55,0),0)</f>
        <v>628690</v>
      </c>
      <c r="N459" s="162">
        <f t="shared" si="29"/>
        <v>628690</v>
      </c>
      <c r="O459" s="238" t="s">
        <v>264</v>
      </c>
      <c r="P459" s="251" t="s">
        <v>1448</v>
      </c>
      <c r="R459" s="191" t="str">
        <f t="shared" si="31"/>
        <v>Cước vận chuyển Container vỏ tuyến đường PAN HA - HẢI AN.. BKS: 15C15033</v>
      </c>
      <c r="S459" s="191" t="str">
        <f t="shared" si="32"/>
        <v xml:space="preserve"> vỏ </v>
      </c>
      <c r="V459" s="191">
        <v>3</v>
      </c>
    </row>
    <row r="460" spans="1:22" s="191" customFormat="1" ht="15">
      <c r="A460" s="236">
        <v>449</v>
      </c>
      <c r="B460" s="244">
        <v>46119</v>
      </c>
      <c r="C460" s="245" t="s">
        <v>261</v>
      </c>
      <c r="D460" s="246" t="s">
        <v>713</v>
      </c>
      <c r="E460" s="247"/>
      <c r="F460" s="247"/>
      <c r="G460" s="248"/>
      <c r="H460" s="247">
        <v>1</v>
      </c>
      <c r="I460" s="249" t="s">
        <v>274</v>
      </c>
      <c r="J460" s="249" t="s">
        <v>21</v>
      </c>
      <c r="K460" s="249" t="s">
        <v>27</v>
      </c>
      <c r="L460" s="250">
        <f t="shared" si="30"/>
        <v>1</v>
      </c>
      <c r="M460" s="237">
        <f t="array" ref="M460">INDEX('BKTT T4.26'!$N$12:$N$55,MATCH(V460,'BKTT T4.26'!$A$12:$A$55,0),0)</f>
        <v>628690</v>
      </c>
      <c r="N460" s="162">
        <f t="shared" si="29"/>
        <v>628690</v>
      </c>
      <c r="O460" s="238" t="s">
        <v>264</v>
      </c>
      <c r="P460" s="251" t="s">
        <v>1448</v>
      </c>
      <c r="R460" s="191" t="str">
        <f t="shared" si="31"/>
        <v>Cước vận chuyển Container vỏ tuyến đường PAN HA - HẢI AN.. BKS: 15H12925</v>
      </c>
      <c r="S460" s="191" t="str">
        <f t="shared" si="32"/>
        <v xml:space="preserve"> vỏ </v>
      </c>
      <c r="V460" s="191">
        <v>3</v>
      </c>
    </row>
    <row r="461" spans="1:22" s="191" customFormat="1" ht="15">
      <c r="A461" s="236">
        <v>450</v>
      </c>
      <c r="B461" s="244">
        <v>46119</v>
      </c>
      <c r="C461" s="245" t="s">
        <v>261</v>
      </c>
      <c r="D461" s="246" t="s">
        <v>714</v>
      </c>
      <c r="E461" s="247"/>
      <c r="F461" s="247"/>
      <c r="G461" s="248"/>
      <c r="H461" s="247">
        <v>1</v>
      </c>
      <c r="I461" s="249" t="s">
        <v>274</v>
      </c>
      <c r="J461" s="249" t="s">
        <v>21</v>
      </c>
      <c r="K461" s="249" t="s">
        <v>27</v>
      </c>
      <c r="L461" s="250">
        <f t="shared" si="30"/>
        <v>1</v>
      </c>
      <c r="M461" s="237">
        <f t="array" ref="M461">INDEX('BKTT T4.26'!$N$12:$N$55,MATCH(V461,'BKTT T4.26'!$A$12:$A$55,0),0)</f>
        <v>628690</v>
      </c>
      <c r="N461" s="162">
        <f t="shared" si="29"/>
        <v>628690</v>
      </c>
      <c r="O461" s="238" t="s">
        <v>264</v>
      </c>
      <c r="P461" s="251" t="s">
        <v>1448</v>
      </c>
      <c r="R461" s="191" t="str">
        <f t="shared" si="31"/>
        <v>Cước vận chuyển Container vỏ tuyến đường PAN HA - HẢI AN.. BKS: 15H12925</v>
      </c>
      <c r="S461" s="191" t="str">
        <f t="shared" si="32"/>
        <v xml:space="preserve"> vỏ </v>
      </c>
      <c r="V461" s="191">
        <v>3</v>
      </c>
    </row>
    <row r="462" spans="1:22" s="191" customFormat="1" ht="15">
      <c r="A462" s="236">
        <v>451</v>
      </c>
      <c r="B462" s="244">
        <v>46119</v>
      </c>
      <c r="C462" s="245" t="s">
        <v>261</v>
      </c>
      <c r="D462" s="246" t="s">
        <v>715</v>
      </c>
      <c r="E462" s="247"/>
      <c r="F462" s="247">
        <v>1</v>
      </c>
      <c r="G462" s="248"/>
      <c r="H462" s="247"/>
      <c r="I462" s="249" t="s">
        <v>274</v>
      </c>
      <c r="J462" s="249" t="s">
        <v>21</v>
      </c>
      <c r="K462" s="249" t="s">
        <v>25</v>
      </c>
      <c r="L462" s="250">
        <f t="shared" si="30"/>
        <v>1</v>
      </c>
      <c r="M462" s="237">
        <f t="array" ref="M462">INDEX('BKTT T4.26'!$N$12:$N$55,MATCH(V462,'BKTT T4.26'!$A$12:$A$55,0),0)</f>
        <v>681050</v>
      </c>
      <c r="N462" s="162">
        <f t="shared" si="29"/>
        <v>681050</v>
      </c>
      <c r="O462" s="238" t="s">
        <v>264</v>
      </c>
      <c r="P462" s="251" t="s">
        <v>1448</v>
      </c>
      <c r="R462" s="191" t="str">
        <f t="shared" si="31"/>
        <v>Cước vận chuyển Container hàng 40' tuyến đường PAN HA - HẢI AN,. BKS: 15H12925</v>
      </c>
      <c r="S462" s="191" t="str">
        <f t="shared" si="32"/>
        <v xml:space="preserve"> hàng 40' </v>
      </c>
      <c r="V462" s="191">
        <v>2</v>
      </c>
    </row>
    <row r="463" spans="1:22" s="191" customFormat="1" ht="15">
      <c r="A463" s="236">
        <v>452</v>
      </c>
      <c r="B463" s="244">
        <v>46119</v>
      </c>
      <c r="C463" s="245" t="s">
        <v>261</v>
      </c>
      <c r="D463" s="246" t="s">
        <v>716</v>
      </c>
      <c r="E463" s="247"/>
      <c r="F463" s="247">
        <v>1</v>
      </c>
      <c r="G463" s="252"/>
      <c r="H463" s="247"/>
      <c r="I463" s="249" t="s">
        <v>274</v>
      </c>
      <c r="J463" s="249" t="s">
        <v>21</v>
      </c>
      <c r="K463" s="249" t="s">
        <v>25</v>
      </c>
      <c r="L463" s="250">
        <f t="shared" si="30"/>
        <v>1</v>
      </c>
      <c r="M463" s="237">
        <f t="array" ref="M463">INDEX('BKTT T4.26'!$N$12:$N$55,MATCH(V463,'BKTT T4.26'!$A$12:$A$55,0),0)</f>
        <v>681050</v>
      </c>
      <c r="N463" s="162">
        <f t="shared" si="29"/>
        <v>681050</v>
      </c>
      <c r="O463" s="238" t="s">
        <v>264</v>
      </c>
      <c r="P463" s="251" t="s">
        <v>1448</v>
      </c>
      <c r="R463" s="191" t="str">
        <f t="shared" si="31"/>
        <v>Cước vận chuyển Container hàng 40' tuyến đường PAN HA - HẢI AN,. BKS: 15H12925</v>
      </c>
      <c r="S463" s="191" t="str">
        <f t="shared" si="32"/>
        <v xml:space="preserve"> hàng 40' </v>
      </c>
      <c r="V463" s="191">
        <v>2</v>
      </c>
    </row>
    <row r="464" spans="1:22" s="191" customFormat="1" ht="15">
      <c r="A464" s="236">
        <v>453</v>
      </c>
      <c r="B464" s="244">
        <v>46119</v>
      </c>
      <c r="C464" s="245" t="s">
        <v>261</v>
      </c>
      <c r="D464" s="246" t="s">
        <v>717</v>
      </c>
      <c r="E464" s="247"/>
      <c r="F464" s="247">
        <v>1</v>
      </c>
      <c r="G464" s="248"/>
      <c r="H464" s="247"/>
      <c r="I464" s="249" t="s">
        <v>274</v>
      </c>
      <c r="J464" s="249" t="s">
        <v>21</v>
      </c>
      <c r="K464" s="249" t="s">
        <v>25</v>
      </c>
      <c r="L464" s="250">
        <f t="shared" si="30"/>
        <v>1</v>
      </c>
      <c r="M464" s="237">
        <f t="array" ref="M464">INDEX('BKTT T4.26'!$N$12:$N$55,MATCH(V464,'BKTT T4.26'!$A$12:$A$55,0),0)</f>
        <v>681050</v>
      </c>
      <c r="N464" s="162">
        <f t="shared" si="29"/>
        <v>681050</v>
      </c>
      <c r="O464" s="238" t="s">
        <v>264</v>
      </c>
      <c r="P464" s="251" t="s">
        <v>1448</v>
      </c>
      <c r="R464" s="191" t="str">
        <f t="shared" si="31"/>
        <v>Cước vận chuyển Container hàng 40' tuyến đường PAN HA - HẢI AN,. BKS: 15H12925</v>
      </c>
      <c r="S464" s="191" t="str">
        <f t="shared" si="32"/>
        <v xml:space="preserve"> hàng 40' </v>
      </c>
      <c r="V464" s="191">
        <v>2</v>
      </c>
    </row>
    <row r="465" spans="1:22" s="191" customFormat="1" ht="15">
      <c r="A465" s="236">
        <v>454</v>
      </c>
      <c r="B465" s="244">
        <v>46119</v>
      </c>
      <c r="C465" s="245" t="s">
        <v>261</v>
      </c>
      <c r="D465" s="246" t="s">
        <v>718</v>
      </c>
      <c r="E465" s="247"/>
      <c r="F465" s="247">
        <v>1</v>
      </c>
      <c r="G465" s="248"/>
      <c r="H465" s="247"/>
      <c r="I465" s="249" t="s">
        <v>274</v>
      </c>
      <c r="J465" s="249" t="s">
        <v>21</v>
      </c>
      <c r="K465" s="249" t="s">
        <v>25</v>
      </c>
      <c r="L465" s="250">
        <f t="shared" si="30"/>
        <v>1</v>
      </c>
      <c r="M465" s="237">
        <f t="array" ref="M465">INDEX('BKTT T4.26'!$N$12:$N$55,MATCH(V465,'BKTT T4.26'!$A$12:$A$55,0),0)</f>
        <v>681050</v>
      </c>
      <c r="N465" s="162">
        <f t="shared" si="29"/>
        <v>681050</v>
      </c>
      <c r="O465" s="238" t="s">
        <v>264</v>
      </c>
      <c r="P465" s="251" t="s">
        <v>1448</v>
      </c>
      <c r="R465" s="191" t="str">
        <f t="shared" si="31"/>
        <v>Cước vận chuyển Container hàng 40' tuyến đường PAN HA - HẢI AN,. BKS: 15H12925</v>
      </c>
      <c r="S465" s="191" t="str">
        <f t="shared" si="32"/>
        <v xml:space="preserve"> hàng 40' </v>
      </c>
      <c r="V465" s="191">
        <v>2</v>
      </c>
    </row>
    <row r="466" spans="1:22" s="283" customFormat="1" ht="15">
      <c r="A466" s="236">
        <v>455</v>
      </c>
      <c r="B466" s="272">
        <v>46119</v>
      </c>
      <c r="C466" s="273" t="s">
        <v>261</v>
      </c>
      <c r="D466" s="285" t="s">
        <v>1467</v>
      </c>
      <c r="E466" s="275"/>
      <c r="F466" s="247">
        <v>1</v>
      </c>
      <c r="G466" s="276"/>
      <c r="H466" s="275"/>
      <c r="I466" s="249" t="s">
        <v>274</v>
      </c>
      <c r="J466" s="249" t="s">
        <v>21</v>
      </c>
      <c r="K466" s="249" t="s">
        <v>25</v>
      </c>
      <c r="L466" s="278">
        <f t="shared" si="30"/>
        <v>1</v>
      </c>
      <c r="M466" s="279">
        <f t="array" ref="M466">INDEX('BKTT T4.26'!$N$12:$N$55,MATCH(V466,'BKTT T4.26'!$A$12:$A$55,0),0)</f>
        <v>681050</v>
      </c>
      <c r="N466" s="280">
        <f t="shared" si="29"/>
        <v>681050</v>
      </c>
      <c r="O466" s="281" t="s">
        <v>264</v>
      </c>
      <c r="P466" s="282" t="s">
        <v>1447</v>
      </c>
      <c r="R466" s="283" t="str">
        <f t="shared" si="31"/>
        <v>Cước vận chuyển Container hàng 40' tuyến đường PAN HA - HẢI AN,. BKS: 15H12925</v>
      </c>
      <c r="S466" s="283" t="str">
        <f t="shared" si="32"/>
        <v xml:space="preserve"> hàng 40' </v>
      </c>
      <c r="V466" s="191">
        <v>2</v>
      </c>
    </row>
    <row r="467" spans="1:22" s="191" customFormat="1" ht="15">
      <c r="A467" s="236">
        <v>456</v>
      </c>
      <c r="B467" s="244">
        <v>46119</v>
      </c>
      <c r="C467" s="245" t="s">
        <v>261</v>
      </c>
      <c r="D467" s="246" t="s">
        <v>719</v>
      </c>
      <c r="E467" s="247"/>
      <c r="F467" s="247"/>
      <c r="G467" s="248"/>
      <c r="H467" s="247">
        <v>1</v>
      </c>
      <c r="I467" s="249" t="s">
        <v>274</v>
      </c>
      <c r="J467" s="249" t="s">
        <v>21</v>
      </c>
      <c r="K467" s="249" t="s">
        <v>27</v>
      </c>
      <c r="L467" s="250">
        <f t="shared" si="30"/>
        <v>1</v>
      </c>
      <c r="M467" s="237">
        <f t="array" ref="M467">INDEX('BKTT T4.26'!$N$12:$N$55,MATCH(V467,'BKTT T4.26'!$A$12:$A$55,0),0)</f>
        <v>628690</v>
      </c>
      <c r="N467" s="162">
        <f t="shared" si="29"/>
        <v>628690</v>
      </c>
      <c r="O467" s="238" t="s">
        <v>264</v>
      </c>
      <c r="P467" s="251" t="s">
        <v>1496</v>
      </c>
      <c r="R467" s="191" t="str">
        <f t="shared" si="31"/>
        <v>Cước vận chuyển Container vỏ tuyến đường PAN HA - HẢI AN.. BKS: 15H12925</v>
      </c>
      <c r="S467" s="191" t="str">
        <f t="shared" si="32"/>
        <v xml:space="preserve"> vỏ </v>
      </c>
      <c r="V467" s="191">
        <v>3</v>
      </c>
    </row>
    <row r="468" spans="1:22" s="191" customFormat="1" ht="15">
      <c r="A468" s="236">
        <v>457</v>
      </c>
      <c r="B468" s="244">
        <v>46119</v>
      </c>
      <c r="C468" s="245" t="s">
        <v>261</v>
      </c>
      <c r="D468" s="246" t="s">
        <v>720</v>
      </c>
      <c r="E468" s="247"/>
      <c r="F468" s="247">
        <v>1</v>
      </c>
      <c r="G468" s="248"/>
      <c r="H468" s="247"/>
      <c r="I468" s="249" t="s">
        <v>274</v>
      </c>
      <c r="J468" s="249" t="s">
        <v>21</v>
      </c>
      <c r="K468" s="249" t="s">
        <v>37</v>
      </c>
      <c r="L468" s="250">
        <f t="shared" si="30"/>
        <v>1</v>
      </c>
      <c r="M468" s="237">
        <f t="array" ref="M468">INDEX('BKTT T4.26'!$N$12:$N$55,MATCH(V468,'BKTT T4.26'!$A$12:$A$55,0),0)</f>
        <v>602510</v>
      </c>
      <c r="N468" s="162">
        <f t="shared" si="29"/>
        <v>602510</v>
      </c>
      <c r="O468" s="238" t="s">
        <v>264</v>
      </c>
      <c r="P468" s="251" t="s">
        <v>1448</v>
      </c>
      <c r="R468" s="191" t="str">
        <f t="shared" si="31"/>
        <v>Cước vận chuyển Container hàng 40' tuyến đường PAN HA - NHĐV,. BKS: 15H12925</v>
      </c>
      <c r="S468" s="191" t="str">
        <f t="shared" si="32"/>
        <v xml:space="preserve"> hàng 40' </v>
      </c>
      <c r="V468" s="191">
        <v>12</v>
      </c>
    </row>
    <row r="469" spans="1:22" s="191" customFormat="1" ht="15">
      <c r="A469" s="236">
        <v>458</v>
      </c>
      <c r="B469" s="244">
        <v>46119</v>
      </c>
      <c r="C469" s="245" t="s">
        <v>261</v>
      </c>
      <c r="D469" s="246" t="s">
        <v>721</v>
      </c>
      <c r="E469" s="247"/>
      <c r="F469" s="247">
        <v>1</v>
      </c>
      <c r="G469" s="248"/>
      <c r="H469" s="247"/>
      <c r="I469" s="249" t="s">
        <v>274</v>
      </c>
      <c r="J469" s="249" t="s">
        <v>21</v>
      </c>
      <c r="K469" s="249" t="s">
        <v>37</v>
      </c>
      <c r="L469" s="250">
        <f t="shared" si="30"/>
        <v>1</v>
      </c>
      <c r="M469" s="237">
        <f t="array" ref="M469">INDEX('BKTT T4.26'!$N$12:$N$55,MATCH(V469,'BKTT T4.26'!$A$12:$A$55,0),0)</f>
        <v>602510</v>
      </c>
      <c r="N469" s="162">
        <f t="shared" si="29"/>
        <v>602510</v>
      </c>
      <c r="O469" s="238" t="s">
        <v>264</v>
      </c>
      <c r="P469" s="251" t="s">
        <v>1448</v>
      </c>
      <c r="R469" s="191" t="str">
        <f t="shared" si="31"/>
        <v>Cước vận chuyển Container hàng 40' tuyến đường PAN HA - NHĐV,. BKS: 15H12925</v>
      </c>
      <c r="S469" s="191" t="str">
        <f t="shared" si="32"/>
        <v xml:space="preserve"> hàng 40' </v>
      </c>
      <c r="V469" s="191">
        <v>12</v>
      </c>
    </row>
    <row r="470" spans="1:22" s="191" customFormat="1" ht="15">
      <c r="A470" s="236">
        <v>459</v>
      </c>
      <c r="B470" s="244">
        <v>46119</v>
      </c>
      <c r="C470" s="245" t="s">
        <v>261</v>
      </c>
      <c r="D470" s="246" t="s">
        <v>722</v>
      </c>
      <c r="E470" s="247"/>
      <c r="F470" s="247">
        <v>1</v>
      </c>
      <c r="G470" s="248"/>
      <c r="H470" s="247"/>
      <c r="I470" s="249" t="s">
        <v>335</v>
      </c>
      <c r="J470" s="249" t="s">
        <v>21</v>
      </c>
      <c r="K470" s="249" t="s">
        <v>25</v>
      </c>
      <c r="L470" s="250">
        <f t="shared" si="30"/>
        <v>1</v>
      </c>
      <c r="M470" s="237">
        <f t="array" ref="M470">INDEX('BKTT T4.26'!$N$12:$N$55,MATCH(V470,'BKTT T4.26'!$A$12:$A$55,0),0)</f>
        <v>681050</v>
      </c>
      <c r="N470" s="162">
        <f t="shared" si="29"/>
        <v>681050</v>
      </c>
      <c r="O470" s="238" t="s">
        <v>264</v>
      </c>
      <c r="P470" s="251" t="s">
        <v>1448</v>
      </c>
      <c r="R470" s="191" t="str">
        <f t="shared" si="31"/>
        <v>Cước vận chuyển Container hàng 40' tuyến đường PAN HA - HẢI AN,. BKS: 15H18552</v>
      </c>
      <c r="S470" s="191" t="str">
        <f t="shared" si="32"/>
        <v xml:space="preserve"> hàng 40' </v>
      </c>
      <c r="V470" s="191">
        <v>2</v>
      </c>
    </row>
    <row r="471" spans="1:22" s="191" customFormat="1" ht="15">
      <c r="A471" s="236">
        <v>460</v>
      </c>
      <c r="B471" s="244">
        <v>46119</v>
      </c>
      <c r="C471" s="245" t="s">
        <v>261</v>
      </c>
      <c r="D471" s="246" t="s">
        <v>723</v>
      </c>
      <c r="E471" s="247"/>
      <c r="F471" s="247">
        <v>1</v>
      </c>
      <c r="G471" s="248"/>
      <c r="H471" s="247"/>
      <c r="I471" s="249" t="s">
        <v>335</v>
      </c>
      <c r="J471" s="249" t="s">
        <v>21</v>
      </c>
      <c r="K471" s="249" t="s">
        <v>25</v>
      </c>
      <c r="L471" s="250">
        <f t="shared" si="30"/>
        <v>1</v>
      </c>
      <c r="M471" s="237">
        <f t="array" ref="M471">INDEX('BKTT T4.26'!$N$12:$N$55,MATCH(V471,'BKTT T4.26'!$A$12:$A$55,0),0)</f>
        <v>681050</v>
      </c>
      <c r="N471" s="162">
        <f t="shared" si="29"/>
        <v>681050</v>
      </c>
      <c r="O471" s="238" t="s">
        <v>264</v>
      </c>
      <c r="P471" s="251" t="s">
        <v>1448</v>
      </c>
      <c r="R471" s="191" t="str">
        <f t="shared" si="31"/>
        <v>Cước vận chuyển Container hàng 40' tuyến đường PAN HA - HẢI AN,. BKS: 15H18552</v>
      </c>
      <c r="S471" s="191" t="str">
        <f t="shared" si="32"/>
        <v xml:space="preserve"> hàng 40' </v>
      </c>
      <c r="V471" s="191">
        <v>2</v>
      </c>
    </row>
    <row r="472" spans="1:22" s="191" customFormat="1" ht="15">
      <c r="A472" s="236">
        <v>461</v>
      </c>
      <c r="B472" s="244">
        <v>46119</v>
      </c>
      <c r="C472" s="245" t="s">
        <v>261</v>
      </c>
      <c r="D472" s="246" t="s">
        <v>724</v>
      </c>
      <c r="E472" s="247"/>
      <c r="F472" s="247"/>
      <c r="G472" s="252"/>
      <c r="H472" s="247">
        <v>1</v>
      </c>
      <c r="I472" s="249" t="s">
        <v>335</v>
      </c>
      <c r="J472" s="249" t="s">
        <v>21</v>
      </c>
      <c r="K472" s="249" t="s">
        <v>27</v>
      </c>
      <c r="L472" s="250">
        <f t="shared" si="30"/>
        <v>1</v>
      </c>
      <c r="M472" s="237">
        <f t="array" ref="M472">INDEX('BKTT T4.26'!$N$12:$N$55,MATCH(V472,'BKTT T4.26'!$A$12:$A$55,0),0)</f>
        <v>628690</v>
      </c>
      <c r="N472" s="162">
        <f t="shared" si="29"/>
        <v>628690</v>
      </c>
      <c r="O472" s="238" t="s">
        <v>264</v>
      </c>
      <c r="P472" s="251" t="s">
        <v>1448</v>
      </c>
      <c r="R472" s="191" t="str">
        <f t="shared" si="31"/>
        <v>Cước vận chuyển Container vỏ tuyến đường PAN HA - HẢI AN.. BKS: 15H18552</v>
      </c>
      <c r="S472" s="191" t="str">
        <f t="shared" si="32"/>
        <v xml:space="preserve"> vỏ </v>
      </c>
      <c r="V472" s="191">
        <v>3</v>
      </c>
    </row>
    <row r="473" spans="1:22" s="191" customFormat="1" ht="15">
      <c r="A473" s="236">
        <v>462</v>
      </c>
      <c r="B473" s="244">
        <v>46119</v>
      </c>
      <c r="C473" s="245" t="s">
        <v>261</v>
      </c>
      <c r="D473" s="246" t="s">
        <v>725</v>
      </c>
      <c r="E473" s="247"/>
      <c r="F473" s="247"/>
      <c r="G473" s="252"/>
      <c r="H473" s="247">
        <v>1</v>
      </c>
      <c r="I473" s="249" t="s">
        <v>335</v>
      </c>
      <c r="J473" s="249" t="s">
        <v>21</v>
      </c>
      <c r="K473" s="249" t="s">
        <v>27</v>
      </c>
      <c r="L473" s="250">
        <f t="shared" si="30"/>
        <v>1</v>
      </c>
      <c r="M473" s="237">
        <f t="array" ref="M473">INDEX('BKTT T4.26'!$N$12:$N$55,MATCH(V473,'BKTT T4.26'!$A$12:$A$55,0),0)</f>
        <v>628690</v>
      </c>
      <c r="N473" s="162">
        <f t="shared" si="29"/>
        <v>628690</v>
      </c>
      <c r="O473" s="238" t="s">
        <v>264</v>
      </c>
      <c r="P473" s="251" t="s">
        <v>1448</v>
      </c>
      <c r="R473" s="191" t="str">
        <f t="shared" si="31"/>
        <v>Cước vận chuyển Container vỏ tuyến đường PAN HA - HẢI AN.. BKS: 15H18552</v>
      </c>
      <c r="S473" s="191" t="str">
        <f t="shared" si="32"/>
        <v xml:space="preserve"> vỏ </v>
      </c>
      <c r="V473" s="191">
        <v>3</v>
      </c>
    </row>
    <row r="474" spans="1:22" s="191" customFormat="1" ht="15">
      <c r="A474" s="236">
        <v>463</v>
      </c>
      <c r="B474" s="244">
        <v>46119</v>
      </c>
      <c r="C474" s="245" t="s">
        <v>261</v>
      </c>
      <c r="D474" s="246" t="s">
        <v>726</v>
      </c>
      <c r="E474" s="247"/>
      <c r="F474" s="247">
        <v>1</v>
      </c>
      <c r="G474" s="248"/>
      <c r="H474" s="247"/>
      <c r="I474" s="249" t="s">
        <v>335</v>
      </c>
      <c r="J474" s="249" t="s">
        <v>21</v>
      </c>
      <c r="K474" s="249" t="s">
        <v>25</v>
      </c>
      <c r="L474" s="250">
        <f t="shared" si="30"/>
        <v>1</v>
      </c>
      <c r="M474" s="237">
        <f t="array" ref="M474">INDEX('BKTT T4.26'!$N$12:$N$55,MATCH(V474,'BKTT T4.26'!$A$12:$A$55,0),0)</f>
        <v>681050</v>
      </c>
      <c r="N474" s="162">
        <f t="shared" si="29"/>
        <v>681050</v>
      </c>
      <c r="O474" s="238" t="s">
        <v>264</v>
      </c>
      <c r="P474" s="251" t="s">
        <v>1448</v>
      </c>
      <c r="R474" s="191" t="str">
        <f t="shared" si="31"/>
        <v>Cước vận chuyển Container hàng 40' tuyến đường PAN HA - HẢI AN,. BKS: 15H18552</v>
      </c>
      <c r="S474" s="191" t="str">
        <f t="shared" si="32"/>
        <v xml:space="preserve"> hàng 40' </v>
      </c>
      <c r="V474" s="191">
        <v>2</v>
      </c>
    </row>
    <row r="475" spans="1:22" s="191" customFormat="1" ht="15">
      <c r="A475" s="236">
        <v>464</v>
      </c>
      <c r="B475" s="244">
        <v>46119</v>
      </c>
      <c r="C475" s="245" t="s">
        <v>261</v>
      </c>
      <c r="D475" s="246" t="s">
        <v>727</v>
      </c>
      <c r="E475" s="247"/>
      <c r="F475" s="247">
        <v>1</v>
      </c>
      <c r="G475" s="248"/>
      <c r="H475" s="247"/>
      <c r="I475" s="249" t="s">
        <v>335</v>
      </c>
      <c r="J475" s="249" t="s">
        <v>21</v>
      </c>
      <c r="K475" s="249" t="s">
        <v>25</v>
      </c>
      <c r="L475" s="250">
        <f t="shared" si="30"/>
        <v>1</v>
      </c>
      <c r="M475" s="237">
        <f t="array" ref="M475">INDEX('BKTT T4.26'!$N$12:$N$55,MATCH(V475,'BKTT T4.26'!$A$12:$A$55,0),0)</f>
        <v>681050</v>
      </c>
      <c r="N475" s="162">
        <f t="shared" si="29"/>
        <v>681050</v>
      </c>
      <c r="O475" s="238" t="s">
        <v>264</v>
      </c>
      <c r="P475" s="251" t="s">
        <v>1448</v>
      </c>
      <c r="R475" s="191" t="str">
        <f t="shared" si="31"/>
        <v>Cước vận chuyển Container hàng 40' tuyến đường PAN HA - HẢI AN,. BKS: 15H18552</v>
      </c>
      <c r="S475" s="191" t="str">
        <f t="shared" si="32"/>
        <v xml:space="preserve"> hàng 40' </v>
      </c>
      <c r="V475" s="191">
        <v>2</v>
      </c>
    </row>
    <row r="476" spans="1:22" s="191" customFormat="1" ht="15">
      <c r="A476" s="236">
        <v>465</v>
      </c>
      <c r="B476" s="244">
        <v>46119</v>
      </c>
      <c r="C476" s="245" t="s">
        <v>261</v>
      </c>
      <c r="D476" s="246" t="s">
        <v>728</v>
      </c>
      <c r="E476" s="247"/>
      <c r="F476" s="247">
        <v>1</v>
      </c>
      <c r="G476" s="248"/>
      <c r="H476" s="247"/>
      <c r="I476" s="249" t="s">
        <v>335</v>
      </c>
      <c r="J476" s="249" t="s">
        <v>21</v>
      </c>
      <c r="K476" s="249" t="s">
        <v>25</v>
      </c>
      <c r="L476" s="250">
        <f t="shared" si="30"/>
        <v>1</v>
      </c>
      <c r="M476" s="237">
        <f t="array" ref="M476">INDEX('BKTT T4.26'!$N$12:$N$55,MATCH(V476,'BKTT T4.26'!$A$12:$A$55,0),0)</f>
        <v>681050</v>
      </c>
      <c r="N476" s="162">
        <f t="shared" si="29"/>
        <v>681050</v>
      </c>
      <c r="O476" s="238" t="s">
        <v>264</v>
      </c>
      <c r="P476" s="251" t="s">
        <v>1448</v>
      </c>
      <c r="R476" s="191" t="str">
        <f t="shared" si="31"/>
        <v>Cước vận chuyển Container hàng 40' tuyến đường PAN HA - HẢI AN,. BKS: 15H18552</v>
      </c>
      <c r="S476" s="191" t="str">
        <f t="shared" si="32"/>
        <v xml:space="preserve"> hàng 40' </v>
      </c>
      <c r="V476" s="191">
        <v>2</v>
      </c>
    </row>
    <row r="477" spans="1:22" s="191" customFormat="1" ht="15">
      <c r="A477" s="236">
        <v>466</v>
      </c>
      <c r="B477" s="244">
        <v>46119</v>
      </c>
      <c r="C477" s="245" t="s">
        <v>261</v>
      </c>
      <c r="D477" s="246" t="s">
        <v>729</v>
      </c>
      <c r="E477" s="247"/>
      <c r="F477" s="247">
        <v>1</v>
      </c>
      <c r="G477" s="248"/>
      <c r="H477" s="247"/>
      <c r="I477" s="249" t="s">
        <v>335</v>
      </c>
      <c r="J477" s="249" t="s">
        <v>21</v>
      </c>
      <c r="K477" s="249" t="s">
        <v>37</v>
      </c>
      <c r="L477" s="250">
        <f t="shared" si="30"/>
        <v>1</v>
      </c>
      <c r="M477" s="237">
        <f t="array" ref="M477">INDEX('BKTT T4.26'!$N$12:$N$55,MATCH(V477,'BKTT T4.26'!$A$12:$A$55,0),0)</f>
        <v>602510</v>
      </c>
      <c r="N477" s="162">
        <f t="shared" si="29"/>
        <v>602510</v>
      </c>
      <c r="O477" s="238" t="s">
        <v>264</v>
      </c>
      <c r="P477" s="251" t="s">
        <v>1448</v>
      </c>
      <c r="R477" s="191" t="str">
        <f t="shared" si="31"/>
        <v>Cước vận chuyển Container hàng 40' tuyến đường PAN HA - NHĐV,. BKS: 15H18552</v>
      </c>
      <c r="S477" s="191" t="str">
        <f t="shared" si="32"/>
        <v xml:space="preserve"> hàng 40' </v>
      </c>
      <c r="V477" s="191">
        <v>12</v>
      </c>
    </row>
    <row r="478" spans="1:22" s="191" customFormat="1" ht="15">
      <c r="A478" s="236">
        <v>467</v>
      </c>
      <c r="B478" s="244">
        <v>46119</v>
      </c>
      <c r="C478" s="245" t="s">
        <v>261</v>
      </c>
      <c r="D478" s="246" t="s">
        <v>730</v>
      </c>
      <c r="E478" s="247"/>
      <c r="F478" s="247">
        <v>1</v>
      </c>
      <c r="G478" s="248"/>
      <c r="H478" s="247"/>
      <c r="I478" s="249" t="s">
        <v>335</v>
      </c>
      <c r="J478" s="249" t="s">
        <v>21</v>
      </c>
      <c r="K478" s="249" t="s">
        <v>37</v>
      </c>
      <c r="L478" s="250">
        <f t="shared" si="30"/>
        <v>1</v>
      </c>
      <c r="M478" s="237">
        <f t="array" ref="M478">INDEX('BKTT T4.26'!$N$12:$N$55,MATCH(V478,'BKTT T4.26'!$A$12:$A$55,0),0)</f>
        <v>602510</v>
      </c>
      <c r="N478" s="162">
        <f t="shared" si="29"/>
        <v>602510</v>
      </c>
      <c r="O478" s="238" t="s">
        <v>264</v>
      </c>
      <c r="P478" s="251" t="s">
        <v>1448</v>
      </c>
      <c r="R478" s="191" t="str">
        <f t="shared" si="31"/>
        <v>Cước vận chuyển Container hàng 40' tuyến đường PAN HA - NHĐV,. BKS: 15H18552</v>
      </c>
      <c r="S478" s="191" t="str">
        <f t="shared" si="32"/>
        <v xml:space="preserve"> hàng 40' </v>
      </c>
      <c r="V478" s="191">
        <v>12</v>
      </c>
    </row>
    <row r="479" spans="1:22" s="191" customFormat="1" ht="15">
      <c r="A479" s="236">
        <v>468</v>
      </c>
      <c r="B479" s="244">
        <v>46119</v>
      </c>
      <c r="C479" s="245" t="s">
        <v>261</v>
      </c>
      <c r="D479" s="246" t="s">
        <v>731</v>
      </c>
      <c r="E479" s="247"/>
      <c r="F479" s="247"/>
      <c r="G479" s="248"/>
      <c r="H479" s="247">
        <v>1</v>
      </c>
      <c r="I479" s="249" t="s">
        <v>279</v>
      </c>
      <c r="J479" s="249" t="s">
        <v>21</v>
      </c>
      <c r="K479" s="249" t="s">
        <v>27</v>
      </c>
      <c r="L479" s="250">
        <f t="shared" si="30"/>
        <v>1</v>
      </c>
      <c r="M479" s="237">
        <f t="array" ref="M479">INDEX('BKTT T4.26'!$N$12:$N$55,MATCH(V479,'BKTT T4.26'!$A$12:$A$55,0),0)</f>
        <v>628690</v>
      </c>
      <c r="N479" s="162">
        <f t="shared" si="29"/>
        <v>628690</v>
      </c>
      <c r="O479" s="238" t="s">
        <v>264</v>
      </c>
      <c r="P479" s="251" t="s">
        <v>1448</v>
      </c>
      <c r="R479" s="191" t="str">
        <f t="shared" si="31"/>
        <v>Cước vận chuyển Container vỏ tuyến đường PAN HA - HẢI AN.. BKS: 15H07524</v>
      </c>
      <c r="S479" s="191" t="str">
        <f t="shared" si="32"/>
        <v xml:space="preserve"> vỏ </v>
      </c>
      <c r="V479" s="191">
        <v>3</v>
      </c>
    </row>
    <row r="480" spans="1:22" s="191" customFormat="1" ht="15">
      <c r="A480" s="236">
        <v>469</v>
      </c>
      <c r="B480" s="244">
        <v>46119</v>
      </c>
      <c r="C480" s="245" t="s">
        <v>261</v>
      </c>
      <c r="D480" s="246" t="s">
        <v>732</v>
      </c>
      <c r="E480" s="247"/>
      <c r="F480" s="247"/>
      <c r="G480" s="248"/>
      <c r="H480" s="247">
        <v>1</v>
      </c>
      <c r="I480" s="249" t="s">
        <v>279</v>
      </c>
      <c r="J480" s="249" t="s">
        <v>21</v>
      </c>
      <c r="K480" s="249" t="s">
        <v>27</v>
      </c>
      <c r="L480" s="250">
        <f t="shared" si="30"/>
        <v>1</v>
      </c>
      <c r="M480" s="237">
        <f t="array" ref="M480">INDEX('BKTT T4.26'!$N$12:$N$55,MATCH(V480,'BKTT T4.26'!$A$12:$A$55,0),0)</f>
        <v>628690</v>
      </c>
      <c r="N480" s="162">
        <f t="shared" si="29"/>
        <v>628690</v>
      </c>
      <c r="O480" s="238" t="s">
        <v>264</v>
      </c>
      <c r="P480" s="251" t="s">
        <v>1448</v>
      </c>
      <c r="R480" s="191" t="str">
        <f t="shared" si="31"/>
        <v>Cước vận chuyển Container vỏ tuyến đường PAN HA - HẢI AN.. BKS: 15H07524</v>
      </c>
      <c r="S480" s="191" t="str">
        <f t="shared" si="32"/>
        <v xml:space="preserve"> vỏ </v>
      </c>
      <c r="V480" s="191">
        <v>3</v>
      </c>
    </row>
    <row r="481" spans="1:22" s="191" customFormat="1" ht="15">
      <c r="A481" s="236">
        <v>470</v>
      </c>
      <c r="B481" s="244">
        <v>46119</v>
      </c>
      <c r="C481" s="245" t="s">
        <v>261</v>
      </c>
      <c r="D481" s="246" t="s">
        <v>733</v>
      </c>
      <c r="E481" s="247"/>
      <c r="F481" s="247">
        <v>1</v>
      </c>
      <c r="G481" s="248"/>
      <c r="H481" s="247"/>
      <c r="I481" s="249" t="s">
        <v>279</v>
      </c>
      <c r="J481" s="249" t="s">
        <v>21</v>
      </c>
      <c r="K481" s="249" t="s">
        <v>37</v>
      </c>
      <c r="L481" s="250">
        <f t="shared" si="30"/>
        <v>1</v>
      </c>
      <c r="M481" s="237">
        <f t="array" ref="M481">INDEX('BKTT T4.26'!$N$12:$N$55,MATCH(V481,'BKTT T4.26'!$A$12:$A$55,0),0)</f>
        <v>602510</v>
      </c>
      <c r="N481" s="162">
        <f t="shared" si="29"/>
        <v>602510</v>
      </c>
      <c r="O481" s="238" t="s">
        <v>264</v>
      </c>
      <c r="P481" s="251" t="s">
        <v>1448</v>
      </c>
      <c r="R481" s="191" t="str">
        <f t="shared" si="31"/>
        <v>Cước vận chuyển Container hàng 40' tuyến đường PAN HA - NHĐV,. BKS: 15H07524</v>
      </c>
      <c r="S481" s="191" t="str">
        <f t="shared" si="32"/>
        <v xml:space="preserve"> hàng 40' </v>
      </c>
      <c r="V481" s="191">
        <v>12</v>
      </c>
    </row>
    <row r="482" spans="1:22" s="191" customFormat="1" ht="15">
      <c r="A482" s="236">
        <v>471</v>
      </c>
      <c r="B482" s="244">
        <v>46119</v>
      </c>
      <c r="C482" s="245" t="s">
        <v>261</v>
      </c>
      <c r="D482" s="246" t="s">
        <v>734</v>
      </c>
      <c r="E482" s="247"/>
      <c r="F482" s="247">
        <v>1</v>
      </c>
      <c r="G482" s="248"/>
      <c r="H482" s="247"/>
      <c r="I482" s="249" t="s">
        <v>279</v>
      </c>
      <c r="J482" s="249" t="s">
        <v>21</v>
      </c>
      <c r="K482" s="249" t="s">
        <v>25</v>
      </c>
      <c r="L482" s="250">
        <f t="shared" si="30"/>
        <v>1</v>
      </c>
      <c r="M482" s="237">
        <f t="array" ref="M482">INDEX('BKTT T4.26'!$N$12:$N$55,MATCH(V482,'BKTT T4.26'!$A$12:$A$55,0),0)</f>
        <v>681050</v>
      </c>
      <c r="N482" s="162">
        <f t="shared" si="29"/>
        <v>681050</v>
      </c>
      <c r="O482" s="238" t="s">
        <v>264</v>
      </c>
      <c r="P482" s="251" t="s">
        <v>1448</v>
      </c>
      <c r="R482" s="191" t="str">
        <f t="shared" si="31"/>
        <v>Cước vận chuyển Container hàng 40' tuyến đường PAN HA - HẢI AN,. BKS: 15H07524</v>
      </c>
      <c r="S482" s="191" t="str">
        <f t="shared" si="32"/>
        <v xml:space="preserve"> hàng 40' </v>
      </c>
      <c r="V482" s="191">
        <v>2</v>
      </c>
    </row>
    <row r="483" spans="1:22" s="191" customFormat="1" ht="15">
      <c r="A483" s="236">
        <v>472</v>
      </c>
      <c r="B483" s="244">
        <v>46119</v>
      </c>
      <c r="C483" s="245" t="s">
        <v>261</v>
      </c>
      <c r="D483" s="246" t="s">
        <v>735</v>
      </c>
      <c r="E483" s="247"/>
      <c r="F483" s="247">
        <v>1</v>
      </c>
      <c r="G483" s="248"/>
      <c r="H483" s="247"/>
      <c r="I483" s="249" t="s">
        <v>279</v>
      </c>
      <c r="J483" s="249" t="s">
        <v>21</v>
      </c>
      <c r="K483" s="249" t="s">
        <v>25</v>
      </c>
      <c r="L483" s="250">
        <f t="shared" si="30"/>
        <v>1</v>
      </c>
      <c r="M483" s="237">
        <f t="array" ref="M483">INDEX('BKTT T4.26'!$N$12:$N$55,MATCH(V483,'BKTT T4.26'!$A$12:$A$55,0),0)</f>
        <v>681050</v>
      </c>
      <c r="N483" s="162">
        <f t="shared" si="29"/>
        <v>681050</v>
      </c>
      <c r="O483" s="238" t="s">
        <v>264</v>
      </c>
      <c r="P483" s="251" t="s">
        <v>1448</v>
      </c>
      <c r="R483" s="191" t="str">
        <f t="shared" si="31"/>
        <v>Cước vận chuyển Container hàng 40' tuyến đường PAN HA - HẢI AN,. BKS: 15H07524</v>
      </c>
      <c r="S483" s="191" t="str">
        <f t="shared" si="32"/>
        <v xml:space="preserve"> hàng 40' </v>
      </c>
      <c r="V483" s="191">
        <v>2</v>
      </c>
    </row>
    <row r="484" spans="1:22" s="191" customFormat="1" ht="15">
      <c r="A484" s="236">
        <v>473</v>
      </c>
      <c r="B484" s="244">
        <v>46120</v>
      </c>
      <c r="C484" s="245" t="s">
        <v>261</v>
      </c>
      <c r="D484" s="246" t="s">
        <v>736</v>
      </c>
      <c r="E484" s="247">
        <v>1</v>
      </c>
      <c r="F484" s="247"/>
      <c r="G484" s="248"/>
      <c r="H484" s="247"/>
      <c r="I484" s="249" t="s">
        <v>304</v>
      </c>
      <c r="J484" s="249" t="s">
        <v>21</v>
      </c>
      <c r="K484" s="249" t="s">
        <v>31</v>
      </c>
      <c r="L484" s="250">
        <f t="shared" si="30"/>
        <v>1</v>
      </c>
      <c r="M484" s="237">
        <f t="array" ref="M484">INDEX('BKTT T4.26'!$N$12:$N$55,MATCH(V484,'BKTT T4.26'!$A$12:$A$55,0),0)</f>
        <v>454158</v>
      </c>
      <c r="N484" s="162">
        <f t="shared" si="29"/>
        <v>454158</v>
      </c>
      <c r="O484" s="238" t="s">
        <v>264</v>
      </c>
      <c r="P484" s="251" t="s">
        <v>1448</v>
      </c>
      <c r="R484" s="191" t="str">
        <f t="shared" si="31"/>
        <v>Cước vận chuyển Container hàng 20' tuyến đường PAN HA - NDV. BKS: 15C09877</v>
      </c>
      <c r="S484" s="191" t="str">
        <f t="shared" si="32"/>
        <v xml:space="preserve"> hàng 20' </v>
      </c>
      <c r="V484" s="191">
        <v>7</v>
      </c>
    </row>
    <row r="485" spans="1:22" s="191" customFormat="1" ht="15">
      <c r="A485" s="236">
        <v>474</v>
      </c>
      <c r="B485" s="244">
        <v>46120</v>
      </c>
      <c r="C485" s="245" t="s">
        <v>261</v>
      </c>
      <c r="D485" s="246" t="s">
        <v>737</v>
      </c>
      <c r="E485" s="247">
        <v>1</v>
      </c>
      <c r="F485" s="247"/>
      <c r="G485" s="252"/>
      <c r="H485" s="247"/>
      <c r="I485" s="249" t="s">
        <v>304</v>
      </c>
      <c r="J485" s="249" t="s">
        <v>21</v>
      </c>
      <c r="K485" s="249" t="s">
        <v>31</v>
      </c>
      <c r="L485" s="250">
        <f t="shared" si="30"/>
        <v>1</v>
      </c>
      <c r="M485" s="237">
        <f t="array" ref="M485">INDEX('BKTT T4.26'!$N$12:$N$55,MATCH(V485,'BKTT T4.26'!$A$12:$A$55,0),0)</f>
        <v>454158</v>
      </c>
      <c r="N485" s="162">
        <f t="shared" si="29"/>
        <v>454158</v>
      </c>
      <c r="O485" s="238" t="s">
        <v>264</v>
      </c>
      <c r="P485" s="251" t="s">
        <v>1448</v>
      </c>
      <c r="R485" s="191" t="str">
        <f t="shared" si="31"/>
        <v>Cước vận chuyển Container hàng 20' tuyến đường PAN HA - NDV. BKS: 15C09877</v>
      </c>
      <c r="S485" s="191" t="str">
        <f t="shared" si="32"/>
        <v xml:space="preserve"> hàng 20' </v>
      </c>
      <c r="V485" s="191">
        <v>7</v>
      </c>
    </row>
    <row r="486" spans="1:22" s="191" customFormat="1" ht="15">
      <c r="A486" s="236">
        <v>475</v>
      </c>
      <c r="B486" s="244">
        <v>46120</v>
      </c>
      <c r="C486" s="245" t="s">
        <v>261</v>
      </c>
      <c r="D486" s="246" t="s">
        <v>738</v>
      </c>
      <c r="E486" s="247">
        <v>1</v>
      </c>
      <c r="F486" s="247"/>
      <c r="G486" s="252"/>
      <c r="H486" s="247"/>
      <c r="I486" s="249" t="s">
        <v>304</v>
      </c>
      <c r="J486" s="249" t="s">
        <v>21</v>
      </c>
      <c r="K486" s="249" t="s">
        <v>31</v>
      </c>
      <c r="L486" s="250">
        <f t="shared" si="30"/>
        <v>1</v>
      </c>
      <c r="M486" s="237">
        <f t="array" ref="M486">INDEX('BKTT T4.26'!$N$12:$N$55,MATCH(V486,'BKTT T4.26'!$A$12:$A$55,0),0)</f>
        <v>454158</v>
      </c>
      <c r="N486" s="162">
        <f t="shared" si="29"/>
        <v>454158</v>
      </c>
      <c r="O486" s="238" t="s">
        <v>264</v>
      </c>
      <c r="P486" s="251" t="s">
        <v>1448</v>
      </c>
      <c r="R486" s="191" t="str">
        <f t="shared" si="31"/>
        <v>Cước vận chuyển Container hàng 20' tuyến đường PAN HA - NDV. BKS: 15C09877</v>
      </c>
      <c r="S486" s="191" t="str">
        <f t="shared" si="32"/>
        <v xml:space="preserve"> hàng 20' </v>
      </c>
      <c r="V486" s="191">
        <v>7</v>
      </c>
    </row>
    <row r="487" spans="1:22" s="191" customFormat="1" ht="15">
      <c r="A487" s="236">
        <v>476</v>
      </c>
      <c r="B487" s="244">
        <v>46120</v>
      </c>
      <c r="C487" s="245" t="s">
        <v>261</v>
      </c>
      <c r="D487" s="246" t="s">
        <v>739</v>
      </c>
      <c r="E487" s="247">
        <v>1</v>
      </c>
      <c r="F487" s="247"/>
      <c r="G487" s="252"/>
      <c r="H487" s="247"/>
      <c r="I487" s="249" t="s">
        <v>304</v>
      </c>
      <c r="J487" s="249" t="s">
        <v>21</v>
      </c>
      <c r="K487" s="249" t="s">
        <v>31</v>
      </c>
      <c r="L487" s="250">
        <f t="shared" si="30"/>
        <v>1</v>
      </c>
      <c r="M487" s="237">
        <f t="array" ref="M487">INDEX('BKTT T4.26'!$N$12:$N$55,MATCH(V487,'BKTT T4.26'!$A$12:$A$55,0),0)</f>
        <v>454158</v>
      </c>
      <c r="N487" s="162">
        <f t="shared" si="29"/>
        <v>454158</v>
      </c>
      <c r="O487" s="238" t="s">
        <v>264</v>
      </c>
      <c r="P487" s="251" t="s">
        <v>1448</v>
      </c>
      <c r="R487" s="191" t="str">
        <f t="shared" si="31"/>
        <v>Cước vận chuyển Container hàng 20' tuyến đường PAN HA - NDV. BKS: 15C09877</v>
      </c>
      <c r="S487" s="191" t="str">
        <f t="shared" si="32"/>
        <v xml:space="preserve"> hàng 20' </v>
      </c>
      <c r="V487" s="191">
        <v>7</v>
      </c>
    </row>
    <row r="488" spans="1:22" s="191" customFormat="1" ht="15">
      <c r="A488" s="236">
        <v>477</v>
      </c>
      <c r="B488" s="244">
        <v>46120</v>
      </c>
      <c r="C488" s="245" t="s">
        <v>261</v>
      </c>
      <c r="D488" s="246" t="s">
        <v>740</v>
      </c>
      <c r="E488" s="247"/>
      <c r="F488" s="247"/>
      <c r="G488" s="248">
        <v>0.5</v>
      </c>
      <c r="H488" s="247"/>
      <c r="I488" s="249" t="s">
        <v>304</v>
      </c>
      <c r="J488" s="249" t="s">
        <v>21</v>
      </c>
      <c r="K488" s="249" t="s">
        <v>30</v>
      </c>
      <c r="L488" s="250">
        <f t="shared" si="30"/>
        <v>0.5</v>
      </c>
      <c r="M488" s="237">
        <f t="array" ref="M488">INDEX('BKTT T4.26'!$N$12:$N$55,MATCH(V488,'BKTT T4.26'!$A$12:$A$55,0),0)</f>
        <v>480338</v>
      </c>
      <c r="N488" s="162">
        <f t="shared" si="29"/>
        <v>240169</v>
      </c>
      <c r="O488" s="238" t="s">
        <v>264</v>
      </c>
      <c r="P488" s="251" t="s">
        <v>1448</v>
      </c>
      <c r="R488" s="191" t="str">
        <f t="shared" si="31"/>
        <v>Cước vận chuyển Container vỏ tuyến đường PAN HA - MPC.. BKS: 15C09877</v>
      </c>
      <c r="S488" s="191" t="str">
        <f t="shared" si="32"/>
        <v xml:space="preserve"> vỏ </v>
      </c>
      <c r="V488" s="191">
        <v>6</v>
      </c>
    </row>
    <row r="489" spans="1:22" s="191" customFormat="1" ht="15">
      <c r="A489" s="236">
        <v>478</v>
      </c>
      <c r="B489" s="244">
        <v>46120</v>
      </c>
      <c r="C489" s="245" t="s">
        <v>261</v>
      </c>
      <c r="D489" s="246" t="s">
        <v>741</v>
      </c>
      <c r="E489" s="247"/>
      <c r="F489" s="247"/>
      <c r="G489" s="248">
        <v>0.5</v>
      </c>
      <c r="H489" s="247"/>
      <c r="I489" s="249" t="s">
        <v>304</v>
      </c>
      <c r="J489" s="249" t="s">
        <v>21</v>
      </c>
      <c r="K489" s="249" t="s">
        <v>30</v>
      </c>
      <c r="L489" s="250">
        <f t="shared" si="30"/>
        <v>0.5</v>
      </c>
      <c r="M489" s="237">
        <f t="array" ref="M489">INDEX('BKTT T4.26'!$N$12:$N$55,MATCH(V489,'BKTT T4.26'!$A$12:$A$55,0),0)</f>
        <v>480338</v>
      </c>
      <c r="N489" s="162">
        <f t="shared" si="29"/>
        <v>240169</v>
      </c>
      <c r="O489" s="238" t="s">
        <v>264</v>
      </c>
      <c r="P489" s="251" t="s">
        <v>1448</v>
      </c>
      <c r="R489" s="191" t="str">
        <f t="shared" si="31"/>
        <v>Cước vận chuyển Container vỏ tuyến đường PAN HA - MPC.. BKS: 15C09877</v>
      </c>
      <c r="S489" s="191" t="str">
        <f t="shared" si="32"/>
        <v xml:space="preserve"> vỏ </v>
      </c>
      <c r="V489" s="191">
        <v>6</v>
      </c>
    </row>
    <row r="490" spans="1:22" s="191" customFormat="1" ht="15">
      <c r="A490" s="236">
        <v>479</v>
      </c>
      <c r="B490" s="244">
        <v>46108</v>
      </c>
      <c r="C490" s="245" t="s">
        <v>261</v>
      </c>
      <c r="D490" s="246" t="s">
        <v>742</v>
      </c>
      <c r="E490" s="247"/>
      <c r="F490" s="247">
        <v>1</v>
      </c>
      <c r="G490" s="248"/>
      <c r="H490" s="247"/>
      <c r="I490" s="249" t="s">
        <v>743</v>
      </c>
      <c r="J490" s="249" t="s">
        <v>21</v>
      </c>
      <c r="K490" s="249" t="s">
        <v>25</v>
      </c>
      <c r="L490" s="250">
        <f t="shared" si="30"/>
        <v>1</v>
      </c>
      <c r="M490" s="237">
        <f t="array" ref="M490">INDEX('BKTT T4.26'!$N$12:$N$55,MATCH(V490,'BKTT T4.26'!$A$12:$A$55,0),0)</f>
        <v>681050</v>
      </c>
      <c r="N490" s="162">
        <f t="shared" si="29"/>
        <v>681050</v>
      </c>
      <c r="O490" s="238" t="s">
        <v>264</v>
      </c>
      <c r="P490" s="251" t="s">
        <v>1448</v>
      </c>
      <c r="R490" s="191" t="str">
        <f t="shared" si="31"/>
        <v>Cước vận chuyển Container hàng 40' tuyến đường PAN HA - HẢI AN,. BKS: 15H07135</v>
      </c>
      <c r="S490" s="191" t="str">
        <f t="shared" si="32"/>
        <v xml:space="preserve"> hàng 40' </v>
      </c>
      <c r="V490" s="191">
        <v>2</v>
      </c>
    </row>
    <row r="491" spans="1:22" s="191" customFormat="1" ht="15">
      <c r="A491" s="236">
        <v>480</v>
      </c>
      <c r="B491" s="244">
        <v>46108</v>
      </c>
      <c r="C491" s="245" t="s">
        <v>261</v>
      </c>
      <c r="D491" s="246" t="s">
        <v>744</v>
      </c>
      <c r="E491" s="247"/>
      <c r="F491" s="247">
        <v>1</v>
      </c>
      <c r="G491" s="248"/>
      <c r="H491" s="247"/>
      <c r="I491" s="249" t="s">
        <v>743</v>
      </c>
      <c r="J491" s="249" t="s">
        <v>21</v>
      </c>
      <c r="K491" s="249" t="s">
        <v>25</v>
      </c>
      <c r="L491" s="250">
        <f t="shared" si="30"/>
        <v>1</v>
      </c>
      <c r="M491" s="237">
        <f t="array" ref="M491">INDEX('BKTT T4.26'!$N$12:$N$55,MATCH(V491,'BKTT T4.26'!$A$12:$A$55,0),0)</f>
        <v>681050</v>
      </c>
      <c r="N491" s="162">
        <f t="shared" si="29"/>
        <v>681050</v>
      </c>
      <c r="O491" s="238" t="s">
        <v>264</v>
      </c>
      <c r="P491" s="251" t="s">
        <v>1448</v>
      </c>
      <c r="R491" s="191" t="str">
        <f t="shared" si="31"/>
        <v>Cước vận chuyển Container hàng 40' tuyến đường PAN HA - HẢI AN,. BKS: 15H07135</v>
      </c>
      <c r="S491" s="191" t="str">
        <f t="shared" si="32"/>
        <v xml:space="preserve"> hàng 40' </v>
      </c>
      <c r="V491" s="191">
        <v>2</v>
      </c>
    </row>
    <row r="492" spans="1:22" s="191" customFormat="1" ht="15">
      <c r="A492" s="236">
        <v>481</v>
      </c>
      <c r="B492" s="244">
        <v>46108</v>
      </c>
      <c r="C492" s="245" t="s">
        <v>261</v>
      </c>
      <c r="D492" s="246" t="s">
        <v>745</v>
      </c>
      <c r="E492" s="247"/>
      <c r="F492" s="247">
        <v>1</v>
      </c>
      <c r="G492" s="252"/>
      <c r="H492" s="247"/>
      <c r="I492" s="249" t="s">
        <v>743</v>
      </c>
      <c r="J492" s="249" t="s">
        <v>21</v>
      </c>
      <c r="K492" s="249" t="s">
        <v>25</v>
      </c>
      <c r="L492" s="250">
        <f t="shared" si="30"/>
        <v>1</v>
      </c>
      <c r="M492" s="237">
        <f t="array" ref="M492">INDEX('BKTT T4.26'!$N$12:$N$55,MATCH(V492,'BKTT T4.26'!$A$12:$A$55,0),0)</f>
        <v>681050</v>
      </c>
      <c r="N492" s="162">
        <f t="shared" si="29"/>
        <v>681050</v>
      </c>
      <c r="O492" s="238" t="s">
        <v>264</v>
      </c>
      <c r="P492" s="251" t="s">
        <v>1448</v>
      </c>
      <c r="R492" s="191" t="str">
        <f t="shared" si="31"/>
        <v>Cước vận chuyển Container hàng 40' tuyến đường PAN HA - HẢI AN,. BKS: 15H07135</v>
      </c>
      <c r="S492" s="191" t="str">
        <f t="shared" si="32"/>
        <v xml:space="preserve"> hàng 40' </v>
      </c>
      <c r="V492" s="191">
        <v>2</v>
      </c>
    </row>
    <row r="493" spans="1:22" s="191" customFormat="1" ht="15">
      <c r="A493" s="236">
        <v>482</v>
      </c>
      <c r="B493" s="244">
        <v>46108</v>
      </c>
      <c r="C493" s="245" t="s">
        <v>261</v>
      </c>
      <c r="D493" s="246" t="s">
        <v>746</v>
      </c>
      <c r="E493" s="247"/>
      <c r="F493" s="247">
        <v>1</v>
      </c>
      <c r="G493" s="248"/>
      <c r="H493" s="247"/>
      <c r="I493" s="249" t="s">
        <v>743</v>
      </c>
      <c r="J493" s="249" t="s">
        <v>21</v>
      </c>
      <c r="K493" s="249" t="s">
        <v>25</v>
      </c>
      <c r="L493" s="250">
        <f t="shared" si="30"/>
        <v>1</v>
      </c>
      <c r="M493" s="237">
        <f t="array" ref="M493">INDEX('BKTT T4.26'!$N$12:$N$55,MATCH(V493,'BKTT T4.26'!$A$12:$A$55,0),0)</f>
        <v>681050</v>
      </c>
      <c r="N493" s="162">
        <f t="shared" si="29"/>
        <v>681050</v>
      </c>
      <c r="O493" s="238" t="s">
        <v>264</v>
      </c>
      <c r="P493" s="251" t="s">
        <v>1448</v>
      </c>
      <c r="R493" s="191" t="str">
        <f t="shared" si="31"/>
        <v>Cước vận chuyển Container hàng 40' tuyến đường PAN HA - HẢI AN,. BKS: 15H07135</v>
      </c>
      <c r="S493" s="191" t="str">
        <f t="shared" si="32"/>
        <v xml:space="preserve"> hàng 40' </v>
      </c>
      <c r="V493" s="191">
        <v>2</v>
      </c>
    </row>
    <row r="494" spans="1:22" s="191" customFormat="1" ht="15">
      <c r="A494" s="236">
        <v>483</v>
      </c>
      <c r="B494" s="244">
        <v>46117</v>
      </c>
      <c r="C494" s="245" t="s">
        <v>261</v>
      </c>
      <c r="D494" s="246" t="s">
        <v>747</v>
      </c>
      <c r="E494" s="247"/>
      <c r="F494" s="247"/>
      <c r="G494" s="248"/>
      <c r="H494" s="247">
        <v>1</v>
      </c>
      <c r="I494" s="249" t="s">
        <v>743</v>
      </c>
      <c r="J494" s="249" t="s">
        <v>21</v>
      </c>
      <c r="K494" s="249" t="s">
        <v>27</v>
      </c>
      <c r="L494" s="250">
        <f t="shared" si="30"/>
        <v>1</v>
      </c>
      <c r="M494" s="237">
        <f t="array" ref="M494">INDEX('BKTT T4.26'!$N$12:$N$55,MATCH(V494,'BKTT T4.26'!$A$12:$A$55,0),0)</f>
        <v>628690</v>
      </c>
      <c r="N494" s="162">
        <f t="shared" si="29"/>
        <v>628690</v>
      </c>
      <c r="O494" s="238" t="s">
        <v>264</v>
      </c>
      <c r="P494" s="251" t="s">
        <v>1448</v>
      </c>
      <c r="R494" s="191" t="str">
        <f t="shared" si="31"/>
        <v>Cước vận chuyển Container vỏ tuyến đường PAN HA - HẢI AN.. BKS: 15H07135</v>
      </c>
      <c r="S494" s="191" t="str">
        <f t="shared" si="32"/>
        <v xml:space="preserve"> vỏ </v>
      </c>
      <c r="V494" s="191">
        <v>3</v>
      </c>
    </row>
    <row r="495" spans="1:22" s="191" customFormat="1" ht="15">
      <c r="A495" s="236">
        <v>484</v>
      </c>
      <c r="B495" s="244">
        <v>46118</v>
      </c>
      <c r="C495" s="245" t="s">
        <v>261</v>
      </c>
      <c r="D495" s="246" t="s">
        <v>748</v>
      </c>
      <c r="E495" s="247">
        <v>1</v>
      </c>
      <c r="F495" s="247"/>
      <c r="G495" s="248"/>
      <c r="H495" s="247"/>
      <c r="I495" s="249" t="s">
        <v>743</v>
      </c>
      <c r="J495" s="249" t="s">
        <v>21</v>
      </c>
      <c r="K495" s="249" t="s">
        <v>36</v>
      </c>
      <c r="L495" s="250">
        <f t="shared" si="30"/>
        <v>1</v>
      </c>
      <c r="M495" s="237">
        <f t="array" ref="M495">INDEX('BKTT T4.26'!$N$12:$N$55,MATCH(V495,'BKTT T4.26'!$A$12:$A$55,0),0)</f>
        <v>576331</v>
      </c>
      <c r="N495" s="162">
        <f t="shared" si="29"/>
        <v>576331</v>
      </c>
      <c r="O495" s="238" t="s">
        <v>264</v>
      </c>
      <c r="P495" s="251" t="s">
        <v>1448</v>
      </c>
      <c r="R495" s="191" t="str">
        <f t="shared" si="31"/>
        <v>Cước vận chuyển Container hàng 20' tuyến đường PAN HA - NHĐV. BKS: 15H07135</v>
      </c>
      <c r="S495" s="191" t="str">
        <f t="shared" si="32"/>
        <v xml:space="preserve"> hàng 20' </v>
      </c>
      <c r="V495" s="191">
        <v>11</v>
      </c>
    </row>
    <row r="496" spans="1:22" s="191" customFormat="1" ht="15">
      <c r="A496" s="236">
        <v>485</v>
      </c>
      <c r="B496" s="244">
        <v>46118</v>
      </c>
      <c r="C496" s="245" t="s">
        <v>261</v>
      </c>
      <c r="D496" s="246" t="s">
        <v>749</v>
      </c>
      <c r="E496" s="247">
        <v>1</v>
      </c>
      <c r="F496" s="247"/>
      <c r="G496" s="248"/>
      <c r="H496" s="247"/>
      <c r="I496" s="249" t="s">
        <v>743</v>
      </c>
      <c r="J496" s="249" t="s">
        <v>21</v>
      </c>
      <c r="K496" s="249" t="s">
        <v>36</v>
      </c>
      <c r="L496" s="250">
        <f t="shared" si="30"/>
        <v>1</v>
      </c>
      <c r="M496" s="237">
        <f t="array" ref="M496">INDEX('BKTT T4.26'!$N$12:$N$55,MATCH(V496,'BKTT T4.26'!$A$12:$A$55,0),0)</f>
        <v>576331</v>
      </c>
      <c r="N496" s="162">
        <f t="shared" si="29"/>
        <v>576331</v>
      </c>
      <c r="O496" s="238" t="s">
        <v>264</v>
      </c>
      <c r="P496" s="251" t="s">
        <v>1448</v>
      </c>
      <c r="R496" s="191" t="str">
        <f t="shared" si="31"/>
        <v>Cước vận chuyển Container hàng 20' tuyến đường PAN HA - NHĐV. BKS: 15H07135</v>
      </c>
      <c r="S496" s="191" t="str">
        <f t="shared" si="32"/>
        <v xml:space="preserve"> hàng 20' </v>
      </c>
      <c r="V496" s="191">
        <v>11</v>
      </c>
    </row>
    <row r="497" spans="1:22" s="191" customFormat="1" ht="15">
      <c r="A497" s="236">
        <v>486</v>
      </c>
      <c r="B497" s="244">
        <v>46118</v>
      </c>
      <c r="C497" s="245" t="s">
        <v>261</v>
      </c>
      <c r="D497" s="246" t="s">
        <v>750</v>
      </c>
      <c r="E497" s="247">
        <v>1</v>
      </c>
      <c r="F497" s="247"/>
      <c r="G497" s="248"/>
      <c r="H497" s="247"/>
      <c r="I497" s="249" t="s">
        <v>743</v>
      </c>
      <c r="J497" s="249" t="s">
        <v>21</v>
      </c>
      <c r="K497" s="249" t="s">
        <v>36</v>
      </c>
      <c r="L497" s="250">
        <f t="shared" si="30"/>
        <v>1</v>
      </c>
      <c r="M497" s="237">
        <f t="array" ref="M497">INDEX('BKTT T4.26'!$N$12:$N$55,MATCH(V497,'BKTT T4.26'!$A$12:$A$55,0),0)</f>
        <v>576331</v>
      </c>
      <c r="N497" s="162">
        <f t="shared" si="29"/>
        <v>576331</v>
      </c>
      <c r="O497" s="238" t="s">
        <v>264</v>
      </c>
      <c r="P497" s="251" t="s">
        <v>1448</v>
      </c>
      <c r="R497" s="191" t="str">
        <f t="shared" si="31"/>
        <v>Cước vận chuyển Container hàng 20' tuyến đường PAN HA - NHĐV. BKS: 15H07135</v>
      </c>
      <c r="S497" s="191" t="str">
        <f t="shared" si="32"/>
        <v xml:space="preserve"> hàng 20' </v>
      </c>
      <c r="V497" s="191">
        <v>11</v>
      </c>
    </row>
    <row r="498" spans="1:22" s="191" customFormat="1" ht="15">
      <c r="A498" s="236">
        <v>487</v>
      </c>
      <c r="B498" s="244">
        <v>46118</v>
      </c>
      <c r="C498" s="245" t="s">
        <v>261</v>
      </c>
      <c r="D498" s="246" t="s">
        <v>751</v>
      </c>
      <c r="E498" s="247">
        <v>1</v>
      </c>
      <c r="F498" s="247"/>
      <c r="G498" s="252"/>
      <c r="H498" s="247"/>
      <c r="I498" s="249" t="s">
        <v>743</v>
      </c>
      <c r="J498" s="249" t="s">
        <v>21</v>
      </c>
      <c r="K498" s="249" t="s">
        <v>36</v>
      </c>
      <c r="L498" s="250">
        <f t="shared" si="30"/>
        <v>1</v>
      </c>
      <c r="M498" s="237">
        <f t="array" ref="M498">INDEX('BKTT T4.26'!$N$12:$N$55,MATCH(V498,'BKTT T4.26'!$A$12:$A$55,0),0)</f>
        <v>576331</v>
      </c>
      <c r="N498" s="162">
        <f t="shared" si="29"/>
        <v>576331</v>
      </c>
      <c r="O498" s="238" t="s">
        <v>264</v>
      </c>
      <c r="P498" s="251" t="s">
        <v>1448</v>
      </c>
      <c r="R498" s="191" t="str">
        <f t="shared" si="31"/>
        <v>Cước vận chuyển Container hàng 20' tuyến đường PAN HA - NHĐV. BKS: 15H07135</v>
      </c>
      <c r="S498" s="191" t="str">
        <f t="shared" si="32"/>
        <v xml:space="preserve"> hàng 20' </v>
      </c>
      <c r="V498" s="191">
        <v>11</v>
      </c>
    </row>
    <row r="499" spans="1:22" s="191" customFormat="1" ht="15">
      <c r="A499" s="236">
        <v>488</v>
      </c>
      <c r="B499" s="244">
        <v>46118</v>
      </c>
      <c r="C499" s="245" t="s">
        <v>261</v>
      </c>
      <c r="D499" s="246" t="s">
        <v>752</v>
      </c>
      <c r="E499" s="247"/>
      <c r="F499" s="247">
        <v>1</v>
      </c>
      <c r="G499" s="248"/>
      <c r="H499" s="247"/>
      <c r="I499" s="249" t="s">
        <v>743</v>
      </c>
      <c r="J499" s="249" t="s">
        <v>21</v>
      </c>
      <c r="K499" s="249" t="s">
        <v>25</v>
      </c>
      <c r="L499" s="250">
        <f t="shared" si="30"/>
        <v>1</v>
      </c>
      <c r="M499" s="237">
        <f t="array" ref="M499">INDEX('BKTT T4.26'!$N$12:$N$55,MATCH(V499,'BKTT T4.26'!$A$12:$A$55,0),0)</f>
        <v>681050</v>
      </c>
      <c r="N499" s="162">
        <f t="shared" si="29"/>
        <v>681050</v>
      </c>
      <c r="O499" s="238" t="s">
        <v>264</v>
      </c>
      <c r="P499" s="251" t="s">
        <v>1448</v>
      </c>
      <c r="R499" s="191" t="str">
        <f t="shared" si="31"/>
        <v>Cước vận chuyển Container hàng 40' tuyến đường PAN HA - HẢI AN,. BKS: 15H07135</v>
      </c>
      <c r="S499" s="191" t="str">
        <f t="shared" si="32"/>
        <v xml:space="preserve"> hàng 40' </v>
      </c>
      <c r="V499" s="191">
        <v>2</v>
      </c>
    </row>
    <row r="500" spans="1:22" s="191" customFormat="1" ht="15">
      <c r="A500" s="236">
        <v>489</v>
      </c>
      <c r="B500" s="244">
        <v>46119</v>
      </c>
      <c r="C500" s="245" t="s">
        <v>261</v>
      </c>
      <c r="D500" s="246" t="s">
        <v>753</v>
      </c>
      <c r="E500" s="247">
        <v>1</v>
      </c>
      <c r="F500" s="247"/>
      <c r="G500" s="248"/>
      <c r="H500" s="247"/>
      <c r="I500" s="249" t="s">
        <v>282</v>
      </c>
      <c r="J500" s="249" t="s">
        <v>21</v>
      </c>
      <c r="K500" s="249" t="s">
        <v>36</v>
      </c>
      <c r="L500" s="250">
        <f t="shared" si="30"/>
        <v>1</v>
      </c>
      <c r="M500" s="237">
        <f t="array" ref="M500">INDEX('BKTT T4.26'!$N$12:$N$55,MATCH(V500,'BKTT T4.26'!$A$12:$A$55,0),0)</f>
        <v>576331</v>
      </c>
      <c r="N500" s="162">
        <f t="shared" si="29"/>
        <v>576331</v>
      </c>
      <c r="O500" s="238" t="s">
        <v>264</v>
      </c>
      <c r="P500" s="251" t="s">
        <v>1448</v>
      </c>
      <c r="R500" s="191" t="str">
        <f t="shared" si="31"/>
        <v>Cước vận chuyển Container hàng 20' tuyến đường PAN HA - NHĐV. BKS: 15C17301</v>
      </c>
      <c r="S500" s="191" t="str">
        <f t="shared" si="32"/>
        <v xml:space="preserve"> hàng 20' </v>
      </c>
      <c r="V500" s="191">
        <v>11</v>
      </c>
    </row>
    <row r="501" spans="1:22" s="191" customFormat="1" ht="15">
      <c r="A501" s="236">
        <v>490</v>
      </c>
      <c r="B501" s="244">
        <v>46119</v>
      </c>
      <c r="C501" s="245" t="s">
        <v>261</v>
      </c>
      <c r="D501" s="246" t="s">
        <v>754</v>
      </c>
      <c r="E501" s="247">
        <v>1</v>
      </c>
      <c r="F501" s="247"/>
      <c r="G501" s="248"/>
      <c r="H501" s="247"/>
      <c r="I501" s="249" t="s">
        <v>282</v>
      </c>
      <c r="J501" s="249" t="s">
        <v>21</v>
      </c>
      <c r="K501" s="249" t="s">
        <v>36</v>
      </c>
      <c r="L501" s="250">
        <f t="shared" si="30"/>
        <v>1</v>
      </c>
      <c r="M501" s="237">
        <f t="array" ref="M501">INDEX('BKTT T4.26'!$N$12:$N$55,MATCH(V501,'BKTT T4.26'!$A$12:$A$55,0),0)</f>
        <v>576331</v>
      </c>
      <c r="N501" s="162">
        <f t="shared" si="29"/>
        <v>576331</v>
      </c>
      <c r="O501" s="238" t="s">
        <v>264</v>
      </c>
      <c r="P501" s="251" t="s">
        <v>1448</v>
      </c>
      <c r="R501" s="191" t="str">
        <f t="shared" si="31"/>
        <v>Cước vận chuyển Container hàng 20' tuyến đường PAN HA - NHĐV. BKS: 15C17301</v>
      </c>
      <c r="S501" s="191" t="str">
        <f t="shared" si="32"/>
        <v xml:space="preserve"> hàng 20' </v>
      </c>
      <c r="V501" s="191">
        <v>11</v>
      </c>
    </row>
    <row r="502" spans="1:22" s="191" customFormat="1" ht="15">
      <c r="A502" s="236">
        <v>491</v>
      </c>
      <c r="B502" s="244">
        <v>46119</v>
      </c>
      <c r="C502" s="245" t="s">
        <v>261</v>
      </c>
      <c r="D502" s="246" t="s">
        <v>755</v>
      </c>
      <c r="E502" s="247"/>
      <c r="F502" s="247">
        <v>1</v>
      </c>
      <c r="G502" s="248"/>
      <c r="H502" s="247"/>
      <c r="I502" s="249" t="s">
        <v>282</v>
      </c>
      <c r="J502" s="249" t="s">
        <v>21</v>
      </c>
      <c r="K502" s="249" t="s">
        <v>37</v>
      </c>
      <c r="L502" s="250">
        <f t="shared" si="30"/>
        <v>1</v>
      </c>
      <c r="M502" s="237">
        <f t="array" ref="M502">INDEX('BKTT T4.26'!$N$12:$N$55,MATCH(V502,'BKTT T4.26'!$A$12:$A$55,0),0)</f>
        <v>602510</v>
      </c>
      <c r="N502" s="162">
        <f t="shared" si="29"/>
        <v>602510</v>
      </c>
      <c r="O502" s="238" t="s">
        <v>264</v>
      </c>
      <c r="P502" s="251" t="s">
        <v>1448</v>
      </c>
      <c r="R502" s="191" t="str">
        <f t="shared" si="31"/>
        <v>Cước vận chuyển Container hàng 40' tuyến đường PAN HA - NHĐV,. BKS: 15C17301</v>
      </c>
      <c r="S502" s="191" t="str">
        <f t="shared" si="32"/>
        <v xml:space="preserve"> hàng 40' </v>
      </c>
      <c r="V502" s="191">
        <v>12</v>
      </c>
    </row>
    <row r="503" spans="1:22" s="191" customFormat="1" ht="15">
      <c r="A503" s="236">
        <v>492</v>
      </c>
      <c r="B503" s="244">
        <v>46119</v>
      </c>
      <c r="C503" s="245" t="s">
        <v>261</v>
      </c>
      <c r="D503" s="246" t="s">
        <v>756</v>
      </c>
      <c r="E503" s="247"/>
      <c r="F503" s="247">
        <v>1</v>
      </c>
      <c r="G503" s="248"/>
      <c r="H503" s="247"/>
      <c r="I503" s="249" t="s">
        <v>282</v>
      </c>
      <c r="J503" s="249" t="s">
        <v>21</v>
      </c>
      <c r="K503" s="249" t="s">
        <v>25</v>
      </c>
      <c r="L503" s="250">
        <f t="shared" si="30"/>
        <v>1</v>
      </c>
      <c r="M503" s="237">
        <f t="array" ref="M503">INDEX('BKTT T4.26'!$N$12:$N$55,MATCH(V503,'BKTT T4.26'!$A$12:$A$55,0),0)</f>
        <v>681050</v>
      </c>
      <c r="N503" s="162">
        <f t="shared" si="29"/>
        <v>681050</v>
      </c>
      <c r="O503" s="238" t="s">
        <v>264</v>
      </c>
      <c r="P503" s="251" t="s">
        <v>1448</v>
      </c>
      <c r="R503" s="191" t="str">
        <f t="shared" si="31"/>
        <v>Cước vận chuyển Container hàng 40' tuyến đường PAN HA - HẢI AN,. BKS: 15C17301</v>
      </c>
      <c r="S503" s="191" t="str">
        <f t="shared" si="32"/>
        <v xml:space="preserve"> hàng 40' </v>
      </c>
      <c r="V503" s="191">
        <v>2</v>
      </c>
    </row>
    <row r="504" spans="1:22" s="191" customFormat="1" ht="15">
      <c r="A504" s="236">
        <v>493</v>
      </c>
      <c r="B504" s="244">
        <v>46118</v>
      </c>
      <c r="C504" s="245" t="s">
        <v>261</v>
      </c>
      <c r="D504" s="246" t="s">
        <v>757</v>
      </c>
      <c r="E504" s="247"/>
      <c r="F504" s="247"/>
      <c r="G504" s="248">
        <v>0.5</v>
      </c>
      <c r="H504" s="247"/>
      <c r="I504" s="249" t="s">
        <v>358</v>
      </c>
      <c r="J504" s="249" t="s">
        <v>21</v>
      </c>
      <c r="K504" s="249" t="s">
        <v>27</v>
      </c>
      <c r="L504" s="250">
        <f t="shared" si="30"/>
        <v>0.5</v>
      </c>
      <c r="M504" s="237">
        <f t="array" ref="M504">INDEX('BKTT T4.26'!$N$12:$N$55,MATCH(V504,'BKTT T4.26'!$A$12:$A$55,0),0)</f>
        <v>628690</v>
      </c>
      <c r="N504" s="162">
        <f t="shared" si="29"/>
        <v>314345</v>
      </c>
      <c r="O504" s="238" t="s">
        <v>264</v>
      </c>
      <c r="P504" s="251" t="s">
        <v>1448</v>
      </c>
      <c r="R504" s="191" t="str">
        <f t="shared" si="31"/>
        <v>Cước vận chuyển Container vỏ tuyến đường PAN HA - HẢI AN.. BKS: 15H18753</v>
      </c>
      <c r="S504" s="191" t="str">
        <f t="shared" si="32"/>
        <v xml:space="preserve"> vỏ </v>
      </c>
      <c r="V504" s="191">
        <v>3</v>
      </c>
    </row>
    <row r="505" spans="1:22" s="191" customFormat="1" ht="15">
      <c r="A505" s="236">
        <v>494</v>
      </c>
      <c r="B505" s="244">
        <v>46118</v>
      </c>
      <c r="C505" s="245" t="s">
        <v>261</v>
      </c>
      <c r="D505" s="246" t="s">
        <v>758</v>
      </c>
      <c r="E505" s="247"/>
      <c r="F505" s="247"/>
      <c r="G505" s="248">
        <v>0.5</v>
      </c>
      <c r="H505" s="247"/>
      <c r="I505" s="249" t="s">
        <v>358</v>
      </c>
      <c r="J505" s="249" t="s">
        <v>21</v>
      </c>
      <c r="K505" s="249" t="s">
        <v>27</v>
      </c>
      <c r="L505" s="250">
        <f t="shared" si="30"/>
        <v>0.5</v>
      </c>
      <c r="M505" s="237">
        <f t="array" ref="M505">INDEX('BKTT T4.26'!$N$12:$N$55,MATCH(V505,'BKTT T4.26'!$A$12:$A$55,0),0)</f>
        <v>628690</v>
      </c>
      <c r="N505" s="162">
        <f t="shared" si="29"/>
        <v>314345</v>
      </c>
      <c r="O505" s="238" t="s">
        <v>264</v>
      </c>
      <c r="P505" s="251" t="s">
        <v>1448</v>
      </c>
      <c r="R505" s="191" t="str">
        <f t="shared" si="31"/>
        <v>Cước vận chuyển Container vỏ tuyến đường PAN HA - HẢI AN.. BKS: 15H18753</v>
      </c>
      <c r="S505" s="191" t="str">
        <f t="shared" si="32"/>
        <v xml:space="preserve"> vỏ </v>
      </c>
      <c r="V505" s="191">
        <v>3</v>
      </c>
    </row>
    <row r="506" spans="1:22" s="191" customFormat="1" ht="15">
      <c r="A506" s="236">
        <v>495</v>
      </c>
      <c r="B506" s="244">
        <v>46119</v>
      </c>
      <c r="C506" s="245" t="s">
        <v>261</v>
      </c>
      <c r="D506" s="246" t="s">
        <v>759</v>
      </c>
      <c r="E506" s="247"/>
      <c r="F506" s="247"/>
      <c r="G506" s="248"/>
      <c r="H506" s="247">
        <v>1</v>
      </c>
      <c r="I506" s="249" t="s">
        <v>358</v>
      </c>
      <c r="J506" s="249" t="s">
        <v>21</v>
      </c>
      <c r="K506" s="249" t="s">
        <v>27</v>
      </c>
      <c r="L506" s="250">
        <f t="shared" si="30"/>
        <v>1</v>
      </c>
      <c r="M506" s="237">
        <f t="array" ref="M506">INDEX('BKTT T4.26'!$N$12:$N$55,MATCH(V506,'BKTT T4.26'!$A$12:$A$55,0),0)</f>
        <v>628690</v>
      </c>
      <c r="N506" s="162">
        <f t="shared" si="29"/>
        <v>628690</v>
      </c>
      <c r="O506" s="238" t="s">
        <v>264</v>
      </c>
      <c r="P506" s="251" t="s">
        <v>1448</v>
      </c>
      <c r="R506" s="191" t="str">
        <f t="shared" si="31"/>
        <v>Cước vận chuyển Container vỏ tuyến đường PAN HA - HẢI AN.. BKS: 15H18753</v>
      </c>
      <c r="S506" s="191" t="str">
        <f t="shared" si="32"/>
        <v xml:space="preserve"> vỏ </v>
      </c>
      <c r="V506" s="191">
        <v>3</v>
      </c>
    </row>
    <row r="507" spans="1:22" s="191" customFormat="1" ht="15">
      <c r="A507" s="236">
        <v>496</v>
      </c>
      <c r="B507" s="244">
        <v>46119</v>
      </c>
      <c r="C507" s="245" t="s">
        <v>261</v>
      </c>
      <c r="D507" s="246" t="s">
        <v>760</v>
      </c>
      <c r="E507" s="247"/>
      <c r="F507" s="247"/>
      <c r="G507" s="248"/>
      <c r="H507" s="247">
        <v>1</v>
      </c>
      <c r="I507" s="249" t="s">
        <v>358</v>
      </c>
      <c r="J507" s="249" t="s">
        <v>21</v>
      </c>
      <c r="K507" s="249" t="s">
        <v>27</v>
      </c>
      <c r="L507" s="250">
        <f t="shared" si="30"/>
        <v>1</v>
      </c>
      <c r="M507" s="237">
        <f t="array" ref="M507">INDEX('BKTT T4.26'!$N$12:$N$55,MATCH(V507,'BKTT T4.26'!$A$12:$A$55,0),0)</f>
        <v>628690</v>
      </c>
      <c r="N507" s="162">
        <f t="shared" si="29"/>
        <v>628690</v>
      </c>
      <c r="O507" s="238" t="s">
        <v>264</v>
      </c>
      <c r="P507" s="251" t="s">
        <v>1448</v>
      </c>
      <c r="R507" s="191" t="str">
        <f t="shared" si="31"/>
        <v>Cước vận chuyển Container vỏ tuyến đường PAN HA - HẢI AN.. BKS: 15H18753</v>
      </c>
      <c r="S507" s="191" t="str">
        <f t="shared" si="32"/>
        <v xml:space="preserve"> vỏ </v>
      </c>
      <c r="V507" s="191">
        <v>3</v>
      </c>
    </row>
    <row r="508" spans="1:22" s="191" customFormat="1" ht="15">
      <c r="A508" s="236">
        <v>497</v>
      </c>
      <c r="B508" s="244">
        <v>46119</v>
      </c>
      <c r="C508" s="245" t="s">
        <v>261</v>
      </c>
      <c r="D508" s="246" t="s">
        <v>761</v>
      </c>
      <c r="E508" s="247"/>
      <c r="F508" s="247"/>
      <c r="G508" s="248"/>
      <c r="H508" s="247">
        <v>1</v>
      </c>
      <c r="I508" s="249" t="s">
        <v>358</v>
      </c>
      <c r="J508" s="249" t="s">
        <v>21</v>
      </c>
      <c r="K508" s="249" t="s">
        <v>27</v>
      </c>
      <c r="L508" s="250">
        <f t="shared" si="30"/>
        <v>1</v>
      </c>
      <c r="M508" s="237">
        <f t="array" ref="M508">INDEX('BKTT T4.26'!$N$12:$N$55,MATCH(V508,'BKTT T4.26'!$A$12:$A$55,0),0)</f>
        <v>628690</v>
      </c>
      <c r="N508" s="162">
        <f t="shared" si="29"/>
        <v>628690</v>
      </c>
      <c r="O508" s="238" t="s">
        <v>264</v>
      </c>
      <c r="P508" s="251" t="s">
        <v>1448</v>
      </c>
      <c r="R508" s="191" t="str">
        <f t="shared" si="31"/>
        <v>Cước vận chuyển Container vỏ tuyến đường PAN HA - HẢI AN.. BKS: 15H18753</v>
      </c>
      <c r="S508" s="191" t="str">
        <f t="shared" si="32"/>
        <v xml:space="preserve"> vỏ </v>
      </c>
      <c r="V508" s="191">
        <v>3</v>
      </c>
    </row>
    <row r="509" spans="1:22" s="191" customFormat="1" ht="15">
      <c r="A509" s="236">
        <v>498</v>
      </c>
      <c r="B509" s="244">
        <v>46100</v>
      </c>
      <c r="C509" s="245" t="s">
        <v>261</v>
      </c>
      <c r="D509" s="284" t="s">
        <v>762</v>
      </c>
      <c r="E509" s="247">
        <v>1</v>
      </c>
      <c r="F509" s="247"/>
      <c r="G509" s="248"/>
      <c r="H509" s="247"/>
      <c r="I509" s="249" t="s">
        <v>263</v>
      </c>
      <c r="J509" s="249" t="s">
        <v>21</v>
      </c>
      <c r="K509" s="249" t="s">
        <v>22</v>
      </c>
      <c r="L509" s="250">
        <f t="shared" si="30"/>
        <v>1</v>
      </c>
      <c r="M509" s="237">
        <f t="array" ref="M509">INDEX('BKTT T4.26'!$N$12:$N$55,MATCH(V509,'BKTT T4.26'!$A$12:$A$55,0),0)</f>
        <v>654871</v>
      </c>
      <c r="N509" s="162">
        <f t="shared" si="29"/>
        <v>654871</v>
      </c>
      <c r="O509" s="238" t="s">
        <v>264</v>
      </c>
      <c r="P509" s="251" t="s">
        <v>1448</v>
      </c>
      <c r="R509" s="191" t="str">
        <f t="shared" si="31"/>
        <v>Cước vận chuyển Container hàng 20' tuyến đường PAN HA - HẢI AN. BKS: 15C17442</v>
      </c>
      <c r="S509" s="191" t="str">
        <f t="shared" si="32"/>
        <v xml:space="preserve"> hàng 20' </v>
      </c>
      <c r="V509" s="191">
        <v>1</v>
      </c>
    </row>
    <row r="510" spans="1:22" s="191" customFormat="1" ht="15">
      <c r="A510" s="236">
        <v>499</v>
      </c>
      <c r="B510" s="244">
        <v>46100</v>
      </c>
      <c r="C510" s="245" t="s">
        <v>261</v>
      </c>
      <c r="D510" s="284" t="s">
        <v>763</v>
      </c>
      <c r="E510" s="247">
        <v>1</v>
      </c>
      <c r="F510" s="247"/>
      <c r="G510" s="248"/>
      <c r="H510" s="247"/>
      <c r="I510" s="249" t="s">
        <v>263</v>
      </c>
      <c r="J510" s="249" t="s">
        <v>21</v>
      </c>
      <c r="K510" s="249" t="s">
        <v>22</v>
      </c>
      <c r="L510" s="250">
        <f t="shared" si="30"/>
        <v>1</v>
      </c>
      <c r="M510" s="237">
        <f t="array" ref="M510">INDEX('BKTT T4.26'!$N$12:$N$55,MATCH(V510,'BKTT T4.26'!$A$12:$A$55,0),0)</f>
        <v>654871</v>
      </c>
      <c r="N510" s="162">
        <f t="shared" si="29"/>
        <v>654871</v>
      </c>
      <c r="O510" s="238" t="s">
        <v>264</v>
      </c>
      <c r="P510" s="251" t="s">
        <v>1448</v>
      </c>
      <c r="R510" s="191" t="str">
        <f t="shared" si="31"/>
        <v>Cước vận chuyển Container hàng 20' tuyến đường PAN HA - HẢI AN. BKS: 15C17442</v>
      </c>
      <c r="S510" s="191" t="str">
        <f t="shared" si="32"/>
        <v xml:space="preserve"> hàng 20' </v>
      </c>
      <c r="V510" s="191">
        <v>1</v>
      </c>
    </row>
    <row r="511" spans="1:22" s="191" customFormat="1" ht="15">
      <c r="A511" s="236">
        <v>500</v>
      </c>
      <c r="B511" s="244">
        <v>46100</v>
      </c>
      <c r="C511" s="245" t="s">
        <v>261</v>
      </c>
      <c r="D511" s="284" t="s">
        <v>764</v>
      </c>
      <c r="E511" s="247"/>
      <c r="F511" s="247"/>
      <c r="G511" s="248">
        <v>0.5</v>
      </c>
      <c r="H511" s="247"/>
      <c r="I511" s="249" t="s">
        <v>263</v>
      </c>
      <c r="J511" s="249" t="s">
        <v>21</v>
      </c>
      <c r="K511" s="249" t="s">
        <v>27</v>
      </c>
      <c r="L511" s="250">
        <f t="shared" si="30"/>
        <v>0.5</v>
      </c>
      <c r="M511" s="237">
        <f t="array" ref="M511">INDEX('BKTT T4.26'!$N$12:$N$55,MATCH(V511,'BKTT T4.26'!$A$12:$A$55,0),0)</f>
        <v>628690</v>
      </c>
      <c r="N511" s="162">
        <f t="shared" si="29"/>
        <v>314345</v>
      </c>
      <c r="O511" s="238" t="s">
        <v>264</v>
      </c>
      <c r="P511" s="251" t="s">
        <v>1448</v>
      </c>
      <c r="R511" s="191" t="str">
        <f t="shared" si="31"/>
        <v>Cước vận chuyển Container vỏ tuyến đường PAN HA - HẢI AN.. BKS: 15C17442</v>
      </c>
      <c r="S511" s="191" t="str">
        <f t="shared" si="32"/>
        <v xml:space="preserve"> vỏ </v>
      </c>
      <c r="V511" s="191">
        <v>3</v>
      </c>
    </row>
    <row r="512" spans="1:22" s="191" customFormat="1" ht="15">
      <c r="A512" s="236">
        <v>501</v>
      </c>
      <c r="B512" s="244">
        <v>46100</v>
      </c>
      <c r="C512" s="245" t="s">
        <v>261</v>
      </c>
      <c r="D512" s="284" t="s">
        <v>765</v>
      </c>
      <c r="E512" s="247"/>
      <c r="F512" s="247"/>
      <c r="G512" s="248">
        <v>0.5</v>
      </c>
      <c r="H512" s="247"/>
      <c r="I512" s="249" t="s">
        <v>263</v>
      </c>
      <c r="J512" s="249" t="s">
        <v>21</v>
      </c>
      <c r="K512" s="249" t="s">
        <v>27</v>
      </c>
      <c r="L512" s="250">
        <f t="shared" si="30"/>
        <v>0.5</v>
      </c>
      <c r="M512" s="237">
        <f t="array" ref="M512">INDEX('BKTT T4.26'!$N$12:$N$55,MATCH(V512,'BKTT T4.26'!$A$12:$A$55,0),0)</f>
        <v>628690</v>
      </c>
      <c r="N512" s="162">
        <f t="shared" si="29"/>
        <v>314345</v>
      </c>
      <c r="O512" s="238" t="s">
        <v>264</v>
      </c>
      <c r="P512" s="251" t="s">
        <v>1448</v>
      </c>
      <c r="R512" s="191" t="str">
        <f t="shared" si="31"/>
        <v>Cước vận chuyển Container vỏ tuyến đường PAN HA - HẢI AN.. BKS: 15C17442</v>
      </c>
      <c r="S512" s="191" t="str">
        <f t="shared" si="32"/>
        <v xml:space="preserve"> vỏ </v>
      </c>
      <c r="V512" s="191">
        <v>3</v>
      </c>
    </row>
    <row r="513" spans="1:22" s="191" customFormat="1" ht="15">
      <c r="A513" s="236">
        <v>502</v>
      </c>
      <c r="B513" s="244">
        <v>46100</v>
      </c>
      <c r="C513" s="245" t="s">
        <v>261</v>
      </c>
      <c r="D513" s="284" t="s">
        <v>766</v>
      </c>
      <c r="E513" s="247"/>
      <c r="F513" s="247"/>
      <c r="G513" s="248">
        <v>0.5</v>
      </c>
      <c r="H513" s="247"/>
      <c r="I513" s="249" t="s">
        <v>263</v>
      </c>
      <c r="J513" s="249" t="s">
        <v>21</v>
      </c>
      <c r="K513" s="249" t="s">
        <v>27</v>
      </c>
      <c r="L513" s="250">
        <f t="shared" si="30"/>
        <v>0.5</v>
      </c>
      <c r="M513" s="237">
        <f t="array" ref="M513">INDEX('BKTT T4.26'!$N$12:$N$55,MATCH(V513,'BKTT T4.26'!$A$12:$A$55,0),0)</f>
        <v>628690</v>
      </c>
      <c r="N513" s="162">
        <f t="shared" si="29"/>
        <v>314345</v>
      </c>
      <c r="O513" s="238" t="s">
        <v>264</v>
      </c>
      <c r="P513" s="251" t="s">
        <v>1448</v>
      </c>
      <c r="R513" s="191" t="str">
        <f t="shared" si="31"/>
        <v>Cước vận chuyển Container vỏ tuyến đường PAN HA - HẢI AN.. BKS: 15C17442</v>
      </c>
      <c r="S513" s="191" t="str">
        <f t="shared" si="32"/>
        <v xml:space="preserve"> vỏ </v>
      </c>
      <c r="V513" s="191">
        <v>3</v>
      </c>
    </row>
    <row r="514" spans="1:22" s="191" customFormat="1" ht="15">
      <c r="A514" s="236">
        <v>503</v>
      </c>
      <c r="B514" s="244">
        <v>46100</v>
      </c>
      <c r="C514" s="245" t="s">
        <v>261</v>
      </c>
      <c r="D514" s="284" t="s">
        <v>767</v>
      </c>
      <c r="E514" s="247"/>
      <c r="F514" s="247"/>
      <c r="G514" s="248">
        <v>0.5</v>
      </c>
      <c r="H514" s="247"/>
      <c r="I514" s="249" t="s">
        <v>263</v>
      </c>
      <c r="J514" s="249" t="s">
        <v>21</v>
      </c>
      <c r="K514" s="249" t="s">
        <v>27</v>
      </c>
      <c r="L514" s="250">
        <f t="shared" si="30"/>
        <v>0.5</v>
      </c>
      <c r="M514" s="237">
        <f t="array" ref="M514">INDEX('BKTT T4.26'!$N$12:$N$55,MATCH(V514,'BKTT T4.26'!$A$12:$A$55,0),0)</f>
        <v>628690</v>
      </c>
      <c r="N514" s="162">
        <f t="shared" si="29"/>
        <v>314345</v>
      </c>
      <c r="O514" s="238" t="s">
        <v>264</v>
      </c>
      <c r="P514" s="251" t="s">
        <v>1448</v>
      </c>
      <c r="R514" s="191" t="str">
        <f t="shared" si="31"/>
        <v>Cước vận chuyển Container vỏ tuyến đường PAN HA - HẢI AN.. BKS: 15C17442</v>
      </c>
      <c r="S514" s="191" t="str">
        <f t="shared" si="32"/>
        <v xml:space="preserve"> vỏ </v>
      </c>
      <c r="V514" s="191">
        <v>3</v>
      </c>
    </row>
    <row r="515" spans="1:22" s="191" customFormat="1" ht="15">
      <c r="A515" s="236">
        <v>504</v>
      </c>
      <c r="B515" s="244">
        <v>46100</v>
      </c>
      <c r="C515" s="245" t="s">
        <v>261</v>
      </c>
      <c r="D515" s="284" t="s">
        <v>768</v>
      </c>
      <c r="E515" s="247"/>
      <c r="F515" s="247"/>
      <c r="G515" s="248">
        <v>0.5</v>
      </c>
      <c r="H515" s="247"/>
      <c r="I515" s="249" t="s">
        <v>263</v>
      </c>
      <c r="J515" s="249" t="s">
        <v>21</v>
      </c>
      <c r="K515" s="249" t="s">
        <v>27</v>
      </c>
      <c r="L515" s="250">
        <f t="shared" si="30"/>
        <v>0.5</v>
      </c>
      <c r="M515" s="237">
        <f t="array" ref="M515">INDEX('BKTT T4.26'!$N$12:$N$55,MATCH(V515,'BKTT T4.26'!$A$12:$A$55,0),0)</f>
        <v>628690</v>
      </c>
      <c r="N515" s="162">
        <f t="shared" si="29"/>
        <v>314345</v>
      </c>
      <c r="O515" s="238" t="s">
        <v>264</v>
      </c>
      <c r="P515" s="251" t="s">
        <v>1448</v>
      </c>
      <c r="R515" s="191" t="str">
        <f t="shared" si="31"/>
        <v>Cước vận chuyển Container vỏ tuyến đường PAN HA - HẢI AN.. BKS: 15C17442</v>
      </c>
      <c r="S515" s="191" t="str">
        <f t="shared" si="32"/>
        <v xml:space="preserve"> vỏ </v>
      </c>
      <c r="V515" s="191">
        <v>3</v>
      </c>
    </row>
    <row r="516" spans="1:22" s="191" customFormat="1" ht="15">
      <c r="A516" s="236">
        <v>505</v>
      </c>
      <c r="B516" s="244">
        <v>46100</v>
      </c>
      <c r="C516" s="245" t="s">
        <v>261</v>
      </c>
      <c r="D516" s="284" t="s">
        <v>769</v>
      </c>
      <c r="E516" s="247"/>
      <c r="F516" s="247"/>
      <c r="G516" s="248">
        <v>0.5</v>
      </c>
      <c r="H516" s="247"/>
      <c r="I516" s="249" t="s">
        <v>263</v>
      </c>
      <c r="J516" s="249" t="s">
        <v>21</v>
      </c>
      <c r="K516" s="249" t="s">
        <v>27</v>
      </c>
      <c r="L516" s="250">
        <f t="shared" si="30"/>
        <v>0.5</v>
      </c>
      <c r="M516" s="237">
        <f t="array" ref="M516">INDEX('BKTT T4.26'!$N$12:$N$55,MATCH(V516,'BKTT T4.26'!$A$12:$A$55,0),0)</f>
        <v>628690</v>
      </c>
      <c r="N516" s="162">
        <f t="shared" si="29"/>
        <v>314345</v>
      </c>
      <c r="O516" s="238" t="s">
        <v>264</v>
      </c>
      <c r="P516" s="251" t="s">
        <v>1448</v>
      </c>
      <c r="R516" s="191" t="str">
        <f t="shared" si="31"/>
        <v>Cước vận chuyển Container vỏ tuyến đường PAN HA - HẢI AN.. BKS: 15C17442</v>
      </c>
      <c r="S516" s="191" t="str">
        <f t="shared" si="32"/>
        <v xml:space="preserve"> vỏ </v>
      </c>
      <c r="V516" s="191">
        <v>3</v>
      </c>
    </row>
    <row r="517" spans="1:22" s="191" customFormat="1" ht="15">
      <c r="A517" s="236">
        <v>506</v>
      </c>
      <c r="B517" s="244">
        <v>46100</v>
      </c>
      <c r="C517" s="245" t="s">
        <v>261</v>
      </c>
      <c r="D517" s="284" t="s">
        <v>770</v>
      </c>
      <c r="E517" s="247"/>
      <c r="F517" s="247">
        <v>1</v>
      </c>
      <c r="G517" s="248"/>
      <c r="H517" s="247"/>
      <c r="I517" s="249" t="s">
        <v>263</v>
      </c>
      <c r="J517" s="249" t="s">
        <v>21</v>
      </c>
      <c r="K517" s="249" t="s">
        <v>25</v>
      </c>
      <c r="L517" s="250">
        <f t="shared" si="30"/>
        <v>1</v>
      </c>
      <c r="M517" s="237">
        <f t="array" ref="M517">INDEX('BKTT T4.26'!$N$12:$N$55,MATCH(V517,'BKTT T4.26'!$A$12:$A$55,0),0)</f>
        <v>681050</v>
      </c>
      <c r="N517" s="162">
        <f t="shared" ref="N517:N580" si="33">L517*M517</f>
        <v>681050</v>
      </c>
      <c r="O517" s="238" t="s">
        <v>264</v>
      </c>
      <c r="P517" s="251" t="s">
        <v>1448</v>
      </c>
      <c r="R517" s="191" t="str">
        <f t="shared" si="31"/>
        <v>Cước vận chuyển Container hàng 40' tuyến đường PAN HA - HẢI AN,. BKS: 15C17442</v>
      </c>
      <c r="S517" s="191" t="str">
        <f t="shared" si="32"/>
        <v xml:space="preserve"> hàng 40' </v>
      </c>
      <c r="V517" s="191">
        <v>2</v>
      </c>
    </row>
    <row r="518" spans="1:22" s="191" customFormat="1" ht="15">
      <c r="A518" s="236">
        <v>507</v>
      </c>
      <c r="B518" s="244">
        <v>46100</v>
      </c>
      <c r="C518" s="245" t="s">
        <v>261</v>
      </c>
      <c r="D518" s="284" t="s">
        <v>771</v>
      </c>
      <c r="E518" s="247"/>
      <c r="F518" s="247">
        <v>1</v>
      </c>
      <c r="G518" s="252"/>
      <c r="H518" s="247"/>
      <c r="I518" s="249" t="s">
        <v>263</v>
      </c>
      <c r="J518" s="249" t="s">
        <v>21</v>
      </c>
      <c r="K518" s="249" t="s">
        <v>25</v>
      </c>
      <c r="L518" s="250">
        <f t="shared" si="30"/>
        <v>1</v>
      </c>
      <c r="M518" s="237">
        <f t="array" ref="M518">INDEX('BKTT T4.26'!$N$12:$N$55,MATCH(V518,'BKTT T4.26'!$A$12:$A$55,0),0)</f>
        <v>681050</v>
      </c>
      <c r="N518" s="162">
        <f t="shared" si="33"/>
        <v>681050</v>
      </c>
      <c r="O518" s="238" t="s">
        <v>264</v>
      </c>
      <c r="P518" s="251" t="s">
        <v>1448</v>
      </c>
      <c r="R518" s="191" t="str">
        <f t="shared" si="31"/>
        <v>Cước vận chuyển Container hàng 40' tuyến đường PAN HA - HẢI AN,. BKS: 15C17442</v>
      </c>
      <c r="S518" s="191" t="str">
        <f t="shared" si="32"/>
        <v xml:space="preserve"> hàng 40' </v>
      </c>
      <c r="V518" s="191">
        <v>2</v>
      </c>
    </row>
    <row r="519" spans="1:22" s="191" customFormat="1" ht="15">
      <c r="A519" s="236">
        <v>508</v>
      </c>
      <c r="B519" s="244">
        <v>46118</v>
      </c>
      <c r="C519" s="245" t="s">
        <v>261</v>
      </c>
      <c r="D519" s="246" t="s">
        <v>772</v>
      </c>
      <c r="E519" s="247">
        <v>1</v>
      </c>
      <c r="F519" s="247"/>
      <c r="G519" s="252"/>
      <c r="H519" s="247"/>
      <c r="I519" s="249" t="s">
        <v>272</v>
      </c>
      <c r="J519" s="249" t="s">
        <v>21</v>
      </c>
      <c r="K519" s="249" t="s">
        <v>22</v>
      </c>
      <c r="L519" s="250">
        <f t="shared" si="30"/>
        <v>1</v>
      </c>
      <c r="M519" s="237">
        <f t="array" ref="M519">INDEX('BKTT T4.26'!$N$12:$N$55,MATCH(V519,'BKTT T4.26'!$A$12:$A$55,0),0)</f>
        <v>654871</v>
      </c>
      <c r="N519" s="162">
        <f t="shared" si="33"/>
        <v>654871</v>
      </c>
      <c r="O519" s="238" t="s">
        <v>264</v>
      </c>
      <c r="P519" s="251" t="s">
        <v>1448</v>
      </c>
      <c r="R519" s="191" t="str">
        <f t="shared" si="31"/>
        <v>Cước vận chuyển Container hàng 20' tuyến đường PAN HA - HẢI AN. BKS: 15H07788</v>
      </c>
      <c r="S519" s="191" t="str">
        <f t="shared" si="32"/>
        <v xml:space="preserve"> hàng 20' </v>
      </c>
      <c r="V519" s="191">
        <v>1</v>
      </c>
    </row>
    <row r="520" spans="1:22" s="191" customFormat="1" ht="15">
      <c r="A520" s="236">
        <v>509</v>
      </c>
      <c r="B520" s="244">
        <v>46118</v>
      </c>
      <c r="C520" s="245" t="s">
        <v>261</v>
      </c>
      <c r="D520" s="246" t="s">
        <v>773</v>
      </c>
      <c r="E520" s="247">
        <v>1</v>
      </c>
      <c r="F520" s="247"/>
      <c r="G520" s="252"/>
      <c r="H520" s="247"/>
      <c r="I520" s="249" t="s">
        <v>272</v>
      </c>
      <c r="J520" s="249" t="s">
        <v>21</v>
      </c>
      <c r="K520" s="249" t="s">
        <v>22</v>
      </c>
      <c r="L520" s="250">
        <f t="shared" si="30"/>
        <v>1</v>
      </c>
      <c r="M520" s="237">
        <f t="array" ref="M520">INDEX('BKTT T4.26'!$N$12:$N$55,MATCH(V520,'BKTT T4.26'!$A$12:$A$55,0),0)</f>
        <v>654871</v>
      </c>
      <c r="N520" s="162">
        <f t="shared" si="33"/>
        <v>654871</v>
      </c>
      <c r="O520" s="238" t="s">
        <v>264</v>
      </c>
      <c r="P520" s="251" t="s">
        <v>1448</v>
      </c>
      <c r="R520" s="191" t="str">
        <f t="shared" si="31"/>
        <v>Cước vận chuyển Container hàng 20' tuyến đường PAN HA - HẢI AN. BKS: 15H07788</v>
      </c>
      <c r="S520" s="191" t="str">
        <f t="shared" si="32"/>
        <v xml:space="preserve"> hàng 20' </v>
      </c>
      <c r="V520" s="191">
        <v>1</v>
      </c>
    </row>
    <row r="521" spans="1:22" s="191" customFormat="1" ht="15">
      <c r="A521" s="236">
        <v>510</v>
      </c>
      <c r="B521" s="244">
        <v>46118</v>
      </c>
      <c r="C521" s="245" t="s">
        <v>261</v>
      </c>
      <c r="D521" s="246" t="s">
        <v>774</v>
      </c>
      <c r="E521" s="247">
        <v>1</v>
      </c>
      <c r="F521" s="247"/>
      <c r="G521" s="252"/>
      <c r="H521" s="247"/>
      <c r="I521" s="249" t="s">
        <v>272</v>
      </c>
      <c r="J521" s="249" t="s">
        <v>21</v>
      </c>
      <c r="K521" s="249" t="s">
        <v>22</v>
      </c>
      <c r="L521" s="250">
        <f t="shared" ref="L521:L584" si="34">E521+F521+G521+H521</f>
        <v>1</v>
      </c>
      <c r="M521" s="237">
        <f t="array" ref="M521">INDEX('BKTT T4.26'!$N$12:$N$55,MATCH(V521,'BKTT T4.26'!$A$12:$A$55,0),0)</f>
        <v>654871</v>
      </c>
      <c r="N521" s="162">
        <f t="shared" si="33"/>
        <v>654871</v>
      </c>
      <c r="O521" s="238" t="s">
        <v>264</v>
      </c>
      <c r="P521" s="251" t="s">
        <v>1448</v>
      </c>
      <c r="R521" s="191" t="str">
        <f t="shared" ref="R521:R584" si="35">$R$10&amp;S521&amp;$R$9&amp;J521&amp;$S$10&amp;K521&amp;$R$8&amp;I521</f>
        <v>Cước vận chuyển Container hàng 20' tuyến đường PAN HA - HẢI AN. BKS: 15H07788</v>
      </c>
      <c r="S521" s="191" t="str">
        <f t="shared" ref="S521:S584" si="36">IF(E521=1," hàng 20' ",IF(F521=1," hàng 40' "," vỏ "))</f>
        <v xml:space="preserve"> hàng 20' </v>
      </c>
      <c r="V521" s="191">
        <v>1</v>
      </c>
    </row>
    <row r="522" spans="1:22" s="191" customFormat="1" ht="15">
      <c r="A522" s="236">
        <v>511</v>
      </c>
      <c r="B522" s="244">
        <v>46118</v>
      </c>
      <c r="C522" s="245" t="s">
        <v>261</v>
      </c>
      <c r="D522" s="246" t="s">
        <v>775</v>
      </c>
      <c r="E522" s="247">
        <v>1</v>
      </c>
      <c r="F522" s="247"/>
      <c r="G522" s="252"/>
      <c r="H522" s="247"/>
      <c r="I522" s="249" t="s">
        <v>272</v>
      </c>
      <c r="J522" s="249" t="s">
        <v>21</v>
      </c>
      <c r="K522" s="249" t="s">
        <v>22</v>
      </c>
      <c r="L522" s="250">
        <f t="shared" si="34"/>
        <v>1</v>
      </c>
      <c r="M522" s="237">
        <f t="array" ref="M522">INDEX('BKTT T4.26'!$N$12:$N$55,MATCH(V522,'BKTT T4.26'!$A$12:$A$55,0),0)</f>
        <v>654871</v>
      </c>
      <c r="N522" s="162">
        <f t="shared" si="33"/>
        <v>654871</v>
      </c>
      <c r="O522" s="238" t="s">
        <v>264</v>
      </c>
      <c r="P522" s="251" t="s">
        <v>1448</v>
      </c>
      <c r="R522" s="191" t="str">
        <f t="shared" si="35"/>
        <v>Cước vận chuyển Container hàng 20' tuyến đường PAN HA - HẢI AN. BKS: 15H07788</v>
      </c>
      <c r="S522" s="191" t="str">
        <f t="shared" si="36"/>
        <v xml:space="preserve"> hàng 20' </v>
      </c>
      <c r="V522" s="191">
        <v>1</v>
      </c>
    </row>
    <row r="523" spans="1:22" s="191" customFormat="1" ht="15">
      <c r="A523" s="236">
        <v>512</v>
      </c>
      <c r="B523" s="244">
        <v>46118</v>
      </c>
      <c r="C523" s="245" t="s">
        <v>261</v>
      </c>
      <c r="D523" s="246" t="s">
        <v>776</v>
      </c>
      <c r="E523" s="247"/>
      <c r="F523" s="247"/>
      <c r="G523" s="252"/>
      <c r="H523" s="247">
        <v>1</v>
      </c>
      <c r="I523" s="249" t="s">
        <v>272</v>
      </c>
      <c r="J523" s="249" t="s">
        <v>21</v>
      </c>
      <c r="K523" s="249" t="s">
        <v>27</v>
      </c>
      <c r="L523" s="250">
        <f t="shared" si="34"/>
        <v>1</v>
      </c>
      <c r="M523" s="237">
        <f t="array" ref="M523">INDEX('BKTT T4.26'!$N$12:$N$55,MATCH(V523,'BKTT T4.26'!$A$12:$A$55,0),0)</f>
        <v>628690</v>
      </c>
      <c r="N523" s="162">
        <f t="shared" si="33"/>
        <v>628690</v>
      </c>
      <c r="O523" s="238" t="s">
        <v>264</v>
      </c>
      <c r="P523" s="251" t="s">
        <v>1448</v>
      </c>
      <c r="R523" s="191" t="str">
        <f t="shared" si="35"/>
        <v>Cước vận chuyển Container vỏ tuyến đường PAN HA - HẢI AN.. BKS: 15H07788</v>
      </c>
      <c r="S523" s="191" t="str">
        <f t="shared" si="36"/>
        <v xml:space="preserve"> vỏ </v>
      </c>
      <c r="V523" s="191">
        <v>3</v>
      </c>
    </row>
    <row r="524" spans="1:22" s="191" customFormat="1" ht="15">
      <c r="A524" s="236">
        <v>513</v>
      </c>
      <c r="B524" s="244">
        <v>46118</v>
      </c>
      <c r="C524" s="245" t="s">
        <v>261</v>
      </c>
      <c r="D524" s="246" t="s">
        <v>777</v>
      </c>
      <c r="E524" s="247"/>
      <c r="F524" s="247"/>
      <c r="G524" s="252"/>
      <c r="H524" s="247">
        <v>1</v>
      </c>
      <c r="I524" s="249" t="s">
        <v>272</v>
      </c>
      <c r="J524" s="249" t="s">
        <v>21</v>
      </c>
      <c r="K524" s="249" t="s">
        <v>27</v>
      </c>
      <c r="L524" s="250">
        <f t="shared" si="34"/>
        <v>1</v>
      </c>
      <c r="M524" s="237">
        <f t="array" ref="M524">INDEX('BKTT T4.26'!$N$12:$N$55,MATCH(V524,'BKTT T4.26'!$A$12:$A$55,0),0)</f>
        <v>628690</v>
      </c>
      <c r="N524" s="162">
        <f t="shared" si="33"/>
        <v>628690</v>
      </c>
      <c r="O524" s="238" t="s">
        <v>264</v>
      </c>
      <c r="P524" s="251" t="s">
        <v>1448</v>
      </c>
      <c r="R524" s="191" t="str">
        <f t="shared" si="35"/>
        <v>Cước vận chuyển Container vỏ tuyến đường PAN HA - HẢI AN.. BKS: 15H07788</v>
      </c>
      <c r="S524" s="191" t="str">
        <f t="shared" si="36"/>
        <v xml:space="preserve"> vỏ </v>
      </c>
      <c r="V524" s="191">
        <v>3</v>
      </c>
    </row>
    <row r="525" spans="1:22" s="191" customFormat="1" ht="15">
      <c r="A525" s="236">
        <v>514</v>
      </c>
      <c r="B525" s="244">
        <v>46118</v>
      </c>
      <c r="C525" s="245" t="s">
        <v>261</v>
      </c>
      <c r="D525" s="246" t="s">
        <v>778</v>
      </c>
      <c r="E525" s="247">
        <v>1</v>
      </c>
      <c r="F525" s="247"/>
      <c r="G525" s="252"/>
      <c r="H525" s="247"/>
      <c r="I525" s="249" t="s">
        <v>272</v>
      </c>
      <c r="J525" s="249" t="s">
        <v>21</v>
      </c>
      <c r="K525" s="249" t="s">
        <v>36</v>
      </c>
      <c r="L525" s="250">
        <f t="shared" si="34"/>
        <v>1</v>
      </c>
      <c r="M525" s="237">
        <f t="array" ref="M525">INDEX('BKTT T4.26'!$N$12:$N$55,MATCH(V525,'BKTT T4.26'!$A$12:$A$55,0),0)</f>
        <v>576331</v>
      </c>
      <c r="N525" s="162">
        <f t="shared" si="33"/>
        <v>576331</v>
      </c>
      <c r="O525" s="238" t="s">
        <v>264</v>
      </c>
      <c r="P525" s="251" t="s">
        <v>1448</v>
      </c>
      <c r="R525" s="191" t="str">
        <f t="shared" si="35"/>
        <v>Cước vận chuyển Container hàng 20' tuyến đường PAN HA - NHĐV. BKS: 15H07788</v>
      </c>
      <c r="S525" s="191" t="str">
        <f t="shared" si="36"/>
        <v xml:space="preserve"> hàng 20' </v>
      </c>
      <c r="V525" s="191">
        <v>11</v>
      </c>
    </row>
    <row r="526" spans="1:22" s="191" customFormat="1" ht="15">
      <c r="A526" s="236">
        <v>515</v>
      </c>
      <c r="B526" s="244">
        <v>46118</v>
      </c>
      <c r="C526" s="245" t="s">
        <v>261</v>
      </c>
      <c r="D526" s="246" t="s">
        <v>779</v>
      </c>
      <c r="E526" s="247">
        <v>1</v>
      </c>
      <c r="F526" s="247"/>
      <c r="G526" s="248"/>
      <c r="H526" s="247"/>
      <c r="I526" s="249" t="s">
        <v>272</v>
      </c>
      <c r="J526" s="249" t="s">
        <v>21</v>
      </c>
      <c r="K526" s="249" t="s">
        <v>36</v>
      </c>
      <c r="L526" s="250">
        <f t="shared" si="34"/>
        <v>1</v>
      </c>
      <c r="M526" s="237">
        <f t="array" ref="M526">INDEX('BKTT T4.26'!$N$12:$N$55,MATCH(V526,'BKTT T4.26'!$A$12:$A$55,0),0)</f>
        <v>576331</v>
      </c>
      <c r="N526" s="162">
        <f t="shared" si="33"/>
        <v>576331</v>
      </c>
      <c r="O526" s="238" t="s">
        <v>264</v>
      </c>
      <c r="P526" s="251" t="s">
        <v>1448</v>
      </c>
      <c r="R526" s="191" t="str">
        <f t="shared" si="35"/>
        <v>Cước vận chuyển Container hàng 20' tuyến đường PAN HA - NHĐV. BKS: 15H07788</v>
      </c>
      <c r="S526" s="191" t="str">
        <f t="shared" si="36"/>
        <v xml:space="preserve"> hàng 20' </v>
      </c>
      <c r="V526" s="191">
        <v>11</v>
      </c>
    </row>
    <row r="527" spans="1:22" s="191" customFormat="1" ht="15">
      <c r="A527" s="236">
        <v>516</v>
      </c>
      <c r="B527" s="244">
        <v>46118</v>
      </c>
      <c r="C527" s="245" t="s">
        <v>261</v>
      </c>
      <c r="D527" s="246" t="s">
        <v>780</v>
      </c>
      <c r="E527" s="247"/>
      <c r="F527" s="247">
        <v>1</v>
      </c>
      <c r="G527" s="248"/>
      <c r="H527" s="247"/>
      <c r="I527" s="249" t="s">
        <v>272</v>
      </c>
      <c r="J527" s="249" t="s">
        <v>21</v>
      </c>
      <c r="K527" s="249" t="s">
        <v>37</v>
      </c>
      <c r="L527" s="250">
        <f t="shared" si="34"/>
        <v>1</v>
      </c>
      <c r="M527" s="237">
        <f t="array" ref="M527">INDEX('BKTT T4.26'!$N$12:$N$55,MATCH(V527,'BKTT T4.26'!$A$12:$A$55,0),0)</f>
        <v>602510</v>
      </c>
      <c r="N527" s="162">
        <f t="shared" si="33"/>
        <v>602510</v>
      </c>
      <c r="O527" s="238" t="s">
        <v>264</v>
      </c>
      <c r="P527" s="251" t="s">
        <v>1448</v>
      </c>
      <c r="R527" s="191" t="str">
        <f t="shared" si="35"/>
        <v>Cước vận chuyển Container hàng 40' tuyến đường PAN HA - NHĐV,. BKS: 15H07788</v>
      </c>
      <c r="S527" s="191" t="str">
        <f t="shared" si="36"/>
        <v xml:space="preserve"> hàng 40' </v>
      </c>
      <c r="V527" s="191">
        <v>12</v>
      </c>
    </row>
    <row r="528" spans="1:22" s="191" customFormat="1" ht="15">
      <c r="A528" s="236">
        <v>517</v>
      </c>
      <c r="B528" s="244">
        <v>46118</v>
      </c>
      <c r="C528" s="245" t="s">
        <v>261</v>
      </c>
      <c r="D528" s="246" t="s">
        <v>781</v>
      </c>
      <c r="E528" s="247">
        <v>1</v>
      </c>
      <c r="F528" s="247"/>
      <c r="G528" s="248"/>
      <c r="H528" s="247"/>
      <c r="I528" s="249" t="s">
        <v>272</v>
      </c>
      <c r="J528" s="249" t="s">
        <v>21</v>
      </c>
      <c r="K528" s="249" t="s">
        <v>36</v>
      </c>
      <c r="L528" s="250">
        <f t="shared" si="34"/>
        <v>1</v>
      </c>
      <c r="M528" s="237">
        <f t="array" ref="M528">INDEX('BKTT T4.26'!$N$12:$N$55,MATCH(V528,'BKTT T4.26'!$A$12:$A$55,0),0)</f>
        <v>576331</v>
      </c>
      <c r="N528" s="162">
        <f t="shared" si="33"/>
        <v>576331</v>
      </c>
      <c r="O528" s="238" t="s">
        <v>264</v>
      </c>
      <c r="P528" s="251" t="s">
        <v>1448</v>
      </c>
      <c r="R528" s="191" t="str">
        <f t="shared" si="35"/>
        <v>Cước vận chuyển Container hàng 20' tuyến đường PAN HA - NHĐV. BKS: 15H07788</v>
      </c>
      <c r="S528" s="191" t="str">
        <f t="shared" si="36"/>
        <v xml:space="preserve"> hàng 20' </v>
      </c>
      <c r="V528" s="191">
        <v>11</v>
      </c>
    </row>
    <row r="529" spans="1:22" s="191" customFormat="1" ht="15">
      <c r="A529" s="236">
        <v>518</v>
      </c>
      <c r="B529" s="244">
        <v>46118</v>
      </c>
      <c r="C529" s="245" t="s">
        <v>261</v>
      </c>
      <c r="D529" s="246" t="s">
        <v>782</v>
      </c>
      <c r="E529" s="247">
        <v>1</v>
      </c>
      <c r="F529" s="247"/>
      <c r="G529" s="248"/>
      <c r="H529" s="247"/>
      <c r="I529" s="249" t="s">
        <v>272</v>
      </c>
      <c r="J529" s="249" t="s">
        <v>21</v>
      </c>
      <c r="K529" s="249" t="s">
        <v>36</v>
      </c>
      <c r="L529" s="250">
        <f t="shared" si="34"/>
        <v>1</v>
      </c>
      <c r="M529" s="237">
        <f t="array" ref="M529">INDEX('BKTT T4.26'!$N$12:$N$55,MATCH(V529,'BKTT T4.26'!$A$12:$A$55,0),0)</f>
        <v>576331</v>
      </c>
      <c r="N529" s="162">
        <f t="shared" si="33"/>
        <v>576331</v>
      </c>
      <c r="O529" s="238" t="s">
        <v>264</v>
      </c>
      <c r="P529" s="251" t="s">
        <v>1448</v>
      </c>
      <c r="R529" s="191" t="str">
        <f t="shared" si="35"/>
        <v>Cước vận chuyển Container hàng 20' tuyến đường PAN HA - NHĐV. BKS: 15H07788</v>
      </c>
      <c r="S529" s="191" t="str">
        <f t="shared" si="36"/>
        <v xml:space="preserve"> hàng 20' </v>
      </c>
      <c r="V529" s="191">
        <v>11</v>
      </c>
    </row>
    <row r="530" spans="1:22" s="191" customFormat="1" ht="15">
      <c r="A530" s="236">
        <v>519</v>
      </c>
      <c r="B530" s="244">
        <v>46118</v>
      </c>
      <c r="C530" s="245" t="s">
        <v>261</v>
      </c>
      <c r="D530" s="246" t="s">
        <v>783</v>
      </c>
      <c r="E530" s="247">
        <v>1</v>
      </c>
      <c r="F530" s="247"/>
      <c r="G530" s="248"/>
      <c r="H530" s="247"/>
      <c r="I530" s="249" t="s">
        <v>272</v>
      </c>
      <c r="J530" s="249" t="s">
        <v>21</v>
      </c>
      <c r="K530" s="249" t="s">
        <v>36</v>
      </c>
      <c r="L530" s="250">
        <f t="shared" si="34"/>
        <v>1</v>
      </c>
      <c r="M530" s="237">
        <f t="array" ref="M530">INDEX('BKTT T4.26'!$N$12:$N$55,MATCH(V530,'BKTT T4.26'!$A$12:$A$55,0),0)</f>
        <v>576331</v>
      </c>
      <c r="N530" s="162">
        <f t="shared" si="33"/>
        <v>576331</v>
      </c>
      <c r="O530" s="238" t="s">
        <v>264</v>
      </c>
      <c r="P530" s="251" t="s">
        <v>1448</v>
      </c>
      <c r="R530" s="191" t="str">
        <f t="shared" si="35"/>
        <v>Cước vận chuyển Container hàng 20' tuyến đường PAN HA - NHĐV. BKS: 15H07788</v>
      </c>
      <c r="S530" s="191" t="str">
        <f t="shared" si="36"/>
        <v xml:space="preserve"> hàng 20' </v>
      </c>
      <c r="V530" s="191">
        <v>11</v>
      </c>
    </row>
    <row r="531" spans="1:22" s="191" customFormat="1" ht="15">
      <c r="A531" s="236">
        <v>520</v>
      </c>
      <c r="B531" s="244">
        <v>46118</v>
      </c>
      <c r="C531" s="245" t="s">
        <v>261</v>
      </c>
      <c r="D531" s="246" t="s">
        <v>784</v>
      </c>
      <c r="E531" s="247">
        <v>1</v>
      </c>
      <c r="F531" s="247"/>
      <c r="G531" s="248"/>
      <c r="H531" s="247"/>
      <c r="I531" s="249" t="s">
        <v>272</v>
      </c>
      <c r="J531" s="249" t="s">
        <v>21</v>
      </c>
      <c r="K531" s="249" t="s">
        <v>36</v>
      </c>
      <c r="L531" s="250">
        <f t="shared" si="34"/>
        <v>1</v>
      </c>
      <c r="M531" s="237">
        <f t="array" ref="M531">INDEX('BKTT T4.26'!$N$12:$N$55,MATCH(V531,'BKTT T4.26'!$A$12:$A$55,0),0)</f>
        <v>576331</v>
      </c>
      <c r="N531" s="162">
        <f t="shared" si="33"/>
        <v>576331</v>
      </c>
      <c r="O531" s="238" t="s">
        <v>264</v>
      </c>
      <c r="P531" s="251" t="s">
        <v>1448</v>
      </c>
      <c r="R531" s="191" t="str">
        <f t="shared" si="35"/>
        <v>Cước vận chuyển Container hàng 20' tuyến đường PAN HA - NHĐV. BKS: 15H07788</v>
      </c>
      <c r="S531" s="191" t="str">
        <f t="shared" si="36"/>
        <v xml:space="preserve"> hàng 20' </v>
      </c>
      <c r="V531" s="191">
        <v>11</v>
      </c>
    </row>
    <row r="532" spans="1:22" s="191" customFormat="1" ht="15">
      <c r="A532" s="236">
        <v>521</v>
      </c>
      <c r="B532" s="244">
        <v>46118</v>
      </c>
      <c r="C532" s="245" t="s">
        <v>261</v>
      </c>
      <c r="D532" s="246" t="s">
        <v>785</v>
      </c>
      <c r="E532" s="247">
        <v>1</v>
      </c>
      <c r="F532" s="247"/>
      <c r="G532" s="248"/>
      <c r="H532" s="247"/>
      <c r="I532" s="249" t="s">
        <v>272</v>
      </c>
      <c r="J532" s="249" t="s">
        <v>21</v>
      </c>
      <c r="K532" s="249" t="s">
        <v>36</v>
      </c>
      <c r="L532" s="250">
        <f t="shared" si="34"/>
        <v>1</v>
      </c>
      <c r="M532" s="237">
        <f t="array" ref="M532">INDEX('BKTT T4.26'!$N$12:$N$55,MATCH(V532,'BKTT T4.26'!$A$12:$A$55,0),0)</f>
        <v>576331</v>
      </c>
      <c r="N532" s="162">
        <f t="shared" si="33"/>
        <v>576331</v>
      </c>
      <c r="O532" s="238" t="s">
        <v>264</v>
      </c>
      <c r="P532" s="251" t="s">
        <v>1448</v>
      </c>
      <c r="R532" s="191" t="str">
        <f t="shared" si="35"/>
        <v>Cước vận chuyển Container hàng 20' tuyến đường PAN HA - NHĐV. BKS: 15H07788</v>
      </c>
      <c r="S532" s="191" t="str">
        <f t="shared" si="36"/>
        <v xml:space="preserve"> hàng 20' </v>
      </c>
      <c r="V532" s="191">
        <v>11</v>
      </c>
    </row>
    <row r="533" spans="1:22" s="191" customFormat="1" ht="15">
      <c r="A533" s="236">
        <v>522</v>
      </c>
      <c r="B533" s="244">
        <v>46118</v>
      </c>
      <c r="C533" s="245" t="s">
        <v>261</v>
      </c>
      <c r="D533" s="246" t="s">
        <v>786</v>
      </c>
      <c r="E533" s="247">
        <v>1</v>
      </c>
      <c r="F533" s="247"/>
      <c r="G533" s="248"/>
      <c r="H533" s="247"/>
      <c r="I533" s="249" t="s">
        <v>272</v>
      </c>
      <c r="J533" s="249" t="s">
        <v>21</v>
      </c>
      <c r="K533" s="249" t="s">
        <v>36</v>
      </c>
      <c r="L533" s="250">
        <f t="shared" si="34"/>
        <v>1</v>
      </c>
      <c r="M533" s="237">
        <f t="array" ref="M533">INDEX('BKTT T4.26'!$N$12:$N$55,MATCH(V533,'BKTT T4.26'!$A$12:$A$55,0),0)</f>
        <v>576331</v>
      </c>
      <c r="N533" s="162">
        <f t="shared" si="33"/>
        <v>576331</v>
      </c>
      <c r="O533" s="238" t="s">
        <v>264</v>
      </c>
      <c r="P533" s="251" t="s">
        <v>1448</v>
      </c>
      <c r="R533" s="191" t="str">
        <f t="shared" si="35"/>
        <v>Cước vận chuyển Container hàng 20' tuyến đường PAN HA - NHĐV. BKS: 15H07788</v>
      </c>
      <c r="S533" s="191" t="str">
        <f t="shared" si="36"/>
        <v xml:space="preserve"> hàng 20' </v>
      </c>
      <c r="V533" s="191">
        <v>11</v>
      </c>
    </row>
    <row r="534" spans="1:22" s="191" customFormat="1" ht="15">
      <c r="A534" s="236">
        <v>523</v>
      </c>
      <c r="B534" s="244">
        <v>46120</v>
      </c>
      <c r="C534" s="245" t="s">
        <v>261</v>
      </c>
      <c r="D534" s="246" t="s">
        <v>787</v>
      </c>
      <c r="E534" s="247"/>
      <c r="F534" s="247"/>
      <c r="G534" s="248"/>
      <c r="H534" s="247">
        <v>1</v>
      </c>
      <c r="I534" s="249" t="s">
        <v>282</v>
      </c>
      <c r="J534" s="249" t="s">
        <v>38</v>
      </c>
      <c r="K534" s="249" t="s">
        <v>21</v>
      </c>
      <c r="L534" s="250">
        <f t="shared" si="34"/>
        <v>1</v>
      </c>
      <c r="M534" s="237">
        <f t="array" ref="M534">INDEX('BKTT T4.26'!$N$12:$N$55,MATCH(V534,'BKTT T4.26'!$A$12:$A$55,0),0)</f>
        <v>585057</v>
      </c>
      <c r="N534" s="162">
        <f t="shared" si="33"/>
        <v>585057</v>
      </c>
      <c r="O534" s="238" t="s">
        <v>267</v>
      </c>
      <c r="P534" s="251" t="s">
        <v>1448</v>
      </c>
      <c r="R534" s="191" t="str">
        <f t="shared" si="35"/>
        <v>Cước vận chuyển Container vỏ tuyến đường NHĐV. - PAN HA. BKS: 15C17301</v>
      </c>
      <c r="S534" s="191" t="str">
        <f t="shared" si="36"/>
        <v xml:space="preserve"> vỏ </v>
      </c>
      <c r="V534" s="191">
        <v>16</v>
      </c>
    </row>
    <row r="535" spans="1:22" s="191" customFormat="1" ht="15">
      <c r="A535" s="236">
        <v>524</v>
      </c>
      <c r="B535" s="244">
        <v>46120</v>
      </c>
      <c r="C535" s="245" t="s">
        <v>261</v>
      </c>
      <c r="D535" s="246" t="s">
        <v>788</v>
      </c>
      <c r="E535" s="247">
        <v>1</v>
      </c>
      <c r="F535" s="247"/>
      <c r="G535" s="248"/>
      <c r="H535" s="247"/>
      <c r="I535" s="249" t="s">
        <v>279</v>
      </c>
      <c r="J535" s="249" t="s">
        <v>21</v>
      </c>
      <c r="K535" s="249" t="s">
        <v>31</v>
      </c>
      <c r="L535" s="250">
        <f t="shared" si="34"/>
        <v>1</v>
      </c>
      <c r="M535" s="237">
        <f t="array" ref="M535">INDEX('BKTT T4.26'!$N$12:$N$55,MATCH(V535,'BKTT T4.26'!$A$12:$A$55,0),0)</f>
        <v>454158</v>
      </c>
      <c r="N535" s="162">
        <f t="shared" si="33"/>
        <v>454158</v>
      </c>
      <c r="O535" s="238" t="s">
        <v>264</v>
      </c>
      <c r="P535" s="251" t="s">
        <v>1448</v>
      </c>
      <c r="R535" s="191" t="str">
        <f t="shared" si="35"/>
        <v>Cước vận chuyển Container hàng 20' tuyến đường PAN HA - NDV. BKS: 15H07524</v>
      </c>
      <c r="S535" s="191" t="str">
        <f t="shared" si="36"/>
        <v xml:space="preserve"> hàng 20' </v>
      </c>
      <c r="V535" s="191">
        <v>7</v>
      </c>
    </row>
    <row r="536" spans="1:22" s="191" customFormat="1" ht="15">
      <c r="A536" s="236">
        <v>525</v>
      </c>
      <c r="B536" s="244">
        <v>46120</v>
      </c>
      <c r="C536" s="245" t="s">
        <v>261</v>
      </c>
      <c r="D536" s="246" t="s">
        <v>789</v>
      </c>
      <c r="E536" s="247">
        <v>1</v>
      </c>
      <c r="F536" s="247"/>
      <c r="G536" s="248"/>
      <c r="H536" s="247"/>
      <c r="I536" s="249" t="s">
        <v>279</v>
      </c>
      <c r="J536" s="249" t="s">
        <v>21</v>
      </c>
      <c r="K536" s="249" t="s">
        <v>31</v>
      </c>
      <c r="L536" s="250">
        <f t="shared" si="34"/>
        <v>1</v>
      </c>
      <c r="M536" s="237">
        <f t="array" ref="M536">INDEX('BKTT T4.26'!$N$12:$N$55,MATCH(V536,'BKTT T4.26'!$A$12:$A$55,0),0)</f>
        <v>454158</v>
      </c>
      <c r="N536" s="162">
        <f t="shared" si="33"/>
        <v>454158</v>
      </c>
      <c r="O536" s="238" t="s">
        <v>264</v>
      </c>
      <c r="P536" s="251" t="s">
        <v>1448</v>
      </c>
      <c r="R536" s="191" t="str">
        <f t="shared" si="35"/>
        <v>Cước vận chuyển Container hàng 20' tuyến đường PAN HA - NDV. BKS: 15H07524</v>
      </c>
      <c r="S536" s="191" t="str">
        <f t="shared" si="36"/>
        <v xml:space="preserve"> hàng 20' </v>
      </c>
      <c r="V536" s="191">
        <v>7</v>
      </c>
    </row>
    <row r="537" spans="1:22" s="191" customFormat="1" ht="15">
      <c r="A537" s="236">
        <v>526</v>
      </c>
      <c r="B537" s="244">
        <v>46120</v>
      </c>
      <c r="C537" s="245" t="s">
        <v>261</v>
      </c>
      <c r="D537" s="246" t="s">
        <v>790</v>
      </c>
      <c r="E537" s="247">
        <v>1</v>
      </c>
      <c r="F537" s="247"/>
      <c r="G537" s="248"/>
      <c r="H537" s="247"/>
      <c r="I537" s="249" t="s">
        <v>279</v>
      </c>
      <c r="J537" s="249" t="s">
        <v>21</v>
      </c>
      <c r="K537" s="249" t="s">
        <v>31</v>
      </c>
      <c r="L537" s="250">
        <f t="shared" si="34"/>
        <v>1</v>
      </c>
      <c r="M537" s="237">
        <f t="array" ref="M537">INDEX('BKTT T4.26'!$N$12:$N$55,MATCH(V537,'BKTT T4.26'!$A$12:$A$55,0),0)</f>
        <v>454158</v>
      </c>
      <c r="N537" s="162">
        <f t="shared" si="33"/>
        <v>454158</v>
      </c>
      <c r="O537" s="238" t="s">
        <v>264</v>
      </c>
      <c r="P537" s="251" t="s">
        <v>1448</v>
      </c>
      <c r="R537" s="191" t="str">
        <f t="shared" si="35"/>
        <v>Cước vận chuyển Container hàng 20' tuyến đường PAN HA - NDV. BKS: 15H07524</v>
      </c>
      <c r="S537" s="191" t="str">
        <f t="shared" si="36"/>
        <v xml:space="preserve"> hàng 20' </v>
      </c>
      <c r="V537" s="191">
        <v>7</v>
      </c>
    </row>
    <row r="538" spans="1:22" s="191" customFormat="1" ht="15">
      <c r="A538" s="236">
        <v>527</v>
      </c>
      <c r="B538" s="244">
        <v>46120</v>
      </c>
      <c r="C538" s="245" t="s">
        <v>261</v>
      </c>
      <c r="D538" s="246" t="s">
        <v>791</v>
      </c>
      <c r="E538" s="247">
        <v>1</v>
      </c>
      <c r="F538" s="247"/>
      <c r="G538" s="248"/>
      <c r="H538" s="247"/>
      <c r="I538" s="249" t="s">
        <v>279</v>
      </c>
      <c r="J538" s="249" t="s">
        <v>21</v>
      </c>
      <c r="K538" s="249" t="s">
        <v>31</v>
      </c>
      <c r="L538" s="250">
        <f t="shared" si="34"/>
        <v>1</v>
      </c>
      <c r="M538" s="237">
        <f t="array" ref="M538">INDEX('BKTT T4.26'!$N$12:$N$55,MATCH(V538,'BKTT T4.26'!$A$12:$A$55,0),0)</f>
        <v>454158</v>
      </c>
      <c r="N538" s="162">
        <f t="shared" si="33"/>
        <v>454158</v>
      </c>
      <c r="O538" s="238" t="s">
        <v>264</v>
      </c>
      <c r="P538" s="251" t="s">
        <v>1448</v>
      </c>
      <c r="R538" s="191" t="str">
        <f t="shared" si="35"/>
        <v>Cước vận chuyển Container hàng 20' tuyến đường PAN HA - NDV. BKS: 15H07524</v>
      </c>
      <c r="S538" s="191" t="str">
        <f t="shared" si="36"/>
        <v xml:space="preserve"> hàng 20' </v>
      </c>
      <c r="V538" s="191">
        <v>7</v>
      </c>
    </row>
    <row r="539" spans="1:22" s="191" customFormat="1" ht="15">
      <c r="A539" s="236">
        <v>528</v>
      </c>
      <c r="B539" s="244">
        <v>46120</v>
      </c>
      <c r="C539" s="245" t="s">
        <v>261</v>
      </c>
      <c r="D539" s="246" t="s">
        <v>792</v>
      </c>
      <c r="E539" s="247"/>
      <c r="F539" s="247"/>
      <c r="G539" s="248">
        <v>0.5</v>
      </c>
      <c r="H539" s="247"/>
      <c r="I539" s="249" t="s">
        <v>279</v>
      </c>
      <c r="J539" s="249" t="s">
        <v>21</v>
      </c>
      <c r="K539" s="249" t="s">
        <v>44</v>
      </c>
      <c r="L539" s="250">
        <f t="shared" si="34"/>
        <v>0.5</v>
      </c>
      <c r="M539" s="237">
        <f t="array" ref="M539">INDEX('BKTT T4.26'!$N$12:$N$55,MATCH(V539,'BKTT T4.26'!$A$12:$A$55,0),0)</f>
        <v>576331</v>
      </c>
      <c r="N539" s="162">
        <f t="shared" si="33"/>
        <v>288165.5</v>
      </c>
      <c r="O539" s="238" t="s">
        <v>264</v>
      </c>
      <c r="P539" s="251" t="s">
        <v>1448</v>
      </c>
      <c r="R539" s="191" t="str">
        <f t="shared" si="35"/>
        <v>Cước vận chuyển Container vỏ tuyến đường PAN HA - TÂN VŨ.. BKS: 15H07524</v>
      </c>
      <c r="S539" s="191" t="str">
        <f t="shared" si="36"/>
        <v xml:space="preserve"> vỏ </v>
      </c>
      <c r="V539" s="191">
        <v>22</v>
      </c>
    </row>
    <row r="540" spans="1:22" s="191" customFormat="1" ht="15">
      <c r="A540" s="236">
        <v>529</v>
      </c>
      <c r="B540" s="244">
        <v>46120</v>
      </c>
      <c r="C540" s="245" t="s">
        <v>261</v>
      </c>
      <c r="D540" s="246" t="s">
        <v>793</v>
      </c>
      <c r="E540" s="247"/>
      <c r="F540" s="247"/>
      <c r="G540" s="248">
        <v>0.5</v>
      </c>
      <c r="H540" s="247"/>
      <c r="I540" s="249" t="s">
        <v>279</v>
      </c>
      <c r="J540" s="249" t="s">
        <v>21</v>
      </c>
      <c r="K540" s="249" t="s">
        <v>44</v>
      </c>
      <c r="L540" s="250">
        <f t="shared" si="34"/>
        <v>0.5</v>
      </c>
      <c r="M540" s="237">
        <f t="array" ref="M540">INDEX('BKTT T4.26'!$N$12:$N$55,MATCH(V540,'BKTT T4.26'!$A$12:$A$55,0),0)</f>
        <v>576331</v>
      </c>
      <c r="N540" s="162">
        <f t="shared" si="33"/>
        <v>288165.5</v>
      </c>
      <c r="O540" s="238" t="s">
        <v>264</v>
      </c>
      <c r="P540" s="251" t="s">
        <v>1448</v>
      </c>
      <c r="R540" s="191" t="str">
        <f t="shared" si="35"/>
        <v>Cước vận chuyển Container vỏ tuyến đường PAN HA - TÂN VŨ.. BKS: 15H07524</v>
      </c>
      <c r="S540" s="191" t="str">
        <f t="shared" si="36"/>
        <v xml:space="preserve"> vỏ </v>
      </c>
      <c r="V540" s="191">
        <v>22</v>
      </c>
    </row>
    <row r="541" spans="1:22" s="191" customFormat="1" ht="15">
      <c r="A541" s="236">
        <v>530</v>
      </c>
      <c r="B541" s="244">
        <v>46120</v>
      </c>
      <c r="C541" s="245" t="s">
        <v>261</v>
      </c>
      <c r="D541" s="246" t="s">
        <v>794</v>
      </c>
      <c r="E541" s="247"/>
      <c r="F541" s="247"/>
      <c r="G541" s="248">
        <v>0.5</v>
      </c>
      <c r="H541" s="247"/>
      <c r="I541" s="249" t="s">
        <v>472</v>
      </c>
      <c r="J541" s="249" t="s">
        <v>21</v>
      </c>
      <c r="K541" s="249" t="s">
        <v>30</v>
      </c>
      <c r="L541" s="250">
        <f t="shared" si="34"/>
        <v>0.5</v>
      </c>
      <c r="M541" s="237">
        <f t="array" ref="M541">INDEX('BKTT T4.26'!$N$12:$N$55,MATCH(V541,'BKTT T4.26'!$A$12:$A$55,0),0)</f>
        <v>480338</v>
      </c>
      <c r="N541" s="162">
        <f t="shared" si="33"/>
        <v>240169</v>
      </c>
      <c r="O541" s="238" t="s">
        <v>264</v>
      </c>
      <c r="P541" s="251" t="s">
        <v>1448</v>
      </c>
      <c r="R541" s="191" t="str">
        <f t="shared" si="35"/>
        <v>Cước vận chuyển Container vỏ tuyến đường PAN HA - MPC.. BKS: 15H08574</v>
      </c>
      <c r="S541" s="191" t="str">
        <f t="shared" si="36"/>
        <v xml:space="preserve"> vỏ </v>
      </c>
      <c r="V541" s="191">
        <v>6</v>
      </c>
    </row>
    <row r="542" spans="1:22" s="191" customFormat="1" ht="15">
      <c r="A542" s="236">
        <v>531</v>
      </c>
      <c r="B542" s="244">
        <v>46120</v>
      </c>
      <c r="C542" s="245" t="s">
        <v>261</v>
      </c>
      <c r="D542" s="246" t="s">
        <v>795</v>
      </c>
      <c r="E542" s="247"/>
      <c r="F542" s="247"/>
      <c r="G542" s="248">
        <v>0.5</v>
      </c>
      <c r="H542" s="247"/>
      <c r="I542" s="249" t="s">
        <v>472</v>
      </c>
      <c r="J542" s="249" t="s">
        <v>21</v>
      </c>
      <c r="K542" s="249" t="s">
        <v>30</v>
      </c>
      <c r="L542" s="250">
        <f t="shared" si="34"/>
        <v>0.5</v>
      </c>
      <c r="M542" s="237">
        <f t="array" ref="M542">INDEX('BKTT T4.26'!$N$12:$N$55,MATCH(V542,'BKTT T4.26'!$A$12:$A$55,0),0)</f>
        <v>480338</v>
      </c>
      <c r="N542" s="162">
        <f t="shared" si="33"/>
        <v>240169</v>
      </c>
      <c r="O542" s="238" t="s">
        <v>264</v>
      </c>
      <c r="P542" s="251" t="s">
        <v>1448</v>
      </c>
      <c r="R542" s="191" t="str">
        <f t="shared" si="35"/>
        <v>Cước vận chuyển Container vỏ tuyến đường PAN HA - MPC.. BKS: 15H08574</v>
      </c>
      <c r="S542" s="191" t="str">
        <f t="shared" si="36"/>
        <v xml:space="preserve"> vỏ </v>
      </c>
      <c r="V542" s="191">
        <v>6</v>
      </c>
    </row>
    <row r="543" spans="1:22" s="191" customFormat="1" ht="15">
      <c r="A543" s="236">
        <v>532</v>
      </c>
      <c r="B543" s="244">
        <v>46106</v>
      </c>
      <c r="C543" s="245" t="s">
        <v>261</v>
      </c>
      <c r="D543" s="246" t="s">
        <v>796</v>
      </c>
      <c r="E543" s="247"/>
      <c r="F543" s="247"/>
      <c r="G543" s="248"/>
      <c r="H543" s="247">
        <v>1</v>
      </c>
      <c r="I543" s="249" t="s">
        <v>797</v>
      </c>
      <c r="J543" s="249" t="s">
        <v>56</v>
      </c>
      <c r="K543" s="249" t="s">
        <v>21</v>
      </c>
      <c r="L543" s="250">
        <f t="shared" si="34"/>
        <v>1</v>
      </c>
      <c r="M543" s="237">
        <f t="array" ref="M543">INDEX('BKTT T4.26'!$N$12:$N$55,MATCH(V543,'BKTT T4.26'!$A$12:$A$55,0),0)</f>
        <v>1002400</v>
      </c>
      <c r="N543" s="162">
        <f t="shared" si="33"/>
        <v>1002400</v>
      </c>
      <c r="O543" s="238" t="s">
        <v>267</v>
      </c>
      <c r="P543" s="251" t="s">
        <v>1448</v>
      </c>
      <c r="R543" s="191" t="str">
        <f t="shared" si="35"/>
        <v>Cước vận chuyển Container vỏ tuyến đường HATECO - PAN HA. BKS: 15H17712</v>
      </c>
      <c r="S543" s="191" t="str">
        <f t="shared" si="36"/>
        <v xml:space="preserve"> vỏ </v>
      </c>
      <c r="V543" s="191">
        <v>35</v>
      </c>
    </row>
    <row r="544" spans="1:22" s="191" customFormat="1" ht="15">
      <c r="A544" s="236">
        <v>533</v>
      </c>
      <c r="B544" s="244">
        <v>46106</v>
      </c>
      <c r="C544" s="245" t="s">
        <v>261</v>
      </c>
      <c r="D544" s="246" t="s">
        <v>798</v>
      </c>
      <c r="E544" s="247"/>
      <c r="F544" s="247"/>
      <c r="G544" s="248"/>
      <c r="H544" s="247">
        <v>1</v>
      </c>
      <c r="I544" s="249" t="s">
        <v>797</v>
      </c>
      <c r="J544" s="249" t="s">
        <v>56</v>
      </c>
      <c r="K544" s="249" t="s">
        <v>21</v>
      </c>
      <c r="L544" s="250">
        <f t="shared" si="34"/>
        <v>1</v>
      </c>
      <c r="M544" s="237">
        <f t="array" ref="M544">INDEX('BKTT T4.26'!$N$12:$N$55,MATCH(V544,'BKTT T4.26'!$A$12:$A$55,0),0)</f>
        <v>1002400</v>
      </c>
      <c r="N544" s="162">
        <f t="shared" si="33"/>
        <v>1002400</v>
      </c>
      <c r="O544" s="238" t="s">
        <v>267</v>
      </c>
      <c r="P544" s="251" t="s">
        <v>1448</v>
      </c>
      <c r="R544" s="191" t="str">
        <f t="shared" si="35"/>
        <v>Cước vận chuyển Container vỏ tuyến đường HATECO - PAN HA. BKS: 15H17712</v>
      </c>
      <c r="S544" s="191" t="str">
        <f t="shared" si="36"/>
        <v xml:space="preserve"> vỏ </v>
      </c>
      <c r="V544" s="191">
        <v>35</v>
      </c>
    </row>
    <row r="545" spans="1:22" s="191" customFormat="1" ht="15">
      <c r="A545" s="236">
        <v>534</v>
      </c>
      <c r="B545" s="244">
        <v>46106</v>
      </c>
      <c r="C545" s="245" t="s">
        <v>261</v>
      </c>
      <c r="D545" s="246" t="s">
        <v>799</v>
      </c>
      <c r="E545" s="247"/>
      <c r="F545" s="247"/>
      <c r="G545" s="248"/>
      <c r="H545" s="247">
        <v>1</v>
      </c>
      <c r="I545" s="249" t="s">
        <v>797</v>
      </c>
      <c r="J545" s="249" t="s">
        <v>56</v>
      </c>
      <c r="K545" s="249" t="s">
        <v>21</v>
      </c>
      <c r="L545" s="250">
        <f t="shared" si="34"/>
        <v>1</v>
      </c>
      <c r="M545" s="237">
        <f t="array" ref="M545">INDEX('BKTT T4.26'!$N$12:$N$55,MATCH(V545,'BKTT T4.26'!$A$12:$A$55,0),0)</f>
        <v>1002400</v>
      </c>
      <c r="N545" s="162">
        <f t="shared" si="33"/>
        <v>1002400</v>
      </c>
      <c r="O545" s="238" t="s">
        <v>267</v>
      </c>
      <c r="P545" s="251" t="s">
        <v>1448</v>
      </c>
      <c r="R545" s="191" t="str">
        <f t="shared" si="35"/>
        <v>Cước vận chuyển Container vỏ tuyến đường HATECO - PAN HA. BKS: 15H17712</v>
      </c>
      <c r="S545" s="191" t="str">
        <f t="shared" si="36"/>
        <v xml:space="preserve"> vỏ </v>
      </c>
      <c r="V545" s="191">
        <v>35</v>
      </c>
    </row>
    <row r="546" spans="1:22" s="191" customFormat="1" ht="15">
      <c r="A546" s="236">
        <v>535</v>
      </c>
      <c r="B546" s="244">
        <v>46106</v>
      </c>
      <c r="C546" s="245" t="s">
        <v>261</v>
      </c>
      <c r="D546" s="246" t="s">
        <v>800</v>
      </c>
      <c r="E546" s="247"/>
      <c r="F546" s="247"/>
      <c r="G546" s="248"/>
      <c r="H546" s="247">
        <v>1</v>
      </c>
      <c r="I546" s="249" t="s">
        <v>797</v>
      </c>
      <c r="J546" s="249" t="s">
        <v>56</v>
      </c>
      <c r="K546" s="249" t="s">
        <v>21</v>
      </c>
      <c r="L546" s="250">
        <f t="shared" si="34"/>
        <v>1</v>
      </c>
      <c r="M546" s="237">
        <f t="array" ref="M546">INDEX('BKTT T4.26'!$N$12:$N$55,MATCH(V546,'BKTT T4.26'!$A$12:$A$55,0),0)</f>
        <v>1002400</v>
      </c>
      <c r="N546" s="162">
        <f t="shared" si="33"/>
        <v>1002400</v>
      </c>
      <c r="O546" s="238" t="s">
        <v>267</v>
      </c>
      <c r="P546" s="251" t="s">
        <v>1448</v>
      </c>
      <c r="R546" s="191" t="str">
        <f t="shared" si="35"/>
        <v>Cước vận chuyển Container vỏ tuyến đường HATECO - PAN HA. BKS: 15H17712</v>
      </c>
      <c r="S546" s="191" t="str">
        <f t="shared" si="36"/>
        <v xml:space="preserve"> vỏ </v>
      </c>
      <c r="V546" s="191">
        <v>35</v>
      </c>
    </row>
    <row r="547" spans="1:22" s="191" customFormat="1" ht="15">
      <c r="A547" s="236">
        <v>536</v>
      </c>
      <c r="B547" s="244">
        <v>46108</v>
      </c>
      <c r="C547" s="245" t="s">
        <v>261</v>
      </c>
      <c r="D547" s="246" t="s">
        <v>801</v>
      </c>
      <c r="E547" s="247">
        <v>1</v>
      </c>
      <c r="F547" s="247"/>
      <c r="G547" s="248"/>
      <c r="H547" s="247"/>
      <c r="I547" s="249" t="s">
        <v>797</v>
      </c>
      <c r="J547" s="249" t="s">
        <v>21</v>
      </c>
      <c r="K547" s="249" t="s">
        <v>22</v>
      </c>
      <c r="L547" s="250">
        <f t="shared" si="34"/>
        <v>1</v>
      </c>
      <c r="M547" s="237">
        <f t="array" ref="M547">INDEX('BKTT T4.26'!$N$12:$N$55,MATCH(V547,'BKTT T4.26'!$A$12:$A$55,0),0)</f>
        <v>654871</v>
      </c>
      <c r="N547" s="162">
        <f t="shared" si="33"/>
        <v>654871</v>
      </c>
      <c r="O547" s="238" t="s">
        <v>264</v>
      </c>
      <c r="P547" s="251" t="s">
        <v>1448</v>
      </c>
      <c r="R547" s="191" t="str">
        <f t="shared" si="35"/>
        <v>Cước vận chuyển Container hàng 20' tuyến đường PAN HA - HẢI AN. BKS: 15H17712</v>
      </c>
      <c r="S547" s="191" t="str">
        <f t="shared" si="36"/>
        <v xml:space="preserve"> hàng 20' </v>
      </c>
      <c r="V547" s="191">
        <v>1</v>
      </c>
    </row>
    <row r="548" spans="1:22" s="191" customFormat="1" ht="15">
      <c r="A548" s="236">
        <v>537</v>
      </c>
      <c r="B548" s="244">
        <v>46108</v>
      </c>
      <c r="C548" s="245" t="s">
        <v>261</v>
      </c>
      <c r="D548" s="246" t="s">
        <v>802</v>
      </c>
      <c r="E548" s="247">
        <v>1</v>
      </c>
      <c r="F548" s="247"/>
      <c r="G548" s="248"/>
      <c r="H548" s="247"/>
      <c r="I548" s="249" t="s">
        <v>797</v>
      </c>
      <c r="J548" s="249" t="s">
        <v>21</v>
      </c>
      <c r="K548" s="249" t="s">
        <v>22</v>
      </c>
      <c r="L548" s="250">
        <f t="shared" si="34"/>
        <v>1</v>
      </c>
      <c r="M548" s="237">
        <f t="array" ref="M548">INDEX('BKTT T4.26'!$N$12:$N$55,MATCH(V548,'BKTT T4.26'!$A$12:$A$55,0),0)</f>
        <v>654871</v>
      </c>
      <c r="N548" s="162">
        <f t="shared" si="33"/>
        <v>654871</v>
      </c>
      <c r="O548" s="238" t="s">
        <v>264</v>
      </c>
      <c r="P548" s="251" t="s">
        <v>1448</v>
      </c>
      <c r="R548" s="191" t="str">
        <f t="shared" si="35"/>
        <v>Cước vận chuyển Container hàng 20' tuyến đường PAN HA - HẢI AN. BKS: 15H17712</v>
      </c>
      <c r="S548" s="191" t="str">
        <f t="shared" si="36"/>
        <v xml:space="preserve"> hàng 20' </v>
      </c>
      <c r="V548" s="191">
        <v>1</v>
      </c>
    </row>
    <row r="549" spans="1:22" s="191" customFormat="1" ht="15">
      <c r="A549" s="236">
        <v>538</v>
      </c>
      <c r="B549" s="244">
        <v>46108</v>
      </c>
      <c r="C549" s="245" t="s">
        <v>261</v>
      </c>
      <c r="D549" s="246" t="s">
        <v>803</v>
      </c>
      <c r="E549" s="247">
        <v>1</v>
      </c>
      <c r="F549" s="247"/>
      <c r="G549" s="248"/>
      <c r="H549" s="247"/>
      <c r="I549" s="249" t="s">
        <v>797</v>
      </c>
      <c r="J549" s="249" t="s">
        <v>21</v>
      </c>
      <c r="K549" s="249" t="s">
        <v>22</v>
      </c>
      <c r="L549" s="250">
        <f t="shared" si="34"/>
        <v>1</v>
      </c>
      <c r="M549" s="237">
        <f t="array" ref="M549">INDEX('BKTT T4.26'!$N$12:$N$55,MATCH(V549,'BKTT T4.26'!$A$12:$A$55,0),0)</f>
        <v>654871</v>
      </c>
      <c r="N549" s="162">
        <f t="shared" si="33"/>
        <v>654871</v>
      </c>
      <c r="O549" s="238" t="s">
        <v>264</v>
      </c>
      <c r="P549" s="251" t="s">
        <v>1448</v>
      </c>
      <c r="R549" s="191" t="str">
        <f t="shared" si="35"/>
        <v>Cước vận chuyển Container hàng 20' tuyến đường PAN HA - HẢI AN. BKS: 15H17712</v>
      </c>
      <c r="S549" s="191" t="str">
        <f t="shared" si="36"/>
        <v xml:space="preserve"> hàng 20' </v>
      </c>
      <c r="V549" s="191">
        <v>1</v>
      </c>
    </row>
    <row r="550" spans="1:22" s="191" customFormat="1" ht="15">
      <c r="A550" s="236">
        <v>539</v>
      </c>
      <c r="B550" s="244">
        <v>46108</v>
      </c>
      <c r="C550" s="245" t="s">
        <v>261</v>
      </c>
      <c r="D550" s="246" t="s">
        <v>804</v>
      </c>
      <c r="E550" s="247">
        <v>1</v>
      </c>
      <c r="F550" s="247"/>
      <c r="G550" s="252"/>
      <c r="H550" s="247"/>
      <c r="I550" s="249" t="s">
        <v>797</v>
      </c>
      <c r="J550" s="249" t="s">
        <v>21</v>
      </c>
      <c r="K550" s="249" t="s">
        <v>22</v>
      </c>
      <c r="L550" s="250">
        <f t="shared" si="34"/>
        <v>1</v>
      </c>
      <c r="M550" s="237">
        <f t="array" ref="M550">INDEX('BKTT T4.26'!$N$12:$N$55,MATCH(V550,'BKTT T4.26'!$A$12:$A$55,0),0)</f>
        <v>654871</v>
      </c>
      <c r="N550" s="162">
        <f t="shared" si="33"/>
        <v>654871</v>
      </c>
      <c r="O550" s="238" t="s">
        <v>264</v>
      </c>
      <c r="P550" s="251" t="s">
        <v>1448</v>
      </c>
      <c r="R550" s="191" t="str">
        <f t="shared" si="35"/>
        <v>Cước vận chuyển Container hàng 20' tuyến đường PAN HA - HẢI AN. BKS: 15H17712</v>
      </c>
      <c r="S550" s="191" t="str">
        <f t="shared" si="36"/>
        <v xml:space="preserve"> hàng 20' </v>
      </c>
      <c r="V550" s="191">
        <v>1</v>
      </c>
    </row>
    <row r="551" spans="1:22" s="191" customFormat="1" ht="15">
      <c r="A551" s="236">
        <v>540</v>
      </c>
      <c r="B551" s="244">
        <v>46108</v>
      </c>
      <c r="C551" s="245" t="s">
        <v>261</v>
      </c>
      <c r="D551" s="246" t="s">
        <v>805</v>
      </c>
      <c r="E551" s="247">
        <v>1</v>
      </c>
      <c r="F551" s="247"/>
      <c r="G551" s="252"/>
      <c r="H551" s="247"/>
      <c r="I551" s="249" t="s">
        <v>797</v>
      </c>
      <c r="J551" s="249" t="s">
        <v>21</v>
      </c>
      <c r="K551" s="249" t="s">
        <v>22</v>
      </c>
      <c r="L551" s="250">
        <f t="shared" si="34"/>
        <v>1</v>
      </c>
      <c r="M551" s="237">
        <f t="array" ref="M551">INDEX('BKTT T4.26'!$N$12:$N$55,MATCH(V551,'BKTT T4.26'!$A$12:$A$55,0),0)</f>
        <v>654871</v>
      </c>
      <c r="N551" s="162">
        <f t="shared" si="33"/>
        <v>654871</v>
      </c>
      <c r="O551" s="238" t="s">
        <v>264</v>
      </c>
      <c r="P551" s="251" t="s">
        <v>1448</v>
      </c>
      <c r="R551" s="191" t="str">
        <f t="shared" si="35"/>
        <v>Cước vận chuyển Container hàng 20' tuyến đường PAN HA - HẢI AN. BKS: 15H17712</v>
      </c>
      <c r="S551" s="191" t="str">
        <f t="shared" si="36"/>
        <v xml:space="preserve"> hàng 20' </v>
      </c>
      <c r="V551" s="191">
        <v>1</v>
      </c>
    </row>
    <row r="552" spans="1:22" s="191" customFormat="1" ht="15">
      <c r="A552" s="236">
        <v>541</v>
      </c>
      <c r="B552" s="244">
        <v>46108</v>
      </c>
      <c r="C552" s="245" t="s">
        <v>261</v>
      </c>
      <c r="D552" s="246" t="s">
        <v>806</v>
      </c>
      <c r="E552" s="247">
        <v>1</v>
      </c>
      <c r="F552" s="247"/>
      <c r="G552" s="252"/>
      <c r="H552" s="247"/>
      <c r="I552" s="249" t="s">
        <v>797</v>
      </c>
      <c r="J552" s="249" t="s">
        <v>21</v>
      </c>
      <c r="K552" s="249" t="s">
        <v>22</v>
      </c>
      <c r="L552" s="250">
        <f t="shared" si="34"/>
        <v>1</v>
      </c>
      <c r="M552" s="237">
        <f t="array" ref="M552">INDEX('BKTT T4.26'!$N$12:$N$55,MATCH(V552,'BKTT T4.26'!$A$12:$A$55,0),0)</f>
        <v>654871</v>
      </c>
      <c r="N552" s="162">
        <f t="shared" si="33"/>
        <v>654871</v>
      </c>
      <c r="O552" s="238" t="s">
        <v>264</v>
      </c>
      <c r="P552" s="251" t="s">
        <v>1448</v>
      </c>
      <c r="R552" s="191" t="str">
        <f t="shared" si="35"/>
        <v>Cước vận chuyển Container hàng 20' tuyến đường PAN HA - HẢI AN. BKS: 15H17712</v>
      </c>
      <c r="S552" s="191" t="str">
        <f t="shared" si="36"/>
        <v xml:space="preserve"> hàng 20' </v>
      </c>
      <c r="V552" s="191">
        <v>1</v>
      </c>
    </row>
    <row r="553" spans="1:22" s="191" customFormat="1" ht="15">
      <c r="A553" s="236">
        <v>542</v>
      </c>
      <c r="B553" s="244">
        <v>46108</v>
      </c>
      <c r="C553" s="245" t="s">
        <v>261</v>
      </c>
      <c r="D553" s="246" t="s">
        <v>807</v>
      </c>
      <c r="E553" s="247"/>
      <c r="F553" s="247">
        <v>1</v>
      </c>
      <c r="G553" s="248"/>
      <c r="H553" s="247"/>
      <c r="I553" s="249" t="s">
        <v>797</v>
      </c>
      <c r="J553" s="249" t="s">
        <v>21</v>
      </c>
      <c r="K553" s="249" t="s">
        <v>25</v>
      </c>
      <c r="L553" s="250">
        <f t="shared" si="34"/>
        <v>1</v>
      </c>
      <c r="M553" s="237">
        <f t="array" ref="M553">INDEX('BKTT T4.26'!$N$12:$N$55,MATCH(V553,'BKTT T4.26'!$A$12:$A$55,0),0)</f>
        <v>681050</v>
      </c>
      <c r="N553" s="162">
        <f t="shared" si="33"/>
        <v>681050</v>
      </c>
      <c r="O553" s="238" t="s">
        <v>264</v>
      </c>
      <c r="P553" s="251" t="s">
        <v>1448</v>
      </c>
      <c r="R553" s="191" t="str">
        <f t="shared" si="35"/>
        <v>Cước vận chuyển Container hàng 40' tuyến đường PAN HA - HẢI AN,. BKS: 15H17712</v>
      </c>
      <c r="S553" s="191" t="str">
        <f t="shared" si="36"/>
        <v xml:space="preserve"> hàng 40' </v>
      </c>
      <c r="V553" s="191">
        <v>2</v>
      </c>
    </row>
    <row r="554" spans="1:22" s="191" customFormat="1" ht="15">
      <c r="A554" s="236">
        <v>543</v>
      </c>
      <c r="B554" s="244">
        <v>46110</v>
      </c>
      <c r="C554" s="245" t="s">
        <v>261</v>
      </c>
      <c r="D554" s="246" t="s">
        <v>808</v>
      </c>
      <c r="E554" s="247">
        <v>1</v>
      </c>
      <c r="F554" s="247"/>
      <c r="G554" s="248"/>
      <c r="H554" s="247"/>
      <c r="I554" s="249" t="s">
        <v>797</v>
      </c>
      <c r="J554" s="249" t="s">
        <v>21</v>
      </c>
      <c r="K554" s="249" t="s">
        <v>22</v>
      </c>
      <c r="L554" s="250">
        <f t="shared" si="34"/>
        <v>1</v>
      </c>
      <c r="M554" s="237">
        <f t="array" ref="M554">INDEX('BKTT T4.26'!$N$12:$N$55,MATCH(V554,'BKTT T4.26'!$A$12:$A$55,0),0)</f>
        <v>654871</v>
      </c>
      <c r="N554" s="162">
        <f t="shared" si="33"/>
        <v>654871</v>
      </c>
      <c r="O554" s="238" t="s">
        <v>264</v>
      </c>
      <c r="P554" s="251" t="s">
        <v>1448</v>
      </c>
      <c r="R554" s="191" t="str">
        <f t="shared" si="35"/>
        <v>Cước vận chuyển Container hàng 20' tuyến đường PAN HA - HẢI AN. BKS: 15H17712</v>
      </c>
      <c r="S554" s="191" t="str">
        <f t="shared" si="36"/>
        <v xml:space="preserve"> hàng 20' </v>
      </c>
      <c r="V554" s="191">
        <v>1</v>
      </c>
    </row>
    <row r="555" spans="1:22" s="191" customFormat="1" ht="15">
      <c r="A555" s="236">
        <v>544</v>
      </c>
      <c r="B555" s="244">
        <v>46110</v>
      </c>
      <c r="C555" s="245" t="s">
        <v>261</v>
      </c>
      <c r="D555" s="246" t="s">
        <v>809</v>
      </c>
      <c r="E555" s="247">
        <v>1</v>
      </c>
      <c r="F555" s="247"/>
      <c r="G555" s="248"/>
      <c r="H555" s="247"/>
      <c r="I555" s="249" t="s">
        <v>797</v>
      </c>
      <c r="J555" s="249" t="s">
        <v>21</v>
      </c>
      <c r="K555" s="249" t="s">
        <v>22</v>
      </c>
      <c r="L555" s="250">
        <f t="shared" si="34"/>
        <v>1</v>
      </c>
      <c r="M555" s="237">
        <f t="array" ref="M555">INDEX('BKTT T4.26'!$N$12:$N$55,MATCH(V555,'BKTT T4.26'!$A$12:$A$55,0),0)</f>
        <v>654871</v>
      </c>
      <c r="N555" s="162">
        <f t="shared" si="33"/>
        <v>654871</v>
      </c>
      <c r="O555" s="238" t="s">
        <v>264</v>
      </c>
      <c r="P555" s="251" t="s">
        <v>1448</v>
      </c>
      <c r="R555" s="191" t="str">
        <f t="shared" si="35"/>
        <v>Cước vận chuyển Container hàng 20' tuyến đường PAN HA - HẢI AN. BKS: 15H17712</v>
      </c>
      <c r="S555" s="191" t="str">
        <f t="shared" si="36"/>
        <v xml:space="preserve"> hàng 20' </v>
      </c>
      <c r="V555" s="191">
        <v>1</v>
      </c>
    </row>
    <row r="556" spans="1:22" s="191" customFormat="1" ht="15">
      <c r="A556" s="236">
        <v>545</v>
      </c>
      <c r="B556" s="244">
        <v>46110</v>
      </c>
      <c r="C556" s="245" t="s">
        <v>261</v>
      </c>
      <c r="D556" s="246" t="s">
        <v>810</v>
      </c>
      <c r="E556" s="247">
        <v>1</v>
      </c>
      <c r="F556" s="247"/>
      <c r="G556" s="248"/>
      <c r="H556" s="247"/>
      <c r="I556" s="249" t="s">
        <v>797</v>
      </c>
      <c r="J556" s="249" t="s">
        <v>21</v>
      </c>
      <c r="K556" s="249" t="s">
        <v>22</v>
      </c>
      <c r="L556" s="250">
        <f t="shared" si="34"/>
        <v>1</v>
      </c>
      <c r="M556" s="237">
        <f t="array" ref="M556">INDEX('BKTT T4.26'!$N$12:$N$55,MATCH(V556,'BKTT T4.26'!$A$12:$A$55,0),0)</f>
        <v>654871</v>
      </c>
      <c r="N556" s="162">
        <f t="shared" si="33"/>
        <v>654871</v>
      </c>
      <c r="O556" s="238" t="s">
        <v>264</v>
      </c>
      <c r="P556" s="251" t="s">
        <v>1448</v>
      </c>
      <c r="R556" s="191" t="str">
        <f t="shared" si="35"/>
        <v>Cước vận chuyển Container hàng 20' tuyến đường PAN HA - HẢI AN. BKS: 15H17712</v>
      </c>
      <c r="S556" s="191" t="str">
        <f t="shared" si="36"/>
        <v xml:space="preserve"> hàng 20' </v>
      </c>
      <c r="V556" s="191">
        <v>1</v>
      </c>
    </row>
    <row r="557" spans="1:22" s="191" customFormat="1" ht="15">
      <c r="A557" s="236">
        <v>546</v>
      </c>
      <c r="B557" s="244">
        <v>46110</v>
      </c>
      <c r="C557" s="245" t="s">
        <v>261</v>
      </c>
      <c r="D557" s="246" t="s">
        <v>811</v>
      </c>
      <c r="E557" s="247">
        <v>1</v>
      </c>
      <c r="F557" s="247"/>
      <c r="G557" s="248"/>
      <c r="H557" s="247"/>
      <c r="I557" s="249" t="s">
        <v>797</v>
      </c>
      <c r="J557" s="249" t="s">
        <v>21</v>
      </c>
      <c r="K557" s="249" t="s">
        <v>22</v>
      </c>
      <c r="L557" s="250">
        <f t="shared" si="34"/>
        <v>1</v>
      </c>
      <c r="M557" s="237">
        <f t="array" ref="M557">INDEX('BKTT T4.26'!$N$12:$N$55,MATCH(V557,'BKTT T4.26'!$A$12:$A$55,0),0)</f>
        <v>654871</v>
      </c>
      <c r="N557" s="162">
        <f t="shared" si="33"/>
        <v>654871</v>
      </c>
      <c r="O557" s="238" t="s">
        <v>264</v>
      </c>
      <c r="P557" s="251" t="s">
        <v>1448</v>
      </c>
      <c r="R557" s="191" t="str">
        <f t="shared" si="35"/>
        <v>Cước vận chuyển Container hàng 20' tuyến đường PAN HA - HẢI AN. BKS: 15H17712</v>
      </c>
      <c r="S557" s="191" t="str">
        <f t="shared" si="36"/>
        <v xml:space="preserve"> hàng 20' </v>
      </c>
      <c r="V557" s="191">
        <v>1</v>
      </c>
    </row>
    <row r="558" spans="1:22" s="191" customFormat="1" ht="15">
      <c r="A558" s="236">
        <v>547</v>
      </c>
      <c r="B558" s="244">
        <v>46110</v>
      </c>
      <c r="C558" s="245" t="s">
        <v>261</v>
      </c>
      <c r="D558" s="246" t="s">
        <v>812</v>
      </c>
      <c r="E558" s="247"/>
      <c r="F558" s="247">
        <v>1</v>
      </c>
      <c r="G558" s="248"/>
      <c r="H558" s="247"/>
      <c r="I558" s="249" t="s">
        <v>797</v>
      </c>
      <c r="J558" s="249" t="s">
        <v>21</v>
      </c>
      <c r="K558" s="249" t="s">
        <v>25</v>
      </c>
      <c r="L558" s="250">
        <f t="shared" si="34"/>
        <v>1</v>
      </c>
      <c r="M558" s="237">
        <f t="array" ref="M558">INDEX('BKTT T4.26'!$N$12:$N$55,MATCH(V558,'BKTT T4.26'!$A$12:$A$55,0),0)</f>
        <v>681050</v>
      </c>
      <c r="N558" s="162">
        <f t="shared" si="33"/>
        <v>681050</v>
      </c>
      <c r="O558" s="238" t="s">
        <v>264</v>
      </c>
      <c r="P558" s="251" t="s">
        <v>1448</v>
      </c>
      <c r="R558" s="191" t="str">
        <f t="shared" si="35"/>
        <v>Cước vận chuyển Container hàng 40' tuyến đường PAN HA - HẢI AN,. BKS: 15H17712</v>
      </c>
      <c r="S558" s="191" t="str">
        <f t="shared" si="36"/>
        <v xml:space="preserve"> hàng 40' </v>
      </c>
      <c r="V558" s="191">
        <v>2</v>
      </c>
    </row>
    <row r="559" spans="1:22" s="283" customFormat="1" ht="15">
      <c r="A559" s="236">
        <v>548</v>
      </c>
      <c r="B559" s="272">
        <v>46111</v>
      </c>
      <c r="C559" s="273" t="s">
        <v>261</v>
      </c>
      <c r="D559" s="285" t="s">
        <v>813</v>
      </c>
      <c r="E559" s="275">
        <v>1</v>
      </c>
      <c r="F559" s="275"/>
      <c r="G559" s="276"/>
      <c r="H559" s="275"/>
      <c r="I559" s="277" t="s">
        <v>797</v>
      </c>
      <c r="J559" s="249" t="s">
        <v>21</v>
      </c>
      <c r="K559" s="277" t="s">
        <v>36</v>
      </c>
      <c r="L559" s="278">
        <f t="shared" si="34"/>
        <v>1</v>
      </c>
      <c r="M559" s="279">
        <f t="array" ref="M559">INDEX('BKTT T4.26'!$N$12:$N$55,MATCH(V559,'BKTT T4.26'!$A$12:$A$55,0),0)</f>
        <v>576331</v>
      </c>
      <c r="N559" s="280">
        <f t="shared" si="33"/>
        <v>576331</v>
      </c>
      <c r="O559" s="281" t="s">
        <v>264</v>
      </c>
      <c r="P559" s="282" t="s">
        <v>1449</v>
      </c>
      <c r="R559" s="283" t="str">
        <f t="shared" si="35"/>
        <v>Cước vận chuyển Container hàng 20' tuyến đường PAN HA - NHĐV. BKS: 15H17712</v>
      </c>
      <c r="S559" s="283" t="str">
        <f t="shared" si="36"/>
        <v xml:space="preserve"> hàng 20' </v>
      </c>
      <c r="V559" s="191">
        <v>11</v>
      </c>
    </row>
    <row r="560" spans="1:22" s="283" customFormat="1" ht="15">
      <c r="A560" s="236">
        <v>549</v>
      </c>
      <c r="B560" s="272">
        <v>46111</v>
      </c>
      <c r="C560" s="273" t="s">
        <v>261</v>
      </c>
      <c r="D560" s="285" t="s">
        <v>814</v>
      </c>
      <c r="E560" s="275">
        <v>1</v>
      </c>
      <c r="F560" s="275"/>
      <c r="G560" s="276"/>
      <c r="H560" s="275"/>
      <c r="I560" s="277" t="s">
        <v>797</v>
      </c>
      <c r="J560" s="249" t="s">
        <v>21</v>
      </c>
      <c r="K560" s="277" t="s">
        <v>36</v>
      </c>
      <c r="L560" s="278">
        <f t="shared" si="34"/>
        <v>1</v>
      </c>
      <c r="M560" s="279">
        <f t="array" ref="M560">INDEX('BKTT T4.26'!$N$12:$N$55,MATCH(V560,'BKTT T4.26'!$A$12:$A$55,0),0)</f>
        <v>576331</v>
      </c>
      <c r="N560" s="280">
        <f t="shared" si="33"/>
        <v>576331</v>
      </c>
      <c r="O560" s="281" t="s">
        <v>264</v>
      </c>
      <c r="P560" s="282" t="s">
        <v>1449</v>
      </c>
      <c r="R560" s="283" t="str">
        <f t="shared" si="35"/>
        <v>Cước vận chuyển Container hàng 20' tuyến đường PAN HA - NHĐV. BKS: 15H17712</v>
      </c>
      <c r="S560" s="283" t="str">
        <f t="shared" si="36"/>
        <v xml:space="preserve"> hàng 20' </v>
      </c>
      <c r="V560" s="191">
        <v>11</v>
      </c>
    </row>
    <row r="561" spans="1:22" s="283" customFormat="1" ht="15">
      <c r="A561" s="236">
        <v>550</v>
      </c>
      <c r="B561" s="272">
        <v>46111</v>
      </c>
      <c r="C561" s="273" t="s">
        <v>261</v>
      </c>
      <c r="D561" s="285" t="s">
        <v>815</v>
      </c>
      <c r="E561" s="275">
        <v>1</v>
      </c>
      <c r="F561" s="275"/>
      <c r="G561" s="276"/>
      <c r="H561" s="275"/>
      <c r="I561" s="277" t="s">
        <v>797</v>
      </c>
      <c r="J561" s="249" t="s">
        <v>21</v>
      </c>
      <c r="K561" s="277" t="s">
        <v>36</v>
      </c>
      <c r="L561" s="278">
        <f t="shared" si="34"/>
        <v>1</v>
      </c>
      <c r="M561" s="279">
        <f t="array" ref="M561">INDEX('BKTT T4.26'!$N$12:$N$55,MATCH(V561,'BKTT T4.26'!$A$12:$A$55,0),0)</f>
        <v>576331</v>
      </c>
      <c r="N561" s="280">
        <f t="shared" si="33"/>
        <v>576331</v>
      </c>
      <c r="O561" s="281" t="s">
        <v>264</v>
      </c>
      <c r="P561" s="282" t="s">
        <v>1449</v>
      </c>
      <c r="R561" s="283" t="str">
        <f t="shared" si="35"/>
        <v>Cước vận chuyển Container hàng 20' tuyến đường PAN HA - NHĐV. BKS: 15H17712</v>
      </c>
      <c r="S561" s="283" t="str">
        <f t="shared" si="36"/>
        <v xml:space="preserve"> hàng 20' </v>
      </c>
      <c r="V561" s="191">
        <v>11</v>
      </c>
    </row>
    <row r="562" spans="1:22" s="191" customFormat="1" ht="15">
      <c r="A562" s="236">
        <v>551</v>
      </c>
      <c r="B562" s="244">
        <v>46111</v>
      </c>
      <c r="C562" s="245" t="s">
        <v>261</v>
      </c>
      <c r="D562" s="246" t="s">
        <v>816</v>
      </c>
      <c r="E562" s="247">
        <v>1</v>
      </c>
      <c r="F562" s="247"/>
      <c r="G562" s="248"/>
      <c r="H562" s="247"/>
      <c r="I562" s="249" t="s">
        <v>797</v>
      </c>
      <c r="J562" s="249" t="s">
        <v>21</v>
      </c>
      <c r="K562" s="249" t="s">
        <v>36</v>
      </c>
      <c r="L562" s="250">
        <f t="shared" si="34"/>
        <v>1</v>
      </c>
      <c r="M562" s="237">
        <f t="array" ref="M562">INDEX('BKTT T4.26'!$N$12:$N$55,MATCH(V562,'BKTT T4.26'!$A$12:$A$55,0),0)</f>
        <v>576331</v>
      </c>
      <c r="N562" s="162">
        <f t="shared" si="33"/>
        <v>576331</v>
      </c>
      <c r="O562" s="238" t="s">
        <v>264</v>
      </c>
      <c r="P562" s="251" t="s">
        <v>1448</v>
      </c>
      <c r="R562" s="191" t="str">
        <f t="shared" si="35"/>
        <v>Cước vận chuyển Container hàng 20' tuyến đường PAN HA - NHĐV. BKS: 15H17712</v>
      </c>
      <c r="S562" s="191" t="str">
        <f t="shared" si="36"/>
        <v xml:space="preserve"> hàng 20' </v>
      </c>
      <c r="V562" s="191">
        <v>11</v>
      </c>
    </row>
    <row r="563" spans="1:22" s="191" customFormat="1" ht="15">
      <c r="A563" s="236">
        <v>552</v>
      </c>
      <c r="B563" s="244">
        <v>46111</v>
      </c>
      <c r="C563" s="245" t="s">
        <v>261</v>
      </c>
      <c r="D563" s="246" t="s">
        <v>817</v>
      </c>
      <c r="E563" s="247">
        <v>1</v>
      </c>
      <c r="F563" s="247"/>
      <c r="G563" s="248"/>
      <c r="H563" s="247"/>
      <c r="I563" s="249" t="s">
        <v>797</v>
      </c>
      <c r="J563" s="249" t="s">
        <v>21</v>
      </c>
      <c r="K563" s="249" t="s">
        <v>22</v>
      </c>
      <c r="L563" s="250">
        <f t="shared" si="34"/>
        <v>1</v>
      </c>
      <c r="M563" s="237">
        <f t="array" ref="M563">INDEX('BKTT T4.26'!$N$12:$N$55,MATCH(V563,'BKTT T4.26'!$A$12:$A$55,0),0)</f>
        <v>654871</v>
      </c>
      <c r="N563" s="162">
        <f t="shared" si="33"/>
        <v>654871</v>
      </c>
      <c r="O563" s="238" t="s">
        <v>264</v>
      </c>
      <c r="P563" s="251" t="s">
        <v>1448</v>
      </c>
      <c r="R563" s="191" t="str">
        <f t="shared" si="35"/>
        <v>Cước vận chuyển Container hàng 20' tuyến đường PAN HA - HẢI AN. BKS: 15H17712</v>
      </c>
      <c r="S563" s="191" t="str">
        <f t="shared" si="36"/>
        <v xml:space="preserve"> hàng 20' </v>
      </c>
      <c r="V563" s="191">
        <v>1</v>
      </c>
    </row>
    <row r="564" spans="1:22" s="191" customFormat="1" ht="15">
      <c r="A564" s="236">
        <v>553</v>
      </c>
      <c r="B564" s="244">
        <v>46111</v>
      </c>
      <c r="C564" s="245" t="s">
        <v>261</v>
      </c>
      <c r="D564" s="246" t="s">
        <v>818</v>
      </c>
      <c r="E564" s="247">
        <v>1</v>
      </c>
      <c r="F564" s="247"/>
      <c r="G564" s="252"/>
      <c r="H564" s="247"/>
      <c r="I564" s="249" t="s">
        <v>797</v>
      </c>
      <c r="J564" s="249" t="s">
        <v>21</v>
      </c>
      <c r="K564" s="249" t="s">
        <v>22</v>
      </c>
      <c r="L564" s="250">
        <f t="shared" si="34"/>
        <v>1</v>
      </c>
      <c r="M564" s="237">
        <f t="array" ref="M564">INDEX('BKTT T4.26'!$N$12:$N$55,MATCH(V564,'BKTT T4.26'!$A$12:$A$55,0),0)</f>
        <v>654871</v>
      </c>
      <c r="N564" s="162">
        <f t="shared" si="33"/>
        <v>654871</v>
      </c>
      <c r="O564" s="238" t="s">
        <v>264</v>
      </c>
      <c r="P564" s="251" t="s">
        <v>1448</v>
      </c>
      <c r="R564" s="191" t="str">
        <f t="shared" si="35"/>
        <v>Cước vận chuyển Container hàng 20' tuyến đường PAN HA - HẢI AN. BKS: 15H17712</v>
      </c>
      <c r="S564" s="191" t="str">
        <f t="shared" si="36"/>
        <v xml:space="preserve"> hàng 20' </v>
      </c>
      <c r="V564" s="191">
        <v>1</v>
      </c>
    </row>
    <row r="565" spans="1:22" s="191" customFormat="1" ht="15">
      <c r="A565" s="236">
        <v>554</v>
      </c>
      <c r="B565" s="244">
        <v>46113</v>
      </c>
      <c r="C565" s="245" t="s">
        <v>261</v>
      </c>
      <c r="D565" s="246" t="s">
        <v>819</v>
      </c>
      <c r="E565" s="247">
        <v>1</v>
      </c>
      <c r="F565" s="247"/>
      <c r="G565" s="252"/>
      <c r="H565" s="247"/>
      <c r="I565" s="249" t="s">
        <v>797</v>
      </c>
      <c r="J565" s="249" t="s">
        <v>21</v>
      </c>
      <c r="K565" s="249" t="s">
        <v>22</v>
      </c>
      <c r="L565" s="250">
        <f t="shared" si="34"/>
        <v>1</v>
      </c>
      <c r="M565" s="237">
        <f t="array" ref="M565">INDEX('BKTT T4.26'!$N$12:$N$55,MATCH(V565,'BKTT T4.26'!$A$12:$A$55,0),0)</f>
        <v>654871</v>
      </c>
      <c r="N565" s="162">
        <f t="shared" si="33"/>
        <v>654871</v>
      </c>
      <c r="O565" s="238" t="s">
        <v>264</v>
      </c>
      <c r="P565" s="251" t="s">
        <v>1448</v>
      </c>
      <c r="R565" s="191" t="str">
        <f t="shared" si="35"/>
        <v>Cước vận chuyển Container hàng 20' tuyến đường PAN HA - HẢI AN. BKS: 15H17712</v>
      </c>
      <c r="S565" s="191" t="str">
        <f t="shared" si="36"/>
        <v xml:space="preserve"> hàng 20' </v>
      </c>
      <c r="V565" s="191">
        <v>1</v>
      </c>
    </row>
    <row r="566" spans="1:22" s="191" customFormat="1" ht="15">
      <c r="A566" s="236">
        <v>555</v>
      </c>
      <c r="B566" s="244">
        <v>46113</v>
      </c>
      <c r="C566" s="245" t="s">
        <v>261</v>
      </c>
      <c r="D566" s="246" t="s">
        <v>820</v>
      </c>
      <c r="E566" s="247">
        <v>1</v>
      </c>
      <c r="F566" s="247"/>
      <c r="G566" s="248"/>
      <c r="H566" s="247"/>
      <c r="I566" s="249" t="s">
        <v>797</v>
      </c>
      <c r="J566" s="249" t="s">
        <v>21</v>
      </c>
      <c r="K566" s="249" t="s">
        <v>22</v>
      </c>
      <c r="L566" s="250">
        <f t="shared" si="34"/>
        <v>1</v>
      </c>
      <c r="M566" s="237">
        <f t="array" ref="M566">INDEX('BKTT T4.26'!$N$12:$N$55,MATCH(V566,'BKTT T4.26'!$A$12:$A$55,0),0)</f>
        <v>654871</v>
      </c>
      <c r="N566" s="162">
        <f t="shared" si="33"/>
        <v>654871</v>
      </c>
      <c r="O566" s="238" t="s">
        <v>264</v>
      </c>
      <c r="P566" s="251" t="s">
        <v>1448</v>
      </c>
      <c r="R566" s="191" t="str">
        <f t="shared" si="35"/>
        <v>Cước vận chuyển Container hàng 20' tuyến đường PAN HA - HẢI AN. BKS: 15H17712</v>
      </c>
      <c r="S566" s="191" t="str">
        <f t="shared" si="36"/>
        <v xml:space="preserve"> hàng 20' </v>
      </c>
      <c r="V566" s="191">
        <v>1</v>
      </c>
    </row>
    <row r="567" spans="1:22" s="191" customFormat="1" ht="15">
      <c r="A567" s="236">
        <v>556</v>
      </c>
      <c r="B567" s="244">
        <v>46113</v>
      </c>
      <c r="C567" s="245" t="s">
        <v>261</v>
      </c>
      <c r="D567" s="246" t="s">
        <v>821</v>
      </c>
      <c r="E567" s="247"/>
      <c r="F567" s="247">
        <v>1</v>
      </c>
      <c r="G567" s="248"/>
      <c r="H567" s="247"/>
      <c r="I567" s="249" t="s">
        <v>797</v>
      </c>
      <c r="J567" s="249" t="s">
        <v>21</v>
      </c>
      <c r="K567" s="249" t="s">
        <v>25</v>
      </c>
      <c r="L567" s="250">
        <f t="shared" si="34"/>
        <v>1</v>
      </c>
      <c r="M567" s="237">
        <f t="array" ref="M567">INDEX('BKTT T4.26'!$N$12:$N$55,MATCH(V567,'BKTT T4.26'!$A$12:$A$55,0),0)</f>
        <v>681050</v>
      </c>
      <c r="N567" s="162">
        <f t="shared" si="33"/>
        <v>681050</v>
      </c>
      <c r="O567" s="238" t="s">
        <v>264</v>
      </c>
      <c r="P567" s="251" t="s">
        <v>98</v>
      </c>
      <c r="R567" s="191" t="str">
        <f t="shared" si="35"/>
        <v>Cước vận chuyển Container hàng 40' tuyến đường PAN HA - HẢI AN,. BKS: 15H17712</v>
      </c>
      <c r="S567" s="191" t="str">
        <f t="shared" si="36"/>
        <v xml:space="preserve"> hàng 40' </v>
      </c>
      <c r="V567" s="191">
        <v>2</v>
      </c>
    </row>
    <row r="568" spans="1:22" s="191" customFormat="1" ht="15">
      <c r="A568" s="236">
        <v>557</v>
      </c>
      <c r="B568" s="244">
        <v>46113</v>
      </c>
      <c r="C568" s="245" t="s">
        <v>261</v>
      </c>
      <c r="D568" s="246" t="s">
        <v>822</v>
      </c>
      <c r="E568" s="247"/>
      <c r="F568" s="247">
        <v>1</v>
      </c>
      <c r="G568" s="248"/>
      <c r="H568" s="247"/>
      <c r="I568" s="249" t="s">
        <v>797</v>
      </c>
      <c r="J568" s="249" t="s">
        <v>21</v>
      </c>
      <c r="K568" s="249" t="s">
        <v>25</v>
      </c>
      <c r="L568" s="250">
        <f t="shared" si="34"/>
        <v>1</v>
      </c>
      <c r="M568" s="237">
        <f t="array" ref="M568">INDEX('BKTT T4.26'!$N$12:$N$55,MATCH(V568,'BKTT T4.26'!$A$12:$A$55,0),0)</f>
        <v>681050</v>
      </c>
      <c r="N568" s="162">
        <f t="shared" si="33"/>
        <v>681050</v>
      </c>
      <c r="O568" s="238" t="s">
        <v>264</v>
      </c>
      <c r="P568" s="251" t="s">
        <v>1448</v>
      </c>
      <c r="R568" s="191" t="str">
        <f t="shared" si="35"/>
        <v>Cước vận chuyển Container hàng 40' tuyến đường PAN HA - HẢI AN,. BKS: 15H17712</v>
      </c>
      <c r="S568" s="191" t="str">
        <f t="shared" si="36"/>
        <v xml:space="preserve"> hàng 40' </v>
      </c>
      <c r="V568" s="191">
        <v>2</v>
      </c>
    </row>
    <row r="569" spans="1:22" s="283" customFormat="1" ht="15">
      <c r="A569" s="236">
        <v>558</v>
      </c>
      <c r="B569" s="272">
        <v>46113</v>
      </c>
      <c r="C569" s="273" t="s">
        <v>261</v>
      </c>
      <c r="D569" s="285" t="s">
        <v>1468</v>
      </c>
      <c r="E569" s="275"/>
      <c r="F569" s="247">
        <v>1</v>
      </c>
      <c r="G569" s="276"/>
      <c r="H569" s="275"/>
      <c r="I569" s="277" t="s">
        <v>797</v>
      </c>
      <c r="J569" s="249" t="s">
        <v>21</v>
      </c>
      <c r="K569" s="249" t="s">
        <v>25</v>
      </c>
      <c r="L569" s="278">
        <f t="shared" si="34"/>
        <v>1</v>
      </c>
      <c r="M569" s="279">
        <f t="array" ref="M569">INDEX('BKTT T4.26'!$N$12:$N$55,MATCH(V569,'BKTT T4.26'!$A$12:$A$55,0),0)</f>
        <v>681050</v>
      </c>
      <c r="N569" s="280">
        <f t="shared" si="33"/>
        <v>681050</v>
      </c>
      <c r="O569" s="281" t="s">
        <v>264</v>
      </c>
      <c r="P569" s="282" t="s">
        <v>1447</v>
      </c>
      <c r="R569" s="283" t="str">
        <f t="shared" si="35"/>
        <v>Cước vận chuyển Container hàng 40' tuyến đường PAN HA - HẢI AN,. BKS: 15H17712</v>
      </c>
      <c r="S569" s="283" t="str">
        <f t="shared" si="36"/>
        <v xml:space="preserve"> hàng 40' </v>
      </c>
      <c r="V569" s="191">
        <v>2</v>
      </c>
    </row>
    <row r="570" spans="1:22" s="191" customFormat="1" ht="15">
      <c r="A570" s="236">
        <v>559</v>
      </c>
      <c r="B570" s="244">
        <v>46120</v>
      </c>
      <c r="C570" s="245" t="s">
        <v>261</v>
      </c>
      <c r="D570" s="246" t="s">
        <v>823</v>
      </c>
      <c r="E570" s="247">
        <v>1</v>
      </c>
      <c r="F570" s="247"/>
      <c r="G570" s="248"/>
      <c r="H570" s="247"/>
      <c r="I570" s="249" t="s">
        <v>797</v>
      </c>
      <c r="J570" s="249" t="s">
        <v>21</v>
      </c>
      <c r="K570" s="249" t="s">
        <v>36</v>
      </c>
      <c r="L570" s="250">
        <f t="shared" si="34"/>
        <v>1</v>
      </c>
      <c r="M570" s="237">
        <f t="array" ref="M570">INDEX('BKTT T4.26'!$N$12:$N$55,MATCH(V570,'BKTT T4.26'!$A$12:$A$55,0),0)</f>
        <v>576331</v>
      </c>
      <c r="N570" s="162">
        <f t="shared" si="33"/>
        <v>576331</v>
      </c>
      <c r="O570" s="238" t="s">
        <v>264</v>
      </c>
      <c r="P570" s="251" t="s">
        <v>1448</v>
      </c>
      <c r="R570" s="191" t="str">
        <f t="shared" si="35"/>
        <v>Cước vận chuyển Container hàng 20' tuyến đường PAN HA - NHĐV. BKS: 15H17712</v>
      </c>
      <c r="S570" s="191" t="str">
        <f t="shared" si="36"/>
        <v xml:space="preserve"> hàng 20' </v>
      </c>
      <c r="V570" s="191">
        <v>11</v>
      </c>
    </row>
    <row r="571" spans="1:22" s="191" customFormat="1" ht="15">
      <c r="A571" s="236">
        <v>560</v>
      </c>
      <c r="B571" s="244">
        <v>46120</v>
      </c>
      <c r="C571" s="245" t="s">
        <v>261</v>
      </c>
      <c r="D571" s="246" t="s">
        <v>824</v>
      </c>
      <c r="E571" s="247">
        <v>1</v>
      </c>
      <c r="F571" s="247"/>
      <c r="G571" s="248"/>
      <c r="H571" s="247"/>
      <c r="I571" s="249" t="s">
        <v>797</v>
      </c>
      <c r="J571" s="249" t="s">
        <v>21</v>
      </c>
      <c r="K571" s="249" t="s">
        <v>36</v>
      </c>
      <c r="L571" s="250">
        <f t="shared" si="34"/>
        <v>1</v>
      </c>
      <c r="M571" s="237">
        <f t="array" ref="M571">INDEX('BKTT T4.26'!$N$12:$N$55,MATCH(V571,'BKTT T4.26'!$A$12:$A$55,0),0)</f>
        <v>576331</v>
      </c>
      <c r="N571" s="162">
        <f t="shared" si="33"/>
        <v>576331</v>
      </c>
      <c r="O571" s="238" t="s">
        <v>264</v>
      </c>
      <c r="P571" s="251" t="s">
        <v>1448</v>
      </c>
      <c r="R571" s="191" t="str">
        <f t="shared" si="35"/>
        <v>Cước vận chuyển Container hàng 20' tuyến đường PAN HA - NHĐV. BKS: 15H17712</v>
      </c>
      <c r="S571" s="191" t="str">
        <f t="shared" si="36"/>
        <v xml:space="preserve"> hàng 20' </v>
      </c>
      <c r="V571" s="191">
        <v>11</v>
      </c>
    </row>
    <row r="572" spans="1:22" s="191" customFormat="1" ht="15">
      <c r="A572" s="236">
        <v>561</v>
      </c>
      <c r="B572" s="244">
        <v>46120</v>
      </c>
      <c r="C572" s="245" t="s">
        <v>261</v>
      </c>
      <c r="D572" s="246" t="s">
        <v>825</v>
      </c>
      <c r="E572" s="247"/>
      <c r="F572" s="247"/>
      <c r="G572" s="248"/>
      <c r="H572" s="247">
        <v>1</v>
      </c>
      <c r="I572" s="249" t="s">
        <v>269</v>
      </c>
      <c r="J572" s="249" t="s">
        <v>38</v>
      </c>
      <c r="K572" s="249" t="s">
        <v>21</v>
      </c>
      <c r="L572" s="250">
        <f t="shared" si="34"/>
        <v>1</v>
      </c>
      <c r="M572" s="237">
        <f t="array" ref="M572">INDEX('BKTT T4.26'!$N$12:$N$55,MATCH(V572,'BKTT T4.26'!$A$12:$A$55,0),0)</f>
        <v>585057</v>
      </c>
      <c r="N572" s="162">
        <f t="shared" si="33"/>
        <v>585057</v>
      </c>
      <c r="O572" s="238" t="s">
        <v>267</v>
      </c>
      <c r="P572" s="251" t="s">
        <v>1448</v>
      </c>
      <c r="R572" s="191" t="str">
        <f t="shared" si="35"/>
        <v>Cước vận chuyển Container vỏ tuyến đường NHĐV. - PAN HA. BKS: 15H07644</v>
      </c>
      <c r="S572" s="191" t="str">
        <f t="shared" si="36"/>
        <v xml:space="preserve"> vỏ </v>
      </c>
      <c r="V572" s="191">
        <v>16</v>
      </c>
    </row>
    <row r="573" spans="1:22" s="191" customFormat="1" ht="15">
      <c r="A573" s="236">
        <v>562</v>
      </c>
      <c r="B573" s="244">
        <v>46120</v>
      </c>
      <c r="C573" s="245" t="s">
        <v>261</v>
      </c>
      <c r="D573" s="284" t="s">
        <v>826</v>
      </c>
      <c r="E573" s="247"/>
      <c r="F573" s="247"/>
      <c r="G573" s="248"/>
      <c r="H573" s="247">
        <v>1</v>
      </c>
      <c r="I573" s="249" t="s">
        <v>269</v>
      </c>
      <c r="J573" s="249" t="s">
        <v>38</v>
      </c>
      <c r="K573" s="249" t="s">
        <v>21</v>
      </c>
      <c r="L573" s="250">
        <f t="shared" si="34"/>
        <v>1</v>
      </c>
      <c r="M573" s="237">
        <f t="array" ref="M573">INDEX('BKTT T4.26'!$N$12:$N$55,MATCH(V573,'BKTT T4.26'!$A$12:$A$55,0),0)</f>
        <v>585057</v>
      </c>
      <c r="N573" s="162">
        <f t="shared" si="33"/>
        <v>585057</v>
      </c>
      <c r="O573" s="238" t="s">
        <v>267</v>
      </c>
      <c r="P573" s="251" t="s">
        <v>1448</v>
      </c>
      <c r="R573" s="191" t="str">
        <f t="shared" si="35"/>
        <v>Cước vận chuyển Container vỏ tuyến đường NHĐV. - PAN HA. BKS: 15H07644</v>
      </c>
      <c r="S573" s="191" t="str">
        <f t="shared" si="36"/>
        <v xml:space="preserve"> vỏ </v>
      </c>
      <c r="V573" s="191">
        <v>16</v>
      </c>
    </row>
    <row r="574" spans="1:22" s="191" customFormat="1" ht="15">
      <c r="A574" s="236">
        <v>563</v>
      </c>
      <c r="B574" s="244">
        <v>46120</v>
      </c>
      <c r="C574" s="245" t="s">
        <v>261</v>
      </c>
      <c r="D574" s="246" t="s">
        <v>827</v>
      </c>
      <c r="E574" s="247">
        <v>1</v>
      </c>
      <c r="F574" s="247"/>
      <c r="G574" s="248"/>
      <c r="H574" s="247"/>
      <c r="I574" s="249" t="s">
        <v>263</v>
      </c>
      <c r="J574" s="249" t="s">
        <v>21</v>
      </c>
      <c r="K574" s="249" t="s">
        <v>36</v>
      </c>
      <c r="L574" s="250">
        <f t="shared" si="34"/>
        <v>1</v>
      </c>
      <c r="M574" s="237">
        <f t="array" ref="M574">INDEX('BKTT T4.26'!$N$12:$N$55,MATCH(V574,'BKTT T4.26'!$A$12:$A$55,0),0)</f>
        <v>576331</v>
      </c>
      <c r="N574" s="162">
        <f t="shared" si="33"/>
        <v>576331</v>
      </c>
      <c r="O574" s="238" t="s">
        <v>264</v>
      </c>
      <c r="P574" s="251" t="s">
        <v>1448</v>
      </c>
      <c r="R574" s="191" t="str">
        <f t="shared" si="35"/>
        <v>Cước vận chuyển Container hàng 20' tuyến đường PAN HA - NHĐV. BKS: 15C17442</v>
      </c>
      <c r="S574" s="191" t="str">
        <f t="shared" si="36"/>
        <v xml:space="preserve"> hàng 20' </v>
      </c>
      <c r="V574" s="191">
        <v>11</v>
      </c>
    </row>
    <row r="575" spans="1:22" s="191" customFormat="1" ht="15">
      <c r="A575" s="236">
        <v>564</v>
      </c>
      <c r="B575" s="244">
        <v>46120</v>
      </c>
      <c r="C575" s="245" t="s">
        <v>261</v>
      </c>
      <c r="D575" s="246" t="s">
        <v>828</v>
      </c>
      <c r="E575" s="247">
        <v>1</v>
      </c>
      <c r="F575" s="247"/>
      <c r="G575" s="248"/>
      <c r="H575" s="247"/>
      <c r="I575" s="249" t="s">
        <v>263</v>
      </c>
      <c r="J575" s="249" t="s">
        <v>21</v>
      </c>
      <c r="K575" s="249" t="s">
        <v>36</v>
      </c>
      <c r="L575" s="250">
        <f t="shared" si="34"/>
        <v>1</v>
      </c>
      <c r="M575" s="237">
        <f t="array" ref="M575">INDEX('BKTT T4.26'!$N$12:$N$55,MATCH(V575,'BKTT T4.26'!$A$12:$A$55,0),0)</f>
        <v>576331</v>
      </c>
      <c r="N575" s="162">
        <f t="shared" si="33"/>
        <v>576331</v>
      </c>
      <c r="O575" s="238" t="s">
        <v>264</v>
      </c>
      <c r="P575" s="251" t="s">
        <v>1448</v>
      </c>
      <c r="R575" s="191" t="str">
        <f t="shared" si="35"/>
        <v>Cước vận chuyển Container hàng 20' tuyến đường PAN HA - NHĐV. BKS: 15C17442</v>
      </c>
      <c r="S575" s="191" t="str">
        <f t="shared" si="36"/>
        <v xml:space="preserve"> hàng 20' </v>
      </c>
      <c r="V575" s="191">
        <v>11</v>
      </c>
    </row>
    <row r="576" spans="1:22" s="191" customFormat="1" ht="15">
      <c r="A576" s="236">
        <v>565</v>
      </c>
      <c r="B576" s="244">
        <v>46120</v>
      </c>
      <c r="C576" s="245" t="s">
        <v>261</v>
      </c>
      <c r="D576" s="246" t="s">
        <v>829</v>
      </c>
      <c r="E576" s="247">
        <v>1</v>
      </c>
      <c r="F576" s="247"/>
      <c r="G576" s="248"/>
      <c r="H576" s="247"/>
      <c r="I576" s="249" t="s">
        <v>263</v>
      </c>
      <c r="J576" s="249" t="s">
        <v>21</v>
      </c>
      <c r="K576" s="249" t="s">
        <v>36</v>
      </c>
      <c r="L576" s="250">
        <f t="shared" si="34"/>
        <v>1</v>
      </c>
      <c r="M576" s="237">
        <f t="array" ref="M576">INDEX('BKTT T4.26'!$N$12:$N$55,MATCH(V576,'BKTT T4.26'!$A$12:$A$55,0),0)</f>
        <v>576331</v>
      </c>
      <c r="N576" s="162">
        <f t="shared" si="33"/>
        <v>576331</v>
      </c>
      <c r="O576" s="238" t="s">
        <v>264</v>
      </c>
      <c r="P576" s="251" t="s">
        <v>1448</v>
      </c>
      <c r="R576" s="191" t="str">
        <f t="shared" si="35"/>
        <v>Cước vận chuyển Container hàng 20' tuyến đường PAN HA - NHĐV. BKS: 15C17442</v>
      </c>
      <c r="S576" s="191" t="str">
        <f t="shared" si="36"/>
        <v xml:space="preserve"> hàng 20' </v>
      </c>
      <c r="V576" s="191">
        <v>11</v>
      </c>
    </row>
    <row r="577" spans="1:22" s="191" customFormat="1" ht="15">
      <c r="A577" s="236">
        <v>566</v>
      </c>
      <c r="B577" s="244">
        <v>46120</v>
      </c>
      <c r="C577" s="245" t="s">
        <v>261</v>
      </c>
      <c r="D577" s="246" t="s">
        <v>830</v>
      </c>
      <c r="E577" s="247"/>
      <c r="F577" s="247"/>
      <c r="G577" s="248"/>
      <c r="H577" s="247">
        <v>1</v>
      </c>
      <c r="I577" s="249" t="s">
        <v>335</v>
      </c>
      <c r="J577" s="249" t="s">
        <v>38</v>
      </c>
      <c r="K577" s="249" t="s">
        <v>21</v>
      </c>
      <c r="L577" s="250">
        <f t="shared" si="34"/>
        <v>1</v>
      </c>
      <c r="M577" s="237">
        <f t="array" ref="M577">INDEX('BKTT T4.26'!$N$12:$N$55,MATCH(V577,'BKTT T4.26'!$A$12:$A$55,0),0)</f>
        <v>585057</v>
      </c>
      <c r="N577" s="162">
        <f t="shared" si="33"/>
        <v>585057</v>
      </c>
      <c r="O577" s="238" t="s">
        <v>267</v>
      </c>
      <c r="P577" s="251" t="s">
        <v>1448</v>
      </c>
      <c r="R577" s="191" t="str">
        <f t="shared" si="35"/>
        <v>Cước vận chuyển Container vỏ tuyến đường NHĐV. - PAN HA. BKS: 15H18552</v>
      </c>
      <c r="S577" s="191" t="str">
        <f t="shared" si="36"/>
        <v xml:space="preserve"> vỏ </v>
      </c>
      <c r="V577" s="191">
        <v>16</v>
      </c>
    </row>
    <row r="578" spans="1:22" s="191" customFormat="1" ht="15">
      <c r="A578" s="236">
        <v>567</v>
      </c>
      <c r="B578" s="244">
        <v>46120</v>
      </c>
      <c r="C578" s="245" t="s">
        <v>261</v>
      </c>
      <c r="D578" s="246" t="s">
        <v>831</v>
      </c>
      <c r="E578" s="247"/>
      <c r="F578" s="247"/>
      <c r="G578" s="248"/>
      <c r="H578" s="247">
        <v>1</v>
      </c>
      <c r="I578" s="249" t="s">
        <v>369</v>
      </c>
      <c r="J578" s="249" t="s">
        <v>38</v>
      </c>
      <c r="K578" s="249" t="s">
        <v>21</v>
      </c>
      <c r="L578" s="250">
        <f t="shared" si="34"/>
        <v>1</v>
      </c>
      <c r="M578" s="237">
        <f t="array" ref="M578">INDEX('BKTT T4.26'!$N$12:$N$55,MATCH(V578,'BKTT T4.26'!$A$12:$A$55,0),0)</f>
        <v>585057</v>
      </c>
      <c r="N578" s="162">
        <f t="shared" si="33"/>
        <v>585057</v>
      </c>
      <c r="O578" s="238" t="s">
        <v>267</v>
      </c>
      <c r="P578" s="251" t="s">
        <v>1448</v>
      </c>
      <c r="R578" s="191" t="str">
        <f t="shared" si="35"/>
        <v>Cước vận chuyển Container vỏ tuyến đường NHĐV. - PAN HA. BKS: 15C15033</v>
      </c>
      <c r="S578" s="191" t="str">
        <f t="shared" si="36"/>
        <v xml:space="preserve"> vỏ </v>
      </c>
      <c r="V578" s="191">
        <v>16</v>
      </c>
    </row>
    <row r="579" spans="1:22" s="191" customFormat="1" ht="15">
      <c r="A579" s="236">
        <v>568</v>
      </c>
      <c r="B579" s="244">
        <v>46121</v>
      </c>
      <c r="C579" s="245" t="s">
        <v>261</v>
      </c>
      <c r="D579" s="246" t="s">
        <v>832</v>
      </c>
      <c r="E579" s="247">
        <v>1</v>
      </c>
      <c r="F579" s="247"/>
      <c r="G579" s="248"/>
      <c r="H579" s="247"/>
      <c r="I579" s="249" t="s">
        <v>304</v>
      </c>
      <c r="J579" s="249" t="s">
        <v>21</v>
      </c>
      <c r="K579" s="249" t="s">
        <v>36</v>
      </c>
      <c r="L579" s="250">
        <f t="shared" si="34"/>
        <v>1</v>
      </c>
      <c r="M579" s="237">
        <f t="array" ref="M579">INDEX('BKTT T4.26'!$N$12:$N$55,MATCH(V579,'BKTT T4.26'!$A$12:$A$55,0),0)</f>
        <v>576331</v>
      </c>
      <c r="N579" s="162">
        <f t="shared" si="33"/>
        <v>576331</v>
      </c>
      <c r="O579" s="238" t="s">
        <v>264</v>
      </c>
      <c r="P579" s="251" t="s">
        <v>1448</v>
      </c>
      <c r="R579" s="191" t="str">
        <f t="shared" si="35"/>
        <v>Cước vận chuyển Container hàng 20' tuyến đường PAN HA - NHĐV. BKS: 15C09877</v>
      </c>
      <c r="S579" s="191" t="str">
        <f t="shared" si="36"/>
        <v xml:space="preserve"> hàng 20' </v>
      </c>
      <c r="V579" s="191">
        <v>11</v>
      </c>
    </row>
    <row r="580" spans="1:22" s="191" customFormat="1" ht="15">
      <c r="A580" s="236">
        <v>569</v>
      </c>
      <c r="B580" s="244">
        <v>46121</v>
      </c>
      <c r="C580" s="245" t="s">
        <v>261</v>
      </c>
      <c r="D580" s="246" t="s">
        <v>833</v>
      </c>
      <c r="E580" s="247">
        <v>1</v>
      </c>
      <c r="F580" s="247"/>
      <c r="G580" s="248"/>
      <c r="H580" s="247"/>
      <c r="I580" s="249" t="s">
        <v>304</v>
      </c>
      <c r="J580" s="249" t="s">
        <v>21</v>
      </c>
      <c r="K580" s="249" t="s">
        <v>36</v>
      </c>
      <c r="L580" s="250">
        <f t="shared" si="34"/>
        <v>1</v>
      </c>
      <c r="M580" s="237">
        <f t="array" ref="M580">INDEX('BKTT T4.26'!$N$12:$N$55,MATCH(V580,'BKTT T4.26'!$A$12:$A$55,0),0)</f>
        <v>576331</v>
      </c>
      <c r="N580" s="162">
        <f t="shared" si="33"/>
        <v>576331</v>
      </c>
      <c r="O580" s="238" t="s">
        <v>264</v>
      </c>
      <c r="P580" s="251" t="s">
        <v>1448</v>
      </c>
      <c r="R580" s="191" t="str">
        <f t="shared" si="35"/>
        <v>Cước vận chuyển Container hàng 20' tuyến đường PAN HA - NHĐV. BKS: 15C09877</v>
      </c>
      <c r="S580" s="191" t="str">
        <f t="shared" si="36"/>
        <v xml:space="preserve"> hàng 20' </v>
      </c>
      <c r="V580" s="191">
        <v>11</v>
      </c>
    </row>
    <row r="581" spans="1:22" s="191" customFormat="1" ht="15">
      <c r="A581" s="236">
        <v>570</v>
      </c>
      <c r="B581" s="244">
        <v>46121</v>
      </c>
      <c r="C581" s="245" t="s">
        <v>261</v>
      </c>
      <c r="D581" s="246" t="s">
        <v>834</v>
      </c>
      <c r="E581" s="247">
        <v>1</v>
      </c>
      <c r="F581" s="247"/>
      <c r="G581" s="248"/>
      <c r="H581" s="247"/>
      <c r="I581" s="249" t="s">
        <v>304</v>
      </c>
      <c r="J581" s="249" t="s">
        <v>21</v>
      </c>
      <c r="K581" s="249" t="s">
        <v>22</v>
      </c>
      <c r="L581" s="250">
        <f t="shared" si="34"/>
        <v>1</v>
      </c>
      <c r="M581" s="237">
        <f t="array" ref="M581">INDEX('BKTT T4.26'!$N$12:$N$55,MATCH(V581,'BKTT T4.26'!$A$12:$A$55,0),0)</f>
        <v>654871</v>
      </c>
      <c r="N581" s="162">
        <f t="shared" ref="N581:N645" si="37">L581*M581</f>
        <v>654871</v>
      </c>
      <c r="O581" s="238" t="s">
        <v>264</v>
      </c>
      <c r="P581" s="251" t="s">
        <v>1448</v>
      </c>
      <c r="R581" s="191" t="str">
        <f t="shared" si="35"/>
        <v>Cước vận chuyển Container hàng 20' tuyến đường PAN HA - HẢI AN. BKS: 15C09877</v>
      </c>
      <c r="S581" s="191" t="str">
        <f t="shared" si="36"/>
        <v xml:space="preserve"> hàng 20' </v>
      </c>
      <c r="V581" s="191">
        <v>1</v>
      </c>
    </row>
    <row r="582" spans="1:22" s="191" customFormat="1" ht="15">
      <c r="A582" s="236">
        <v>571</v>
      </c>
      <c r="B582" s="244">
        <v>46121</v>
      </c>
      <c r="C582" s="245" t="s">
        <v>261</v>
      </c>
      <c r="D582" s="246" t="s">
        <v>835</v>
      </c>
      <c r="E582" s="247">
        <v>1</v>
      </c>
      <c r="F582" s="247"/>
      <c r="G582" s="248"/>
      <c r="H582" s="247"/>
      <c r="I582" s="249" t="s">
        <v>304</v>
      </c>
      <c r="J582" s="249" t="s">
        <v>21</v>
      </c>
      <c r="K582" s="249" t="s">
        <v>22</v>
      </c>
      <c r="L582" s="250">
        <f t="shared" si="34"/>
        <v>1</v>
      </c>
      <c r="M582" s="237">
        <f t="array" ref="M582">INDEX('BKTT T4.26'!$N$12:$N$55,MATCH(V582,'BKTT T4.26'!$A$12:$A$55,0),0)</f>
        <v>654871</v>
      </c>
      <c r="N582" s="162">
        <f t="shared" si="37"/>
        <v>654871</v>
      </c>
      <c r="O582" s="238" t="s">
        <v>264</v>
      </c>
      <c r="P582" s="251" t="s">
        <v>1448</v>
      </c>
      <c r="R582" s="191" t="str">
        <f t="shared" si="35"/>
        <v>Cước vận chuyển Container hàng 20' tuyến đường PAN HA - HẢI AN. BKS: 15C09877</v>
      </c>
      <c r="S582" s="191" t="str">
        <f t="shared" si="36"/>
        <v xml:space="preserve"> hàng 20' </v>
      </c>
      <c r="V582" s="191">
        <v>1</v>
      </c>
    </row>
    <row r="583" spans="1:22" s="191" customFormat="1" ht="15">
      <c r="A583" s="236">
        <v>572</v>
      </c>
      <c r="B583" s="244">
        <v>46121</v>
      </c>
      <c r="C583" s="245" t="s">
        <v>261</v>
      </c>
      <c r="D583" s="246" t="s">
        <v>836</v>
      </c>
      <c r="E583" s="247">
        <v>1</v>
      </c>
      <c r="F583" s="247"/>
      <c r="G583" s="248"/>
      <c r="H583" s="247"/>
      <c r="I583" s="249" t="s">
        <v>369</v>
      </c>
      <c r="J583" s="249" t="s">
        <v>21</v>
      </c>
      <c r="K583" s="249" t="s">
        <v>22</v>
      </c>
      <c r="L583" s="250">
        <f t="shared" si="34"/>
        <v>1</v>
      </c>
      <c r="M583" s="237">
        <f t="array" ref="M583">INDEX('BKTT T4.26'!$N$12:$N$55,MATCH(V583,'BKTT T4.26'!$A$12:$A$55,0),0)</f>
        <v>654871</v>
      </c>
      <c r="N583" s="162">
        <f t="shared" si="37"/>
        <v>654871</v>
      </c>
      <c r="O583" s="238" t="s">
        <v>264</v>
      </c>
      <c r="P583" s="251" t="s">
        <v>1448</v>
      </c>
      <c r="R583" s="191" t="str">
        <f t="shared" si="35"/>
        <v>Cước vận chuyển Container hàng 20' tuyến đường PAN HA - HẢI AN. BKS: 15C15033</v>
      </c>
      <c r="S583" s="191" t="str">
        <f t="shared" si="36"/>
        <v xml:space="preserve"> hàng 20' </v>
      </c>
      <c r="V583" s="191">
        <v>1</v>
      </c>
    </row>
    <row r="584" spans="1:22" s="191" customFormat="1" ht="15">
      <c r="A584" s="236">
        <v>573</v>
      </c>
      <c r="B584" s="244">
        <v>46121</v>
      </c>
      <c r="C584" s="245" t="s">
        <v>261</v>
      </c>
      <c r="D584" s="246" t="s">
        <v>837</v>
      </c>
      <c r="E584" s="247">
        <v>1</v>
      </c>
      <c r="F584" s="247"/>
      <c r="G584" s="248"/>
      <c r="H584" s="247"/>
      <c r="I584" s="249" t="s">
        <v>369</v>
      </c>
      <c r="J584" s="249" t="s">
        <v>21</v>
      </c>
      <c r="K584" s="249" t="s">
        <v>22</v>
      </c>
      <c r="L584" s="250">
        <f t="shared" si="34"/>
        <v>1</v>
      </c>
      <c r="M584" s="237">
        <f t="array" ref="M584">INDEX('BKTT T4.26'!$N$12:$N$55,MATCH(V584,'BKTT T4.26'!$A$12:$A$55,0),0)</f>
        <v>654871</v>
      </c>
      <c r="N584" s="162">
        <f t="shared" si="37"/>
        <v>654871</v>
      </c>
      <c r="O584" s="238" t="s">
        <v>264</v>
      </c>
      <c r="P584" s="251" t="s">
        <v>1448</v>
      </c>
      <c r="R584" s="191" t="str">
        <f t="shared" si="35"/>
        <v>Cước vận chuyển Container hàng 20' tuyến đường PAN HA - HẢI AN. BKS: 15C15033</v>
      </c>
      <c r="S584" s="191" t="str">
        <f t="shared" si="36"/>
        <v xml:space="preserve"> hàng 20' </v>
      </c>
      <c r="V584" s="191">
        <v>1</v>
      </c>
    </row>
    <row r="585" spans="1:22" s="191" customFormat="1" ht="15">
      <c r="A585" s="236">
        <v>574</v>
      </c>
      <c r="B585" s="244">
        <v>46121</v>
      </c>
      <c r="C585" s="245" t="s">
        <v>261</v>
      </c>
      <c r="D585" s="246" t="s">
        <v>838</v>
      </c>
      <c r="E585" s="247">
        <v>1</v>
      </c>
      <c r="F585" s="247"/>
      <c r="G585" s="248"/>
      <c r="H585" s="247"/>
      <c r="I585" s="249" t="s">
        <v>369</v>
      </c>
      <c r="J585" s="249" t="s">
        <v>21</v>
      </c>
      <c r="K585" s="249" t="s">
        <v>22</v>
      </c>
      <c r="L585" s="250">
        <f t="shared" ref="L585:L648" si="38">E585+F585+G585+H585</f>
        <v>1</v>
      </c>
      <c r="M585" s="237">
        <f t="array" ref="M585">INDEX('BKTT T4.26'!$N$12:$N$55,MATCH(V585,'BKTT T4.26'!$A$12:$A$55,0),0)</f>
        <v>654871</v>
      </c>
      <c r="N585" s="162">
        <f t="shared" si="37"/>
        <v>654871</v>
      </c>
      <c r="O585" s="238" t="s">
        <v>264</v>
      </c>
      <c r="P585" s="251" t="s">
        <v>1448</v>
      </c>
      <c r="R585" s="191" t="str">
        <f t="shared" ref="R585:R648" si="39">$R$10&amp;S585&amp;$R$9&amp;J585&amp;$S$10&amp;K585&amp;$R$8&amp;I585</f>
        <v>Cước vận chuyển Container hàng 20' tuyến đường PAN HA - HẢI AN. BKS: 15C15033</v>
      </c>
      <c r="S585" s="191" t="str">
        <f t="shared" ref="S585:S648" si="40">IF(E585=1," hàng 20' ",IF(F585=1," hàng 40' "," vỏ "))</f>
        <v xml:space="preserve"> hàng 20' </v>
      </c>
      <c r="V585" s="191">
        <v>1</v>
      </c>
    </row>
    <row r="586" spans="1:22" s="191" customFormat="1" ht="15">
      <c r="A586" s="236">
        <v>575</v>
      </c>
      <c r="B586" s="244">
        <v>46121</v>
      </c>
      <c r="C586" s="245" t="s">
        <v>261</v>
      </c>
      <c r="D586" s="246" t="s">
        <v>839</v>
      </c>
      <c r="E586" s="247">
        <v>1</v>
      </c>
      <c r="F586" s="247"/>
      <c r="G586" s="248"/>
      <c r="H586" s="247"/>
      <c r="I586" s="249" t="s">
        <v>369</v>
      </c>
      <c r="J586" s="249" t="s">
        <v>21</v>
      </c>
      <c r="K586" s="249" t="s">
        <v>22</v>
      </c>
      <c r="L586" s="250">
        <f t="shared" si="38"/>
        <v>1</v>
      </c>
      <c r="M586" s="237">
        <f t="array" ref="M586">INDEX('BKTT T4.26'!$N$12:$N$55,MATCH(V586,'BKTT T4.26'!$A$12:$A$55,0),0)</f>
        <v>654871</v>
      </c>
      <c r="N586" s="162">
        <f t="shared" si="37"/>
        <v>654871</v>
      </c>
      <c r="O586" s="238" t="s">
        <v>264</v>
      </c>
      <c r="P586" s="251" t="s">
        <v>1448</v>
      </c>
      <c r="R586" s="191" t="str">
        <f t="shared" si="39"/>
        <v>Cước vận chuyển Container hàng 20' tuyến đường PAN HA - HẢI AN. BKS: 15C15033</v>
      </c>
      <c r="S586" s="191" t="str">
        <f t="shared" si="40"/>
        <v xml:space="preserve"> hàng 20' </v>
      </c>
      <c r="V586" s="191">
        <v>1</v>
      </c>
    </row>
    <row r="587" spans="1:22" s="191" customFormat="1" ht="15">
      <c r="A587" s="236">
        <v>576</v>
      </c>
      <c r="B587" s="244">
        <v>46121</v>
      </c>
      <c r="C587" s="245" t="s">
        <v>261</v>
      </c>
      <c r="D587" s="246" t="s">
        <v>840</v>
      </c>
      <c r="E587" s="247">
        <v>1</v>
      </c>
      <c r="F587" s="247"/>
      <c r="G587" s="248"/>
      <c r="H587" s="247"/>
      <c r="I587" s="249" t="s">
        <v>369</v>
      </c>
      <c r="J587" s="249" t="s">
        <v>21</v>
      </c>
      <c r="K587" s="249" t="s">
        <v>22</v>
      </c>
      <c r="L587" s="250">
        <f t="shared" si="38"/>
        <v>1</v>
      </c>
      <c r="M587" s="237">
        <f t="array" ref="M587">INDEX('BKTT T4.26'!$N$12:$N$55,MATCH(V587,'BKTT T4.26'!$A$12:$A$55,0),0)</f>
        <v>654871</v>
      </c>
      <c r="N587" s="162">
        <f t="shared" si="37"/>
        <v>654871</v>
      </c>
      <c r="O587" s="238" t="s">
        <v>264</v>
      </c>
      <c r="P587" s="251" t="s">
        <v>1448</v>
      </c>
      <c r="R587" s="191" t="str">
        <f t="shared" si="39"/>
        <v>Cước vận chuyển Container hàng 20' tuyến đường PAN HA - HẢI AN. BKS: 15C15033</v>
      </c>
      <c r="S587" s="191" t="str">
        <f t="shared" si="40"/>
        <v xml:space="preserve"> hàng 20' </v>
      </c>
      <c r="V587" s="191">
        <v>1</v>
      </c>
    </row>
    <row r="588" spans="1:22" s="191" customFormat="1" ht="15">
      <c r="A588" s="236">
        <v>577</v>
      </c>
      <c r="B588" s="244">
        <v>46121</v>
      </c>
      <c r="C588" s="245" t="s">
        <v>261</v>
      </c>
      <c r="D588" s="246" t="s">
        <v>841</v>
      </c>
      <c r="E588" s="247">
        <v>1</v>
      </c>
      <c r="F588" s="247"/>
      <c r="G588" s="248"/>
      <c r="H588" s="247"/>
      <c r="I588" s="249" t="s">
        <v>369</v>
      </c>
      <c r="J588" s="249" t="s">
        <v>21</v>
      </c>
      <c r="K588" s="249" t="s">
        <v>22</v>
      </c>
      <c r="L588" s="250">
        <f t="shared" si="38"/>
        <v>1</v>
      </c>
      <c r="M588" s="237">
        <f t="array" ref="M588">INDEX('BKTT T4.26'!$N$12:$N$55,MATCH(V588,'BKTT T4.26'!$A$12:$A$55,0),0)</f>
        <v>654871</v>
      </c>
      <c r="N588" s="162">
        <f t="shared" si="37"/>
        <v>654871</v>
      </c>
      <c r="O588" s="238" t="s">
        <v>264</v>
      </c>
      <c r="P588" s="251" t="s">
        <v>1448</v>
      </c>
      <c r="R588" s="191" t="str">
        <f t="shared" si="39"/>
        <v>Cước vận chuyển Container hàng 20' tuyến đường PAN HA - HẢI AN. BKS: 15C15033</v>
      </c>
      <c r="S588" s="191" t="str">
        <f t="shared" si="40"/>
        <v xml:space="preserve"> hàng 20' </v>
      </c>
      <c r="V588" s="191">
        <v>1</v>
      </c>
    </row>
    <row r="589" spans="1:22" s="191" customFormat="1" ht="15">
      <c r="A589" s="236">
        <v>578</v>
      </c>
      <c r="B589" s="244">
        <v>46121</v>
      </c>
      <c r="C589" s="245" t="s">
        <v>261</v>
      </c>
      <c r="D589" s="246" t="s">
        <v>842</v>
      </c>
      <c r="E589" s="247">
        <v>1</v>
      </c>
      <c r="F589" s="247"/>
      <c r="G589" s="248"/>
      <c r="H589" s="247"/>
      <c r="I589" s="249" t="s">
        <v>369</v>
      </c>
      <c r="J589" s="249" t="s">
        <v>21</v>
      </c>
      <c r="K589" s="249" t="s">
        <v>22</v>
      </c>
      <c r="L589" s="250">
        <f t="shared" si="38"/>
        <v>1</v>
      </c>
      <c r="M589" s="237">
        <f t="array" ref="M589">INDEX('BKTT T4.26'!$N$12:$N$55,MATCH(V589,'BKTT T4.26'!$A$12:$A$55,0),0)</f>
        <v>654871</v>
      </c>
      <c r="N589" s="162">
        <f t="shared" si="37"/>
        <v>654871</v>
      </c>
      <c r="O589" s="238" t="s">
        <v>264</v>
      </c>
      <c r="P589" s="251" t="s">
        <v>1448</v>
      </c>
      <c r="R589" s="191" t="str">
        <f t="shared" si="39"/>
        <v>Cước vận chuyển Container hàng 20' tuyến đường PAN HA - HẢI AN. BKS: 15C15033</v>
      </c>
      <c r="S589" s="191" t="str">
        <f t="shared" si="40"/>
        <v xml:space="preserve"> hàng 20' </v>
      </c>
      <c r="V589" s="191">
        <v>1</v>
      </c>
    </row>
    <row r="590" spans="1:22" s="191" customFormat="1" ht="15">
      <c r="A590" s="236">
        <v>579</v>
      </c>
      <c r="B590" s="244">
        <v>46121</v>
      </c>
      <c r="C590" s="245" t="s">
        <v>261</v>
      </c>
      <c r="D590" s="246" t="s">
        <v>843</v>
      </c>
      <c r="E590" s="247">
        <v>1</v>
      </c>
      <c r="F590" s="247"/>
      <c r="G590" s="248"/>
      <c r="H590" s="247"/>
      <c r="I590" s="249" t="s">
        <v>369</v>
      </c>
      <c r="J590" s="249" t="s">
        <v>21</v>
      </c>
      <c r="K590" s="249" t="s">
        <v>22</v>
      </c>
      <c r="L590" s="250">
        <f t="shared" si="38"/>
        <v>1</v>
      </c>
      <c r="M590" s="237">
        <f t="array" ref="M590">INDEX('BKTT T4.26'!$N$12:$N$55,MATCH(V590,'BKTT T4.26'!$A$12:$A$55,0),0)</f>
        <v>654871</v>
      </c>
      <c r="N590" s="162">
        <f t="shared" si="37"/>
        <v>654871</v>
      </c>
      <c r="O590" s="238" t="s">
        <v>264</v>
      </c>
      <c r="P590" s="251" t="s">
        <v>1448</v>
      </c>
      <c r="R590" s="191" t="str">
        <f t="shared" si="39"/>
        <v>Cước vận chuyển Container hàng 20' tuyến đường PAN HA - HẢI AN. BKS: 15C15033</v>
      </c>
      <c r="S590" s="191" t="str">
        <f t="shared" si="40"/>
        <v xml:space="preserve"> hàng 20' </v>
      </c>
      <c r="V590" s="191">
        <v>1</v>
      </c>
    </row>
    <row r="591" spans="1:22" s="191" customFormat="1" ht="15">
      <c r="A591" s="236">
        <v>580</v>
      </c>
      <c r="B591" s="244">
        <v>46121</v>
      </c>
      <c r="C591" s="245" t="s">
        <v>261</v>
      </c>
      <c r="D591" s="246" t="s">
        <v>844</v>
      </c>
      <c r="E591" s="247">
        <v>1</v>
      </c>
      <c r="F591" s="247"/>
      <c r="G591" s="248"/>
      <c r="H591" s="247"/>
      <c r="I591" s="249" t="s">
        <v>369</v>
      </c>
      <c r="J591" s="249" t="s">
        <v>21</v>
      </c>
      <c r="K591" s="249" t="s">
        <v>22</v>
      </c>
      <c r="L591" s="250">
        <f t="shared" si="38"/>
        <v>1</v>
      </c>
      <c r="M591" s="237">
        <f t="array" ref="M591">INDEX('BKTT T4.26'!$N$12:$N$55,MATCH(V591,'BKTT T4.26'!$A$12:$A$55,0),0)</f>
        <v>654871</v>
      </c>
      <c r="N591" s="162">
        <f t="shared" si="37"/>
        <v>654871</v>
      </c>
      <c r="O591" s="238" t="s">
        <v>264</v>
      </c>
      <c r="P591" s="251" t="s">
        <v>1448</v>
      </c>
      <c r="R591" s="191" t="str">
        <f t="shared" si="39"/>
        <v>Cước vận chuyển Container hàng 20' tuyến đường PAN HA - HẢI AN. BKS: 15C15033</v>
      </c>
      <c r="S591" s="191" t="str">
        <f t="shared" si="40"/>
        <v xml:space="preserve"> hàng 20' </v>
      </c>
      <c r="V591" s="191">
        <v>1</v>
      </c>
    </row>
    <row r="592" spans="1:22" s="191" customFormat="1" ht="15">
      <c r="A592" s="236">
        <v>581</v>
      </c>
      <c r="B592" s="244">
        <v>46121</v>
      </c>
      <c r="C592" s="245" t="s">
        <v>261</v>
      </c>
      <c r="D592" s="246" t="s">
        <v>845</v>
      </c>
      <c r="E592" s="247">
        <v>1</v>
      </c>
      <c r="F592" s="247"/>
      <c r="G592" s="248"/>
      <c r="H592" s="247"/>
      <c r="I592" s="249" t="s">
        <v>369</v>
      </c>
      <c r="J592" s="249" t="s">
        <v>21</v>
      </c>
      <c r="K592" s="249" t="s">
        <v>22</v>
      </c>
      <c r="L592" s="250">
        <f t="shared" si="38"/>
        <v>1</v>
      </c>
      <c r="M592" s="237">
        <f t="array" ref="M592">INDEX('BKTT T4.26'!$N$12:$N$55,MATCH(V592,'BKTT T4.26'!$A$12:$A$55,0),0)</f>
        <v>654871</v>
      </c>
      <c r="N592" s="162">
        <f t="shared" si="37"/>
        <v>654871</v>
      </c>
      <c r="O592" s="238" t="s">
        <v>264</v>
      </c>
      <c r="P592" s="251" t="s">
        <v>1448</v>
      </c>
      <c r="R592" s="191" t="str">
        <f t="shared" si="39"/>
        <v>Cước vận chuyển Container hàng 20' tuyến đường PAN HA - HẢI AN. BKS: 15C15033</v>
      </c>
      <c r="S592" s="191" t="str">
        <f t="shared" si="40"/>
        <v xml:space="preserve"> hàng 20' </v>
      </c>
      <c r="V592" s="191">
        <v>1</v>
      </c>
    </row>
    <row r="593" spans="1:22" s="191" customFormat="1" ht="15">
      <c r="A593" s="236">
        <v>582</v>
      </c>
      <c r="B593" s="244">
        <v>46121</v>
      </c>
      <c r="C593" s="245" t="s">
        <v>261</v>
      </c>
      <c r="D593" s="246" t="s">
        <v>846</v>
      </c>
      <c r="E593" s="247"/>
      <c r="F593" s="247">
        <v>1</v>
      </c>
      <c r="G593" s="248"/>
      <c r="H593" s="247"/>
      <c r="I593" s="249" t="s">
        <v>369</v>
      </c>
      <c r="J593" s="249" t="s">
        <v>21</v>
      </c>
      <c r="K593" s="249" t="s">
        <v>25</v>
      </c>
      <c r="L593" s="250">
        <f t="shared" si="38"/>
        <v>1</v>
      </c>
      <c r="M593" s="237">
        <f t="array" ref="M593">INDEX('BKTT T4.26'!$N$12:$N$55,MATCH(V593,'BKTT T4.26'!$A$12:$A$55,0),0)</f>
        <v>681050</v>
      </c>
      <c r="N593" s="162">
        <f t="shared" si="37"/>
        <v>681050</v>
      </c>
      <c r="O593" s="238" t="s">
        <v>264</v>
      </c>
      <c r="P593" s="251" t="s">
        <v>1448</v>
      </c>
      <c r="R593" s="191" t="str">
        <f t="shared" si="39"/>
        <v>Cước vận chuyển Container hàng 40' tuyến đường PAN HA - HẢI AN,. BKS: 15C15033</v>
      </c>
      <c r="S593" s="191" t="str">
        <f t="shared" si="40"/>
        <v xml:space="preserve"> hàng 40' </v>
      </c>
      <c r="V593" s="191">
        <v>2</v>
      </c>
    </row>
    <row r="594" spans="1:22" s="191" customFormat="1" ht="15">
      <c r="A594" s="236">
        <v>583</v>
      </c>
      <c r="B594" s="244">
        <v>46121</v>
      </c>
      <c r="C594" s="245" t="s">
        <v>261</v>
      </c>
      <c r="D594" s="246" t="s">
        <v>847</v>
      </c>
      <c r="E594" s="247"/>
      <c r="F594" s="247">
        <v>1</v>
      </c>
      <c r="G594" s="248"/>
      <c r="H594" s="247"/>
      <c r="I594" s="249" t="s">
        <v>369</v>
      </c>
      <c r="J594" s="249" t="s">
        <v>21</v>
      </c>
      <c r="K594" s="249" t="s">
        <v>25</v>
      </c>
      <c r="L594" s="250">
        <f t="shared" si="38"/>
        <v>1</v>
      </c>
      <c r="M594" s="237">
        <f t="array" ref="M594">INDEX('BKTT T4.26'!$N$12:$N$55,MATCH(V594,'BKTT T4.26'!$A$12:$A$55,0),0)</f>
        <v>681050</v>
      </c>
      <c r="N594" s="162">
        <f t="shared" si="37"/>
        <v>681050</v>
      </c>
      <c r="O594" s="238" t="s">
        <v>264</v>
      </c>
      <c r="P594" s="251" t="s">
        <v>1448</v>
      </c>
      <c r="R594" s="191" t="str">
        <f t="shared" si="39"/>
        <v>Cước vận chuyển Container hàng 40' tuyến đường PAN HA - HẢI AN,. BKS: 15C15033</v>
      </c>
      <c r="S594" s="191" t="str">
        <f t="shared" si="40"/>
        <v xml:space="preserve"> hàng 40' </v>
      </c>
      <c r="V594" s="191">
        <v>2</v>
      </c>
    </row>
    <row r="595" spans="1:22" s="191" customFormat="1" ht="15">
      <c r="A595" s="236">
        <v>584</v>
      </c>
      <c r="B595" s="244">
        <v>46121</v>
      </c>
      <c r="C595" s="245" t="s">
        <v>261</v>
      </c>
      <c r="D595" s="246" t="s">
        <v>848</v>
      </c>
      <c r="E595" s="247">
        <v>1</v>
      </c>
      <c r="F595" s="247"/>
      <c r="G595" s="248"/>
      <c r="H595" s="247"/>
      <c r="I595" s="249" t="s">
        <v>369</v>
      </c>
      <c r="J595" s="249" t="s">
        <v>21</v>
      </c>
      <c r="K595" s="249" t="s">
        <v>36</v>
      </c>
      <c r="L595" s="250">
        <f t="shared" si="38"/>
        <v>1</v>
      </c>
      <c r="M595" s="237">
        <f t="array" ref="M595">INDEX('BKTT T4.26'!$N$12:$N$55,MATCH(V595,'BKTT T4.26'!$A$12:$A$55,0),0)</f>
        <v>576331</v>
      </c>
      <c r="N595" s="162">
        <f t="shared" si="37"/>
        <v>576331</v>
      </c>
      <c r="O595" s="238" t="s">
        <v>264</v>
      </c>
      <c r="P595" s="251" t="s">
        <v>1448</v>
      </c>
      <c r="R595" s="191" t="str">
        <f t="shared" si="39"/>
        <v>Cước vận chuyển Container hàng 20' tuyến đường PAN HA - NHĐV. BKS: 15C15033</v>
      </c>
      <c r="S595" s="191" t="str">
        <f t="shared" si="40"/>
        <v xml:space="preserve"> hàng 20' </v>
      </c>
      <c r="V595" s="191">
        <v>11</v>
      </c>
    </row>
    <row r="596" spans="1:22" s="191" customFormat="1" ht="15">
      <c r="A596" s="236">
        <v>585</v>
      </c>
      <c r="B596" s="244">
        <v>46121</v>
      </c>
      <c r="C596" s="245" t="s">
        <v>261</v>
      </c>
      <c r="D596" s="246" t="s">
        <v>849</v>
      </c>
      <c r="E596" s="247">
        <v>1</v>
      </c>
      <c r="F596" s="247"/>
      <c r="G596" s="248"/>
      <c r="H596" s="247"/>
      <c r="I596" s="249" t="s">
        <v>369</v>
      </c>
      <c r="J596" s="249" t="s">
        <v>21</v>
      </c>
      <c r="K596" s="249" t="s">
        <v>36</v>
      </c>
      <c r="L596" s="250">
        <f t="shared" si="38"/>
        <v>1</v>
      </c>
      <c r="M596" s="237">
        <f t="array" ref="M596">INDEX('BKTT T4.26'!$N$12:$N$55,MATCH(V596,'BKTT T4.26'!$A$12:$A$55,0),0)</f>
        <v>576331</v>
      </c>
      <c r="N596" s="162">
        <f t="shared" si="37"/>
        <v>576331</v>
      </c>
      <c r="O596" s="238" t="s">
        <v>264</v>
      </c>
      <c r="P596" s="251" t="s">
        <v>1448</v>
      </c>
      <c r="R596" s="191" t="str">
        <f t="shared" si="39"/>
        <v>Cước vận chuyển Container hàng 20' tuyến đường PAN HA - NHĐV. BKS: 15C15033</v>
      </c>
      <c r="S596" s="191" t="str">
        <f t="shared" si="40"/>
        <v xml:space="preserve"> hàng 20' </v>
      </c>
      <c r="V596" s="191">
        <v>11</v>
      </c>
    </row>
    <row r="597" spans="1:22" s="191" customFormat="1" ht="15">
      <c r="A597" s="236">
        <v>586</v>
      </c>
      <c r="B597" s="244">
        <v>46121</v>
      </c>
      <c r="C597" s="245" t="s">
        <v>261</v>
      </c>
      <c r="D597" s="246" t="s">
        <v>850</v>
      </c>
      <c r="E597" s="247"/>
      <c r="F597" s="247"/>
      <c r="G597" s="248"/>
      <c r="H597" s="247">
        <v>1</v>
      </c>
      <c r="I597" s="249" t="s">
        <v>369</v>
      </c>
      <c r="J597" s="249" t="s">
        <v>38</v>
      </c>
      <c r="K597" s="249" t="s">
        <v>21</v>
      </c>
      <c r="L597" s="250">
        <f t="shared" si="38"/>
        <v>1</v>
      </c>
      <c r="M597" s="237">
        <f t="array" ref="M597">INDEX('BKTT T4.26'!$N$12:$N$55,MATCH(V597,'BKTT T4.26'!$A$12:$A$55,0),0)</f>
        <v>585057</v>
      </c>
      <c r="N597" s="162">
        <f t="shared" si="37"/>
        <v>585057</v>
      </c>
      <c r="O597" s="238" t="s">
        <v>267</v>
      </c>
      <c r="P597" s="251" t="s">
        <v>1448</v>
      </c>
      <c r="R597" s="191" t="str">
        <f t="shared" si="39"/>
        <v>Cước vận chuyển Container vỏ tuyến đường NHĐV. - PAN HA. BKS: 15C15033</v>
      </c>
      <c r="S597" s="191" t="str">
        <f t="shared" si="40"/>
        <v xml:space="preserve"> vỏ </v>
      </c>
      <c r="V597" s="191">
        <v>16</v>
      </c>
    </row>
    <row r="598" spans="1:22" s="191" customFormat="1" ht="15">
      <c r="A598" s="236">
        <v>587</v>
      </c>
      <c r="B598" s="244">
        <v>46121</v>
      </c>
      <c r="C598" s="245" t="s">
        <v>261</v>
      </c>
      <c r="D598" s="246" t="s">
        <v>851</v>
      </c>
      <c r="E598" s="247">
        <v>1</v>
      </c>
      <c r="F598" s="247"/>
      <c r="G598" s="248"/>
      <c r="H598" s="247"/>
      <c r="I598" s="249" t="s">
        <v>263</v>
      </c>
      <c r="J598" s="249" t="s">
        <v>21</v>
      </c>
      <c r="K598" s="249" t="s">
        <v>22</v>
      </c>
      <c r="L598" s="250">
        <f t="shared" si="38"/>
        <v>1</v>
      </c>
      <c r="M598" s="237">
        <f t="array" ref="M598">INDEX('BKTT T4.26'!$N$12:$N$55,MATCH(V598,'BKTT T4.26'!$A$12:$A$55,0),0)</f>
        <v>654871</v>
      </c>
      <c r="N598" s="162">
        <f t="shared" si="37"/>
        <v>654871</v>
      </c>
      <c r="O598" s="238" t="s">
        <v>264</v>
      </c>
      <c r="P598" s="251" t="s">
        <v>1448</v>
      </c>
      <c r="R598" s="191" t="str">
        <f t="shared" si="39"/>
        <v>Cước vận chuyển Container hàng 20' tuyến đường PAN HA - HẢI AN. BKS: 15C17442</v>
      </c>
      <c r="S598" s="191" t="str">
        <f t="shared" si="40"/>
        <v xml:space="preserve"> hàng 20' </v>
      </c>
      <c r="V598" s="191">
        <v>1</v>
      </c>
    </row>
    <row r="599" spans="1:22" s="191" customFormat="1" ht="15">
      <c r="A599" s="236">
        <v>588</v>
      </c>
      <c r="B599" s="244">
        <v>46121</v>
      </c>
      <c r="C599" s="245" t="s">
        <v>261</v>
      </c>
      <c r="D599" s="246" t="s">
        <v>852</v>
      </c>
      <c r="E599" s="247">
        <v>1</v>
      </c>
      <c r="F599" s="247"/>
      <c r="G599" s="248"/>
      <c r="H599" s="247"/>
      <c r="I599" s="249" t="s">
        <v>263</v>
      </c>
      <c r="J599" s="249" t="s">
        <v>21</v>
      </c>
      <c r="K599" s="249" t="s">
        <v>22</v>
      </c>
      <c r="L599" s="250">
        <f t="shared" si="38"/>
        <v>1</v>
      </c>
      <c r="M599" s="237">
        <f t="array" ref="M599">INDEX('BKTT T4.26'!$N$12:$N$55,MATCH(V599,'BKTT T4.26'!$A$12:$A$55,0),0)</f>
        <v>654871</v>
      </c>
      <c r="N599" s="162">
        <f t="shared" si="37"/>
        <v>654871</v>
      </c>
      <c r="O599" s="238" t="s">
        <v>264</v>
      </c>
      <c r="P599" s="251" t="s">
        <v>1448</v>
      </c>
      <c r="R599" s="191" t="str">
        <f t="shared" si="39"/>
        <v>Cước vận chuyển Container hàng 20' tuyến đường PAN HA - HẢI AN. BKS: 15C17442</v>
      </c>
      <c r="S599" s="191" t="str">
        <f t="shared" si="40"/>
        <v xml:space="preserve"> hàng 20' </v>
      </c>
      <c r="V599" s="191">
        <v>1</v>
      </c>
    </row>
    <row r="600" spans="1:22" s="191" customFormat="1" ht="15">
      <c r="A600" s="236">
        <v>589</v>
      </c>
      <c r="B600" s="244">
        <v>46121</v>
      </c>
      <c r="C600" s="245" t="s">
        <v>261</v>
      </c>
      <c r="D600" s="246" t="s">
        <v>853</v>
      </c>
      <c r="E600" s="247"/>
      <c r="F600" s="247">
        <v>1</v>
      </c>
      <c r="G600" s="248"/>
      <c r="H600" s="247"/>
      <c r="I600" s="249" t="s">
        <v>263</v>
      </c>
      <c r="J600" s="249" t="s">
        <v>21</v>
      </c>
      <c r="K600" s="249" t="s">
        <v>25</v>
      </c>
      <c r="L600" s="250">
        <f t="shared" si="38"/>
        <v>1</v>
      </c>
      <c r="M600" s="237">
        <f t="array" ref="M600">INDEX('BKTT T4.26'!$N$12:$N$55,MATCH(V600,'BKTT T4.26'!$A$12:$A$55,0),0)</f>
        <v>681050</v>
      </c>
      <c r="N600" s="162">
        <f t="shared" si="37"/>
        <v>681050</v>
      </c>
      <c r="O600" s="238" t="s">
        <v>264</v>
      </c>
      <c r="P600" s="251" t="s">
        <v>1448</v>
      </c>
      <c r="R600" s="191" t="str">
        <f t="shared" si="39"/>
        <v>Cước vận chuyển Container hàng 40' tuyến đường PAN HA - HẢI AN,. BKS: 15C17442</v>
      </c>
      <c r="S600" s="191" t="str">
        <f t="shared" si="40"/>
        <v xml:space="preserve"> hàng 40' </v>
      </c>
      <c r="V600" s="191">
        <v>2</v>
      </c>
    </row>
    <row r="601" spans="1:22" s="191" customFormat="1" ht="15">
      <c r="A601" s="236">
        <v>590</v>
      </c>
      <c r="B601" s="244">
        <v>46121</v>
      </c>
      <c r="C601" s="245" t="s">
        <v>261</v>
      </c>
      <c r="D601" s="246" t="s">
        <v>854</v>
      </c>
      <c r="E601" s="247">
        <v>1</v>
      </c>
      <c r="F601" s="247"/>
      <c r="G601" s="248"/>
      <c r="H601" s="247"/>
      <c r="I601" s="249" t="s">
        <v>263</v>
      </c>
      <c r="J601" s="249" t="s">
        <v>21</v>
      </c>
      <c r="K601" s="249" t="s">
        <v>31</v>
      </c>
      <c r="L601" s="250">
        <f t="shared" si="38"/>
        <v>1</v>
      </c>
      <c r="M601" s="237">
        <f t="array" ref="M601">INDEX('BKTT T4.26'!$N$12:$N$55,MATCH(V601,'BKTT T4.26'!$A$12:$A$55,0),0)</f>
        <v>454158</v>
      </c>
      <c r="N601" s="162">
        <f t="shared" si="37"/>
        <v>454158</v>
      </c>
      <c r="O601" s="238" t="s">
        <v>264</v>
      </c>
      <c r="P601" s="251" t="s">
        <v>1448</v>
      </c>
      <c r="R601" s="191" t="str">
        <f t="shared" si="39"/>
        <v>Cước vận chuyển Container hàng 20' tuyến đường PAN HA - NDV. BKS: 15C17442</v>
      </c>
      <c r="S601" s="191" t="str">
        <f t="shared" si="40"/>
        <v xml:space="preserve"> hàng 20' </v>
      </c>
      <c r="V601" s="191">
        <v>7</v>
      </c>
    </row>
    <row r="602" spans="1:22" s="191" customFormat="1" ht="15">
      <c r="A602" s="236">
        <v>591</v>
      </c>
      <c r="B602" s="244">
        <v>46121</v>
      </c>
      <c r="C602" s="245" t="s">
        <v>261</v>
      </c>
      <c r="D602" s="246" t="s">
        <v>855</v>
      </c>
      <c r="E602" s="247">
        <v>1</v>
      </c>
      <c r="F602" s="247"/>
      <c r="G602" s="248"/>
      <c r="H602" s="247"/>
      <c r="I602" s="249" t="s">
        <v>263</v>
      </c>
      <c r="J602" s="249" t="s">
        <v>21</v>
      </c>
      <c r="K602" s="249" t="s">
        <v>31</v>
      </c>
      <c r="L602" s="250">
        <f t="shared" si="38"/>
        <v>1</v>
      </c>
      <c r="M602" s="237">
        <f t="array" ref="M602">INDEX('BKTT T4.26'!$N$12:$N$55,MATCH(V602,'BKTT T4.26'!$A$12:$A$55,0),0)</f>
        <v>454158</v>
      </c>
      <c r="N602" s="162">
        <f t="shared" si="37"/>
        <v>454158</v>
      </c>
      <c r="O602" s="238" t="s">
        <v>264</v>
      </c>
      <c r="P602" s="251" t="s">
        <v>1448</v>
      </c>
      <c r="R602" s="191" t="str">
        <f t="shared" si="39"/>
        <v>Cước vận chuyển Container hàng 20' tuyến đường PAN HA - NDV. BKS: 15C17442</v>
      </c>
      <c r="S602" s="191" t="str">
        <f t="shared" si="40"/>
        <v xml:space="preserve"> hàng 20' </v>
      </c>
      <c r="V602" s="191">
        <v>7</v>
      </c>
    </row>
    <row r="603" spans="1:22" s="191" customFormat="1" ht="15">
      <c r="A603" s="236">
        <v>592</v>
      </c>
      <c r="B603" s="244">
        <v>46120</v>
      </c>
      <c r="C603" s="245" t="s">
        <v>261</v>
      </c>
      <c r="D603" s="246" t="s">
        <v>856</v>
      </c>
      <c r="E603" s="247"/>
      <c r="F603" s="247"/>
      <c r="G603" s="248">
        <v>0.5</v>
      </c>
      <c r="H603" s="247"/>
      <c r="I603" s="249" t="s">
        <v>541</v>
      </c>
      <c r="J603" s="249" t="s">
        <v>21</v>
      </c>
      <c r="K603" s="249" t="s">
        <v>44</v>
      </c>
      <c r="L603" s="250">
        <f t="shared" si="38"/>
        <v>0.5</v>
      </c>
      <c r="M603" s="237">
        <f t="array" ref="M603">INDEX('BKTT T4.26'!$N$12:$N$55,MATCH(V603,'BKTT T4.26'!$A$12:$A$55,0),0)</f>
        <v>576331</v>
      </c>
      <c r="N603" s="162">
        <f t="shared" si="37"/>
        <v>288165.5</v>
      </c>
      <c r="O603" s="238" t="s">
        <v>264</v>
      </c>
      <c r="P603" s="251" t="s">
        <v>1448</v>
      </c>
      <c r="R603" s="191" t="str">
        <f t="shared" si="39"/>
        <v>Cước vận chuyển Container vỏ tuyến đường PAN HA - TÂN VŨ.. BKS: 15H17403</v>
      </c>
      <c r="S603" s="191" t="str">
        <f t="shared" si="40"/>
        <v xml:space="preserve"> vỏ </v>
      </c>
      <c r="V603" s="191">
        <v>22</v>
      </c>
    </row>
    <row r="604" spans="1:22" s="191" customFormat="1" ht="15">
      <c r="A604" s="236">
        <v>593</v>
      </c>
      <c r="B604" s="244">
        <v>46120</v>
      </c>
      <c r="C604" s="245" t="s">
        <v>261</v>
      </c>
      <c r="D604" s="246" t="s">
        <v>857</v>
      </c>
      <c r="E604" s="247"/>
      <c r="F604" s="247"/>
      <c r="G604" s="248">
        <v>0.5</v>
      </c>
      <c r="H604" s="247"/>
      <c r="I604" s="249" t="s">
        <v>541</v>
      </c>
      <c r="J604" s="249" t="s">
        <v>21</v>
      </c>
      <c r="K604" s="249" t="s">
        <v>44</v>
      </c>
      <c r="L604" s="250">
        <f t="shared" si="38"/>
        <v>0.5</v>
      </c>
      <c r="M604" s="237">
        <f t="array" ref="M604">INDEX('BKTT T4.26'!$N$12:$N$55,MATCH(V604,'BKTT T4.26'!$A$12:$A$55,0),0)</f>
        <v>576331</v>
      </c>
      <c r="N604" s="162">
        <f t="shared" si="37"/>
        <v>288165.5</v>
      </c>
      <c r="O604" s="238" t="s">
        <v>264</v>
      </c>
      <c r="P604" s="251" t="s">
        <v>1448</v>
      </c>
      <c r="R604" s="191" t="str">
        <f t="shared" si="39"/>
        <v>Cước vận chuyển Container vỏ tuyến đường PAN HA - TÂN VŨ.. BKS: 15H17403</v>
      </c>
      <c r="S604" s="191" t="str">
        <f t="shared" si="40"/>
        <v xml:space="preserve"> vỏ </v>
      </c>
      <c r="V604" s="191">
        <v>22</v>
      </c>
    </row>
    <row r="605" spans="1:22" s="191" customFormat="1" ht="15">
      <c r="A605" s="236">
        <v>594</v>
      </c>
      <c r="B605" s="244">
        <v>46120</v>
      </c>
      <c r="C605" s="245" t="s">
        <v>261</v>
      </c>
      <c r="D605" s="246" t="s">
        <v>858</v>
      </c>
      <c r="E605" s="247"/>
      <c r="F605" s="247"/>
      <c r="G605" s="248"/>
      <c r="H605" s="247">
        <v>1</v>
      </c>
      <c r="I605" s="249" t="s">
        <v>541</v>
      </c>
      <c r="J605" s="249" t="s">
        <v>38</v>
      </c>
      <c r="K605" s="249" t="s">
        <v>21</v>
      </c>
      <c r="L605" s="250">
        <f t="shared" si="38"/>
        <v>1</v>
      </c>
      <c r="M605" s="237">
        <f t="array" ref="M605">INDEX('BKTT T4.26'!$N$12:$N$55,MATCH(V605,'BKTT T4.26'!$A$12:$A$55,0),0)</f>
        <v>585057</v>
      </c>
      <c r="N605" s="162">
        <f t="shared" si="37"/>
        <v>585057</v>
      </c>
      <c r="O605" s="238" t="s">
        <v>267</v>
      </c>
      <c r="P605" s="251" t="s">
        <v>1448</v>
      </c>
      <c r="R605" s="191" t="str">
        <f t="shared" si="39"/>
        <v>Cước vận chuyển Container vỏ tuyến đường NHĐV. - PAN HA. BKS: 15H17403</v>
      </c>
      <c r="S605" s="191" t="str">
        <f t="shared" si="40"/>
        <v xml:space="preserve"> vỏ </v>
      </c>
      <c r="V605" s="191">
        <v>16</v>
      </c>
    </row>
    <row r="606" spans="1:22" s="283" customFormat="1" ht="15">
      <c r="A606" s="236">
        <v>595</v>
      </c>
      <c r="B606" s="272">
        <v>46120</v>
      </c>
      <c r="C606" s="273" t="s">
        <v>261</v>
      </c>
      <c r="D606" s="285" t="s">
        <v>1450</v>
      </c>
      <c r="E606" s="275"/>
      <c r="F606" s="275"/>
      <c r="G606" s="276"/>
      <c r="H606" s="275">
        <v>1</v>
      </c>
      <c r="I606" s="277" t="s">
        <v>541</v>
      </c>
      <c r="J606" s="249" t="s">
        <v>38</v>
      </c>
      <c r="K606" s="249" t="s">
        <v>21</v>
      </c>
      <c r="L606" s="278">
        <f t="shared" si="38"/>
        <v>1</v>
      </c>
      <c r="M606" s="279">
        <f t="array" ref="M606">INDEX('BKTT T4.26'!$N$12:$N$55,MATCH(V606,'BKTT T4.26'!$A$12:$A$55,0),0)</f>
        <v>585057</v>
      </c>
      <c r="N606" s="280">
        <f t="shared" si="37"/>
        <v>585057</v>
      </c>
      <c r="O606" s="281" t="s">
        <v>267</v>
      </c>
      <c r="P606" s="282" t="s">
        <v>1447</v>
      </c>
      <c r="R606" s="283" t="str">
        <f t="shared" si="39"/>
        <v>Cước vận chuyển Container vỏ tuyến đường NHĐV. - PAN HA. BKS: 15H17403</v>
      </c>
      <c r="S606" s="283" t="str">
        <f t="shared" si="40"/>
        <v xml:space="preserve"> vỏ </v>
      </c>
      <c r="V606" s="191">
        <v>16</v>
      </c>
    </row>
    <row r="607" spans="1:22" s="191" customFormat="1" ht="15">
      <c r="A607" s="236">
        <v>596</v>
      </c>
      <c r="B607" s="244">
        <v>46120</v>
      </c>
      <c r="C607" s="245" t="s">
        <v>261</v>
      </c>
      <c r="D607" s="246" t="s">
        <v>859</v>
      </c>
      <c r="E607" s="247">
        <v>1</v>
      </c>
      <c r="F607" s="247"/>
      <c r="G607" s="248"/>
      <c r="H607" s="247"/>
      <c r="I607" s="249" t="s">
        <v>541</v>
      </c>
      <c r="J607" s="249" t="s">
        <v>21</v>
      </c>
      <c r="K607" s="249" t="s">
        <v>22</v>
      </c>
      <c r="L607" s="250">
        <f t="shared" si="38"/>
        <v>1</v>
      </c>
      <c r="M607" s="237">
        <f t="array" ref="M607">INDEX('BKTT T4.26'!$N$12:$N$55,MATCH(V607,'BKTT T4.26'!$A$12:$A$55,0),0)</f>
        <v>654871</v>
      </c>
      <c r="N607" s="162">
        <f t="shared" si="37"/>
        <v>654871</v>
      </c>
      <c r="O607" s="238" t="s">
        <v>264</v>
      </c>
      <c r="P607" s="251" t="s">
        <v>1448</v>
      </c>
      <c r="R607" s="191" t="str">
        <f t="shared" si="39"/>
        <v>Cước vận chuyển Container hàng 20' tuyến đường PAN HA - HẢI AN. BKS: 15H17403</v>
      </c>
      <c r="S607" s="191" t="str">
        <f t="shared" si="40"/>
        <v xml:space="preserve"> hàng 20' </v>
      </c>
      <c r="V607" s="191">
        <v>1</v>
      </c>
    </row>
    <row r="608" spans="1:22" s="191" customFormat="1" ht="15">
      <c r="A608" s="236">
        <v>597</v>
      </c>
      <c r="B608" s="244">
        <v>46120</v>
      </c>
      <c r="C608" s="245" t="s">
        <v>261</v>
      </c>
      <c r="D608" s="246" t="s">
        <v>860</v>
      </c>
      <c r="E608" s="247">
        <v>1</v>
      </c>
      <c r="F608" s="247"/>
      <c r="G608" s="248"/>
      <c r="H608" s="247"/>
      <c r="I608" s="249" t="s">
        <v>541</v>
      </c>
      <c r="J608" s="249" t="s">
        <v>21</v>
      </c>
      <c r="K608" s="249" t="s">
        <v>22</v>
      </c>
      <c r="L608" s="250">
        <f t="shared" si="38"/>
        <v>1</v>
      </c>
      <c r="M608" s="237">
        <f t="array" ref="M608">INDEX('BKTT T4.26'!$N$12:$N$55,MATCH(V608,'BKTT T4.26'!$A$12:$A$55,0),0)</f>
        <v>654871</v>
      </c>
      <c r="N608" s="162">
        <f t="shared" si="37"/>
        <v>654871</v>
      </c>
      <c r="O608" s="238" t="s">
        <v>264</v>
      </c>
      <c r="P608" s="251" t="s">
        <v>1448</v>
      </c>
      <c r="R608" s="191" t="str">
        <f t="shared" si="39"/>
        <v>Cước vận chuyển Container hàng 20' tuyến đường PAN HA - HẢI AN. BKS: 15H17403</v>
      </c>
      <c r="S608" s="191" t="str">
        <f t="shared" si="40"/>
        <v xml:space="preserve"> hàng 20' </v>
      </c>
      <c r="V608" s="191">
        <v>1</v>
      </c>
    </row>
    <row r="609" spans="1:22" s="191" customFormat="1" ht="15">
      <c r="A609" s="236">
        <v>598</v>
      </c>
      <c r="B609" s="244">
        <v>46120</v>
      </c>
      <c r="C609" s="245" t="s">
        <v>261</v>
      </c>
      <c r="D609" s="246" t="s">
        <v>861</v>
      </c>
      <c r="E609" s="247"/>
      <c r="F609" s="247">
        <v>1</v>
      </c>
      <c r="G609" s="248"/>
      <c r="H609" s="247"/>
      <c r="I609" s="249" t="s">
        <v>541</v>
      </c>
      <c r="J609" s="249" t="s">
        <v>21</v>
      </c>
      <c r="K609" s="249" t="s">
        <v>25</v>
      </c>
      <c r="L609" s="250">
        <f t="shared" si="38"/>
        <v>1</v>
      </c>
      <c r="M609" s="237">
        <f t="array" ref="M609">INDEX('BKTT T4.26'!$N$12:$N$55,MATCH(V609,'BKTT T4.26'!$A$12:$A$55,0),0)</f>
        <v>681050</v>
      </c>
      <c r="N609" s="162">
        <f t="shared" si="37"/>
        <v>681050</v>
      </c>
      <c r="O609" s="238" t="s">
        <v>264</v>
      </c>
      <c r="P609" s="251" t="s">
        <v>1448</v>
      </c>
      <c r="R609" s="191" t="str">
        <f t="shared" si="39"/>
        <v>Cước vận chuyển Container hàng 40' tuyến đường PAN HA - HẢI AN,. BKS: 15H17403</v>
      </c>
      <c r="S609" s="191" t="str">
        <f t="shared" si="40"/>
        <v xml:space="preserve"> hàng 40' </v>
      </c>
      <c r="V609" s="191">
        <v>2</v>
      </c>
    </row>
    <row r="610" spans="1:22" s="191" customFormat="1" ht="15">
      <c r="A610" s="236">
        <v>599</v>
      </c>
      <c r="B610" s="244">
        <v>46120</v>
      </c>
      <c r="C610" s="245" t="s">
        <v>261</v>
      </c>
      <c r="D610" s="246" t="s">
        <v>862</v>
      </c>
      <c r="E610" s="247"/>
      <c r="F610" s="247">
        <v>1</v>
      </c>
      <c r="G610" s="248"/>
      <c r="H610" s="247"/>
      <c r="I610" s="249" t="s">
        <v>541</v>
      </c>
      <c r="J610" s="249" t="s">
        <v>21</v>
      </c>
      <c r="K610" s="249" t="s">
        <v>25</v>
      </c>
      <c r="L610" s="250">
        <f t="shared" si="38"/>
        <v>1</v>
      </c>
      <c r="M610" s="237">
        <f t="array" ref="M610">INDEX('BKTT T4.26'!$N$12:$N$55,MATCH(V610,'BKTT T4.26'!$A$12:$A$55,0),0)</f>
        <v>681050</v>
      </c>
      <c r="N610" s="162">
        <f t="shared" si="37"/>
        <v>681050</v>
      </c>
      <c r="O610" s="238" t="s">
        <v>264</v>
      </c>
      <c r="P610" s="251" t="s">
        <v>1448</v>
      </c>
      <c r="R610" s="191" t="str">
        <f t="shared" si="39"/>
        <v>Cước vận chuyển Container hàng 40' tuyến đường PAN HA - HẢI AN,. BKS: 15H17403</v>
      </c>
      <c r="S610" s="191" t="str">
        <f t="shared" si="40"/>
        <v xml:space="preserve"> hàng 40' </v>
      </c>
      <c r="V610" s="191">
        <v>2</v>
      </c>
    </row>
    <row r="611" spans="1:22" s="191" customFormat="1" ht="15">
      <c r="A611" s="236">
        <v>600</v>
      </c>
      <c r="B611" s="244">
        <v>46121</v>
      </c>
      <c r="C611" s="245" t="s">
        <v>261</v>
      </c>
      <c r="D611" s="246" t="s">
        <v>863</v>
      </c>
      <c r="E611" s="247">
        <v>1</v>
      </c>
      <c r="F611" s="247"/>
      <c r="G611" s="248"/>
      <c r="H611" s="247"/>
      <c r="I611" s="249" t="s">
        <v>282</v>
      </c>
      <c r="J611" s="249" t="s">
        <v>21</v>
      </c>
      <c r="K611" s="249" t="s">
        <v>22</v>
      </c>
      <c r="L611" s="250">
        <f t="shared" si="38"/>
        <v>1</v>
      </c>
      <c r="M611" s="237">
        <f t="array" ref="M611">INDEX('BKTT T4.26'!$N$12:$N$55,MATCH(V611,'BKTT T4.26'!$A$12:$A$55,0),0)</f>
        <v>654871</v>
      </c>
      <c r="N611" s="162">
        <f t="shared" si="37"/>
        <v>654871</v>
      </c>
      <c r="O611" s="238" t="s">
        <v>264</v>
      </c>
      <c r="P611" s="251" t="s">
        <v>1448</v>
      </c>
      <c r="R611" s="191" t="str">
        <f t="shared" si="39"/>
        <v>Cước vận chuyển Container hàng 20' tuyến đường PAN HA - HẢI AN. BKS: 15C17301</v>
      </c>
      <c r="S611" s="191" t="str">
        <f t="shared" si="40"/>
        <v xml:space="preserve"> hàng 20' </v>
      </c>
      <c r="V611" s="191">
        <v>1</v>
      </c>
    </row>
    <row r="612" spans="1:22" s="191" customFormat="1" ht="15">
      <c r="A612" s="236">
        <v>601</v>
      </c>
      <c r="B612" s="244">
        <v>46121</v>
      </c>
      <c r="C612" s="245" t="s">
        <v>261</v>
      </c>
      <c r="D612" s="246" t="s">
        <v>864</v>
      </c>
      <c r="E612" s="247">
        <v>1</v>
      </c>
      <c r="F612" s="247"/>
      <c r="G612" s="248"/>
      <c r="H612" s="247"/>
      <c r="I612" s="249" t="s">
        <v>282</v>
      </c>
      <c r="J612" s="249" t="s">
        <v>21</v>
      </c>
      <c r="K612" s="249" t="s">
        <v>22</v>
      </c>
      <c r="L612" s="250">
        <f t="shared" si="38"/>
        <v>1</v>
      </c>
      <c r="M612" s="237">
        <f t="array" ref="M612">INDEX('BKTT T4.26'!$N$12:$N$55,MATCH(V612,'BKTT T4.26'!$A$12:$A$55,0),0)</f>
        <v>654871</v>
      </c>
      <c r="N612" s="162">
        <f t="shared" si="37"/>
        <v>654871</v>
      </c>
      <c r="O612" s="238" t="s">
        <v>264</v>
      </c>
      <c r="P612" s="251" t="s">
        <v>1448</v>
      </c>
      <c r="R612" s="191" t="str">
        <f t="shared" si="39"/>
        <v>Cước vận chuyển Container hàng 20' tuyến đường PAN HA - HẢI AN. BKS: 15C17301</v>
      </c>
      <c r="S612" s="191" t="str">
        <f t="shared" si="40"/>
        <v xml:space="preserve"> hàng 20' </v>
      </c>
      <c r="V612" s="191">
        <v>1</v>
      </c>
    </row>
    <row r="613" spans="1:22" s="191" customFormat="1" ht="15">
      <c r="A613" s="236">
        <v>602</v>
      </c>
      <c r="B613" s="244">
        <v>46121</v>
      </c>
      <c r="C613" s="245" t="s">
        <v>261</v>
      </c>
      <c r="D613" s="246" t="s">
        <v>865</v>
      </c>
      <c r="E613" s="247">
        <v>1</v>
      </c>
      <c r="F613" s="247"/>
      <c r="G613" s="248"/>
      <c r="H613" s="247"/>
      <c r="I613" s="249" t="s">
        <v>282</v>
      </c>
      <c r="J613" s="249" t="s">
        <v>21</v>
      </c>
      <c r="K613" s="249" t="s">
        <v>22</v>
      </c>
      <c r="L613" s="250">
        <f t="shared" si="38"/>
        <v>1</v>
      </c>
      <c r="M613" s="237">
        <f t="array" ref="M613">INDEX('BKTT T4.26'!$N$12:$N$55,MATCH(V613,'BKTT T4.26'!$A$12:$A$55,0),0)</f>
        <v>654871</v>
      </c>
      <c r="N613" s="162">
        <f t="shared" si="37"/>
        <v>654871</v>
      </c>
      <c r="O613" s="238" t="s">
        <v>264</v>
      </c>
      <c r="P613" s="251" t="s">
        <v>1448</v>
      </c>
      <c r="R613" s="191" t="str">
        <f t="shared" si="39"/>
        <v>Cước vận chuyển Container hàng 20' tuyến đường PAN HA - HẢI AN. BKS: 15C17301</v>
      </c>
      <c r="S613" s="191" t="str">
        <f t="shared" si="40"/>
        <v xml:space="preserve"> hàng 20' </v>
      </c>
      <c r="V613" s="191">
        <v>1</v>
      </c>
    </row>
    <row r="614" spans="1:22" s="191" customFormat="1" ht="15">
      <c r="A614" s="236">
        <v>603</v>
      </c>
      <c r="B614" s="244">
        <v>46121</v>
      </c>
      <c r="C614" s="245" t="s">
        <v>261</v>
      </c>
      <c r="D614" s="246" t="s">
        <v>866</v>
      </c>
      <c r="E614" s="247">
        <v>1</v>
      </c>
      <c r="F614" s="247"/>
      <c r="G614" s="248"/>
      <c r="H614" s="247"/>
      <c r="I614" s="249" t="s">
        <v>282</v>
      </c>
      <c r="J614" s="249" t="s">
        <v>21</v>
      </c>
      <c r="K614" s="249" t="s">
        <v>22</v>
      </c>
      <c r="L614" s="250">
        <f t="shared" si="38"/>
        <v>1</v>
      </c>
      <c r="M614" s="237">
        <f t="array" ref="M614">INDEX('BKTT T4.26'!$N$12:$N$55,MATCH(V614,'BKTT T4.26'!$A$12:$A$55,0),0)</f>
        <v>654871</v>
      </c>
      <c r="N614" s="162">
        <f t="shared" si="37"/>
        <v>654871</v>
      </c>
      <c r="O614" s="238" t="s">
        <v>264</v>
      </c>
      <c r="P614" s="251" t="s">
        <v>1448</v>
      </c>
      <c r="R614" s="191" t="str">
        <f t="shared" si="39"/>
        <v>Cước vận chuyển Container hàng 20' tuyến đường PAN HA - HẢI AN. BKS: 15C17301</v>
      </c>
      <c r="S614" s="191" t="str">
        <f t="shared" si="40"/>
        <v xml:space="preserve"> hàng 20' </v>
      </c>
      <c r="V614" s="191">
        <v>1</v>
      </c>
    </row>
    <row r="615" spans="1:22" s="191" customFormat="1" ht="15">
      <c r="A615" s="236">
        <v>604</v>
      </c>
      <c r="B615" s="244">
        <v>46121</v>
      </c>
      <c r="C615" s="245" t="s">
        <v>261</v>
      </c>
      <c r="D615" s="246" t="s">
        <v>867</v>
      </c>
      <c r="E615" s="247">
        <v>1</v>
      </c>
      <c r="F615" s="247"/>
      <c r="G615" s="248"/>
      <c r="H615" s="247"/>
      <c r="I615" s="249" t="s">
        <v>282</v>
      </c>
      <c r="J615" s="249" t="s">
        <v>21</v>
      </c>
      <c r="K615" s="249" t="s">
        <v>22</v>
      </c>
      <c r="L615" s="250">
        <f t="shared" si="38"/>
        <v>1</v>
      </c>
      <c r="M615" s="237">
        <f t="array" ref="M615">INDEX('BKTT T4.26'!$N$12:$N$55,MATCH(V615,'BKTT T4.26'!$A$12:$A$55,0),0)</f>
        <v>654871</v>
      </c>
      <c r="N615" s="162">
        <f t="shared" si="37"/>
        <v>654871</v>
      </c>
      <c r="O615" s="238" t="s">
        <v>264</v>
      </c>
      <c r="P615" s="251" t="s">
        <v>1448</v>
      </c>
      <c r="R615" s="191" t="str">
        <f t="shared" si="39"/>
        <v>Cước vận chuyển Container hàng 20' tuyến đường PAN HA - HẢI AN. BKS: 15C17301</v>
      </c>
      <c r="S615" s="191" t="str">
        <f t="shared" si="40"/>
        <v xml:space="preserve"> hàng 20' </v>
      </c>
      <c r="V615" s="191">
        <v>1</v>
      </c>
    </row>
    <row r="616" spans="1:22" s="191" customFormat="1" ht="15">
      <c r="A616" s="236">
        <v>605</v>
      </c>
      <c r="B616" s="244">
        <v>46121</v>
      </c>
      <c r="C616" s="245" t="s">
        <v>261</v>
      </c>
      <c r="D616" s="246" t="s">
        <v>868</v>
      </c>
      <c r="E616" s="247">
        <v>1</v>
      </c>
      <c r="F616" s="247"/>
      <c r="G616" s="248"/>
      <c r="H616" s="247"/>
      <c r="I616" s="249" t="s">
        <v>282</v>
      </c>
      <c r="J616" s="249" t="s">
        <v>21</v>
      </c>
      <c r="K616" s="249" t="s">
        <v>22</v>
      </c>
      <c r="L616" s="250">
        <f t="shared" si="38"/>
        <v>1</v>
      </c>
      <c r="M616" s="237">
        <f t="array" ref="M616">INDEX('BKTT T4.26'!$N$12:$N$55,MATCH(V616,'BKTT T4.26'!$A$12:$A$55,0),0)</f>
        <v>654871</v>
      </c>
      <c r="N616" s="162">
        <f t="shared" si="37"/>
        <v>654871</v>
      </c>
      <c r="O616" s="238" t="s">
        <v>264</v>
      </c>
      <c r="P616" s="251" t="s">
        <v>1448</v>
      </c>
      <c r="R616" s="191" t="str">
        <f t="shared" si="39"/>
        <v>Cước vận chuyển Container hàng 20' tuyến đường PAN HA - HẢI AN. BKS: 15C17301</v>
      </c>
      <c r="S616" s="191" t="str">
        <f t="shared" si="40"/>
        <v xml:space="preserve"> hàng 20' </v>
      </c>
      <c r="V616" s="191">
        <v>1</v>
      </c>
    </row>
    <row r="617" spans="1:22" s="191" customFormat="1" ht="15">
      <c r="A617" s="236">
        <v>606</v>
      </c>
      <c r="B617" s="244">
        <v>46121</v>
      </c>
      <c r="C617" s="245" t="s">
        <v>261</v>
      </c>
      <c r="D617" s="246" t="s">
        <v>869</v>
      </c>
      <c r="E617" s="247"/>
      <c r="F617" s="247">
        <v>1</v>
      </c>
      <c r="G617" s="248"/>
      <c r="H617" s="247"/>
      <c r="I617" s="249" t="s">
        <v>282</v>
      </c>
      <c r="J617" s="249" t="s">
        <v>21</v>
      </c>
      <c r="K617" s="249" t="s">
        <v>25</v>
      </c>
      <c r="L617" s="250">
        <f t="shared" si="38"/>
        <v>1</v>
      </c>
      <c r="M617" s="237">
        <f t="array" ref="M617">INDEX('BKTT T4.26'!$N$12:$N$55,MATCH(V617,'BKTT T4.26'!$A$12:$A$55,0),0)</f>
        <v>681050</v>
      </c>
      <c r="N617" s="162">
        <f t="shared" si="37"/>
        <v>681050</v>
      </c>
      <c r="O617" s="238" t="s">
        <v>264</v>
      </c>
      <c r="P617" s="251" t="s">
        <v>1448</v>
      </c>
      <c r="R617" s="191" t="str">
        <f t="shared" si="39"/>
        <v>Cước vận chuyển Container hàng 40' tuyến đường PAN HA - HẢI AN,. BKS: 15C17301</v>
      </c>
      <c r="S617" s="191" t="str">
        <f t="shared" si="40"/>
        <v xml:space="preserve"> hàng 40' </v>
      </c>
      <c r="V617" s="191">
        <v>2</v>
      </c>
    </row>
    <row r="618" spans="1:22" s="191" customFormat="1" ht="15">
      <c r="A618" s="236">
        <v>607</v>
      </c>
      <c r="B618" s="244">
        <v>46121</v>
      </c>
      <c r="C618" s="245" t="s">
        <v>261</v>
      </c>
      <c r="D618" s="246" t="s">
        <v>870</v>
      </c>
      <c r="E618" s="247"/>
      <c r="F618" s="247">
        <v>1</v>
      </c>
      <c r="G618" s="248"/>
      <c r="H618" s="247"/>
      <c r="I618" s="249" t="s">
        <v>282</v>
      </c>
      <c r="J618" s="249" t="s">
        <v>21</v>
      </c>
      <c r="K618" s="249" t="s">
        <v>25</v>
      </c>
      <c r="L618" s="250">
        <f t="shared" si="38"/>
        <v>1</v>
      </c>
      <c r="M618" s="237">
        <f t="array" ref="M618">INDEX('BKTT T4.26'!$N$12:$N$55,MATCH(V618,'BKTT T4.26'!$A$12:$A$55,0),0)</f>
        <v>681050</v>
      </c>
      <c r="N618" s="162">
        <f t="shared" si="37"/>
        <v>681050</v>
      </c>
      <c r="O618" s="238" t="s">
        <v>264</v>
      </c>
      <c r="P618" s="251" t="s">
        <v>1448</v>
      </c>
      <c r="R618" s="191" t="str">
        <f t="shared" si="39"/>
        <v>Cước vận chuyển Container hàng 40' tuyến đường PAN HA - HẢI AN,. BKS: 15C17301</v>
      </c>
      <c r="S618" s="191" t="str">
        <f t="shared" si="40"/>
        <v xml:space="preserve"> hàng 40' </v>
      </c>
      <c r="V618" s="191">
        <v>2</v>
      </c>
    </row>
    <row r="619" spans="1:22" s="191" customFormat="1" ht="15">
      <c r="A619" s="236">
        <v>608</v>
      </c>
      <c r="B619" s="244">
        <v>46121</v>
      </c>
      <c r="C619" s="245" t="s">
        <v>261</v>
      </c>
      <c r="D619" s="246" t="s">
        <v>871</v>
      </c>
      <c r="E619" s="247"/>
      <c r="F619" s="247">
        <v>1</v>
      </c>
      <c r="G619" s="248"/>
      <c r="H619" s="247"/>
      <c r="I619" s="249" t="s">
        <v>282</v>
      </c>
      <c r="J619" s="249" t="s">
        <v>21</v>
      </c>
      <c r="K619" s="249" t="s">
        <v>25</v>
      </c>
      <c r="L619" s="250">
        <f t="shared" si="38"/>
        <v>1</v>
      </c>
      <c r="M619" s="237">
        <f t="array" ref="M619">INDEX('BKTT T4.26'!$N$12:$N$55,MATCH(V619,'BKTT T4.26'!$A$12:$A$55,0),0)</f>
        <v>681050</v>
      </c>
      <c r="N619" s="162">
        <f t="shared" si="37"/>
        <v>681050</v>
      </c>
      <c r="O619" s="238" t="s">
        <v>264</v>
      </c>
      <c r="P619" s="251" t="s">
        <v>1448</v>
      </c>
      <c r="R619" s="191" t="str">
        <f t="shared" si="39"/>
        <v>Cước vận chuyển Container hàng 40' tuyến đường PAN HA - HẢI AN,. BKS: 15C17301</v>
      </c>
      <c r="S619" s="191" t="str">
        <f t="shared" si="40"/>
        <v xml:space="preserve"> hàng 40' </v>
      </c>
      <c r="V619" s="191">
        <v>2</v>
      </c>
    </row>
    <row r="620" spans="1:22" s="191" customFormat="1" ht="15">
      <c r="A620" s="236">
        <v>609</v>
      </c>
      <c r="B620" s="244">
        <v>46121</v>
      </c>
      <c r="C620" s="245" t="s">
        <v>261</v>
      </c>
      <c r="D620" s="246" t="s">
        <v>872</v>
      </c>
      <c r="E620" s="247"/>
      <c r="F620" s="247"/>
      <c r="G620" s="248"/>
      <c r="H620" s="247">
        <v>1</v>
      </c>
      <c r="I620" s="249" t="s">
        <v>282</v>
      </c>
      <c r="J620" s="249" t="s">
        <v>38</v>
      </c>
      <c r="K620" s="249" t="s">
        <v>21</v>
      </c>
      <c r="L620" s="250">
        <f t="shared" si="38"/>
        <v>1</v>
      </c>
      <c r="M620" s="237">
        <f t="array" ref="M620">INDEX('BKTT T4.26'!$N$12:$N$55,MATCH(V620,'BKTT T4.26'!$A$12:$A$55,0),0)</f>
        <v>585057</v>
      </c>
      <c r="N620" s="162">
        <f t="shared" si="37"/>
        <v>585057</v>
      </c>
      <c r="O620" s="238" t="s">
        <v>267</v>
      </c>
      <c r="P620" s="251" t="s">
        <v>1448</v>
      </c>
      <c r="R620" s="191" t="str">
        <f t="shared" si="39"/>
        <v>Cước vận chuyển Container vỏ tuyến đường NHĐV. - PAN HA. BKS: 15C17301</v>
      </c>
      <c r="S620" s="191" t="str">
        <f t="shared" si="40"/>
        <v xml:space="preserve"> vỏ </v>
      </c>
      <c r="V620" s="191">
        <v>16</v>
      </c>
    </row>
    <row r="621" spans="1:22" s="191" customFormat="1" ht="15">
      <c r="A621" s="236">
        <v>610</v>
      </c>
      <c r="B621" s="244">
        <v>46121</v>
      </c>
      <c r="C621" s="245" t="s">
        <v>261</v>
      </c>
      <c r="D621" s="246" t="s">
        <v>873</v>
      </c>
      <c r="E621" s="247">
        <v>1</v>
      </c>
      <c r="F621" s="247"/>
      <c r="G621" s="248"/>
      <c r="H621" s="247"/>
      <c r="I621" s="249" t="s">
        <v>282</v>
      </c>
      <c r="J621" s="249" t="s">
        <v>21</v>
      </c>
      <c r="K621" s="249" t="s">
        <v>31</v>
      </c>
      <c r="L621" s="250">
        <f t="shared" si="38"/>
        <v>1</v>
      </c>
      <c r="M621" s="237">
        <f t="array" ref="M621">INDEX('BKTT T4.26'!$N$12:$N$55,MATCH(V621,'BKTT T4.26'!$A$12:$A$55,0),0)</f>
        <v>454158</v>
      </c>
      <c r="N621" s="162">
        <f t="shared" si="37"/>
        <v>454158</v>
      </c>
      <c r="O621" s="238" t="s">
        <v>264</v>
      </c>
      <c r="P621" s="251" t="s">
        <v>1448</v>
      </c>
      <c r="R621" s="191" t="str">
        <f t="shared" si="39"/>
        <v>Cước vận chuyển Container hàng 20' tuyến đường PAN HA - NDV. BKS: 15C17301</v>
      </c>
      <c r="S621" s="191" t="str">
        <f t="shared" si="40"/>
        <v xml:space="preserve"> hàng 20' </v>
      </c>
      <c r="V621" s="191">
        <v>7</v>
      </c>
    </row>
    <row r="622" spans="1:22" s="191" customFormat="1" ht="15">
      <c r="A622" s="236">
        <v>611</v>
      </c>
      <c r="B622" s="244">
        <v>46121</v>
      </c>
      <c r="C622" s="245" t="s">
        <v>261</v>
      </c>
      <c r="D622" s="246" t="s">
        <v>874</v>
      </c>
      <c r="E622" s="247">
        <v>1</v>
      </c>
      <c r="F622" s="247"/>
      <c r="G622" s="248"/>
      <c r="H622" s="247"/>
      <c r="I622" s="249" t="s">
        <v>282</v>
      </c>
      <c r="J622" s="249" t="s">
        <v>21</v>
      </c>
      <c r="K622" s="249" t="s">
        <v>31</v>
      </c>
      <c r="L622" s="250">
        <f t="shared" si="38"/>
        <v>1</v>
      </c>
      <c r="M622" s="237">
        <f t="array" ref="M622">INDEX('BKTT T4.26'!$N$12:$N$55,MATCH(V622,'BKTT T4.26'!$A$12:$A$55,0),0)</f>
        <v>454158</v>
      </c>
      <c r="N622" s="162">
        <f t="shared" si="37"/>
        <v>454158</v>
      </c>
      <c r="O622" s="238" t="s">
        <v>264</v>
      </c>
      <c r="P622" s="251" t="s">
        <v>1448</v>
      </c>
      <c r="R622" s="191" t="str">
        <f t="shared" si="39"/>
        <v>Cước vận chuyển Container hàng 20' tuyến đường PAN HA - NDV. BKS: 15C17301</v>
      </c>
      <c r="S622" s="191" t="str">
        <f t="shared" si="40"/>
        <v xml:space="preserve"> hàng 20' </v>
      </c>
      <c r="V622" s="191">
        <v>7</v>
      </c>
    </row>
    <row r="623" spans="1:22" s="191" customFormat="1" ht="15">
      <c r="A623" s="236">
        <v>612</v>
      </c>
      <c r="B623" s="244">
        <v>46121</v>
      </c>
      <c r="C623" s="245" t="s">
        <v>261</v>
      </c>
      <c r="D623" s="246" t="s">
        <v>875</v>
      </c>
      <c r="E623" s="247">
        <v>1</v>
      </c>
      <c r="F623" s="247"/>
      <c r="G623" s="248"/>
      <c r="H623" s="247"/>
      <c r="I623" s="249" t="s">
        <v>279</v>
      </c>
      <c r="J623" s="249" t="s">
        <v>21</v>
      </c>
      <c r="K623" s="249" t="s">
        <v>22</v>
      </c>
      <c r="L623" s="250">
        <f t="shared" si="38"/>
        <v>1</v>
      </c>
      <c r="M623" s="237">
        <f t="array" ref="M623">INDEX('BKTT T4.26'!$N$12:$N$55,MATCH(V623,'BKTT T4.26'!$A$12:$A$55,0),0)</f>
        <v>654871</v>
      </c>
      <c r="N623" s="162">
        <f t="shared" si="37"/>
        <v>654871</v>
      </c>
      <c r="O623" s="238" t="s">
        <v>264</v>
      </c>
      <c r="P623" s="251" t="s">
        <v>1448</v>
      </c>
      <c r="R623" s="191" t="str">
        <f t="shared" si="39"/>
        <v>Cước vận chuyển Container hàng 20' tuyến đường PAN HA - HẢI AN. BKS: 15H07524</v>
      </c>
      <c r="S623" s="191" t="str">
        <f t="shared" si="40"/>
        <v xml:space="preserve"> hàng 20' </v>
      </c>
      <c r="V623" s="191">
        <v>1</v>
      </c>
    </row>
    <row r="624" spans="1:22" s="191" customFormat="1" ht="15">
      <c r="A624" s="236">
        <v>613</v>
      </c>
      <c r="B624" s="244">
        <v>46121</v>
      </c>
      <c r="C624" s="245" t="s">
        <v>261</v>
      </c>
      <c r="D624" s="246" t="s">
        <v>876</v>
      </c>
      <c r="E624" s="247">
        <v>1</v>
      </c>
      <c r="F624" s="247"/>
      <c r="G624" s="248"/>
      <c r="H624" s="247"/>
      <c r="I624" s="249" t="s">
        <v>279</v>
      </c>
      <c r="J624" s="249" t="s">
        <v>21</v>
      </c>
      <c r="K624" s="249" t="s">
        <v>22</v>
      </c>
      <c r="L624" s="250">
        <f t="shared" si="38"/>
        <v>1</v>
      </c>
      <c r="M624" s="237">
        <f t="array" ref="M624">INDEX('BKTT T4.26'!$N$12:$N$55,MATCH(V624,'BKTT T4.26'!$A$12:$A$55,0),0)</f>
        <v>654871</v>
      </c>
      <c r="N624" s="162">
        <f t="shared" si="37"/>
        <v>654871</v>
      </c>
      <c r="O624" s="238" t="s">
        <v>264</v>
      </c>
      <c r="P624" s="251" t="s">
        <v>1448</v>
      </c>
      <c r="R624" s="191" t="str">
        <f t="shared" si="39"/>
        <v>Cước vận chuyển Container hàng 20' tuyến đường PAN HA - HẢI AN. BKS: 15H07524</v>
      </c>
      <c r="S624" s="191" t="str">
        <f t="shared" si="40"/>
        <v xml:space="preserve"> hàng 20' </v>
      </c>
      <c r="V624" s="191">
        <v>1</v>
      </c>
    </row>
    <row r="625" spans="1:22" s="191" customFormat="1" ht="15">
      <c r="A625" s="236">
        <v>614</v>
      </c>
      <c r="B625" s="244">
        <v>46121</v>
      </c>
      <c r="C625" s="245" t="s">
        <v>261</v>
      </c>
      <c r="D625" s="246" t="s">
        <v>877</v>
      </c>
      <c r="E625" s="247">
        <v>1</v>
      </c>
      <c r="F625" s="247"/>
      <c r="G625" s="248"/>
      <c r="H625" s="247"/>
      <c r="I625" s="249" t="s">
        <v>279</v>
      </c>
      <c r="J625" s="249" t="s">
        <v>21</v>
      </c>
      <c r="K625" s="249" t="s">
        <v>22</v>
      </c>
      <c r="L625" s="250">
        <f t="shared" si="38"/>
        <v>1</v>
      </c>
      <c r="M625" s="237">
        <f t="array" ref="M625">INDEX('BKTT T4.26'!$N$12:$N$55,MATCH(V625,'BKTT T4.26'!$A$12:$A$55,0),0)</f>
        <v>654871</v>
      </c>
      <c r="N625" s="162">
        <f t="shared" si="37"/>
        <v>654871</v>
      </c>
      <c r="O625" s="238" t="s">
        <v>264</v>
      </c>
      <c r="P625" s="251" t="s">
        <v>1448</v>
      </c>
      <c r="R625" s="191" t="str">
        <f t="shared" si="39"/>
        <v>Cước vận chuyển Container hàng 20' tuyến đường PAN HA - HẢI AN. BKS: 15H07524</v>
      </c>
      <c r="S625" s="191" t="str">
        <f t="shared" si="40"/>
        <v xml:space="preserve"> hàng 20' </v>
      </c>
      <c r="V625" s="191">
        <v>1</v>
      </c>
    </row>
    <row r="626" spans="1:22" s="191" customFormat="1" ht="15">
      <c r="A626" s="236">
        <v>615</v>
      </c>
      <c r="B626" s="244">
        <v>46121</v>
      </c>
      <c r="C626" s="245" t="s">
        <v>261</v>
      </c>
      <c r="D626" s="246" t="s">
        <v>878</v>
      </c>
      <c r="E626" s="247">
        <v>1</v>
      </c>
      <c r="F626" s="247"/>
      <c r="G626" s="248"/>
      <c r="H626" s="247"/>
      <c r="I626" s="249" t="s">
        <v>279</v>
      </c>
      <c r="J626" s="249" t="s">
        <v>21</v>
      </c>
      <c r="K626" s="249" t="s">
        <v>22</v>
      </c>
      <c r="L626" s="250">
        <f t="shared" si="38"/>
        <v>1</v>
      </c>
      <c r="M626" s="237">
        <f t="array" ref="M626">INDEX('BKTT T4.26'!$N$12:$N$55,MATCH(V626,'BKTT T4.26'!$A$12:$A$55,0),0)</f>
        <v>654871</v>
      </c>
      <c r="N626" s="162">
        <f t="shared" si="37"/>
        <v>654871</v>
      </c>
      <c r="O626" s="238" t="s">
        <v>264</v>
      </c>
      <c r="P626" s="251" t="s">
        <v>1448</v>
      </c>
      <c r="R626" s="191" t="str">
        <f t="shared" si="39"/>
        <v>Cước vận chuyển Container hàng 20' tuyến đường PAN HA - HẢI AN. BKS: 15H07524</v>
      </c>
      <c r="S626" s="191" t="str">
        <f t="shared" si="40"/>
        <v xml:space="preserve"> hàng 20' </v>
      </c>
      <c r="V626" s="191">
        <v>1</v>
      </c>
    </row>
    <row r="627" spans="1:22" s="191" customFormat="1" ht="15">
      <c r="A627" s="236">
        <v>616</v>
      </c>
      <c r="B627" s="244">
        <v>46121</v>
      </c>
      <c r="C627" s="245" t="s">
        <v>261</v>
      </c>
      <c r="D627" s="246" t="s">
        <v>879</v>
      </c>
      <c r="E627" s="247">
        <v>1</v>
      </c>
      <c r="F627" s="247"/>
      <c r="G627" s="248"/>
      <c r="H627" s="247"/>
      <c r="I627" s="249" t="s">
        <v>279</v>
      </c>
      <c r="J627" s="249" t="s">
        <v>21</v>
      </c>
      <c r="K627" s="249" t="s">
        <v>22</v>
      </c>
      <c r="L627" s="250">
        <f t="shared" si="38"/>
        <v>1</v>
      </c>
      <c r="M627" s="237">
        <f t="array" ref="M627">INDEX('BKTT T4.26'!$N$12:$N$55,MATCH(V627,'BKTT T4.26'!$A$12:$A$55,0),0)</f>
        <v>654871</v>
      </c>
      <c r="N627" s="162">
        <f t="shared" si="37"/>
        <v>654871</v>
      </c>
      <c r="O627" s="238" t="s">
        <v>264</v>
      </c>
      <c r="P627" s="251" t="s">
        <v>1448</v>
      </c>
      <c r="R627" s="191" t="str">
        <f t="shared" si="39"/>
        <v>Cước vận chuyển Container hàng 20' tuyến đường PAN HA - HẢI AN. BKS: 15H07524</v>
      </c>
      <c r="S627" s="191" t="str">
        <f t="shared" si="40"/>
        <v xml:space="preserve"> hàng 20' </v>
      </c>
      <c r="V627" s="191">
        <v>1</v>
      </c>
    </row>
    <row r="628" spans="1:22" s="191" customFormat="1" ht="15">
      <c r="A628" s="236">
        <v>617</v>
      </c>
      <c r="B628" s="244">
        <v>46121</v>
      </c>
      <c r="C628" s="245" t="s">
        <v>261</v>
      </c>
      <c r="D628" s="246" t="s">
        <v>880</v>
      </c>
      <c r="E628" s="247">
        <v>1</v>
      </c>
      <c r="F628" s="247"/>
      <c r="G628" s="248"/>
      <c r="H628" s="247"/>
      <c r="I628" s="249" t="s">
        <v>279</v>
      </c>
      <c r="J628" s="249" t="s">
        <v>21</v>
      </c>
      <c r="K628" s="249" t="s">
        <v>22</v>
      </c>
      <c r="L628" s="250">
        <f t="shared" si="38"/>
        <v>1</v>
      </c>
      <c r="M628" s="237">
        <f t="array" ref="M628">INDEX('BKTT T4.26'!$N$12:$N$55,MATCH(V628,'BKTT T4.26'!$A$12:$A$55,0),0)</f>
        <v>654871</v>
      </c>
      <c r="N628" s="162">
        <f t="shared" si="37"/>
        <v>654871</v>
      </c>
      <c r="O628" s="238" t="s">
        <v>264</v>
      </c>
      <c r="P628" s="251" t="s">
        <v>1448</v>
      </c>
      <c r="R628" s="191" t="str">
        <f t="shared" si="39"/>
        <v>Cước vận chuyển Container hàng 20' tuyến đường PAN HA - HẢI AN. BKS: 15H07524</v>
      </c>
      <c r="S628" s="191" t="str">
        <f t="shared" si="40"/>
        <v xml:space="preserve"> hàng 20' </v>
      </c>
      <c r="V628" s="191">
        <v>1</v>
      </c>
    </row>
    <row r="629" spans="1:22" s="191" customFormat="1" ht="15">
      <c r="A629" s="236">
        <v>618</v>
      </c>
      <c r="B629" s="244">
        <v>46121</v>
      </c>
      <c r="C629" s="245" t="s">
        <v>261</v>
      </c>
      <c r="D629" s="246" t="s">
        <v>881</v>
      </c>
      <c r="E629" s="247">
        <v>1</v>
      </c>
      <c r="F629" s="247"/>
      <c r="G629" s="248"/>
      <c r="H629" s="247"/>
      <c r="I629" s="249" t="s">
        <v>279</v>
      </c>
      <c r="J629" s="249" t="s">
        <v>21</v>
      </c>
      <c r="K629" s="249" t="s">
        <v>22</v>
      </c>
      <c r="L629" s="250">
        <f t="shared" si="38"/>
        <v>1</v>
      </c>
      <c r="M629" s="237">
        <f t="array" ref="M629">INDEX('BKTT T4.26'!$N$12:$N$55,MATCH(V629,'BKTT T4.26'!$A$12:$A$55,0),0)</f>
        <v>654871</v>
      </c>
      <c r="N629" s="162">
        <f t="shared" si="37"/>
        <v>654871</v>
      </c>
      <c r="O629" s="238" t="s">
        <v>264</v>
      </c>
      <c r="P629" s="251" t="s">
        <v>1448</v>
      </c>
      <c r="R629" s="191" t="str">
        <f t="shared" si="39"/>
        <v>Cước vận chuyển Container hàng 20' tuyến đường PAN HA - HẢI AN. BKS: 15H07524</v>
      </c>
      <c r="S629" s="191" t="str">
        <f t="shared" si="40"/>
        <v xml:space="preserve"> hàng 20' </v>
      </c>
      <c r="V629" s="191">
        <v>1</v>
      </c>
    </row>
    <row r="630" spans="1:22" s="191" customFormat="1" ht="15">
      <c r="A630" s="236">
        <v>619</v>
      </c>
      <c r="B630" s="244">
        <v>46121</v>
      </c>
      <c r="C630" s="245" t="s">
        <v>261</v>
      </c>
      <c r="D630" s="246" t="s">
        <v>882</v>
      </c>
      <c r="E630" s="247">
        <v>1</v>
      </c>
      <c r="F630" s="247"/>
      <c r="G630" s="248"/>
      <c r="H630" s="247"/>
      <c r="I630" s="249" t="s">
        <v>279</v>
      </c>
      <c r="J630" s="249" t="s">
        <v>21</v>
      </c>
      <c r="K630" s="249" t="s">
        <v>22</v>
      </c>
      <c r="L630" s="250">
        <f t="shared" si="38"/>
        <v>1</v>
      </c>
      <c r="M630" s="237">
        <f t="array" ref="M630">INDEX('BKTT T4.26'!$N$12:$N$55,MATCH(V630,'BKTT T4.26'!$A$12:$A$55,0),0)</f>
        <v>654871</v>
      </c>
      <c r="N630" s="162">
        <f t="shared" si="37"/>
        <v>654871</v>
      </c>
      <c r="O630" s="238" t="s">
        <v>264</v>
      </c>
      <c r="P630" s="251" t="s">
        <v>1448</v>
      </c>
      <c r="R630" s="191" t="str">
        <f t="shared" si="39"/>
        <v>Cước vận chuyển Container hàng 20' tuyến đường PAN HA - HẢI AN. BKS: 15H07524</v>
      </c>
      <c r="S630" s="191" t="str">
        <f t="shared" si="40"/>
        <v xml:space="preserve"> hàng 20' </v>
      </c>
      <c r="V630" s="191">
        <v>1</v>
      </c>
    </row>
    <row r="631" spans="1:22" s="191" customFormat="1" ht="15">
      <c r="A631" s="236">
        <v>620</v>
      </c>
      <c r="B631" s="244">
        <v>46121</v>
      </c>
      <c r="C631" s="245" t="s">
        <v>261</v>
      </c>
      <c r="D631" s="246" t="s">
        <v>883</v>
      </c>
      <c r="E631" s="247">
        <v>1</v>
      </c>
      <c r="F631" s="247"/>
      <c r="G631" s="248"/>
      <c r="H631" s="247"/>
      <c r="I631" s="249" t="s">
        <v>279</v>
      </c>
      <c r="J631" s="249" t="s">
        <v>21</v>
      </c>
      <c r="K631" s="249" t="s">
        <v>22</v>
      </c>
      <c r="L631" s="250">
        <f t="shared" si="38"/>
        <v>1</v>
      </c>
      <c r="M631" s="237">
        <f t="array" ref="M631">INDEX('BKTT T4.26'!$N$12:$N$55,MATCH(V631,'BKTT T4.26'!$A$12:$A$55,0),0)</f>
        <v>654871</v>
      </c>
      <c r="N631" s="162">
        <f t="shared" si="37"/>
        <v>654871</v>
      </c>
      <c r="O631" s="238" t="s">
        <v>264</v>
      </c>
      <c r="P631" s="251" t="s">
        <v>1448</v>
      </c>
      <c r="R631" s="191" t="str">
        <f t="shared" si="39"/>
        <v>Cước vận chuyển Container hàng 20' tuyến đường PAN HA - HẢI AN. BKS: 15H07524</v>
      </c>
      <c r="S631" s="191" t="str">
        <f t="shared" si="40"/>
        <v xml:space="preserve"> hàng 20' </v>
      </c>
      <c r="V631" s="191">
        <v>1</v>
      </c>
    </row>
    <row r="632" spans="1:22" s="191" customFormat="1" ht="15">
      <c r="A632" s="236">
        <v>621</v>
      </c>
      <c r="B632" s="244">
        <v>46121</v>
      </c>
      <c r="C632" s="245" t="s">
        <v>261</v>
      </c>
      <c r="D632" s="246" t="s">
        <v>884</v>
      </c>
      <c r="E632" s="247">
        <v>1</v>
      </c>
      <c r="F632" s="247"/>
      <c r="G632" s="248"/>
      <c r="H632" s="247"/>
      <c r="I632" s="249" t="s">
        <v>279</v>
      </c>
      <c r="J632" s="249" t="s">
        <v>21</v>
      </c>
      <c r="K632" s="249" t="s">
        <v>22</v>
      </c>
      <c r="L632" s="250">
        <f t="shared" si="38"/>
        <v>1</v>
      </c>
      <c r="M632" s="237">
        <f t="array" ref="M632">INDEX('BKTT T4.26'!$N$12:$N$55,MATCH(V632,'BKTT T4.26'!$A$12:$A$55,0),0)</f>
        <v>654871</v>
      </c>
      <c r="N632" s="162">
        <f t="shared" si="37"/>
        <v>654871</v>
      </c>
      <c r="O632" s="238" t="s">
        <v>264</v>
      </c>
      <c r="P632" s="251" t="s">
        <v>1448</v>
      </c>
      <c r="R632" s="191" t="str">
        <f t="shared" si="39"/>
        <v>Cước vận chuyển Container hàng 20' tuyến đường PAN HA - HẢI AN. BKS: 15H07524</v>
      </c>
      <c r="S632" s="191" t="str">
        <f t="shared" si="40"/>
        <v xml:space="preserve"> hàng 20' </v>
      </c>
      <c r="V632" s="191">
        <v>1</v>
      </c>
    </row>
    <row r="633" spans="1:22" s="191" customFormat="1" ht="15">
      <c r="A633" s="236">
        <v>622</v>
      </c>
      <c r="B633" s="244">
        <v>46121</v>
      </c>
      <c r="C633" s="245" t="s">
        <v>261</v>
      </c>
      <c r="D633" s="246" t="s">
        <v>885</v>
      </c>
      <c r="E633" s="247"/>
      <c r="F633" s="247">
        <v>1</v>
      </c>
      <c r="G633" s="248"/>
      <c r="H633" s="247"/>
      <c r="I633" s="249" t="s">
        <v>279</v>
      </c>
      <c r="J633" s="249" t="s">
        <v>21</v>
      </c>
      <c r="K633" s="249" t="s">
        <v>25</v>
      </c>
      <c r="L633" s="250">
        <f t="shared" si="38"/>
        <v>1</v>
      </c>
      <c r="M633" s="237">
        <f t="array" ref="M633">INDEX('BKTT T4.26'!$N$12:$N$55,MATCH(V633,'BKTT T4.26'!$A$12:$A$55,0),0)</f>
        <v>681050</v>
      </c>
      <c r="N633" s="162">
        <f t="shared" si="37"/>
        <v>681050</v>
      </c>
      <c r="O633" s="238" t="s">
        <v>264</v>
      </c>
      <c r="P633" s="251" t="s">
        <v>1448</v>
      </c>
      <c r="R633" s="191" t="str">
        <f t="shared" si="39"/>
        <v>Cước vận chuyển Container hàng 40' tuyến đường PAN HA - HẢI AN,. BKS: 15H07524</v>
      </c>
      <c r="S633" s="191" t="str">
        <f t="shared" si="40"/>
        <v xml:space="preserve"> hàng 40' </v>
      </c>
      <c r="V633" s="191">
        <v>2</v>
      </c>
    </row>
    <row r="634" spans="1:22" s="191" customFormat="1" ht="15">
      <c r="A634" s="236">
        <v>623</v>
      </c>
      <c r="B634" s="244">
        <v>46121</v>
      </c>
      <c r="C634" s="245" t="s">
        <v>261</v>
      </c>
      <c r="D634" s="246" t="s">
        <v>886</v>
      </c>
      <c r="E634" s="247"/>
      <c r="F634" s="247">
        <v>1</v>
      </c>
      <c r="G634" s="248"/>
      <c r="H634" s="247"/>
      <c r="I634" s="249" t="s">
        <v>279</v>
      </c>
      <c r="J634" s="249" t="s">
        <v>21</v>
      </c>
      <c r="K634" s="249" t="s">
        <v>25</v>
      </c>
      <c r="L634" s="250">
        <f t="shared" si="38"/>
        <v>1</v>
      </c>
      <c r="M634" s="237">
        <f t="array" ref="M634">INDEX('BKTT T4.26'!$N$12:$N$55,MATCH(V634,'BKTT T4.26'!$A$12:$A$55,0),0)</f>
        <v>681050</v>
      </c>
      <c r="N634" s="162">
        <f t="shared" si="37"/>
        <v>681050</v>
      </c>
      <c r="O634" s="238" t="s">
        <v>264</v>
      </c>
      <c r="P634" s="251" t="s">
        <v>1448</v>
      </c>
      <c r="R634" s="191" t="str">
        <f t="shared" si="39"/>
        <v>Cước vận chuyển Container hàng 40' tuyến đường PAN HA - HẢI AN,. BKS: 15H07524</v>
      </c>
      <c r="S634" s="191" t="str">
        <f t="shared" si="40"/>
        <v xml:space="preserve"> hàng 40' </v>
      </c>
      <c r="V634" s="191">
        <v>2</v>
      </c>
    </row>
    <row r="635" spans="1:22" s="191" customFormat="1" ht="15">
      <c r="A635" s="236">
        <v>624</v>
      </c>
      <c r="B635" s="244">
        <v>46121</v>
      </c>
      <c r="C635" s="245" t="s">
        <v>261</v>
      </c>
      <c r="D635" s="246" t="s">
        <v>887</v>
      </c>
      <c r="E635" s="247"/>
      <c r="F635" s="247">
        <v>1</v>
      </c>
      <c r="G635" s="248"/>
      <c r="H635" s="247"/>
      <c r="I635" s="249" t="s">
        <v>279</v>
      </c>
      <c r="J635" s="249" t="s">
        <v>21</v>
      </c>
      <c r="K635" s="249" t="s">
        <v>25</v>
      </c>
      <c r="L635" s="250">
        <f t="shared" si="38"/>
        <v>1</v>
      </c>
      <c r="M635" s="237">
        <f t="array" ref="M635">INDEX('BKTT T4.26'!$N$12:$N$55,MATCH(V635,'BKTT T4.26'!$A$12:$A$55,0),0)</f>
        <v>681050</v>
      </c>
      <c r="N635" s="162">
        <f t="shared" si="37"/>
        <v>681050</v>
      </c>
      <c r="O635" s="238" t="s">
        <v>264</v>
      </c>
      <c r="P635" s="251" t="s">
        <v>1448</v>
      </c>
      <c r="R635" s="191" t="str">
        <f t="shared" si="39"/>
        <v>Cước vận chuyển Container hàng 40' tuyến đường PAN HA - HẢI AN,. BKS: 15H07524</v>
      </c>
      <c r="S635" s="191" t="str">
        <f t="shared" si="40"/>
        <v xml:space="preserve"> hàng 40' </v>
      </c>
      <c r="V635" s="191">
        <v>2</v>
      </c>
    </row>
    <row r="636" spans="1:22" s="191" customFormat="1" ht="15">
      <c r="A636" s="236">
        <v>625</v>
      </c>
      <c r="B636" s="244">
        <v>46121</v>
      </c>
      <c r="C636" s="245" t="s">
        <v>261</v>
      </c>
      <c r="D636" s="246" t="s">
        <v>888</v>
      </c>
      <c r="E636" s="247">
        <v>1</v>
      </c>
      <c r="F636" s="247"/>
      <c r="G636" s="248"/>
      <c r="H636" s="247"/>
      <c r="I636" s="249" t="s">
        <v>279</v>
      </c>
      <c r="J636" s="249" t="s">
        <v>21</v>
      </c>
      <c r="K636" s="249" t="s">
        <v>36</v>
      </c>
      <c r="L636" s="250">
        <f t="shared" si="38"/>
        <v>1</v>
      </c>
      <c r="M636" s="237">
        <f t="array" ref="M636">INDEX('BKTT T4.26'!$N$12:$N$55,MATCH(V636,'BKTT T4.26'!$A$12:$A$55,0),0)</f>
        <v>576331</v>
      </c>
      <c r="N636" s="162">
        <f t="shared" si="37"/>
        <v>576331</v>
      </c>
      <c r="O636" s="238" t="s">
        <v>264</v>
      </c>
      <c r="P636" s="251" t="s">
        <v>1448</v>
      </c>
      <c r="R636" s="191" t="str">
        <f t="shared" si="39"/>
        <v>Cước vận chuyển Container hàng 20' tuyến đường PAN HA - NHĐV. BKS: 15H07524</v>
      </c>
      <c r="S636" s="191" t="str">
        <f t="shared" si="40"/>
        <v xml:space="preserve"> hàng 20' </v>
      </c>
      <c r="V636" s="191">
        <v>11</v>
      </c>
    </row>
    <row r="637" spans="1:22" s="191" customFormat="1" ht="15">
      <c r="A637" s="236">
        <v>626</v>
      </c>
      <c r="B637" s="244">
        <v>46121</v>
      </c>
      <c r="C637" s="245" t="s">
        <v>261</v>
      </c>
      <c r="D637" s="246" t="s">
        <v>889</v>
      </c>
      <c r="E637" s="247">
        <v>1</v>
      </c>
      <c r="F637" s="247"/>
      <c r="G637" s="248"/>
      <c r="H637" s="247"/>
      <c r="I637" s="249" t="s">
        <v>279</v>
      </c>
      <c r="J637" s="249" t="s">
        <v>21</v>
      </c>
      <c r="K637" s="249" t="s">
        <v>36</v>
      </c>
      <c r="L637" s="250">
        <f t="shared" si="38"/>
        <v>1</v>
      </c>
      <c r="M637" s="237">
        <f t="array" ref="M637">INDEX('BKTT T4.26'!$N$12:$N$55,MATCH(V637,'BKTT T4.26'!$A$12:$A$55,0),0)</f>
        <v>576331</v>
      </c>
      <c r="N637" s="162">
        <f t="shared" si="37"/>
        <v>576331</v>
      </c>
      <c r="O637" s="238" t="s">
        <v>264</v>
      </c>
      <c r="P637" s="251" t="s">
        <v>1448</v>
      </c>
      <c r="R637" s="191" t="str">
        <f t="shared" si="39"/>
        <v>Cước vận chuyển Container hàng 20' tuyến đường PAN HA - NHĐV. BKS: 15H07524</v>
      </c>
      <c r="S637" s="191" t="str">
        <f t="shared" si="40"/>
        <v xml:space="preserve"> hàng 20' </v>
      </c>
      <c r="V637" s="191">
        <v>11</v>
      </c>
    </row>
    <row r="638" spans="1:22" s="191" customFormat="1" ht="15">
      <c r="A638" s="236">
        <v>627</v>
      </c>
      <c r="B638" s="244">
        <v>46121</v>
      </c>
      <c r="C638" s="245" t="s">
        <v>261</v>
      </c>
      <c r="D638" s="246" t="s">
        <v>890</v>
      </c>
      <c r="E638" s="247"/>
      <c r="F638" s="247"/>
      <c r="G638" s="248"/>
      <c r="H638" s="247">
        <v>1</v>
      </c>
      <c r="I638" s="249" t="s">
        <v>279</v>
      </c>
      <c r="J638" s="249" t="s">
        <v>38</v>
      </c>
      <c r="K638" s="249" t="s">
        <v>21</v>
      </c>
      <c r="L638" s="250">
        <f t="shared" si="38"/>
        <v>1</v>
      </c>
      <c r="M638" s="237">
        <f t="array" ref="M638">INDEX('BKTT T4.26'!$N$12:$N$55,MATCH(V638,'BKTT T4.26'!$A$12:$A$55,0),0)</f>
        <v>585057</v>
      </c>
      <c r="N638" s="162">
        <f t="shared" si="37"/>
        <v>585057</v>
      </c>
      <c r="O638" s="238" t="s">
        <v>267</v>
      </c>
      <c r="P638" s="251" t="s">
        <v>1448</v>
      </c>
      <c r="R638" s="191" t="str">
        <f t="shared" si="39"/>
        <v>Cước vận chuyển Container vỏ tuyến đường NHĐV. - PAN HA. BKS: 15H07524</v>
      </c>
      <c r="S638" s="191" t="str">
        <f t="shared" si="40"/>
        <v xml:space="preserve"> vỏ </v>
      </c>
      <c r="V638" s="191">
        <v>16</v>
      </c>
    </row>
    <row r="639" spans="1:22" s="191" customFormat="1" ht="15">
      <c r="A639" s="236">
        <v>628</v>
      </c>
      <c r="B639" s="244">
        <v>46121</v>
      </c>
      <c r="C639" s="245" t="s">
        <v>261</v>
      </c>
      <c r="D639" s="246" t="s">
        <v>891</v>
      </c>
      <c r="E639" s="247"/>
      <c r="F639" s="247"/>
      <c r="G639" s="248"/>
      <c r="H639" s="247">
        <v>1</v>
      </c>
      <c r="I639" s="249" t="s">
        <v>279</v>
      </c>
      <c r="J639" s="249" t="s">
        <v>38</v>
      </c>
      <c r="K639" s="249" t="s">
        <v>21</v>
      </c>
      <c r="L639" s="250">
        <f t="shared" si="38"/>
        <v>1</v>
      </c>
      <c r="M639" s="237">
        <f t="array" ref="M639">INDEX('BKTT T4.26'!$N$12:$N$55,MATCH(V639,'BKTT T4.26'!$A$12:$A$55,0),0)</f>
        <v>585057</v>
      </c>
      <c r="N639" s="162">
        <f t="shared" si="37"/>
        <v>585057</v>
      </c>
      <c r="O639" s="238" t="s">
        <v>267</v>
      </c>
      <c r="P639" s="251" t="s">
        <v>1448</v>
      </c>
      <c r="R639" s="191" t="str">
        <f t="shared" si="39"/>
        <v>Cước vận chuyển Container vỏ tuyến đường NHĐV. - PAN HA. BKS: 15H07524</v>
      </c>
      <c r="S639" s="191" t="str">
        <f t="shared" si="40"/>
        <v xml:space="preserve"> vỏ </v>
      </c>
      <c r="V639" s="191">
        <v>16</v>
      </c>
    </row>
    <row r="640" spans="1:22" s="191" customFormat="1" ht="15">
      <c r="A640" s="236">
        <v>629</v>
      </c>
      <c r="B640" s="244">
        <v>46121</v>
      </c>
      <c r="C640" s="245" t="s">
        <v>261</v>
      </c>
      <c r="D640" s="246" t="s">
        <v>892</v>
      </c>
      <c r="E640" s="247">
        <v>1</v>
      </c>
      <c r="F640" s="247"/>
      <c r="G640" s="248"/>
      <c r="H640" s="247"/>
      <c r="I640" s="249" t="s">
        <v>279</v>
      </c>
      <c r="J640" s="249" t="s">
        <v>21</v>
      </c>
      <c r="K640" s="249" t="s">
        <v>31</v>
      </c>
      <c r="L640" s="250">
        <f t="shared" si="38"/>
        <v>1</v>
      </c>
      <c r="M640" s="237">
        <f t="array" ref="M640">INDEX('BKTT T4.26'!$N$12:$N$55,MATCH(V640,'BKTT T4.26'!$A$12:$A$55,0),0)</f>
        <v>454158</v>
      </c>
      <c r="N640" s="162">
        <f t="shared" si="37"/>
        <v>454158</v>
      </c>
      <c r="O640" s="238" t="s">
        <v>264</v>
      </c>
      <c r="P640" s="251" t="s">
        <v>1448</v>
      </c>
      <c r="R640" s="191" t="str">
        <f t="shared" si="39"/>
        <v>Cước vận chuyển Container hàng 20' tuyến đường PAN HA - NDV. BKS: 15H07524</v>
      </c>
      <c r="S640" s="191" t="str">
        <f t="shared" si="40"/>
        <v xml:space="preserve"> hàng 20' </v>
      </c>
      <c r="V640" s="191">
        <v>7</v>
      </c>
    </row>
    <row r="641" spans="1:22" s="191" customFormat="1" ht="15">
      <c r="A641" s="236">
        <v>630</v>
      </c>
      <c r="B641" s="244">
        <v>46121</v>
      </c>
      <c r="C641" s="245" t="s">
        <v>261</v>
      </c>
      <c r="D641" s="246" t="s">
        <v>893</v>
      </c>
      <c r="E641" s="247">
        <v>1</v>
      </c>
      <c r="F641" s="247"/>
      <c r="G641" s="248"/>
      <c r="H641" s="247"/>
      <c r="I641" s="249" t="s">
        <v>279</v>
      </c>
      <c r="J641" s="249" t="s">
        <v>21</v>
      </c>
      <c r="K641" s="249" t="s">
        <v>31</v>
      </c>
      <c r="L641" s="250">
        <f t="shared" si="38"/>
        <v>1</v>
      </c>
      <c r="M641" s="237">
        <f t="array" ref="M641">INDEX('BKTT T4.26'!$N$12:$N$55,MATCH(V641,'BKTT T4.26'!$A$12:$A$55,0),0)</f>
        <v>454158</v>
      </c>
      <c r="N641" s="162">
        <f t="shared" si="37"/>
        <v>454158</v>
      </c>
      <c r="O641" s="238" t="s">
        <v>264</v>
      </c>
      <c r="P641" s="251" t="s">
        <v>1448</v>
      </c>
      <c r="R641" s="191" t="str">
        <f t="shared" si="39"/>
        <v>Cước vận chuyển Container hàng 20' tuyến đường PAN HA - NDV. BKS: 15H07524</v>
      </c>
      <c r="S641" s="191" t="str">
        <f t="shared" si="40"/>
        <v xml:space="preserve"> hàng 20' </v>
      </c>
      <c r="V641" s="191">
        <v>7</v>
      </c>
    </row>
    <row r="642" spans="1:22" s="191" customFormat="1" ht="15">
      <c r="A642" s="236">
        <v>631</v>
      </c>
      <c r="B642" s="244">
        <v>46121</v>
      </c>
      <c r="C642" s="245" t="s">
        <v>261</v>
      </c>
      <c r="D642" s="246" t="s">
        <v>894</v>
      </c>
      <c r="E642" s="247"/>
      <c r="F642" s="247"/>
      <c r="G642" s="248"/>
      <c r="H642" s="247">
        <v>1</v>
      </c>
      <c r="I642" s="249" t="s">
        <v>269</v>
      </c>
      <c r="J642" s="249" t="s">
        <v>38</v>
      </c>
      <c r="K642" s="249" t="s">
        <v>21</v>
      </c>
      <c r="L642" s="250">
        <f t="shared" si="38"/>
        <v>1</v>
      </c>
      <c r="M642" s="237">
        <f t="array" ref="M642">INDEX('BKTT T4.26'!$N$12:$N$55,MATCH(V642,'BKTT T4.26'!$A$12:$A$55,0),0)</f>
        <v>585057</v>
      </c>
      <c r="N642" s="162">
        <f t="shared" si="37"/>
        <v>585057</v>
      </c>
      <c r="O642" s="238" t="s">
        <v>267</v>
      </c>
      <c r="P642" s="251" t="s">
        <v>1448</v>
      </c>
      <c r="R642" s="191" t="str">
        <f t="shared" si="39"/>
        <v>Cước vận chuyển Container vỏ tuyến đường NHĐV. - PAN HA. BKS: 15H07644</v>
      </c>
      <c r="S642" s="191" t="str">
        <f t="shared" si="40"/>
        <v xml:space="preserve"> vỏ </v>
      </c>
      <c r="V642" s="191">
        <v>16</v>
      </c>
    </row>
    <row r="643" spans="1:22" s="191" customFormat="1" ht="15">
      <c r="A643" s="236">
        <v>632</v>
      </c>
      <c r="B643" s="244">
        <v>46121</v>
      </c>
      <c r="C643" s="245" t="s">
        <v>261</v>
      </c>
      <c r="D643" s="246" t="s">
        <v>895</v>
      </c>
      <c r="E643" s="247">
        <v>1</v>
      </c>
      <c r="F643" s="247"/>
      <c r="G643" s="248"/>
      <c r="H643" s="247"/>
      <c r="I643" s="249" t="s">
        <v>269</v>
      </c>
      <c r="J643" s="249" t="s">
        <v>21</v>
      </c>
      <c r="K643" s="249" t="s">
        <v>31</v>
      </c>
      <c r="L643" s="250">
        <f t="shared" si="38"/>
        <v>1</v>
      </c>
      <c r="M643" s="237">
        <f t="array" ref="M643">INDEX('BKTT T4.26'!$N$12:$N$55,MATCH(V643,'BKTT T4.26'!$A$12:$A$55,0),0)</f>
        <v>454158</v>
      </c>
      <c r="N643" s="162">
        <f t="shared" si="37"/>
        <v>454158</v>
      </c>
      <c r="O643" s="238" t="s">
        <v>264</v>
      </c>
      <c r="P643" s="251" t="s">
        <v>1448</v>
      </c>
      <c r="R643" s="191" t="str">
        <f t="shared" si="39"/>
        <v>Cước vận chuyển Container hàng 20' tuyến đường PAN HA - NDV. BKS: 15H07644</v>
      </c>
      <c r="S643" s="191" t="str">
        <f t="shared" si="40"/>
        <v xml:space="preserve"> hàng 20' </v>
      </c>
      <c r="V643" s="191">
        <v>7</v>
      </c>
    </row>
    <row r="644" spans="1:22" s="191" customFormat="1" ht="15">
      <c r="A644" s="236">
        <v>633</v>
      </c>
      <c r="B644" s="244">
        <v>46121</v>
      </c>
      <c r="C644" s="245" t="s">
        <v>261</v>
      </c>
      <c r="D644" s="246" t="s">
        <v>896</v>
      </c>
      <c r="E644" s="247">
        <v>1</v>
      </c>
      <c r="F644" s="247"/>
      <c r="G644" s="248"/>
      <c r="H644" s="247"/>
      <c r="I644" s="249" t="s">
        <v>269</v>
      </c>
      <c r="J644" s="249" t="s">
        <v>21</v>
      </c>
      <c r="K644" s="249" t="s">
        <v>31</v>
      </c>
      <c r="L644" s="250">
        <f t="shared" si="38"/>
        <v>1</v>
      </c>
      <c r="M644" s="237">
        <f t="array" ref="M644">INDEX('BKTT T4.26'!$N$12:$N$55,MATCH(V644,'BKTT T4.26'!$A$12:$A$55,0),0)</f>
        <v>454158</v>
      </c>
      <c r="N644" s="162">
        <f t="shared" si="37"/>
        <v>454158</v>
      </c>
      <c r="O644" s="238" t="s">
        <v>264</v>
      </c>
      <c r="P644" s="251" t="s">
        <v>1448</v>
      </c>
      <c r="R644" s="191" t="str">
        <f t="shared" si="39"/>
        <v>Cước vận chuyển Container hàng 20' tuyến đường PAN HA - NDV. BKS: 15H07644</v>
      </c>
      <c r="S644" s="191" t="str">
        <f t="shared" si="40"/>
        <v xml:space="preserve"> hàng 20' </v>
      </c>
      <c r="V644" s="191">
        <v>7</v>
      </c>
    </row>
    <row r="645" spans="1:22" s="191" customFormat="1" ht="15">
      <c r="A645" s="236">
        <v>634</v>
      </c>
      <c r="B645" s="244">
        <v>46121</v>
      </c>
      <c r="C645" s="245" t="s">
        <v>261</v>
      </c>
      <c r="D645" s="246" t="s">
        <v>897</v>
      </c>
      <c r="E645" s="247">
        <v>1</v>
      </c>
      <c r="F645" s="247"/>
      <c r="G645" s="248"/>
      <c r="H645" s="247"/>
      <c r="I645" s="249" t="s">
        <v>269</v>
      </c>
      <c r="J645" s="249" t="s">
        <v>21</v>
      </c>
      <c r="K645" s="249" t="s">
        <v>22</v>
      </c>
      <c r="L645" s="250">
        <f t="shared" si="38"/>
        <v>1</v>
      </c>
      <c r="M645" s="237">
        <f t="array" ref="M645">INDEX('BKTT T4.26'!$N$12:$N$55,MATCH(V645,'BKTT T4.26'!$A$12:$A$55,0),0)</f>
        <v>654871</v>
      </c>
      <c r="N645" s="162">
        <f t="shared" si="37"/>
        <v>654871</v>
      </c>
      <c r="O645" s="238" t="s">
        <v>264</v>
      </c>
      <c r="P645" s="251" t="s">
        <v>1448</v>
      </c>
      <c r="R645" s="191" t="str">
        <f t="shared" si="39"/>
        <v>Cước vận chuyển Container hàng 20' tuyến đường PAN HA - HẢI AN. BKS: 15H07644</v>
      </c>
      <c r="S645" s="191" t="str">
        <f t="shared" si="40"/>
        <v xml:space="preserve"> hàng 20' </v>
      </c>
      <c r="V645" s="191">
        <v>1</v>
      </c>
    </row>
    <row r="646" spans="1:22" s="191" customFormat="1" ht="15">
      <c r="A646" s="236">
        <v>635</v>
      </c>
      <c r="B646" s="244">
        <v>46121</v>
      </c>
      <c r="C646" s="245" t="s">
        <v>261</v>
      </c>
      <c r="D646" s="246" t="s">
        <v>898</v>
      </c>
      <c r="E646" s="247">
        <v>1</v>
      </c>
      <c r="F646" s="247"/>
      <c r="G646" s="248"/>
      <c r="H646" s="247"/>
      <c r="I646" s="249" t="s">
        <v>269</v>
      </c>
      <c r="J646" s="249" t="s">
        <v>21</v>
      </c>
      <c r="K646" s="249" t="s">
        <v>22</v>
      </c>
      <c r="L646" s="250">
        <f t="shared" si="38"/>
        <v>1</v>
      </c>
      <c r="M646" s="237">
        <f t="array" ref="M646">INDEX('BKTT T4.26'!$N$12:$N$55,MATCH(V646,'BKTT T4.26'!$A$12:$A$55,0),0)</f>
        <v>654871</v>
      </c>
      <c r="N646" s="162">
        <f t="shared" ref="N646:N649" si="41">L646*M646</f>
        <v>654871</v>
      </c>
      <c r="O646" s="238" t="s">
        <v>264</v>
      </c>
      <c r="P646" s="251" t="s">
        <v>1448</v>
      </c>
      <c r="R646" s="191" t="str">
        <f t="shared" si="39"/>
        <v>Cước vận chuyển Container hàng 20' tuyến đường PAN HA - HẢI AN. BKS: 15H07644</v>
      </c>
      <c r="S646" s="191" t="str">
        <f t="shared" si="40"/>
        <v xml:space="preserve"> hàng 20' </v>
      </c>
      <c r="V646" s="191">
        <v>1</v>
      </c>
    </row>
    <row r="647" spans="1:22" s="191" customFormat="1" ht="15">
      <c r="A647" s="236">
        <v>636</v>
      </c>
      <c r="B647" s="244">
        <v>46121</v>
      </c>
      <c r="C647" s="245" t="s">
        <v>261</v>
      </c>
      <c r="D647" s="246" t="s">
        <v>899</v>
      </c>
      <c r="E647" s="247">
        <v>1</v>
      </c>
      <c r="F647" s="247"/>
      <c r="G647" s="248"/>
      <c r="H647" s="247"/>
      <c r="I647" s="249" t="s">
        <v>269</v>
      </c>
      <c r="J647" s="249" t="s">
        <v>21</v>
      </c>
      <c r="K647" s="249" t="s">
        <v>22</v>
      </c>
      <c r="L647" s="250">
        <f t="shared" si="38"/>
        <v>1</v>
      </c>
      <c r="M647" s="237">
        <f t="array" ref="M647">INDEX('BKTT T4.26'!$N$12:$N$55,MATCH(V647,'BKTT T4.26'!$A$12:$A$55,0),0)</f>
        <v>654871</v>
      </c>
      <c r="N647" s="162">
        <f t="shared" si="41"/>
        <v>654871</v>
      </c>
      <c r="O647" s="238" t="s">
        <v>264</v>
      </c>
      <c r="P647" s="251" t="s">
        <v>1448</v>
      </c>
      <c r="R647" s="191" t="str">
        <f t="shared" si="39"/>
        <v>Cước vận chuyển Container hàng 20' tuyến đường PAN HA - HẢI AN. BKS: 15H07644</v>
      </c>
      <c r="S647" s="191" t="str">
        <f t="shared" si="40"/>
        <v xml:space="preserve"> hàng 20' </v>
      </c>
      <c r="V647" s="191">
        <v>1</v>
      </c>
    </row>
    <row r="648" spans="1:22" s="191" customFormat="1" ht="15">
      <c r="A648" s="236">
        <v>637</v>
      </c>
      <c r="B648" s="244">
        <v>46121</v>
      </c>
      <c r="C648" s="245" t="s">
        <v>261</v>
      </c>
      <c r="D648" s="246" t="s">
        <v>900</v>
      </c>
      <c r="E648" s="247">
        <v>1</v>
      </c>
      <c r="F648" s="247"/>
      <c r="G648" s="248"/>
      <c r="H648" s="247"/>
      <c r="I648" s="249" t="s">
        <v>269</v>
      </c>
      <c r="J648" s="249" t="s">
        <v>21</v>
      </c>
      <c r="K648" s="249" t="s">
        <v>22</v>
      </c>
      <c r="L648" s="250">
        <f t="shared" si="38"/>
        <v>1</v>
      </c>
      <c r="M648" s="237">
        <f t="array" ref="M648">INDEX('BKTT T4.26'!$N$12:$N$55,MATCH(V648,'BKTT T4.26'!$A$12:$A$55,0),0)</f>
        <v>654871</v>
      </c>
      <c r="N648" s="162">
        <f t="shared" si="41"/>
        <v>654871</v>
      </c>
      <c r="O648" s="238" t="s">
        <v>264</v>
      </c>
      <c r="P648" s="251" t="s">
        <v>1448</v>
      </c>
      <c r="R648" s="191" t="str">
        <f t="shared" si="39"/>
        <v>Cước vận chuyển Container hàng 20' tuyến đường PAN HA - HẢI AN. BKS: 15H07644</v>
      </c>
      <c r="S648" s="191" t="str">
        <f t="shared" si="40"/>
        <v xml:space="preserve"> hàng 20' </v>
      </c>
      <c r="V648" s="191">
        <v>1</v>
      </c>
    </row>
    <row r="649" spans="1:22" s="191" customFormat="1" ht="15">
      <c r="A649" s="236">
        <v>638</v>
      </c>
      <c r="B649" s="244">
        <v>46121</v>
      </c>
      <c r="C649" s="245" t="s">
        <v>261</v>
      </c>
      <c r="D649" s="246" t="s">
        <v>901</v>
      </c>
      <c r="E649" s="247">
        <v>1</v>
      </c>
      <c r="F649" s="247"/>
      <c r="G649" s="248"/>
      <c r="H649" s="247"/>
      <c r="I649" s="249" t="s">
        <v>269</v>
      </c>
      <c r="J649" s="249" t="s">
        <v>21</v>
      </c>
      <c r="K649" s="249" t="s">
        <v>22</v>
      </c>
      <c r="L649" s="250">
        <f t="shared" ref="L649:L712" si="42">E649+F649+G649+H649</f>
        <v>1</v>
      </c>
      <c r="M649" s="237">
        <f t="array" ref="M649">INDEX('BKTT T4.26'!$N$12:$N$55,MATCH(V649,'BKTT T4.26'!$A$12:$A$55,0),0)</f>
        <v>654871</v>
      </c>
      <c r="N649" s="162">
        <f t="shared" si="41"/>
        <v>654871</v>
      </c>
      <c r="O649" s="238" t="s">
        <v>264</v>
      </c>
      <c r="P649" s="251" t="s">
        <v>1448</v>
      </c>
      <c r="R649" s="191" t="str">
        <f t="shared" ref="R649:R712" si="43">$R$10&amp;S649&amp;$R$9&amp;J649&amp;$S$10&amp;K649&amp;$R$8&amp;I649</f>
        <v>Cước vận chuyển Container hàng 20' tuyến đường PAN HA - HẢI AN. BKS: 15H07644</v>
      </c>
      <c r="S649" s="191" t="str">
        <f t="shared" ref="S649:S712" si="44">IF(E649=1," hàng 20' ",IF(F649=1," hàng 40' "," vỏ "))</f>
        <v xml:space="preserve"> hàng 20' </v>
      </c>
      <c r="V649" s="191">
        <v>1</v>
      </c>
    </row>
    <row r="650" spans="1:22" s="191" customFormat="1" ht="15">
      <c r="A650" s="236">
        <v>639</v>
      </c>
      <c r="B650" s="244">
        <v>46121</v>
      </c>
      <c r="C650" s="245" t="s">
        <v>261</v>
      </c>
      <c r="D650" s="246" t="s">
        <v>902</v>
      </c>
      <c r="E650" s="247">
        <v>1</v>
      </c>
      <c r="F650" s="247"/>
      <c r="G650" s="248"/>
      <c r="H650" s="247"/>
      <c r="I650" s="249" t="s">
        <v>269</v>
      </c>
      <c r="J650" s="249" t="s">
        <v>21</v>
      </c>
      <c r="K650" s="249" t="s">
        <v>22</v>
      </c>
      <c r="L650" s="250">
        <f t="shared" si="42"/>
        <v>1</v>
      </c>
      <c r="M650" s="237">
        <f t="array" ref="M650">INDEX('BKTT T4.26'!$N$12:$N$55,MATCH(V650,'BKTT T4.26'!$A$12:$A$55,0),0)</f>
        <v>654871</v>
      </c>
      <c r="N650" s="162">
        <f t="shared" ref="N650:N674" si="45">L650*M650</f>
        <v>654871</v>
      </c>
      <c r="O650" s="238" t="s">
        <v>264</v>
      </c>
      <c r="P650" s="251" t="s">
        <v>1448</v>
      </c>
      <c r="R650" s="191" t="str">
        <f t="shared" si="43"/>
        <v>Cước vận chuyển Container hàng 20' tuyến đường PAN HA - HẢI AN. BKS: 15H07644</v>
      </c>
      <c r="S650" s="191" t="str">
        <f t="shared" si="44"/>
        <v xml:space="preserve"> hàng 20' </v>
      </c>
      <c r="V650" s="191">
        <v>1</v>
      </c>
    </row>
    <row r="651" spans="1:22" s="191" customFormat="1" ht="15">
      <c r="A651" s="236">
        <v>640</v>
      </c>
      <c r="B651" s="244">
        <v>46121</v>
      </c>
      <c r="C651" s="245" t="s">
        <v>261</v>
      </c>
      <c r="D651" s="246" t="s">
        <v>903</v>
      </c>
      <c r="E651" s="247"/>
      <c r="F651" s="247">
        <v>1</v>
      </c>
      <c r="G651" s="248"/>
      <c r="H651" s="247"/>
      <c r="I651" s="249" t="s">
        <v>269</v>
      </c>
      <c r="J651" s="249" t="s">
        <v>21</v>
      </c>
      <c r="K651" s="249" t="s">
        <v>25</v>
      </c>
      <c r="L651" s="250">
        <f t="shared" si="42"/>
        <v>1</v>
      </c>
      <c r="M651" s="237">
        <f t="array" ref="M651">INDEX('BKTT T4.26'!$N$12:$N$55,MATCH(V651,'BKTT T4.26'!$A$12:$A$55,0),0)</f>
        <v>681050</v>
      </c>
      <c r="N651" s="162">
        <f t="shared" si="45"/>
        <v>681050</v>
      </c>
      <c r="O651" s="238" t="s">
        <v>264</v>
      </c>
      <c r="P651" s="251" t="s">
        <v>1448</v>
      </c>
      <c r="R651" s="191" t="str">
        <f t="shared" si="43"/>
        <v>Cước vận chuyển Container hàng 40' tuyến đường PAN HA - HẢI AN,. BKS: 15H07644</v>
      </c>
      <c r="S651" s="191" t="str">
        <f t="shared" si="44"/>
        <v xml:space="preserve"> hàng 40' </v>
      </c>
      <c r="V651" s="191">
        <v>2</v>
      </c>
    </row>
    <row r="652" spans="1:22" s="191" customFormat="1" ht="15">
      <c r="A652" s="236">
        <v>641</v>
      </c>
      <c r="B652" s="244">
        <v>46121</v>
      </c>
      <c r="C652" s="245" t="s">
        <v>261</v>
      </c>
      <c r="D652" s="246" t="s">
        <v>904</v>
      </c>
      <c r="E652" s="247"/>
      <c r="F652" s="247"/>
      <c r="G652" s="248"/>
      <c r="H652" s="247">
        <v>1</v>
      </c>
      <c r="I652" s="249" t="s">
        <v>274</v>
      </c>
      <c r="J652" s="249" t="s">
        <v>38</v>
      </c>
      <c r="K652" s="249" t="s">
        <v>21</v>
      </c>
      <c r="L652" s="250">
        <f t="shared" si="42"/>
        <v>1</v>
      </c>
      <c r="M652" s="237">
        <f t="array" ref="M652">INDEX('BKTT T4.26'!$N$12:$N$55,MATCH(V652,'BKTT T4.26'!$A$12:$A$55,0),0)</f>
        <v>585057</v>
      </c>
      <c r="N652" s="162">
        <f t="shared" si="45"/>
        <v>585057</v>
      </c>
      <c r="O652" s="238" t="s">
        <v>267</v>
      </c>
      <c r="P652" s="251" t="s">
        <v>1448</v>
      </c>
      <c r="R652" s="191" t="str">
        <f t="shared" si="43"/>
        <v>Cước vận chuyển Container vỏ tuyến đường NHĐV. - PAN HA. BKS: 15H12925</v>
      </c>
      <c r="S652" s="191" t="str">
        <f t="shared" si="44"/>
        <v xml:space="preserve"> vỏ </v>
      </c>
      <c r="V652" s="191">
        <v>16</v>
      </c>
    </row>
    <row r="653" spans="1:22" s="191" customFormat="1" ht="15">
      <c r="A653" s="236">
        <v>642</v>
      </c>
      <c r="B653" s="244">
        <v>46121</v>
      </c>
      <c r="C653" s="245" t="s">
        <v>261</v>
      </c>
      <c r="D653" s="246" t="s">
        <v>905</v>
      </c>
      <c r="E653" s="247"/>
      <c r="F653" s="247"/>
      <c r="G653" s="248"/>
      <c r="H653" s="247">
        <v>1</v>
      </c>
      <c r="I653" s="249" t="s">
        <v>274</v>
      </c>
      <c r="J653" s="249" t="s">
        <v>38</v>
      </c>
      <c r="K653" s="249" t="s">
        <v>21</v>
      </c>
      <c r="L653" s="250">
        <f t="shared" si="42"/>
        <v>1</v>
      </c>
      <c r="M653" s="237">
        <f t="array" ref="M653">INDEX('BKTT T4.26'!$N$12:$N$55,MATCH(V653,'BKTT T4.26'!$A$12:$A$55,0),0)</f>
        <v>585057</v>
      </c>
      <c r="N653" s="162">
        <f t="shared" si="45"/>
        <v>585057</v>
      </c>
      <c r="O653" s="238" t="s">
        <v>267</v>
      </c>
      <c r="P653" s="251" t="s">
        <v>1448</v>
      </c>
      <c r="R653" s="191" t="str">
        <f t="shared" si="43"/>
        <v>Cước vận chuyển Container vỏ tuyến đường NHĐV. - PAN HA. BKS: 15H12925</v>
      </c>
      <c r="S653" s="191" t="str">
        <f t="shared" si="44"/>
        <v xml:space="preserve"> vỏ </v>
      </c>
      <c r="V653" s="191">
        <v>16</v>
      </c>
    </row>
    <row r="654" spans="1:22" s="191" customFormat="1" ht="15">
      <c r="A654" s="236">
        <v>643</v>
      </c>
      <c r="B654" s="244">
        <v>46121</v>
      </c>
      <c r="C654" s="245" t="s">
        <v>261</v>
      </c>
      <c r="D654" s="246" t="s">
        <v>906</v>
      </c>
      <c r="E654" s="247">
        <v>1</v>
      </c>
      <c r="F654" s="247"/>
      <c r="G654" s="248"/>
      <c r="H654" s="247"/>
      <c r="I654" s="249" t="s">
        <v>274</v>
      </c>
      <c r="J654" s="249" t="s">
        <v>21</v>
      </c>
      <c r="K654" s="249" t="s">
        <v>22</v>
      </c>
      <c r="L654" s="250">
        <f t="shared" si="42"/>
        <v>1</v>
      </c>
      <c r="M654" s="237">
        <f t="array" ref="M654">INDEX('BKTT T4.26'!$N$12:$N$55,MATCH(V654,'BKTT T4.26'!$A$12:$A$55,0),0)</f>
        <v>654871</v>
      </c>
      <c r="N654" s="162">
        <f t="shared" si="45"/>
        <v>654871</v>
      </c>
      <c r="O654" s="238" t="s">
        <v>264</v>
      </c>
      <c r="P654" s="251" t="s">
        <v>1448</v>
      </c>
      <c r="R654" s="191" t="str">
        <f t="shared" si="43"/>
        <v>Cước vận chuyển Container hàng 20' tuyến đường PAN HA - HẢI AN. BKS: 15H12925</v>
      </c>
      <c r="S654" s="191" t="str">
        <f t="shared" si="44"/>
        <v xml:space="preserve"> hàng 20' </v>
      </c>
      <c r="V654" s="191">
        <v>1</v>
      </c>
    </row>
    <row r="655" spans="1:22" s="191" customFormat="1" ht="15">
      <c r="A655" s="236">
        <v>644</v>
      </c>
      <c r="B655" s="244">
        <v>46121</v>
      </c>
      <c r="C655" s="245" t="s">
        <v>261</v>
      </c>
      <c r="D655" s="246" t="s">
        <v>907</v>
      </c>
      <c r="E655" s="247"/>
      <c r="F655" s="247">
        <v>1</v>
      </c>
      <c r="G655" s="248"/>
      <c r="H655" s="247"/>
      <c r="I655" s="249" t="s">
        <v>274</v>
      </c>
      <c r="J655" s="249" t="s">
        <v>21</v>
      </c>
      <c r="K655" s="249" t="s">
        <v>25</v>
      </c>
      <c r="L655" s="250">
        <f t="shared" si="42"/>
        <v>1</v>
      </c>
      <c r="M655" s="237">
        <f t="array" ref="M655">INDEX('BKTT T4.26'!$N$12:$N$55,MATCH(V655,'BKTT T4.26'!$A$12:$A$55,0),0)</f>
        <v>681050</v>
      </c>
      <c r="N655" s="162">
        <f t="shared" si="45"/>
        <v>681050</v>
      </c>
      <c r="O655" s="238" t="s">
        <v>264</v>
      </c>
      <c r="P655" s="251" t="s">
        <v>1448</v>
      </c>
      <c r="R655" s="191" t="str">
        <f t="shared" si="43"/>
        <v>Cước vận chuyển Container hàng 40' tuyến đường PAN HA - HẢI AN,. BKS: 15H12925</v>
      </c>
      <c r="S655" s="191" t="str">
        <f t="shared" si="44"/>
        <v xml:space="preserve"> hàng 40' </v>
      </c>
      <c r="V655" s="191">
        <v>2</v>
      </c>
    </row>
    <row r="656" spans="1:22" s="191" customFormat="1" ht="15">
      <c r="A656" s="236">
        <v>645</v>
      </c>
      <c r="B656" s="244">
        <v>46121</v>
      </c>
      <c r="C656" s="245" t="s">
        <v>261</v>
      </c>
      <c r="D656" s="246" t="s">
        <v>908</v>
      </c>
      <c r="E656" s="247"/>
      <c r="F656" s="247">
        <v>1</v>
      </c>
      <c r="G656" s="248"/>
      <c r="H656" s="247"/>
      <c r="I656" s="249" t="s">
        <v>274</v>
      </c>
      <c r="J656" s="249" t="s">
        <v>21</v>
      </c>
      <c r="K656" s="249" t="s">
        <v>25</v>
      </c>
      <c r="L656" s="250">
        <f t="shared" si="42"/>
        <v>1</v>
      </c>
      <c r="M656" s="237">
        <f t="array" ref="M656">INDEX('BKTT T4.26'!$N$12:$N$55,MATCH(V656,'BKTT T4.26'!$A$12:$A$55,0),0)</f>
        <v>681050</v>
      </c>
      <c r="N656" s="162">
        <f t="shared" si="45"/>
        <v>681050</v>
      </c>
      <c r="O656" s="238" t="s">
        <v>264</v>
      </c>
      <c r="P656" s="251" t="s">
        <v>1448</v>
      </c>
      <c r="R656" s="191" t="str">
        <f t="shared" si="43"/>
        <v>Cước vận chuyển Container hàng 40' tuyến đường PAN HA - HẢI AN,. BKS: 15H12925</v>
      </c>
      <c r="S656" s="191" t="str">
        <f t="shared" si="44"/>
        <v xml:space="preserve"> hàng 40' </v>
      </c>
      <c r="V656" s="191">
        <v>2</v>
      </c>
    </row>
    <row r="657" spans="1:22" s="191" customFormat="1" ht="15">
      <c r="A657" s="236">
        <v>646</v>
      </c>
      <c r="B657" s="244">
        <v>46119</v>
      </c>
      <c r="C657" s="245" t="s">
        <v>261</v>
      </c>
      <c r="D657" s="246" t="s">
        <v>909</v>
      </c>
      <c r="E657" s="247"/>
      <c r="F657" s="247"/>
      <c r="G657" s="248"/>
      <c r="H657" s="247">
        <v>1</v>
      </c>
      <c r="I657" s="249" t="s">
        <v>399</v>
      </c>
      <c r="J657" s="249" t="s">
        <v>21</v>
      </c>
      <c r="K657" s="249" t="s">
        <v>27</v>
      </c>
      <c r="L657" s="250">
        <f t="shared" si="42"/>
        <v>1</v>
      </c>
      <c r="M657" s="237">
        <f t="array" ref="M657">INDEX('BKTT T4.26'!$N$12:$N$55,MATCH(V657,'BKTT T4.26'!$A$12:$A$55,0),0)</f>
        <v>628690</v>
      </c>
      <c r="N657" s="162">
        <f t="shared" si="45"/>
        <v>628690</v>
      </c>
      <c r="O657" s="238" t="s">
        <v>264</v>
      </c>
      <c r="P657" s="251" t="s">
        <v>1448</v>
      </c>
      <c r="R657" s="191" t="str">
        <f t="shared" si="43"/>
        <v>Cước vận chuyển Container vỏ tuyến đường PAN HA - HẢI AN.. BKS: 15H15378</v>
      </c>
      <c r="S657" s="191" t="str">
        <f t="shared" si="44"/>
        <v xml:space="preserve"> vỏ </v>
      </c>
      <c r="V657" s="191">
        <v>3</v>
      </c>
    </row>
    <row r="658" spans="1:22" s="191" customFormat="1" ht="15">
      <c r="A658" s="236">
        <v>647</v>
      </c>
      <c r="B658" s="244">
        <v>46119</v>
      </c>
      <c r="C658" s="245" t="s">
        <v>261</v>
      </c>
      <c r="D658" s="246" t="s">
        <v>910</v>
      </c>
      <c r="E658" s="247"/>
      <c r="F658" s="247">
        <v>1</v>
      </c>
      <c r="G658" s="248"/>
      <c r="H658" s="247"/>
      <c r="I658" s="249" t="s">
        <v>399</v>
      </c>
      <c r="J658" s="249" t="s">
        <v>21</v>
      </c>
      <c r="K658" s="249" t="s">
        <v>25</v>
      </c>
      <c r="L658" s="250">
        <f t="shared" si="42"/>
        <v>1</v>
      </c>
      <c r="M658" s="237">
        <f t="array" ref="M658">INDEX('BKTT T4.26'!$N$12:$N$55,MATCH(V658,'BKTT T4.26'!$A$12:$A$55,0),0)</f>
        <v>681050</v>
      </c>
      <c r="N658" s="162">
        <f t="shared" si="45"/>
        <v>681050</v>
      </c>
      <c r="O658" s="238" t="s">
        <v>264</v>
      </c>
      <c r="P658" s="251" t="s">
        <v>98</v>
      </c>
      <c r="R658" s="191" t="str">
        <f t="shared" si="43"/>
        <v>Cước vận chuyển Container hàng 40' tuyến đường PAN HA - HẢI AN,. BKS: 15H15378</v>
      </c>
      <c r="S658" s="191" t="str">
        <f t="shared" si="44"/>
        <v xml:space="preserve"> hàng 40' </v>
      </c>
      <c r="V658" s="191">
        <v>2</v>
      </c>
    </row>
    <row r="659" spans="1:22" s="191" customFormat="1" ht="15">
      <c r="A659" s="236">
        <v>648</v>
      </c>
      <c r="B659" s="244">
        <v>46119</v>
      </c>
      <c r="C659" s="245" t="s">
        <v>261</v>
      </c>
      <c r="D659" s="246" t="s">
        <v>911</v>
      </c>
      <c r="E659" s="247"/>
      <c r="F659" s="247">
        <v>1</v>
      </c>
      <c r="G659" s="248"/>
      <c r="H659" s="247"/>
      <c r="I659" s="249" t="s">
        <v>399</v>
      </c>
      <c r="J659" s="249" t="s">
        <v>21</v>
      </c>
      <c r="K659" s="249" t="s">
        <v>25</v>
      </c>
      <c r="L659" s="250">
        <f t="shared" si="42"/>
        <v>1</v>
      </c>
      <c r="M659" s="237">
        <f t="array" ref="M659">INDEX('BKTT T4.26'!$N$12:$N$55,MATCH(V659,'BKTT T4.26'!$A$12:$A$55,0),0)</f>
        <v>681050</v>
      </c>
      <c r="N659" s="162">
        <f t="shared" si="45"/>
        <v>681050</v>
      </c>
      <c r="O659" s="238" t="s">
        <v>264</v>
      </c>
      <c r="P659" s="251" t="s">
        <v>1448</v>
      </c>
      <c r="R659" s="191" t="str">
        <f t="shared" si="43"/>
        <v>Cước vận chuyển Container hàng 40' tuyến đường PAN HA - HẢI AN,. BKS: 15H15378</v>
      </c>
      <c r="S659" s="191" t="str">
        <f t="shared" si="44"/>
        <v xml:space="preserve"> hàng 40' </v>
      </c>
      <c r="V659" s="191">
        <v>2</v>
      </c>
    </row>
    <row r="660" spans="1:22" s="191" customFormat="1" ht="15">
      <c r="A660" s="236">
        <v>649</v>
      </c>
      <c r="B660" s="244">
        <v>46121</v>
      </c>
      <c r="C660" s="245" t="s">
        <v>261</v>
      </c>
      <c r="D660" s="246" t="s">
        <v>912</v>
      </c>
      <c r="E660" s="247">
        <v>1</v>
      </c>
      <c r="F660" s="247"/>
      <c r="G660" s="248"/>
      <c r="H660" s="247"/>
      <c r="I660" s="249" t="s">
        <v>472</v>
      </c>
      <c r="J660" s="249" t="s">
        <v>21</v>
      </c>
      <c r="K660" s="249" t="s">
        <v>22</v>
      </c>
      <c r="L660" s="250">
        <f t="shared" si="42"/>
        <v>1</v>
      </c>
      <c r="M660" s="237">
        <f t="array" ref="M660">INDEX('BKTT T4.26'!$N$12:$N$55,MATCH(V660,'BKTT T4.26'!$A$12:$A$55,0),0)</f>
        <v>654871</v>
      </c>
      <c r="N660" s="162">
        <f t="shared" si="45"/>
        <v>654871</v>
      </c>
      <c r="O660" s="238" t="s">
        <v>264</v>
      </c>
      <c r="P660" s="251" t="s">
        <v>1448</v>
      </c>
      <c r="R660" s="191" t="str">
        <f t="shared" si="43"/>
        <v>Cước vận chuyển Container hàng 20' tuyến đường PAN HA - HẢI AN. BKS: 15H08574</v>
      </c>
      <c r="S660" s="191" t="str">
        <f t="shared" si="44"/>
        <v xml:space="preserve"> hàng 20' </v>
      </c>
      <c r="V660" s="191">
        <v>1</v>
      </c>
    </row>
    <row r="661" spans="1:22" s="191" customFormat="1" ht="15">
      <c r="A661" s="236">
        <v>650</v>
      </c>
      <c r="B661" s="244">
        <v>46121</v>
      </c>
      <c r="C661" s="245" t="s">
        <v>261</v>
      </c>
      <c r="D661" s="246" t="s">
        <v>913</v>
      </c>
      <c r="E661" s="247">
        <v>1</v>
      </c>
      <c r="F661" s="247"/>
      <c r="G661" s="248"/>
      <c r="H661" s="247"/>
      <c r="I661" s="249" t="s">
        <v>472</v>
      </c>
      <c r="J661" s="249" t="s">
        <v>21</v>
      </c>
      <c r="K661" s="249" t="s">
        <v>22</v>
      </c>
      <c r="L661" s="250">
        <f t="shared" si="42"/>
        <v>1</v>
      </c>
      <c r="M661" s="237">
        <f t="array" ref="M661">INDEX('BKTT T4.26'!$N$12:$N$55,MATCH(V661,'BKTT T4.26'!$A$12:$A$55,0),0)</f>
        <v>654871</v>
      </c>
      <c r="N661" s="162">
        <f t="shared" si="45"/>
        <v>654871</v>
      </c>
      <c r="O661" s="238" t="s">
        <v>264</v>
      </c>
      <c r="P661" s="251" t="s">
        <v>1448</v>
      </c>
      <c r="R661" s="191" t="str">
        <f t="shared" si="43"/>
        <v>Cước vận chuyển Container hàng 20' tuyến đường PAN HA - HẢI AN. BKS: 15H08574</v>
      </c>
      <c r="S661" s="191" t="str">
        <f t="shared" si="44"/>
        <v xml:space="preserve"> hàng 20' </v>
      </c>
      <c r="V661" s="191">
        <v>1</v>
      </c>
    </row>
    <row r="662" spans="1:22" s="191" customFormat="1" ht="15">
      <c r="A662" s="236">
        <v>651</v>
      </c>
      <c r="B662" s="244">
        <v>46121</v>
      </c>
      <c r="C662" s="245" t="s">
        <v>261</v>
      </c>
      <c r="D662" s="246" t="s">
        <v>914</v>
      </c>
      <c r="E662" s="247">
        <v>1</v>
      </c>
      <c r="F662" s="247"/>
      <c r="G662" s="248"/>
      <c r="H662" s="247"/>
      <c r="I662" s="249" t="s">
        <v>472</v>
      </c>
      <c r="J662" s="249" t="s">
        <v>21</v>
      </c>
      <c r="K662" s="249" t="s">
        <v>22</v>
      </c>
      <c r="L662" s="250">
        <f t="shared" si="42"/>
        <v>1</v>
      </c>
      <c r="M662" s="237">
        <f t="array" ref="M662">INDEX('BKTT T4.26'!$N$12:$N$55,MATCH(V662,'BKTT T4.26'!$A$12:$A$55,0),0)</f>
        <v>654871</v>
      </c>
      <c r="N662" s="162">
        <f t="shared" si="45"/>
        <v>654871</v>
      </c>
      <c r="O662" s="238" t="s">
        <v>264</v>
      </c>
      <c r="P662" s="251" t="s">
        <v>1448</v>
      </c>
      <c r="R662" s="191" t="str">
        <f t="shared" si="43"/>
        <v>Cước vận chuyển Container hàng 20' tuyến đường PAN HA - HẢI AN. BKS: 15H08574</v>
      </c>
      <c r="S662" s="191" t="str">
        <f t="shared" si="44"/>
        <v xml:space="preserve"> hàng 20' </v>
      </c>
      <c r="V662" s="191">
        <v>1</v>
      </c>
    </row>
    <row r="663" spans="1:22" s="191" customFormat="1" ht="15">
      <c r="A663" s="236">
        <v>652</v>
      </c>
      <c r="B663" s="244">
        <v>46121</v>
      </c>
      <c r="C663" s="245" t="s">
        <v>261</v>
      </c>
      <c r="D663" s="246" t="s">
        <v>915</v>
      </c>
      <c r="E663" s="247">
        <v>1</v>
      </c>
      <c r="F663" s="247"/>
      <c r="G663" s="248"/>
      <c r="H663" s="247"/>
      <c r="I663" s="249" t="s">
        <v>472</v>
      </c>
      <c r="J663" s="249" t="s">
        <v>21</v>
      </c>
      <c r="K663" s="249" t="s">
        <v>22</v>
      </c>
      <c r="L663" s="250">
        <f t="shared" si="42"/>
        <v>1</v>
      </c>
      <c r="M663" s="237">
        <f t="array" ref="M663">INDEX('BKTT T4.26'!$N$12:$N$55,MATCH(V663,'BKTT T4.26'!$A$12:$A$55,0),0)</f>
        <v>654871</v>
      </c>
      <c r="N663" s="162">
        <f t="shared" si="45"/>
        <v>654871</v>
      </c>
      <c r="O663" s="238" t="s">
        <v>264</v>
      </c>
      <c r="P663" s="251" t="s">
        <v>1448</v>
      </c>
      <c r="R663" s="191" t="str">
        <f t="shared" si="43"/>
        <v>Cước vận chuyển Container hàng 20' tuyến đường PAN HA - HẢI AN. BKS: 15H08574</v>
      </c>
      <c r="S663" s="191" t="str">
        <f t="shared" si="44"/>
        <v xml:space="preserve"> hàng 20' </v>
      </c>
      <c r="V663" s="191">
        <v>1</v>
      </c>
    </row>
    <row r="664" spans="1:22" s="191" customFormat="1" ht="15">
      <c r="A664" s="236">
        <v>653</v>
      </c>
      <c r="B664" s="244">
        <v>46121</v>
      </c>
      <c r="C664" s="245" t="s">
        <v>261</v>
      </c>
      <c r="D664" s="246" t="s">
        <v>916</v>
      </c>
      <c r="E664" s="247">
        <v>1</v>
      </c>
      <c r="F664" s="247"/>
      <c r="G664" s="248"/>
      <c r="H664" s="247"/>
      <c r="I664" s="249" t="s">
        <v>472</v>
      </c>
      <c r="J664" s="249" t="s">
        <v>21</v>
      </c>
      <c r="K664" s="249" t="s">
        <v>22</v>
      </c>
      <c r="L664" s="250">
        <f t="shared" si="42"/>
        <v>1</v>
      </c>
      <c r="M664" s="237">
        <f t="array" ref="M664">INDEX('BKTT T4.26'!$N$12:$N$55,MATCH(V664,'BKTT T4.26'!$A$12:$A$55,0),0)</f>
        <v>654871</v>
      </c>
      <c r="N664" s="162">
        <f t="shared" si="45"/>
        <v>654871</v>
      </c>
      <c r="O664" s="238" t="s">
        <v>264</v>
      </c>
      <c r="P664" s="251" t="s">
        <v>1448</v>
      </c>
      <c r="R664" s="191" t="str">
        <f t="shared" si="43"/>
        <v>Cước vận chuyển Container hàng 20' tuyến đường PAN HA - HẢI AN. BKS: 15H08574</v>
      </c>
      <c r="S664" s="191" t="str">
        <f t="shared" si="44"/>
        <v xml:space="preserve"> hàng 20' </v>
      </c>
      <c r="V664" s="191">
        <v>1</v>
      </c>
    </row>
    <row r="665" spans="1:22" s="191" customFormat="1" ht="15">
      <c r="A665" s="236">
        <v>654</v>
      </c>
      <c r="B665" s="244">
        <v>46121</v>
      </c>
      <c r="C665" s="245" t="s">
        <v>261</v>
      </c>
      <c r="D665" s="246" t="s">
        <v>917</v>
      </c>
      <c r="E665" s="247">
        <v>1</v>
      </c>
      <c r="F665" s="247"/>
      <c r="G665" s="248"/>
      <c r="H665" s="247"/>
      <c r="I665" s="249" t="s">
        <v>472</v>
      </c>
      <c r="J665" s="249" t="s">
        <v>21</v>
      </c>
      <c r="K665" s="249" t="s">
        <v>22</v>
      </c>
      <c r="L665" s="250">
        <f t="shared" si="42"/>
        <v>1</v>
      </c>
      <c r="M665" s="237">
        <f t="array" ref="M665">INDEX('BKTT T4.26'!$N$12:$N$55,MATCH(V665,'BKTT T4.26'!$A$12:$A$55,0),0)</f>
        <v>654871</v>
      </c>
      <c r="N665" s="162">
        <f t="shared" si="45"/>
        <v>654871</v>
      </c>
      <c r="O665" s="238" t="s">
        <v>264</v>
      </c>
      <c r="P665" s="251" t="s">
        <v>1448</v>
      </c>
      <c r="R665" s="191" t="str">
        <f t="shared" si="43"/>
        <v>Cước vận chuyển Container hàng 20' tuyến đường PAN HA - HẢI AN. BKS: 15H08574</v>
      </c>
      <c r="S665" s="191" t="str">
        <f t="shared" si="44"/>
        <v xml:space="preserve"> hàng 20' </v>
      </c>
      <c r="V665" s="191">
        <v>1</v>
      </c>
    </row>
    <row r="666" spans="1:22" s="191" customFormat="1" ht="15">
      <c r="A666" s="236">
        <v>655</v>
      </c>
      <c r="B666" s="244">
        <v>46121</v>
      </c>
      <c r="C666" s="245" t="s">
        <v>261</v>
      </c>
      <c r="D666" s="246" t="s">
        <v>918</v>
      </c>
      <c r="E666" s="247"/>
      <c r="F666" s="247">
        <v>1</v>
      </c>
      <c r="G666" s="248"/>
      <c r="H666" s="247"/>
      <c r="I666" s="249" t="s">
        <v>472</v>
      </c>
      <c r="J666" s="249" t="s">
        <v>21</v>
      </c>
      <c r="K666" s="249" t="s">
        <v>25</v>
      </c>
      <c r="L666" s="250">
        <f t="shared" si="42"/>
        <v>1</v>
      </c>
      <c r="M666" s="237">
        <f t="array" ref="M666">INDEX('BKTT T4.26'!$N$12:$N$55,MATCH(V666,'BKTT T4.26'!$A$12:$A$55,0),0)</f>
        <v>681050</v>
      </c>
      <c r="N666" s="162">
        <f t="shared" si="45"/>
        <v>681050</v>
      </c>
      <c r="O666" s="238" t="s">
        <v>264</v>
      </c>
      <c r="P666" s="251" t="s">
        <v>1448</v>
      </c>
      <c r="R666" s="191" t="str">
        <f t="shared" si="43"/>
        <v>Cước vận chuyển Container hàng 40' tuyến đường PAN HA - HẢI AN,. BKS: 15H08574</v>
      </c>
      <c r="S666" s="191" t="str">
        <f t="shared" si="44"/>
        <v xml:space="preserve"> hàng 40' </v>
      </c>
      <c r="V666" s="191">
        <v>2</v>
      </c>
    </row>
    <row r="667" spans="1:22" s="191" customFormat="1" ht="15">
      <c r="A667" s="236">
        <v>656</v>
      </c>
      <c r="B667" s="244">
        <v>46121</v>
      </c>
      <c r="C667" s="245" t="s">
        <v>261</v>
      </c>
      <c r="D667" s="246" t="s">
        <v>919</v>
      </c>
      <c r="E667" s="247"/>
      <c r="F667" s="247">
        <v>1</v>
      </c>
      <c r="G667" s="248"/>
      <c r="H667" s="247"/>
      <c r="I667" s="249" t="s">
        <v>472</v>
      </c>
      <c r="J667" s="249" t="s">
        <v>21</v>
      </c>
      <c r="K667" s="249" t="s">
        <v>25</v>
      </c>
      <c r="L667" s="250">
        <f t="shared" si="42"/>
        <v>1</v>
      </c>
      <c r="M667" s="237">
        <f t="array" ref="M667">INDEX('BKTT T4.26'!$N$12:$N$55,MATCH(V667,'BKTT T4.26'!$A$12:$A$55,0),0)</f>
        <v>681050</v>
      </c>
      <c r="N667" s="162">
        <f t="shared" si="45"/>
        <v>681050</v>
      </c>
      <c r="O667" s="238" t="s">
        <v>264</v>
      </c>
      <c r="P667" s="251" t="s">
        <v>1448</v>
      </c>
      <c r="R667" s="191" t="str">
        <f t="shared" si="43"/>
        <v>Cước vận chuyển Container hàng 40' tuyến đường PAN HA - HẢI AN,. BKS: 15H08574</v>
      </c>
      <c r="S667" s="191" t="str">
        <f t="shared" si="44"/>
        <v xml:space="preserve"> hàng 40' </v>
      </c>
      <c r="V667" s="191">
        <v>2</v>
      </c>
    </row>
    <row r="668" spans="1:22" s="191" customFormat="1" ht="15">
      <c r="A668" s="236">
        <v>657</v>
      </c>
      <c r="B668" s="244">
        <v>46121</v>
      </c>
      <c r="C668" s="245" t="s">
        <v>261</v>
      </c>
      <c r="D668" s="246" t="s">
        <v>920</v>
      </c>
      <c r="E668" s="247"/>
      <c r="F668" s="247">
        <v>1</v>
      </c>
      <c r="G668" s="248"/>
      <c r="H668" s="247"/>
      <c r="I668" s="249" t="s">
        <v>472</v>
      </c>
      <c r="J668" s="249" t="s">
        <v>21</v>
      </c>
      <c r="K668" s="249" t="s">
        <v>25</v>
      </c>
      <c r="L668" s="250">
        <f t="shared" si="42"/>
        <v>1</v>
      </c>
      <c r="M668" s="237">
        <f t="array" ref="M668">INDEX('BKTT T4.26'!$N$12:$N$55,MATCH(V668,'BKTT T4.26'!$A$12:$A$55,0),0)</f>
        <v>681050</v>
      </c>
      <c r="N668" s="162">
        <f t="shared" si="45"/>
        <v>681050</v>
      </c>
      <c r="O668" s="238" t="s">
        <v>264</v>
      </c>
      <c r="P668" s="251" t="s">
        <v>1448</v>
      </c>
      <c r="R668" s="191" t="str">
        <f t="shared" si="43"/>
        <v>Cước vận chuyển Container hàng 40' tuyến đường PAN HA - HẢI AN,. BKS: 15H08574</v>
      </c>
      <c r="S668" s="191" t="str">
        <f t="shared" si="44"/>
        <v xml:space="preserve"> hàng 40' </v>
      </c>
      <c r="V668" s="191">
        <v>2</v>
      </c>
    </row>
    <row r="669" spans="1:22" s="191" customFormat="1" ht="15">
      <c r="A669" s="236">
        <v>658</v>
      </c>
      <c r="B669" s="244">
        <v>46121</v>
      </c>
      <c r="C669" s="245" t="s">
        <v>261</v>
      </c>
      <c r="D669" s="246" t="s">
        <v>921</v>
      </c>
      <c r="E669" s="247"/>
      <c r="F669" s="247"/>
      <c r="G669" s="248"/>
      <c r="H669" s="247">
        <v>1</v>
      </c>
      <c r="I669" s="249" t="s">
        <v>472</v>
      </c>
      <c r="J669" s="249" t="s">
        <v>38</v>
      </c>
      <c r="K669" s="249" t="s">
        <v>21</v>
      </c>
      <c r="L669" s="250">
        <f t="shared" si="42"/>
        <v>1</v>
      </c>
      <c r="M669" s="237">
        <f t="array" ref="M669">INDEX('BKTT T4.26'!$N$12:$N$55,MATCH(V669,'BKTT T4.26'!$A$12:$A$55,0),0)</f>
        <v>585057</v>
      </c>
      <c r="N669" s="162">
        <f t="shared" si="45"/>
        <v>585057</v>
      </c>
      <c r="O669" s="238" t="s">
        <v>267</v>
      </c>
      <c r="P669" s="251" t="s">
        <v>1448</v>
      </c>
      <c r="R669" s="191" t="str">
        <f t="shared" si="43"/>
        <v>Cước vận chuyển Container vỏ tuyến đường NHĐV. - PAN HA. BKS: 15H08574</v>
      </c>
      <c r="S669" s="191" t="str">
        <f t="shared" si="44"/>
        <v xml:space="preserve"> vỏ </v>
      </c>
      <c r="V669" s="191">
        <v>16</v>
      </c>
    </row>
    <row r="670" spans="1:22" s="191" customFormat="1" ht="15">
      <c r="A670" s="236">
        <v>659</v>
      </c>
      <c r="B670" s="244">
        <v>46121</v>
      </c>
      <c r="C670" s="245" t="s">
        <v>261</v>
      </c>
      <c r="D670" s="246" t="s">
        <v>922</v>
      </c>
      <c r="E670" s="247"/>
      <c r="F670" s="247"/>
      <c r="G670" s="248"/>
      <c r="H670" s="247">
        <v>1</v>
      </c>
      <c r="I670" s="249" t="s">
        <v>472</v>
      </c>
      <c r="J670" s="249" t="s">
        <v>38</v>
      </c>
      <c r="K670" s="249" t="s">
        <v>21</v>
      </c>
      <c r="L670" s="250">
        <f t="shared" si="42"/>
        <v>1</v>
      </c>
      <c r="M670" s="237">
        <f t="array" ref="M670">INDEX('BKTT T4.26'!$N$12:$N$55,MATCH(V670,'BKTT T4.26'!$A$12:$A$55,0),0)</f>
        <v>585057</v>
      </c>
      <c r="N670" s="162">
        <f t="shared" si="45"/>
        <v>585057</v>
      </c>
      <c r="O670" s="238" t="s">
        <v>267</v>
      </c>
      <c r="P670" s="251" t="s">
        <v>1448</v>
      </c>
      <c r="R670" s="191" t="str">
        <f t="shared" si="43"/>
        <v>Cước vận chuyển Container vỏ tuyến đường NHĐV. - PAN HA. BKS: 15H08574</v>
      </c>
      <c r="S670" s="191" t="str">
        <f t="shared" si="44"/>
        <v xml:space="preserve"> vỏ </v>
      </c>
      <c r="V670" s="191">
        <v>16</v>
      </c>
    </row>
    <row r="671" spans="1:22" s="191" customFormat="1" ht="15">
      <c r="A671" s="236">
        <v>660</v>
      </c>
      <c r="B671" s="244">
        <v>46121</v>
      </c>
      <c r="C671" s="245" t="s">
        <v>261</v>
      </c>
      <c r="D671" s="246" t="s">
        <v>923</v>
      </c>
      <c r="E671" s="247">
        <v>1</v>
      </c>
      <c r="F671" s="247"/>
      <c r="G671" s="248"/>
      <c r="H671" s="247"/>
      <c r="I671" s="249" t="s">
        <v>472</v>
      </c>
      <c r="J671" s="249" t="s">
        <v>21</v>
      </c>
      <c r="K671" s="249" t="s">
        <v>31</v>
      </c>
      <c r="L671" s="250">
        <f t="shared" si="42"/>
        <v>1</v>
      </c>
      <c r="M671" s="237">
        <f t="array" ref="M671">INDEX('BKTT T4.26'!$N$12:$N$55,MATCH(V671,'BKTT T4.26'!$A$12:$A$55,0),0)</f>
        <v>454158</v>
      </c>
      <c r="N671" s="162">
        <f t="shared" si="45"/>
        <v>454158</v>
      </c>
      <c r="O671" s="238" t="s">
        <v>264</v>
      </c>
      <c r="P671" s="251" t="s">
        <v>1448</v>
      </c>
      <c r="R671" s="191" t="str">
        <f t="shared" si="43"/>
        <v>Cước vận chuyển Container hàng 20' tuyến đường PAN HA - NDV. BKS: 15H08574</v>
      </c>
      <c r="S671" s="191" t="str">
        <f t="shared" si="44"/>
        <v xml:space="preserve"> hàng 20' </v>
      </c>
      <c r="V671" s="191">
        <v>7</v>
      </c>
    </row>
    <row r="672" spans="1:22" s="191" customFormat="1" ht="15">
      <c r="A672" s="236">
        <v>661</v>
      </c>
      <c r="B672" s="244">
        <v>46121</v>
      </c>
      <c r="C672" s="245" t="s">
        <v>261</v>
      </c>
      <c r="D672" s="246" t="s">
        <v>924</v>
      </c>
      <c r="E672" s="247">
        <v>1</v>
      </c>
      <c r="F672" s="247"/>
      <c r="G672" s="248"/>
      <c r="H672" s="247"/>
      <c r="I672" s="249" t="s">
        <v>472</v>
      </c>
      <c r="J672" s="249" t="s">
        <v>21</v>
      </c>
      <c r="K672" s="249" t="s">
        <v>31</v>
      </c>
      <c r="L672" s="250">
        <f t="shared" si="42"/>
        <v>1</v>
      </c>
      <c r="M672" s="237">
        <f t="array" ref="M672">INDEX('BKTT T4.26'!$N$12:$N$55,MATCH(V672,'BKTT T4.26'!$A$12:$A$55,0),0)</f>
        <v>454158</v>
      </c>
      <c r="N672" s="162">
        <f t="shared" si="45"/>
        <v>454158</v>
      </c>
      <c r="O672" s="238" t="s">
        <v>264</v>
      </c>
      <c r="P672" s="251" t="s">
        <v>1448</v>
      </c>
      <c r="R672" s="191" t="str">
        <f t="shared" si="43"/>
        <v>Cước vận chuyển Container hàng 20' tuyến đường PAN HA - NDV. BKS: 15H08574</v>
      </c>
      <c r="S672" s="191" t="str">
        <f t="shared" si="44"/>
        <v xml:space="preserve"> hàng 20' </v>
      </c>
      <c r="V672" s="191">
        <v>7</v>
      </c>
    </row>
    <row r="673" spans="1:22" s="191" customFormat="1" ht="15">
      <c r="A673" s="236">
        <v>662</v>
      </c>
      <c r="B673" s="244">
        <v>46121</v>
      </c>
      <c r="C673" s="245" t="s">
        <v>261</v>
      </c>
      <c r="D673" s="246" t="s">
        <v>925</v>
      </c>
      <c r="E673" s="247">
        <v>1</v>
      </c>
      <c r="F673" s="247"/>
      <c r="G673" s="248"/>
      <c r="H673" s="247"/>
      <c r="I673" s="249" t="s">
        <v>472</v>
      </c>
      <c r="J673" s="249" t="s">
        <v>21</v>
      </c>
      <c r="K673" s="249" t="s">
        <v>31</v>
      </c>
      <c r="L673" s="250">
        <f t="shared" si="42"/>
        <v>1</v>
      </c>
      <c r="M673" s="237">
        <f t="array" ref="M673">INDEX('BKTT T4.26'!$N$12:$N$55,MATCH(V673,'BKTT T4.26'!$A$12:$A$55,0),0)</f>
        <v>454158</v>
      </c>
      <c r="N673" s="162">
        <f t="shared" si="45"/>
        <v>454158</v>
      </c>
      <c r="O673" s="238" t="s">
        <v>264</v>
      </c>
      <c r="P673" s="251" t="s">
        <v>1448</v>
      </c>
      <c r="R673" s="191" t="str">
        <f t="shared" si="43"/>
        <v>Cước vận chuyển Container hàng 20' tuyến đường PAN HA - NDV. BKS: 15H08574</v>
      </c>
      <c r="S673" s="191" t="str">
        <f t="shared" si="44"/>
        <v xml:space="preserve"> hàng 20' </v>
      </c>
      <c r="V673" s="191">
        <v>7</v>
      </c>
    </row>
    <row r="674" spans="1:22" s="191" customFormat="1" ht="15">
      <c r="A674" s="236">
        <v>663</v>
      </c>
      <c r="B674" s="244">
        <v>46121</v>
      </c>
      <c r="C674" s="245" t="s">
        <v>261</v>
      </c>
      <c r="D674" s="246" t="s">
        <v>926</v>
      </c>
      <c r="E674" s="247">
        <v>1</v>
      </c>
      <c r="F674" s="247"/>
      <c r="G674" s="248"/>
      <c r="H674" s="247"/>
      <c r="I674" s="249" t="s">
        <v>472</v>
      </c>
      <c r="J674" s="249" t="s">
        <v>21</v>
      </c>
      <c r="K674" s="249" t="s">
        <v>31</v>
      </c>
      <c r="L674" s="250">
        <f t="shared" si="42"/>
        <v>1</v>
      </c>
      <c r="M674" s="237">
        <f t="array" ref="M674">INDEX('BKTT T4.26'!$N$12:$N$55,MATCH(V674,'BKTT T4.26'!$A$12:$A$55,0),0)</f>
        <v>454158</v>
      </c>
      <c r="N674" s="162">
        <f t="shared" si="45"/>
        <v>454158</v>
      </c>
      <c r="O674" s="238" t="s">
        <v>264</v>
      </c>
      <c r="P674" s="251" t="s">
        <v>1448</v>
      </c>
      <c r="R674" s="191" t="str">
        <f t="shared" si="43"/>
        <v>Cước vận chuyển Container hàng 20' tuyến đường PAN HA - NDV. BKS: 15H08574</v>
      </c>
      <c r="S674" s="191" t="str">
        <f t="shared" si="44"/>
        <v xml:space="preserve"> hàng 20' </v>
      </c>
      <c r="V674" s="191">
        <v>7</v>
      </c>
    </row>
    <row r="675" spans="1:22" s="191" customFormat="1" ht="15">
      <c r="A675" s="236">
        <v>664</v>
      </c>
      <c r="B675" s="244">
        <v>46121</v>
      </c>
      <c r="C675" s="245" t="s">
        <v>261</v>
      </c>
      <c r="D675" s="246" t="s">
        <v>927</v>
      </c>
      <c r="E675" s="247"/>
      <c r="F675" s="247"/>
      <c r="G675" s="248"/>
      <c r="H675" s="247">
        <v>1</v>
      </c>
      <c r="I675" s="249" t="s">
        <v>304</v>
      </c>
      <c r="J675" s="249" t="s">
        <v>38</v>
      </c>
      <c r="K675" s="249" t="s">
        <v>21</v>
      </c>
      <c r="L675" s="250">
        <f t="shared" si="42"/>
        <v>1</v>
      </c>
      <c r="M675" s="237">
        <f t="array" ref="M675">INDEX('BKTT T4.26'!$N$12:$N$55,MATCH(V675,'BKTT T4.26'!$A$12:$A$55,0),0)</f>
        <v>585057</v>
      </c>
      <c r="N675" s="162">
        <f t="shared" ref="N675:N737" si="46">L675*M675</f>
        <v>585057</v>
      </c>
      <c r="O675" s="238" t="s">
        <v>267</v>
      </c>
      <c r="P675" s="251" t="s">
        <v>1448</v>
      </c>
      <c r="R675" s="191" t="str">
        <f t="shared" si="43"/>
        <v>Cước vận chuyển Container vỏ tuyến đường NHĐV. - PAN HA. BKS: 15C09877</v>
      </c>
      <c r="S675" s="191" t="str">
        <f t="shared" si="44"/>
        <v xml:space="preserve"> vỏ </v>
      </c>
      <c r="V675" s="191">
        <v>16</v>
      </c>
    </row>
    <row r="676" spans="1:22" s="191" customFormat="1" ht="15">
      <c r="A676" s="236">
        <v>665</v>
      </c>
      <c r="B676" s="244">
        <v>46121</v>
      </c>
      <c r="C676" s="245" t="s">
        <v>261</v>
      </c>
      <c r="D676" s="246" t="s">
        <v>928</v>
      </c>
      <c r="E676" s="247"/>
      <c r="F676" s="247"/>
      <c r="G676" s="248"/>
      <c r="H676" s="247">
        <v>1</v>
      </c>
      <c r="I676" s="249" t="s">
        <v>304</v>
      </c>
      <c r="J676" s="249" t="s">
        <v>38</v>
      </c>
      <c r="K676" s="249" t="s">
        <v>21</v>
      </c>
      <c r="L676" s="250">
        <f t="shared" si="42"/>
        <v>1</v>
      </c>
      <c r="M676" s="237">
        <f t="array" ref="M676">INDEX('BKTT T4.26'!$N$12:$N$55,MATCH(V676,'BKTT T4.26'!$A$12:$A$55,0),0)</f>
        <v>585057</v>
      </c>
      <c r="N676" s="162">
        <f t="shared" si="46"/>
        <v>585057</v>
      </c>
      <c r="O676" s="238" t="s">
        <v>267</v>
      </c>
      <c r="P676" s="251" t="s">
        <v>1448</v>
      </c>
      <c r="R676" s="191" t="str">
        <f t="shared" si="43"/>
        <v>Cước vận chuyển Container vỏ tuyến đường NHĐV. - PAN HA. BKS: 15C09877</v>
      </c>
      <c r="S676" s="191" t="str">
        <f t="shared" si="44"/>
        <v xml:space="preserve"> vỏ </v>
      </c>
      <c r="V676" s="191">
        <v>16</v>
      </c>
    </row>
    <row r="677" spans="1:22" s="191" customFormat="1" ht="15">
      <c r="A677" s="236">
        <v>666</v>
      </c>
      <c r="B677" s="244">
        <v>46121</v>
      </c>
      <c r="C677" s="245" t="s">
        <v>261</v>
      </c>
      <c r="D677" s="246" t="s">
        <v>929</v>
      </c>
      <c r="E677" s="247"/>
      <c r="F677" s="247">
        <v>1</v>
      </c>
      <c r="G677" s="248"/>
      <c r="H677" s="247"/>
      <c r="I677" s="249" t="s">
        <v>304</v>
      </c>
      <c r="J677" s="249" t="s">
        <v>21</v>
      </c>
      <c r="K677" s="249" t="s">
        <v>25</v>
      </c>
      <c r="L677" s="250">
        <f t="shared" si="42"/>
        <v>1</v>
      </c>
      <c r="M677" s="237">
        <f t="array" ref="M677">INDEX('BKTT T4.26'!$N$12:$N$55,MATCH(V677,'BKTT T4.26'!$A$12:$A$55,0),0)</f>
        <v>681050</v>
      </c>
      <c r="N677" s="162">
        <f t="shared" si="46"/>
        <v>681050</v>
      </c>
      <c r="O677" s="238" t="s">
        <v>264</v>
      </c>
      <c r="P677" s="251" t="s">
        <v>1448</v>
      </c>
      <c r="R677" s="191" t="str">
        <f t="shared" si="43"/>
        <v>Cước vận chuyển Container hàng 40' tuyến đường PAN HA - HẢI AN,. BKS: 15C09877</v>
      </c>
      <c r="S677" s="191" t="str">
        <f t="shared" si="44"/>
        <v xml:space="preserve"> hàng 40' </v>
      </c>
      <c r="V677" s="191">
        <v>2</v>
      </c>
    </row>
    <row r="678" spans="1:22" s="191" customFormat="1" ht="15">
      <c r="A678" s="236">
        <v>667</v>
      </c>
      <c r="B678" s="244">
        <v>46121</v>
      </c>
      <c r="C678" s="245" t="s">
        <v>261</v>
      </c>
      <c r="D678" s="246" t="s">
        <v>930</v>
      </c>
      <c r="E678" s="247">
        <v>1</v>
      </c>
      <c r="F678" s="247"/>
      <c r="G678" s="248"/>
      <c r="H678" s="247"/>
      <c r="I678" s="249" t="s">
        <v>304</v>
      </c>
      <c r="J678" s="249" t="s">
        <v>21</v>
      </c>
      <c r="K678" s="249" t="s">
        <v>22</v>
      </c>
      <c r="L678" s="250">
        <f t="shared" si="42"/>
        <v>1</v>
      </c>
      <c r="M678" s="237">
        <f t="array" ref="M678">INDEX('BKTT T4.26'!$N$12:$N$55,MATCH(V678,'BKTT T4.26'!$A$12:$A$55,0),0)</f>
        <v>654871</v>
      </c>
      <c r="N678" s="162">
        <f t="shared" si="46"/>
        <v>654871</v>
      </c>
      <c r="O678" s="238" t="s">
        <v>264</v>
      </c>
      <c r="P678" s="251" t="s">
        <v>1448</v>
      </c>
      <c r="R678" s="191" t="str">
        <f t="shared" si="43"/>
        <v>Cước vận chuyển Container hàng 20' tuyến đường PAN HA - HẢI AN. BKS: 15C09877</v>
      </c>
      <c r="S678" s="191" t="str">
        <f t="shared" si="44"/>
        <v xml:space="preserve"> hàng 20' </v>
      </c>
      <c r="V678" s="191">
        <v>1</v>
      </c>
    </row>
    <row r="679" spans="1:22" s="191" customFormat="1" ht="15">
      <c r="A679" s="236">
        <v>668</v>
      </c>
      <c r="B679" s="244">
        <v>46121</v>
      </c>
      <c r="C679" s="245" t="s">
        <v>261</v>
      </c>
      <c r="D679" s="246" t="s">
        <v>931</v>
      </c>
      <c r="E679" s="247">
        <v>1</v>
      </c>
      <c r="F679" s="247"/>
      <c r="G679" s="248"/>
      <c r="H679" s="247"/>
      <c r="I679" s="249" t="s">
        <v>304</v>
      </c>
      <c r="J679" s="249" t="s">
        <v>21</v>
      </c>
      <c r="K679" s="249" t="s">
        <v>22</v>
      </c>
      <c r="L679" s="250">
        <f t="shared" si="42"/>
        <v>1</v>
      </c>
      <c r="M679" s="237">
        <f t="array" ref="M679">INDEX('BKTT T4.26'!$N$12:$N$55,MATCH(V679,'BKTT T4.26'!$A$12:$A$55,0),0)</f>
        <v>654871</v>
      </c>
      <c r="N679" s="162">
        <f t="shared" si="46"/>
        <v>654871</v>
      </c>
      <c r="O679" s="238" t="s">
        <v>264</v>
      </c>
      <c r="P679" s="251" t="s">
        <v>1448</v>
      </c>
      <c r="R679" s="191" t="str">
        <f t="shared" si="43"/>
        <v>Cước vận chuyển Container hàng 20' tuyến đường PAN HA - HẢI AN. BKS: 15C09877</v>
      </c>
      <c r="S679" s="191" t="str">
        <f t="shared" si="44"/>
        <v xml:space="preserve"> hàng 20' </v>
      </c>
      <c r="V679" s="191">
        <v>1</v>
      </c>
    </row>
    <row r="680" spans="1:22" s="283" customFormat="1" ht="15">
      <c r="A680" s="236">
        <v>669</v>
      </c>
      <c r="B680" s="272">
        <v>46121</v>
      </c>
      <c r="C680" s="273" t="s">
        <v>261</v>
      </c>
      <c r="D680" s="285" t="s">
        <v>1469</v>
      </c>
      <c r="E680" s="275">
        <v>1</v>
      </c>
      <c r="F680" s="275"/>
      <c r="G680" s="276"/>
      <c r="H680" s="275"/>
      <c r="I680" s="277" t="s">
        <v>304</v>
      </c>
      <c r="J680" s="249" t="s">
        <v>21</v>
      </c>
      <c r="K680" s="277" t="s">
        <v>22</v>
      </c>
      <c r="L680" s="278">
        <f t="shared" si="42"/>
        <v>1</v>
      </c>
      <c r="M680" s="279">
        <f t="array" ref="M680">INDEX('BKTT T4.26'!$N$12:$N$55,MATCH(V680,'BKTT T4.26'!$A$12:$A$55,0),0)</f>
        <v>654871</v>
      </c>
      <c r="N680" s="280">
        <f t="shared" si="46"/>
        <v>654871</v>
      </c>
      <c r="O680" s="281" t="s">
        <v>264</v>
      </c>
      <c r="P680" s="282" t="s">
        <v>1447</v>
      </c>
      <c r="R680" s="283" t="str">
        <f t="shared" si="43"/>
        <v>Cước vận chuyển Container hàng 20' tuyến đường PAN HA - HẢI AN. BKS: 15C09877</v>
      </c>
      <c r="S680" s="283" t="str">
        <f t="shared" si="44"/>
        <v xml:space="preserve"> hàng 20' </v>
      </c>
      <c r="V680" s="191">
        <v>1</v>
      </c>
    </row>
    <row r="681" spans="1:22" s="191" customFormat="1" ht="15">
      <c r="A681" s="236">
        <v>670</v>
      </c>
      <c r="B681" s="244">
        <v>46121</v>
      </c>
      <c r="C681" s="245" t="s">
        <v>261</v>
      </c>
      <c r="D681" s="246" t="s">
        <v>932</v>
      </c>
      <c r="E681" s="247">
        <v>1</v>
      </c>
      <c r="F681" s="247"/>
      <c r="G681" s="248"/>
      <c r="H681" s="247"/>
      <c r="I681" s="249" t="s">
        <v>304</v>
      </c>
      <c r="J681" s="249" t="s">
        <v>21</v>
      </c>
      <c r="K681" s="249" t="s">
        <v>22</v>
      </c>
      <c r="L681" s="250">
        <f t="shared" si="42"/>
        <v>1</v>
      </c>
      <c r="M681" s="237">
        <f t="array" ref="M681">INDEX('BKTT T4.26'!$N$12:$N$55,MATCH(V681,'BKTT T4.26'!$A$12:$A$55,0),0)</f>
        <v>654871</v>
      </c>
      <c r="N681" s="162">
        <f t="shared" si="46"/>
        <v>654871</v>
      </c>
      <c r="O681" s="238" t="s">
        <v>264</v>
      </c>
      <c r="P681" s="251" t="s">
        <v>1448</v>
      </c>
      <c r="R681" s="191" t="str">
        <f t="shared" si="43"/>
        <v>Cước vận chuyển Container hàng 20' tuyến đường PAN HA - HẢI AN. BKS: 15C09877</v>
      </c>
      <c r="S681" s="191" t="str">
        <f t="shared" si="44"/>
        <v xml:space="preserve"> hàng 20' </v>
      </c>
      <c r="V681" s="191">
        <v>1</v>
      </c>
    </row>
    <row r="682" spans="1:22" s="191" customFormat="1" ht="15">
      <c r="A682" s="236">
        <v>671</v>
      </c>
      <c r="B682" s="244">
        <v>46121</v>
      </c>
      <c r="C682" s="245" t="s">
        <v>261</v>
      </c>
      <c r="D682" s="246" t="s">
        <v>933</v>
      </c>
      <c r="E682" s="247">
        <v>1</v>
      </c>
      <c r="F682" s="247"/>
      <c r="G682" s="248"/>
      <c r="H682" s="247"/>
      <c r="I682" s="249" t="s">
        <v>304</v>
      </c>
      <c r="J682" s="249" t="s">
        <v>21</v>
      </c>
      <c r="K682" s="249" t="s">
        <v>22</v>
      </c>
      <c r="L682" s="250">
        <f t="shared" si="42"/>
        <v>1</v>
      </c>
      <c r="M682" s="237">
        <f t="array" ref="M682">INDEX('BKTT T4.26'!$N$12:$N$55,MATCH(V682,'BKTT T4.26'!$A$12:$A$55,0),0)</f>
        <v>654871</v>
      </c>
      <c r="N682" s="162">
        <f t="shared" si="46"/>
        <v>654871</v>
      </c>
      <c r="O682" s="238" t="s">
        <v>264</v>
      </c>
      <c r="P682" s="251" t="s">
        <v>1448</v>
      </c>
      <c r="R682" s="191" t="str">
        <f t="shared" si="43"/>
        <v>Cước vận chuyển Container hàng 20' tuyến đường PAN HA - HẢI AN. BKS: 15C09877</v>
      </c>
      <c r="S682" s="191" t="str">
        <f t="shared" si="44"/>
        <v xml:space="preserve"> hàng 20' </v>
      </c>
      <c r="V682" s="191">
        <v>1</v>
      </c>
    </row>
    <row r="683" spans="1:22" s="191" customFormat="1" ht="15">
      <c r="A683" s="236">
        <v>672</v>
      </c>
      <c r="B683" s="244">
        <v>46121</v>
      </c>
      <c r="C683" s="245" t="s">
        <v>261</v>
      </c>
      <c r="D683" s="246" t="s">
        <v>934</v>
      </c>
      <c r="E683" s="247">
        <v>1</v>
      </c>
      <c r="F683" s="247"/>
      <c r="G683" s="248"/>
      <c r="H683" s="247"/>
      <c r="I683" s="249" t="s">
        <v>304</v>
      </c>
      <c r="J683" s="249" t="s">
        <v>21</v>
      </c>
      <c r="K683" s="249" t="s">
        <v>22</v>
      </c>
      <c r="L683" s="250">
        <f t="shared" si="42"/>
        <v>1</v>
      </c>
      <c r="M683" s="237">
        <f t="array" ref="M683">INDEX('BKTT T4.26'!$N$12:$N$55,MATCH(V683,'BKTT T4.26'!$A$12:$A$55,0),0)</f>
        <v>654871</v>
      </c>
      <c r="N683" s="162">
        <f t="shared" si="46"/>
        <v>654871</v>
      </c>
      <c r="O683" s="238" t="s">
        <v>264</v>
      </c>
      <c r="P683" s="251" t="s">
        <v>1448</v>
      </c>
      <c r="R683" s="191" t="str">
        <f t="shared" si="43"/>
        <v>Cước vận chuyển Container hàng 20' tuyến đường PAN HA - HẢI AN. BKS: 15C09877</v>
      </c>
      <c r="S683" s="191" t="str">
        <f t="shared" si="44"/>
        <v xml:space="preserve"> hàng 20' </v>
      </c>
      <c r="V683" s="191">
        <v>1</v>
      </c>
    </row>
    <row r="684" spans="1:22" s="191" customFormat="1" ht="15">
      <c r="A684" s="236">
        <v>673</v>
      </c>
      <c r="B684" s="244">
        <v>46121</v>
      </c>
      <c r="C684" s="245" t="s">
        <v>261</v>
      </c>
      <c r="D684" s="246" t="s">
        <v>935</v>
      </c>
      <c r="E684" s="247">
        <v>1</v>
      </c>
      <c r="F684" s="247"/>
      <c r="G684" s="248"/>
      <c r="H684" s="247"/>
      <c r="I684" s="249" t="s">
        <v>304</v>
      </c>
      <c r="J684" s="249" t="s">
        <v>21</v>
      </c>
      <c r="K684" s="249" t="s">
        <v>22</v>
      </c>
      <c r="L684" s="250">
        <f t="shared" si="42"/>
        <v>1</v>
      </c>
      <c r="M684" s="237">
        <f t="array" ref="M684">INDEX('BKTT T4.26'!$N$12:$N$55,MATCH(V684,'BKTT T4.26'!$A$12:$A$55,0),0)</f>
        <v>654871</v>
      </c>
      <c r="N684" s="162">
        <f t="shared" si="46"/>
        <v>654871</v>
      </c>
      <c r="O684" s="238" t="s">
        <v>264</v>
      </c>
      <c r="P684" s="251" t="s">
        <v>1448</v>
      </c>
      <c r="R684" s="191" t="str">
        <f t="shared" si="43"/>
        <v>Cước vận chuyển Container hàng 20' tuyến đường PAN HA - HẢI AN. BKS: 15C09877</v>
      </c>
      <c r="S684" s="191" t="str">
        <f t="shared" si="44"/>
        <v xml:space="preserve"> hàng 20' </v>
      </c>
      <c r="V684" s="191">
        <v>1</v>
      </c>
    </row>
    <row r="685" spans="1:22" s="191" customFormat="1" ht="15">
      <c r="A685" s="236">
        <v>674</v>
      </c>
      <c r="B685" s="244">
        <v>46121</v>
      </c>
      <c r="C685" s="245" t="s">
        <v>261</v>
      </c>
      <c r="D685" s="246" t="s">
        <v>936</v>
      </c>
      <c r="E685" s="247">
        <v>1</v>
      </c>
      <c r="F685" s="247"/>
      <c r="G685" s="248"/>
      <c r="H685" s="247"/>
      <c r="I685" s="249" t="s">
        <v>304</v>
      </c>
      <c r="J685" s="249" t="s">
        <v>21</v>
      </c>
      <c r="K685" s="249" t="s">
        <v>22</v>
      </c>
      <c r="L685" s="250">
        <f t="shared" si="42"/>
        <v>1</v>
      </c>
      <c r="M685" s="237">
        <f t="array" ref="M685">INDEX('BKTT T4.26'!$N$12:$N$55,MATCH(V685,'BKTT T4.26'!$A$12:$A$55,0),0)</f>
        <v>654871</v>
      </c>
      <c r="N685" s="162">
        <f t="shared" si="46"/>
        <v>654871</v>
      </c>
      <c r="O685" s="238" t="s">
        <v>264</v>
      </c>
      <c r="P685" s="251" t="s">
        <v>1448</v>
      </c>
      <c r="R685" s="191" t="str">
        <f t="shared" si="43"/>
        <v>Cước vận chuyển Container hàng 20' tuyến đường PAN HA - HẢI AN. BKS: 15C09877</v>
      </c>
      <c r="S685" s="191" t="str">
        <f t="shared" si="44"/>
        <v xml:space="preserve"> hàng 20' </v>
      </c>
      <c r="V685" s="191">
        <v>1</v>
      </c>
    </row>
    <row r="686" spans="1:22" s="191" customFormat="1" ht="15">
      <c r="A686" s="236">
        <v>675</v>
      </c>
      <c r="B686" s="244">
        <v>46121</v>
      </c>
      <c r="C686" s="245" t="s">
        <v>261</v>
      </c>
      <c r="D686" s="246" t="s">
        <v>937</v>
      </c>
      <c r="E686" s="247">
        <v>1</v>
      </c>
      <c r="F686" s="247"/>
      <c r="G686" s="248"/>
      <c r="H686" s="247"/>
      <c r="I686" s="249" t="s">
        <v>304</v>
      </c>
      <c r="J686" s="249" t="s">
        <v>21</v>
      </c>
      <c r="K686" s="249" t="s">
        <v>22</v>
      </c>
      <c r="L686" s="250">
        <f t="shared" si="42"/>
        <v>1</v>
      </c>
      <c r="M686" s="237">
        <f t="array" ref="M686">INDEX('BKTT T4.26'!$N$12:$N$55,MATCH(V686,'BKTT T4.26'!$A$12:$A$55,0),0)</f>
        <v>654871</v>
      </c>
      <c r="N686" s="162">
        <f t="shared" si="46"/>
        <v>654871</v>
      </c>
      <c r="O686" s="238" t="s">
        <v>264</v>
      </c>
      <c r="P686" s="251" t="s">
        <v>1448</v>
      </c>
      <c r="R686" s="191" t="str">
        <f t="shared" si="43"/>
        <v>Cước vận chuyển Container hàng 20' tuyến đường PAN HA - HẢI AN. BKS: 15C09877</v>
      </c>
      <c r="S686" s="191" t="str">
        <f t="shared" si="44"/>
        <v xml:space="preserve"> hàng 20' </v>
      </c>
      <c r="V686" s="191">
        <v>1</v>
      </c>
    </row>
    <row r="687" spans="1:22" s="191" customFormat="1" ht="15">
      <c r="A687" s="236">
        <v>676</v>
      </c>
      <c r="B687" s="244">
        <v>46121</v>
      </c>
      <c r="C687" s="245" t="s">
        <v>261</v>
      </c>
      <c r="D687" s="246" t="s">
        <v>938</v>
      </c>
      <c r="E687" s="247">
        <v>1</v>
      </c>
      <c r="F687" s="247"/>
      <c r="G687" s="248"/>
      <c r="H687" s="247"/>
      <c r="I687" s="249" t="s">
        <v>304</v>
      </c>
      <c r="J687" s="249" t="s">
        <v>21</v>
      </c>
      <c r="K687" s="249" t="s">
        <v>22</v>
      </c>
      <c r="L687" s="250">
        <f t="shared" si="42"/>
        <v>1</v>
      </c>
      <c r="M687" s="237">
        <f t="array" ref="M687">INDEX('BKTT T4.26'!$N$12:$N$55,MATCH(V687,'BKTT T4.26'!$A$12:$A$55,0),0)</f>
        <v>654871</v>
      </c>
      <c r="N687" s="162">
        <f t="shared" si="46"/>
        <v>654871</v>
      </c>
      <c r="O687" s="238" t="s">
        <v>264</v>
      </c>
      <c r="P687" s="251" t="s">
        <v>1448</v>
      </c>
      <c r="R687" s="191" t="str">
        <f t="shared" si="43"/>
        <v>Cước vận chuyển Container hàng 20' tuyến đường PAN HA - HẢI AN. BKS: 15C09877</v>
      </c>
      <c r="S687" s="191" t="str">
        <f t="shared" si="44"/>
        <v xml:space="preserve"> hàng 20' </v>
      </c>
      <c r="V687" s="191">
        <v>1</v>
      </c>
    </row>
    <row r="688" spans="1:22" s="191" customFormat="1" ht="15">
      <c r="A688" s="236">
        <v>677</v>
      </c>
      <c r="B688" s="244">
        <v>46121</v>
      </c>
      <c r="C688" s="245" t="s">
        <v>261</v>
      </c>
      <c r="D688" s="246" t="s">
        <v>939</v>
      </c>
      <c r="E688" s="247">
        <v>1</v>
      </c>
      <c r="F688" s="247"/>
      <c r="G688" s="248"/>
      <c r="H688" s="247"/>
      <c r="I688" s="249" t="s">
        <v>304</v>
      </c>
      <c r="J688" s="249" t="s">
        <v>21</v>
      </c>
      <c r="K688" s="249" t="s">
        <v>22</v>
      </c>
      <c r="L688" s="250">
        <f t="shared" si="42"/>
        <v>1</v>
      </c>
      <c r="M688" s="237">
        <f t="array" ref="M688">INDEX('BKTT T4.26'!$N$12:$N$55,MATCH(V688,'BKTT T4.26'!$A$12:$A$55,0),0)</f>
        <v>654871</v>
      </c>
      <c r="N688" s="162">
        <f t="shared" si="46"/>
        <v>654871</v>
      </c>
      <c r="O688" s="238" t="s">
        <v>264</v>
      </c>
      <c r="P688" s="251" t="s">
        <v>1448</v>
      </c>
      <c r="R688" s="191" t="str">
        <f t="shared" si="43"/>
        <v>Cước vận chuyển Container hàng 20' tuyến đường PAN HA - HẢI AN. BKS: 15C09877</v>
      </c>
      <c r="S688" s="191" t="str">
        <f t="shared" si="44"/>
        <v xml:space="preserve"> hàng 20' </v>
      </c>
      <c r="V688" s="191">
        <v>1</v>
      </c>
    </row>
    <row r="689" spans="1:22" s="191" customFormat="1" ht="15">
      <c r="A689" s="236">
        <v>678</v>
      </c>
      <c r="B689" s="244">
        <v>46121</v>
      </c>
      <c r="C689" s="245" t="s">
        <v>261</v>
      </c>
      <c r="D689" s="246" t="s">
        <v>940</v>
      </c>
      <c r="E689" s="247">
        <v>1</v>
      </c>
      <c r="F689" s="247"/>
      <c r="G689" s="248"/>
      <c r="H689" s="247"/>
      <c r="I689" s="249" t="s">
        <v>304</v>
      </c>
      <c r="J689" s="249" t="s">
        <v>21</v>
      </c>
      <c r="K689" s="249" t="s">
        <v>22</v>
      </c>
      <c r="L689" s="250">
        <f t="shared" si="42"/>
        <v>1</v>
      </c>
      <c r="M689" s="237">
        <f t="array" ref="M689">INDEX('BKTT T4.26'!$N$12:$N$55,MATCH(V689,'BKTT T4.26'!$A$12:$A$55,0),0)</f>
        <v>654871</v>
      </c>
      <c r="N689" s="162">
        <f t="shared" si="46"/>
        <v>654871</v>
      </c>
      <c r="O689" s="238" t="s">
        <v>264</v>
      </c>
      <c r="P689" s="251" t="s">
        <v>1448</v>
      </c>
      <c r="R689" s="191" t="str">
        <f t="shared" si="43"/>
        <v>Cước vận chuyển Container hàng 20' tuyến đường PAN HA - HẢI AN. BKS: 15C09877</v>
      </c>
      <c r="S689" s="191" t="str">
        <f t="shared" si="44"/>
        <v xml:space="preserve"> hàng 20' </v>
      </c>
      <c r="V689" s="191">
        <v>1</v>
      </c>
    </row>
    <row r="690" spans="1:22" s="191" customFormat="1" ht="15">
      <c r="A690" s="236">
        <v>679</v>
      </c>
      <c r="B690" s="244">
        <v>46122</v>
      </c>
      <c r="C690" s="245" t="s">
        <v>261</v>
      </c>
      <c r="D690" s="246" t="s">
        <v>941</v>
      </c>
      <c r="E690" s="247">
        <v>1</v>
      </c>
      <c r="F690" s="247"/>
      <c r="G690" s="248"/>
      <c r="H690" s="247"/>
      <c r="I690" s="249" t="s">
        <v>304</v>
      </c>
      <c r="J690" s="249" t="s">
        <v>21</v>
      </c>
      <c r="K690" s="249" t="s">
        <v>22</v>
      </c>
      <c r="L690" s="250">
        <f t="shared" si="42"/>
        <v>1</v>
      </c>
      <c r="M690" s="237">
        <f t="array" ref="M690">INDEX('BKTT T4.26'!$N$12:$N$55,MATCH(V690,'BKTT T4.26'!$A$12:$A$55,0),0)</f>
        <v>654871</v>
      </c>
      <c r="N690" s="162">
        <f t="shared" si="46"/>
        <v>654871</v>
      </c>
      <c r="O690" s="238" t="s">
        <v>264</v>
      </c>
      <c r="P690" s="251" t="s">
        <v>1448</v>
      </c>
      <c r="R690" s="191" t="str">
        <f t="shared" si="43"/>
        <v>Cước vận chuyển Container hàng 20' tuyến đường PAN HA - HẢI AN. BKS: 15C09877</v>
      </c>
      <c r="S690" s="191" t="str">
        <f t="shared" si="44"/>
        <v xml:space="preserve"> hàng 20' </v>
      </c>
      <c r="V690" s="191">
        <v>1</v>
      </c>
    </row>
    <row r="691" spans="1:22" s="191" customFormat="1" ht="15">
      <c r="A691" s="236">
        <v>680</v>
      </c>
      <c r="B691" s="244">
        <v>46122</v>
      </c>
      <c r="C691" s="245" t="s">
        <v>261</v>
      </c>
      <c r="D691" s="246" t="s">
        <v>942</v>
      </c>
      <c r="E691" s="247">
        <v>1</v>
      </c>
      <c r="F691" s="247"/>
      <c r="G691" s="248"/>
      <c r="H691" s="247"/>
      <c r="I691" s="249" t="s">
        <v>304</v>
      </c>
      <c r="J691" s="249" t="s">
        <v>21</v>
      </c>
      <c r="K691" s="249" t="s">
        <v>22</v>
      </c>
      <c r="L691" s="250">
        <f t="shared" si="42"/>
        <v>1</v>
      </c>
      <c r="M691" s="237">
        <f t="array" ref="M691">INDEX('BKTT T4.26'!$N$12:$N$55,MATCH(V691,'BKTT T4.26'!$A$12:$A$55,0),0)</f>
        <v>654871</v>
      </c>
      <c r="N691" s="162">
        <f t="shared" si="46"/>
        <v>654871</v>
      </c>
      <c r="O691" s="238" t="s">
        <v>264</v>
      </c>
      <c r="P691" s="251" t="s">
        <v>1448</v>
      </c>
      <c r="R691" s="191" t="str">
        <f t="shared" si="43"/>
        <v>Cước vận chuyển Container hàng 20' tuyến đường PAN HA - HẢI AN. BKS: 15C09877</v>
      </c>
      <c r="S691" s="191" t="str">
        <f t="shared" si="44"/>
        <v xml:space="preserve"> hàng 20' </v>
      </c>
      <c r="V691" s="191">
        <v>1</v>
      </c>
    </row>
    <row r="692" spans="1:22" s="191" customFormat="1" ht="15">
      <c r="A692" s="236">
        <v>681</v>
      </c>
      <c r="B692" s="244">
        <v>46122</v>
      </c>
      <c r="C692" s="245" t="s">
        <v>261</v>
      </c>
      <c r="D692" s="246" t="s">
        <v>943</v>
      </c>
      <c r="E692" s="247">
        <v>1</v>
      </c>
      <c r="F692" s="247"/>
      <c r="G692" s="248"/>
      <c r="H692" s="247"/>
      <c r="I692" s="249" t="s">
        <v>304</v>
      </c>
      <c r="J692" s="249" t="s">
        <v>21</v>
      </c>
      <c r="K692" s="249" t="s">
        <v>22</v>
      </c>
      <c r="L692" s="250">
        <f t="shared" si="42"/>
        <v>1</v>
      </c>
      <c r="M692" s="237">
        <f t="array" ref="M692">INDEX('BKTT T4.26'!$N$12:$N$55,MATCH(V692,'BKTT T4.26'!$A$12:$A$55,0),0)</f>
        <v>654871</v>
      </c>
      <c r="N692" s="162">
        <f t="shared" si="46"/>
        <v>654871</v>
      </c>
      <c r="O692" s="238" t="s">
        <v>264</v>
      </c>
      <c r="P692" s="251" t="s">
        <v>1448</v>
      </c>
      <c r="R692" s="191" t="str">
        <f t="shared" si="43"/>
        <v>Cước vận chuyển Container hàng 20' tuyến đường PAN HA - HẢI AN. BKS: 15C09877</v>
      </c>
      <c r="S692" s="191" t="str">
        <f t="shared" si="44"/>
        <v xml:space="preserve"> hàng 20' </v>
      </c>
      <c r="V692" s="191">
        <v>1</v>
      </c>
    </row>
    <row r="693" spans="1:22" s="191" customFormat="1" ht="15">
      <c r="A693" s="236">
        <v>682</v>
      </c>
      <c r="B693" s="244">
        <v>46122</v>
      </c>
      <c r="C693" s="245" t="s">
        <v>261</v>
      </c>
      <c r="D693" s="246" t="s">
        <v>944</v>
      </c>
      <c r="E693" s="247">
        <v>1</v>
      </c>
      <c r="F693" s="247"/>
      <c r="G693" s="248"/>
      <c r="H693" s="247"/>
      <c r="I693" s="249" t="s">
        <v>304</v>
      </c>
      <c r="J693" s="249" t="s">
        <v>21</v>
      </c>
      <c r="K693" s="249" t="s">
        <v>22</v>
      </c>
      <c r="L693" s="250">
        <f t="shared" si="42"/>
        <v>1</v>
      </c>
      <c r="M693" s="237">
        <f t="array" ref="M693">INDEX('BKTT T4.26'!$N$12:$N$55,MATCH(V693,'BKTT T4.26'!$A$12:$A$55,0),0)</f>
        <v>654871</v>
      </c>
      <c r="N693" s="162">
        <f t="shared" si="46"/>
        <v>654871</v>
      </c>
      <c r="O693" s="238" t="s">
        <v>264</v>
      </c>
      <c r="P693" s="251" t="s">
        <v>1448</v>
      </c>
      <c r="R693" s="191" t="str">
        <f t="shared" si="43"/>
        <v>Cước vận chuyển Container hàng 20' tuyến đường PAN HA - HẢI AN. BKS: 15C09877</v>
      </c>
      <c r="S693" s="191" t="str">
        <f t="shared" si="44"/>
        <v xml:space="preserve"> hàng 20' </v>
      </c>
      <c r="V693" s="191">
        <v>1</v>
      </c>
    </row>
    <row r="694" spans="1:22" s="191" customFormat="1" ht="15">
      <c r="A694" s="236">
        <v>683</v>
      </c>
      <c r="B694" s="244">
        <v>46122</v>
      </c>
      <c r="C694" s="245" t="s">
        <v>261</v>
      </c>
      <c r="D694" s="246" t="s">
        <v>945</v>
      </c>
      <c r="E694" s="247">
        <v>1</v>
      </c>
      <c r="F694" s="247"/>
      <c r="G694" s="248"/>
      <c r="H694" s="247"/>
      <c r="I694" s="249" t="s">
        <v>304</v>
      </c>
      <c r="J694" s="249" t="s">
        <v>21</v>
      </c>
      <c r="K694" s="249" t="s">
        <v>22</v>
      </c>
      <c r="L694" s="250">
        <f t="shared" si="42"/>
        <v>1</v>
      </c>
      <c r="M694" s="237">
        <f t="array" ref="M694">INDEX('BKTT T4.26'!$N$12:$N$55,MATCH(V694,'BKTT T4.26'!$A$12:$A$55,0),0)</f>
        <v>654871</v>
      </c>
      <c r="N694" s="162">
        <f t="shared" si="46"/>
        <v>654871</v>
      </c>
      <c r="O694" s="238" t="s">
        <v>264</v>
      </c>
      <c r="P694" s="251" t="s">
        <v>1448</v>
      </c>
      <c r="R694" s="191" t="str">
        <f t="shared" si="43"/>
        <v>Cước vận chuyển Container hàng 20' tuyến đường PAN HA - HẢI AN. BKS: 15C09877</v>
      </c>
      <c r="S694" s="191" t="str">
        <f t="shared" si="44"/>
        <v xml:space="preserve"> hàng 20' </v>
      </c>
      <c r="V694" s="191">
        <v>1</v>
      </c>
    </row>
    <row r="695" spans="1:22" s="191" customFormat="1" ht="15">
      <c r="A695" s="236">
        <v>684</v>
      </c>
      <c r="B695" s="244">
        <v>46122</v>
      </c>
      <c r="C695" s="245" t="s">
        <v>261</v>
      </c>
      <c r="D695" s="246" t="s">
        <v>946</v>
      </c>
      <c r="E695" s="247">
        <v>1</v>
      </c>
      <c r="F695" s="247"/>
      <c r="G695" s="248"/>
      <c r="H695" s="247"/>
      <c r="I695" s="249" t="s">
        <v>304</v>
      </c>
      <c r="J695" s="249" t="s">
        <v>21</v>
      </c>
      <c r="K695" s="249" t="s">
        <v>22</v>
      </c>
      <c r="L695" s="250">
        <f t="shared" si="42"/>
        <v>1</v>
      </c>
      <c r="M695" s="237">
        <f t="array" ref="M695">INDEX('BKTT T4.26'!$N$12:$N$55,MATCH(V695,'BKTT T4.26'!$A$12:$A$55,0),0)</f>
        <v>654871</v>
      </c>
      <c r="N695" s="162">
        <f t="shared" si="46"/>
        <v>654871</v>
      </c>
      <c r="O695" s="238" t="s">
        <v>264</v>
      </c>
      <c r="P695" s="251" t="s">
        <v>1448</v>
      </c>
      <c r="R695" s="191" t="str">
        <f t="shared" si="43"/>
        <v>Cước vận chuyển Container hàng 20' tuyến đường PAN HA - HẢI AN. BKS: 15C09877</v>
      </c>
      <c r="S695" s="191" t="str">
        <f t="shared" si="44"/>
        <v xml:space="preserve"> hàng 20' </v>
      </c>
      <c r="V695" s="191">
        <v>1</v>
      </c>
    </row>
    <row r="696" spans="1:22" s="191" customFormat="1" ht="15">
      <c r="A696" s="236">
        <v>685</v>
      </c>
      <c r="B696" s="244">
        <v>46119</v>
      </c>
      <c r="C696" s="245" t="s">
        <v>261</v>
      </c>
      <c r="D696" s="246" t="s">
        <v>947</v>
      </c>
      <c r="E696" s="247"/>
      <c r="F696" s="247">
        <v>1</v>
      </c>
      <c r="G696" s="248"/>
      <c r="H696" s="247"/>
      <c r="I696" s="249" t="s">
        <v>363</v>
      </c>
      <c r="J696" s="249" t="s">
        <v>21</v>
      </c>
      <c r="K696" s="249" t="s">
        <v>25</v>
      </c>
      <c r="L696" s="250">
        <f t="shared" si="42"/>
        <v>1</v>
      </c>
      <c r="M696" s="237">
        <f t="array" ref="M696">INDEX('BKTT T4.26'!$N$12:$N$55,MATCH(V696,'BKTT T4.26'!$A$12:$A$55,0),0)</f>
        <v>681050</v>
      </c>
      <c r="N696" s="162">
        <f t="shared" si="46"/>
        <v>681050</v>
      </c>
      <c r="O696" s="238" t="s">
        <v>264</v>
      </c>
      <c r="P696" s="251" t="s">
        <v>1448</v>
      </c>
      <c r="R696" s="191" t="str">
        <f t="shared" si="43"/>
        <v>Cước vận chuyển Container hàng 40' tuyến đường PAN HA - HẢI AN,. BKS: 15H20645</v>
      </c>
      <c r="S696" s="191" t="str">
        <f t="shared" si="44"/>
        <v xml:space="preserve"> hàng 40' </v>
      </c>
      <c r="V696" s="191">
        <v>2</v>
      </c>
    </row>
    <row r="697" spans="1:22" s="191" customFormat="1" ht="15">
      <c r="A697" s="236">
        <v>686</v>
      </c>
      <c r="B697" s="244">
        <v>46119</v>
      </c>
      <c r="C697" s="245" t="s">
        <v>261</v>
      </c>
      <c r="D697" s="246" t="s">
        <v>948</v>
      </c>
      <c r="E697" s="247"/>
      <c r="F697" s="247">
        <v>1</v>
      </c>
      <c r="G697" s="248"/>
      <c r="H697" s="247"/>
      <c r="I697" s="249" t="s">
        <v>363</v>
      </c>
      <c r="J697" s="249" t="s">
        <v>21</v>
      </c>
      <c r="K697" s="249" t="s">
        <v>25</v>
      </c>
      <c r="L697" s="250">
        <f t="shared" si="42"/>
        <v>1</v>
      </c>
      <c r="M697" s="237">
        <f t="array" ref="M697">INDEX('BKTT T4.26'!$N$12:$N$55,MATCH(V697,'BKTT T4.26'!$A$12:$A$55,0),0)</f>
        <v>681050</v>
      </c>
      <c r="N697" s="162">
        <f t="shared" si="46"/>
        <v>681050</v>
      </c>
      <c r="O697" s="238" t="s">
        <v>264</v>
      </c>
      <c r="P697" s="251" t="s">
        <v>1448</v>
      </c>
      <c r="R697" s="191" t="str">
        <f t="shared" si="43"/>
        <v>Cước vận chuyển Container hàng 40' tuyến đường PAN HA - HẢI AN,. BKS: 15H20645</v>
      </c>
      <c r="S697" s="191" t="str">
        <f t="shared" si="44"/>
        <v xml:space="preserve"> hàng 40' </v>
      </c>
      <c r="V697" s="191">
        <v>2</v>
      </c>
    </row>
    <row r="698" spans="1:22" s="191" customFormat="1" ht="15">
      <c r="A698" s="236">
        <v>687</v>
      </c>
      <c r="B698" s="244">
        <v>46119</v>
      </c>
      <c r="C698" s="245" t="s">
        <v>261</v>
      </c>
      <c r="D698" s="246" t="s">
        <v>949</v>
      </c>
      <c r="E698" s="247"/>
      <c r="F698" s="247"/>
      <c r="G698" s="248">
        <v>0.5</v>
      </c>
      <c r="H698" s="247"/>
      <c r="I698" s="249" t="s">
        <v>363</v>
      </c>
      <c r="J698" s="249" t="s">
        <v>21</v>
      </c>
      <c r="K698" s="249" t="s">
        <v>30</v>
      </c>
      <c r="L698" s="250">
        <f t="shared" si="42"/>
        <v>0.5</v>
      </c>
      <c r="M698" s="237">
        <f t="array" ref="M698">INDEX('BKTT T4.26'!$N$12:$N$55,MATCH(V698,'BKTT T4.26'!$A$12:$A$55,0),0)</f>
        <v>480338</v>
      </c>
      <c r="N698" s="162">
        <f t="shared" si="46"/>
        <v>240169</v>
      </c>
      <c r="O698" s="238" t="s">
        <v>264</v>
      </c>
      <c r="P698" s="251" t="s">
        <v>1448</v>
      </c>
      <c r="R698" s="191" t="str">
        <f t="shared" si="43"/>
        <v>Cước vận chuyển Container vỏ tuyến đường PAN HA - MPC.. BKS: 15H20645</v>
      </c>
      <c r="S698" s="191" t="str">
        <f t="shared" si="44"/>
        <v xml:space="preserve"> vỏ </v>
      </c>
      <c r="V698" s="191">
        <v>6</v>
      </c>
    </row>
    <row r="699" spans="1:22" s="191" customFormat="1" ht="15">
      <c r="A699" s="236">
        <v>688</v>
      </c>
      <c r="B699" s="244">
        <v>46119</v>
      </c>
      <c r="C699" s="245" t="s">
        <v>261</v>
      </c>
      <c r="D699" s="246" t="s">
        <v>950</v>
      </c>
      <c r="E699" s="247"/>
      <c r="F699" s="247"/>
      <c r="G699" s="248">
        <v>0.5</v>
      </c>
      <c r="H699" s="247"/>
      <c r="I699" s="249" t="s">
        <v>363</v>
      </c>
      <c r="J699" s="249" t="s">
        <v>21</v>
      </c>
      <c r="K699" s="249" t="s">
        <v>30</v>
      </c>
      <c r="L699" s="250">
        <f t="shared" si="42"/>
        <v>0.5</v>
      </c>
      <c r="M699" s="237">
        <f t="array" ref="M699">INDEX('BKTT T4.26'!$N$12:$N$55,MATCH(V699,'BKTT T4.26'!$A$12:$A$55,0),0)</f>
        <v>480338</v>
      </c>
      <c r="N699" s="162">
        <f t="shared" si="46"/>
        <v>240169</v>
      </c>
      <c r="O699" s="238" t="s">
        <v>264</v>
      </c>
      <c r="P699" s="251" t="s">
        <v>1448</v>
      </c>
      <c r="R699" s="191" t="str">
        <f t="shared" si="43"/>
        <v>Cước vận chuyển Container vỏ tuyến đường PAN HA - MPC.. BKS: 15H20645</v>
      </c>
      <c r="S699" s="191" t="str">
        <f t="shared" si="44"/>
        <v xml:space="preserve"> vỏ </v>
      </c>
      <c r="V699" s="191">
        <v>6</v>
      </c>
    </row>
    <row r="700" spans="1:22" s="191" customFormat="1" ht="15">
      <c r="A700" s="236">
        <v>689</v>
      </c>
      <c r="B700" s="244">
        <v>46121</v>
      </c>
      <c r="C700" s="245" t="s">
        <v>261</v>
      </c>
      <c r="D700" s="246" t="s">
        <v>951</v>
      </c>
      <c r="E700" s="247"/>
      <c r="F700" s="247"/>
      <c r="G700" s="248">
        <v>0.5</v>
      </c>
      <c r="H700" s="247"/>
      <c r="I700" s="249" t="s">
        <v>363</v>
      </c>
      <c r="J700" s="249" t="s">
        <v>38</v>
      </c>
      <c r="K700" s="249" t="s">
        <v>21</v>
      </c>
      <c r="L700" s="250">
        <f t="shared" si="42"/>
        <v>0.5</v>
      </c>
      <c r="M700" s="237">
        <f t="array" ref="M700">INDEX('BKTT T4.26'!$N$12:$N$55,MATCH(V700,'BKTT T4.26'!$A$12:$A$55,0),0)</f>
        <v>585057</v>
      </c>
      <c r="N700" s="162">
        <f t="shared" si="46"/>
        <v>292528.5</v>
      </c>
      <c r="O700" s="238" t="s">
        <v>267</v>
      </c>
      <c r="P700" s="251" t="s">
        <v>1448</v>
      </c>
      <c r="R700" s="191" t="str">
        <f t="shared" si="43"/>
        <v>Cước vận chuyển Container vỏ tuyến đường NHĐV. - PAN HA. BKS: 15H20645</v>
      </c>
      <c r="S700" s="191" t="str">
        <f t="shared" si="44"/>
        <v xml:space="preserve"> vỏ </v>
      </c>
      <c r="V700" s="191">
        <v>16</v>
      </c>
    </row>
    <row r="701" spans="1:22" s="191" customFormat="1" ht="15">
      <c r="A701" s="236">
        <v>690</v>
      </c>
      <c r="B701" s="244">
        <v>46121</v>
      </c>
      <c r="C701" s="245" t="s">
        <v>261</v>
      </c>
      <c r="D701" s="246" t="s">
        <v>952</v>
      </c>
      <c r="E701" s="247"/>
      <c r="F701" s="247"/>
      <c r="G701" s="248">
        <v>0.5</v>
      </c>
      <c r="H701" s="247"/>
      <c r="I701" s="249" t="s">
        <v>363</v>
      </c>
      <c r="J701" s="249" t="s">
        <v>38</v>
      </c>
      <c r="K701" s="249" t="s">
        <v>21</v>
      </c>
      <c r="L701" s="250">
        <f t="shared" si="42"/>
        <v>0.5</v>
      </c>
      <c r="M701" s="237">
        <f t="array" ref="M701">INDEX('BKTT T4.26'!$N$12:$N$55,MATCH(V701,'BKTT T4.26'!$A$12:$A$55,0),0)</f>
        <v>585057</v>
      </c>
      <c r="N701" s="162">
        <f t="shared" si="46"/>
        <v>292528.5</v>
      </c>
      <c r="O701" s="238" t="s">
        <v>267</v>
      </c>
      <c r="P701" s="251" t="s">
        <v>1448</v>
      </c>
      <c r="R701" s="191" t="str">
        <f t="shared" si="43"/>
        <v>Cước vận chuyển Container vỏ tuyến đường NHĐV. - PAN HA. BKS: 15H20645</v>
      </c>
      <c r="S701" s="191" t="str">
        <f t="shared" si="44"/>
        <v xml:space="preserve"> vỏ </v>
      </c>
      <c r="V701" s="191">
        <v>16</v>
      </c>
    </row>
    <row r="702" spans="1:22" s="191" customFormat="1" ht="15">
      <c r="A702" s="236">
        <v>691</v>
      </c>
      <c r="B702" s="244">
        <v>46121</v>
      </c>
      <c r="C702" s="245" t="s">
        <v>261</v>
      </c>
      <c r="D702" s="246" t="s">
        <v>953</v>
      </c>
      <c r="E702" s="247">
        <v>1</v>
      </c>
      <c r="F702" s="247"/>
      <c r="G702" s="248"/>
      <c r="H702" s="247"/>
      <c r="I702" s="249" t="s">
        <v>363</v>
      </c>
      <c r="J702" s="249" t="s">
        <v>21</v>
      </c>
      <c r="K702" s="249" t="s">
        <v>22</v>
      </c>
      <c r="L702" s="250">
        <f t="shared" si="42"/>
        <v>1</v>
      </c>
      <c r="M702" s="237">
        <f t="array" ref="M702">INDEX('BKTT T4.26'!$N$12:$N$55,MATCH(V702,'BKTT T4.26'!$A$12:$A$55,0),0)</f>
        <v>654871</v>
      </c>
      <c r="N702" s="162">
        <f t="shared" si="46"/>
        <v>654871</v>
      </c>
      <c r="O702" s="238" t="s">
        <v>264</v>
      </c>
      <c r="P702" s="251" t="s">
        <v>1448</v>
      </c>
      <c r="R702" s="191" t="str">
        <f t="shared" si="43"/>
        <v>Cước vận chuyển Container hàng 20' tuyến đường PAN HA - HẢI AN. BKS: 15H20645</v>
      </c>
      <c r="S702" s="191" t="str">
        <f t="shared" si="44"/>
        <v xml:space="preserve"> hàng 20' </v>
      </c>
      <c r="V702" s="191">
        <v>1</v>
      </c>
    </row>
    <row r="703" spans="1:22" s="191" customFormat="1" ht="15">
      <c r="A703" s="236">
        <v>692</v>
      </c>
      <c r="B703" s="244">
        <v>46121</v>
      </c>
      <c r="C703" s="245" t="s">
        <v>261</v>
      </c>
      <c r="D703" s="246" t="s">
        <v>954</v>
      </c>
      <c r="E703" s="247"/>
      <c r="F703" s="247">
        <v>1</v>
      </c>
      <c r="G703" s="248"/>
      <c r="H703" s="247"/>
      <c r="I703" s="249" t="s">
        <v>363</v>
      </c>
      <c r="J703" s="249" t="s">
        <v>21</v>
      </c>
      <c r="K703" s="249" t="s">
        <v>25</v>
      </c>
      <c r="L703" s="250">
        <f t="shared" si="42"/>
        <v>1</v>
      </c>
      <c r="M703" s="237">
        <f t="array" ref="M703">INDEX('BKTT T4.26'!$N$12:$N$55,MATCH(V703,'BKTT T4.26'!$A$12:$A$55,0),0)</f>
        <v>681050</v>
      </c>
      <c r="N703" s="162">
        <f t="shared" si="46"/>
        <v>681050</v>
      </c>
      <c r="O703" s="238" t="s">
        <v>264</v>
      </c>
      <c r="P703" s="251" t="s">
        <v>1448</v>
      </c>
      <c r="R703" s="191" t="str">
        <f t="shared" si="43"/>
        <v>Cước vận chuyển Container hàng 40' tuyến đường PAN HA - HẢI AN,. BKS: 15H20645</v>
      </c>
      <c r="S703" s="191" t="str">
        <f t="shared" si="44"/>
        <v xml:space="preserve"> hàng 40' </v>
      </c>
      <c r="V703" s="191">
        <v>2</v>
      </c>
    </row>
    <row r="704" spans="1:22" s="191" customFormat="1" ht="15">
      <c r="A704" s="236">
        <v>693</v>
      </c>
      <c r="B704" s="244">
        <v>46122</v>
      </c>
      <c r="C704" s="245" t="s">
        <v>261</v>
      </c>
      <c r="D704" s="246" t="s">
        <v>955</v>
      </c>
      <c r="E704" s="247"/>
      <c r="F704" s="247">
        <v>1</v>
      </c>
      <c r="G704" s="248"/>
      <c r="H704" s="247"/>
      <c r="I704" s="249" t="s">
        <v>363</v>
      </c>
      <c r="J704" s="249" t="s">
        <v>21</v>
      </c>
      <c r="K704" s="249" t="s">
        <v>25</v>
      </c>
      <c r="L704" s="250">
        <f t="shared" si="42"/>
        <v>1</v>
      </c>
      <c r="M704" s="237">
        <f t="array" ref="M704">INDEX('BKTT T4.26'!$N$12:$N$55,MATCH(V704,'BKTT T4.26'!$A$12:$A$55,0),0)</f>
        <v>681050</v>
      </c>
      <c r="N704" s="162">
        <f t="shared" si="46"/>
        <v>681050</v>
      </c>
      <c r="O704" s="238" t="s">
        <v>264</v>
      </c>
      <c r="P704" s="251" t="s">
        <v>1448</v>
      </c>
      <c r="R704" s="191" t="str">
        <f t="shared" si="43"/>
        <v>Cước vận chuyển Container hàng 40' tuyến đường PAN HA - HẢI AN,. BKS: 15H20645</v>
      </c>
      <c r="S704" s="191" t="str">
        <f t="shared" si="44"/>
        <v xml:space="preserve"> hàng 40' </v>
      </c>
      <c r="V704" s="191">
        <v>2</v>
      </c>
    </row>
    <row r="705" spans="1:22" s="191" customFormat="1" ht="15">
      <c r="A705" s="236">
        <v>694</v>
      </c>
      <c r="B705" s="244">
        <v>46122</v>
      </c>
      <c r="C705" s="245" t="s">
        <v>261</v>
      </c>
      <c r="D705" s="246" t="s">
        <v>956</v>
      </c>
      <c r="E705" s="247"/>
      <c r="F705" s="247">
        <v>1</v>
      </c>
      <c r="G705" s="248"/>
      <c r="H705" s="247"/>
      <c r="I705" s="249" t="s">
        <v>363</v>
      </c>
      <c r="J705" s="249" t="s">
        <v>21</v>
      </c>
      <c r="K705" s="249" t="s">
        <v>25</v>
      </c>
      <c r="L705" s="250">
        <f t="shared" si="42"/>
        <v>1</v>
      </c>
      <c r="M705" s="237">
        <f t="array" ref="M705">INDEX('BKTT T4.26'!$N$12:$N$55,MATCH(V705,'BKTT T4.26'!$A$12:$A$55,0),0)</f>
        <v>681050</v>
      </c>
      <c r="N705" s="162">
        <f t="shared" si="46"/>
        <v>681050</v>
      </c>
      <c r="O705" s="238" t="s">
        <v>264</v>
      </c>
      <c r="P705" s="251" t="s">
        <v>1448</v>
      </c>
      <c r="R705" s="191" t="str">
        <f t="shared" si="43"/>
        <v>Cước vận chuyển Container hàng 40' tuyến đường PAN HA - HẢI AN,. BKS: 15H20645</v>
      </c>
      <c r="S705" s="191" t="str">
        <f t="shared" si="44"/>
        <v xml:space="preserve"> hàng 40' </v>
      </c>
      <c r="V705" s="191">
        <v>2</v>
      </c>
    </row>
    <row r="706" spans="1:22" s="191" customFormat="1" ht="15">
      <c r="A706" s="236">
        <v>695</v>
      </c>
      <c r="B706" s="244">
        <v>46122</v>
      </c>
      <c r="C706" s="245" t="s">
        <v>261</v>
      </c>
      <c r="D706" s="246" t="s">
        <v>957</v>
      </c>
      <c r="E706" s="247"/>
      <c r="F706" s="247">
        <v>1</v>
      </c>
      <c r="G706" s="248"/>
      <c r="H706" s="247"/>
      <c r="I706" s="249" t="s">
        <v>363</v>
      </c>
      <c r="J706" s="249" t="s">
        <v>21</v>
      </c>
      <c r="K706" s="249" t="s">
        <v>25</v>
      </c>
      <c r="L706" s="250">
        <f t="shared" si="42"/>
        <v>1</v>
      </c>
      <c r="M706" s="237">
        <f t="array" ref="M706">INDEX('BKTT T4.26'!$N$12:$N$55,MATCH(V706,'BKTT T4.26'!$A$12:$A$55,0),0)</f>
        <v>681050</v>
      </c>
      <c r="N706" s="162">
        <f t="shared" si="46"/>
        <v>681050</v>
      </c>
      <c r="O706" s="238" t="s">
        <v>264</v>
      </c>
      <c r="P706" s="251" t="s">
        <v>1448</v>
      </c>
      <c r="R706" s="191" t="str">
        <f t="shared" si="43"/>
        <v>Cước vận chuyển Container hàng 40' tuyến đường PAN HA - HẢI AN,. BKS: 15H20645</v>
      </c>
      <c r="S706" s="191" t="str">
        <f t="shared" si="44"/>
        <v xml:space="preserve"> hàng 40' </v>
      </c>
      <c r="V706" s="191">
        <v>2</v>
      </c>
    </row>
    <row r="707" spans="1:22" s="191" customFormat="1" ht="15">
      <c r="A707" s="236">
        <v>696</v>
      </c>
      <c r="B707" s="244">
        <v>46122</v>
      </c>
      <c r="C707" s="245" t="s">
        <v>261</v>
      </c>
      <c r="D707" s="246" t="s">
        <v>958</v>
      </c>
      <c r="E707" s="247">
        <v>1</v>
      </c>
      <c r="F707" s="247"/>
      <c r="G707" s="248"/>
      <c r="H707" s="247"/>
      <c r="I707" s="249" t="s">
        <v>282</v>
      </c>
      <c r="J707" s="249" t="s">
        <v>21</v>
      </c>
      <c r="K707" s="249" t="s">
        <v>22</v>
      </c>
      <c r="L707" s="250">
        <f t="shared" si="42"/>
        <v>1</v>
      </c>
      <c r="M707" s="237">
        <f t="array" ref="M707">INDEX('BKTT T4.26'!$N$12:$N$55,MATCH(V707,'BKTT T4.26'!$A$12:$A$55,0),0)</f>
        <v>654871</v>
      </c>
      <c r="N707" s="162">
        <f t="shared" si="46"/>
        <v>654871</v>
      </c>
      <c r="O707" s="238" t="s">
        <v>264</v>
      </c>
      <c r="P707" s="251" t="s">
        <v>1448</v>
      </c>
      <c r="R707" s="191" t="str">
        <f t="shared" si="43"/>
        <v>Cước vận chuyển Container hàng 20' tuyến đường PAN HA - HẢI AN. BKS: 15C17301</v>
      </c>
      <c r="S707" s="191" t="str">
        <f t="shared" si="44"/>
        <v xml:space="preserve"> hàng 20' </v>
      </c>
      <c r="V707" s="191">
        <v>1</v>
      </c>
    </row>
    <row r="708" spans="1:22" s="191" customFormat="1" ht="15">
      <c r="A708" s="236">
        <v>697</v>
      </c>
      <c r="B708" s="244">
        <v>46122</v>
      </c>
      <c r="C708" s="245" t="s">
        <v>261</v>
      </c>
      <c r="D708" s="246" t="s">
        <v>959</v>
      </c>
      <c r="E708" s="247">
        <v>1</v>
      </c>
      <c r="F708" s="247"/>
      <c r="G708" s="248"/>
      <c r="H708" s="247"/>
      <c r="I708" s="249" t="s">
        <v>282</v>
      </c>
      <c r="J708" s="249" t="s">
        <v>21</v>
      </c>
      <c r="K708" s="249" t="s">
        <v>22</v>
      </c>
      <c r="L708" s="250">
        <f t="shared" si="42"/>
        <v>1</v>
      </c>
      <c r="M708" s="237">
        <f t="array" ref="M708">INDEX('BKTT T4.26'!$N$12:$N$55,MATCH(V708,'BKTT T4.26'!$A$12:$A$55,0),0)</f>
        <v>654871</v>
      </c>
      <c r="N708" s="162">
        <f t="shared" si="46"/>
        <v>654871</v>
      </c>
      <c r="O708" s="238" t="s">
        <v>264</v>
      </c>
      <c r="P708" s="251" t="s">
        <v>1448</v>
      </c>
      <c r="R708" s="191" t="str">
        <f t="shared" si="43"/>
        <v>Cước vận chuyển Container hàng 20' tuyến đường PAN HA - HẢI AN. BKS: 15C17301</v>
      </c>
      <c r="S708" s="191" t="str">
        <f t="shared" si="44"/>
        <v xml:space="preserve"> hàng 20' </v>
      </c>
      <c r="V708" s="191">
        <v>1</v>
      </c>
    </row>
    <row r="709" spans="1:22" s="191" customFormat="1" ht="15">
      <c r="A709" s="236">
        <v>698</v>
      </c>
      <c r="B709" s="244">
        <v>46122</v>
      </c>
      <c r="C709" s="245" t="s">
        <v>261</v>
      </c>
      <c r="D709" s="246" t="s">
        <v>960</v>
      </c>
      <c r="E709" s="247">
        <v>1</v>
      </c>
      <c r="F709" s="247"/>
      <c r="G709" s="248"/>
      <c r="H709" s="247"/>
      <c r="I709" s="249" t="s">
        <v>282</v>
      </c>
      <c r="J709" s="249" t="s">
        <v>21</v>
      </c>
      <c r="K709" s="249" t="s">
        <v>22</v>
      </c>
      <c r="L709" s="250">
        <f t="shared" si="42"/>
        <v>1</v>
      </c>
      <c r="M709" s="237">
        <f t="array" ref="M709">INDEX('BKTT T4.26'!$N$12:$N$55,MATCH(V709,'BKTT T4.26'!$A$12:$A$55,0),0)</f>
        <v>654871</v>
      </c>
      <c r="N709" s="162">
        <f t="shared" si="46"/>
        <v>654871</v>
      </c>
      <c r="O709" s="238" t="s">
        <v>264</v>
      </c>
      <c r="P709" s="251" t="s">
        <v>1448</v>
      </c>
      <c r="R709" s="191" t="str">
        <f t="shared" si="43"/>
        <v>Cước vận chuyển Container hàng 20' tuyến đường PAN HA - HẢI AN. BKS: 15C17301</v>
      </c>
      <c r="S709" s="191" t="str">
        <f t="shared" si="44"/>
        <v xml:space="preserve"> hàng 20' </v>
      </c>
      <c r="V709" s="191">
        <v>1</v>
      </c>
    </row>
    <row r="710" spans="1:22" s="191" customFormat="1" ht="15">
      <c r="A710" s="236">
        <v>699</v>
      </c>
      <c r="B710" s="244">
        <v>46122</v>
      </c>
      <c r="C710" s="245" t="s">
        <v>261</v>
      </c>
      <c r="D710" s="246" t="s">
        <v>961</v>
      </c>
      <c r="E710" s="247">
        <v>1</v>
      </c>
      <c r="F710" s="247"/>
      <c r="G710" s="248"/>
      <c r="H710" s="247"/>
      <c r="I710" s="249" t="s">
        <v>282</v>
      </c>
      <c r="J710" s="249" t="s">
        <v>21</v>
      </c>
      <c r="K710" s="249" t="s">
        <v>22</v>
      </c>
      <c r="L710" s="250">
        <f t="shared" si="42"/>
        <v>1</v>
      </c>
      <c r="M710" s="237">
        <f t="array" ref="M710">INDEX('BKTT T4.26'!$N$12:$N$55,MATCH(V710,'BKTT T4.26'!$A$12:$A$55,0),0)</f>
        <v>654871</v>
      </c>
      <c r="N710" s="162">
        <f t="shared" si="46"/>
        <v>654871</v>
      </c>
      <c r="O710" s="238" t="s">
        <v>264</v>
      </c>
      <c r="P710" s="251" t="s">
        <v>1448</v>
      </c>
      <c r="R710" s="191" t="str">
        <f t="shared" si="43"/>
        <v>Cước vận chuyển Container hàng 20' tuyến đường PAN HA - HẢI AN. BKS: 15C17301</v>
      </c>
      <c r="S710" s="191" t="str">
        <f t="shared" si="44"/>
        <v xml:space="preserve"> hàng 20' </v>
      </c>
      <c r="V710" s="191">
        <v>1</v>
      </c>
    </row>
    <row r="711" spans="1:22" s="191" customFormat="1" ht="15">
      <c r="A711" s="236">
        <v>700</v>
      </c>
      <c r="B711" s="244">
        <v>46122</v>
      </c>
      <c r="C711" s="245" t="s">
        <v>261</v>
      </c>
      <c r="D711" s="246" t="s">
        <v>962</v>
      </c>
      <c r="E711" s="247">
        <v>1</v>
      </c>
      <c r="F711" s="247"/>
      <c r="G711" s="248"/>
      <c r="H711" s="247"/>
      <c r="I711" s="249" t="s">
        <v>279</v>
      </c>
      <c r="J711" s="249" t="s">
        <v>21</v>
      </c>
      <c r="K711" s="249" t="s">
        <v>22</v>
      </c>
      <c r="L711" s="250">
        <f t="shared" si="42"/>
        <v>1</v>
      </c>
      <c r="M711" s="237">
        <f t="array" ref="M711">INDEX('BKTT T4.26'!$N$12:$N$55,MATCH(V711,'BKTT T4.26'!$A$12:$A$55,0),0)</f>
        <v>654871</v>
      </c>
      <c r="N711" s="162">
        <f t="shared" si="46"/>
        <v>654871</v>
      </c>
      <c r="O711" s="238" t="s">
        <v>264</v>
      </c>
      <c r="P711" s="251" t="s">
        <v>1448</v>
      </c>
      <c r="R711" s="191" t="str">
        <f t="shared" si="43"/>
        <v>Cước vận chuyển Container hàng 20' tuyến đường PAN HA - HẢI AN. BKS: 15H07524</v>
      </c>
      <c r="S711" s="191" t="str">
        <f t="shared" si="44"/>
        <v xml:space="preserve"> hàng 20' </v>
      </c>
      <c r="V711" s="191">
        <v>1</v>
      </c>
    </row>
    <row r="712" spans="1:22" s="191" customFormat="1" ht="15">
      <c r="A712" s="236">
        <v>701</v>
      </c>
      <c r="B712" s="244">
        <v>46122</v>
      </c>
      <c r="C712" s="245" t="s">
        <v>261</v>
      </c>
      <c r="D712" s="246" t="s">
        <v>963</v>
      </c>
      <c r="E712" s="247">
        <v>1</v>
      </c>
      <c r="F712" s="247"/>
      <c r="G712" s="248"/>
      <c r="H712" s="247"/>
      <c r="I712" s="249" t="s">
        <v>279</v>
      </c>
      <c r="J712" s="249" t="s">
        <v>21</v>
      </c>
      <c r="K712" s="249" t="s">
        <v>22</v>
      </c>
      <c r="L712" s="250">
        <f t="shared" si="42"/>
        <v>1</v>
      </c>
      <c r="M712" s="237">
        <f t="array" ref="M712">INDEX('BKTT T4.26'!$N$12:$N$55,MATCH(V712,'BKTT T4.26'!$A$12:$A$55,0),0)</f>
        <v>654871</v>
      </c>
      <c r="N712" s="162">
        <f t="shared" si="46"/>
        <v>654871</v>
      </c>
      <c r="O712" s="238" t="s">
        <v>264</v>
      </c>
      <c r="P712" s="251" t="s">
        <v>1448</v>
      </c>
      <c r="R712" s="191" t="str">
        <f t="shared" si="43"/>
        <v>Cước vận chuyển Container hàng 20' tuyến đường PAN HA - HẢI AN. BKS: 15H07524</v>
      </c>
      <c r="S712" s="191" t="str">
        <f t="shared" si="44"/>
        <v xml:space="preserve"> hàng 20' </v>
      </c>
      <c r="V712" s="191">
        <v>1</v>
      </c>
    </row>
    <row r="713" spans="1:22" s="191" customFormat="1" ht="15">
      <c r="A713" s="236">
        <v>702</v>
      </c>
      <c r="B713" s="244">
        <v>46122</v>
      </c>
      <c r="C713" s="245" t="s">
        <v>261</v>
      </c>
      <c r="D713" s="246" t="s">
        <v>964</v>
      </c>
      <c r="E713" s="247">
        <v>1</v>
      </c>
      <c r="F713" s="247"/>
      <c r="G713" s="248"/>
      <c r="H713" s="247"/>
      <c r="I713" s="249" t="s">
        <v>279</v>
      </c>
      <c r="J713" s="249" t="s">
        <v>21</v>
      </c>
      <c r="K713" s="249" t="s">
        <v>22</v>
      </c>
      <c r="L713" s="250">
        <f t="shared" ref="L713:L776" si="47">E713+F713+G713+H713</f>
        <v>1</v>
      </c>
      <c r="M713" s="237">
        <f t="array" ref="M713">INDEX('BKTT T4.26'!$N$12:$N$55,MATCH(V713,'BKTT T4.26'!$A$12:$A$55,0),0)</f>
        <v>654871</v>
      </c>
      <c r="N713" s="162">
        <f t="shared" si="46"/>
        <v>654871</v>
      </c>
      <c r="O713" s="238" t="s">
        <v>264</v>
      </c>
      <c r="P713" s="251" t="s">
        <v>1448</v>
      </c>
      <c r="R713" s="191" t="str">
        <f t="shared" ref="R713:R776" si="48">$R$10&amp;S713&amp;$R$9&amp;J713&amp;$S$10&amp;K713&amp;$R$8&amp;I713</f>
        <v>Cước vận chuyển Container hàng 20' tuyến đường PAN HA - HẢI AN. BKS: 15H07524</v>
      </c>
      <c r="S713" s="191" t="str">
        <f t="shared" ref="S713:S776" si="49">IF(E713=1," hàng 20' ",IF(F713=1," hàng 40' "," vỏ "))</f>
        <v xml:space="preserve"> hàng 20' </v>
      </c>
      <c r="V713" s="191">
        <v>1</v>
      </c>
    </row>
    <row r="714" spans="1:22" s="191" customFormat="1" ht="15">
      <c r="A714" s="236">
        <v>703</v>
      </c>
      <c r="B714" s="244">
        <v>46122</v>
      </c>
      <c r="C714" s="245" t="s">
        <v>261</v>
      </c>
      <c r="D714" s="246" t="s">
        <v>965</v>
      </c>
      <c r="E714" s="247">
        <v>1</v>
      </c>
      <c r="F714" s="247"/>
      <c r="G714" s="248"/>
      <c r="H714" s="247"/>
      <c r="I714" s="249" t="s">
        <v>279</v>
      </c>
      <c r="J714" s="249" t="s">
        <v>21</v>
      </c>
      <c r="K714" s="249" t="s">
        <v>22</v>
      </c>
      <c r="L714" s="250">
        <f t="shared" si="47"/>
        <v>1</v>
      </c>
      <c r="M714" s="237">
        <f t="array" ref="M714">INDEX('BKTT T4.26'!$N$12:$N$55,MATCH(V714,'BKTT T4.26'!$A$12:$A$55,0),0)</f>
        <v>654871</v>
      </c>
      <c r="N714" s="162">
        <f t="shared" si="46"/>
        <v>654871</v>
      </c>
      <c r="O714" s="238" t="s">
        <v>264</v>
      </c>
      <c r="P714" s="251" t="s">
        <v>1448</v>
      </c>
      <c r="R714" s="191" t="str">
        <f t="shared" si="48"/>
        <v>Cước vận chuyển Container hàng 20' tuyến đường PAN HA - HẢI AN. BKS: 15H07524</v>
      </c>
      <c r="S714" s="191" t="str">
        <f t="shared" si="49"/>
        <v xml:space="preserve"> hàng 20' </v>
      </c>
      <c r="V714" s="191">
        <v>1</v>
      </c>
    </row>
    <row r="715" spans="1:22" s="191" customFormat="1" ht="15">
      <c r="A715" s="236">
        <v>704</v>
      </c>
      <c r="B715" s="244">
        <v>46122</v>
      </c>
      <c r="C715" s="245" t="s">
        <v>261</v>
      </c>
      <c r="D715" s="246" t="s">
        <v>966</v>
      </c>
      <c r="E715" s="247">
        <v>1</v>
      </c>
      <c r="F715" s="247"/>
      <c r="G715" s="248"/>
      <c r="H715" s="247"/>
      <c r="I715" s="249" t="s">
        <v>279</v>
      </c>
      <c r="J715" s="249" t="s">
        <v>21</v>
      </c>
      <c r="K715" s="249" t="s">
        <v>22</v>
      </c>
      <c r="L715" s="250">
        <f t="shared" si="47"/>
        <v>1</v>
      </c>
      <c r="M715" s="237">
        <f t="array" ref="M715">INDEX('BKTT T4.26'!$N$12:$N$55,MATCH(V715,'BKTT T4.26'!$A$12:$A$55,0),0)</f>
        <v>654871</v>
      </c>
      <c r="N715" s="162">
        <f t="shared" si="46"/>
        <v>654871</v>
      </c>
      <c r="O715" s="238" t="s">
        <v>264</v>
      </c>
      <c r="P715" s="251" t="s">
        <v>1448</v>
      </c>
      <c r="R715" s="191" t="str">
        <f t="shared" si="48"/>
        <v>Cước vận chuyển Container hàng 20' tuyến đường PAN HA - HẢI AN. BKS: 15H07524</v>
      </c>
      <c r="S715" s="191" t="str">
        <f t="shared" si="49"/>
        <v xml:space="preserve"> hàng 20' </v>
      </c>
      <c r="V715" s="191">
        <v>1</v>
      </c>
    </row>
    <row r="716" spans="1:22" s="191" customFormat="1" ht="15">
      <c r="A716" s="236">
        <v>705</v>
      </c>
      <c r="B716" s="244">
        <v>46122</v>
      </c>
      <c r="C716" s="245" t="s">
        <v>261</v>
      </c>
      <c r="D716" s="246" t="s">
        <v>967</v>
      </c>
      <c r="E716" s="247">
        <v>1</v>
      </c>
      <c r="F716" s="247"/>
      <c r="G716" s="248"/>
      <c r="H716" s="247"/>
      <c r="I716" s="249" t="s">
        <v>279</v>
      </c>
      <c r="J716" s="249" t="s">
        <v>21</v>
      </c>
      <c r="K716" s="249" t="s">
        <v>22</v>
      </c>
      <c r="L716" s="250">
        <f t="shared" si="47"/>
        <v>1</v>
      </c>
      <c r="M716" s="237">
        <f t="array" ref="M716">INDEX('BKTT T4.26'!$N$12:$N$55,MATCH(V716,'BKTT T4.26'!$A$12:$A$55,0),0)</f>
        <v>654871</v>
      </c>
      <c r="N716" s="162">
        <f t="shared" si="46"/>
        <v>654871</v>
      </c>
      <c r="O716" s="238" t="s">
        <v>264</v>
      </c>
      <c r="P716" s="251" t="s">
        <v>1448</v>
      </c>
      <c r="R716" s="191" t="str">
        <f t="shared" si="48"/>
        <v>Cước vận chuyển Container hàng 20' tuyến đường PAN HA - HẢI AN. BKS: 15H07524</v>
      </c>
      <c r="S716" s="191" t="str">
        <f t="shared" si="49"/>
        <v xml:space="preserve"> hàng 20' </v>
      </c>
      <c r="V716" s="191">
        <v>1</v>
      </c>
    </row>
    <row r="717" spans="1:22" s="191" customFormat="1" ht="15">
      <c r="A717" s="236">
        <v>706</v>
      </c>
      <c r="B717" s="244">
        <v>46122</v>
      </c>
      <c r="C717" s="245" t="s">
        <v>261</v>
      </c>
      <c r="D717" s="246" t="s">
        <v>968</v>
      </c>
      <c r="E717" s="247">
        <v>1</v>
      </c>
      <c r="F717" s="248"/>
      <c r="G717" s="248"/>
      <c r="H717" s="247"/>
      <c r="I717" s="249" t="s">
        <v>269</v>
      </c>
      <c r="J717" s="249" t="s">
        <v>21</v>
      </c>
      <c r="K717" s="249" t="s">
        <v>22</v>
      </c>
      <c r="L717" s="250">
        <f t="shared" si="47"/>
        <v>1</v>
      </c>
      <c r="M717" s="237">
        <f t="array" ref="M717">INDEX('BKTT T4.26'!$N$12:$N$55,MATCH(V717,'BKTT T4.26'!$A$12:$A$55,0),0)</f>
        <v>654871</v>
      </c>
      <c r="N717" s="162">
        <f t="shared" si="46"/>
        <v>654871</v>
      </c>
      <c r="O717" s="238" t="s">
        <v>264</v>
      </c>
      <c r="P717" s="251" t="s">
        <v>1448</v>
      </c>
      <c r="R717" s="191" t="str">
        <f t="shared" si="48"/>
        <v>Cước vận chuyển Container hàng 20' tuyến đường PAN HA - HẢI AN. BKS: 15H07644</v>
      </c>
      <c r="S717" s="191" t="str">
        <f t="shared" si="49"/>
        <v xml:space="preserve"> hàng 20' </v>
      </c>
      <c r="V717" s="191">
        <v>1</v>
      </c>
    </row>
    <row r="718" spans="1:22" s="191" customFormat="1" ht="15">
      <c r="A718" s="236">
        <v>707</v>
      </c>
      <c r="B718" s="244">
        <v>46122</v>
      </c>
      <c r="C718" s="245" t="s">
        <v>261</v>
      </c>
      <c r="D718" s="246" t="s">
        <v>969</v>
      </c>
      <c r="E718" s="247">
        <v>1</v>
      </c>
      <c r="F718" s="248"/>
      <c r="G718" s="248"/>
      <c r="H718" s="247"/>
      <c r="I718" s="249" t="s">
        <v>269</v>
      </c>
      <c r="J718" s="249" t="s">
        <v>21</v>
      </c>
      <c r="K718" s="249" t="s">
        <v>22</v>
      </c>
      <c r="L718" s="250">
        <f t="shared" si="47"/>
        <v>1</v>
      </c>
      <c r="M718" s="237">
        <f t="array" ref="M718">INDEX('BKTT T4.26'!$N$12:$N$55,MATCH(V718,'BKTT T4.26'!$A$12:$A$55,0),0)</f>
        <v>654871</v>
      </c>
      <c r="N718" s="162">
        <f t="shared" si="46"/>
        <v>654871</v>
      </c>
      <c r="O718" s="238" t="s">
        <v>264</v>
      </c>
      <c r="P718" s="251" t="s">
        <v>1448</v>
      </c>
      <c r="R718" s="191" t="str">
        <f t="shared" si="48"/>
        <v>Cước vận chuyển Container hàng 20' tuyến đường PAN HA - HẢI AN. BKS: 15H07644</v>
      </c>
      <c r="S718" s="191" t="str">
        <f t="shared" si="49"/>
        <v xml:space="preserve"> hàng 20' </v>
      </c>
      <c r="V718" s="191">
        <v>1</v>
      </c>
    </row>
    <row r="719" spans="1:22" s="191" customFormat="1" ht="15">
      <c r="A719" s="236">
        <v>708</v>
      </c>
      <c r="B719" s="244">
        <v>46121</v>
      </c>
      <c r="C719" s="245" t="s">
        <v>261</v>
      </c>
      <c r="D719" s="246" t="s">
        <v>970</v>
      </c>
      <c r="E719" s="247">
        <v>1</v>
      </c>
      <c r="F719" s="247"/>
      <c r="G719" s="248"/>
      <c r="H719" s="247"/>
      <c r="I719" s="249" t="s">
        <v>335</v>
      </c>
      <c r="J719" s="249" t="s">
        <v>21</v>
      </c>
      <c r="K719" s="249" t="s">
        <v>22</v>
      </c>
      <c r="L719" s="250">
        <f t="shared" si="47"/>
        <v>1</v>
      </c>
      <c r="M719" s="237">
        <f t="array" ref="M719">INDEX('BKTT T4.26'!$N$12:$N$55,MATCH(V719,'BKTT T4.26'!$A$12:$A$55,0),0)</f>
        <v>654871</v>
      </c>
      <c r="N719" s="162">
        <f t="shared" si="46"/>
        <v>654871</v>
      </c>
      <c r="O719" s="238" t="s">
        <v>264</v>
      </c>
      <c r="P719" s="251" t="s">
        <v>1448</v>
      </c>
      <c r="R719" s="191" t="str">
        <f t="shared" si="48"/>
        <v>Cước vận chuyển Container hàng 20' tuyến đường PAN HA - HẢI AN. BKS: 15H18552</v>
      </c>
      <c r="S719" s="191" t="str">
        <f t="shared" si="49"/>
        <v xml:space="preserve"> hàng 20' </v>
      </c>
      <c r="V719" s="191">
        <v>1</v>
      </c>
    </row>
    <row r="720" spans="1:22" s="191" customFormat="1" ht="15">
      <c r="A720" s="236">
        <v>709</v>
      </c>
      <c r="B720" s="244">
        <v>46121</v>
      </c>
      <c r="C720" s="245" t="s">
        <v>261</v>
      </c>
      <c r="D720" s="246" t="s">
        <v>971</v>
      </c>
      <c r="E720" s="247"/>
      <c r="F720" s="247">
        <v>1</v>
      </c>
      <c r="G720" s="248"/>
      <c r="H720" s="247"/>
      <c r="I720" s="249" t="s">
        <v>335</v>
      </c>
      <c r="J720" s="249" t="s">
        <v>21</v>
      </c>
      <c r="K720" s="249" t="s">
        <v>25</v>
      </c>
      <c r="L720" s="250">
        <f t="shared" si="47"/>
        <v>1</v>
      </c>
      <c r="M720" s="237">
        <f t="array" ref="M720">INDEX('BKTT T4.26'!$N$12:$N$55,MATCH(V720,'BKTT T4.26'!$A$12:$A$55,0),0)</f>
        <v>681050</v>
      </c>
      <c r="N720" s="162">
        <f t="shared" si="46"/>
        <v>681050</v>
      </c>
      <c r="O720" s="238" t="s">
        <v>264</v>
      </c>
      <c r="P720" s="251" t="s">
        <v>1448</v>
      </c>
      <c r="R720" s="191" t="str">
        <f t="shared" si="48"/>
        <v>Cước vận chuyển Container hàng 40' tuyến đường PAN HA - HẢI AN,. BKS: 15H18552</v>
      </c>
      <c r="S720" s="191" t="str">
        <f t="shared" si="49"/>
        <v xml:space="preserve"> hàng 40' </v>
      </c>
      <c r="V720" s="191">
        <v>2</v>
      </c>
    </row>
    <row r="721" spans="1:22" s="191" customFormat="1" ht="15">
      <c r="A721" s="236">
        <v>710</v>
      </c>
      <c r="B721" s="244">
        <v>46121</v>
      </c>
      <c r="C721" s="245" t="s">
        <v>261</v>
      </c>
      <c r="D721" s="246" t="s">
        <v>972</v>
      </c>
      <c r="E721" s="247"/>
      <c r="F721" s="247">
        <v>1</v>
      </c>
      <c r="G721" s="248"/>
      <c r="H721" s="247"/>
      <c r="I721" s="249" t="s">
        <v>335</v>
      </c>
      <c r="J721" s="249" t="s">
        <v>21</v>
      </c>
      <c r="K721" s="249" t="s">
        <v>25</v>
      </c>
      <c r="L721" s="250">
        <f t="shared" si="47"/>
        <v>1</v>
      </c>
      <c r="M721" s="237">
        <f t="array" ref="M721">INDEX('BKTT T4.26'!$N$12:$N$55,MATCH(V721,'BKTT T4.26'!$A$12:$A$55,0),0)</f>
        <v>681050</v>
      </c>
      <c r="N721" s="162">
        <f t="shared" si="46"/>
        <v>681050</v>
      </c>
      <c r="O721" s="238" t="s">
        <v>264</v>
      </c>
      <c r="P721" s="251" t="s">
        <v>1448</v>
      </c>
      <c r="R721" s="191" t="str">
        <f t="shared" si="48"/>
        <v>Cước vận chuyển Container hàng 40' tuyến đường PAN HA - HẢI AN,. BKS: 15H18552</v>
      </c>
      <c r="S721" s="191" t="str">
        <f t="shared" si="49"/>
        <v xml:space="preserve"> hàng 40' </v>
      </c>
      <c r="V721" s="191">
        <v>2</v>
      </c>
    </row>
    <row r="722" spans="1:22" s="191" customFormat="1" ht="15">
      <c r="A722" s="236">
        <v>711</v>
      </c>
      <c r="B722" s="244">
        <v>46121</v>
      </c>
      <c r="C722" s="245" t="s">
        <v>261</v>
      </c>
      <c r="D722" s="246" t="s">
        <v>973</v>
      </c>
      <c r="E722" s="247"/>
      <c r="F722" s="247">
        <v>1</v>
      </c>
      <c r="G722" s="248"/>
      <c r="H722" s="247"/>
      <c r="I722" s="249" t="s">
        <v>335</v>
      </c>
      <c r="J722" s="249" t="s">
        <v>21</v>
      </c>
      <c r="K722" s="249" t="s">
        <v>25</v>
      </c>
      <c r="L722" s="250">
        <f t="shared" si="47"/>
        <v>1</v>
      </c>
      <c r="M722" s="237">
        <f t="array" ref="M722">INDEX('BKTT T4.26'!$N$12:$N$55,MATCH(V722,'BKTT T4.26'!$A$12:$A$55,0),0)</f>
        <v>681050</v>
      </c>
      <c r="N722" s="162">
        <f t="shared" si="46"/>
        <v>681050</v>
      </c>
      <c r="O722" s="238" t="s">
        <v>264</v>
      </c>
      <c r="P722" s="251" t="s">
        <v>1448</v>
      </c>
      <c r="R722" s="191" t="str">
        <f t="shared" si="48"/>
        <v>Cước vận chuyển Container hàng 40' tuyến đường PAN HA - HẢI AN,. BKS: 15H18552</v>
      </c>
      <c r="S722" s="191" t="str">
        <f t="shared" si="49"/>
        <v xml:space="preserve"> hàng 40' </v>
      </c>
      <c r="V722" s="191">
        <v>2</v>
      </c>
    </row>
    <row r="723" spans="1:22" s="191" customFormat="1" ht="15">
      <c r="A723" s="236">
        <v>712</v>
      </c>
      <c r="B723" s="244">
        <v>46121</v>
      </c>
      <c r="C723" s="245" t="s">
        <v>261</v>
      </c>
      <c r="D723" s="246" t="s">
        <v>974</v>
      </c>
      <c r="E723" s="247"/>
      <c r="F723" s="247">
        <v>1</v>
      </c>
      <c r="G723" s="248"/>
      <c r="H723" s="247"/>
      <c r="I723" s="249" t="s">
        <v>335</v>
      </c>
      <c r="J723" s="249" t="s">
        <v>21</v>
      </c>
      <c r="K723" s="249" t="s">
        <v>25</v>
      </c>
      <c r="L723" s="250">
        <f t="shared" si="47"/>
        <v>1</v>
      </c>
      <c r="M723" s="237">
        <f t="array" ref="M723">INDEX('BKTT T4.26'!$N$12:$N$55,MATCH(V723,'BKTT T4.26'!$A$12:$A$55,0),0)</f>
        <v>681050</v>
      </c>
      <c r="N723" s="162">
        <f t="shared" si="46"/>
        <v>681050</v>
      </c>
      <c r="O723" s="238" t="s">
        <v>264</v>
      </c>
      <c r="P723" s="251" t="s">
        <v>1448</v>
      </c>
      <c r="R723" s="191" t="str">
        <f t="shared" si="48"/>
        <v>Cước vận chuyển Container hàng 40' tuyến đường PAN HA - HẢI AN,. BKS: 15H18552</v>
      </c>
      <c r="S723" s="191" t="str">
        <f t="shared" si="49"/>
        <v xml:space="preserve"> hàng 40' </v>
      </c>
      <c r="V723" s="191">
        <v>2</v>
      </c>
    </row>
    <row r="724" spans="1:22" s="191" customFormat="1" ht="15">
      <c r="A724" s="236">
        <v>713</v>
      </c>
      <c r="B724" s="244">
        <v>46121</v>
      </c>
      <c r="C724" s="245" t="s">
        <v>261</v>
      </c>
      <c r="D724" s="246" t="s">
        <v>975</v>
      </c>
      <c r="E724" s="247"/>
      <c r="F724" s="247">
        <v>1</v>
      </c>
      <c r="G724" s="248"/>
      <c r="H724" s="247"/>
      <c r="I724" s="249" t="s">
        <v>335</v>
      </c>
      <c r="J724" s="249" t="s">
        <v>21</v>
      </c>
      <c r="K724" s="249" t="s">
        <v>25</v>
      </c>
      <c r="L724" s="250">
        <f t="shared" si="47"/>
        <v>1</v>
      </c>
      <c r="M724" s="237">
        <f t="array" ref="M724">INDEX('BKTT T4.26'!$N$12:$N$55,MATCH(V724,'BKTT T4.26'!$A$12:$A$55,0),0)</f>
        <v>681050</v>
      </c>
      <c r="N724" s="162">
        <f t="shared" si="46"/>
        <v>681050</v>
      </c>
      <c r="O724" s="238" t="s">
        <v>264</v>
      </c>
      <c r="P724" s="251" t="s">
        <v>1448</v>
      </c>
      <c r="R724" s="191" t="str">
        <f t="shared" si="48"/>
        <v>Cước vận chuyển Container hàng 40' tuyến đường PAN HA - HẢI AN,. BKS: 15H18552</v>
      </c>
      <c r="S724" s="191" t="str">
        <f t="shared" si="49"/>
        <v xml:space="preserve"> hàng 40' </v>
      </c>
      <c r="V724" s="191">
        <v>2</v>
      </c>
    </row>
    <row r="725" spans="1:22" s="191" customFormat="1" ht="15">
      <c r="A725" s="236">
        <v>714</v>
      </c>
      <c r="B725" s="244">
        <v>46121</v>
      </c>
      <c r="C725" s="245" t="s">
        <v>261</v>
      </c>
      <c r="D725" s="246" t="s">
        <v>976</v>
      </c>
      <c r="E725" s="247"/>
      <c r="F725" s="247">
        <v>1</v>
      </c>
      <c r="G725" s="248"/>
      <c r="H725" s="247"/>
      <c r="I725" s="249" t="s">
        <v>335</v>
      </c>
      <c r="J725" s="249" t="s">
        <v>21</v>
      </c>
      <c r="K725" s="249" t="s">
        <v>25</v>
      </c>
      <c r="L725" s="250">
        <f t="shared" si="47"/>
        <v>1</v>
      </c>
      <c r="M725" s="237">
        <f t="array" ref="M725">INDEX('BKTT T4.26'!$N$12:$N$55,MATCH(V725,'BKTT T4.26'!$A$12:$A$55,0),0)</f>
        <v>681050</v>
      </c>
      <c r="N725" s="162">
        <f t="shared" si="46"/>
        <v>681050</v>
      </c>
      <c r="O725" s="238" t="s">
        <v>264</v>
      </c>
      <c r="P725" s="251" t="s">
        <v>1448</v>
      </c>
      <c r="R725" s="191" t="str">
        <f t="shared" si="48"/>
        <v>Cước vận chuyển Container hàng 40' tuyến đường PAN HA - HẢI AN,. BKS: 15H18552</v>
      </c>
      <c r="S725" s="191" t="str">
        <f t="shared" si="49"/>
        <v xml:space="preserve"> hàng 40' </v>
      </c>
      <c r="V725" s="191">
        <v>2</v>
      </c>
    </row>
    <row r="726" spans="1:22" s="191" customFormat="1" ht="15">
      <c r="A726" s="236">
        <v>715</v>
      </c>
      <c r="B726" s="244">
        <v>46122</v>
      </c>
      <c r="C726" s="245" t="s">
        <v>261</v>
      </c>
      <c r="D726" s="246" t="s">
        <v>977</v>
      </c>
      <c r="E726" s="247"/>
      <c r="F726" s="247">
        <v>1</v>
      </c>
      <c r="G726" s="248"/>
      <c r="H726" s="247"/>
      <c r="I726" s="249" t="s">
        <v>335</v>
      </c>
      <c r="J726" s="249" t="s">
        <v>21</v>
      </c>
      <c r="K726" s="249" t="s">
        <v>25</v>
      </c>
      <c r="L726" s="250">
        <f t="shared" si="47"/>
        <v>1</v>
      </c>
      <c r="M726" s="237">
        <f t="array" ref="M726">INDEX('BKTT T4.26'!$N$12:$N$55,MATCH(V726,'BKTT T4.26'!$A$12:$A$55,0),0)</f>
        <v>681050</v>
      </c>
      <c r="N726" s="162">
        <f t="shared" si="46"/>
        <v>681050</v>
      </c>
      <c r="O726" s="238" t="s">
        <v>264</v>
      </c>
      <c r="P726" s="251" t="s">
        <v>1448</v>
      </c>
      <c r="R726" s="191" t="str">
        <f t="shared" si="48"/>
        <v>Cước vận chuyển Container hàng 40' tuyến đường PAN HA - HẢI AN,. BKS: 15H18552</v>
      </c>
      <c r="S726" s="191" t="str">
        <f t="shared" si="49"/>
        <v xml:space="preserve"> hàng 40' </v>
      </c>
      <c r="V726" s="191">
        <v>2</v>
      </c>
    </row>
    <row r="727" spans="1:22" s="191" customFormat="1" ht="15">
      <c r="A727" s="236">
        <v>716</v>
      </c>
      <c r="B727" s="244">
        <v>46122</v>
      </c>
      <c r="C727" s="245" t="s">
        <v>261</v>
      </c>
      <c r="D727" s="246" t="s">
        <v>978</v>
      </c>
      <c r="E727" s="247"/>
      <c r="F727" s="247">
        <v>1</v>
      </c>
      <c r="G727" s="248"/>
      <c r="H727" s="247"/>
      <c r="I727" s="249" t="s">
        <v>335</v>
      </c>
      <c r="J727" s="249" t="s">
        <v>21</v>
      </c>
      <c r="K727" s="249" t="s">
        <v>25</v>
      </c>
      <c r="L727" s="250">
        <f t="shared" si="47"/>
        <v>1</v>
      </c>
      <c r="M727" s="237">
        <f t="array" ref="M727">INDEX('BKTT T4.26'!$N$12:$N$55,MATCH(V727,'BKTT T4.26'!$A$12:$A$55,0),0)</f>
        <v>681050</v>
      </c>
      <c r="N727" s="162">
        <f t="shared" si="46"/>
        <v>681050</v>
      </c>
      <c r="O727" s="238" t="s">
        <v>264</v>
      </c>
      <c r="P727" s="251" t="s">
        <v>1448</v>
      </c>
      <c r="R727" s="191" t="str">
        <f t="shared" si="48"/>
        <v>Cước vận chuyển Container hàng 40' tuyến đường PAN HA - HẢI AN,. BKS: 15H18552</v>
      </c>
      <c r="S727" s="191" t="str">
        <f t="shared" si="49"/>
        <v xml:space="preserve"> hàng 40' </v>
      </c>
      <c r="V727" s="191">
        <v>2</v>
      </c>
    </row>
    <row r="728" spans="1:22" s="191" customFormat="1" ht="15">
      <c r="A728" s="236">
        <v>717</v>
      </c>
      <c r="B728" s="244">
        <v>46122</v>
      </c>
      <c r="C728" s="245" t="s">
        <v>261</v>
      </c>
      <c r="D728" s="246" t="s">
        <v>979</v>
      </c>
      <c r="E728" s="247"/>
      <c r="F728" s="247">
        <v>1</v>
      </c>
      <c r="G728" s="248"/>
      <c r="H728" s="247"/>
      <c r="I728" s="249" t="s">
        <v>335</v>
      </c>
      <c r="J728" s="249" t="s">
        <v>21</v>
      </c>
      <c r="K728" s="249" t="s">
        <v>25</v>
      </c>
      <c r="L728" s="250">
        <f t="shared" si="47"/>
        <v>1</v>
      </c>
      <c r="M728" s="237">
        <f t="array" ref="M728">INDEX('BKTT T4.26'!$N$12:$N$55,MATCH(V728,'BKTT T4.26'!$A$12:$A$55,0),0)</f>
        <v>681050</v>
      </c>
      <c r="N728" s="162">
        <f t="shared" si="46"/>
        <v>681050</v>
      </c>
      <c r="O728" s="238" t="s">
        <v>264</v>
      </c>
      <c r="P728" s="251" t="s">
        <v>1448</v>
      </c>
      <c r="R728" s="191" t="str">
        <f t="shared" si="48"/>
        <v>Cước vận chuyển Container hàng 40' tuyến đường PAN HA - HẢI AN,. BKS: 15H18552</v>
      </c>
      <c r="S728" s="191" t="str">
        <f t="shared" si="49"/>
        <v xml:space="preserve"> hàng 40' </v>
      </c>
      <c r="V728" s="191">
        <v>2</v>
      </c>
    </row>
    <row r="729" spans="1:22" s="191" customFormat="1" ht="15">
      <c r="A729" s="236">
        <v>718</v>
      </c>
      <c r="B729" s="244">
        <v>46122</v>
      </c>
      <c r="C729" s="245" t="s">
        <v>261</v>
      </c>
      <c r="D729" s="246" t="s">
        <v>980</v>
      </c>
      <c r="E729" s="247"/>
      <c r="F729" s="247">
        <v>1</v>
      </c>
      <c r="G729" s="248"/>
      <c r="H729" s="247"/>
      <c r="I729" s="249" t="s">
        <v>274</v>
      </c>
      <c r="J729" s="249" t="s">
        <v>21</v>
      </c>
      <c r="K729" s="249" t="s">
        <v>25</v>
      </c>
      <c r="L729" s="250">
        <f t="shared" si="47"/>
        <v>1</v>
      </c>
      <c r="M729" s="237">
        <f t="array" ref="M729">INDEX('BKTT T4.26'!$N$12:$N$55,MATCH(V729,'BKTT T4.26'!$A$12:$A$55,0),0)</f>
        <v>681050</v>
      </c>
      <c r="N729" s="162">
        <f t="shared" si="46"/>
        <v>681050</v>
      </c>
      <c r="O729" s="238" t="s">
        <v>264</v>
      </c>
      <c r="P729" s="251" t="s">
        <v>1448</v>
      </c>
      <c r="R729" s="191" t="str">
        <f t="shared" si="48"/>
        <v>Cước vận chuyển Container hàng 40' tuyến đường PAN HA - HẢI AN,. BKS: 15H12925</v>
      </c>
      <c r="S729" s="191" t="str">
        <f t="shared" si="49"/>
        <v xml:space="preserve"> hàng 40' </v>
      </c>
      <c r="V729" s="191">
        <v>2</v>
      </c>
    </row>
    <row r="730" spans="1:22" s="191" customFormat="1" ht="15">
      <c r="A730" s="236">
        <v>719</v>
      </c>
      <c r="B730" s="244">
        <v>46122</v>
      </c>
      <c r="C730" s="245" t="s">
        <v>261</v>
      </c>
      <c r="D730" s="246" t="s">
        <v>981</v>
      </c>
      <c r="E730" s="247"/>
      <c r="F730" s="247">
        <v>1</v>
      </c>
      <c r="G730" s="248"/>
      <c r="H730" s="247"/>
      <c r="I730" s="249" t="s">
        <v>274</v>
      </c>
      <c r="J730" s="249" t="s">
        <v>21</v>
      </c>
      <c r="K730" s="249" t="s">
        <v>25</v>
      </c>
      <c r="L730" s="250">
        <f t="shared" si="47"/>
        <v>1</v>
      </c>
      <c r="M730" s="237">
        <f t="array" ref="M730">INDEX('BKTT T4.26'!$N$12:$N$55,MATCH(V730,'BKTT T4.26'!$A$12:$A$55,0),0)</f>
        <v>681050</v>
      </c>
      <c r="N730" s="162">
        <f t="shared" si="46"/>
        <v>681050</v>
      </c>
      <c r="O730" s="238" t="s">
        <v>264</v>
      </c>
      <c r="P730" s="251" t="s">
        <v>1448</v>
      </c>
      <c r="R730" s="191" t="str">
        <f t="shared" si="48"/>
        <v>Cước vận chuyển Container hàng 40' tuyến đường PAN HA - HẢI AN,. BKS: 15H12925</v>
      </c>
      <c r="S730" s="191" t="str">
        <f t="shared" si="49"/>
        <v xml:space="preserve"> hàng 40' </v>
      </c>
      <c r="V730" s="191">
        <v>2</v>
      </c>
    </row>
    <row r="731" spans="1:22" s="191" customFormat="1" ht="15">
      <c r="A731" s="236">
        <v>720</v>
      </c>
      <c r="B731" s="244">
        <v>46122</v>
      </c>
      <c r="C731" s="245" t="s">
        <v>261</v>
      </c>
      <c r="D731" s="246" t="s">
        <v>982</v>
      </c>
      <c r="E731" s="247"/>
      <c r="F731" s="247">
        <v>1</v>
      </c>
      <c r="G731" s="248"/>
      <c r="H731" s="247"/>
      <c r="I731" s="249" t="s">
        <v>274</v>
      </c>
      <c r="J731" s="249" t="s">
        <v>21</v>
      </c>
      <c r="K731" s="249" t="s">
        <v>25</v>
      </c>
      <c r="L731" s="250">
        <f t="shared" si="47"/>
        <v>1</v>
      </c>
      <c r="M731" s="237">
        <f t="array" ref="M731">INDEX('BKTT T4.26'!$N$12:$N$55,MATCH(V731,'BKTT T4.26'!$A$12:$A$55,0),0)</f>
        <v>681050</v>
      </c>
      <c r="N731" s="162">
        <f t="shared" si="46"/>
        <v>681050</v>
      </c>
      <c r="O731" s="238" t="s">
        <v>264</v>
      </c>
      <c r="P731" s="251" t="s">
        <v>1448</v>
      </c>
      <c r="R731" s="191" t="str">
        <f t="shared" si="48"/>
        <v>Cước vận chuyển Container hàng 40' tuyến đường PAN HA - HẢI AN,. BKS: 15H12925</v>
      </c>
      <c r="S731" s="191" t="str">
        <f t="shared" si="49"/>
        <v xml:space="preserve"> hàng 40' </v>
      </c>
      <c r="V731" s="191">
        <v>2</v>
      </c>
    </row>
    <row r="732" spans="1:22" s="191" customFormat="1" ht="15">
      <c r="A732" s="236">
        <v>721</v>
      </c>
      <c r="B732" s="244">
        <v>46122</v>
      </c>
      <c r="C732" s="245" t="s">
        <v>261</v>
      </c>
      <c r="D732" s="246" t="s">
        <v>983</v>
      </c>
      <c r="E732" s="247"/>
      <c r="F732" s="247">
        <v>1</v>
      </c>
      <c r="G732" s="248"/>
      <c r="H732" s="247"/>
      <c r="I732" s="249" t="s">
        <v>743</v>
      </c>
      <c r="J732" s="249" t="s">
        <v>21</v>
      </c>
      <c r="K732" s="249" t="s">
        <v>25</v>
      </c>
      <c r="L732" s="250">
        <f t="shared" si="47"/>
        <v>1</v>
      </c>
      <c r="M732" s="237">
        <f t="array" ref="M732">INDEX('BKTT T4.26'!$N$12:$N$55,MATCH(V732,'BKTT T4.26'!$A$12:$A$55,0),0)</f>
        <v>681050</v>
      </c>
      <c r="N732" s="162">
        <f t="shared" si="46"/>
        <v>681050</v>
      </c>
      <c r="O732" s="238" t="s">
        <v>264</v>
      </c>
      <c r="P732" s="251" t="s">
        <v>1448</v>
      </c>
      <c r="R732" s="191" t="str">
        <f t="shared" si="48"/>
        <v>Cước vận chuyển Container hàng 40' tuyến đường PAN HA - HẢI AN,. BKS: 15H07135</v>
      </c>
      <c r="S732" s="191" t="str">
        <f t="shared" si="49"/>
        <v xml:space="preserve"> hàng 40' </v>
      </c>
      <c r="V732" s="191">
        <v>2</v>
      </c>
    </row>
    <row r="733" spans="1:22" s="191" customFormat="1" ht="15">
      <c r="A733" s="236">
        <v>722</v>
      </c>
      <c r="B733" s="244">
        <v>46122</v>
      </c>
      <c r="C733" s="245" t="s">
        <v>261</v>
      </c>
      <c r="D733" s="246" t="s">
        <v>984</v>
      </c>
      <c r="E733" s="247"/>
      <c r="F733" s="247">
        <v>1</v>
      </c>
      <c r="G733" s="248"/>
      <c r="H733" s="247"/>
      <c r="I733" s="249" t="s">
        <v>743</v>
      </c>
      <c r="J733" s="249" t="s">
        <v>21</v>
      </c>
      <c r="K733" s="249" t="s">
        <v>25</v>
      </c>
      <c r="L733" s="250">
        <f t="shared" si="47"/>
        <v>1</v>
      </c>
      <c r="M733" s="237">
        <f t="array" ref="M733">INDEX('BKTT T4.26'!$N$12:$N$55,MATCH(V733,'BKTT T4.26'!$A$12:$A$55,0),0)</f>
        <v>681050</v>
      </c>
      <c r="N733" s="162">
        <f t="shared" si="46"/>
        <v>681050</v>
      </c>
      <c r="O733" s="238" t="s">
        <v>264</v>
      </c>
      <c r="P733" s="251" t="s">
        <v>1448</v>
      </c>
      <c r="R733" s="191" t="str">
        <f t="shared" si="48"/>
        <v>Cước vận chuyển Container hàng 40' tuyến đường PAN HA - HẢI AN,. BKS: 15H07135</v>
      </c>
      <c r="S733" s="191" t="str">
        <f t="shared" si="49"/>
        <v xml:space="preserve"> hàng 40' </v>
      </c>
      <c r="V733" s="191">
        <v>2</v>
      </c>
    </row>
    <row r="734" spans="1:22" s="191" customFormat="1" ht="15">
      <c r="A734" s="236">
        <v>723</v>
      </c>
      <c r="B734" s="244">
        <v>46122</v>
      </c>
      <c r="C734" s="245" t="s">
        <v>261</v>
      </c>
      <c r="D734" s="246" t="s">
        <v>985</v>
      </c>
      <c r="E734" s="247">
        <v>1</v>
      </c>
      <c r="F734" s="247"/>
      <c r="G734" s="248"/>
      <c r="H734" s="247"/>
      <c r="I734" s="249" t="s">
        <v>472</v>
      </c>
      <c r="J734" s="249" t="s">
        <v>21</v>
      </c>
      <c r="K734" s="249" t="s">
        <v>22</v>
      </c>
      <c r="L734" s="250">
        <f t="shared" si="47"/>
        <v>1</v>
      </c>
      <c r="M734" s="237">
        <f t="array" ref="M734">INDEX('BKTT T4.26'!$N$12:$N$55,MATCH(V734,'BKTT T4.26'!$A$12:$A$55,0),0)</f>
        <v>654871</v>
      </c>
      <c r="N734" s="162">
        <f t="shared" si="46"/>
        <v>654871</v>
      </c>
      <c r="O734" s="238" t="s">
        <v>264</v>
      </c>
      <c r="P734" s="251" t="s">
        <v>1448</v>
      </c>
      <c r="R734" s="191" t="str">
        <f t="shared" si="48"/>
        <v>Cước vận chuyển Container hàng 20' tuyến đường PAN HA - HẢI AN. BKS: 15H08574</v>
      </c>
      <c r="S734" s="191" t="str">
        <f t="shared" si="49"/>
        <v xml:space="preserve"> hàng 20' </v>
      </c>
      <c r="V734" s="191">
        <v>1</v>
      </c>
    </row>
    <row r="735" spans="1:22" s="191" customFormat="1" ht="15">
      <c r="A735" s="236">
        <v>724</v>
      </c>
      <c r="B735" s="244">
        <v>46122</v>
      </c>
      <c r="C735" s="245" t="s">
        <v>261</v>
      </c>
      <c r="D735" s="246" t="s">
        <v>986</v>
      </c>
      <c r="E735" s="247">
        <v>1</v>
      </c>
      <c r="F735" s="247"/>
      <c r="G735" s="248"/>
      <c r="H735" s="247"/>
      <c r="I735" s="249" t="s">
        <v>472</v>
      </c>
      <c r="J735" s="249" t="s">
        <v>21</v>
      </c>
      <c r="K735" s="249" t="s">
        <v>22</v>
      </c>
      <c r="L735" s="250">
        <f t="shared" si="47"/>
        <v>1</v>
      </c>
      <c r="M735" s="237">
        <f t="array" ref="M735">INDEX('BKTT T4.26'!$N$12:$N$55,MATCH(V735,'BKTT T4.26'!$A$12:$A$55,0),0)</f>
        <v>654871</v>
      </c>
      <c r="N735" s="162">
        <f t="shared" si="46"/>
        <v>654871</v>
      </c>
      <c r="O735" s="238" t="s">
        <v>264</v>
      </c>
      <c r="P735" s="251" t="s">
        <v>1448</v>
      </c>
      <c r="R735" s="191" t="str">
        <f t="shared" si="48"/>
        <v>Cước vận chuyển Container hàng 20' tuyến đường PAN HA - HẢI AN. BKS: 15H08574</v>
      </c>
      <c r="S735" s="191" t="str">
        <f t="shared" si="49"/>
        <v xml:space="preserve"> hàng 20' </v>
      </c>
      <c r="V735" s="191">
        <v>1</v>
      </c>
    </row>
    <row r="736" spans="1:22" s="191" customFormat="1" ht="15">
      <c r="A736" s="236">
        <v>725</v>
      </c>
      <c r="B736" s="244">
        <v>46122</v>
      </c>
      <c r="C736" s="245" t="s">
        <v>261</v>
      </c>
      <c r="D736" s="246" t="s">
        <v>987</v>
      </c>
      <c r="E736" s="247">
        <v>1</v>
      </c>
      <c r="F736" s="247"/>
      <c r="G736" s="248"/>
      <c r="H736" s="247"/>
      <c r="I736" s="249" t="s">
        <v>472</v>
      </c>
      <c r="J736" s="249" t="s">
        <v>21</v>
      </c>
      <c r="K736" s="249" t="s">
        <v>22</v>
      </c>
      <c r="L736" s="250">
        <f t="shared" si="47"/>
        <v>1</v>
      </c>
      <c r="M736" s="237">
        <f t="array" ref="M736">INDEX('BKTT T4.26'!$N$12:$N$55,MATCH(V736,'BKTT T4.26'!$A$12:$A$55,0),0)</f>
        <v>654871</v>
      </c>
      <c r="N736" s="162">
        <f t="shared" si="46"/>
        <v>654871</v>
      </c>
      <c r="O736" s="238" t="s">
        <v>264</v>
      </c>
      <c r="P736" s="251" t="s">
        <v>1448</v>
      </c>
      <c r="R736" s="191" t="str">
        <f t="shared" si="48"/>
        <v>Cước vận chuyển Container hàng 20' tuyến đường PAN HA - HẢI AN. BKS: 15H08574</v>
      </c>
      <c r="S736" s="191" t="str">
        <f t="shared" si="49"/>
        <v xml:space="preserve"> hàng 20' </v>
      </c>
      <c r="V736" s="191">
        <v>1</v>
      </c>
    </row>
    <row r="737" spans="1:22" s="191" customFormat="1" ht="15">
      <c r="A737" s="236">
        <v>726</v>
      </c>
      <c r="B737" s="244">
        <v>46122</v>
      </c>
      <c r="C737" s="245" t="s">
        <v>261</v>
      </c>
      <c r="D737" s="246" t="s">
        <v>988</v>
      </c>
      <c r="E737" s="247">
        <v>1</v>
      </c>
      <c r="F737" s="247"/>
      <c r="G737" s="248"/>
      <c r="H737" s="247"/>
      <c r="I737" s="249" t="s">
        <v>472</v>
      </c>
      <c r="J737" s="249" t="s">
        <v>21</v>
      </c>
      <c r="K737" s="249" t="s">
        <v>22</v>
      </c>
      <c r="L737" s="250">
        <f t="shared" si="47"/>
        <v>1</v>
      </c>
      <c r="M737" s="237">
        <f t="array" ref="M737">INDEX('BKTT T4.26'!$N$12:$N$55,MATCH(V737,'BKTT T4.26'!$A$12:$A$55,0),0)</f>
        <v>654871</v>
      </c>
      <c r="N737" s="162">
        <f t="shared" si="46"/>
        <v>654871</v>
      </c>
      <c r="O737" s="238" t="s">
        <v>264</v>
      </c>
      <c r="P737" s="251" t="s">
        <v>1448</v>
      </c>
      <c r="R737" s="191" t="str">
        <f t="shared" si="48"/>
        <v>Cước vận chuyển Container hàng 20' tuyến đường PAN HA - HẢI AN. BKS: 15H08574</v>
      </c>
      <c r="S737" s="191" t="str">
        <f t="shared" si="49"/>
        <v xml:space="preserve"> hàng 20' </v>
      </c>
      <c r="V737" s="191">
        <v>1</v>
      </c>
    </row>
    <row r="738" spans="1:22" s="191" customFormat="1" ht="15">
      <c r="A738" s="236">
        <v>727</v>
      </c>
      <c r="B738" s="244">
        <v>46122</v>
      </c>
      <c r="C738" s="245" t="s">
        <v>261</v>
      </c>
      <c r="D738" s="246" t="s">
        <v>989</v>
      </c>
      <c r="E738" s="247">
        <v>1</v>
      </c>
      <c r="F738" s="247"/>
      <c r="G738" s="248"/>
      <c r="H738" s="247"/>
      <c r="I738" s="249" t="s">
        <v>472</v>
      </c>
      <c r="J738" s="249" t="s">
        <v>21</v>
      </c>
      <c r="K738" s="249" t="s">
        <v>22</v>
      </c>
      <c r="L738" s="250">
        <f t="shared" si="47"/>
        <v>1</v>
      </c>
      <c r="M738" s="237">
        <f t="array" ref="M738">INDEX('BKTT T4.26'!$N$12:$N$55,MATCH(V738,'BKTT T4.26'!$A$12:$A$55,0),0)</f>
        <v>654871</v>
      </c>
      <c r="N738" s="162">
        <f t="shared" ref="N738:N801" si="50">L738*M738</f>
        <v>654871</v>
      </c>
      <c r="O738" s="238" t="s">
        <v>264</v>
      </c>
      <c r="P738" s="251" t="s">
        <v>1448</v>
      </c>
      <c r="R738" s="191" t="str">
        <f t="shared" si="48"/>
        <v>Cước vận chuyển Container hàng 20' tuyến đường PAN HA - HẢI AN. BKS: 15H08574</v>
      </c>
      <c r="S738" s="191" t="str">
        <f t="shared" si="49"/>
        <v xml:space="preserve"> hàng 20' </v>
      </c>
      <c r="V738" s="191">
        <v>1</v>
      </c>
    </row>
    <row r="739" spans="1:22" s="191" customFormat="1" ht="15">
      <c r="A739" s="236">
        <v>728</v>
      </c>
      <c r="B739" s="244">
        <v>46122</v>
      </c>
      <c r="C739" s="245" t="s">
        <v>261</v>
      </c>
      <c r="D739" s="246" t="s">
        <v>990</v>
      </c>
      <c r="E739" s="247">
        <v>1</v>
      </c>
      <c r="F739" s="247"/>
      <c r="G739" s="248"/>
      <c r="H739" s="247"/>
      <c r="I739" s="249" t="s">
        <v>472</v>
      </c>
      <c r="J739" s="249" t="s">
        <v>21</v>
      </c>
      <c r="K739" s="249" t="s">
        <v>22</v>
      </c>
      <c r="L739" s="250">
        <f t="shared" si="47"/>
        <v>1</v>
      </c>
      <c r="M739" s="237">
        <f t="array" ref="M739">INDEX('BKTT T4.26'!$N$12:$N$55,MATCH(V739,'BKTT T4.26'!$A$12:$A$55,0),0)</f>
        <v>654871</v>
      </c>
      <c r="N739" s="162">
        <f t="shared" si="50"/>
        <v>654871</v>
      </c>
      <c r="O739" s="238" t="s">
        <v>264</v>
      </c>
      <c r="P739" s="251" t="s">
        <v>1448</v>
      </c>
      <c r="R739" s="191" t="str">
        <f t="shared" si="48"/>
        <v>Cước vận chuyển Container hàng 20' tuyến đường PAN HA - HẢI AN. BKS: 15H08574</v>
      </c>
      <c r="S739" s="191" t="str">
        <f t="shared" si="49"/>
        <v xml:space="preserve"> hàng 20' </v>
      </c>
      <c r="V739" s="191">
        <v>1</v>
      </c>
    </row>
    <row r="740" spans="1:22" s="191" customFormat="1" ht="15">
      <c r="A740" s="236">
        <v>729</v>
      </c>
      <c r="B740" s="244">
        <v>46122</v>
      </c>
      <c r="C740" s="245" t="s">
        <v>261</v>
      </c>
      <c r="D740" s="246" t="s">
        <v>991</v>
      </c>
      <c r="E740" s="247">
        <v>1</v>
      </c>
      <c r="F740" s="247"/>
      <c r="G740" s="248"/>
      <c r="H740" s="247"/>
      <c r="I740" s="249" t="s">
        <v>472</v>
      </c>
      <c r="J740" s="249" t="s">
        <v>21</v>
      </c>
      <c r="K740" s="249" t="s">
        <v>22</v>
      </c>
      <c r="L740" s="250">
        <f t="shared" si="47"/>
        <v>1</v>
      </c>
      <c r="M740" s="237">
        <f t="array" ref="M740">INDEX('BKTT T4.26'!$N$12:$N$55,MATCH(V740,'BKTT T4.26'!$A$12:$A$55,0),0)</f>
        <v>654871</v>
      </c>
      <c r="N740" s="162">
        <f t="shared" si="50"/>
        <v>654871</v>
      </c>
      <c r="O740" s="238" t="s">
        <v>264</v>
      </c>
      <c r="P740" s="251" t="s">
        <v>1448</v>
      </c>
      <c r="R740" s="191" t="str">
        <f t="shared" si="48"/>
        <v>Cước vận chuyển Container hàng 20' tuyến đường PAN HA - HẢI AN. BKS: 15H08574</v>
      </c>
      <c r="S740" s="191" t="str">
        <f t="shared" si="49"/>
        <v xml:space="preserve"> hàng 20' </v>
      </c>
      <c r="V740" s="191">
        <v>1</v>
      </c>
    </row>
    <row r="741" spans="1:22" s="191" customFormat="1" ht="15">
      <c r="A741" s="236">
        <v>730</v>
      </c>
      <c r="B741" s="244">
        <v>46122</v>
      </c>
      <c r="C741" s="245" t="s">
        <v>261</v>
      </c>
      <c r="D741" s="246" t="s">
        <v>992</v>
      </c>
      <c r="E741" s="247">
        <v>1</v>
      </c>
      <c r="F741" s="247"/>
      <c r="G741" s="248"/>
      <c r="H741" s="247"/>
      <c r="I741" s="249" t="s">
        <v>472</v>
      </c>
      <c r="J741" s="249" t="s">
        <v>21</v>
      </c>
      <c r="K741" s="249" t="s">
        <v>22</v>
      </c>
      <c r="L741" s="250">
        <f t="shared" si="47"/>
        <v>1</v>
      </c>
      <c r="M741" s="237">
        <f t="array" ref="M741">INDEX('BKTT T4.26'!$N$12:$N$55,MATCH(V741,'BKTT T4.26'!$A$12:$A$55,0),0)</f>
        <v>654871</v>
      </c>
      <c r="N741" s="162">
        <f t="shared" si="50"/>
        <v>654871</v>
      </c>
      <c r="O741" s="238" t="s">
        <v>264</v>
      </c>
      <c r="P741" s="251" t="s">
        <v>1448</v>
      </c>
      <c r="R741" s="191" t="str">
        <f t="shared" si="48"/>
        <v>Cước vận chuyển Container hàng 20' tuyến đường PAN HA - HẢI AN. BKS: 15H08574</v>
      </c>
      <c r="S741" s="191" t="str">
        <f t="shared" si="49"/>
        <v xml:space="preserve"> hàng 20' </v>
      </c>
      <c r="V741" s="191">
        <v>1</v>
      </c>
    </row>
    <row r="742" spans="1:22" s="191" customFormat="1" ht="15">
      <c r="A742" s="236">
        <v>731</v>
      </c>
      <c r="B742" s="244">
        <v>46121</v>
      </c>
      <c r="C742" s="245" t="s">
        <v>261</v>
      </c>
      <c r="D742" s="246" t="s">
        <v>993</v>
      </c>
      <c r="E742" s="247">
        <v>1</v>
      </c>
      <c r="F742" s="247"/>
      <c r="G742" s="248"/>
      <c r="H742" s="247"/>
      <c r="I742" s="249" t="s">
        <v>272</v>
      </c>
      <c r="J742" s="249" t="s">
        <v>21</v>
      </c>
      <c r="K742" s="249" t="s">
        <v>22</v>
      </c>
      <c r="L742" s="250">
        <f t="shared" si="47"/>
        <v>1</v>
      </c>
      <c r="M742" s="237">
        <f t="array" ref="M742">INDEX('BKTT T4.26'!$N$12:$N$55,MATCH(V742,'BKTT T4.26'!$A$12:$A$55,0),0)</f>
        <v>654871</v>
      </c>
      <c r="N742" s="162">
        <f t="shared" si="50"/>
        <v>654871</v>
      </c>
      <c r="O742" s="238" t="s">
        <v>264</v>
      </c>
      <c r="P742" s="251" t="s">
        <v>1448</v>
      </c>
      <c r="R742" s="191" t="str">
        <f t="shared" si="48"/>
        <v>Cước vận chuyển Container hàng 20' tuyến đường PAN HA - HẢI AN. BKS: 15H07788</v>
      </c>
      <c r="S742" s="191" t="str">
        <f t="shared" si="49"/>
        <v xml:space="preserve"> hàng 20' </v>
      </c>
      <c r="V742" s="191">
        <v>1</v>
      </c>
    </row>
    <row r="743" spans="1:22" s="191" customFormat="1" ht="15">
      <c r="A743" s="236">
        <v>732</v>
      </c>
      <c r="B743" s="244">
        <v>46121</v>
      </c>
      <c r="C743" s="245" t="s">
        <v>261</v>
      </c>
      <c r="D743" s="246" t="s">
        <v>994</v>
      </c>
      <c r="E743" s="247">
        <v>1</v>
      </c>
      <c r="F743" s="247"/>
      <c r="G743" s="248"/>
      <c r="H743" s="247"/>
      <c r="I743" s="249" t="s">
        <v>272</v>
      </c>
      <c r="J743" s="249" t="s">
        <v>21</v>
      </c>
      <c r="K743" s="249" t="s">
        <v>22</v>
      </c>
      <c r="L743" s="250">
        <f t="shared" si="47"/>
        <v>1</v>
      </c>
      <c r="M743" s="237">
        <f t="array" ref="M743">INDEX('BKTT T4.26'!$N$12:$N$55,MATCH(V743,'BKTT T4.26'!$A$12:$A$55,0),0)</f>
        <v>654871</v>
      </c>
      <c r="N743" s="162">
        <f t="shared" si="50"/>
        <v>654871</v>
      </c>
      <c r="O743" s="238" t="s">
        <v>264</v>
      </c>
      <c r="P743" s="251" t="s">
        <v>1448</v>
      </c>
      <c r="R743" s="191" t="str">
        <f t="shared" si="48"/>
        <v>Cước vận chuyển Container hàng 20' tuyến đường PAN HA - HẢI AN. BKS: 15H07788</v>
      </c>
      <c r="S743" s="191" t="str">
        <f t="shared" si="49"/>
        <v xml:space="preserve"> hàng 20' </v>
      </c>
      <c r="V743" s="191">
        <v>1</v>
      </c>
    </row>
    <row r="744" spans="1:22" s="191" customFormat="1" ht="15">
      <c r="A744" s="236">
        <v>733</v>
      </c>
      <c r="B744" s="244">
        <v>46121</v>
      </c>
      <c r="C744" s="245" t="s">
        <v>261</v>
      </c>
      <c r="D744" s="246" t="s">
        <v>995</v>
      </c>
      <c r="E744" s="247">
        <v>1</v>
      </c>
      <c r="F744" s="247"/>
      <c r="G744" s="248"/>
      <c r="H744" s="247"/>
      <c r="I744" s="249" t="s">
        <v>272</v>
      </c>
      <c r="J744" s="249" t="s">
        <v>21</v>
      </c>
      <c r="K744" s="249" t="s">
        <v>22</v>
      </c>
      <c r="L744" s="250">
        <f t="shared" si="47"/>
        <v>1</v>
      </c>
      <c r="M744" s="237">
        <f t="array" ref="M744">INDEX('BKTT T4.26'!$N$12:$N$55,MATCH(V744,'BKTT T4.26'!$A$12:$A$55,0),0)</f>
        <v>654871</v>
      </c>
      <c r="N744" s="162">
        <f t="shared" si="50"/>
        <v>654871</v>
      </c>
      <c r="O744" s="238" t="s">
        <v>264</v>
      </c>
      <c r="P744" s="251" t="s">
        <v>1448</v>
      </c>
      <c r="R744" s="191" t="str">
        <f t="shared" si="48"/>
        <v>Cước vận chuyển Container hàng 20' tuyến đường PAN HA - HẢI AN. BKS: 15H07788</v>
      </c>
      <c r="S744" s="191" t="str">
        <f t="shared" si="49"/>
        <v xml:space="preserve"> hàng 20' </v>
      </c>
      <c r="V744" s="191">
        <v>1</v>
      </c>
    </row>
    <row r="745" spans="1:22" s="191" customFormat="1" ht="15">
      <c r="A745" s="236">
        <v>734</v>
      </c>
      <c r="B745" s="244">
        <v>46121</v>
      </c>
      <c r="C745" s="245" t="s">
        <v>261</v>
      </c>
      <c r="D745" s="246" t="s">
        <v>996</v>
      </c>
      <c r="E745" s="247">
        <v>1</v>
      </c>
      <c r="F745" s="247"/>
      <c r="G745" s="248"/>
      <c r="H745" s="247"/>
      <c r="I745" s="249" t="s">
        <v>272</v>
      </c>
      <c r="J745" s="249" t="s">
        <v>21</v>
      </c>
      <c r="K745" s="249" t="s">
        <v>22</v>
      </c>
      <c r="L745" s="250">
        <f t="shared" si="47"/>
        <v>1</v>
      </c>
      <c r="M745" s="237">
        <f t="array" ref="M745">INDEX('BKTT T4.26'!$N$12:$N$55,MATCH(V745,'BKTT T4.26'!$A$12:$A$55,0),0)</f>
        <v>654871</v>
      </c>
      <c r="N745" s="162">
        <f t="shared" si="50"/>
        <v>654871</v>
      </c>
      <c r="O745" s="238" t="s">
        <v>264</v>
      </c>
      <c r="P745" s="251" t="s">
        <v>1448</v>
      </c>
      <c r="R745" s="191" t="str">
        <f t="shared" si="48"/>
        <v>Cước vận chuyển Container hàng 20' tuyến đường PAN HA - HẢI AN. BKS: 15H07788</v>
      </c>
      <c r="S745" s="191" t="str">
        <f t="shared" si="49"/>
        <v xml:space="preserve"> hàng 20' </v>
      </c>
      <c r="V745" s="191">
        <v>1</v>
      </c>
    </row>
    <row r="746" spans="1:22" s="191" customFormat="1" ht="15">
      <c r="A746" s="236">
        <v>735</v>
      </c>
      <c r="B746" s="244">
        <v>46121</v>
      </c>
      <c r="C746" s="245" t="s">
        <v>261</v>
      </c>
      <c r="D746" s="246" t="s">
        <v>997</v>
      </c>
      <c r="E746" s="247"/>
      <c r="F746" s="247">
        <v>1</v>
      </c>
      <c r="G746" s="248"/>
      <c r="H746" s="247"/>
      <c r="I746" s="249" t="s">
        <v>272</v>
      </c>
      <c r="J746" s="249" t="s">
        <v>21</v>
      </c>
      <c r="K746" s="249" t="s">
        <v>25</v>
      </c>
      <c r="L746" s="250">
        <f t="shared" si="47"/>
        <v>1</v>
      </c>
      <c r="M746" s="237">
        <f t="array" ref="M746">INDEX('BKTT T4.26'!$N$12:$N$55,MATCH(V746,'BKTT T4.26'!$A$12:$A$55,0),0)</f>
        <v>681050</v>
      </c>
      <c r="N746" s="162">
        <f t="shared" si="50"/>
        <v>681050</v>
      </c>
      <c r="O746" s="238" t="s">
        <v>264</v>
      </c>
      <c r="P746" s="251" t="s">
        <v>1448</v>
      </c>
      <c r="R746" s="191" t="str">
        <f t="shared" si="48"/>
        <v>Cước vận chuyển Container hàng 40' tuyến đường PAN HA - HẢI AN,. BKS: 15H07788</v>
      </c>
      <c r="S746" s="191" t="str">
        <f t="shared" si="49"/>
        <v xml:space="preserve"> hàng 40' </v>
      </c>
      <c r="V746" s="191">
        <v>2</v>
      </c>
    </row>
    <row r="747" spans="1:22" s="191" customFormat="1" ht="15">
      <c r="A747" s="236">
        <v>736</v>
      </c>
      <c r="B747" s="244">
        <v>46121</v>
      </c>
      <c r="C747" s="245" t="s">
        <v>261</v>
      </c>
      <c r="D747" s="246" t="s">
        <v>998</v>
      </c>
      <c r="E747" s="247"/>
      <c r="F747" s="247">
        <v>1</v>
      </c>
      <c r="G747" s="248"/>
      <c r="H747" s="247"/>
      <c r="I747" s="249" t="s">
        <v>272</v>
      </c>
      <c r="J747" s="249" t="s">
        <v>21</v>
      </c>
      <c r="K747" s="249" t="s">
        <v>25</v>
      </c>
      <c r="L747" s="250">
        <f t="shared" si="47"/>
        <v>1</v>
      </c>
      <c r="M747" s="237">
        <f t="array" ref="M747">INDEX('BKTT T4.26'!$N$12:$N$55,MATCH(V747,'BKTT T4.26'!$A$12:$A$55,0),0)</f>
        <v>681050</v>
      </c>
      <c r="N747" s="162">
        <f t="shared" si="50"/>
        <v>681050</v>
      </c>
      <c r="O747" s="238" t="s">
        <v>264</v>
      </c>
      <c r="P747" s="251" t="s">
        <v>1448</v>
      </c>
      <c r="R747" s="191" t="str">
        <f t="shared" si="48"/>
        <v>Cước vận chuyển Container hàng 40' tuyến đường PAN HA - HẢI AN,. BKS: 15H07788</v>
      </c>
      <c r="S747" s="191" t="str">
        <f t="shared" si="49"/>
        <v xml:space="preserve"> hàng 40' </v>
      </c>
      <c r="V747" s="191">
        <v>2</v>
      </c>
    </row>
    <row r="748" spans="1:22" s="191" customFormat="1" ht="15">
      <c r="A748" s="236">
        <v>737</v>
      </c>
      <c r="B748" s="244">
        <v>46122</v>
      </c>
      <c r="C748" s="245" t="s">
        <v>261</v>
      </c>
      <c r="D748" s="246" t="s">
        <v>999</v>
      </c>
      <c r="E748" s="247">
        <v>1</v>
      </c>
      <c r="F748" s="247"/>
      <c r="G748" s="248"/>
      <c r="H748" s="247"/>
      <c r="I748" s="249" t="s">
        <v>272</v>
      </c>
      <c r="J748" s="249" t="s">
        <v>21</v>
      </c>
      <c r="K748" s="249" t="s">
        <v>22</v>
      </c>
      <c r="L748" s="250">
        <f t="shared" si="47"/>
        <v>1</v>
      </c>
      <c r="M748" s="237">
        <f t="array" ref="M748">INDEX('BKTT T4.26'!$N$12:$N$55,MATCH(V748,'BKTT T4.26'!$A$12:$A$55,0),0)</f>
        <v>654871</v>
      </c>
      <c r="N748" s="162">
        <f t="shared" si="50"/>
        <v>654871</v>
      </c>
      <c r="O748" s="238" t="s">
        <v>264</v>
      </c>
      <c r="P748" s="251" t="s">
        <v>1448</v>
      </c>
      <c r="R748" s="191" t="str">
        <f t="shared" si="48"/>
        <v>Cước vận chuyển Container hàng 20' tuyến đường PAN HA - HẢI AN. BKS: 15H07788</v>
      </c>
      <c r="S748" s="191" t="str">
        <f t="shared" si="49"/>
        <v xml:space="preserve"> hàng 20' </v>
      </c>
      <c r="V748" s="191">
        <v>1</v>
      </c>
    </row>
    <row r="749" spans="1:22" s="191" customFormat="1" ht="15">
      <c r="A749" s="236">
        <v>738</v>
      </c>
      <c r="B749" s="244">
        <v>46122</v>
      </c>
      <c r="C749" s="245" t="s">
        <v>261</v>
      </c>
      <c r="D749" s="246" t="s">
        <v>1000</v>
      </c>
      <c r="E749" s="247">
        <v>1</v>
      </c>
      <c r="F749" s="247"/>
      <c r="G749" s="248"/>
      <c r="H749" s="247"/>
      <c r="I749" s="249" t="s">
        <v>272</v>
      </c>
      <c r="J749" s="249" t="s">
        <v>21</v>
      </c>
      <c r="K749" s="249" t="s">
        <v>22</v>
      </c>
      <c r="L749" s="250">
        <f t="shared" si="47"/>
        <v>1</v>
      </c>
      <c r="M749" s="237">
        <f t="array" ref="M749">INDEX('BKTT T4.26'!$N$12:$N$55,MATCH(V749,'BKTT T4.26'!$A$12:$A$55,0),0)</f>
        <v>654871</v>
      </c>
      <c r="N749" s="162">
        <f t="shared" si="50"/>
        <v>654871</v>
      </c>
      <c r="O749" s="238" t="s">
        <v>264</v>
      </c>
      <c r="P749" s="251" t="s">
        <v>1448</v>
      </c>
      <c r="R749" s="191" t="str">
        <f t="shared" si="48"/>
        <v>Cước vận chuyển Container hàng 20' tuyến đường PAN HA - HẢI AN. BKS: 15H07788</v>
      </c>
      <c r="S749" s="191" t="str">
        <f t="shared" si="49"/>
        <v xml:space="preserve"> hàng 20' </v>
      </c>
      <c r="V749" s="191">
        <v>1</v>
      </c>
    </row>
    <row r="750" spans="1:22" s="283" customFormat="1" ht="15">
      <c r="A750" s="236">
        <v>739</v>
      </c>
      <c r="B750" s="272">
        <v>46122</v>
      </c>
      <c r="C750" s="273" t="s">
        <v>261</v>
      </c>
      <c r="D750" s="285" t="s">
        <v>1470</v>
      </c>
      <c r="E750" s="275">
        <v>1</v>
      </c>
      <c r="F750" s="275"/>
      <c r="G750" s="276"/>
      <c r="H750" s="275"/>
      <c r="I750" s="277" t="s">
        <v>272</v>
      </c>
      <c r="J750" s="249" t="s">
        <v>21</v>
      </c>
      <c r="K750" s="277" t="s">
        <v>22</v>
      </c>
      <c r="L750" s="278">
        <f t="shared" si="47"/>
        <v>1</v>
      </c>
      <c r="M750" s="279">
        <f t="array" ref="M750">INDEX('BKTT T4.26'!$N$12:$N$55,MATCH(V750,'BKTT T4.26'!$A$12:$A$55,0),0)</f>
        <v>654871</v>
      </c>
      <c r="N750" s="280">
        <f t="shared" si="50"/>
        <v>654871</v>
      </c>
      <c r="O750" s="281" t="s">
        <v>264</v>
      </c>
      <c r="P750" s="282" t="s">
        <v>1447</v>
      </c>
      <c r="R750" s="283" t="str">
        <f t="shared" si="48"/>
        <v>Cước vận chuyển Container hàng 20' tuyến đường PAN HA - HẢI AN. BKS: 15H07788</v>
      </c>
      <c r="S750" s="283" t="str">
        <f t="shared" si="49"/>
        <v xml:space="preserve"> hàng 20' </v>
      </c>
      <c r="V750" s="191">
        <v>1</v>
      </c>
    </row>
    <row r="751" spans="1:22" s="191" customFormat="1" ht="15">
      <c r="A751" s="236">
        <v>740</v>
      </c>
      <c r="B751" s="244">
        <v>46122</v>
      </c>
      <c r="C751" s="245" t="s">
        <v>261</v>
      </c>
      <c r="D751" s="246" t="s">
        <v>1001</v>
      </c>
      <c r="E751" s="247">
        <v>1</v>
      </c>
      <c r="F751" s="247"/>
      <c r="G751" s="248"/>
      <c r="H751" s="247"/>
      <c r="I751" s="249" t="s">
        <v>272</v>
      </c>
      <c r="J751" s="249" t="s">
        <v>21</v>
      </c>
      <c r="K751" s="249" t="s">
        <v>22</v>
      </c>
      <c r="L751" s="250">
        <f t="shared" si="47"/>
        <v>1</v>
      </c>
      <c r="M751" s="237">
        <f t="array" ref="M751">INDEX('BKTT T4.26'!$N$12:$N$55,MATCH(V751,'BKTT T4.26'!$A$12:$A$55,0),0)</f>
        <v>654871</v>
      </c>
      <c r="N751" s="162">
        <f t="shared" si="50"/>
        <v>654871</v>
      </c>
      <c r="O751" s="238" t="s">
        <v>264</v>
      </c>
      <c r="P751" s="251" t="s">
        <v>1448</v>
      </c>
      <c r="R751" s="191" t="str">
        <f t="shared" si="48"/>
        <v>Cước vận chuyển Container hàng 20' tuyến đường PAN HA - HẢI AN. BKS: 15H07788</v>
      </c>
      <c r="S751" s="191" t="str">
        <f t="shared" si="49"/>
        <v xml:space="preserve"> hàng 20' </v>
      </c>
      <c r="V751" s="191">
        <v>1</v>
      </c>
    </row>
    <row r="752" spans="1:22" s="191" customFormat="1" ht="15">
      <c r="A752" s="236">
        <v>741</v>
      </c>
      <c r="B752" s="244">
        <v>46123</v>
      </c>
      <c r="C752" s="245" t="s">
        <v>261</v>
      </c>
      <c r="D752" s="246" t="s">
        <v>1002</v>
      </c>
      <c r="E752" s="247"/>
      <c r="F752" s="247"/>
      <c r="G752" s="248"/>
      <c r="H752" s="247">
        <v>1</v>
      </c>
      <c r="I752" s="249" t="s">
        <v>272</v>
      </c>
      <c r="J752" s="249" t="s">
        <v>38</v>
      </c>
      <c r="K752" s="249" t="s">
        <v>21</v>
      </c>
      <c r="L752" s="250">
        <f t="shared" si="47"/>
        <v>1</v>
      </c>
      <c r="M752" s="237">
        <f t="array" ref="M752">INDEX('BKTT T4.26'!$N$12:$N$55,MATCH(V752,'BKTT T4.26'!$A$12:$A$55,0),0)</f>
        <v>585057</v>
      </c>
      <c r="N752" s="162">
        <f t="shared" si="50"/>
        <v>585057</v>
      </c>
      <c r="O752" s="238" t="s">
        <v>267</v>
      </c>
      <c r="P752" s="251" t="s">
        <v>1448</v>
      </c>
      <c r="R752" s="191" t="str">
        <f t="shared" si="48"/>
        <v>Cước vận chuyển Container vỏ tuyến đường NHĐV. - PAN HA. BKS: 15H07788</v>
      </c>
      <c r="S752" s="191" t="str">
        <f t="shared" si="49"/>
        <v xml:space="preserve"> vỏ </v>
      </c>
      <c r="V752" s="191">
        <v>16</v>
      </c>
    </row>
    <row r="753" spans="1:22" s="191" customFormat="1" ht="15">
      <c r="A753" s="236">
        <v>742</v>
      </c>
      <c r="B753" s="244">
        <v>46122</v>
      </c>
      <c r="C753" s="245" t="s">
        <v>261</v>
      </c>
      <c r="D753" s="246" t="s">
        <v>1003</v>
      </c>
      <c r="E753" s="247"/>
      <c r="F753" s="247">
        <v>1</v>
      </c>
      <c r="G753" s="248"/>
      <c r="H753" s="247"/>
      <c r="I753" s="249" t="s">
        <v>541</v>
      </c>
      <c r="J753" s="249" t="s">
        <v>21</v>
      </c>
      <c r="K753" s="249" t="s">
        <v>25</v>
      </c>
      <c r="L753" s="250">
        <f t="shared" si="47"/>
        <v>1</v>
      </c>
      <c r="M753" s="237">
        <f t="array" ref="M753">INDEX('BKTT T4.26'!$N$12:$N$55,MATCH(V753,'BKTT T4.26'!$A$12:$A$55,0),0)</f>
        <v>681050</v>
      </c>
      <c r="N753" s="162">
        <f t="shared" si="50"/>
        <v>681050</v>
      </c>
      <c r="O753" s="238" t="s">
        <v>264</v>
      </c>
      <c r="P753" s="251" t="s">
        <v>1448</v>
      </c>
      <c r="R753" s="191" t="str">
        <f t="shared" si="48"/>
        <v>Cước vận chuyển Container hàng 40' tuyến đường PAN HA - HẢI AN,. BKS: 15H17403</v>
      </c>
      <c r="S753" s="191" t="str">
        <f t="shared" si="49"/>
        <v xml:space="preserve"> hàng 40' </v>
      </c>
      <c r="V753" s="191">
        <v>2</v>
      </c>
    </row>
    <row r="754" spans="1:22" s="191" customFormat="1" ht="15">
      <c r="A754" s="236">
        <v>743</v>
      </c>
      <c r="B754" s="244">
        <v>46122</v>
      </c>
      <c r="C754" s="245" t="s">
        <v>261</v>
      </c>
      <c r="D754" s="246" t="s">
        <v>1004</v>
      </c>
      <c r="E754" s="247"/>
      <c r="F754" s="247">
        <v>1</v>
      </c>
      <c r="G754" s="248"/>
      <c r="H754" s="247"/>
      <c r="I754" s="249" t="s">
        <v>541</v>
      </c>
      <c r="J754" s="249" t="s">
        <v>21</v>
      </c>
      <c r="K754" s="249" t="s">
        <v>25</v>
      </c>
      <c r="L754" s="250">
        <f t="shared" si="47"/>
        <v>1</v>
      </c>
      <c r="M754" s="237">
        <f t="array" ref="M754">INDEX('BKTT T4.26'!$N$12:$N$55,MATCH(V754,'BKTT T4.26'!$A$12:$A$55,0),0)</f>
        <v>681050</v>
      </c>
      <c r="N754" s="162">
        <f t="shared" si="50"/>
        <v>681050</v>
      </c>
      <c r="O754" s="238" t="s">
        <v>264</v>
      </c>
      <c r="P754" s="251" t="s">
        <v>1448</v>
      </c>
      <c r="R754" s="191" t="str">
        <f t="shared" si="48"/>
        <v>Cước vận chuyển Container hàng 40' tuyến đường PAN HA - HẢI AN,. BKS: 15H17403</v>
      </c>
      <c r="S754" s="191" t="str">
        <f t="shared" si="49"/>
        <v xml:space="preserve"> hàng 40' </v>
      </c>
      <c r="V754" s="191">
        <v>2</v>
      </c>
    </row>
    <row r="755" spans="1:22" s="191" customFormat="1" ht="15">
      <c r="A755" s="236">
        <v>744</v>
      </c>
      <c r="B755" s="244">
        <v>46122</v>
      </c>
      <c r="C755" s="245" t="s">
        <v>261</v>
      </c>
      <c r="D755" s="246" t="s">
        <v>1005</v>
      </c>
      <c r="E755" s="247"/>
      <c r="F755" s="247">
        <v>1</v>
      </c>
      <c r="G755" s="248"/>
      <c r="H755" s="247"/>
      <c r="I755" s="249" t="s">
        <v>541</v>
      </c>
      <c r="J755" s="249" t="s">
        <v>21</v>
      </c>
      <c r="K755" s="249" t="s">
        <v>25</v>
      </c>
      <c r="L755" s="250">
        <f t="shared" si="47"/>
        <v>1</v>
      </c>
      <c r="M755" s="237">
        <f t="array" ref="M755">INDEX('BKTT T4.26'!$N$12:$N$55,MATCH(V755,'BKTT T4.26'!$A$12:$A$55,0),0)</f>
        <v>681050</v>
      </c>
      <c r="N755" s="162">
        <f t="shared" si="50"/>
        <v>681050</v>
      </c>
      <c r="O755" s="238" t="s">
        <v>264</v>
      </c>
      <c r="P755" s="251" t="s">
        <v>1448</v>
      </c>
      <c r="R755" s="191" t="str">
        <f t="shared" si="48"/>
        <v>Cước vận chuyển Container hàng 40' tuyến đường PAN HA - HẢI AN,. BKS: 15H17403</v>
      </c>
      <c r="S755" s="191" t="str">
        <f t="shared" si="49"/>
        <v xml:space="preserve"> hàng 40' </v>
      </c>
      <c r="V755" s="191">
        <v>2</v>
      </c>
    </row>
    <row r="756" spans="1:22" s="191" customFormat="1" ht="15">
      <c r="A756" s="236">
        <v>745</v>
      </c>
      <c r="B756" s="244">
        <v>46122</v>
      </c>
      <c r="C756" s="245" t="s">
        <v>261</v>
      </c>
      <c r="D756" s="246" t="s">
        <v>1006</v>
      </c>
      <c r="E756" s="247">
        <v>1</v>
      </c>
      <c r="F756" s="247"/>
      <c r="G756" s="248"/>
      <c r="H756" s="247"/>
      <c r="I756" s="249" t="s">
        <v>369</v>
      </c>
      <c r="J756" s="249" t="s">
        <v>21</v>
      </c>
      <c r="K756" s="249" t="s">
        <v>22</v>
      </c>
      <c r="L756" s="250">
        <f t="shared" si="47"/>
        <v>1</v>
      </c>
      <c r="M756" s="237">
        <f t="array" ref="M756">INDEX('BKTT T4.26'!$N$12:$N$55,MATCH(V756,'BKTT T4.26'!$A$12:$A$55,0),0)</f>
        <v>654871</v>
      </c>
      <c r="N756" s="162">
        <f t="shared" si="50"/>
        <v>654871</v>
      </c>
      <c r="O756" s="238" t="s">
        <v>264</v>
      </c>
      <c r="P756" s="251" t="s">
        <v>1448</v>
      </c>
      <c r="R756" s="191" t="str">
        <f t="shared" si="48"/>
        <v>Cước vận chuyển Container hàng 20' tuyến đường PAN HA - HẢI AN. BKS: 15C15033</v>
      </c>
      <c r="S756" s="191" t="str">
        <f t="shared" si="49"/>
        <v xml:space="preserve"> hàng 20' </v>
      </c>
      <c r="V756" s="191">
        <v>1</v>
      </c>
    </row>
    <row r="757" spans="1:22" s="191" customFormat="1" ht="15">
      <c r="A757" s="236">
        <v>746</v>
      </c>
      <c r="B757" s="244">
        <v>46122</v>
      </c>
      <c r="C757" s="245" t="s">
        <v>261</v>
      </c>
      <c r="D757" s="246" t="s">
        <v>1007</v>
      </c>
      <c r="E757" s="247">
        <v>1</v>
      </c>
      <c r="F757" s="247"/>
      <c r="G757" s="248"/>
      <c r="H757" s="247"/>
      <c r="I757" s="249" t="s">
        <v>369</v>
      </c>
      <c r="J757" s="249" t="s">
        <v>21</v>
      </c>
      <c r="K757" s="249" t="s">
        <v>22</v>
      </c>
      <c r="L757" s="250">
        <f t="shared" si="47"/>
        <v>1</v>
      </c>
      <c r="M757" s="237">
        <f t="array" ref="M757">INDEX('BKTT T4.26'!$N$12:$N$55,MATCH(V757,'BKTT T4.26'!$A$12:$A$55,0),0)</f>
        <v>654871</v>
      </c>
      <c r="N757" s="162">
        <f t="shared" si="50"/>
        <v>654871</v>
      </c>
      <c r="O757" s="238" t="s">
        <v>264</v>
      </c>
      <c r="P757" s="251" t="s">
        <v>1448</v>
      </c>
      <c r="R757" s="191" t="str">
        <f t="shared" si="48"/>
        <v>Cước vận chuyển Container hàng 20' tuyến đường PAN HA - HẢI AN. BKS: 15C15033</v>
      </c>
      <c r="S757" s="191" t="str">
        <f t="shared" si="49"/>
        <v xml:space="preserve"> hàng 20' </v>
      </c>
      <c r="V757" s="191">
        <v>1</v>
      </c>
    </row>
    <row r="758" spans="1:22" s="191" customFormat="1" ht="15">
      <c r="A758" s="236">
        <v>747</v>
      </c>
      <c r="B758" s="244">
        <v>46122</v>
      </c>
      <c r="C758" s="245" t="s">
        <v>261</v>
      </c>
      <c r="D758" s="246" t="s">
        <v>1008</v>
      </c>
      <c r="E758" s="247">
        <v>1</v>
      </c>
      <c r="F758" s="247"/>
      <c r="G758" s="248"/>
      <c r="H758" s="247"/>
      <c r="I758" s="249" t="s">
        <v>369</v>
      </c>
      <c r="J758" s="249" t="s">
        <v>21</v>
      </c>
      <c r="K758" s="249" t="s">
        <v>22</v>
      </c>
      <c r="L758" s="250">
        <f t="shared" si="47"/>
        <v>1</v>
      </c>
      <c r="M758" s="237">
        <f t="array" ref="M758">INDEX('BKTT T4.26'!$N$12:$N$55,MATCH(V758,'BKTT T4.26'!$A$12:$A$55,0),0)</f>
        <v>654871</v>
      </c>
      <c r="N758" s="162">
        <f t="shared" si="50"/>
        <v>654871</v>
      </c>
      <c r="O758" s="238" t="s">
        <v>264</v>
      </c>
      <c r="P758" s="251" t="s">
        <v>1448</v>
      </c>
      <c r="R758" s="191" t="str">
        <f t="shared" si="48"/>
        <v>Cước vận chuyển Container hàng 20' tuyến đường PAN HA - HẢI AN. BKS: 15C15033</v>
      </c>
      <c r="S758" s="191" t="str">
        <f t="shared" si="49"/>
        <v xml:space="preserve"> hàng 20' </v>
      </c>
      <c r="V758" s="191">
        <v>1</v>
      </c>
    </row>
    <row r="759" spans="1:22" s="191" customFormat="1" ht="15">
      <c r="A759" s="236">
        <v>748</v>
      </c>
      <c r="B759" s="244">
        <v>46122</v>
      </c>
      <c r="C759" s="245" t="s">
        <v>261</v>
      </c>
      <c r="D759" s="246" t="s">
        <v>1009</v>
      </c>
      <c r="E759" s="247">
        <v>1</v>
      </c>
      <c r="F759" s="247"/>
      <c r="G759" s="248"/>
      <c r="H759" s="247"/>
      <c r="I759" s="249" t="s">
        <v>369</v>
      </c>
      <c r="J759" s="249" t="s">
        <v>21</v>
      </c>
      <c r="K759" s="249" t="s">
        <v>22</v>
      </c>
      <c r="L759" s="250">
        <f t="shared" si="47"/>
        <v>1</v>
      </c>
      <c r="M759" s="237">
        <f t="array" ref="M759">INDEX('BKTT T4.26'!$N$12:$N$55,MATCH(V759,'BKTT T4.26'!$A$12:$A$55,0),0)</f>
        <v>654871</v>
      </c>
      <c r="N759" s="162">
        <f t="shared" si="50"/>
        <v>654871</v>
      </c>
      <c r="O759" s="238" t="s">
        <v>264</v>
      </c>
      <c r="P759" s="251" t="s">
        <v>1448</v>
      </c>
      <c r="R759" s="191" t="str">
        <f t="shared" si="48"/>
        <v>Cước vận chuyển Container hàng 20' tuyến đường PAN HA - HẢI AN. BKS: 15C15033</v>
      </c>
      <c r="S759" s="191" t="str">
        <f t="shared" si="49"/>
        <v xml:space="preserve"> hàng 20' </v>
      </c>
      <c r="V759" s="191">
        <v>1</v>
      </c>
    </row>
    <row r="760" spans="1:22" s="191" customFormat="1" ht="15">
      <c r="A760" s="236">
        <v>749</v>
      </c>
      <c r="B760" s="244">
        <v>46122</v>
      </c>
      <c r="C760" s="245" t="s">
        <v>261</v>
      </c>
      <c r="D760" s="246" t="s">
        <v>1010</v>
      </c>
      <c r="E760" s="247">
        <v>1</v>
      </c>
      <c r="F760" s="247"/>
      <c r="G760" s="248"/>
      <c r="H760" s="247"/>
      <c r="I760" s="249" t="s">
        <v>369</v>
      </c>
      <c r="J760" s="249" t="s">
        <v>21</v>
      </c>
      <c r="K760" s="249" t="s">
        <v>22</v>
      </c>
      <c r="L760" s="250">
        <f t="shared" si="47"/>
        <v>1</v>
      </c>
      <c r="M760" s="237">
        <f t="array" ref="M760">INDEX('BKTT T4.26'!$N$12:$N$55,MATCH(V760,'BKTT T4.26'!$A$12:$A$55,0),0)</f>
        <v>654871</v>
      </c>
      <c r="N760" s="162">
        <f t="shared" si="50"/>
        <v>654871</v>
      </c>
      <c r="O760" s="238" t="s">
        <v>264</v>
      </c>
      <c r="P760" s="251" t="s">
        <v>1448</v>
      </c>
      <c r="R760" s="191" t="str">
        <f t="shared" si="48"/>
        <v>Cước vận chuyển Container hàng 20' tuyến đường PAN HA - HẢI AN. BKS: 15C15033</v>
      </c>
      <c r="S760" s="191" t="str">
        <f t="shared" si="49"/>
        <v xml:space="preserve"> hàng 20' </v>
      </c>
      <c r="V760" s="191">
        <v>1</v>
      </c>
    </row>
    <row r="761" spans="1:22" s="191" customFormat="1" ht="15">
      <c r="A761" s="236">
        <v>750</v>
      </c>
      <c r="B761" s="244">
        <v>46122</v>
      </c>
      <c r="C761" s="245" t="s">
        <v>261</v>
      </c>
      <c r="D761" s="246" t="s">
        <v>1011</v>
      </c>
      <c r="E761" s="247">
        <v>1</v>
      </c>
      <c r="F761" s="247"/>
      <c r="G761" s="248"/>
      <c r="H761" s="247"/>
      <c r="I761" s="249" t="s">
        <v>369</v>
      </c>
      <c r="J761" s="249" t="s">
        <v>21</v>
      </c>
      <c r="K761" s="249" t="s">
        <v>22</v>
      </c>
      <c r="L761" s="250">
        <f t="shared" si="47"/>
        <v>1</v>
      </c>
      <c r="M761" s="237">
        <f t="array" ref="M761">INDEX('BKTT T4.26'!$N$12:$N$55,MATCH(V761,'BKTT T4.26'!$A$12:$A$55,0),0)</f>
        <v>654871</v>
      </c>
      <c r="N761" s="162">
        <f t="shared" si="50"/>
        <v>654871</v>
      </c>
      <c r="O761" s="238" t="s">
        <v>264</v>
      </c>
      <c r="P761" s="251" t="s">
        <v>1448</v>
      </c>
      <c r="R761" s="191" t="str">
        <f t="shared" si="48"/>
        <v>Cước vận chuyển Container hàng 20' tuyến đường PAN HA - HẢI AN. BKS: 15C15033</v>
      </c>
      <c r="S761" s="191" t="str">
        <f t="shared" si="49"/>
        <v xml:space="preserve"> hàng 20' </v>
      </c>
      <c r="V761" s="191">
        <v>1</v>
      </c>
    </row>
    <row r="762" spans="1:22" s="191" customFormat="1" ht="15">
      <c r="A762" s="236">
        <v>751</v>
      </c>
      <c r="B762" s="244">
        <v>46122</v>
      </c>
      <c r="C762" s="245" t="s">
        <v>261</v>
      </c>
      <c r="D762" s="246" t="s">
        <v>1012</v>
      </c>
      <c r="E762" s="247">
        <v>1</v>
      </c>
      <c r="F762" s="248"/>
      <c r="G762" s="248"/>
      <c r="H762" s="247"/>
      <c r="I762" s="253" t="s">
        <v>369</v>
      </c>
      <c r="J762" s="249" t="s">
        <v>21</v>
      </c>
      <c r="K762" s="249" t="s">
        <v>22</v>
      </c>
      <c r="L762" s="250">
        <f t="shared" si="47"/>
        <v>1</v>
      </c>
      <c r="M762" s="237">
        <f t="array" ref="M762">INDEX('BKTT T4.26'!$N$12:$N$55,MATCH(V762,'BKTT T4.26'!$A$12:$A$55,0),0)</f>
        <v>654871</v>
      </c>
      <c r="N762" s="162">
        <f t="shared" si="50"/>
        <v>654871</v>
      </c>
      <c r="O762" s="238" t="s">
        <v>264</v>
      </c>
      <c r="P762" s="251" t="s">
        <v>1448</v>
      </c>
      <c r="R762" s="191" t="str">
        <f t="shared" si="48"/>
        <v>Cước vận chuyển Container hàng 20' tuyến đường PAN HA - HẢI AN. BKS: 15C15033</v>
      </c>
      <c r="S762" s="191" t="str">
        <f t="shared" si="49"/>
        <v xml:space="preserve"> hàng 20' </v>
      </c>
      <c r="V762" s="191">
        <v>1</v>
      </c>
    </row>
    <row r="763" spans="1:22" s="191" customFormat="1" ht="15">
      <c r="A763" s="236">
        <v>752</v>
      </c>
      <c r="B763" s="244">
        <v>46122</v>
      </c>
      <c r="C763" s="245" t="s">
        <v>261</v>
      </c>
      <c r="D763" s="246" t="s">
        <v>1013</v>
      </c>
      <c r="E763" s="247">
        <v>1</v>
      </c>
      <c r="F763" s="248"/>
      <c r="G763" s="248"/>
      <c r="H763" s="247"/>
      <c r="I763" s="249" t="s">
        <v>369</v>
      </c>
      <c r="J763" s="249" t="s">
        <v>21</v>
      </c>
      <c r="K763" s="249" t="s">
        <v>22</v>
      </c>
      <c r="L763" s="250">
        <f t="shared" si="47"/>
        <v>1</v>
      </c>
      <c r="M763" s="237">
        <f t="array" ref="M763">INDEX('BKTT T4.26'!$N$12:$N$55,MATCH(V763,'BKTT T4.26'!$A$12:$A$55,0),0)</f>
        <v>654871</v>
      </c>
      <c r="N763" s="162">
        <f t="shared" si="50"/>
        <v>654871</v>
      </c>
      <c r="O763" s="238" t="s">
        <v>264</v>
      </c>
      <c r="P763" s="251" t="s">
        <v>1448</v>
      </c>
      <c r="R763" s="191" t="str">
        <f t="shared" si="48"/>
        <v>Cước vận chuyển Container hàng 20' tuyến đường PAN HA - HẢI AN. BKS: 15C15033</v>
      </c>
      <c r="S763" s="191" t="str">
        <f t="shared" si="49"/>
        <v xml:space="preserve"> hàng 20' </v>
      </c>
      <c r="V763" s="191">
        <v>1</v>
      </c>
    </row>
    <row r="764" spans="1:22" s="191" customFormat="1" ht="15">
      <c r="A764" s="236">
        <v>753</v>
      </c>
      <c r="B764" s="244">
        <v>46122</v>
      </c>
      <c r="C764" s="245" t="s">
        <v>261</v>
      </c>
      <c r="D764" s="246" t="s">
        <v>1014</v>
      </c>
      <c r="E764" s="247">
        <v>1</v>
      </c>
      <c r="F764" s="247"/>
      <c r="G764" s="248"/>
      <c r="H764" s="247"/>
      <c r="I764" s="249" t="s">
        <v>263</v>
      </c>
      <c r="J764" s="249" t="s">
        <v>21</v>
      </c>
      <c r="K764" s="249" t="s">
        <v>22</v>
      </c>
      <c r="L764" s="250">
        <f t="shared" si="47"/>
        <v>1</v>
      </c>
      <c r="M764" s="237">
        <f t="array" ref="M764">INDEX('BKTT T4.26'!$N$12:$N$55,MATCH(V764,'BKTT T4.26'!$A$12:$A$55,0),0)</f>
        <v>654871</v>
      </c>
      <c r="N764" s="162">
        <f t="shared" si="50"/>
        <v>654871</v>
      </c>
      <c r="O764" s="238" t="s">
        <v>264</v>
      </c>
      <c r="P764" s="251" t="s">
        <v>1448</v>
      </c>
      <c r="R764" s="191" t="str">
        <f t="shared" si="48"/>
        <v>Cước vận chuyển Container hàng 20' tuyến đường PAN HA - HẢI AN. BKS: 15C17442</v>
      </c>
      <c r="S764" s="191" t="str">
        <f t="shared" si="49"/>
        <v xml:space="preserve"> hàng 20' </v>
      </c>
      <c r="V764" s="191">
        <v>1</v>
      </c>
    </row>
    <row r="765" spans="1:22" s="283" customFormat="1" ht="15">
      <c r="A765" s="236">
        <v>754</v>
      </c>
      <c r="B765" s="272">
        <v>46122</v>
      </c>
      <c r="C765" s="273" t="s">
        <v>261</v>
      </c>
      <c r="D765" s="285" t="s">
        <v>1471</v>
      </c>
      <c r="E765" s="275">
        <v>1</v>
      </c>
      <c r="F765" s="275"/>
      <c r="G765" s="276"/>
      <c r="H765" s="275"/>
      <c r="I765" s="277" t="s">
        <v>263</v>
      </c>
      <c r="J765" s="249" t="s">
        <v>21</v>
      </c>
      <c r="K765" s="277" t="s">
        <v>22</v>
      </c>
      <c r="L765" s="278">
        <f t="shared" si="47"/>
        <v>1</v>
      </c>
      <c r="M765" s="279">
        <f t="array" ref="M765">INDEX('BKTT T4.26'!$N$12:$N$55,MATCH(V765,'BKTT T4.26'!$A$12:$A$55,0),0)</f>
        <v>654871</v>
      </c>
      <c r="N765" s="280">
        <f t="shared" si="50"/>
        <v>654871</v>
      </c>
      <c r="O765" s="281" t="s">
        <v>264</v>
      </c>
      <c r="P765" s="282" t="s">
        <v>1447</v>
      </c>
      <c r="R765" s="283" t="str">
        <f t="shared" si="48"/>
        <v>Cước vận chuyển Container hàng 20' tuyến đường PAN HA - HẢI AN. BKS: 15C17442</v>
      </c>
      <c r="S765" s="283" t="str">
        <f t="shared" si="49"/>
        <v xml:space="preserve"> hàng 20' </v>
      </c>
      <c r="V765" s="191">
        <v>1</v>
      </c>
    </row>
    <row r="766" spans="1:22" s="191" customFormat="1" ht="15">
      <c r="A766" s="236">
        <v>755</v>
      </c>
      <c r="B766" s="244">
        <v>46122</v>
      </c>
      <c r="C766" s="245" t="s">
        <v>261</v>
      </c>
      <c r="D766" s="246" t="s">
        <v>1015</v>
      </c>
      <c r="E766" s="247">
        <v>1</v>
      </c>
      <c r="F766" s="247"/>
      <c r="G766" s="248"/>
      <c r="H766" s="247"/>
      <c r="I766" s="249" t="s">
        <v>263</v>
      </c>
      <c r="J766" s="249" t="s">
        <v>21</v>
      </c>
      <c r="K766" s="249" t="s">
        <v>22</v>
      </c>
      <c r="L766" s="250">
        <f t="shared" si="47"/>
        <v>1</v>
      </c>
      <c r="M766" s="237">
        <f t="array" ref="M766">INDEX('BKTT T4.26'!$N$12:$N$55,MATCH(V766,'BKTT T4.26'!$A$12:$A$55,0),0)</f>
        <v>654871</v>
      </c>
      <c r="N766" s="162">
        <f t="shared" si="50"/>
        <v>654871</v>
      </c>
      <c r="O766" s="238" t="s">
        <v>264</v>
      </c>
      <c r="P766" s="251" t="s">
        <v>1448</v>
      </c>
      <c r="R766" s="191" t="str">
        <f t="shared" si="48"/>
        <v>Cước vận chuyển Container hàng 20' tuyến đường PAN HA - HẢI AN. BKS: 15C17442</v>
      </c>
      <c r="S766" s="191" t="str">
        <f t="shared" si="49"/>
        <v xml:space="preserve"> hàng 20' </v>
      </c>
      <c r="V766" s="191">
        <v>1</v>
      </c>
    </row>
    <row r="767" spans="1:22" s="191" customFormat="1" ht="15">
      <c r="A767" s="236">
        <v>756</v>
      </c>
      <c r="B767" s="244">
        <v>46122</v>
      </c>
      <c r="C767" s="245" t="s">
        <v>261</v>
      </c>
      <c r="D767" s="246" t="s">
        <v>1016</v>
      </c>
      <c r="E767" s="247">
        <v>1</v>
      </c>
      <c r="F767" s="247"/>
      <c r="G767" s="248"/>
      <c r="H767" s="247"/>
      <c r="I767" s="249" t="s">
        <v>263</v>
      </c>
      <c r="J767" s="249" t="s">
        <v>21</v>
      </c>
      <c r="K767" s="249" t="s">
        <v>22</v>
      </c>
      <c r="L767" s="250">
        <f t="shared" si="47"/>
        <v>1</v>
      </c>
      <c r="M767" s="237">
        <f t="array" ref="M767">INDEX('BKTT T4.26'!$N$12:$N$55,MATCH(V767,'BKTT T4.26'!$A$12:$A$55,0),0)</f>
        <v>654871</v>
      </c>
      <c r="N767" s="162">
        <f t="shared" si="50"/>
        <v>654871</v>
      </c>
      <c r="O767" s="238" t="s">
        <v>264</v>
      </c>
      <c r="P767" s="251" t="s">
        <v>1448</v>
      </c>
      <c r="R767" s="191" t="str">
        <f t="shared" si="48"/>
        <v>Cước vận chuyển Container hàng 20' tuyến đường PAN HA - HẢI AN. BKS: 15C17442</v>
      </c>
      <c r="S767" s="191" t="str">
        <f t="shared" si="49"/>
        <v xml:space="preserve"> hàng 20' </v>
      </c>
      <c r="V767" s="191">
        <v>1</v>
      </c>
    </row>
    <row r="768" spans="1:22" s="191" customFormat="1" ht="15">
      <c r="A768" s="236">
        <v>757</v>
      </c>
      <c r="B768" s="244">
        <v>46121</v>
      </c>
      <c r="C768" s="245" t="s">
        <v>261</v>
      </c>
      <c r="D768" s="246" t="s">
        <v>1017</v>
      </c>
      <c r="E768" s="247">
        <v>1</v>
      </c>
      <c r="F768" s="247"/>
      <c r="G768" s="248"/>
      <c r="H768" s="247"/>
      <c r="I768" s="249" t="s">
        <v>399</v>
      </c>
      <c r="J768" s="249" t="s">
        <v>21</v>
      </c>
      <c r="K768" s="249" t="s">
        <v>22</v>
      </c>
      <c r="L768" s="250">
        <f t="shared" si="47"/>
        <v>1</v>
      </c>
      <c r="M768" s="237">
        <f t="array" ref="M768">INDEX('BKTT T4.26'!$N$12:$N$55,MATCH(V768,'BKTT T4.26'!$A$12:$A$55,0),0)</f>
        <v>654871</v>
      </c>
      <c r="N768" s="162">
        <f t="shared" si="50"/>
        <v>654871</v>
      </c>
      <c r="O768" s="238" t="s">
        <v>264</v>
      </c>
      <c r="P768" s="251" t="s">
        <v>1448</v>
      </c>
      <c r="R768" s="191" t="str">
        <f t="shared" si="48"/>
        <v>Cước vận chuyển Container hàng 20' tuyến đường PAN HA - HẢI AN. BKS: 15H15378</v>
      </c>
      <c r="S768" s="191" t="str">
        <f t="shared" si="49"/>
        <v xml:space="preserve"> hàng 20' </v>
      </c>
      <c r="V768" s="191">
        <v>1</v>
      </c>
    </row>
    <row r="769" spans="1:22" s="191" customFormat="1" ht="15">
      <c r="A769" s="236">
        <v>758</v>
      </c>
      <c r="B769" s="244">
        <v>46121</v>
      </c>
      <c r="C769" s="245" t="s">
        <v>261</v>
      </c>
      <c r="D769" s="246" t="s">
        <v>1018</v>
      </c>
      <c r="E769" s="247"/>
      <c r="F769" s="247">
        <v>1</v>
      </c>
      <c r="G769" s="248"/>
      <c r="H769" s="247"/>
      <c r="I769" s="249" t="s">
        <v>399</v>
      </c>
      <c r="J769" s="249" t="s">
        <v>21</v>
      </c>
      <c r="K769" s="249" t="s">
        <v>25</v>
      </c>
      <c r="L769" s="250">
        <f t="shared" si="47"/>
        <v>1</v>
      </c>
      <c r="M769" s="237">
        <f t="array" ref="M769">INDEX('BKTT T4.26'!$N$12:$N$55,MATCH(V769,'BKTT T4.26'!$A$12:$A$55,0),0)</f>
        <v>681050</v>
      </c>
      <c r="N769" s="162">
        <f t="shared" si="50"/>
        <v>681050</v>
      </c>
      <c r="O769" s="238" t="s">
        <v>264</v>
      </c>
      <c r="P769" s="251" t="s">
        <v>1448</v>
      </c>
      <c r="R769" s="191" t="str">
        <f t="shared" si="48"/>
        <v>Cước vận chuyển Container hàng 40' tuyến đường PAN HA - HẢI AN,. BKS: 15H15378</v>
      </c>
      <c r="S769" s="191" t="str">
        <f t="shared" si="49"/>
        <v xml:space="preserve"> hàng 40' </v>
      </c>
      <c r="V769" s="191">
        <v>2</v>
      </c>
    </row>
    <row r="770" spans="1:22" s="191" customFormat="1" ht="15">
      <c r="A770" s="236">
        <v>759</v>
      </c>
      <c r="B770" s="244">
        <v>46121</v>
      </c>
      <c r="C770" s="245" t="s">
        <v>261</v>
      </c>
      <c r="D770" s="246" t="s">
        <v>1019</v>
      </c>
      <c r="E770" s="247">
        <v>1</v>
      </c>
      <c r="F770" s="247"/>
      <c r="G770" s="248"/>
      <c r="H770" s="247"/>
      <c r="I770" s="249" t="s">
        <v>399</v>
      </c>
      <c r="J770" s="249" t="s">
        <v>21</v>
      </c>
      <c r="K770" s="249" t="s">
        <v>31</v>
      </c>
      <c r="L770" s="250">
        <f t="shared" si="47"/>
        <v>1</v>
      </c>
      <c r="M770" s="237">
        <f t="array" ref="M770">INDEX('BKTT T4.26'!$N$12:$N$55,MATCH(V770,'BKTT T4.26'!$A$12:$A$55,0),0)</f>
        <v>454158</v>
      </c>
      <c r="N770" s="162">
        <f t="shared" si="50"/>
        <v>454158</v>
      </c>
      <c r="O770" s="238" t="s">
        <v>264</v>
      </c>
      <c r="P770" s="251" t="s">
        <v>1448</v>
      </c>
      <c r="R770" s="191" t="str">
        <f t="shared" si="48"/>
        <v>Cước vận chuyển Container hàng 20' tuyến đường PAN HA - NDV. BKS: 15H15378</v>
      </c>
      <c r="S770" s="191" t="str">
        <f t="shared" si="49"/>
        <v xml:space="preserve"> hàng 20' </v>
      </c>
      <c r="V770" s="191">
        <v>7</v>
      </c>
    </row>
    <row r="771" spans="1:22" s="191" customFormat="1" ht="15">
      <c r="A771" s="236">
        <v>760</v>
      </c>
      <c r="B771" s="244">
        <v>46121</v>
      </c>
      <c r="C771" s="245" t="s">
        <v>261</v>
      </c>
      <c r="D771" s="246" t="s">
        <v>1020</v>
      </c>
      <c r="E771" s="247"/>
      <c r="F771" s="247"/>
      <c r="G771" s="248"/>
      <c r="H771" s="247">
        <v>1</v>
      </c>
      <c r="I771" s="249" t="s">
        <v>399</v>
      </c>
      <c r="J771" s="249" t="s">
        <v>38</v>
      </c>
      <c r="K771" s="249" t="s">
        <v>21</v>
      </c>
      <c r="L771" s="250">
        <f t="shared" si="47"/>
        <v>1</v>
      </c>
      <c r="M771" s="237">
        <f t="array" ref="M771">INDEX('BKTT T4.26'!$N$12:$N$55,MATCH(V771,'BKTT T4.26'!$A$12:$A$55,0),0)</f>
        <v>585057</v>
      </c>
      <c r="N771" s="162">
        <f t="shared" si="50"/>
        <v>585057</v>
      </c>
      <c r="O771" s="238" t="s">
        <v>267</v>
      </c>
      <c r="P771" s="251" t="s">
        <v>1448</v>
      </c>
      <c r="R771" s="191" t="str">
        <f t="shared" si="48"/>
        <v>Cước vận chuyển Container vỏ tuyến đường NHĐV. - PAN HA. BKS: 15H15378</v>
      </c>
      <c r="S771" s="191" t="str">
        <f t="shared" si="49"/>
        <v xml:space="preserve"> vỏ </v>
      </c>
      <c r="V771" s="191">
        <v>16</v>
      </c>
    </row>
    <row r="772" spans="1:22" s="191" customFormat="1" ht="15">
      <c r="A772" s="236">
        <v>761</v>
      </c>
      <c r="B772" s="244">
        <v>46121</v>
      </c>
      <c r="C772" s="245" t="s">
        <v>261</v>
      </c>
      <c r="D772" s="246" t="s">
        <v>1021</v>
      </c>
      <c r="E772" s="247"/>
      <c r="F772" s="247">
        <v>1</v>
      </c>
      <c r="G772" s="248"/>
      <c r="H772" s="247"/>
      <c r="I772" s="249" t="s">
        <v>399</v>
      </c>
      <c r="J772" s="249" t="s">
        <v>21</v>
      </c>
      <c r="K772" s="249" t="s">
        <v>25</v>
      </c>
      <c r="L772" s="250">
        <f t="shared" si="47"/>
        <v>1</v>
      </c>
      <c r="M772" s="237">
        <f t="array" ref="M772">INDEX('BKTT T4.26'!$N$12:$N$55,MATCH(V772,'BKTT T4.26'!$A$12:$A$55,0),0)</f>
        <v>681050</v>
      </c>
      <c r="N772" s="162">
        <f t="shared" si="50"/>
        <v>681050</v>
      </c>
      <c r="O772" s="238" t="s">
        <v>264</v>
      </c>
      <c r="P772" s="251" t="s">
        <v>1448</v>
      </c>
      <c r="R772" s="191" t="str">
        <f t="shared" si="48"/>
        <v>Cước vận chuyển Container hàng 40' tuyến đường PAN HA - HẢI AN,. BKS: 15H15378</v>
      </c>
      <c r="S772" s="191" t="str">
        <f t="shared" si="49"/>
        <v xml:space="preserve"> hàng 40' </v>
      </c>
      <c r="V772" s="191">
        <v>2</v>
      </c>
    </row>
    <row r="773" spans="1:22" s="191" customFormat="1" ht="15">
      <c r="A773" s="236">
        <v>762</v>
      </c>
      <c r="B773" s="244">
        <v>46121</v>
      </c>
      <c r="C773" s="245" t="s">
        <v>261</v>
      </c>
      <c r="D773" s="246" t="s">
        <v>1022</v>
      </c>
      <c r="E773" s="247"/>
      <c r="F773" s="247">
        <v>1</v>
      </c>
      <c r="G773" s="248"/>
      <c r="H773" s="247"/>
      <c r="I773" s="249" t="s">
        <v>399</v>
      </c>
      <c r="J773" s="249" t="s">
        <v>21</v>
      </c>
      <c r="K773" s="249" t="s">
        <v>25</v>
      </c>
      <c r="L773" s="250">
        <f t="shared" si="47"/>
        <v>1</v>
      </c>
      <c r="M773" s="237">
        <f t="array" ref="M773">INDEX('BKTT T4.26'!$N$12:$N$55,MATCH(V773,'BKTT T4.26'!$A$12:$A$55,0),0)</f>
        <v>681050</v>
      </c>
      <c r="N773" s="162">
        <f t="shared" si="50"/>
        <v>681050</v>
      </c>
      <c r="O773" s="238" t="s">
        <v>264</v>
      </c>
      <c r="P773" s="251" t="s">
        <v>1448</v>
      </c>
      <c r="R773" s="191" t="str">
        <f t="shared" si="48"/>
        <v>Cước vận chuyển Container hàng 40' tuyến đường PAN HA - HẢI AN,. BKS: 15H15378</v>
      </c>
      <c r="S773" s="191" t="str">
        <f t="shared" si="49"/>
        <v xml:space="preserve"> hàng 40' </v>
      </c>
      <c r="V773" s="191">
        <v>2</v>
      </c>
    </row>
    <row r="774" spans="1:22" s="191" customFormat="1" ht="15">
      <c r="A774" s="236">
        <v>763</v>
      </c>
      <c r="B774" s="244">
        <v>46125</v>
      </c>
      <c r="C774" s="245" t="s">
        <v>261</v>
      </c>
      <c r="D774" s="246" t="s">
        <v>1023</v>
      </c>
      <c r="E774" s="247"/>
      <c r="F774" s="247">
        <v>1</v>
      </c>
      <c r="G774" s="248"/>
      <c r="H774" s="247"/>
      <c r="I774" s="249" t="s">
        <v>282</v>
      </c>
      <c r="J774" s="249" t="s">
        <v>21</v>
      </c>
      <c r="K774" s="249" t="s">
        <v>25</v>
      </c>
      <c r="L774" s="250">
        <f t="shared" si="47"/>
        <v>1</v>
      </c>
      <c r="M774" s="237">
        <f t="array" ref="M774">INDEX('BKTT T4.26'!$N$12:$N$55,MATCH(V774,'BKTT T4.26'!$A$12:$A$55,0),0)</f>
        <v>681050</v>
      </c>
      <c r="N774" s="162">
        <f t="shared" si="50"/>
        <v>681050</v>
      </c>
      <c r="O774" s="238" t="s">
        <v>264</v>
      </c>
      <c r="P774" s="251" t="s">
        <v>1448</v>
      </c>
      <c r="R774" s="191" t="str">
        <f t="shared" si="48"/>
        <v>Cước vận chuyển Container hàng 40' tuyến đường PAN HA - HẢI AN,. BKS: 15C17301</v>
      </c>
      <c r="S774" s="191" t="str">
        <f t="shared" si="49"/>
        <v xml:space="preserve"> hàng 40' </v>
      </c>
      <c r="V774" s="191">
        <v>2</v>
      </c>
    </row>
    <row r="775" spans="1:22" s="191" customFormat="1" ht="15">
      <c r="A775" s="236">
        <v>764</v>
      </c>
      <c r="B775" s="244">
        <v>46125</v>
      </c>
      <c r="C775" s="245" t="s">
        <v>261</v>
      </c>
      <c r="D775" s="246" t="s">
        <v>1024</v>
      </c>
      <c r="E775" s="247"/>
      <c r="F775" s="247">
        <v>1</v>
      </c>
      <c r="G775" s="248"/>
      <c r="H775" s="247"/>
      <c r="I775" s="249" t="s">
        <v>282</v>
      </c>
      <c r="J775" s="249" t="s">
        <v>21</v>
      </c>
      <c r="K775" s="249" t="s">
        <v>25</v>
      </c>
      <c r="L775" s="250">
        <f t="shared" si="47"/>
        <v>1</v>
      </c>
      <c r="M775" s="237">
        <f t="array" ref="M775">INDEX('BKTT T4.26'!$N$12:$N$55,MATCH(V775,'BKTT T4.26'!$A$12:$A$55,0),0)</f>
        <v>681050</v>
      </c>
      <c r="N775" s="162">
        <f t="shared" si="50"/>
        <v>681050</v>
      </c>
      <c r="O775" s="238" t="s">
        <v>264</v>
      </c>
      <c r="P775" s="251" t="s">
        <v>1448</v>
      </c>
      <c r="R775" s="191" t="str">
        <f t="shared" si="48"/>
        <v>Cước vận chuyển Container hàng 40' tuyến đường PAN HA - HẢI AN,. BKS: 15C17301</v>
      </c>
      <c r="S775" s="191" t="str">
        <f t="shared" si="49"/>
        <v xml:space="preserve"> hàng 40' </v>
      </c>
      <c r="V775" s="191">
        <v>2</v>
      </c>
    </row>
    <row r="776" spans="1:22" s="191" customFormat="1" ht="15">
      <c r="A776" s="236">
        <v>765</v>
      </c>
      <c r="B776" s="244">
        <v>46125</v>
      </c>
      <c r="C776" s="245" t="s">
        <v>261</v>
      </c>
      <c r="D776" s="246" t="s">
        <v>1025</v>
      </c>
      <c r="E776" s="247"/>
      <c r="F776" s="247">
        <v>1</v>
      </c>
      <c r="G776" s="248"/>
      <c r="H776" s="247"/>
      <c r="I776" s="249" t="s">
        <v>282</v>
      </c>
      <c r="J776" s="249" t="s">
        <v>21</v>
      </c>
      <c r="K776" s="249" t="s">
        <v>25</v>
      </c>
      <c r="L776" s="250">
        <f t="shared" si="47"/>
        <v>1</v>
      </c>
      <c r="M776" s="237">
        <f t="array" ref="M776">INDEX('BKTT T4.26'!$N$12:$N$55,MATCH(V776,'BKTT T4.26'!$A$12:$A$55,0),0)</f>
        <v>681050</v>
      </c>
      <c r="N776" s="162">
        <f t="shared" si="50"/>
        <v>681050</v>
      </c>
      <c r="O776" s="238" t="s">
        <v>264</v>
      </c>
      <c r="P776" s="251" t="s">
        <v>1448</v>
      </c>
      <c r="R776" s="191" t="str">
        <f t="shared" si="48"/>
        <v>Cước vận chuyển Container hàng 40' tuyến đường PAN HA - HẢI AN,. BKS: 15C17301</v>
      </c>
      <c r="S776" s="191" t="str">
        <f t="shared" si="49"/>
        <v xml:space="preserve"> hàng 40' </v>
      </c>
      <c r="V776" s="191">
        <v>2</v>
      </c>
    </row>
    <row r="777" spans="1:22" s="191" customFormat="1" ht="15">
      <c r="A777" s="236">
        <v>766</v>
      </c>
      <c r="B777" s="244">
        <v>46125</v>
      </c>
      <c r="C777" s="245" t="s">
        <v>261</v>
      </c>
      <c r="D777" s="246" t="s">
        <v>1026</v>
      </c>
      <c r="E777" s="247"/>
      <c r="F777" s="247">
        <v>1</v>
      </c>
      <c r="G777" s="248"/>
      <c r="H777" s="247"/>
      <c r="I777" s="249" t="s">
        <v>282</v>
      </c>
      <c r="J777" s="249" t="s">
        <v>21</v>
      </c>
      <c r="K777" s="249" t="s">
        <v>25</v>
      </c>
      <c r="L777" s="250">
        <f t="shared" ref="L777:L840" si="51">E777+F777+G777+H777</f>
        <v>1</v>
      </c>
      <c r="M777" s="237">
        <f t="array" ref="M777">INDEX('BKTT T4.26'!$N$12:$N$55,MATCH(V777,'BKTT T4.26'!$A$12:$A$55,0),0)</f>
        <v>681050</v>
      </c>
      <c r="N777" s="162">
        <f t="shared" si="50"/>
        <v>681050</v>
      </c>
      <c r="O777" s="238" t="s">
        <v>264</v>
      </c>
      <c r="P777" s="251" t="s">
        <v>1448</v>
      </c>
      <c r="R777" s="191" t="str">
        <f t="shared" ref="R777:R840" si="52">$R$10&amp;S777&amp;$R$9&amp;J777&amp;$S$10&amp;K777&amp;$R$8&amp;I777</f>
        <v>Cước vận chuyển Container hàng 40' tuyến đường PAN HA - HẢI AN,. BKS: 15C17301</v>
      </c>
      <c r="S777" s="191" t="str">
        <f t="shared" ref="S777:S840" si="53">IF(E777=1," hàng 20' ",IF(F777=1," hàng 40' "," vỏ "))</f>
        <v xml:space="preserve"> hàng 40' </v>
      </c>
      <c r="V777" s="191">
        <v>2</v>
      </c>
    </row>
    <row r="778" spans="1:22" s="191" customFormat="1" ht="15">
      <c r="A778" s="236">
        <v>767</v>
      </c>
      <c r="B778" s="244">
        <v>46125</v>
      </c>
      <c r="C778" s="245" t="s">
        <v>261</v>
      </c>
      <c r="D778" s="246" t="s">
        <v>1027</v>
      </c>
      <c r="E778" s="247"/>
      <c r="F778" s="247"/>
      <c r="G778" s="248"/>
      <c r="H778" s="247">
        <v>1</v>
      </c>
      <c r="I778" s="249" t="s">
        <v>363</v>
      </c>
      <c r="J778" s="249" t="s">
        <v>21</v>
      </c>
      <c r="K778" s="249" t="s">
        <v>27</v>
      </c>
      <c r="L778" s="250">
        <f t="shared" si="51"/>
        <v>1</v>
      </c>
      <c r="M778" s="237">
        <f t="array" ref="M778">INDEX('BKTT T4.26'!$N$12:$N$55,MATCH(V778,'BKTT T4.26'!$A$12:$A$55,0),0)</f>
        <v>628690</v>
      </c>
      <c r="N778" s="162">
        <f t="shared" si="50"/>
        <v>628690</v>
      </c>
      <c r="O778" s="238" t="s">
        <v>264</v>
      </c>
      <c r="P778" s="251" t="s">
        <v>1448</v>
      </c>
      <c r="R778" s="191" t="str">
        <f t="shared" si="52"/>
        <v>Cước vận chuyển Container vỏ tuyến đường PAN HA - HẢI AN.. BKS: 15H20645</v>
      </c>
      <c r="S778" s="191" t="str">
        <f t="shared" si="53"/>
        <v xml:space="preserve"> vỏ </v>
      </c>
      <c r="V778" s="191">
        <v>3</v>
      </c>
    </row>
    <row r="779" spans="1:22" s="191" customFormat="1" ht="15">
      <c r="A779" s="236">
        <v>768</v>
      </c>
      <c r="B779" s="244">
        <v>46125</v>
      </c>
      <c r="C779" s="245" t="s">
        <v>261</v>
      </c>
      <c r="D779" s="246" t="s">
        <v>1028</v>
      </c>
      <c r="E779" s="247"/>
      <c r="F779" s="247"/>
      <c r="G779" s="248"/>
      <c r="H779" s="247">
        <v>1</v>
      </c>
      <c r="I779" s="249" t="s">
        <v>363</v>
      </c>
      <c r="J779" s="249" t="s">
        <v>21</v>
      </c>
      <c r="K779" s="249" t="s">
        <v>27</v>
      </c>
      <c r="L779" s="250">
        <f t="shared" si="51"/>
        <v>1</v>
      </c>
      <c r="M779" s="237">
        <f t="array" ref="M779">INDEX('BKTT T4.26'!$N$12:$N$55,MATCH(V779,'BKTT T4.26'!$A$12:$A$55,0),0)</f>
        <v>628690</v>
      </c>
      <c r="N779" s="162">
        <f t="shared" si="50"/>
        <v>628690</v>
      </c>
      <c r="O779" s="238" t="s">
        <v>264</v>
      </c>
      <c r="P779" s="251" t="s">
        <v>1448</v>
      </c>
      <c r="R779" s="191" t="str">
        <f t="shared" si="52"/>
        <v>Cước vận chuyển Container vỏ tuyến đường PAN HA - HẢI AN.. BKS: 15H20645</v>
      </c>
      <c r="S779" s="191" t="str">
        <f t="shared" si="53"/>
        <v xml:space="preserve"> vỏ </v>
      </c>
      <c r="V779" s="191">
        <v>3</v>
      </c>
    </row>
    <row r="780" spans="1:22" s="191" customFormat="1" ht="15">
      <c r="A780" s="236">
        <v>769</v>
      </c>
      <c r="B780" s="244">
        <v>46125</v>
      </c>
      <c r="C780" s="245" t="s">
        <v>261</v>
      </c>
      <c r="D780" s="246" t="s">
        <v>1029</v>
      </c>
      <c r="E780" s="247"/>
      <c r="F780" s="247">
        <v>1</v>
      </c>
      <c r="G780" s="248"/>
      <c r="H780" s="247"/>
      <c r="I780" s="249" t="s">
        <v>363</v>
      </c>
      <c r="J780" s="249" t="s">
        <v>21</v>
      </c>
      <c r="K780" s="249" t="s">
        <v>25</v>
      </c>
      <c r="L780" s="250">
        <f t="shared" si="51"/>
        <v>1</v>
      </c>
      <c r="M780" s="237">
        <f t="array" ref="M780">INDEX('BKTT T4.26'!$N$12:$N$55,MATCH(V780,'BKTT T4.26'!$A$12:$A$55,0),0)</f>
        <v>681050</v>
      </c>
      <c r="N780" s="162">
        <f t="shared" si="50"/>
        <v>681050</v>
      </c>
      <c r="O780" s="238" t="s">
        <v>264</v>
      </c>
      <c r="P780" s="251" t="s">
        <v>1448</v>
      </c>
      <c r="R780" s="191" t="str">
        <f t="shared" si="52"/>
        <v>Cước vận chuyển Container hàng 40' tuyến đường PAN HA - HẢI AN,. BKS: 15H20645</v>
      </c>
      <c r="S780" s="191" t="str">
        <f t="shared" si="53"/>
        <v xml:space="preserve"> hàng 40' </v>
      </c>
      <c r="V780" s="191">
        <v>2</v>
      </c>
    </row>
    <row r="781" spans="1:22" s="191" customFormat="1" ht="15">
      <c r="A781" s="236">
        <v>770</v>
      </c>
      <c r="B781" s="244">
        <v>46125</v>
      </c>
      <c r="C781" s="245" t="s">
        <v>261</v>
      </c>
      <c r="D781" s="246" t="s">
        <v>1030</v>
      </c>
      <c r="E781" s="247"/>
      <c r="F781" s="247">
        <v>1</v>
      </c>
      <c r="G781" s="248"/>
      <c r="H781" s="247"/>
      <c r="I781" s="249" t="s">
        <v>363</v>
      </c>
      <c r="J781" s="249" t="s">
        <v>21</v>
      </c>
      <c r="K781" s="249" t="s">
        <v>25</v>
      </c>
      <c r="L781" s="250">
        <f t="shared" si="51"/>
        <v>1</v>
      </c>
      <c r="M781" s="237">
        <f t="array" ref="M781">INDEX('BKTT T4.26'!$N$12:$N$55,MATCH(V781,'BKTT T4.26'!$A$12:$A$55,0),0)</f>
        <v>681050</v>
      </c>
      <c r="N781" s="162">
        <f t="shared" si="50"/>
        <v>681050</v>
      </c>
      <c r="O781" s="238" t="s">
        <v>264</v>
      </c>
      <c r="P781" s="251" t="s">
        <v>1448</v>
      </c>
      <c r="R781" s="191" t="str">
        <f t="shared" si="52"/>
        <v>Cước vận chuyển Container hàng 40' tuyến đường PAN HA - HẢI AN,. BKS: 15H20645</v>
      </c>
      <c r="S781" s="191" t="str">
        <f t="shared" si="53"/>
        <v xml:space="preserve"> hàng 40' </v>
      </c>
      <c r="V781" s="191">
        <v>2</v>
      </c>
    </row>
    <row r="782" spans="1:22" s="191" customFormat="1" ht="15">
      <c r="A782" s="236">
        <v>771</v>
      </c>
      <c r="B782" s="244">
        <v>46125</v>
      </c>
      <c r="C782" s="245" t="s">
        <v>261</v>
      </c>
      <c r="D782" s="246" t="s">
        <v>1031</v>
      </c>
      <c r="E782" s="247"/>
      <c r="F782" s="247">
        <v>1</v>
      </c>
      <c r="G782" s="248"/>
      <c r="H782" s="247"/>
      <c r="I782" s="249" t="s">
        <v>363</v>
      </c>
      <c r="J782" s="249" t="s">
        <v>21</v>
      </c>
      <c r="K782" s="249" t="s">
        <v>25</v>
      </c>
      <c r="L782" s="250">
        <f t="shared" si="51"/>
        <v>1</v>
      </c>
      <c r="M782" s="237">
        <f t="array" ref="M782">INDEX('BKTT T4.26'!$N$12:$N$55,MATCH(V782,'BKTT T4.26'!$A$12:$A$55,0),0)</f>
        <v>681050</v>
      </c>
      <c r="N782" s="162">
        <f t="shared" si="50"/>
        <v>681050</v>
      </c>
      <c r="O782" s="238" t="s">
        <v>264</v>
      </c>
      <c r="P782" s="251" t="s">
        <v>1448</v>
      </c>
      <c r="R782" s="191" t="str">
        <f t="shared" si="52"/>
        <v>Cước vận chuyển Container hàng 40' tuyến đường PAN HA - HẢI AN,. BKS: 15H20645</v>
      </c>
      <c r="S782" s="191" t="str">
        <f t="shared" si="53"/>
        <v xml:space="preserve"> hàng 40' </v>
      </c>
      <c r="V782" s="191">
        <v>2</v>
      </c>
    </row>
    <row r="783" spans="1:22" s="191" customFormat="1" ht="15">
      <c r="A783" s="236">
        <v>772</v>
      </c>
      <c r="B783" s="244">
        <v>46125</v>
      </c>
      <c r="C783" s="245" t="s">
        <v>261</v>
      </c>
      <c r="D783" s="246" t="s">
        <v>1032</v>
      </c>
      <c r="E783" s="247"/>
      <c r="F783" s="247">
        <v>1</v>
      </c>
      <c r="G783" s="248"/>
      <c r="H783" s="247"/>
      <c r="I783" s="249" t="s">
        <v>363</v>
      </c>
      <c r="J783" s="249" t="s">
        <v>21</v>
      </c>
      <c r="K783" s="249" t="s">
        <v>25</v>
      </c>
      <c r="L783" s="250">
        <f t="shared" si="51"/>
        <v>1</v>
      </c>
      <c r="M783" s="237">
        <f t="array" ref="M783">INDEX('BKTT T4.26'!$N$12:$N$55,MATCH(V783,'BKTT T4.26'!$A$12:$A$55,0),0)</f>
        <v>681050</v>
      </c>
      <c r="N783" s="162">
        <f t="shared" si="50"/>
        <v>681050</v>
      </c>
      <c r="O783" s="238" t="s">
        <v>264</v>
      </c>
      <c r="P783" s="251" t="s">
        <v>1448</v>
      </c>
      <c r="R783" s="191" t="str">
        <f t="shared" si="52"/>
        <v>Cước vận chuyển Container hàng 40' tuyến đường PAN HA - HẢI AN,. BKS: 15H20645</v>
      </c>
      <c r="S783" s="191" t="str">
        <f t="shared" si="53"/>
        <v xml:space="preserve"> hàng 40' </v>
      </c>
      <c r="V783" s="191">
        <v>2</v>
      </c>
    </row>
    <row r="784" spans="1:22" s="191" customFormat="1" ht="15">
      <c r="A784" s="236">
        <v>773</v>
      </c>
      <c r="B784" s="244">
        <v>46125</v>
      </c>
      <c r="C784" s="245" t="s">
        <v>261</v>
      </c>
      <c r="D784" s="246" t="s">
        <v>1033</v>
      </c>
      <c r="E784" s="247"/>
      <c r="F784" s="247"/>
      <c r="G784" s="248"/>
      <c r="H784" s="247">
        <v>1</v>
      </c>
      <c r="I784" s="249" t="s">
        <v>363</v>
      </c>
      <c r="J784" s="249" t="s">
        <v>56</v>
      </c>
      <c r="K784" s="249" t="s">
        <v>21</v>
      </c>
      <c r="L784" s="250">
        <f t="shared" si="51"/>
        <v>1</v>
      </c>
      <c r="M784" s="237">
        <f t="array" ref="M784">INDEX('BKTT T4.26'!$N$12:$N$55,MATCH(V784,'BKTT T4.26'!$A$12:$A$55,0),0)</f>
        <v>1002400</v>
      </c>
      <c r="N784" s="162">
        <f t="shared" si="50"/>
        <v>1002400</v>
      </c>
      <c r="O784" s="238" t="s">
        <v>267</v>
      </c>
      <c r="P784" s="251" t="s">
        <v>1448</v>
      </c>
      <c r="R784" s="191" t="str">
        <f t="shared" si="52"/>
        <v>Cước vận chuyển Container vỏ tuyến đường HATECO - PAN HA. BKS: 15H20645</v>
      </c>
      <c r="S784" s="191" t="str">
        <f t="shared" si="53"/>
        <v xml:space="preserve"> vỏ </v>
      </c>
      <c r="V784" s="191">
        <v>35</v>
      </c>
    </row>
    <row r="785" spans="1:22" s="191" customFormat="1" ht="15">
      <c r="A785" s="236">
        <v>774</v>
      </c>
      <c r="B785" s="244">
        <v>46125</v>
      </c>
      <c r="C785" s="245" t="s">
        <v>261</v>
      </c>
      <c r="D785" s="246" t="s">
        <v>1034</v>
      </c>
      <c r="E785" s="247"/>
      <c r="F785" s="248"/>
      <c r="G785" s="248"/>
      <c r="H785" s="247">
        <v>1</v>
      </c>
      <c r="I785" s="249" t="s">
        <v>363</v>
      </c>
      <c r="J785" s="249" t="s">
        <v>56</v>
      </c>
      <c r="K785" s="249" t="s">
        <v>21</v>
      </c>
      <c r="L785" s="250">
        <f t="shared" si="51"/>
        <v>1</v>
      </c>
      <c r="M785" s="237">
        <f t="array" ref="M785">INDEX('BKTT T4.26'!$N$12:$N$55,MATCH(V785,'BKTT T4.26'!$A$12:$A$55,0),0)</f>
        <v>1002400</v>
      </c>
      <c r="N785" s="162">
        <f t="shared" si="50"/>
        <v>1002400</v>
      </c>
      <c r="O785" s="238" t="s">
        <v>267</v>
      </c>
      <c r="P785" s="251" t="s">
        <v>1448</v>
      </c>
      <c r="R785" s="191" t="str">
        <f t="shared" si="52"/>
        <v>Cước vận chuyển Container vỏ tuyến đường HATECO - PAN HA. BKS: 15H20645</v>
      </c>
      <c r="S785" s="191" t="str">
        <f t="shared" si="53"/>
        <v xml:space="preserve"> vỏ </v>
      </c>
      <c r="V785" s="191">
        <v>35</v>
      </c>
    </row>
    <row r="786" spans="1:22" s="191" customFormat="1" ht="15">
      <c r="A786" s="236">
        <v>775</v>
      </c>
      <c r="B786" s="244">
        <v>46125</v>
      </c>
      <c r="C786" s="245" t="s">
        <v>261</v>
      </c>
      <c r="D786" s="284" t="s">
        <v>1035</v>
      </c>
      <c r="E786" s="247"/>
      <c r="F786" s="248"/>
      <c r="G786" s="248"/>
      <c r="H786" s="247">
        <v>1</v>
      </c>
      <c r="I786" s="249" t="s">
        <v>363</v>
      </c>
      <c r="J786" s="249" t="s">
        <v>56</v>
      </c>
      <c r="K786" s="249" t="s">
        <v>21</v>
      </c>
      <c r="L786" s="250">
        <f t="shared" si="51"/>
        <v>1</v>
      </c>
      <c r="M786" s="237">
        <f t="array" ref="M786">INDEX('BKTT T4.26'!$N$12:$N$55,MATCH(V786,'BKTT T4.26'!$A$12:$A$55,0),0)</f>
        <v>1002400</v>
      </c>
      <c r="N786" s="162">
        <f t="shared" si="50"/>
        <v>1002400</v>
      </c>
      <c r="O786" s="238" t="s">
        <v>267</v>
      </c>
      <c r="P786" s="251" t="s">
        <v>1448</v>
      </c>
      <c r="R786" s="191" t="str">
        <f t="shared" si="52"/>
        <v>Cước vận chuyển Container vỏ tuyến đường HATECO - PAN HA. BKS: 15H20645</v>
      </c>
      <c r="S786" s="191" t="str">
        <f t="shared" si="53"/>
        <v xml:space="preserve"> vỏ </v>
      </c>
      <c r="V786" s="191">
        <v>35</v>
      </c>
    </row>
    <row r="787" spans="1:22" s="297" customFormat="1" ht="15">
      <c r="A787" s="236">
        <v>776</v>
      </c>
      <c r="B787" s="286">
        <v>46125</v>
      </c>
      <c r="C787" s="287" t="s">
        <v>261</v>
      </c>
      <c r="D787" s="288" t="s">
        <v>1036</v>
      </c>
      <c r="E787" s="289"/>
      <c r="F787" s="289"/>
      <c r="G787" s="290"/>
      <c r="H787" s="289">
        <v>1</v>
      </c>
      <c r="I787" s="291" t="s">
        <v>363</v>
      </c>
      <c r="J787" s="291" t="s">
        <v>56</v>
      </c>
      <c r="K787" s="249" t="s">
        <v>21</v>
      </c>
      <c r="L787" s="292">
        <f t="shared" si="51"/>
        <v>1</v>
      </c>
      <c r="M787" s="293">
        <f t="array" ref="M787">INDEX('BKTT T4.26'!$N$12:$N$55,MATCH(V787,'BKTT T4.26'!$A$12:$A$55,0),0)</f>
        <v>1002400</v>
      </c>
      <c r="N787" s="294">
        <f t="shared" si="50"/>
        <v>1002400</v>
      </c>
      <c r="O787" s="295" t="s">
        <v>267</v>
      </c>
      <c r="P787" s="296" t="s">
        <v>1448</v>
      </c>
      <c r="Q787" s="297" t="s">
        <v>99</v>
      </c>
      <c r="R787" s="297" t="str">
        <f t="shared" si="52"/>
        <v>Cước vận chuyển Container vỏ tuyến đường HATECO - PAN HA. BKS: 15H20645</v>
      </c>
      <c r="S787" s="297" t="str">
        <f t="shared" si="53"/>
        <v xml:space="preserve"> vỏ </v>
      </c>
      <c r="V787" s="191">
        <v>35</v>
      </c>
    </row>
    <row r="788" spans="1:22" s="191" customFormat="1" ht="15">
      <c r="A788" s="236">
        <v>777</v>
      </c>
      <c r="B788" s="244">
        <v>46125</v>
      </c>
      <c r="C788" s="245" t="s">
        <v>261</v>
      </c>
      <c r="D788" s="246" t="s">
        <v>1037</v>
      </c>
      <c r="E788" s="247"/>
      <c r="F788" s="247"/>
      <c r="G788" s="248"/>
      <c r="H788" s="247">
        <v>1</v>
      </c>
      <c r="I788" s="249" t="s">
        <v>363</v>
      </c>
      <c r="J788" s="249" t="s">
        <v>56</v>
      </c>
      <c r="K788" s="249" t="s">
        <v>21</v>
      </c>
      <c r="L788" s="250">
        <f t="shared" si="51"/>
        <v>1</v>
      </c>
      <c r="M788" s="237">
        <f t="array" ref="M788">INDEX('BKTT T4.26'!$N$12:$N$55,MATCH(V788,'BKTT T4.26'!$A$12:$A$55,0),0)</f>
        <v>1002400</v>
      </c>
      <c r="N788" s="162">
        <f t="shared" si="50"/>
        <v>1002400</v>
      </c>
      <c r="O788" s="238" t="s">
        <v>267</v>
      </c>
      <c r="P788" s="251" t="s">
        <v>1448</v>
      </c>
      <c r="R788" s="191" t="str">
        <f t="shared" si="52"/>
        <v>Cước vận chuyển Container vỏ tuyến đường HATECO - PAN HA. BKS: 15H20645</v>
      </c>
      <c r="S788" s="191" t="str">
        <f t="shared" si="53"/>
        <v xml:space="preserve"> vỏ </v>
      </c>
      <c r="V788" s="191">
        <v>35</v>
      </c>
    </row>
    <row r="789" spans="1:22" s="191" customFormat="1" ht="15">
      <c r="A789" s="236">
        <v>778</v>
      </c>
      <c r="B789" s="244">
        <v>46125</v>
      </c>
      <c r="C789" s="245" t="s">
        <v>261</v>
      </c>
      <c r="D789" s="246" t="s">
        <v>1038</v>
      </c>
      <c r="E789" s="247"/>
      <c r="F789" s="247"/>
      <c r="G789" s="248"/>
      <c r="H789" s="247">
        <v>1</v>
      </c>
      <c r="I789" s="249" t="s">
        <v>279</v>
      </c>
      <c r="J789" s="249" t="s">
        <v>21</v>
      </c>
      <c r="K789" s="249" t="s">
        <v>27</v>
      </c>
      <c r="L789" s="250">
        <f t="shared" si="51"/>
        <v>1</v>
      </c>
      <c r="M789" s="237">
        <f t="array" ref="M789">INDEX('BKTT T4.26'!$N$12:$N$55,MATCH(V789,'BKTT T4.26'!$A$12:$A$55,0),0)</f>
        <v>628690</v>
      </c>
      <c r="N789" s="162">
        <f t="shared" si="50"/>
        <v>628690</v>
      </c>
      <c r="O789" s="238" t="s">
        <v>264</v>
      </c>
      <c r="P789" s="251" t="s">
        <v>1448</v>
      </c>
      <c r="R789" s="191" t="str">
        <f t="shared" si="52"/>
        <v>Cước vận chuyển Container vỏ tuyến đường PAN HA - HẢI AN.. BKS: 15H07524</v>
      </c>
      <c r="S789" s="191" t="str">
        <f t="shared" si="53"/>
        <v xml:space="preserve"> vỏ </v>
      </c>
      <c r="V789" s="191">
        <v>3</v>
      </c>
    </row>
    <row r="790" spans="1:22" s="191" customFormat="1" ht="15">
      <c r="A790" s="236">
        <v>779</v>
      </c>
      <c r="B790" s="244">
        <v>46125</v>
      </c>
      <c r="C790" s="245" t="s">
        <v>261</v>
      </c>
      <c r="D790" s="246" t="s">
        <v>1039</v>
      </c>
      <c r="E790" s="247">
        <v>1</v>
      </c>
      <c r="F790" s="247"/>
      <c r="G790" s="248"/>
      <c r="H790" s="247"/>
      <c r="I790" s="249" t="s">
        <v>279</v>
      </c>
      <c r="J790" s="249" t="s">
        <v>21</v>
      </c>
      <c r="K790" s="249" t="s">
        <v>22</v>
      </c>
      <c r="L790" s="250">
        <f t="shared" si="51"/>
        <v>1</v>
      </c>
      <c r="M790" s="237">
        <f t="array" ref="M790">INDEX('BKTT T4.26'!$N$12:$N$55,MATCH(V790,'BKTT T4.26'!$A$12:$A$55,0),0)</f>
        <v>654871</v>
      </c>
      <c r="N790" s="162">
        <f t="shared" si="50"/>
        <v>654871</v>
      </c>
      <c r="O790" s="238" t="s">
        <v>264</v>
      </c>
      <c r="P790" s="251" t="s">
        <v>1448</v>
      </c>
      <c r="R790" s="191" t="str">
        <f t="shared" si="52"/>
        <v>Cước vận chuyển Container hàng 20' tuyến đường PAN HA - HẢI AN. BKS: 15H07524</v>
      </c>
      <c r="S790" s="191" t="str">
        <f t="shared" si="53"/>
        <v xml:space="preserve"> hàng 20' </v>
      </c>
      <c r="V790" s="191">
        <v>1</v>
      </c>
    </row>
    <row r="791" spans="1:22" s="191" customFormat="1" ht="15">
      <c r="A791" s="236">
        <v>780</v>
      </c>
      <c r="B791" s="244">
        <v>46125</v>
      </c>
      <c r="C791" s="245" t="s">
        <v>261</v>
      </c>
      <c r="D791" s="246" t="s">
        <v>1040</v>
      </c>
      <c r="E791" s="247">
        <v>1</v>
      </c>
      <c r="F791" s="247"/>
      <c r="G791" s="248"/>
      <c r="H791" s="247"/>
      <c r="I791" s="249" t="s">
        <v>279</v>
      </c>
      <c r="J791" s="249" t="s">
        <v>21</v>
      </c>
      <c r="K791" s="249" t="s">
        <v>22</v>
      </c>
      <c r="L791" s="250">
        <f t="shared" si="51"/>
        <v>1</v>
      </c>
      <c r="M791" s="237">
        <f t="array" ref="M791">INDEX('BKTT T4.26'!$N$12:$N$55,MATCH(V791,'BKTT T4.26'!$A$12:$A$55,0),0)</f>
        <v>654871</v>
      </c>
      <c r="N791" s="162">
        <f t="shared" si="50"/>
        <v>654871</v>
      </c>
      <c r="O791" s="238" t="s">
        <v>264</v>
      </c>
      <c r="P791" s="251" t="s">
        <v>1448</v>
      </c>
      <c r="R791" s="191" t="str">
        <f t="shared" si="52"/>
        <v>Cước vận chuyển Container hàng 20' tuyến đường PAN HA - HẢI AN. BKS: 15H07524</v>
      </c>
      <c r="S791" s="191" t="str">
        <f t="shared" si="53"/>
        <v xml:space="preserve"> hàng 20' </v>
      </c>
      <c r="V791" s="191">
        <v>1</v>
      </c>
    </row>
    <row r="792" spans="1:22" s="191" customFormat="1" ht="15">
      <c r="A792" s="236">
        <v>781</v>
      </c>
      <c r="B792" s="244">
        <v>46125</v>
      </c>
      <c r="C792" s="245" t="s">
        <v>261</v>
      </c>
      <c r="D792" s="246" t="s">
        <v>1041</v>
      </c>
      <c r="E792" s="247"/>
      <c r="F792" s="247">
        <v>1</v>
      </c>
      <c r="G792" s="248"/>
      <c r="H792" s="247"/>
      <c r="I792" s="249" t="s">
        <v>279</v>
      </c>
      <c r="J792" s="249" t="s">
        <v>21</v>
      </c>
      <c r="K792" s="249" t="s">
        <v>25</v>
      </c>
      <c r="L792" s="250">
        <f t="shared" si="51"/>
        <v>1</v>
      </c>
      <c r="M792" s="237">
        <f t="array" ref="M792">INDEX('BKTT T4.26'!$N$12:$N$55,MATCH(V792,'BKTT T4.26'!$A$12:$A$55,0),0)</f>
        <v>681050</v>
      </c>
      <c r="N792" s="162">
        <f t="shared" si="50"/>
        <v>681050</v>
      </c>
      <c r="O792" s="238" t="s">
        <v>264</v>
      </c>
      <c r="P792" s="251" t="s">
        <v>1448</v>
      </c>
      <c r="R792" s="191" t="str">
        <f t="shared" si="52"/>
        <v>Cước vận chuyển Container hàng 40' tuyến đường PAN HA - HẢI AN,. BKS: 15H07524</v>
      </c>
      <c r="S792" s="191" t="str">
        <f t="shared" si="53"/>
        <v xml:space="preserve"> hàng 40' </v>
      </c>
      <c r="V792" s="191">
        <v>2</v>
      </c>
    </row>
    <row r="793" spans="1:22" s="191" customFormat="1" ht="15">
      <c r="A793" s="236">
        <v>782</v>
      </c>
      <c r="B793" s="244">
        <v>46125</v>
      </c>
      <c r="C793" s="245" t="s">
        <v>261</v>
      </c>
      <c r="D793" s="246" t="s">
        <v>1042</v>
      </c>
      <c r="E793" s="247"/>
      <c r="F793" s="247">
        <v>1</v>
      </c>
      <c r="G793" s="248"/>
      <c r="H793" s="247"/>
      <c r="I793" s="249" t="s">
        <v>279</v>
      </c>
      <c r="J793" s="249" t="s">
        <v>21</v>
      </c>
      <c r="K793" s="249" t="s">
        <v>25</v>
      </c>
      <c r="L793" s="250">
        <f t="shared" si="51"/>
        <v>1</v>
      </c>
      <c r="M793" s="237">
        <f t="array" ref="M793">INDEX('BKTT T4.26'!$N$12:$N$55,MATCH(V793,'BKTT T4.26'!$A$12:$A$55,0),0)</f>
        <v>681050</v>
      </c>
      <c r="N793" s="162">
        <f t="shared" si="50"/>
        <v>681050</v>
      </c>
      <c r="O793" s="238" t="s">
        <v>264</v>
      </c>
      <c r="P793" s="251" t="s">
        <v>1448</v>
      </c>
      <c r="R793" s="191" t="str">
        <f t="shared" si="52"/>
        <v>Cước vận chuyển Container hàng 40' tuyến đường PAN HA - HẢI AN,. BKS: 15H07524</v>
      </c>
      <c r="S793" s="191" t="str">
        <f t="shared" si="53"/>
        <v xml:space="preserve"> hàng 40' </v>
      </c>
      <c r="V793" s="191">
        <v>2</v>
      </c>
    </row>
    <row r="794" spans="1:22" s="191" customFormat="1" ht="15">
      <c r="A794" s="236">
        <v>783</v>
      </c>
      <c r="B794" s="244">
        <v>46126</v>
      </c>
      <c r="C794" s="245" t="s">
        <v>261</v>
      </c>
      <c r="D794" s="246" t="s">
        <v>1043</v>
      </c>
      <c r="E794" s="247"/>
      <c r="F794" s="247"/>
      <c r="G794" s="248"/>
      <c r="H794" s="247">
        <v>1</v>
      </c>
      <c r="I794" s="249" t="s">
        <v>279</v>
      </c>
      <c r="J794" s="249" t="s">
        <v>56</v>
      </c>
      <c r="K794" s="249" t="s">
        <v>21</v>
      </c>
      <c r="L794" s="250">
        <f t="shared" si="51"/>
        <v>1</v>
      </c>
      <c r="M794" s="237">
        <f t="array" ref="M794">INDEX('BKTT T4.26'!$N$12:$N$55,MATCH(V794,'BKTT T4.26'!$A$12:$A$55,0),0)</f>
        <v>1002400</v>
      </c>
      <c r="N794" s="162">
        <f t="shared" si="50"/>
        <v>1002400</v>
      </c>
      <c r="O794" s="238" t="s">
        <v>267</v>
      </c>
      <c r="P794" s="251" t="s">
        <v>1448</v>
      </c>
      <c r="R794" s="191" t="str">
        <f t="shared" si="52"/>
        <v>Cước vận chuyển Container vỏ tuyến đường HATECO - PAN HA. BKS: 15H07524</v>
      </c>
      <c r="S794" s="191" t="str">
        <f t="shared" si="53"/>
        <v xml:space="preserve"> vỏ </v>
      </c>
      <c r="V794" s="191">
        <v>35</v>
      </c>
    </row>
    <row r="795" spans="1:22" s="191" customFormat="1" ht="15">
      <c r="A795" s="236">
        <v>784</v>
      </c>
      <c r="B795" s="244">
        <v>46126</v>
      </c>
      <c r="C795" s="245" t="s">
        <v>261</v>
      </c>
      <c r="D795" s="246" t="s">
        <v>1044</v>
      </c>
      <c r="E795" s="247">
        <v>1</v>
      </c>
      <c r="F795" s="247"/>
      <c r="G795" s="248"/>
      <c r="H795" s="247"/>
      <c r="I795" s="249" t="s">
        <v>279</v>
      </c>
      <c r="J795" s="249" t="s">
        <v>21</v>
      </c>
      <c r="K795" s="249" t="s">
        <v>31</v>
      </c>
      <c r="L795" s="250">
        <f t="shared" si="51"/>
        <v>1</v>
      </c>
      <c r="M795" s="237">
        <f t="array" ref="M795">INDEX('BKTT T4.26'!$N$12:$N$55,MATCH(V795,'BKTT T4.26'!$A$12:$A$55,0),0)</f>
        <v>454158</v>
      </c>
      <c r="N795" s="162">
        <f t="shared" si="50"/>
        <v>454158</v>
      </c>
      <c r="O795" s="238" t="s">
        <v>264</v>
      </c>
      <c r="P795" s="251" t="s">
        <v>1448</v>
      </c>
      <c r="R795" s="191" t="str">
        <f t="shared" si="52"/>
        <v>Cước vận chuyển Container hàng 20' tuyến đường PAN HA - NDV. BKS: 15H07524</v>
      </c>
      <c r="S795" s="191" t="str">
        <f t="shared" si="53"/>
        <v xml:space="preserve"> hàng 20' </v>
      </c>
      <c r="V795" s="191">
        <v>7</v>
      </c>
    </row>
    <row r="796" spans="1:22" s="191" customFormat="1" ht="15">
      <c r="A796" s="236">
        <v>785</v>
      </c>
      <c r="B796" s="244">
        <v>46126</v>
      </c>
      <c r="C796" s="245" t="s">
        <v>261</v>
      </c>
      <c r="D796" s="246" t="s">
        <v>1045</v>
      </c>
      <c r="E796" s="247">
        <v>1</v>
      </c>
      <c r="F796" s="247"/>
      <c r="G796" s="248"/>
      <c r="H796" s="247"/>
      <c r="I796" s="249" t="s">
        <v>279</v>
      </c>
      <c r="J796" s="249" t="s">
        <v>21</v>
      </c>
      <c r="K796" s="249" t="s">
        <v>31</v>
      </c>
      <c r="L796" s="250">
        <f t="shared" si="51"/>
        <v>1</v>
      </c>
      <c r="M796" s="237">
        <f t="array" ref="M796">INDEX('BKTT T4.26'!$N$12:$N$55,MATCH(V796,'BKTT T4.26'!$A$12:$A$55,0),0)</f>
        <v>454158</v>
      </c>
      <c r="N796" s="162">
        <f t="shared" si="50"/>
        <v>454158</v>
      </c>
      <c r="O796" s="238" t="s">
        <v>264</v>
      </c>
      <c r="P796" s="251" t="s">
        <v>1448</v>
      </c>
      <c r="R796" s="191" t="str">
        <f t="shared" si="52"/>
        <v>Cước vận chuyển Container hàng 20' tuyến đường PAN HA - NDV. BKS: 15H07524</v>
      </c>
      <c r="S796" s="191" t="str">
        <f t="shared" si="53"/>
        <v xml:space="preserve"> hàng 20' </v>
      </c>
      <c r="V796" s="191">
        <v>7</v>
      </c>
    </row>
    <row r="797" spans="1:22" s="191" customFormat="1" ht="15">
      <c r="A797" s="236">
        <v>786</v>
      </c>
      <c r="B797" s="244">
        <v>46126</v>
      </c>
      <c r="C797" s="245" t="s">
        <v>261</v>
      </c>
      <c r="D797" s="246" t="s">
        <v>1046</v>
      </c>
      <c r="E797" s="247">
        <v>1</v>
      </c>
      <c r="F797" s="247"/>
      <c r="G797" s="248"/>
      <c r="H797" s="247"/>
      <c r="I797" s="249" t="s">
        <v>279</v>
      </c>
      <c r="J797" s="249" t="s">
        <v>21</v>
      </c>
      <c r="K797" s="249" t="s">
        <v>31</v>
      </c>
      <c r="L797" s="250">
        <f t="shared" si="51"/>
        <v>1</v>
      </c>
      <c r="M797" s="237">
        <f t="array" ref="M797">INDEX('BKTT T4.26'!$N$12:$N$55,MATCH(V797,'BKTT T4.26'!$A$12:$A$55,0),0)</f>
        <v>454158</v>
      </c>
      <c r="N797" s="162">
        <f t="shared" si="50"/>
        <v>454158</v>
      </c>
      <c r="O797" s="238" t="s">
        <v>264</v>
      </c>
      <c r="P797" s="251" t="s">
        <v>1448</v>
      </c>
      <c r="R797" s="191" t="str">
        <f t="shared" si="52"/>
        <v>Cước vận chuyển Container hàng 20' tuyến đường PAN HA - NDV. BKS: 15H07524</v>
      </c>
      <c r="S797" s="191" t="str">
        <f t="shared" si="53"/>
        <v xml:space="preserve"> hàng 20' </v>
      </c>
      <c r="V797" s="191">
        <v>7</v>
      </c>
    </row>
    <row r="798" spans="1:22" s="191" customFormat="1" ht="15">
      <c r="A798" s="236">
        <v>787</v>
      </c>
      <c r="B798" s="244">
        <v>46126</v>
      </c>
      <c r="C798" s="245" t="s">
        <v>261</v>
      </c>
      <c r="D798" s="246" t="s">
        <v>1047</v>
      </c>
      <c r="E798" s="247">
        <v>1</v>
      </c>
      <c r="F798" s="247"/>
      <c r="G798" s="252"/>
      <c r="H798" s="247"/>
      <c r="I798" s="249" t="s">
        <v>279</v>
      </c>
      <c r="J798" s="249" t="s">
        <v>21</v>
      </c>
      <c r="K798" s="249" t="s">
        <v>31</v>
      </c>
      <c r="L798" s="250">
        <f t="shared" si="51"/>
        <v>1</v>
      </c>
      <c r="M798" s="237">
        <f t="array" ref="M798">INDEX('BKTT T4.26'!$N$12:$N$55,MATCH(V798,'BKTT T4.26'!$A$12:$A$55,0),0)</f>
        <v>454158</v>
      </c>
      <c r="N798" s="162">
        <f t="shared" si="50"/>
        <v>454158</v>
      </c>
      <c r="O798" s="238" t="s">
        <v>264</v>
      </c>
      <c r="P798" s="251" t="s">
        <v>1448</v>
      </c>
      <c r="R798" s="191" t="str">
        <f t="shared" si="52"/>
        <v>Cước vận chuyển Container hàng 20' tuyến đường PAN HA - NDV. BKS: 15H07524</v>
      </c>
      <c r="S798" s="191" t="str">
        <f t="shared" si="53"/>
        <v xml:space="preserve"> hàng 20' </v>
      </c>
      <c r="V798" s="191">
        <v>7</v>
      </c>
    </row>
    <row r="799" spans="1:22" s="191" customFormat="1" ht="15">
      <c r="A799" s="236">
        <v>788</v>
      </c>
      <c r="B799" s="244">
        <v>46126</v>
      </c>
      <c r="C799" s="245" t="s">
        <v>261</v>
      </c>
      <c r="D799" s="246" t="s">
        <v>1048</v>
      </c>
      <c r="E799" s="247"/>
      <c r="F799" s="247"/>
      <c r="G799" s="248">
        <v>0.5</v>
      </c>
      <c r="H799" s="247"/>
      <c r="I799" s="249" t="s">
        <v>279</v>
      </c>
      <c r="J799" s="249" t="s">
        <v>21</v>
      </c>
      <c r="K799" s="249" t="s">
        <v>27</v>
      </c>
      <c r="L799" s="250">
        <f t="shared" si="51"/>
        <v>0.5</v>
      </c>
      <c r="M799" s="237">
        <f t="array" ref="M799">INDEX('BKTT T4.26'!$N$12:$N$55,MATCH(V799,'BKTT T4.26'!$A$12:$A$55,0),0)</f>
        <v>628690</v>
      </c>
      <c r="N799" s="162">
        <f t="shared" si="50"/>
        <v>314345</v>
      </c>
      <c r="O799" s="238" t="s">
        <v>264</v>
      </c>
      <c r="P799" s="251" t="s">
        <v>1448</v>
      </c>
      <c r="R799" s="191" t="str">
        <f t="shared" si="52"/>
        <v>Cước vận chuyển Container vỏ tuyến đường PAN HA - HẢI AN.. BKS: 15H07524</v>
      </c>
      <c r="S799" s="191" t="str">
        <f t="shared" si="53"/>
        <v xml:space="preserve"> vỏ </v>
      </c>
      <c r="V799" s="191">
        <v>3</v>
      </c>
    </row>
    <row r="800" spans="1:22" s="191" customFormat="1" ht="15">
      <c r="A800" s="236">
        <v>789</v>
      </c>
      <c r="B800" s="244">
        <v>46126</v>
      </c>
      <c r="C800" s="245" t="s">
        <v>261</v>
      </c>
      <c r="D800" s="246" t="s">
        <v>1049</v>
      </c>
      <c r="E800" s="247"/>
      <c r="F800" s="247"/>
      <c r="G800" s="248">
        <v>0.5</v>
      </c>
      <c r="H800" s="247"/>
      <c r="I800" s="249" t="s">
        <v>279</v>
      </c>
      <c r="J800" s="249" t="s">
        <v>21</v>
      </c>
      <c r="K800" s="249" t="s">
        <v>27</v>
      </c>
      <c r="L800" s="250">
        <f t="shared" si="51"/>
        <v>0.5</v>
      </c>
      <c r="M800" s="237">
        <f t="array" ref="M800">INDEX('BKTT T4.26'!$N$12:$N$55,MATCH(V800,'BKTT T4.26'!$A$12:$A$55,0),0)</f>
        <v>628690</v>
      </c>
      <c r="N800" s="162">
        <f t="shared" si="50"/>
        <v>314345</v>
      </c>
      <c r="O800" s="238" t="s">
        <v>264</v>
      </c>
      <c r="P800" s="251" t="s">
        <v>1448</v>
      </c>
      <c r="R800" s="191" t="str">
        <f t="shared" si="52"/>
        <v>Cước vận chuyển Container vỏ tuyến đường PAN HA - HẢI AN.. BKS: 15H07524</v>
      </c>
      <c r="S800" s="191" t="str">
        <f t="shared" si="53"/>
        <v xml:space="preserve"> vỏ </v>
      </c>
      <c r="V800" s="191">
        <v>3</v>
      </c>
    </row>
    <row r="801" spans="1:22" s="191" customFormat="1" ht="15">
      <c r="A801" s="236">
        <v>790</v>
      </c>
      <c r="B801" s="244">
        <v>46125</v>
      </c>
      <c r="C801" s="245" t="s">
        <v>261</v>
      </c>
      <c r="D801" s="246" t="s">
        <v>1050</v>
      </c>
      <c r="E801" s="247"/>
      <c r="F801" s="247"/>
      <c r="G801" s="248"/>
      <c r="H801" s="247">
        <v>1</v>
      </c>
      <c r="I801" s="249" t="s">
        <v>438</v>
      </c>
      <c r="J801" s="249" t="s">
        <v>21</v>
      </c>
      <c r="K801" s="249" t="s">
        <v>27</v>
      </c>
      <c r="L801" s="250">
        <f t="shared" si="51"/>
        <v>1</v>
      </c>
      <c r="M801" s="237">
        <f t="array" ref="M801">INDEX('BKTT T4.26'!$N$12:$N$55,MATCH(V801,'BKTT T4.26'!$A$12:$A$55,0),0)</f>
        <v>628690</v>
      </c>
      <c r="N801" s="162">
        <f t="shared" si="50"/>
        <v>628690</v>
      </c>
      <c r="O801" s="238" t="s">
        <v>264</v>
      </c>
      <c r="P801" s="251" t="s">
        <v>1448</v>
      </c>
      <c r="R801" s="191" t="str">
        <f t="shared" si="52"/>
        <v>Cước vận chuyển Container vỏ tuyến đường PAN HA - HẢI AN.. BKS: 15C30649</v>
      </c>
      <c r="S801" s="191" t="str">
        <f t="shared" si="53"/>
        <v xml:space="preserve"> vỏ </v>
      </c>
      <c r="V801" s="191">
        <v>3</v>
      </c>
    </row>
    <row r="802" spans="1:22" s="191" customFormat="1" ht="15">
      <c r="A802" s="236">
        <v>791</v>
      </c>
      <c r="B802" s="244">
        <v>46125</v>
      </c>
      <c r="C802" s="245" t="s">
        <v>261</v>
      </c>
      <c r="D802" s="246" t="s">
        <v>1051</v>
      </c>
      <c r="E802" s="247">
        <v>1</v>
      </c>
      <c r="F802" s="247"/>
      <c r="G802" s="248"/>
      <c r="H802" s="247"/>
      <c r="I802" s="249" t="s">
        <v>438</v>
      </c>
      <c r="J802" s="249" t="s">
        <v>21</v>
      </c>
      <c r="K802" s="249" t="s">
        <v>22</v>
      </c>
      <c r="L802" s="250">
        <f t="shared" si="51"/>
        <v>1</v>
      </c>
      <c r="M802" s="237">
        <f t="array" ref="M802">INDEX('BKTT T4.26'!$N$12:$N$55,MATCH(V802,'BKTT T4.26'!$A$12:$A$55,0),0)</f>
        <v>654871</v>
      </c>
      <c r="N802" s="162">
        <f t="shared" ref="N802:N865" si="54">L802*M802</f>
        <v>654871</v>
      </c>
      <c r="O802" s="238" t="s">
        <v>264</v>
      </c>
      <c r="P802" s="251" t="s">
        <v>1448</v>
      </c>
      <c r="R802" s="191" t="str">
        <f t="shared" si="52"/>
        <v>Cước vận chuyển Container hàng 20' tuyến đường PAN HA - HẢI AN. BKS: 15C30649</v>
      </c>
      <c r="S802" s="191" t="str">
        <f t="shared" si="53"/>
        <v xml:space="preserve"> hàng 20' </v>
      </c>
      <c r="V802" s="191">
        <v>1</v>
      </c>
    </row>
    <row r="803" spans="1:22" s="191" customFormat="1" ht="15">
      <c r="A803" s="236">
        <v>792</v>
      </c>
      <c r="B803" s="244">
        <v>46125</v>
      </c>
      <c r="C803" s="245" t="s">
        <v>261</v>
      </c>
      <c r="D803" s="246" t="s">
        <v>1052</v>
      </c>
      <c r="E803" s="247">
        <v>1</v>
      </c>
      <c r="F803" s="247"/>
      <c r="G803" s="248"/>
      <c r="H803" s="247"/>
      <c r="I803" s="249" t="s">
        <v>438</v>
      </c>
      <c r="J803" s="249" t="s">
        <v>21</v>
      </c>
      <c r="K803" s="249" t="s">
        <v>22</v>
      </c>
      <c r="L803" s="250">
        <f t="shared" si="51"/>
        <v>1</v>
      </c>
      <c r="M803" s="237">
        <f t="array" ref="M803">INDEX('BKTT T4.26'!$N$12:$N$55,MATCH(V803,'BKTT T4.26'!$A$12:$A$55,0),0)</f>
        <v>654871</v>
      </c>
      <c r="N803" s="162">
        <f t="shared" si="54"/>
        <v>654871</v>
      </c>
      <c r="O803" s="238" t="s">
        <v>264</v>
      </c>
      <c r="P803" s="251" t="s">
        <v>1448</v>
      </c>
      <c r="R803" s="191" t="str">
        <f t="shared" si="52"/>
        <v>Cước vận chuyển Container hàng 20' tuyến đường PAN HA - HẢI AN. BKS: 15C30649</v>
      </c>
      <c r="S803" s="191" t="str">
        <f t="shared" si="53"/>
        <v xml:space="preserve"> hàng 20' </v>
      </c>
      <c r="V803" s="191">
        <v>1</v>
      </c>
    </row>
    <row r="804" spans="1:22" s="191" customFormat="1" ht="15">
      <c r="A804" s="236">
        <v>793</v>
      </c>
      <c r="B804" s="244">
        <v>46125</v>
      </c>
      <c r="C804" s="245" t="s">
        <v>261</v>
      </c>
      <c r="D804" s="246" t="s">
        <v>1053</v>
      </c>
      <c r="E804" s="247"/>
      <c r="F804" s="247">
        <v>1</v>
      </c>
      <c r="G804" s="248"/>
      <c r="H804" s="247"/>
      <c r="I804" s="249" t="s">
        <v>438</v>
      </c>
      <c r="J804" s="249" t="s">
        <v>21</v>
      </c>
      <c r="K804" s="249" t="s">
        <v>25</v>
      </c>
      <c r="L804" s="250">
        <f t="shared" si="51"/>
        <v>1</v>
      </c>
      <c r="M804" s="237">
        <f t="array" ref="M804">INDEX('BKTT T4.26'!$N$12:$N$55,MATCH(V804,'BKTT T4.26'!$A$12:$A$55,0),0)</f>
        <v>681050</v>
      </c>
      <c r="N804" s="162">
        <f t="shared" si="54"/>
        <v>681050</v>
      </c>
      <c r="O804" s="238" t="s">
        <v>264</v>
      </c>
      <c r="P804" s="251" t="s">
        <v>1448</v>
      </c>
      <c r="R804" s="191" t="str">
        <f t="shared" si="52"/>
        <v>Cước vận chuyển Container hàng 40' tuyến đường PAN HA - HẢI AN,. BKS: 15C30649</v>
      </c>
      <c r="S804" s="191" t="str">
        <f t="shared" si="53"/>
        <v xml:space="preserve"> hàng 40' </v>
      </c>
      <c r="V804" s="191">
        <v>2</v>
      </c>
    </row>
    <row r="805" spans="1:22" s="191" customFormat="1" ht="15">
      <c r="A805" s="236">
        <v>794</v>
      </c>
      <c r="B805" s="244">
        <v>46125</v>
      </c>
      <c r="C805" s="245" t="s">
        <v>261</v>
      </c>
      <c r="D805" s="246" t="s">
        <v>1054</v>
      </c>
      <c r="E805" s="247">
        <v>1</v>
      </c>
      <c r="F805" s="247"/>
      <c r="G805" s="248"/>
      <c r="H805" s="247"/>
      <c r="I805" s="249" t="s">
        <v>438</v>
      </c>
      <c r="J805" s="249" t="s">
        <v>21</v>
      </c>
      <c r="K805" s="249" t="s">
        <v>22</v>
      </c>
      <c r="L805" s="250">
        <f t="shared" si="51"/>
        <v>1</v>
      </c>
      <c r="M805" s="237">
        <f t="array" ref="M805">INDEX('BKTT T4.26'!$N$12:$N$55,MATCH(V805,'BKTT T4.26'!$A$12:$A$55,0),0)</f>
        <v>654871</v>
      </c>
      <c r="N805" s="162">
        <f t="shared" si="54"/>
        <v>654871</v>
      </c>
      <c r="O805" s="238" t="s">
        <v>264</v>
      </c>
      <c r="P805" s="251" t="s">
        <v>1448</v>
      </c>
      <c r="R805" s="191" t="str">
        <f t="shared" si="52"/>
        <v>Cước vận chuyển Container hàng 20' tuyến đường PAN HA - HẢI AN. BKS: 15C30649</v>
      </c>
      <c r="S805" s="191" t="str">
        <f t="shared" si="53"/>
        <v xml:space="preserve"> hàng 20' </v>
      </c>
      <c r="V805" s="191">
        <v>1</v>
      </c>
    </row>
    <row r="806" spans="1:22" s="191" customFormat="1" ht="15">
      <c r="A806" s="236">
        <v>795</v>
      </c>
      <c r="B806" s="244">
        <v>46125</v>
      </c>
      <c r="C806" s="245" t="s">
        <v>261</v>
      </c>
      <c r="D806" s="246" t="s">
        <v>1055</v>
      </c>
      <c r="E806" s="247"/>
      <c r="F806" s="247">
        <v>1</v>
      </c>
      <c r="G806" s="248"/>
      <c r="H806" s="247"/>
      <c r="I806" s="249" t="s">
        <v>438</v>
      </c>
      <c r="J806" s="249" t="s">
        <v>21</v>
      </c>
      <c r="K806" s="249" t="s">
        <v>25</v>
      </c>
      <c r="L806" s="250">
        <f t="shared" si="51"/>
        <v>1</v>
      </c>
      <c r="M806" s="237">
        <f t="array" ref="M806">INDEX('BKTT T4.26'!$N$12:$N$55,MATCH(V806,'BKTT T4.26'!$A$12:$A$55,0),0)</f>
        <v>681050</v>
      </c>
      <c r="N806" s="162">
        <f t="shared" si="54"/>
        <v>681050</v>
      </c>
      <c r="O806" s="238" t="s">
        <v>264</v>
      </c>
      <c r="P806" s="251" t="s">
        <v>1448</v>
      </c>
      <c r="R806" s="191" t="str">
        <f t="shared" si="52"/>
        <v>Cước vận chuyển Container hàng 40' tuyến đường PAN HA - HẢI AN,. BKS: 15C30649</v>
      </c>
      <c r="S806" s="191" t="str">
        <f t="shared" si="53"/>
        <v xml:space="preserve"> hàng 40' </v>
      </c>
      <c r="V806" s="191">
        <v>2</v>
      </c>
    </row>
    <row r="807" spans="1:22" s="191" customFormat="1" ht="15">
      <c r="A807" s="236">
        <v>796</v>
      </c>
      <c r="B807" s="244">
        <v>46125</v>
      </c>
      <c r="C807" s="245" t="s">
        <v>261</v>
      </c>
      <c r="D807" s="246" t="s">
        <v>1056</v>
      </c>
      <c r="E807" s="247">
        <v>1</v>
      </c>
      <c r="F807" s="247"/>
      <c r="G807" s="248"/>
      <c r="H807" s="247"/>
      <c r="I807" s="249" t="s">
        <v>438</v>
      </c>
      <c r="J807" s="249" t="s">
        <v>21</v>
      </c>
      <c r="K807" s="249" t="s">
        <v>31</v>
      </c>
      <c r="L807" s="250">
        <f t="shared" si="51"/>
        <v>1</v>
      </c>
      <c r="M807" s="237">
        <f t="array" ref="M807">INDEX('BKTT T4.26'!$N$12:$N$55,MATCH(V807,'BKTT T4.26'!$A$12:$A$55,0),0)</f>
        <v>454158</v>
      </c>
      <c r="N807" s="162">
        <f t="shared" si="54"/>
        <v>454158</v>
      </c>
      <c r="O807" s="238" t="s">
        <v>264</v>
      </c>
      <c r="P807" s="251" t="s">
        <v>1448</v>
      </c>
      <c r="R807" s="191" t="str">
        <f t="shared" si="52"/>
        <v>Cước vận chuyển Container hàng 20' tuyến đường PAN HA - NDV. BKS: 15C30649</v>
      </c>
      <c r="S807" s="191" t="str">
        <f t="shared" si="53"/>
        <v xml:space="preserve"> hàng 20' </v>
      </c>
      <c r="V807" s="191">
        <v>7</v>
      </c>
    </row>
    <row r="808" spans="1:22" s="191" customFormat="1" ht="15">
      <c r="A808" s="236">
        <v>797</v>
      </c>
      <c r="B808" s="244">
        <v>46125</v>
      </c>
      <c r="C808" s="245" t="s">
        <v>261</v>
      </c>
      <c r="D808" s="246" t="s">
        <v>1057</v>
      </c>
      <c r="E808" s="247">
        <v>1</v>
      </c>
      <c r="F808" s="247"/>
      <c r="G808" s="248"/>
      <c r="H808" s="247"/>
      <c r="I808" s="249" t="s">
        <v>438</v>
      </c>
      <c r="J808" s="249" t="s">
        <v>21</v>
      </c>
      <c r="K808" s="249" t="s">
        <v>31</v>
      </c>
      <c r="L808" s="250">
        <f t="shared" si="51"/>
        <v>1</v>
      </c>
      <c r="M808" s="237">
        <f t="array" ref="M808">INDEX('BKTT T4.26'!$N$12:$N$55,MATCH(V808,'BKTT T4.26'!$A$12:$A$55,0),0)</f>
        <v>454158</v>
      </c>
      <c r="N808" s="162">
        <f t="shared" si="54"/>
        <v>454158</v>
      </c>
      <c r="O808" s="238" t="s">
        <v>264</v>
      </c>
      <c r="P808" s="251" t="s">
        <v>1448</v>
      </c>
      <c r="R808" s="191" t="str">
        <f t="shared" si="52"/>
        <v>Cước vận chuyển Container hàng 20' tuyến đường PAN HA - NDV. BKS: 15C30649</v>
      </c>
      <c r="S808" s="191" t="str">
        <f t="shared" si="53"/>
        <v xml:space="preserve"> hàng 20' </v>
      </c>
      <c r="V808" s="191">
        <v>7</v>
      </c>
    </row>
    <row r="809" spans="1:22" s="191" customFormat="1" ht="15">
      <c r="A809" s="236">
        <v>798</v>
      </c>
      <c r="B809" s="244">
        <v>46125</v>
      </c>
      <c r="C809" s="245" t="s">
        <v>261</v>
      </c>
      <c r="D809" s="246" t="s">
        <v>1058</v>
      </c>
      <c r="E809" s="247"/>
      <c r="F809" s="247"/>
      <c r="G809" s="248"/>
      <c r="H809" s="247">
        <v>1</v>
      </c>
      <c r="I809" s="249" t="s">
        <v>438</v>
      </c>
      <c r="J809" s="249" t="s">
        <v>56</v>
      </c>
      <c r="K809" s="249" t="s">
        <v>21</v>
      </c>
      <c r="L809" s="250">
        <f t="shared" si="51"/>
        <v>1</v>
      </c>
      <c r="M809" s="237">
        <f t="array" ref="M809">INDEX('BKTT T4.26'!$N$12:$N$55,MATCH(V809,'BKTT T4.26'!$A$12:$A$55,0),0)</f>
        <v>1002400</v>
      </c>
      <c r="N809" s="162">
        <f t="shared" si="54"/>
        <v>1002400</v>
      </c>
      <c r="O809" s="238" t="s">
        <v>267</v>
      </c>
      <c r="P809" s="251" t="s">
        <v>1448</v>
      </c>
      <c r="R809" s="191" t="str">
        <f t="shared" si="52"/>
        <v>Cước vận chuyển Container vỏ tuyến đường HATECO - PAN HA. BKS: 15C30649</v>
      </c>
      <c r="S809" s="191" t="str">
        <f t="shared" si="53"/>
        <v xml:space="preserve"> vỏ </v>
      </c>
      <c r="V809" s="191">
        <v>35</v>
      </c>
    </row>
    <row r="810" spans="1:22" s="191" customFormat="1" ht="15">
      <c r="A810" s="236">
        <v>799</v>
      </c>
      <c r="B810" s="244">
        <v>46125</v>
      </c>
      <c r="C810" s="245" t="s">
        <v>261</v>
      </c>
      <c r="D810" s="284" t="s">
        <v>1059</v>
      </c>
      <c r="E810" s="247"/>
      <c r="F810" s="247"/>
      <c r="G810" s="248"/>
      <c r="H810" s="247">
        <v>1</v>
      </c>
      <c r="I810" s="249" t="s">
        <v>438</v>
      </c>
      <c r="J810" s="249" t="s">
        <v>56</v>
      </c>
      <c r="K810" s="249" t="s">
        <v>21</v>
      </c>
      <c r="L810" s="250">
        <f t="shared" si="51"/>
        <v>1</v>
      </c>
      <c r="M810" s="237">
        <f t="array" ref="M810">INDEX('BKTT T4.26'!$N$12:$N$55,MATCH(V810,'BKTT T4.26'!$A$12:$A$55,0),0)</f>
        <v>1002400</v>
      </c>
      <c r="N810" s="162">
        <f t="shared" si="54"/>
        <v>1002400</v>
      </c>
      <c r="O810" s="238" t="s">
        <v>267</v>
      </c>
      <c r="P810" s="251" t="s">
        <v>1448</v>
      </c>
      <c r="R810" s="191" t="str">
        <f t="shared" si="52"/>
        <v>Cước vận chuyển Container vỏ tuyến đường HATECO - PAN HA. BKS: 15C30649</v>
      </c>
      <c r="S810" s="191" t="str">
        <f t="shared" si="53"/>
        <v xml:space="preserve"> vỏ </v>
      </c>
      <c r="V810" s="191">
        <v>35</v>
      </c>
    </row>
    <row r="811" spans="1:22" s="191" customFormat="1" ht="15">
      <c r="A811" s="236">
        <v>800</v>
      </c>
      <c r="B811" s="244">
        <v>46125</v>
      </c>
      <c r="C811" s="245" t="s">
        <v>261</v>
      </c>
      <c r="D811" s="246" t="s">
        <v>1060</v>
      </c>
      <c r="E811" s="247"/>
      <c r="F811" s="247"/>
      <c r="G811" s="248"/>
      <c r="H811" s="247">
        <v>1</v>
      </c>
      <c r="I811" s="249" t="s">
        <v>438</v>
      </c>
      <c r="J811" s="249" t="s">
        <v>56</v>
      </c>
      <c r="K811" s="249" t="s">
        <v>21</v>
      </c>
      <c r="L811" s="250">
        <f t="shared" si="51"/>
        <v>1</v>
      </c>
      <c r="M811" s="237">
        <f t="array" ref="M811">INDEX('BKTT T4.26'!$N$12:$N$55,MATCH(V811,'BKTT T4.26'!$A$12:$A$55,0),0)</f>
        <v>1002400</v>
      </c>
      <c r="N811" s="162">
        <f t="shared" si="54"/>
        <v>1002400</v>
      </c>
      <c r="O811" s="238" t="s">
        <v>267</v>
      </c>
      <c r="P811" s="251" t="s">
        <v>1448</v>
      </c>
      <c r="R811" s="191" t="str">
        <f t="shared" si="52"/>
        <v>Cước vận chuyển Container vỏ tuyến đường HATECO - PAN HA. BKS: 15C30649</v>
      </c>
      <c r="S811" s="191" t="str">
        <f t="shared" si="53"/>
        <v xml:space="preserve"> vỏ </v>
      </c>
      <c r="V811" s="191">
        <v>35</v>
      </c>
    </row>
    <row r="812" spans="1:22" s="191" customFormat="1" ht="15">
      <c r="A812" s="236">
        <v>801</v>
      </c>
      <c r="B812" s="244">
        <v>46125</v>
      </c>
      <c r="C812" s="245" t="s">
        <v>261</v>
      </c>
      <c r="D812" s="246" t="s">
        <v>1061</v>
      </c>
      <c r="E812" s="247"/>
      <c r="F812" s="247"/>
      <c r="G812" s="248"/>
      <c r="H812" s="247">
        <v>1</v>
      </c>
      <c r="I812" s="249" t="s">
        <v>438</v>
      </c>
      <c r="J812" s="249" t="s">
        <v>56</v>
      </c>
      <c r="K812" s="249" t="s">
        <v>21</v>
      </c>
      <c r="L812" s="250">
        <f t="shared" si="51"/>
        <v>1</v>
      </c>
      <c r="M812" s="237">
        <f t="array" ref="M812">INDEX('BKTT T4.26'!$N$12:$N$55,MATCH(V812,'BKTT T4.26'!$A$12:$A$55,0),0)</f>
        <v>1002400</v>
      </c>
      <c r="N812" s="162">
        <f t="shared" si="54"/>
        <v>1002400</v>
      </c>
      <c r="O812" s="238" t="s">
        <v>267</v>
      </c>
      <c r="P812" s="251" t="s">
        <v>1448</v>
      </c>
      <c r="R812" s="191" t="str">
        <f t="shared" si="52"/>
        <v>Cước vận chuyển Container vỏ tuyến đường HATECO - PAN HA. BKS: 15C30649</v>
      </c>
      <c r="S812" s="191" t="str">
        <f t="shared" si="53"/>
        <v xml:space="preserve"> vỏ </v>
      </c>
      <c r="V812" s="191">
        <v>35</v>
      </c>
    </row>
    <row r="813" spans="1:22" s="191" customFormat="1" ht="15">
      <c r="A813" s="236">
        <v>802</v>
      </c>
      <c r="B813" s="244">
        <v>46125</v>
      </c>
      <c r="C813" s="245" t="s">
        <v>261</v>
      </c>
      <c r="D813" s="246" t="s">
        <v>1062</v>
      </c>
      <c r="E813" s="247"/>
      <c r="F813" s="247"/>
      <c r="G813" s="248"/>
      <c r="H813" s="247">
        <v>1</v>
      </c>
      <c r="I813" s="249" t="s">
        <v>438</v>
      </c>
      <c r="J813" s="249" t="s">
        <v>56</v>
      </c>
      <c r="K813" s="249" t="s">
        <v>21</v>
      </c>
      <c r="L813" s="250">
        <f t="shared" si="51"/>
        <v>1</v>
      </c>
      <c r="M813" s="237">
        <f t="array" ref="M813">INDEX('BKTT T4.26'!$N$12:$N$55,MATCH(V813,'BKTT T4.26'!$A$12:$A$55,0),0)</f>
        <v>1002400</v>
      </c>
      <c r="N813" s="162">
        <f t="shared" si="54"/>
        <v>1002400</v>
      </c>
      <c r="O813" s="238" t="s">
        <v>267</v>
      </c>
      <c r="P813" s="251" t="s">
        <v>1448</v>
      </c>
      <c r="R813" s="191" t="str">
        <f t="shared" si="52"/>
        <v>Cước vận chuyển Container vỏ tuyến đường HATECO - PAN HA. BKS: 15C30649</v>
      </c>
      <c r="S813" s="191" t="str">
        <f t="shared" si="53"/>
        <v xml:space="preserve"> vỏ </v>
      </c>
      <c r="V813" s="191">
        <v>35</v>
      </c>
    </row>
    <row r="814" spans="1:22" s="191" customFormat="1" ht="15">
      <c r="A814" s="236">
        <v>803</v>
      </c>
      <c r="B814" s="244">
        <v>46126</v>
      </c>
      <c r="C814" s="245" t="s">
        <v>261</v>
      </c>
      <c r="D814" s="246" t="s">
        <v>1063</v>
      </c>
      <c r="E814" s="247"/>
      <c r="F814" s="247"/>
      <c r="G814" s="248"/>
      <c r="H814" s="247">
        <v>1</v>
      </c>
      <c r="I814" s="249" t="s">
        <v>282</v>
      </c>
      <c r="J814" s="249" t="s">
        <v>56</v>
      </c>
      <c r="K814" s="249" t="s">
        <v>21</v>
      </c>
      <c r="L814" s="250">
        <f t="shared" si="51"/>
        <v>1</v>
      </c>
      <c r="M814" s="237">
        <f t="array" ref="M814">INDEX('BKTT T4.26'!$N$12:$N$55,MATCH(V814,'BKTT T4.26'!$A$12:$A$55,0),0)</f>
        <v>1002400</v>
      </c>
      <c r="N814" s="162">
        <f t="shared" si="54"/>
        <v>1002400</v>
      </c>
      <c r="O814" s="238" t="s">
        <v>267</v>
      </c>
      <c r="P814" s="251" t="s">
        <v>1448</v>
      </c>
      <c r="R814" s="191" t="str">
        <f t="shared" si="52"/>
        <v>Cước vận chuyển Container vỏ tuyến đường HATECO - PAN HA. BKS: 15C17301</v>
      </c>
      <c r="S814" s="191" t="str">
        <f t="shared" si="53"/>
        <v xml:space="preserve"> vỏ </v>
      </c>
      <c r="V814" s="191">
        <v>35</v>
      </c>
    </row>
    <row r="815" spans="1:22" s="191" customFormat="1" ht="15">
      <c r="A815" s="236">
        <v>804</v>
      </c>
      <c r="B815" s="244">
        <v>46126</v>
      </c>
      <c r="C815" s="245" t="s">
        <v>261</v>
      </c>
      <c r="D815" s="246" t="s">
        <v>1064</v>
      </c>
      <c r="E815" s="247"/>
      <c r="F815" s="247"/>
      <c r="G815" s="248"/>
      <c r="H815" s="247">
        <v>1</v>
      </c>
      <c r="I815" s="249" t="s">
        <v>282</v>
      </c>
      <c r="J815" s="249" t="s">
        <v>56</v>
      </c>
      <c r="K815" s="249" t="s">
        <v>21</v>
      </c>
      <c r="L815" s="250">
        <f t="shared" si="51"/>
        <v>1</v>
      </c>
      <c r="M815" s="237">
        <f t="array" ref="M815">INDEX('BKTT T4.26'!$N$12:$N$55,MATCH(V815,'BKTT T4.26'!$A$12:$A$55,0),0)</f>
        <v>1002400</v>
      </c>
      <c r="N815" s="162">
        <f t="shared" si="54"/>
        <v>1002400</v>
      </c>
      <c r="O815" s="238" t="s">
        <v>267</v>
      </c>
      <c r="P815" s="251" t="s">
        <v>1448</v>
      </c>
      <c r="R815" s="191" t="str">
        <f t="shared" si="52"/>
        <v>Cước vận chuyển Container vỏ tuyến đường HATECO - PAN HA. BKS: 15C17301</v>
      </c>
      <c r="S815" s="191" t="str">
        <f t="shared" si="53"/>
        <v xml:space="preserve"> vỏ </v>
      </c>
      <c r="V815" s="191">
        <v>35</v>
      </c>
    </row>
    <row r="816" spans="1:22" s="191" customFormat="1" ht="15">
      <c r="A816" s="236">
        <v>805</v>
      </c>
      <c r="B816" s="244">
        <v>46126</v>
      </c>
      <c r="C816" s="245" t="s">
        <v>261</v>
      </c>
      <c r="D816" s="246" t="s">
        <v>1065</v>
      </c>
      <c r="E816" s="247"/>
      <c r="F816" s="247"/>
      <c r="G816" s="248"/>
      <c r="H816" s="247">
        <v>1</v>
      </c>
      <c r="I816" s="249" t="s">
        <v>282</v>
      </c>
      <c r="J816" s="249" t="s">
        <v>56</v>
      </c>
      <c r="K816" s="249" t="s">
        <v>21</v>
      </c>
      <c r="L816" s="250">
        <f t="shared" si="51"/>
        <v>1</v>
      </c>
      <c r="M816" s="237">
        <f t="array" ref="M816">INDEX('BKTT T4.26'!$N$12:$N$55,MATCH(V816,'BKTT T4.26'!$A$12:$A$55,0),0)</f>
        <v>1002400</v>
      </c>
      <c r="N816" s="162">
        <f t="shared" si="54"/>
        <v>1002400</v>
      </c>
      <c r="O816" s="238" t="s">
        <v>267</v>
      </c>
      <c r="P816" s="251" t="s">
        <v>1448</v>
      </c>
      <c r="R816" s="191" t="str">
        <f t="shared" si="52"/>
        <v>Cước vận chuyển Container vỏ tuyến đường HATECO - PAN HA. BKS: 15C17301</v>
      </c>
      <c r="S816" s="191" t="str">
        <f t="shared" si="53"/>
        <v xml:space="preserve"> vỏ </v>
      </c>
      <c r="V816" s="191">
        <v>35</v>
      </c>
    </row>
    <row r="817" spans="1:22" s="191" customFormat="1" ht="15">
      <c r="A817" s="236">
        <v>806</v>
      </c>
      <c r="B817" s="244">
        <v>46126</v>
      </c>
      <c r="C817" s="245" t="s">
        <v>261</v>
      </c>
      <c r="D817" s="246" t="s">
        <v>1066</v>
      </c>
      <c r="E817" s="247"/>
      <c r="F817" s="247"/>
      <c r="G817" s="248"/>
      <c r="H817" s="247">
        <v>1</v>
      </c>
      <c r="I817" s="249" t="s">
        <v>282</v>
      </c>
      <c r="J817" s="249" t="s">
        <v>56</v>
      </c>
      <c r="K817" s="249" t="s">
        <v>21</v>
      </c>
      <c r="L817" s="250">
        <f t="shared" si="51"/>
        <v>1</v>
      </c>
      <c r="M817" s="237">
        <f t="array" ref="M817">INDEX('BKTT T4.26'!$N$12:$N$55,MATCH(V817,'BKTT T4.26'!$A$12:$A$55,0),0)</f>
        <v>1002400</v>
      </c>
      <c r="N817" s="162">
        <f t="shared" si="54"/>
        <v>1002400</v>
      </c>
      <c r="O817" s="238" t="s">
        <v>267</v>
      </c>
      <c r="P817" s="251" t="s">
        <v>1448</v>
      </c>
      <c r="R817" s="191" t="str">
        <f t="shared" si="52"/>
        <v>Cước vận chuyển Container vỏ tuyến đường HATECO - PAN HA. BKS: 15C17301</v>
      </c>
      <c r="S817" s="191" t="str">
        <f t="shared" si="53"/>
        <v xml:space="preserve"> vỏ </v>
      </c>
      <c r="V817" s="191">
        <v>35</v>
      </c>
    </row>
    <row r="818" spans="1:22" s="191" customFormat="1" ht="15">
      <c r="A818" s="236">
        <v>807</v>
      </c>
      <c r="B818" s="244">
        <v>46126</v>
      </c>
      <c r="C818" s="245" t="s">
        <v>261</v>
      </c>
      <c r="D818" s="246" t="s">
        <v>1067</v>
      </c>
      <c r="E818" s="247"/>
      <c r="F818" s="247"/>
      <c r="G818" s="248"/>
      <c r="H818" s="247">
        <v>1</v>
      </c>
      <c r="I818" s="249" t="s">
        <v>282</v>
      </c>
      <c r="J818" s="249" t="s">
        <v>56</v>
      </c>
      <c r="K818" s="249" t="s">
        <v>21</v>
      </c>
      <c r="L818" s="250">
        <f t="shared" si="51"/>
        <v>1</v>
      </c>
      <c r="M818" s="237">
        <f t="array" ref="M818">INDEX('BKTT T4.26'!$N$12:$N$55,MATCH(V818,'BKTT T4.26'!$A$12:$A$55,0),0)</f>
        <v>1002400</v>
      </c>
      <c r="N818" s="162">
        <f t="shared" si="54"/>
        <v>1002400</v>
      </c>
      <c r="O818" s="238" t="s">
        <v>267</v>
      </c>
      <c r="P818" s="251" t="s">
        <v>1448</v>
      </c>
      <c r="R818" s="191" t="str">
        <f t="shared" si="52"/>
        <v>Cước vận chuyển Container vỏ tuyến đường HATECO - PAN HA. BKS: 15C17301</v>
      </c>
      <c r="S818" s="191" t="str">
        <f t="shared" si="53"/>
        <v xml:space="preserve"> vỏ </v>
      </c>
      <c r="V818" s="191">
        <v>35</v>
      </c>
    </row>
    <row r="819" spans="1:22" s="191" customFormat="1" ht="15">
      <c r="A819" s="236">
        <v>808</v>
      </c>
      <c r="B819" s="244">
        <v>46126</v>
      </c>
      <c r="C819" s="245" t="s">
        <v>261</v>
      </c>
      <c r="D819" s="246" t="s">
        <v>1068</v>
      </c>
      <c r="E819" s="247">
        <v>1</v>
      </c>
      <c r="F819" s="247"/>
      <c r="G819" s="248"/>
      <c r="H819" s="247"/>
      <c r="I819" s="249" t="s">
        <v>369</v>
      </c>
      <c r="J819" s="249" t="s">
        <v>21</v>
      </c>
      <c r="K819" s="249" t="s">
        <v>31</v>
      </c>
      <c r="L819" s="250">
        <f t="shared" si="51"/>
        <v>1</v>
      </c>
      <c r="M819" s="237">
        <f t="array" ref="M819">INDEX('BKTT T4.26'!$N$12:$N$55,MATCH(V819,'BKTT T4.26'!$A$12:$A$55,0),0)</f>
        <v>454158</v>
      </c>
      <c r="N819" s="162">
        <f t="shared" si="54"/>
        <v>454158</v>
      </c>
      <c r="O819" s="238" t="s">
        <v>264</v>
      </c>
      <c r="P819" s="251" t="s">
        <v>1448</v>
      </c>
      <c r="R819" s="191" t="str">
        <f t="shared" si="52"/>
        <v>Cước vận chuyển Container hàng 20' tuyến đường PAN HA - NDV. BKS: 15C15033</v>
      </c>
      <c r="S819" s="191" t="str">
        <f t="shared" si="53"/>
        <v xml:space="preserve"> hàng 20' </v>
      </c>
      <c r="V819" s="191">
        <v>7</v>
      </c>
    </row>
    <row r="820" spans="1:22" s="191" customFormat="1" ht="15">
      <c r="A820" s="236">
        <v>809</v>
      </c>
      <c r="B820" s="244">
        <v>46126</v>
      </c>
      <c r="C820" s="245" t="s">
        <v>261</v>
      </c>
      <c r="D820" s="246" t="s">
        <v>1069</v>
      </c>
      <c r="E820" s="247"/>
      <c r="F820" s="247"/>
      <c r="G820" s="248"/>
      <c r="H820" s="247">
        <v>1</v>
      </c>
      <c r="I820" s="249" t="s">
        <v>369</v>
      </c>
      <c r="J820" s="249" t="s">
        <v>56</v>
      </c>
      <c r="K820" s="249" t="s">
        <v>21</v>
      </c>
      <c r="L820" s="250">
        <f t="shared" si="51"/>
        <v>1</v>
      </c>
      <c r="M820" s="237">
        <f t="array" ref="M820">INDEX('BKTT T4.26'!$N$12:$N$55,MATCH(V820,'BKTT T4.26'!$A$12:$A$55,0),0)</f>
        <v>1002400</v>
      </c>
      <c r="N820" s="162">
        <f t="shared" si="54"/>
        <v>1002400</v>
      </c>
      <c r="O820" s="238" t="s">
        <v>267</v>
      </c>
      <c r="P820" s="251" t="s">
        <v>1448</v>
      </c>
      <c r="R820" s="191" t="str">
        <f t="shared" si="52"/>
        <v>Cước vận chuyển Container vỏ tuyến đường HATECO - PAN HA. BKS: 15C15033</v>
      </c>
      <c r="S820" s="191" t="str">
        <f t="shared" si="53"/>
        <v xml:space="preserve"> vỏ </v>
      </c>
      <c r="V820" s="191">
        <v>35</v>
      </c>
    </row>
    <row r="821" spans="1:22" s="191" customFormat="1" ht="15">
      <c r="A821" s="236">
        <v>810</v>
      </c>
      <c r="B821" s="244">
        <v>46126</v>
      </c>
      <c r="C821" s="245" t="s">
        <v>261</v>
      </c>
      <c r="D821" s="246" t="s">
        <v>1070</v>
      </c>
      <c r="E821" s="247"/>
      <c r="F821" s="247"/>
      <c r="G821" s="248"/>
      <c r="H821" s="247">
        <v>1</v>
      </c>
      <c r="I821" s="249" t="s">
        <v>369</v>
      </c>
      <c r="J821" s="249" t="s">
        <v>56</v>
      </c>
      <c r="K821" s="249" t="s">
        <v>21</v>
      </c>
      <c r="L821" s="250">
        <f t="shared" si="51"/>
        <v>1</v>
      </c>
      <c r="M821" s="237">
        <f t="array" ref="M821">INDEX('BKTT T4.26'!$N$12:$N$55,MATCH(V821,'BKTT T4.26'!$A$12:$A$55,0),0)</f>
        <v>1002400</v>
      </c>
      <c r="N821" s="162">
        <f t="shared" si="54"/>
        <v>1002400</v>
      </c>
      <c r="O821" s="238" t="s">
        <v>267</v>
      </c>
      <c r="P821" s="251" t="s">
        <v>1448</v>
      </c>
      <c r="R821" s="191" t="str">
        <f t="shared" si="52"/>
        <v>Cước vận chuyển Container vỏ tuyến đường HATECO - PAN HA. BKS: 15C15033</v>
      </c>
      <c r="S821" s="191" t="str">
        <f t="shared" si="53"/>
        <v xml:space="preserve"> vỏ </v>
      </c>
      <c r="V821" s="191">
        <v>35</v>
      </c>
    </row>
    <row r="822" spans="1:22" s="283" customFormat="1" ht="15">
      <c r="A822" s="236">
        <v>811</v>
      </c>
      <c r="B822" s="272">
        <v>46126</v>
      </c>
      <c r="C822" s="273" t="s">
        <v>261</v>
      </c>
      <c r="D822" s="285" t="s">
        <v>1451</v>
      </c>
      <c r="E822" s="275"/>
      <c r="F822" s="275"/>
      <c r="G822" s="276"/>
      <c r="H822" s="275">
        <v>1</v>
      </c>
      <c r="I822" s="277" t="s">
        <v>369</v>
      </c>
      <c r="J822" s="277" t="s">
        <v>56</v>
      </c>
      <c r="K822" s="249" t="s">
        <v>21</v>
      </c>
      <c r="L822" s="278">
        <f t="shared" si="51"/>
        <v>1</v>
      </c>
      <c r="M822" s="279">
        <f t="array" ref="M822">INDEX('BKTT T4.26'!$N$12:$N$55,MATCH(V822,'BKTT T4.26'!$A$12:$A$55,0),0)</f>
        <v>1002400</v>
      </c>
      <c r="N822" s="280">
        <f t="shared" si="54"/>
        <v>1002400</v>
      </c>
      <c r="O822" s="281" t="s">
        <v>267</v>
      </c>
      <c r="P822" s="282" t="s">
        <v>1447</v>
      </c>
      <c r="R822" s="283" t="str">
        <f t="shared" si="52"/>
        <v>Cước vận chuyển Container vỏ tuyến đường HATECO - PAN HA. BKS: 15C15033</v>
      </c>
      <c r="S822" s="283" t="str">
        <f t="shared" si="53"/>
        <v xml:space="preserve"> vỏ </v>
      </c>
      <c r="V822" s="191">
        <v>35</v>
      </c>
    </row>
    <row r="823" spans="1:22" s="191" customFormat="1" ht="15">
      <c r="A823" s="236">
        <v>812</v>
      </c>
      <c r="B823" s="244">
        <v>46125</v>
      </c>
      <c r="C823" s="245" t="s">
        <v>261</v>
      </c>
      <c r="D823" s="246" t="s">
        <v>1071</v>
      </c>
      <c r="E823" s="247"/>
      <c r="F823" s="247"/>
      <c r="G823" s="248"/>
      <c r="H823" s="247">
        <v>1</v>
      </c>
      <c r="I823" s="249" t="s">
        <v>472</v>
      </c>
      <c r="J823" s="249" t="s">
        <v>21</v>
      </c>
      <c r="K823" s="249" t="s">
        <v>27</v>
      </c>
      <c r="L823" s="250">
        <f t="shared" si="51"/>
        <v>1</v>
      </c>
      <c r="M823" s="237">
        <f t="array" ref="M823">INDEX('BKTT T4.26'!$N$12:$N$55,MATCH(V823,'BKTT T4.26'!$A$12:$A$55,0),0)</f>
        <v>628690</v>
      </c>
      <c r="N823" s="162">
        <f t="shared" si="54"/>
        <v>628690</v>
      </c>
      <c r="O823" s="238" t="s">
        <v>264</v>
      </c>
      <c r="P823" s="251" t="s">
        <v>1448</v>
      </c>
      <c r="R823" s="191" t="str">
        <f t="shared" si="52"/>
        <v>Cước vận chuyển Container vỏ tuyến đường PAN HA - HẢI AN.. BKS: 15H08574</v>
      </c>
      <c r="S823" s="191" t="str">
        <f t="shared" si="53"/>
        <v xml:space="preserve"> vỏ </v>
      </c>
      <c r="V823" s="191">
        <v>3</v>
      </c>
    </row>
    <row r="824" spans="1:22" s="191" customFormat="1" ht="15">
      <c r="A824" s="236">
        <v>813</v>
      </c>
      <c r="B824" s="244">
        <v>46125</v>
      </c>
      <c r="C824" s="245" t="s">
        <v>261</v>
      </c>
      <c r="D824" s="246" t="s">
        <v>1072</v>
      </c>
      <c r="E824" s="247">
        <v>1</v>
      </c>
      <c r="F824" s="247"/>
      <c r="G824" s="248"/>
      <c r="H824" s="247"/>
      <c r="I824" s="249" t="s">
        <v>472</v>
      </c>
      <c r="J824" s="249" t="s">
        <v>21</v>
      </c>
      <c r="K824" s="249" t="s">
        <v>22</v>
      </c>
      <c r="L824" s="250">
        <f t="shared" si="51"/>
        <v>1</v>
      </c>
      <c r="M824" s="237">
        <f t="array" ref="M824">INDEX('BKTT T4.26'!$N$12:$N$55,MATCH(V824,'BKTT T4.26'!$A$12:$A$55,0),0)</f>
        <v>654871</v>
      </c>
      <c r="N824" s="162">
        <f t="shared" si="54"/>
        <v>654871</v>
      </c>
      <c r="O824" s="238" t="s">
        <v>264</v>
      </c>
      <c r="P824" s="251" t="s">
        <v>1448</v>
      </c>
      <c r="R824" s="191" t="str">
        <f t="shared" si="52"/>
        <v>Cước vận chuyển Container hàng 20' tuyến đường PAN HA - HẢI AN. BKS: 15H08574</v>
      </c>
      <c r="S824" s="191" t="str">
        <f t="shared" si="53"/>
        <v xml:space="preserve"> hàng 20' </v>
      </c>
      <c r="V824" s="191">
        <v>1</v>
      </c>
    </row>
    <row r="825" spans="1:22" s="191" customFormat="1" ht="15">
      <c r="A825" s="236">
        <v>814</v>
      </c>
      <c r="B825" s="244">
        <v>46125</v>
      </c>
      <c r="C825" s="245" t="s">
        <v>261</v>
      </c>
      <c r="D825" s="246" t="s">
        <v>1073</v>
      </c>
      <c r="E825" s="247">
        <v>1</v>
      </c>
      <c r="F825" s="247"/>
      <c r="G825" s="248"/>
      <c r="H825" s="247"/>
      <c r="I825" s="249" t="s">
        <v>472</v>
      </c>
      <c r="J825" s="249" t="s">
        <v>21</v>
      </c>
      <c r="K825" s="249" t="s">
        <v>22</v>
      </c>
      <c r="L825" s="250">
        <f t="shared" si="51"/>
        <v>1</v>
      </c>
      <c r="M825" s="237">
        <f t="array" ref="M825">INDEX('BKTT T4.26'!$N$12:$N$55,MATCH(V825,'BKTT T4.26'!$A$12:$A$55,0),0)</f>
        <v>654871</v>
      </c>
      <c r="N825" s="162">
        <f t="shared" si="54"/>
        <v>654871</v>
      </c>
      <c r="O825" s="238" t="s">
        <v>264</v>
      </c>
      <c r="P825" s="251" t="s">
        <v>1448</v>
      </c>
      <c r="R825" s="191" t="str">
        <f t="shared" si="52"/>
        <v>Cước vận chuyển Container hàng 20' tuyến đường PAN HA - HẢI AN. BKS: 15H08574</v>
      </c>
      <c r="S825" s="191" t="str">
        <f t="shared" si="53"/>
        <v xml:space="preserve"> hàng 20' </v>
      </c>
      <c r="V825" s="191">
        <v>1</v>
      </c>
    </row>
    <row r="826" spans="1:22" s="191" customFormat="1" ht="15">
      <c r="A826" s="236">
        <v>815</v>
      </c>
      <c r="B826" s="244">
        <v>46125</v>
      </c>
      <c r="C826" s="245" t="s">
        <v>261</v>
      </c>
      <c r="D826" s="246" t="s">
        <v>1074</v>
      </c>
      <c r="E826" s="247">
        <v>1</v>
      </c>
      <c r="F826" s="247"/>
      <c r="G826" s="248"/>
      <c r="H826" s="247"/>
      <c r="I826" s="249" t="s">
        <v>472</v>
      </c>
      <c r="J826" s="249" t="s">
        <v>21</v>
      </c>
      <c r="K826" s="249" t="s">
        <v>22</v>
      </c>
      <c r="L826" s="250">
        <f t="shared" si="51"/>
        <v>1</v>
      </c>
      <c r="M826" s="237">
        <f t="array" ref="M826">INDEX('BKTT T4.26'!$N$12:$N$55,MATCH(V826,'BKTT T4.26'!$A$12:$A$55,0),0)</f>
        <v>654871</v>
      </c>
      <c r="N826" s="162">
        <f t="shared" si="54"/>
        <v>654871</v>
      </c>
      <c r="O826" s="238" t="s">
        <v>264</v>
      </c>
      <c r="P826" s="251" t="s">
        <v>1448</v>
      </c>
      <c r="R826" s="191" t="str">
        <f t="shared" si="52"/>
        <v>Cước vận chuyển Container hàng 20' tuyến đường PAN HA - HẢI AN. BKS: 15H08574</v>
      </c>
      <c r="S826" s="191" t="str">
        <f t="shared" si="53"/>
        <v xml:space="preserve"> hàng 20' </v>
      </c>
      <c r="V826" s="191">
        <v>1</v>
      </c>
    </row>
    <row r="827" spans="1:22" s="191" customFormat="1" ht="15">
      <c r="A827" s="236">
        <v>816</v>
      </c>
      <c r="B827" s="244">
        <v>46125</v>
      </c>
      <c r="C827" s="245" t="s">
        <v>261</v>
      </c>
      <c r="D827" s="246" t="s">
        <v>1075</v>
      </c>
      <c r="E827" s="247">
        <v>1</v>
      </c>
      <c r="F827" s="247"/>
      <c r="G827" s="248"/>
      <c r="H827" s="247"/>
      <c r="I827" s="249" t="s">
        <v>472</v>
      </c>
      <c r="J827" s="249" t="s">
        <v>21</v>
      </c>
      <c r="K827" s="249" t="s">
        <v>22</v>
      </c>
      <c r="L827" s="250">
        <f t="shared" si="51"/>
        <v>1</v>
      </c>
      <c r="M827" s="237">
        <f t="array" ref="M827">INDEX('BKTT T4.26'!$N$12:$N$55,MATCH(V827,'BKTT T4.26'!$A$12:$A$55,0),0)</f>
        <v>654871</v>
      </c>
      <c r="N827" s="162">
        <f t="shared" si="54"/>
        <v>654871</v>
      </c>
      <c r="O827" s="238" t="s">
        <v>264</v>
      </c>
      <c r="P827" s="251" t="s">
        <v>1448</v>
      </c>
      <c r="R827" s="191" t="str">
        <f t="shared" si="52"/>
        <v>Cước vận chuyển Container hàng 20' tuyến đường PAN HA - HẢI AN. BKS: 15H08574</v>
      </c>
      <c r="S827" s="191" t="str">
        <f t="shared" si="53"/>
        <v xml:space="preserve"> hàng 20' </v>
      </c>
      <c r="V827" s="191">
        <v>1</v>
      </c>
    </row>
    <row r="828" spans="1:22" s="191" customFormat="1" ht="15">
      <c r="A828" s="236">
        <v>817</v>
      </c>
      <c r="B828" s="244">
        <v>46126</v>
      </c>
      <c r="C828" s="245" t="s">
        <v>261</v>
      </c>
      <c r="D828" s="246" t="s">
        <v>1076</v>
      </c>
      <c r="E828" s="247"/>
      <c r="F828" s="247"/>
      <c r="G828" s="248"/>
      <c r="H828" s="247">
        <v>1</v>
      </c>
      <c r="I828" s="249" t="s">
        <v>472</v>
      </c>
      <c r="J828" s="249" t="s">
        <v>56</v>
      </c>
      <c r="K828" s="249" t="s">
        <v>21</v>
      </c>
      <c r="L828" s="250">
        <f t="shared" si="51"/>
        <v>1</v>
      </c>
      <c r="M828" s="237">
        <f t="array" ref="M828">INDEX('BKTT T4.26'!$N$12:$N$55,MATCH(V828,'BKTT T4.26'!$A$12:$A$55,0),0)</f>
        <v>1002400</v>
      </c>
      <c r="N828" s="162">
        <f t="shared" si="54"/>
        <v>1002400</v>
      </c>
      <c r="O828" s="238" t="s">
        <v>267</v>
      </c>
      <c r="P828" s="251" t="s">
        <v>1448</v>
      </c>
      <c r="R828" s="191" t="str">
        <f t="shared" si="52"/>
        <v>Cước vận chuyển Container vỏ tuyến đường HATECO - PAN HA. BKS: 15H08574</v>
      </c>
      <c r="S828" s="191" t="str">
        <f t="shared" si="53"/>
        <v xml:space="preserve"> vỏ </v>
      </c>
      <c r="V828" s="191">
        <v>35</v>
      </c>
    </row>
    <row r="829" spans="1:22" s="191" customFormat="1" ht="15">
      <c r="A829" s="236">
        <v>818</v>
      </c>
      <c r="B829" s="244">
        <v>46126</v>
      </c>
      <c r="C829" s="245" t="s">
        <v>261</v>
      </c>
      <c r="D829" s="246" t="s">
        <v>1077</v>
      </c>
      <c r="E829" s="247"/>
      <c r="F829" s="247"/>
      <c r="G829" s="248"/>
      <c r="H829" s="247">
        <v>1</v>
      </c>
      <c r="I829" s="249" t="s">
        <v>472</v>
      </c>
      <c r="J829" s="249" t="s">
        <v>56</v>
      </c>
      <c r="K829" s="249" t="s">
        <v>21</v>
      </c>
      <c r="L829" s="250">
        <f t="shared" si="51"/>
        <v>1</v>
      </c>
      <c r="M829" s="237">
        <f t="array" ref="M829">INDEX('BKTT T4.26'!$N$12:$N$55,MATCH(V829,'BKTT T4.26'!$A$12:$A$55,0),0)</f>
        <v>1002400</v>
      </c>
      <c r="N829" s="162">
        <f t="shared" si="54"/>
        <v>1002400</v>
      </c>
      <c r="O829" s="238" t="s">
        <v>267</v>
      </c>
      <c r="P829" s="251" t="s">
        <v>1448</v>
      </c>
      <c r="R829" s="191" t="str">
        <f t="shared" si="52"/>
        <v>Cước vận chuyển Container vỏ tuyến đường HATECO - PAN HA. BKS: 15H08574</v>
      </c>
      <c r="S829" s="191" t="str">
        <f t="shared" si="53"/>
        <v xml:space="preserve"> vỏ </v>
      </c>
      <c r="V829" s="191">
        <v>35</v>
      </c>
    </row>
    <row r="830" spans="1:22" s="191" customFormat="1" ht="15">
      <c r="A830" s="236">
        <v>819</v>
      </c>
      <c r="B830" s="244">
        <v>46126</v>
      </c>
      <c r="C830" s="245" t="s">
        <v>261</v>
      </c>
      <c r="D830" s="246" t="s">
        <v>1078</v>
      </c>
      <c r="E830" s="247"/>
      <c r="F830" s="247"/>
      <c r="G830" s="248"/>
      <c r="H830" s="247">
        <v>1</v>
      </c>
      <c r="I830" s="249" t="s">
        <v>472</v>
      </c>
      <c r="J830" s="249" t="s">
        <v>56</v>
      </c>
      <c r="K830" s="249" t="s">
        <v>21</v>
      </c>
      <c r="L830" s="250">
        <f t="shared" si="51"/>
        <v>1</v>
      </c>
      <c r="M830" s="237">
        <f t="array" ref="M830">INDEX('BKTT T4.26'!$N$12:$N$55,MATCH(V830,'BKTT T4.26'!$A$12:$A$55,0),0)</f>
        <v>1002400</v>
      </c>
      <c r="N830" s="162">
        <f t="shared" si="54"/>
        <v>1002400</v>
      </c>
      <c r="O830" s="238" t="s">
        <v>267</v>
      </c>
      <c r="P830" s="251" t="s">
        <v>1448</v>
      </c>
      <c r="R830" s="191" t="str">
        <f t="shared" si="52"/>
        <v>Cước vận chuyển Container vỏ tuyến đường HATECO - PAN HA. BKS: 15H08574</v>
      </c>
      <c r="S830" s="191" t="str">
        <f t="shared" si="53"/>
        <v xml:space="preserve"> vỏ </v>
      </c>
      <c r="V830" s="191">
        <v>35</v>
      </c>
    </row>
    <row r="831" spans="1:22" s="191" customFormat="1" ht="15">
      <c r="A831" s="236">
        <v>820</v>
      </c>
      <c r="B831" s="244">
        <v>46126</v>
      </c>
      <c r="C831" s="245" t="s">
        <v>261</v>
      </c>
      <c r="D831" s="246" t="s">
        <v>1079</v>
      </c>
      <c r="E831" s="247"/>
      <c r="F831" s="247"/>
      <c r="G831" s="248"/>
      <c r="H831" s="247">
        <v>1</v>
      </c>
      <c r="I831" s="249" t="s">
        <v>472</v>
      </c>
      <c r="J831" s="249" t="s">
        <v>56</v>
      </c>
      <c r="K831" s="249" t="s">
        <v>21</v>
      </c>
      <c r="L831" s="250">
        <f t="shared" si="51"/>
        <v>1</v>
      </c>
      <c r="M831" s="237">
        <f t="array" ref="M831">INDEX('BKTT T4.26'!$N$12:$N$55,MATCH(V831,'BKTT T4.26'!$A$12:$A$55,0),0)</f>
        <v>1002400</v>
      </c>
      <c r="N831" s="162">
        <f t="shared" si="54"/>
        <v>1002400</v>
      </c>
      <c r="O831" s="238" t="s">
        <v>267</v>
      </c>
      <c r="P831" s="251" t="s">
        <v>1448</v>
      </c>
      <c r="R831" s="191" t="str">
        <f t="shared" si="52"/>
        <v>Cước vận chuyển Container vỏ tuyến đường HATECO - PAN HA. BKS: 15H08574</v>
      </c>
      <c r="S831" s="191" t="str">
        <f t="shared" si="53"/>
        <v xml:space="preserve"> vỏ </v>
      </c>
      <c r="V831" s="191">
        <v>35</v>
      </c>
    </row>
    <row r="832" spans="1:22" s="283" customFormat="1" ht="15">
      <c r="A832" s="236">
        <v>821</v>
      </c>
      <c r="B832" s="272">
        <v>46126</v>
      </c>
      <c r="C832" s="273" t="s">
        <v>261</v>
      </c>
      <c r="D832" s="285" t="s">
        <v>1472</v>
      </c>
      <c r="E832" s="275">
        <v>1</v>
      </c>
      <c r="F832" s="275"/>
      <c r="G832" s="276"/>
      <c r="H832" s="275"/>
      <c r="I832" s="277" t="s">
        <v>472</v>
      </c>
      <c r="J832" s="249" t="s">
        <v>21</v>
      </c>
      <c r="K832" s="277" t="s">
        <v>31</v>
      </c>
      <c r="L832" s="278">
        <f t="shared" si="51"/>
        <v>1</v>
      </c>
      <c r="M832" s="279">
        <f t="array" ref="M832">INDEX('BKTT T4.26'!$N$12:$N$55,MATCH(V832,'BKTT T4.26'!$A$12:$A$55,0),0)</f>
        <v>454158</v>
      </c>
      <c r="N832" s="280">
        <f t="shared" si="54"/>
        <v>454158</v>
      </c>
      <c r="O832" s="281" t="s">
        <v>264</v>
      </c>
      <c r="P832" s="282" t="s">
        <v>1447</v>
      </c>
      <c r="R832" s="283" t="str">
        <f t="shared" si="52"/>
        <v>Cước vận chuyển Container hàng 20' tuyến đường PAN HA - NDV. BKS: 15H08574</v>
      </c>
      <c r="S832" s="283" t="str">
        <f t="shared" si="53"/>
        <v xml:space="preserve"> hàng 20' </v>
      </c>
      <c r="V832" s="191">
        <v>7</v>
      </c>
    </row>
    <row r="833" spans="1:22" s="191" customFormat="1" ht="15">
      <c r="A833" s="236">
        <v>822</v>
      </c>
      <c r="B833" s="244">
        <v>46126</v>
      </c>
      <c r="C833" s="245" t="s">
        <v>261</v>
      </c>
      <c r="D833" s="246" t="s">
        <v>1080</v>
      </c>
      <c r="E833" s="247">
        <v>1</v>
      </c>
      <c r="F833" s="247"/>
      <c r="G833" s="248"/>
      <c r="H833" s="247"/>
      <c r="I833" s="249" t="s">
        <v>472</v>
      </c>
      <c r="J833" s="249" t="s">
        <v>21</v>
      </c>
      <c r="K833" s="249" t="s">
        <v>31</v>
      </c>
      <c r="L833" s="250">
        <f t="shared" si="51"/>
        <v>1</v>
      </c>
      <c r="M833" s="237">
        <f t="array" ref="M833">INDEX('BKTT T4.26'!$N$12:$N$55,MATCH(V833,'BKTT T4.26'!$A$12:$A$55,0),0)</f>
        <v>454158</v>
      </c>
      <c r="N833" s="162">
        <f t="shared" si="54"/>
        <v>454158</v>
      </c>
      <c r="O833" s="238" t="s">
        <v>264</v>
      </c>
      <c r="P833" s="251" t="s">
        <v>1448</v>
      </c>
      <c r="R833" s="191" t="str">
        <f t="shared" si="52"/>
        <v>Cước vận chuyển Container hàng 20' tuyến đường PAN HA - NDV. BKS: 15H08574</v>
      </c>
      <c r="S833" s="191" t="str">
        <f t="shared" si="53"/>
        <v xml:space="preserve"> hàng 20' </v>
      </c>
      <c r="V833" s="191">
        <v>7</v>
      </c>
    </row>
    <row r="834" spans="1:22" s="191" customFormat="1" ht="15">
      <c r="A834" s="236">
        <v>823</v>
      </c>
      <c r="B834" s="244">
        <v>46126</v>
      </c>
      <c r="C834" s="245" t="s">
        <v>261</v>
      </c>
      <c r="D834" s="246" t="s">
        <v>1081</v>
      </c>
      <c r="E834" s="247">
        <v>1</v>
      </c>
      <c r="F834" s="247"/>
      <c r="G834" s="248"/>
      <c r="H834" s="247"/>
      <c r="I834" s="249" t="s">
        <v>472</v>
      </c>
      <c r="J834" s="249" t="s">
        <v>21</v>
      </c>
      <c r="K834" s="249" t="s">
        <v>31</v>
      </c>
      <c r="L834" s="250">
        <f t="shared" si="51"/>
        <v>1</v>
      </c>
      <c r="M834" s="237">
        <f t="array" ref="M834">INDEX('BKTT T4.26'!$N$12:$N$55,MATCH(V834,'BKTT T4.26'!$A$12:$A$55,0),0)</f>
        <v>454158</v>
      </c>
      <c r="N834" s="162">
        <f t="shared" si="54"/>
        <v>454158</v>
      </c>
      <c r="O834" s="238" t="s">
        <v>264</v>
      </c>
      <c r="P834" s="251" t="s">
        <v>1448</v>
      </c>
      <c r="R834" s="191" t="str">
        <f t="shared" si="52"/>
        <v>Cước vận chuyển Container hàng 20' tuyến đường PAN HA - NDV. BKS: 15H08574</v>
      </c>
      <c r="S834" s="191" t="str">
        <f t="shared" si="53"/>
        <v xml:space="preserve"> hàng 20' </v>
      </c>
      <c r="V834" s="191">
        <v>7</v>
      </c>
    </row>
    <row r="835" spans="1:22" s="191" customFormat="1" ht="15">
      <c r="A835" s="236">
        <v>824</v>
      </c>
      <c r="B835" s="244">
        <v>46126</v>
      </c>
      <c r="C835" s="245" t="s">
        <v>261</v>
      </c>
      <c r="D835" s="246" t="s">
        <v>1082</v>
      </c>
      <c r="E835" s="247">
        <v>1</v>
      </c>
      <c r="F835" s="247"/>
      <c r="G835" s="248"/>
      <c r="H835" s="247"/>
      <c r="I835" s="249" t="s">
        <v>472</v>
      </c>
      <c r="J835" s="249" t="s">
        <v>21</v>
      </c>
      <c r="K835" s="249" t="s">
        <v>31</v>
      </c>
      <c r="L835" s="250">
        <f t="shared" si="51"/>
        <v>1</v>
      </c>
      <c r="M835" s="237">
        <f t="array" ref="M835">INDEX('BKTT T4.26'!$N$12:$N$55,MATCH(V835,'BKTT T4.26'!$A$12:$A$55,0),0)</f>
        <v>454158</v>
      </c>
      <c r="N835" s="162">
        <f t="shared" si="54"/>
        <v>454158</v>
      </c>
      <c r="O835" s="238" t="s">
        <v>264</v>
      </c>
      <c r="P835" s="251" t="s">
        <v>1448</v>
      </c>
      <c r="R835" s="191" t="str">
        <f t="shared" si="52"/>
        <v>Cước vận chuyển Container hàng 20' tuyến đường PAN HA - NDV. BKS: 15H08574</v>
      </c>
      <c r="S835" s="191" t="str">
        <f t="shared" si="53"/>
        <v xml:space="preserve"> hàng 20' </v>
      </c>
      <c r="V835" s="191">
        <v>7</v>
      </c>
    </row>
    <row r="836" spans="1:22" s="191" customFormat="1" ht="15">
      <c r="A836" s="236">
        <v>825</v>
      </c>
      <c r="B836" s="244">
        <v>46125</v>
      </c>
      <c r="C836" s="245" t="s">
        <v>261</v>
      </c>
      <c r="D836" s="246" t="s">
        <v>1083</v>
      </c>
      <c r="E836" s="247"/>
      <c r="F836" s="247"/>
      <c r="G836" s="248"/>
      <c r="H836" s="247">
        <v>1</v>
      </c>
      <c r="I836" s="249" t="s">
        <v>358</v>
      </c>
      <c r="J836" s="249" t="s">
        <v>21</v>
      </c>
      <c r="K836" s="249" t="s">
        <v>27</v>
      </c>
      <c r="L836" s="250">
        <f t="shared" si="51"/>
        <v>1</v>
      </c>
      <c r="M836" s="237">
        <f t="array" ref="M836">INDEX('BKTT T4.26'!$N$12:$N$55,MATCH(V836,'BKTT T4.26'!$A$12:$A$55,0),0)</f>
        <v>628690</v>
      </c>
      <c r="N836" s="162">
        <f t="shared" si="54"/>
        <v>628690</v>
      </c>
      <c r="O836" s="238" t="s">
        <v>264</v>
      </c>
      <c r="P836" s="251" t="s">
        <v>1448</v>
      </c>
      <c r="R836" s="191" t="str">
        <f t="shared" si="52"/>
        <v>Cước vận chuyển Container vỏ tuyến đường PAN HA - HẢI AN.. BKS: 15H18753</v>
      </c>
      <c r="S836" s="191" t="str">
        <f t="shared" si="53"/>
        <v xml:space="preserve"> vỏ </v>
      </c>
      <c r="V836" s="191">
        <v>3</v>
      </c>
    </row>
    <row r="837" spans="1:22" s="191" customFormat="1" ht="15">
      <c r="A837" s="236">
        <v>826</v>
      </c>
      <c r="B837" s="244">
        <v>46125</v>
      </c>
      <c r="C837" s="245" t="s">
        <v>261</v>
      </c>
      <c r="D837" s="246" t="s">
        <v>1084</v>
      </c>
      <c r="E837" s="247"/>
      <c r="F837" s="247"/>
      <c r="G837" s="248"/>
      <c r="H837" s="247">
        <v>1</v>
      </c>
      <c r="I837" s="249" t="s">
        <v>358</v>
      </c>
      <c r="J837" s="249" t="s">
        <v>21</v>
      </c>
      <c r="K837" s="249" t="s">
        <v>27</v>
      </c>
      <c r="L837" s="250">
        <f t="shared" si="51"/>
        <v>1</v>
      </c>
      <c r="M837" s="237">
        <f t="array" ref="M837">INDEX('BKTT T4.26'!$N$12:$N$55,MATCH(V837,'BKTT T4.26'!$A$12:$A$55,0),0)</f>
        <v>628690</v>
      </c>
      <c r="N837" s="162">
        <f t="shared" si="54"/>
        <v>628690</v>
      </c>
      <c r="O837" s="238" t="s">
        <v>264</v>
      </c>
      <c r="P837" s="251" t="s">
        <v>1448</v>
      </c>
      <c r="R837" s="191" t="str">
        <f t="shared" si="52"/>
        <v>Cước vận chuyển Container vỏ tuyến đường PAN HA - HẢI AN.. BKS: 15H18753</v>
      </c>
      <c r="S837" s="191" t="str">
        <f t="shared" si="53"/>
        <v xml:space="preserve"> vỏ </v>
      </c>
      <c r="V837" s="191">
        <v>3</v>
      </c>
    </row>
    <row r="838" spans="1:22" s="191" customFormat="1" ht="15">
      <c r="A838" s="236">
        <v>827</v>
      </c>
      <c r="B838" s="244">
        <v>46125</v>
      </c>
      <c r="C838" s="245" t="s">
        <v>261</v>
      </c>
      <c r="D838" s="246" t="s">
        <v>1085</v>
      </c>
      <c r="E838" s="247"/>
      <c r="F838" s="247">
        <v>1</v>
      </c>
      <c r="G838" s="248"/>
      <c r="H838" s="247"/>
      <c r="I838" s="249" t="s">
        <v>358</v>
      </c>
      <c r="J838" s="249" t="s">
        <v>21</v>
      </c>
      <c r="K838" s="249" t="s">
        <v>25</v>
      </c>
      <c r="L838" s="250">
        <f t="shared" si="51"/>
        <v>1</v>
      </c>
      <c r="M838" s="237">
        <f t="array" ref="M838">INDEX('BKTT T4.26'!$N$12:$N$55,MATCH(V838,'BKTT T4.26'!$A$12:$A$55,0),0)</f>
        <v>681050</v>
      </c>
      <c r="N838" s="162">
        <f t="shared" si="54"/>
        <v>681050</v>
      </c>
      <c r="O838" s="238" t="s">
        <v>264</v>
      </c>
      <c r="P838" s="251" t="s">
        <v>1448</v>
      </c>
      <c r="R838" s="191" t="str">
        <f t="shared" si="52"/>
        <v>Cước vận chuyển Container hàng 40' tuyến đường PAN HA - HẢI AN,. BKS: 15H18753</v>
      </c>
      <c r="S838" s="191" t="str">
        <f t="shared" si="53"/>
        <v xml:space="preserve"> hàng 40' </v>
      </c>
      <c r="V838" s="191">
        <v>2</v>
      </c>
    </row>
    <row r="839" spans="1:22" s="191" customFormat="1" ht="15">
      <c r="A839" s="236">
        <v>828</v>
      </c>
      <c r="B839" s="244">
        <v>46125</v>
      </c>
      <c r="C839" s="245" t="s">
        <v>261</v>
      </c>
      <c r="D839" s="246" t="s">
        <v>1086</v>
      </c>
      <c r="E839" s="247"/>
      <c r="F839" s="247">
        <v>1</v>
      </c>
      <c r="G839" s="248"/>
      <c r="H839" s="247"/>
      <c r="I839" s="249" t="s">
        <v>358</v>
      </c>
      <c r="J839" s="249" t="s">
        <v>21</v>
      </c>
      <c r="K839" s="249" t="s">
        <v>25</v>
      </c>
      <c r="L839" s="250">
        <f t="shared" si="51"/>
        <v>1</v>
      </c>
      <c r="M839" s="237">
        <f t="array" ref="M839">INDEX('BKTT T4.26'!$N$12:$N$55,MATCH(V839,'BKTT T4.26'!$A$12:$A$55,0),0)</f>
        <v>681050</v>
      </c>
      <c r="N839" s="162">
        <f t="shared" si="54"/>
        <v>681050</v>
      </c>
      <c r="O839" s="238" t="s">
        <v>264</v>
      </c>
      <c r="P839" s="251" t="s">
        <v>1448</v>
      </c>
      <c r="R839" s="191" t="str">
        <f t="shared" si="52"/>
        <v>Cước vận chuyển Container hàng 40' tuyến đường PAN HA - HẢI AN,. BKS: 15H18753</v>
      </c>
      <c r="S839" s="191" t="str">
        <f t="shared" si="53"/>
        <v xml:space="preserve"> hàng 40' </v>
      </c>
      <c r="V839" s="191">
        <v>2</v>
      </c>
    </row>
    <row r="840" spans="1:22" s="191" customFormat="1" ht="15">
      <c r="A840" s="236">
        <v>829</v>
      </c>
      <c r="B840" s="244">
        <v>46125</v>
      </c>
      <c r="C840" s="245" t="s">
        <v>261</v>
      </c>
      <c r="D840" s="246" t="s">
        <v>1087</v>
      </c>
      <c r="E840" s="247"/>
      <c r="F840" s="247"/>
      <c r="G840" s="248"/>
      <c r="H840" s="247">
        <v>1</v>
      </c>
      <c r="I840" s="249" t="s">
        <v>358</v>
      </c>
      <c r="J840" s="249" t="s">
        <v>56</v>
      </c>
      <c r="K840" s="249" t="s">
        <v>21</v>
      </c>
      <c r="L840" s="250">
        <f t="shared" si="51"/>
        <v>1</v>
      </c>
      <c r="M840" s="237">
        <f t="array" ref="M840">INDEX('BKTT T4.26'!$N$12:$N$55,MATCH(V840,'BKTT T4.26'!$A$12:$A$55,0),0)</f>
        <v>1002400</v>
      </c>
      <c r="N840" s="162">
        <f t="shared" si="54"/>
        <v>1002400</v>
      </c>
      <c r="O840" s="238" t="s">
        <v>267</v>
      </c>
      <c r="P840" s="251" t="s">
        <v>1448</v>
      </c>
      <c r="R840" s="191" t="str">
        <f t="shared" si="52"/>
        <v>Cước vận chuyển Container vỏ tuyến đường HATECO - PAN HA. BKS: 15H18753</v>
      </c>
      <c r="S840" s="191" t="str">
        <f t="shared" si="53"/>
        <v xml:space="preserve"> vỏ </v>
      </c>
      <c r="V840" s="191">
        <v>35</v>
      </c>
    </row>
    <row r="841" spans="1:22" s="191" customFormat="1" ht="15">
      <c r="A841" s="236">
        <v>830</v>
      </c>
      <c r="B841" s="244">
        <v>46125</v>
      </c>
      <c r="C841" s="245" t="s">
        <v>261</v>
      </c>
      <c r="D841" s="246" t="s">
        <v>1088</v>
      </c>
      <c r="E841" s="247"/>
      <c r="F841" s="247"/>
      <c r="G841" s="248"/>
      <c r="H841" s="247">
        <v>1</v>
      </c>
      <c r="I841" s="249" t="s">
        <v>358</v>
      </c>
      <c r="J841" s="249" t="s">
        <v>56</v>
      </c>
      <c r="K841" s="249" t="s">
        <v>21</v>
      </c>
      <c r="L841" s="250">
        <f t="shared" ref="L841:L904" si="55">E841+F841+G841+H841</f>
        <v>1</v>
      </c>
      <c r="M841" s="237">
        <f t="array" ref="M841">INDEX('BKTT T4.26'!$N$12:$N$55,MATCH(V841,'BKTT T4.26'!$A$12:$A$55,0),0)</f>
        <v>1002400</v>
      </c>
      <c r="N841" s="162">
        <f t="shared" si="54"/>
        <v>1002400</v>
      </c>
      <c r="O841" s="238" t="s">
        <v>267</v>
      </c>
      <c r="P841" s="251" t="s">
        <v>1448</v>
      </c>
      <c r="R841" s="191" t="str">
        <f t="shared" ref="R841:R904" si="56">$R$10&amp;S841&amp;$R$9&amp;J841&amp;$S$10&amp;K841&amp;$R$8&amp;I841</f>
        <v>Cước vận chuyển Container vỏ tuyến đường HATECO - PAN HA. BKS: 15H18753</v>
      </c>
      <c r="S841" s="191" t="str">
        <f t="shared" ref="S841:S904" si="57">IF(E841=1," hàng 20' ",IF(F841=1," hàng 40' "," vỏ "))</f>
        <v xml:space="preserve"> vỏ </v>
      </c>
      <c r="V841" s="191">
        <v>35</v>
      </c>
    </row>
    <row r="842" spans="1:22" s="191" customFormat="1" ht="15">
      <c r="A842" s="236">
        <v>831</v>
      </c>
      <c r="B842" s="244">
        <v>46125</v>
      </c>
      <c r="C842" s="245" t="s">
        <v>261</v>
      </c>
      <c r="D842" s="246" t="s">
        <v>1089</v>
      </c>
      <c r="E842" s="247"/>
      <c r="F842" s="247"/>
      <c r="G842" s="248"/>
      <c r="H842" s="247">
        <v>1</v>
      </c>
      <c r="I842" s="249" t="s">
        <v>358</v>
      </c>
      <c r="J842" s="249" t="s">
        <v>56</v>
      </c>
      <c r="K842" s="249" t="s">
        <v>21</v>
      </c>
      <c r="L842" s="250">
        <f t="shared" si="55"/>
        <v>1</v>
      </c>
      <c r="M842" s="237">
        <f t="array" ref="M842">INDEX('BKTT T4.26'!$N$12:$N$55,MATCH(V842,'BKTT T4.26'!$A$12:$A$55,0),0)</f>
        <v>1002400</v>
      </c>
      <c r="N842" s="162">
        <f t="shared" si="54"/>
        <v>1002400</v>
      </c>
      <c r="O842" s="238" t="s">
        <v>267</v>
      </c>
      <c r="P842" s="251" t="s">
        <v>1448</v>
      </c>
      <c r="R842" s="191" t="str">
        <f t="shared" si="56"/>
        <v>Cước vận chuyển Container vỏ tuyến đường HATECO - PAN HA. BKS: 15H18753</v>
      </c>
      <c r="S842" s="191" t="str">
        <f t="shared" si="57"/>
        <v xml:space="preserve"> vỏ </v>
      </c>
      <c r="V842" s="191">
        <v>35</v>
      </c>
    </row>
    <row r="843" spans="1:22" s="191" customFormat="1" ht="15">
      <c r="A843" s="236">
        <v>832</v>
      </c>
      <c r="B843" s="244">
        <v>46125</v>
      </c>
      <c r="C843" s="245" t="s">
        <v>261</v>
      </c>
      <c r="D843" s="246" t="s">
        <v>1090</v>
      </c>
      <c r="E843" s="247"/>
      <c r="F843" s="247"/>
      <c r="G843" s="248"/>
      <c r="H843" s="247">
        <v>1</v>
      </c>
      <c r="I843" s="249" t="s">
        <v>358</v>
      </c>
      <c r="J843" s="249" t="s">
        <v>56</v>
      </c>
      <c r="K843" s="249" t="s">
        <v>21</v>
      </c>
      <c r="L843" s="250">
        <f t="shared" si="55"/>
        <v>1</v>
      </c>
      <c r="M843" s="237">
        <f t="array" ref="M843">INDEX('BKTT T4.26'!$N$12:$N$55,MATCH(V843,'BKTT T4.26'!$A$12:$A$55,0),0)</f>
        <v>1002400</v>
      </c>
      <c r="N843" s="162">
        <f t="shared" si="54"/>
        <v>1002400</v>
      </c>
      <c r="O843" s="238" t="s">
        <v>267</v>
      </c>
      <c r="P843" s="251" t="s">
        <v>1448</v>
      </c>
      <c r="R843" s="191" t="str">
        <f t="shared" si="56"/>
        <v>Cước vận chuyển Container vỏ tuyến đường HATECO - PAN HA. BKS: 15H18753</v>
      </c>
      <c r="S843" s="191" t="str">
        <f t="shared" si="57"/>
        <v xml:space="preserve"> vỏ </v>
      </c>
      <c r="V843" s="191">
        <v>35</v>
      </c>
    </row>
    <row r="844" spans="1:22" s="191" customFormat="1" ht="15">
      <c r="A844" s="236">
        <v>833</v>
      </c>
      <c r="B844" s="244">
        <v>46125</v>
      </c>
      <c r="C844" s="245" t="s">
        <v>261</v>
      </c>
      <c r="D844" s="246" t="s">
        <v>1091</v>
      </c>
      <c r="E844" s="247"/>
      <c r="F844" s="247"/>
      <c r="G844" s="248"/>
      <c r="H844" s="247">
        <v>1</v>
      </c>
      <c r="I844" s="249" t="s">
        <v>358</v>
      </c>
      <c r="J844" s="249" t="s">
        <v>56</v>
      </c>
      <c r="K844" s="249" t="s">
        <v>21</v>
      </c>
      <c r="L844" s="250">
        <f t="shared" si="55"/>
        <v>1</v>
      </c>
      <c r="M844" s="237">
        <f t="array" ref="M844">INDEX('BKTT T4.26'!$N$12:$N$55,MATCH(V844,'BKTT T4.26'!$A$12:$A$55,0),0)</f>
        <v>1002400</v>
      </c>
      <c r="N844" s="162">
        <f t="shared" si="54"/>
        <v>1002400</v>
      </c>
      <c r="O844" s="238" t="s">
        <v>267</v>
      </c>
      <c r="P844" s="251" t="s">
        <v>1448</v>
      </c>
      <c r="R844" s="191" t="str">
        <f t="shared" si="56"/>
        <v>Cước vận chuyển Container vỏ tuyến đường HATECO - PAN HA. BKS: 15H18753</v>
      </c>
      <c r="S844" s="191" t="str">
        <f t="shared" si="57"/>
        <v xml:space="preserve"> vỏ </v>
      </c>
      <c r="V844" s="191">
        <v>35</v>
      </c>
    </row>
    <row r="845" spans="1:22" s="191" customFormat="1" ht="15">
      <c r="A845" s="236">
        <v>834</v>
      </c>
      <c r="B845" s="244">
        <v>46126</v>
      </c>
      <c r="C845" s="245" t="s">
        <v>261</v>
      </c>
      <c r="D845" s="246" t="s">
        <v>1092</v>
      </c>
      <c r="E845" s="247"/>
      <c r="F845" s="247"/>
      <c r="G845" s="248"/>
      <c r="H845" s="247">
        <v>1</v>
      </c>
      <c r="I845" s="249" t="s">
        <v>541</v>
      </c>
      <c r="J845" s="249" t="s">
        <v>56</v>
      </c>
      <c r="K845" s="249" t="s">
        <v>21</v>
      </c>
      <c r="L845" s="250">
        <f t="shared" si="55"/>
        <v>1</v>
      </c>
      <c r="M845" s="237">
        <f t="array" ref="M845">INDEX('BKTT T4.26'!$N$12:$N$55,MATCH(V845,'BKTT T4.26'!$A$12:$A$55,0),0)</f>
        <v>1002400</v>
      </c>
      <c r="N845" s="162">
        <f t="shared" si="54"/>
        <v>1002400</v>
      </c>
      <c r="O845" s="238" t="s">
        <v>267</v>
      </c>
      <c r="P845" s="251" t="s">
        <v>1448</v>
      </c>
      <c r="R845" s="191" t="str">
        <f t="shared" si="56"/>
        <v>Cước vận chuyển Container vỏ tuyến đường HATECO - PAN HA. BKS: 15H17403</v>
      </c>
      <c r="S845" s="191" t="str">
        <f t="shared" si="57"/>
        <v xml:space="preserve"> vỏ </v>
      </c>
      <c r="V845" s="191">
        <v>35</v>
      </c>
    </row>
    <row r="846" spans="1:22" s="191" customFormat="1" ht="15">
      <c r="A846" s="236">
        <v>835</v>
      </c>
      <c r="B846" s="244">
        <v>46125</v>
      </c>
      <c r="C846" s="245" t="s">
        <v>261</v>
      </c>
      <c r="D846" s="246" t="s">
        <v>1093</v>
      </c>
      <c r="E846" s="247">
        <v>1</v>
      </c>
      <c r="F846" s="247"/>
      <c r="G846" s="248"/>
      <c r="H846" s="247"/>
      <c r="I846" s="249" t="s">
        <v>269</v>
      </c>
      <c r="J846" s="249" t="s">
        <v>21</v>
      </c>
      <c r="K846" s="249" t="s">
        <v>22</v>
      </c>
      <c r="L846" s="250">
        <f t="shared" si="55"/>
        <v>1</v>
      </c>
      <c r="M846" s="237">
        <f t="array" ref="M846">INDEX('BKTT T4.26'!$N$12:$N$55,MATCH(V846,'BKTT T4.26'!$A$12:$A$55,0),0)</f>
        <v>654871</v>
      </c>
      <c r="N846" s="162">
        <f t="shared" si="54"/>
        <v>654871</v>
      </c>
      <c r="O846" s="238" t="s">
        <v>264</v>
      </c>
      <c r="P846" s="251" t="s">
        <v>1448</v>
      </c>
      <c r="R846" s="191" t="str">
        <f t="shared" si="56"/>
        <v>Cước vận chuyển Container hàng 20' tuyến đường PAN HA - HẢI AN. BKS: 15H07644</v>
      </c>
      <c r="S846" s="191" t="str">
        <f t="shared" si="57"/>
        <v xml:space="preserve"> hàng 20' </v>
      </c>
      <c r="V846" s="191">
        <v>1</v>
      </c>
    </row>
    <row r="847" spans="1:22" s="191" customFormat="1" ht="15">
      <c r="A847" s="236">
        <v>836</v>
      </c>
      <c r="B847" s="244">
        <v>46125</v>
      </c>
      <c r="C847" s="245" t="s">
        <v>261</v>
      </c>
      <c r="D847" s="246" t="s">
        <v>1094</v>
      </c>
      <c r="E847" s="247">
        <v>1</v>
      </c>
      <c r="F847" s="247"/>
      <c r="G847" s="248"/>
      <c r="H847" s="247"/>
      <c r="I847" s="249" t="s">
        <v>269</v>
      </c>
      <c r="J847" s="249" t="s">
        <v>21</v>
      </c>
      <c r="K847" s="249" t="s">
        <v>22</v>
      </c>
      <c r="L847" s="250">
        <f t="shared" si="55"/>
        <v>1</v>
      </c>
      <c r="M847" s="237">
        <f t="array" ref="M847">INDEX('BKTT T4.26'!$N$12:$N$55,MATCH(V847,'BKTT T4.26'!$A$12:$A$55,0),0)</f>
        <v>654871</v>
      </c>
      <c r="N847" s="162">
        <f t="shared" si="54"/>
        <v>654871</v>
      </c>
      <c r="O847" s="238" t="s">
        <v>264</v>
      </c>
      <c r="P847" s="251" t="s">
        <v>1448</v>
      </c>
      <c r="R847" s="191" t="str">
        <f t="shared" si="56"/>
        <v>Cước vận chuyển Container hàng 20' tuyến đường PAN HA - HẢI AN. BKS: 15H07644</v>
      </c>
      <c r="S847" s="191" t="str">
        <f t="shared" si="57"/>
        <v xml:space="preserve"> hàng 20' </v>
      </c>
      <c r="V847" s="191">
        <v>1</v>
      </c>
    </row>
    <row r="848" spans="1:22" s="191" customFormat="1" ht="15">
      <c r="A848" s="236">
        <v>837</v>
      </c>
      <c r="B848" s="244">
        <v>46126</v>
      </c>
      <c r="C848" s="245" t="s">
        <v>261</v>
      </c>
      <c r="D848" s="246" t="s">
        <v>1095</v>
      </c>
      <c r="E848" s="247"/>
      <c r="F848" s="247"/>
      <c r="G848" s="248"/>
      <c r="H848" s="247">
        <v>1</v>
      </c>
      <c r="I848" s="249" t="s">
        <v>269</v>
      </c>
      <c r="J848" s="249" t="s">
        <v>56</v>
      </c>
      <c r="K848" s="249" t="s">
        <v>21</v>
      </c>
      <c r="L848" s="250">
        <f t="shared" si="55"/>
        <v>1</v>
      </c>
      <c r="M848" s="237">
        <f t="array" ref="M848">INDEX('BKTT T4.26'!$N$12:$N$55,MATCH(V848,'BKTT T4.26'!$A$12:$A$55,0),0)</f>
        <v>1002400</v>
      </c>
      <c r="N848" s="162">
        <f t="shared" si="54"/>
        <v>1002400</v>
      </c>
      <c r="O848" s="238" t="s">
        <v>267</v>
      </c>
      <c r="P848" s="251" t="s">
        <v>1448</v>
      </c>
      <c r="R848" s="191" t="str">
        <f t="shared" si="56"/>
        <v>Cước vận chuyển Container vỏ tuyến đường HATECO - PAN HA. BKS: 15H07644</v>
      </c>
      <c r="S848" s="191" t="str">
        <f t="shared" si="57"/>
        <v xml:space="preserve"> vỏ </v>
      </c>
      <c r="V848" s="191">
        <v>35</v>
      </c>
    </row>
    <row r="849" spans="1:22" s="191" customFormat="1" ht="15">
      <c r="A849" s="236">
        <v>838</v>
      </c>
      <c r="B849" s="244">
        <v>46125</v>
      </c>
      <c r="C849" s="245" t="s">
        <v>261</v>
      </c>
      <c r="D849" s="246" t="s">
        <v>1096</v>
      </c>
      <c r="E849" s="247"/>
      <c r="F849" s="247"/>
      <c r="G849" s="248"/>
      <c r="H849" s="247">
        <v>1</v>
      </c>
      <c r="I849" s="249" t="s">
        <v>304</v>
      </c>
      <c r="J849" s="249" t="s">
        <v>21</v>
      </c>
      <c r="K849" s="249" t="s">
        <v>27</v>
      </c>
      <c r="L849" s="250">
        <f t="shared" si="55"/>
        <v>1</v>
      </c>
      <c r="M849" s="237">
        <f t="array" ref="M849">INDEX('BKTT T4.26'!$N$12:$N$55,MATCH(V849,'BKTT T4.26'!$A$12:$A$55,0),0)</f>
        <v>628690</v>
      </c>
      <c r="N849" s="162">
        <f t="shared" si="54"/>
        <v>628690</v>
      </c>
      <c r="O849" s="238" t="s">
        <v>264</v>
      </c>
      <c r="P849" s="251" t="s">
        <v>1448</v>
      </c>
      <c r="R849" s="191" t="str">
        <f t="shared" si="56"/>
        <v>Cước vận chuyển Container vỏ tuyến đường PAN HA - HẢI AN.. BKS: 15C09877</v>
      </c>
      <c r="S849" s="191" t="str">
        <f t="shared" si="57"/>
        <v xml:space="preserve"> vỏ </v>
      </c>
      <c r="V849" s="191">
        <v>3</v>
      </c>
    </row>
    <row r="850" spans="1:22" s="191" customFormat="1" ht="15">
      <c r="A850" s="236">
        <v>839</v>
      </c>
      <c r="B850" s="244">
        <v>46125</v>
      </c>
      <c r="C850" s="245" t="s">
        <v>261</v>
      </c>
      <c r="D850" s="246" t="s">
        <v>1097</v>
      </c>
      <c r="E850" s="247">
        <v>1</v>
      </c>
      <c r="F850" s="247"/>
      <c r="G850" s="248"/>
      <c r="H850" s="247"/>
      <c r="I850" s="249" t="s">
        <v>304</v>
      </c>
      <c r="J850" s="249" t="s">
        <v>21</v>
      </c>
      <c r="K850" s="249" t="s">
        <v>22</v>
      </c>
      <c r="L850" s="250">
        <f t="shared" si="55"/>
        <v>1</v>
      </c>
      <c r="M850" s="237">
        <f t="array" ref="M850">INDEX('BKTT T4.26'!$N$12:$N$55,MATCH(V850,'BKTT T4.26'!$A$12:$A$55,0),0)</f>
        <v>654871</v>
      </c>
      <c r="N850" s="162">
        <f t="shared" si="54"/>
        <v>654871</v>
      </c>
      <c r="O850" s="238" t="s">
        <v>264</v>
      </c>
      <c r="P850" s="251" t="s">
        <v>1448</v>
      </c>
      <c r="R850" s="191" t="str">
        <f t="shared" si="56"/>
        <v>Cước vận chuyển Container hàng 20' tuyến đường PAN HA - HẢI AN. BKS: 15C09877</v>
      </c>
      <c r="S850" s="191" t="str">
        <f t="shared" si="57"/>
        <v xml:space="preserve"> hàng 20' </v>
      </c>
      <c r="V850" s="191">
        <v>1</v>
      </c>
    </row>
    <row r="851" spans="1:22" s="191" customFormat="1" ht="15">
      <c r="A851" s="236">
        <v>840</v>
      </c>
      <c r="B851" s="244">
        <v>46125</v>
      </c>
      <c r="C851" s="245" t="s">
        <v>261</v>
      </c>
      <c r="D851" s="246" t="s">
        <v>1098</v>
      </c>
      <c r="E851" s="247">
        <v>1</v>
      </c>
      <c r="F851" s="247"/>
      <c r="G851" s="248"/>
      <c r="H851" s="247"/>
      <c r="I851" s="249" t="s">
        <v>304</v>
      </c>
      <c r="J851" s="249" t="s">
        <v>21</v>
      </c>
      <c r="K851" s="249" t="s">
        <v>22</v>
      </c>
      <c r="L851" s="250">
        <f t="shared" si="55"/>
        <v>1</v>
      </c>
      <c r="M851" s="237">
        <f t="array" ref="M851">INDEX('BKTT T4.26'!$N$12:$N$55,MATCH(V851,'BKTT T4.26'!$A$12:$A$55,0),0)</f>
        <v>654871</v>
      </c>
      <c r="N851" s="162">
        <f t="shared" si="54"/>
        <v>654871</v>
      </c>
      <c r="O851" s="238" t="s">
        <v>264</v>
      </c>
      <c r="P851" s="251" t="s">
        <v>1448</v>
      </c>
      <c r="R851" s="191" t="str">
        <f t="shared" si="56"/>
        <v>Cước vận chuyển Container hàng 20' tuyến đường PAN HA - HẢI AN. BKS: 15C09877</v>
      </c>
      <c r="S851" s="191" t="str">
        <f t="shared" si="57"/>
        <v xml:space="preserve"> hàng 20' </v>
      </c>
      <c r="V851" s="191">
        <v>1</v>
      </c>
    </row>
    <row r="852" spans="1:22" s="191" customFormat="1" ht="15">
      <c r="A852" s="236">
        <v>841</v>
      </c>
      <c r="B852" s="244">
        <v>46125</v>
      </c>
      <c r="C852" s="245" t="s">
        <v>261</v>
      </c>
      <c r="D852" s="246" t="s">
        <v>1099</v>
      </c>
      <c r="E852" s="247">
        <v>1</v>
      </c>
      <c r="F852" s="247"/>
      <c r="G852" s="248"/>
      <c r="H852" s="247"/>
      <c r="I852" s="249" t="s">
        <v>304</v>
      </c>
      <c r="J852" s="249" t="s">
        <v>21</v>
      </c>
      <c r="K852" s="249" t="s">
        <v>22</v>
      </c>
      <c r="L852" s="250">
        <f t="shared" si="55"/>
        <v>1</v>
      </c>
      <c r="M852" s="237">
        <f t="array" ref="M852">INDEX('BKTT T4.26'!$N$12:$N$55,MATCH(V852,'BKTT T4.26'!$A$12:$A$55,0),0)</f>
        <v>654871</v>
      </c>
      <c r="N852" s="162">
        <f t="shared" si="54"/>
        <v>654871</v>
      </c>
      <c r="O852" s="238" t="s">
        <v>264</v>
      </c>
      <c r="P852" s="251" t="s">
        <v>1448</v>
      </c>
      <c r="R852" s="191" t="str">
        <f t="shared" si="56"/>
        <v>Cước vận chuyển Container hàng 20' tuyến đường PAN HA - HẢI AN. BKS: 15C09877</v>
      </c>
      <c r="S852" s="191" t="str">
        <f t="shared" si="57"/>
        <v xml:space="preserve"> hàng 20' </v>
      </c>
      <c r="V852" s="191">
        <v>1</v>
      </c>
    </row>
    <row r="853" spans="1:22" s="191" customFormat="1" ht="15">
      <c r="A853" s="236">
        <v>842</v>
      </c>
      <c r="B853" s="244">
        <v>46125</v>
      </c>
      <c r="C853" s="245" t="s">
        <v>261</v>
      </c>
      <c r="D853" s="246" t="s">
        <v>1100</v>
      </c>
      <c r="E853" s="247">
        <v>1</v>
      </c>
      <c r="F853" s="247"/>
      <c r="G853" s="248"/>
      <c r="H853" s="247"/>
      <c r="I853" s="249" t="s">
        <v>304</v>
      </c>
      <c r="J853" s="249" t="s">
        <v>21</v>
      </c>
      <c r="K853" s="249" t="s">
        <v>22</v>
      </c>
      <c r="L853" s="250">
        <f t="shared" si="55"/>
        <v>1</v>
      </c>
      <c r="M853" s="237">
        <f t="array" ref="M853">INDEX('BKTT T4.26'!$N$12:$N$55,MATCH(V853,'BKTT T4.26'!$A$12:$A$55,0),0)</f>
        <v>654871</v>
      </c>
      <c r="N853" s="162">
        <f t="shared" si="54"/>
        <v>654871</v>
      </c>
      <c r="O853" s="238" t="s">
        <v>264</v>
      </c>
      <c r="P853" s="251" t="s">
        <v>1448</v>
      </c>
      <c r="R853" s="191" t="str">
        <f t="shared" si="56"/>
        <v>Cước vận chuyển Container hàng 20' tuyến đường PAN HA - HẢI AN. BKS: 15C09877</v>
      </c>
      <c r="S853" s="191" t="str">
        <f t="shared" si="57"/>
        <v xml:space="preserve"> hàng 20' </v>
      </c>
      <c r="V853" s="191">
        <v>1</v>
      </c>
    </row>
    <row r="854" spans="1:22" s="191" customFormat="1" ht="15">
      <c r="A854" s="236">
        <v>843</v>
      </c>
      <c r="B854" s="244">
        <v>46125</v>
      </c>
      <c r="C854" s="245" t="s">
        <v>261</v>
      </c>
      <c r="D854" s="246" t="s">
        <v>1101</v>
      </c>
      <c r="E854" s="247"/>
      <c r="F854" s="247">
        <v>1</v>
      </c>
      <c r="G854" s="248"/>
      <c r="H854" s="247"/>
      <c r="I854" s="249" t="s">
        <v>304</v>
      </c>
      <c r="J854" s="249" t="s">
        <v>21</v>
      </c>
      <c r="K854" s="249" t="s">
        <v>25</v>
      </c>
      <c r="L854" s="250">
        <f t="shared" si="55"/>
        <v>1</v>
      </c>
      <c r="M854" s="237">
        <f t="array" ref="M854">INDEX('BKTT T4.26'!$N$12:$N$55,MATCH(V854,'BKTT T4.26'!$A$12:$A$55,0),0)</f>
        <v>681050</v>
      </c>
      <c r="N854" s="162">
        <f t="shared" si="54"/>
        <v>681050</v>
      </c>
      <c r="O854" s="238" t="s">
        <v>264</v>
      </c>
      <c r="P854" s="251" t="s">
        <v>1448</v>
      </c>
      <c r="R854" s="191" t="str">
        <f t="shared" si="56"/>
        <v>Cước vận chuyển Container hàng 40' tuyến đường PAN HA - HẢI AN,. BKS: 15C09877</v>
      </c>
      <c r="S854" s="191" t="str">
        <f t="shared" si="57"/>
        <v xml:space="preserve"> hàng 40' </v>
      </c>
      <c r="V854" s="191">
        <v>2</v>
      </c>
    </row>
    <row r="855" spans="1:22" s="191" customFormat="1" ht="15">
      <c r="A855" s="236">
        <v>844</v>
      </c>
      <c r="B855" s="244">
        <v>46126</v>
      </c>
      <c r="C855" s="245" t="s">
        <v>261</v>
      </c>
      <c r="D855" s="246" t="s">
        <v>1102</v>
      </c>
      <c r="E855" s="247">
        <v>1</v>
      </c>
      <c r="F855" s="247"/>
      <c r="G855" s="248"/>
      <c r="H855" s="247"/>
      <c r="I855" s="249" t="s">
        <v>304</v>
      </c>
      <c r="J855" s="249" t="s">
        <v>21</v>
      </c>
      <c r="K855" s="249" t="s">
        <v>31</v>
      </c>
      <c r="L855" s="250">
        <f t="shared" si="55"/>
        <v>1</v>
      </c>
      <c r="M855" s="237">
        <f t="array" ref="M855">INDEX('BKTT T4.26'!$N$12:$N$55,MATCH(V855,'BKTT T4.26'!$A$12:$A$55,0),0)</f>
        <v>454158</v>
      </c>
      <c r="N855" s="162">
        <f t="shared" si="54"/>
        <v>454158</v>
      </c>
      <c r="O855" s="238" t="s">
        <v>264</v>
      </c>
      <c r="P855" s="251" t="s">
        <v>1448</v>
      </c>
      <c r="R855" s="191" t="str">
        <f t="shared" si="56"/>
        <v>Cước vận chuyển Container hàng 20' tuyến đường PAN HA - NDV. BKS: 15C09877</v>
      </c>
      <c r="S855" s="191" t="str">
        <f t="shared" si="57"/>
        <v xml:space="preserve"> hàng 20' </v>
      </c>
      <c r="V855" s="191">
        <v>7</v>
      </c>
    </row>
    <row r="856" spans="1:22" s="191" customFormat="1" ht="15">
      <c r="A856" s="236">
        <v>845</v>
      </c>
      <c r="B856" s="244">
        <v>46126</v>
      </c>
      <c r="C856" s="245" t="s">
        <v>261</v>
      </c>
      <c r="D856" s="246" t="s">
        <v>1103</v>
      </c>
      <c r="E856" s="247">
        <v>1</v>
      </c>
      <c r="F856" s="247"/>
      <c r="G856" s="248"/>
      <c r="H856" s="247"/>
      <c r="I856" s="249" t="s">
        <v>304</v>
      </c>
      <c r="J856" s="249" t="s">
        <v>21</v>
      </c>
      <c r="K856" s="249" t="s">
        <v>31</v>
      </c>
      <c r="L856" s="250">
        <f t="shared" si="55"/>
        <v>1</v>
      </c>
      <c r="M856" s="237">
        <f t="array" ref="M856">INDEX('BKTT T4.26'!$N$12:$N$55,MATCH(V856,'BKTT T4.26'!$A$12:$A$55,0),0)</f>
        <v>454158</v>
      </c>
      <c r="N856" s="162">
        <f t="shared" si="54"/>
        <v>454158</v>
      </c>
      <c r="O856" s="238" t="s">
        <v>264</v>
      </c>
      <c r="P856" s="251" t="s">
        <v>1448</v>
      </c>
      <c r="R856" s="191" t="str">
        <f t="shared" si="56"/>
        <v>Cước vận chuyển Container hàng 20' tuyến đường PAN HA - NDV. BKS: 15C09877</v>
      </c>
      <c r="S856" s="191" t="str">
        <f t="shared" si="57"/>
        <v xml:space="preserve"> hàng 20' </v>
      </c>
      <c r="V856" s="191">
        <v>7</v>
      </c>
    </row>
    <row r="857" spans="1:22" s="191" customFormat="1" ht="15">
      <c r="A857" s="236">
        <v>846</v>
      </c>
      <c r="B857" s="244">
        <v>46126</v>
      </c>
      <c r="C857" s="245" t="s">
        <v>261</v>
      </c>
      <c r="D857" s="246" t="s">
        <v>1104</v>
      </c>
      <c r="E857" s="247"/>
      <c r="F857" s="247"/>
      <c r="G857" s="248"/>
      <c r="H857" s="247">
        <v>1</v>
      </c>
      <c r="I857" s="249" t="s">
        <v>304</v>
      </c>
      <c r="J857" s="249" t="s">
        <v>56</v>
      </c>
      <c r="K857" s="249" t="s">
        <v>21</v>
      </c>
      <c r="L857" s="250">
        <f t="shared" si="55"/>
        <v>1</v>
      </c>
      <c r="M857" s="237">
        <f t="array" ref="M857">INDEX('BKTT T4.26'!$N$12:$N$55,MATCH(V857,'BKTT T4.26'!$A$12:$A$55,0),0)</f>
        <v>1002400</v>
      </c>
      <c r="N857" s="162">
        <f t="shared" si="54"/>
        <v>1002400</v>
      </c>
      <c r="O857" s="238" t="s">
        <v>267</v>
      </c>
      <c r="P857" s="251" t="s">
        <v>1448</v>
      </c>
      <c r="R857" s="191" t="str">
        <f t="shared" si="56"/>
        <v>Cước vận chuyển Container vỏ tuyến đường HATECO - PAN HA. BKS: 15C09877</v>
      </c>
      <c r="S857" s="191" t="str">
        <f t="shared" si="57"/>
        <v xml:space="preserve"> vỏ </v>
      </c>
      <c r="V857" s="191">
        <v>35</v>
      </c>
    </row>
    <row r="858" spans="1:22" s="191" customFormat="1" ht="15">
      <c r="A858" s="236">
        <v>847</v>
      </c>
      <c r="B858" s="244">
        <v>46126</v>
      </c>
      <c r="C858" s="245" t="s">
        <v>261</v>
      </c>
      <c r="D858" s="284" t="s">
        <v>1105</v>
      </c>
      <c r="E858" s="247"/>
      <c r="F858" s="247"/>
      <c r="G858" s="248"/>
      <c r="H858" s="247">
        <v>1</v>
      </c>
      <c r="I858" s="249" t="s">
        <v>304</v>
      </c>
      <c r="J858" s="249" t="s">
        <v>56</v>
      </c>
      <c r="K858" s="249" t="s">
        <v>21</v>
      </c>
      <c r="L858" s="250">
        <f t="shared" si="55"/>
        <v>1</v>
      </c>
      <c r="M858" s="237">
        <f t="array" ref="M858">INDEX('BKTT T4.26'!$N$12:$N$55,MATCH(V858,'BKTT T4.26'!$A$12:$A$55,0),0)</f>
        <v>1002400</v>
      </c>
      <c r="N858" s="162">
        <f t="shared" si="54"/>
        <v>1002400</v>
      </c>
      <c r="O858" s="238" t="s">
        <v>267</v>
      </c>
      <c r="P858" s="251" t="s">
        <v>1448</v>
      </c>
      <c r="R858" s="191" t="str">
        <f t="shared" si="56"/>
        <v>Cước vận chuyển Container vỏ tuyến đường HATECO - PAN HA. BKS: 15C09877</v>
      </c>
      <c r="S858" s="191" t="str">
        <f t="shared" si="57"/>
        <v xml:space="preserve"> vỏ </v>
      </c>
      <c r="V858" s="191">
        <v>35</v>
      </c>
    </row>
    <row r="859" spans="1:22" s="191" customFormat="1" ht="15">
      <c r="A859" s="236">
        <v>848</v>
      </c>
      <c r="B859" s="244">
        <v>46126</v>
      </c>
      <c r="C859" s="245" t="s">
        <v>261</v>
      </c>
      <c r="D859" s="246" t="s">
        <v>1106</v>
      </c>
      <c r="E859" s="247"/>
      <c r="F859" s="247"/>
      <c r="G859" s="248"/>
      <c r="H859" s="247">
        <v>1</v>
      </c>
      <c r="I859" s="249" t="s">
        <v>304</v>
      </c>
      <c r="J859" s="249" t="s">
        <v>56</v>
      </c>
      <c r="K859" s="249" t="s">
        <v>21</v>
      </c>
      <c r="L859" s="250">
        <f t="shared" si="55"/>
        <v>1</v>
      </c>
      <c r="M859" s="237">
        <f t="array" ref="M859">INDEX('BKTT T4.26'!$N$12:$N$55,MATCH(V859,'BKTT T4.26'!$A$12:$A$55,0),0)</f>
        <v>1002400</v>
      </c>
      <c r="N859" s="162">
        <f t="shared" si="54"/>
        <v>1002400</v>
      </c>
      <c r="O859" s="238" t="s">
        <v>267</v>
      </c>
      <c r="P859" s="251" t="s">
        <v>1448</v>
      </c>
      <c r="R859" s="191" t="str">
        <f t="shared" si="56"/>
        <v>Cước vận chuyển Container vỏ tuyến đường HATECO - PAN HA. BKS: 15C09877</v>
      </c>
      <c r="S859" s="191" t="str">
        <f t="shared" si="57"/>
        <v xml:space="preserve"> vỏ </v>
      </c>
      <c r="V859" s="191">
        <v>35</v>
      </c>
    </row>
    <row r="860" spans="1:22" s="191" customFormat="1" ht="15">
      <c r="A860" s="236">
        <v>849</v>
      </c>
      <c r="B860" s="244">
        <v>46126</v>
      </c>
      <c r="C860" s="245" t="s">
        <v>261</v>
      </c>
      <c r="D860" s="246" t="s">
        <v>1107</v>
      </c>
      <c r="E860" s="247"/>
      <c r="F860" s="247"/>
      <c r="G860" s="248"/>
      <c r="H860" s="247">
        <v>1</v>
      </c>
      <c r="I860" s="249" t="s">
        <v>304</v>
      </c>
      <c r="J860" s="249" t="s">
        <v>56</v>
      </c>
      <c r="K860" s="249" t="s">
        <v>21</v>
      </c>
      <c r="L860" s="250">
        <f t="shared" si="55"/>
        <v>1</v>
      </c>
      <c r="M860" s="237">
        <f t="array" ref="M860">INDEX('BKTT T4.26'!$N$12:$N$55,MATCH(V860,'BKTT T4.26'!$A$12:$A$55,0),0)</f>
        <v>1002400</v>
      </c>
      <c r="N860" s="162">
        <f t="shared" si="54"/>
        <v>1002400</v>
      </c>
      <c r="O860" s="238" t="s">
        <v>267</v>
      </c>
      <c r="P860" s="251" t="s">
        <v>1448</v>
      </c>
      <c r="R860" s="191" t="str">
        <f t="shared" si="56"/>
        <v>Cước vận chuyển Container vỏ tuyến đường HATECO - PAN HA. BKS: 15C09877</v>
      </c>
      <c r="S860" s="191" t="str">
        <f t="shared" si="57"/>
        <v xml:space="preserve"> vỏ </v>
      </c>
      <c r="V860" s="191">
        <v>35</v>
      </c>
    </row>
    <row r="861" spans="1:22" s="191" customFormat="1" ht="15">
      <c r="A861" s="236">
        <v>850</v>
      </c>
      <c r="B861" s="244">
        <v>46126</v>
      </c>
      <c r="C861" s="245" t="s">
        <v>261</v>
      </c>
      <c r="D861" s="246" t="s">
        <v>1108</v>
      </c>
      <c r="E861" s="247"/>
      <c r="F861" s="247"/>
      <c r="G861" s="248"/>
      <c r="H861" s="247">
        <v>1</v>
      </c>
      <c r="I861" s="249" t="s">
        <v>304</v>
      </c>
      <c r="J861" s="249" t="s">
        <v>56</v>
      </c>
      <c r="K861" s="249" t="s">
        <v>21</v>
      </c>
      <c r="L861" s="250">
        <f t="shared" si="55"/>
        <v>1</v>
      </c>
      <c r="M861" s="237">
        <f t="array" ref="M861">INDEX('BKTT T4.26'!$N$12:$N$55,MATCH(V861,'BKTT T4.26'!$A$12:$A$55,0),0)</f>
        <v>1002400</v>
      </c>
      <c r="N861" s="162">
        <f t="shared" si="54"/>
        <v>1002400</v>
      </c>
      <c r="O861" s="238" t="s">
        <v>267</v>
      </c>
      <c r="P861" s="251" t="s">
        <v>1448</v>
      </c>
      <c r="R861" s="191" t="str">
        <f t="shared" si="56"/>
        <v>Cước vận chuyển Container vỏ tuyến đường HATECO - PAN HA. BKS: 15C09877</v>
      </c>
      <c r="S861" s="191" t="str">
        <f t="shared" si="57"/>
        <v xml:space="preserve"> vỏ </v>
      </c>
      <c r="V861" s="191">
        <v>35</v>
      </c>
    </row>
    <row r="862" spans="1:22" s="191" customFormat="1" ht="15">
      <c r="A862" s="236">
        <v>851</v>
      </c>
      <c r="B862" s="244">
        <v>46118</v>
      </c>
      <c r="C862" s="245" t="s">
        <v>261</v>
      </c>
      <c r="D862" s="246" t="s">
        <v>1109</v>
      </c>
      <c r="E862" s="247"/>
      <c r="F862" s="247">
        <v>1</v>
      </c>
      <c r="G862" s="248"/>
      <c r="H862" s="247"/>
      <c r="I862" s="249" t="s">
        <v>564</v>
      </c>
      <c r="J862" s="249" t="s">
        <v>21</v>
      </c>
      <c r="K862" s="249" t="s">
        <v>25</v>
      </c>
      <c r="L862" s="250">
        <f t="shared" si="55"/>
        <v>1</v>
      </c>
      <c r="M862" s="237">
        <f t="array" ref="M862">INDEX('BKTT T4.26'!$N$12:$N$55,MATCH(V862,'BKTT T4.26'!$A$12:$A$55,0),0)</f>
        <v>681050</v>
      </c>
      <c r="N862" s="162">
        <f t="shared" si="54"/>
        <v>681050</v>
      </c>
      <c r="O862" s="238" t="s">
        <v>264</v>
      </c>
      <c r="P862" s="251" t="s">
        <v>1448</v>
      </c>
      <c r="R862" s="191" t="str">
        <f t="shared" si="56"/>
        <v>Cước vận chuyển Container hàng 40' tuyến đường PAN HA - HẢI AN,. BKS: 15H06892</v>
      </c>
      <c r="S862" s="191" t="str">
        <f t="shared" si="57"/>
        <v xml:space="preserve"> hàng 40' </v>
      </c>
      <c r="V862" s="191">
        <v>2</v>
      </c>
    </row>
    <row r="863" spans="1:22" s="283" customFormat="1" ht="15">
      <c r="A863" s="236">
        <v>852</v>
      </c>
      <c r="B863" s="272">
        <v>46125</v>
      </c>
      <c r="C863" s="273" t="s">
        <v>261</v>
      </c>
      <c r="D863" s="285" t="s">
        <v>1473</v>
      </c>
      <c r="E863" s="275"/>
      <c r="F863" s="275"/>
      <c r="G863" s="276"/>
      <c r="H863" s="275">
        <v>1</v>
      </c>
      <c r="I863" s="249" t="s">
        <v>1492</v>
      </c>
      <c r="J863" s="249" t="s">
        <v>21</v>
      </c>
      <c r="K863" s="249" t="s">
        <v>27</v>
      </c>
      <c r="L863" s="278">
        <f t="shared" si="55"/>
        <v>1</v>
      </c>
      <c r="M863" s="279">
        <f t="array" ref="M863">INDEX('BKTT T4.26'!$N$12:$N$55,MATCH(V863,'BKTT T4.26'!$A$12:$A$55,0),0)</f>
        <v>628690</v>
      </c>
      <c r="N863" s="280">
        <f t="shared" si="54"/>
        <v>628690</v>
      </c>
      <c r="O863" s="281" t="s">
        <v>264</v>
      </c>
      <c r="P863" s="282" t="s">
        <v>1447</v>
      </c>
      <c r="R863" s="283" t="str">
        <f t="shared" si="56"/>
        <v>Cước vận chuyển Container vỏ tuyến đường PAN HA - HẢI AN.. BKS: 15C21728</v>
      </c>
      <c r="S863" s="283" t="str">
        <f t="shared" si="57"/>
        <v xml:space="preserve"> vỏ </v>
      </c>
      <c r="V863" s="191">
        <v>3</v>
      </c>
    </row>
    <row r="864" spans="1:22" s="191" customFormat="1" ht="15">
      <c r="A864" s="236">
        <v>853</v>
      </c>
      <c r="B864" s="244">
        <v>46125</v>
      </c>
      <c r="C864" s="245" t="s">
        <v>261</v>
      </c>
      <c r="D864" s="246" t="s">
        <v>1110</v>
      </c>
      <c r="E864" s="247"/>
      <c r="F864" s="247"/>
      <c r="G864" s="248"/>
      <c r="H864" s="247">
        <v>1</v>
      </c>
      <c r="I864" s="249" t="s">
        <v>335</v>
      </c>
      <c r="J864" s="249" t="s">
        <v>21</v>
      </c>
      <c r="K864" s="249" t="s">
        <v>27</v>
      </c>
      <c r="L864" s="250">
        <f t="shared" si="55"/>
        <v>1</v>
      </c>
      <c r="M864" s="237">
        <f t="array" ref="M864">INDEX('BKTT T4.26'!$N$12:$N$55,MATCH(V864,'BKTT T4.26'!$A$12:$A$55,0),0)</f>
        <v>628690</v>
      </c>
      <c r="N864" s="162">
        <f t="shared" si="54"/>
        <v>628690</v>
      </c>
      <c r="O864" s="238" t="s">
        <v>264</v>
      </c>
      <c r="P864" s="251" t="s">
        <v>1448</v>
      </c>
      <c r="R864" s="191" t="str">
        <f t="shared" si="56"/>
        <v>Cước vận chuyển Container vỏ tuyến đường PAN HA - HẢI AN.. BKS: 15H18552</v>
      </c>
      <c r="S864" s="191" t="str">
        <f t="shared" si="57"/>
        <v xml:space="preserve"> vỏ </v>
      </c>
      <c r="V864" s="191">
        <v>3</v>
      </c>
    </row>
    <row r="865" spans="1:22" s="191" customFormat="1" ht="15">
      <c r="A865" s="236">
        <v>854</v>
      </c>
      <c r="B865" s="244">
        <v>46125</v>
      </c>
      <c r="C865" s="245" t="s">
        <v>261</v>
      </c>
      <c r="D865" s="246" t="s">
        <v>1111</v>
      </c>
      <c r="E865" s="247"/>
      <c r="F865" s="247"/>
      <c r="G865" s="248"/>
      <c r="H865" s="247">
        <v>1</v>
      </c>
      <c r="I865" s="249" t="s">
        <v>335</v>
      </c>
      <c r="J865" s="249" t="s">
        <v>21</v>
      </c>
      <c r="K865" s="249" t="s">
        <v>27</v>
      </c>
      <c r="L865" s="250">
        <f t="shared" si="55"/>
        <v>1</v>
      </c>
      <c r="M865" s="237">
        <f t="array" ref="M865">INDEX('BKTT T4.26'!$N$12:$N$55,MATCH(V865,'BKTT T4.26'!$A$12:$A$55,0),0)</f>
        <v>628690</v>
      </c>
      <c r="N865" s="162">
        <f t="shared" si="54"/>
        <v>628690</v>
      </c>
      <c r="O865" s="238" t="s">
        <v>264</v>
      </c>
      <c r="P865" s="251" t="s">
        <v>1448</v>
      </c>
      <c r="R865" s="191" t="str">
        <f t="shared" si="56"/>
        <v>Cước vận chuyển Container vỏ tuyến đường PAN HA - HẢI AN.. BKS: 15H18552</v>
      </c>
      <c r="S865" s="191" t="str">
        <f t="shared" si="57"/>
        <v xml:space="preserve"> vỏ </v>
      </c>
      <c r="V865" s="191">
        <v>3</v>
      </c>
    </row>
    <row r="866" spans="1:22" s="191" customFormat="1" ht="15">
      <c r="A866" s="236">
        <v>855</v>
      </c>
      <c r="B866" s="244">
        <v>46125</v>
      </c>
      <c r="C866" s="245" t="s">
        <v>261</v>
      </c>
      <c r="D866" s="246" t="s">
        <v>1112</v>
      </c>
      <c r="E866" s="247"/>
      <c r="F866" s="247">
        <v>1</v>
      </c>
      <c r="G866" s="248"/>
      <c r="H866" s="247"/>
      <c r="I866" s="249" t="s">
        <v>335</v>
      </c>
      <c r="J866" s="249" t="s">
        <v>21</v>
      </c>
      <c r="K866" s="249" t="s">
        <v>25</v>
      </c>
      <c r="L866" s="250">
        <f t="shared" si="55"/>
        <v>1</v>
      </c>
      <c r="M866" s="237">
        <f t="array" ref="M866">INDEX('BKTT T4.26'!$N$12:$N$55,MATCH(V866,'BKTT T4.26'!$A$12:$A$55,0),0)</f>
        <v>681050</v>
      </c>
      <c r="N866" s="162">
        <f t="shared" ref="N866:N927" si="58">L866*M866</f>
        <v>681050</v>
      </c>
      <c r="O866" s="238" t="s">
        <v>264</v>
      </c>
      <c r="P866" s="251" t="s">
        <v>1448</v>
      </c>
      <c r="R866" s="191" t="str">
        <f t="shared" si="56"/>
        <v>Cước vận chuyển Container hàng 40' tuyến đường PAN HA - HẢI AN,. BKS: 15H18552</v>
      </c>
      <c r="S866" s="191" t="str">
        <f t="shared" si="57"/>
        <v xml:space="preserve"> hàng 40' </v>
      </c>
      <c r="V866" s="191">
        <v>2</v>
      </c>
    </row>
    <row r="867" spans="1:22" s="191" customFormat="1" ht="15">
      <c r="A867" s="236">
        <v>856</v>
      </c>
      <c r="B867" s="244">
        <v>46125</v>
      </c>
      <c r="C867" s="245" t="s">
        <v>261</v>
      </c>
      <c r="D867" s="246" t="s">
        <v>1113</v>
      </c>
      <c r="E867" s="247"/>
      <c r="F867" s="247">
        <v>1</v>
      </c>
      <c r="G867" s="248"/>
      <c r="H867" s="247"/>
      <c r="I867" s="249" t="s">
        <v>335</v>
      </c>
      <c r="J867" s="249" t="s">
        <v>21</v>
      </c>
      <c r="K867" s="249" t="s">
        <v>25</v>
      </c>
      <c r="L867" s="250">
        <f t="shared" si="55"/>
        <v>1</v>
      </c>
      <c r="M867" s="237">
        <f t="array" ref="M867">INDEX('BKTT T4.26'!$N$12:$N$55,MATCH(V867,'BKTT T4.26'!$A$12:$A$55,0),0)</f>
        <v>681050</v>
      </c>
      <c r="N867" s="162">
        <f t="shared" si="58"/>
        <v>681050</v>
      </c>
      <c r="O867" s="238" t="s">
        <v>264</v>
      </c>
      <c r="P867" s="251" t="s">
        <v>1448</v>
      </c>
      <c r="R867" s="191" t="str">
        <f t="shared" si="56"/>
        <v>Cước vận chuyển Container hàng 40' tuyến đường PAN HA - HẢI AN,. BKS: 15H18552</v>
      </c>
      <c r="S867" s="191" t="str">
        <f t="shared" si="57"/>
        <v xml:space="preserve"> hàng 40' </v>
      </c>
      <c r="V867" s="191">
        <v>2</v>
      </c>
    </row>
    <row r="868" spans="1:22" s="191" customFormat="1" ht="15">
      <c r="A868" s="236">
        <v>857</v>
      </c>
      <c r="B868" s="244">
        <v>46125</v>
      </c>
      <c r="C868" s="245" t="s">
        <v>261</v>
      </c>
      <c r="D868" s="246" t="s">
        <v>1114</v>
      </c>
      <c r="E868" s="247"/>
      <c r="F868" s="247">
        <v>1</v>
      </c>
      <c r="G868" s="248"/>
      <c r="H868" s="247"/>
      <c r="I868" s="249" t="s">
        <v>335</v>
      </c>
      <c r="J868" s="249" t="s">
        <v>21</v>
      </c>
      <c r="K868" s="249" t="s">
        <v>25</v>
      </c>
      <c r="L868" s="250">
        <f t="shared" si="55"/>
        <v>1</v>
      </c>
      <c r="M868" s="237">
        <f t="array" ref="M868">INDEX('BKTT T4.26'!$N$12:$N$55,MATCH(V868,'BKTT T4.26'!$A$12:$A$55,0),0)</f>
        <v>681050</v>
      </c>
      <c r="N868" s="162">
        <f t="shared" si="58"/>
        <v>681050</v>
      </c>
      <c r="O868" s="238" t="s">
        <v>264</v>
      </c>
      <c r="P868" s="251" t="s">
        <v>1448</v>
      </c>
      <c r="R868" s="191" t="str">
        <f t="shared" si="56"/>
        <v>Cước vận chuyển Container hàng 40' tuyến đường PAN HA - HẢI AN,. BKS: 15H18552</v>
      </c>
      <c r="S868" s="191" t="str">
        <f t="shared" si="57"/>
        <v xml:space="preserve"> hàng 40' </v>
      </c>
      <c r="V868" s="191">
        <v>2</v>
      </c>
    </row>
    <row r="869" spans="1:22" s="191" customFormat="1" ht="15">
      <c r="A869" s="236">
        <v>858</v>
      </c>
      <c r="B869" s="244">
        <v>46126</v>
      </c>
      <c r="C869" s="245" t="s">
        <v>261</v>
      </c>
      <c r="D869" s="246" t="s">
        <v>1115</v>
      </c>
      <c r="E869" s="247"/>
      <c r="F869" s="247"/>
      <c r="G869" s="248">
        <v>0.5</v>
      </c>
      <c r="H869" s="247"/>
      <c r="I869" s="249" t="s">
        <v>335</v>
      </c>
      <c r="J869" s="249" t="s">
        <v>21</v>
      </c>
      <c r="K869" s="249" t="s">
        <v>27</v>
      </c>
      <c r="L869" s="250">
        <f t="shared" si="55"/>
        <v>0.5</v>
      </c>
      <c r="M869" s="237">
        <f t="array" ref="M869">INDEX('BKTT T4.26'!$N$12:$N$55,MATCH(V869,'BKTT T4.26'!$A$12:$A$55,0),0)</f>
        <v>628690</v>
      </c>
      <c r="N869" s="162">
        <f t="shared" si="58"/>
        <v>314345</v>
      </c>
      <c r="O869" s="238" t="s">
        <v>264</v>
      </c>
      <c r="P869" s="251" t="s">
        <v>1448</v>
      </c>
      <c r="R869" s="191" t="str">
        <f t="shared" si="56"/>
        <v>Cước vận chuyển Container vỏ tuyến đường PAN HA - HẢI AN.. BKS: 15H18552</v>
      </c>
      <c r="S869" s="191" t="str">
        <f t="shared" si="57"/>
        <v xml:space="preserve"> vỏ </v>
      </c>
      <c r="V869" s="191">
        <v>3</v>
      </c>
    </row>
    <row r="870" spans="1:22" s="191" customFormat="1" ht="15">
      <c r="A870" s="236">
        <v>859</v>
      </c>
      <c r="B870" s="244">
        <v>46126</v>
      </c>
      <c r="C870" s="245" t="s">
        <v>261</v>
      </c>
      <c r="D870" s="246" t="s">
        <v>1116</v>
      </c>
      <c r="E870" s="247"/>
      <c r="F870" s="247"/>
      <c r="G870" s="248">
        <v>0.5</v>
      </c>
      <c r="H870" s="247"/>
      <c r="I870" s="249" t="s">
        <v>335</v>
      </c>
      <c r="J870" s="249" t="s">
        <v>21</v>
      </c>
      <c r="K870" s="249" t="s">
        <v>27</v>
      </c>
      <c r="L870" s="250">
        <f t="shared" si="55"/>
        <v>0.5</v>
      </c>
      <c r="M870" s="237">
        <f t="array" ref="M870">INDEX('BKTT T4.26'!$N$12:$N$55,MATCH(V870,'BKTT T4.26'!$A$12:$A$55,0),0)</f>
        <v>628690</v>
      </c>
      <c r="N870" s="162">
        <f t="shared" si="58"/>
        <v>314345</v>
      </c>
      <c r="O870" s="238" t="s">
        <v>264</v>
      </c>
      <c r="P870" s="251" t="s">
        <v>1448</v>
      </c>
      <c r="R870" s="191" t="str">
        <f t="shared" si="56"/>
        <v>Cước vận chuyển Container vỏ tuyến đường PAN HA - HẢI AN.. BKS: 15H18552</v>
      </c>
      <c r="S870" s="191" t="str">
        <f t="shared" si="57"/>
        <v xml:space="preserve"> vỏ </v>
      </c>
      <c r="V870" s="191">
        <v>3</v>
      </c>
    </row>
    <row r="871" spans="1:22" s="191" customFormat="1" ht="15">
      <c r="A871" s="236">
        <v>860</v>
      </c>
      <c r="B871" s="244">
        <v>46126</v>
      </c>
      <c r="C871" s="245" t="s">
        <v>261</v>
      </c>
      <c r="D871" s="246" t="s">
        <v>1117</v>
      </c>
      <c r="E871" s="247"/>
      <c r="F871" s="247"/>
      <c r="G871" s="248">
        <v>0.5</v>
      </c>
      <c r="H871" s="247"/>
      <c r="I871" s="249" t="s">
        <v>335</v>
      </c>
      <c r="J871" s="249" t="s">
        <v>21</v>
      </c>
      <c r="K871" s="249" t="s">
        <v>27</v>
      </c>
      <c r="L871" s="250">
        <f t="shared" si="55"/>
        <v>0.5</v>
      </c>
      <c r="M871" s="237">
        <f t="array" ref="M871">INDEX('BKTT T4.26'!$N$12:$N$55,MATCH(V871,'BKTT T4.26'!$A$12:$A$55,0),0)</f>
        <v>628690</v>
      </c>
      <c r="N871" s="162">
        <f t="shared" si="58"/>
        <v>314345</v>
      </c>
      <c r="O871" s="238" t="s">
        <v>264</v>
      </c>
      <c r="P871" s="251" t="s">
        <v>1448</v>
      </c>
      <c r="R871" s="191" t="str">
        <f t="shared" si="56"/>
        <v>Cước vận chuyển Container vỏ tuyến đường PAN HA - HẢI AN.. BKS: 15H18552</v>
      </c>
      <c r="S871" s="191" t="str">
        <f t="shared" si="57"/>
        <v xml:space="preserve"> vỏ </v>
      </c>
      <c r="V871" s="191">
        <v>3</v>
      </c>
    </row>
    <row r="872" spans="1:22" s="191" customFormat="1" ht="15">
      <c r="A872" s="236">
        <v>861</v>
      </c>
      <c r="B872" s="244">
        <v>46126</v>
      </c>
      <c r="C872" s="245" t="s">
        <v>261</v>
      </c>
      <c r="D872" s="246" t="s">
        <v>1118</v>
      </c>
      <c r="E872" s="247"/>
      <c r="F872" s="247"/>
      <c r="G872" s="248">
        <v>0.5</v>
      </c>
      <c r="H872" s="247"/>
      <c r="I872" s="249" t="s">
        <v>335</v>
      </c>
      <c r="J872" s="249" t="s">
        <v>21</v>
      </c>
      <c r="K872" s="249" t="s">
        <v>27</v>
      </c>
      <c r="L872" s="250">
        <f t="shared" si="55"/>
        <v>0.5</v>
      </c>
      <c r="M872" s="237">
        <f t="array" ref="M872">INDEX('BKTT T4.26'!$N$12:$N$55,MATCH(V872,'BKTT T4.26'!$A$12:$A$55,0),0)</f>
        <v>628690</v>
      </c>
      <c r="N872" s="162">
        <f t="shared" si="58"/>
        <v>314345</v>
      </c>
      <c r="O872" s="238" t="s">
        <v>264</v>
      </c>
      <c r="P872" s="251" t="s">
        <v>1448</v>
      </c>
      <c r="R872" s="191" t="str">
        <f t="shared" si="56"/>
        <v>Cước vận chuyển Container vỏ tuyến đường PAN HA - HẢI AN.. BKS: 15H18552</v>
      </c>
      <c r="S872" s="191" t="str">
        <f t="shared" si="57"/>
        <v xml:space="preserve"> vỏ </v>
      </c>
      <c r="V872" s="191">
        <v>3</v>
      </c>
    </row>
    <row r="873" spans="1:22" s="191" customFormat="1" ht="15">
      <c r="A873" s="236">
        <v>862</v>
      </c>
      <c r="B873" s="244">
        <v>46126</v>
      </c>
      <c r="C873" s="245" t="s">
        <v>261</v>
      </c>
      <c r="D873" s="246" t="s">
        <v>1119</v>
      </c>
      <c r="E873" s="247"/>
      <c r="F873" s="247"/>
      <c r="G873" s="248"/>
      <c r="H873" s="247">
        <v>1</v>
      </c>
      <c r="I873" s="249" t="s">
        <v>335</v>
      </c>
      <c r="J873" s="249" t="s">
        <v>56</v>
      </c>
      <c r="K873" s="249" t="s">
        <v>21</v>
      </c>
      <c r="L873" s="250">
        <f t="shared" si="55"/>
        <v>1</v>
      </c>
      <c r="M873" s="237">
        <f t="array" ref="M873">INDEX('BKTT T4.26'!$N$12:$N$55,MATCH(V873,'BKTT T4.26'!$A$12:$A$55,0),0)</f>
        <v>1002400</v>
      </c>
      <c r="N873" s="162">
        <f t="shared" si="58"/>
        <v>1002400</v>
      </c>
      <c r="O873" s="238" t="s">
        <v>267</v>
      </c>
      <c r="P873" s="251" t="s">
        <v>1448</v>
      </c>
      <c r="R873" s="191" t="str">
        <f t="shared" si="56"/>
        <v>Cước vận chuyển Container vỏ tuyến đường HATECO - PAN HA. BKS: 15H18552</v>
      </c>
      <c r="S873" s="191" t="str">
        <f t="shared" si="57"/>
        <v xml:space="preserve"> vỏ </v>
      </c>
      <c r="V873" s="191">
        <v>35</v>
      </c>
    </row>
    <row r="874" spans="1:22" s="191" customFormat="1" ht="15">
      <c r="A874" s="236">
        <v>863</v>
      </c>
      <c r="B874" s="244">
        <v>46126</v>
      </c>
      <c r="C874" s="245" t="s">
        <v>261</v>
      </c>
      <c r="D874" s="284" t="s">
        <v>1120</v>
      </c>
      <c r="E874" s="247"/>
      <c r="F874" s="247"/>
      <c r="G874" s="248"/>
      <c r="H874" s="247">
        <v>1</v>
      </c>
      <c r="I874" s="249" t="s">
        <v>335</v>
      </c>
      <c r="J874" s="249" t="s">
        <v>56</v>
      </c>
      <c r="K874" s="249" t="s">
        <v>21</v>
      </c>
      <c r="L874" s="250">
        <f t="shared" si="55"/>
        <v>1</v>
      </c>
      <c r="M874" s="237">
        <f t="array" ref="M874">INDEX('BKTT T4.26'!$N$12:$N$55,MATCH(V874,'BKTT T4.26'!$A$12:$A$55,0),0)</f>
        <v>1002400</v>
      </c>
      <c r="N874" s="162">
        <f t="shared" si="58"/>
        <v>1002400</v>
      </c>
      <c r="O874" s="238" t="s">
        <v>267</v>
      </c>
      <c r="P874" s="251" t="s">
        <v>1448</v>
      </c>
      <c r="R874" s="191" t="str">
        <f t="shared" si="56"/>
        <v>Cước vận chuyển Container vỏ tuyến đường HATECO - PAN HA. BKS: 15H18552</v>
      </c>
      <c r="S874" s="191" t="str">
        <f t="shared" si="57"/>
        <v xml:space="preserve"> vỏ </v>
      </c>
      <c r="V874" s="191">
        <v>35</v>
      </c>
    </row>
    <row r="875" spans="1:22" s="191" customFormat="1" ht="15">
      <c r="A875" s="236">
        <v>864</v>
      </c>
      <c r="B875" s="244">
        <v>46126</v>
      </c>
      <c r="C875" s="245" t="s">
        <v>261</v>
      </c>
      <c r="D875" s="246" t="s">
        <v>1121</v>
      </c>
      <c r="E875" s="247"/>
      <c r="F875" s="247"/>
      <c r="G875" s="248"/>
      <c r="H875" s="247">
        <v>1</v>
      </c>
      <c r="I875" s="249" t="s">
        <v>335</v>
      </c>
      <c r="J875" s="249" t="s">
        <v>56</v>
      </c>
      <c r="K875" s="249" t="s">
        <v>21</v>
      </c>
      <c r="L875" s="250">
        <f t="shared" si="55"/>
        <v>1</v>
      </c>
      <c r="M875" s="237">
        <f t="array" ref="M875">INDEX('BKTT T4.26'!$N$12:$N$55,MATCH(V875,'BKTT T4.26'!$A$12:$A$55,0),0)</f>
        <v>1002400</v>
      </c>
      <c r="N875" s="162">
        <f t="shared" si="58"/>
        <v>1002400</v>
      </c>
      <c r="O875" s="238" t="s">
        <v>267</v>
      </c>
      <c r="P875" s="251" t="s">
        <v>1448</v>
      </c>
      <c r="R875" s="191" t="str">
        <f t="shared" si="56"/>
        <v>Cước vận chuyển Container vỏ tuyến đường HATECO - PAN HA. BKS: 15H18552</v>
      </c>
      <c r="S875" s="191" t="str">
        <f t="shared" si="57"/>
        <v xml:space="preserve"> vỏ </v>
      </c>
      <c r="V875" s="191">
        <v>35</v>
      </c>
    </row>
    <row r="876" spans="1:22" s="191" customFormat="1" ht="15">
      <c r="A876" s="236">
        <v>865</v>
      </c>
      <c r="B876" s="244">
        <v>46126</v>
      </c>
      <c r="C876" s="245" t="s">
        <v>261</v>
      </c>
      <c r="D876" s="246" t="s">
        <v>1122</v>
      </c>
      <c r="E876" s="247"/>
      <c r="F876" s="247"/>
      <c r="G876" s="248"/>
      <c r="H876" s="247">
        <v>1</v>
      </c>
      <c r="I876" s="249" t="s">
        <v>335</v>
      </c>
      <c r="J876" s="249" t="s">
        <v>56</v>
      </c>
      <c r="K876" s="249" t="s">
        <v>21</v>
      </c>
      <c r="L876" s="250">
        <f t="shared" si="55"/>
        <v>1</v>
      </c>
      <c r="M876" s="237">
        <f t="array" ref="M876">INDEX('BKTT T4.26'!$N$12:$N$55,MATCH(V876,'BKTT T4.26'!$A$12:$A$55,0),0)</f>
        <v>1002400</v>
      </c>
      <c r="N876" s="162">
        <f t="shared" si="58"/>
        <v>1002400</v>
      </c>
      <c r="O876" s="238" t="s">
        <v>267</v>
      </c>
      <c r="P876" s="251" t="s">
        <v>1448</v>
      </c>
      <c r="R876" s="191" t="str">
        <f t="shared" si="56"/>
        <v>Cước vận chuyển Container vỏ tuyến đường HATECO - PAN HA. BKS: 15H18552</v>
      </c>
      <c r="S876" s="191" t="str">
        <f t="shared" si="57"/>
        <v xml:space="preserve"> vỏ </v>
      </c>
      <c r="V876" s="191">
        <v>35</v>
      </c>
    </row>
    <row r="877" spans="1:22" s="191" customFormat="1" ht="15">
      <c r="A877" s="236">
        <v>866</v>
      </c>
      <c r="B877" s="244">
        <v>46126</v>
      </c>
      <c r="C877" s="245" t="s">
        <v>261</v>
      </c>
      <c r="D877" s="246" t="s">
        <v>1123</v>
      </c>
      <c r="E877" s="247"/>
      <c r="F877" s="247"/>
      <c r="G877" s="248"/>
      <c r="H877" s="247">
        <v>1</v>
      </c>
      <c r="I877" s="249" t="s">
        <v>335</v>
      </c>
      <c r="J877" s="249" t="s">
        <v>56</v>
      </c>
      <c r="K877" s="249" t="s">
        <v>21</v>
      </c>
      <c r="L877" s="250">
        <f t="shared" si="55"/>
        <v>1</v>
      </c>
      <c r="M877" s="237">
        <f t="array" ref="M877">INDEX('BKTT T4.26'!$N$12:$N$55,MATCH(V877,'BKTT T4.26'!$A$12:$A$55,0),0)</f>
        <v>1002400</v>
      </c>
      <c r="N877" s="162">
        <f t="shared" si="58"/>
        <v>1002400</v>
      </c>
      <c r="O877" s="238" t="s">
        <v>267</v>
      </c>
      <c r="P877" s="251" t="s">
        <v>1448</v>
      </c>
      <c r="R877" s="191" t="str">
        <f t="shared" si="56"/>
        <v>Cước vận chuyển Container vỏ tuyến đường HATECO - PAN HA. BKS: 15H18552</v>
      </c>
      <c r="S877" s="191" t="str">
        <f t="shared" si="57"/>
        <v xml:space="preserve"> vỏ </v>
      </c>
      <c r="V877" s="191">
        <v>35</v>
      </c>
    </row>
    <row r="878" spans="1:22" s="191" customFormat="1" ht="15">
      <c r="A878" s="236">
        <v>867</v>
      </c>
      <c r="B878" s="244">
        <v>46125</v>
      </c>
      <c r="C878" s="245" t="s">
        <v>261</v>
      </c>
      <c r="D878" s="246" t="s">
        <v>1124</v>
      </c>
      <c r="E878" s="247"/>
      <c r="F878" s="247">
        <v>1</v>
      </c>
      <c r="G878" s="248"/>
      <c r="H878" s="247"/>
      <c r="I878" s="249" t="s">
        <v>743</v>
      </c>
      <c r="J878" s="249" t="s">
        <v>21</v>
      </c>
      <c r="K878" s="249" t="s">
        <v>25</v>
      </c>
      <c r="L878" s="250">
        <f t="shared" si="55"/>
        <v>1</v>
      </c>
      <c r="M878" s="237">
        <f t="array" ref="M878">INDEX('BKTT T4.26'!$N$12:$N$55,MATCH(V878,'BKTT T4.26'!$A$12:$A$55,0),0)</f>
        <v>681050</v>
      </c>
      <c r="N878" s="162">
        <f t="shared" si="58"/>
        <v>681050</v>
      </c>
      <c r="O878" s="238" t="s">
        <v>264</v>
      </c>
      <c r="P878" s="251" t="s">
        <v>1448</v>
      </c>
      <c r="R878" s="191" t="str">
        <f t="shared" si="56"/>
        <v>Cước vận chuyển Container hàng 40' tuyến đường PAN HA - HẢI AN,. BKS: 15H07135</v>
      </c>
      <c r="S878" s="191" t="str">
        <f t="shared" si="57"/>
        <v xml:space="preserve"> hàng 40' </v>
      </c>
      <c r="V878" s="191">
        <v>2</v>
      </c>
    </row>
    <row r="879" spans="1:22" s="191" customFormat="1" ht="15">
      <c r="A879" s="236">
        <v>868</v>
      </c>
      <c r="B879" s="244">
        <v>46125</v>
      </c>
      <c r="C879" s="245" t="s">
        <v>261</v>
      </c>
      <c r="D879" s="246" t="s">
        <v>1125</v>
      </c>
      <c r="E879" s="247"/>
      <c r="F879" s="247">
        <v>1</v>
      </c>
      <c r="G879" s="248"/>
      <c r="H879" s="247"/>
      <c r="I879" s="249" t="s">
        <v>743</v>
      </c>
      <c r="J879" s="249" t="s">
        <v>21</v>
      </c>
      <c r="K879" s="249" t="s">
        <v>25</v>
      </c>
      <c r="L879" s="250">
        <f t="shared" si="55"/>
        <v>1</v>
      </c>
      <c r="M879" s="237">
        <f t="array" ref="M879">INDEX('BKTT T4.26'!$N$12:$N$55,MATCH(V879,'BKTT T4.26'!$A$12:$A$55,0),0)</f>
        <v>681050</v>
      </c>
      <c r="N879" s="162">
        <f t="shared" si="58"/>
        <v>681050</v>
      </c>
      <c r="O879" s="238" t="s">
        <v>264</v>
      </c>
      <c r="P879" s="251" t="s">
        <v>1448</v>
      </c>
      <c r="R879" s="191" t="str">
        <f t="shared" si="56"/>
        <v>Cước vận chuyển Container hàng 40' tuyến đường PAN HA - HẢI AN,. BKS: 15H07135</v>
      </c>
      <c r="S879" s="191" t="str">
        <f t="shared" si="57"/>
        <v xml:space="preserve"> hàng 40' </v>
      </c>
      <c r="V879" s="191">
        <v>2</v>
      </c>
    </row>
    <row r="880" spans="1:22" s="191" customFormat="1" ht="15">
      <c r="A880" s="236">
        <v>869</v>
      </c>
      <c r="B880" s="244">
        <v>46125</v>
      </c>
      <c r="C880" s="245" t="s">
        <v>261</v>
      </c>
      <c r="D880" s="246" t="s">
        <v>1126</v>
      </c>
      <c r="E880" s="247"/>
      <c r="F880" s="247">
        <v>1</v>
      </c>
      <c r="G880" s="248"/>
      <c r="H880" s="247"/>
      <c r="I880" s="249" t="s">
        <v>743</v>
      </c>
      <c r="J880" s="249" t="s">
        <v>21</v>
      </c>
      <c r="K880" s="249" t="s">
        <v>25</v>
      </c>
      <c r="L880" s="250">
        <f t="shared" si="55"/>
        <v>1</v>
      </c>
      <c r="M880" s="237">
        <f t="array" ref="M880">INDEX('BKTT T4.26'!$N$12:$N$55,MATCH(V880,'BKTT T4.26'!$A$12:$A$55,0),0)</f>
        <v>681050</v>
      </c>
      <c r="N880" s="162">
        <f t="shared" si="58"/>
        <v>681050</v>
      </c>
      <c r="O880" s="238" t="s">
        <v>264</v>
      </c>
      <c r="P880" s="251" t="s">
        <v>1448</v>
      </c>
      <c r="R880" s="191" t="str">
        <f t="shared" si="56"/>
        <v>Cước vận chuyển Container hàng 40' tuyến đường PAN HA - HẢI AN,. BKS: 15H07135</v>
      </c>
      <c r="S880" s="191" t="str">
        <f t="shared" si="57"/>
        <v xml:space="preserve"> hàng 40' </v>
      </c>
      <c r="V880" s="191">
        <v>2</v>
      </c>
    </row>
    <row r="881" spans="1:22" s="283" customFormat="1" ht="15">
      <c r="A881" s="236">
        <v>870</v>
      </c>
      <c r="B881" s="272">
        <v>46125</v>
      </c>
      <c r="C881" s="273" t="s">
        <v>261</v>
      </c>
      <c r="D881" s="285" t="s">
        <v>1474</v>
      </c>
      <c r="E881" s="275"/>
      <c r="F881" s="247">
        <v>1</v>
      </c>
      <c r="G881" s="276"/>
      <c r="H881" s="275"/>
      <c r="I881" s="277" t="s">
        <v>743</v>
      </c>
      <c r="J881" s="249" t="s">
        <v>21</v>
      </c>
      <c r="K881" s="249" t="s">
        <v>25</v>
      </c>
      <c r="L881" s="278">
        <f t="shared" si="55"/>
        <v>1</v>
      </c>
      <c r="M881" s="279">
        <f t="array" ref="M881">INDEX('BKTT T4.26'!$N$12:$N$55,MATCH(V881,'BKTT T4.26'!$A$12:$A$55,0),0)</f>
        <v>681050</v>
      </c>
      <c r="N881" s="280">
        <f t="shared" si="58"/>
        <v>681050</v>
      </c>
      <c r="O881" s="281" t="s">
        <v>264</v>
      </c>
      <c r="P881" s="282" t="s">
        <v>1447</v>
      </c>
      <c r="R881" s="283" t="str">
        <f t="shared" si="56"/>
        <v>Cước vận chuyển Container hàng 40' tuyến đường PAN HA - HẢI AN,. BKS: 15H07135</v>
      </c>
      <c r="S881" s="283" t="str">
        <f t="shared" si="57"/>
        <v xml:space="preserve"> hàng 40' </v>
      </c>
      <c r="V881" s="191">
        <v>2</v>
      </c>
    </row>
    <row r="882" spans="1:22" s="191" customFormat="1" ht="15">
      <c r="A882" s="236">
        <v>871</v>
      </c>
      <c r="B882" s="244">
        <v>46125</v>
      </c>
      <c r="C882" s="245" t="s">
        <v>261</v>
      </c>
      <c r="D882" s="246" t="s">
        <v>1127</v>
      </c>
      <c r="E882" s="247">
        <v>1</v>
      </c>
      <c r="F882" s="247"/>
      <c r="G882" s="248"/>
      <c r="H882" s="247"/>
      <c r="I882" s="249" t="s">
        <v>743</v>
      </c>
      <c r="J882" s="249" t="s">
        <v>21</v>
      </c>
      <c r="K882" s="249" t="s">
        <v>31</v>
      </c>
      <c r="L882" s="250">
        <f t="shared" si="55"/>
        <v>1</v>
      </c>
      <c r="M882" s="237">
        <f t="array" ref="M882">INDEX('BKTT T4.26'!$N$12:$N$55,MATCH(V882,'BKTT T4.26'!$A$12:$A$55,0),0)</f>
        <v>454158</v>
      </c>
      <c r="N882" s="162">
        <f t="shared" si="58"/>
        <v>454158</v>
      </c>
      <c r="O882" s="238" t="s">
        <v>264</v>
      </c>
      <c r="P882" s="251" t="s">
        <v>1448</v>
      </c>
      <c r="R882" s="191" t="str">
        <f t="shared" si="56"/>
        <v>Cước vận chuyển Container hàng 20' tuyến đường PAN HA - NDV. BKS: 15H07135</v>
      </c>
      <c r="S882" s="191" t="str">
        <f t="shared" si="57"/>
        <v xml:space="preserve"> hàng 20' </v>
      </c>
      <c r="V882" s="191">
        <v>7</v>
      </c>
    </row>
    <row r="883" spans="1:22" s="191" customFormat="1" ht="15">
      <c r="A883" s="236">
        <v>872</v>
      </c>
      <c r="B883" s="244">
        <v>46125</v>
      </c>
      <c r="C883" s="245" t="s">
        <v>261</v>
      </c>
      <c r="D883" s="246" t="s">
        <v>1128</v>
      </c>
      <c r="E883" s="247">
        <v>1</v>
      </c>
      <c r="F883" s="247"/>
      <c r="G883" s="248"/>
      <c r="H883" s="247"/>
      <c r="I883" s="249" t="s">
        <v>743</v>
      </c>
      <c r="J883" s="249" t="s">
        <v>21</v>
      </c>
      <c r="K883" s="249" t="s">
        <v>31</v>
      </c>
      <c r="L883" s="250">
        <f t="shared" si="55"/>
        <v>1</v>
      </c>
      <c r="M883" s="237">
        <f t="array" ref="M883">INDEX('BKTT T4.26'!$N$12:$N$55,MATCH(V883,'BKTT T4.26'!$A$12:$A$55,0),0)</f>
        <v>454158</v>
      </c>
      <c r="N883" s="162">
        <f t="shared" si="58"/>
        <v>454158</v>
      </c>
      <c r="O883" s="238" t="s">
        <v>264</v>
      </c>
      <c r="P883" s="251" t="s">
        <v>1448</v>
      </c>
      <c r="R883" s="191" t="str">
        <f t="shared" si="56"/>
        <v>Cước vận chuyển Container hàng 20' tuyến đường PAN HA - NDV. BKS: 15H07135</v>
      </c>
      <c r="S883" s="191" t="str">
        <f t="shared" si="57"/>
        <v xml:space="preserve"> hàng 20' </v>
      </c>
      <c r="V883" s="191">
        <v>7</v>
      </c>
    </row>
    <row r="884" spans="1:22" s="191" customFormat="1" ht="15">
      <c r="A884" s="236">
        <v>873</v>
      </c>
      <c r="B884" s="244">
        <v>46125</v>
      </c>
      <c r="C884" s="245" t="s">
        <v>261</v>
      </c>
      <c r="D884" s="246" t="s">
        <v>1129</v>
      </c>
      <c r="E884" s="247"/>
      <c r="F884" s="247">
        <v>1</v>
      </c>
      <c r="G884" s="248"/>
      <c r="H884" s="247"/>
      <c r="I884" s="249" t="s">
        <v>743</v>
      </c>
      <c r="J884" s="249" t="s">
        <v>21</v>
      </c>
      <c r="K884" s="249" t="s">
        <v>32</v>
      </c>
      <c r="L884" s="250">
        <f t="shared" si="55"/>
        <v>1</v>
      </c>
      <c r="M884" s="237">
        <f t="array" ref="M884">INDEX('BKTT T4.26'!$N$12:$N$55,MATCH(V884,'BKTT T4.26'!$A$12:$A$55,0),0)</f>
        <v>489065</v>
      </c>
      <c r="N884" s="162">
        <f t="shared" si="58"/>
        <v>489065</v>
      </c>
      <c r="O884" s="238" t="s">
        <v>264</v>
      </c>
      <c r="P884" s="251" t="s">
        <v>1448</v>
      </c>
      <c r="R884" s="191" t="str">
        <f t="shared" si="56"/>
        <v>Cước vận chuyển Container hàng 40' tuyến đường PAN HA - NDV,. BKS: 15H07135</v>
      </c>
      <c r="S884" s="191" t="str">
        <f t="shared" si="57"/>
        <v xml:space="preserve"> hàng 40' </v>
      </c>
      <c r="V884" s="191">
        <v>8</v>
      </c>
    </row>
    <row r="885" spans="1:22" s="191" customFormat="1" ht="15">
      <c r="A885" s="236">
        <v>874</v>
      </c>
      <c r="B885" s="244">
        <v>46126</v>
      </c>
      <c r="C885" s="245" t="s">
        <v>261</v>
      </c>
      <c r="D885" s="246" t="s">
        <v>1130</v>
      </c>
      <c r="E885" s="247"/>
      <c r="F885" s="247"/>
      <c r="G885" s="248">
        <v>0.5</v>
      </c>
      <c r="H885" s="247"/>
      <c r="I885" s="249" t="s">
        <v>743</v>
      </c>
      <c r="J885" s="249" t="s">
        <v>21</v>
      </c>
      <c r="K885" s="249" t="s">
        <v>27</v>
      </c>
      <c r="L885" s="250">
        <f t="shared" si="55"/>
        <v>0.5</v>
      </c>
      <c r="M885" s="237">
        <f t="array" ref="M885">INDEX('BKTT T4.26'!$N$12:$N$55,MATCH(V885,'BKTT T4.26'!$A$12:$A$55,0),0)</f>
        <v>628690</v>
      </c>
      <c r="N885" s="162">
        <f t="shared" si="58"/>
        <v>314345</v>
      </c>
      <c r="O885" s="238" t="s">
        <v>264</v>
      </c>
      <c r="P885" s="251" t="s">
        <v>1448</v>
      </c>
      <c r="R885" s="191" t="str">
        <f t="shared" si="56"/>
        <v>Cước vận chuyển Container vỏ tuyến đường PAN HA - HẢI AN.. BKS: 15H07135</v>
      </c>
      <c r="S885" s="191" t="str">
        <f t="shared" si="57"/>
        <v xml:space="preserve"> vỏ </v>
      </c>
      <c r="V885" s="191">
        <v>3</v>
      </c>
    </row>
    <row r="886" spans="1:22" s="191" customFormat="1" ht="15">
      <c r="A886" s="236">
        <v>875</v>
      </c>
      <c r="B886" s="244">
        <v>46126</v>
      </c>
      <c r="C886" s="245" t="s">
        <v>261</v>
      </c>
      <c r="D886" s="246" t="s">
        <v>1131</v>
      </c>
      <c r="E886" s="247"/>
      <c r="F886" s="247"/>
      <c r="G886" s="248">
        <v>0.5</v>
      </c>
      <c r="H886" s="247"/>
      <c r="I886" s="249" t="s">
        <v>743</v>
      </c>
      <c r="J886" s="249" t="s">
        <v>21</v>
      </c>
      <c r="K886" s="249" t="s">
        <v>27</v>
      </c>
      <c r="L886" s="250">
        <f t="shared" si="55"/>
        <v>0.5</v>
      </c>
      <c r="M886" s="237">
        <f t="array" ref="M886">INDEX('BKTT T4.26'!$N$12:$N$55,MATCH(V886,'BKTT T4.26'!$A$12:$A$55,0),0)</f>
        <v>628690</v>
      </c>
      <c r="N886" s="162">
        <f t="shared" si="58"/>
        <v>314345</v>
      </c>
      <c r="O886" s="238" t="s">
        <v>264</v>
      </c>
      <c r="P886" s="251" t="s">
        <v>1448</v>
      </c>
      <c r="R886" s="191" t="str">
        <f t="shared" si="56"/>
        <v>Cước vận chuyển Container vỏ tuyến đường PAN HA - HẢI AN.. BKS: 15H07135</v>
      </c>
      <c r="S886" s="191" t="str">
        <f t="shared" si="57"/>
        <v xml:space="preserve"> vỏ </v>
      </c>
      <c r="V886" s="191">
        <v>3</v>
      </c>
    </row>
    <row r="887" spans="1:22" s="191" customFormat="1" ht="15">
      <c r="A887" s="236">
        <v>876</v>
      </c>
      <c r="B887" s="244">
        <v>46126</v>
      </c>
      <c r="C887" s="245" t="s">
        <v>261</v>
      </c>
      <c r="D887" s="246" t="s">
        <v>1132</v>
      </c>
      <c r="E887" s="247">
        <v>1</v>
      </c>
      <c r="F887" s="247"/>
      <c r="G887" s="248"/>
      <c r="H887" s="247"/>
      <c r="I887" s="249" t="s">
        <v>743</v>
      </c>
      <c r="J887" s="249" t="s">
        <v>21</v>
      </c>
      <c r="K887" s="249" t="s">
        <v>31</v>
      </c>
      <c r="L887" s="250">
        <f t="shared" si="55"/>
        <v>1</v>
      </c>
      <c r="M887" s="237">
        <f t="array" ref="M887">INDEX('BKTT T4.26'!$N$12:$N$55,MATCH(V887,'BKTT T4.26'!$A$12:$A$55,0),0)</f>
        <v>454158</v>
      </c>
      <c r="N887" s="162">
        <f t="shared" si="58"/>
        <v>454158</v>
      </c>
      <c r="O887" s="238" t="s">
        <v>264</v>
      </c>
      <c r="P887" s="251" t="s">
        <v>1448</v>
      </c>
      <c r="R887" s="191" t="str">
        <f t="shared" si="56"/>
        <v>Cước vận chuyển Container hàng 20' tuyến đường PAN HA - NDV. BKS: 15H07135</v>
      </c>
      <c r="S887" s="191" t="str">
        <f t="shared" si="57"/>
        <v xml:space="preserve"> hàng 20' </v>
      </c>
      <c r="V887" s="191">
        <v>7</v>
      </c>
    </row>
    <row r="888" spans="1:22" s="191" customFormat="1" ht="15">
      <c r="A888" s="236">
        <v>877</v>
      </c>
      <c r="B888" s="244">
        <v>46126</v>
      </c>
      <c r="C888" s="245" t="s">
        <v>261</v>
      </c>
      <c r="D888" s="246" t="s">
        <v>1133</v>
      </c>
      <c r="E888" s="247">
        <v>1</v>
      </c>
      <c r="F888" s="247"/>
      <c r="G888" s="248"/>
      <c r="H888" s="247"/>
      <c r="I888" s="249" t="s">
        <v>743</v>
      </c>
      <c r="J888" s="249" t="s">
        <v>21</v>
      </c>
      <c r="K888" s="249" t="s">
        <v>31</v>
      </c>
      <c r="L888" s="250">
        <f t="shared" si="55"/>
        <v>1</v>
      </c>
      <c r="M888" s="237">
        <f t="array" ref="M888">INDEX('BKTT T4.26'!$N$12:$N$55,MATCH(V888,'BKTT T4.26'!$A$12:$A$55,0),0)</f>
        <v>454158</v>
      </c>
      <c r="N888" s="162">
        <f t="shared" si="58"/>
        <v>454158</v>
      </c>
      <c r="O888" s="238" t="s">
        <v>264</v>
      </c>
      <c r="P888" s="251" t="s">
        <v>1448</v>
      </c>
      <c r="R888" s="191" t="str">
        <f t="shared" si="56"/>
        <v>Cước vận chuyển Container hàng 20' tuyến đường PAN HA - NDV. BKS: 15H07135</v>
      </c>
      <c r="S888" s="191" t="str">
        <f t="shared" si="57"/>
        <v xml:space="preserve"> hàng 20' </v>
      </c>
      <c r="V888" s="191">
        <v>7</v>
      </c>
    </row>
    <row r="889" spans="1:22" s="191" customFormat="1" ht="15">
      <c r="A889" s="236">
        <v>878</v>
      </c>
      <c r="B889" s="244">
        <v>46126</v>
      </c>
      <c r="C889" s="245" t="s">
        <v>261</v>
      </c>
      <c r="D889" s="246" t="s">
        <v>1134</v>
      </c>
      <c r="E889" s="247">
        <v>1</v>
      </c>
      <c r="F889" s="247"/>
      <c r="G889" s="248"/>
      <c r="H889" s="247"/>
      <c r="I889" s="249" t="s">
        <v>743</v>
      </c>
      <c r="J889" s="249" t="s">
        <v>21</v>
      </c>
      <c r="K889" s="249" t="s">
        <v>31</v>
      </c>
      <c r="L889" s="250">
        <f t="shared" si="55"/>
        <v>1</v>
      </c>
      <c r="M889" s="237">
        <f t="array" ref="M889">INDEX('BKTT T4.26'!$N$12:$N$55,MATCH(V889,'BKTT T4.26'!$A$12:$A$55,0),0)</f>
        <v>454158</v>
      </c>
      <c r="N889" s="162">
        <f t="shared" si="58"/>
        <v>454158</v>
      </c>
      <c r="O889" s="238" t="s">
        <v>264</v>
      </c>
      <c r="P889" s="251" t="s">
        <v>1448</v>
      </c>
      <c r="R889" s="191" t="str">
        <f t="shared" si="56"/>
        <v>Cước vận chuyển Container hàng 20' tuyến đường PAN HA - NDV. BKS: 15H07135</v>
      </c>
      <c r="S889" s="191" t="str">
        <f t="shared" si="57"/>
        <v xml:space="preserve"> hàng 20' </v>
      </c>
      <c r="V889" s="191">
        <v>7</v>
      </c>
    </row>
    <row r="890" spans="1:22" s="191" customFormat="1" ht="15">
      <c r="A890" s="236">
        <v>879</v>
      </c>
      <c r="B890" s="244">
        <v>46126</v>
      </c>
      <c r="C890" s="245" t="s">
        <v>261</v>
      </c>
      <c r="D890" s="246" t="s">
        <v>1135</v>
      </c>
      <c r="E890" s="247">
        <v>1</v>
      </c>
      <c r="F890" s="247"/>
      <c r="G890" s="248"/>
      <c r="H890" s="247"/>
      <c r="I890" s="249" t="s">
        <v>743</v>
      </c>
      <c r="J890" s="249" t="s">
        <v>21</v>
      </c>
      <c r="K890" s="249" t="s">
        <v>31</v>
      </c>
      <c r="L890" s="250">
        <f t="shared" si="55"/>
        <v>1</v>
      </c>
      <c r="M890" s="237">
        <f t="array" ref="M890">INDEX('BKTT T4.26'!$N$12:$N$55,MATCH(V890,'BKTT T4.26'!$A$12:$A$55,0),0)</f>
        <v>454158</v>
      </c>
      <c r="N890" s="162">
        <f t="shared" si="58"/>
        <v>454158</v>
      </c>
      <c r="O890" s="238" t="s">
        <v>264</v>
      </c>
      <c r="P890" s="251" t="s">
        <v>1448</v>
      </c>
      <c r="R890" s="191" t="str">
        <f t="shared" si="56"/>
        <v>Cước vận chuyển Container hàng 20' tuyến đường PAN HA - NDV. BKS: 15H07135</v>
      </c>
      <c r="S890" s="191" t="str">
        <f t="shared" si="57"/>
        <v xml:space="preserve"> hàng 20' </v>
      </c>
      <c r="V890" s="191">
        <v>7</v>
      </c>
    </row>
    <row r="891" spans="1:22" s="191" customFormat="1" ht="15">
      <c r="A891" s="236">
        <v>880</v>
      </c>
      <c r="B891" s="244">
        <v>46126</v>
      </c>
      <c r="C891" s="245" t="s">
        <v>261</v>
      </c>
      <c r="D891" s="246" t="s">
        <v>1136</v>
      </c>
      <c r="E891" s="247">
        <v>1</v>
      </c>
      <c r="F891" s="247"/>
      <c r="G891" s="248"/>
      <c r="H891" s="247"/>
      <c r="I891" s="249" t="s">
        <v>743</v>
      </c>
      <c r="J891" s="249" t="s">
        <v>21</v>
      </c>
      <c r="K891" s="249" t="s">
        <v>31</v>
      </c>
      <c r="L891" s="250">
        <f t="shared" si="55"/>
        <v>1</v>
      </c>
      <c r="M891" s="237">
        <f t="array" ref="M891">INDEX('BKTT T4.26'!$N$12:$N$55,MATCH(V891,'BKTT T4.26'!$A$12:$A$55,0),0)</f>
        <v>454158</v>
      </c>
      <c r="N891" s="162">
        <f t="shared" si="58"/>
        <v>454158</v>
      </c>
      <c r="O891" s="238" t="s">
        <v>264</v>
      </c>
      <c r="P891" s="251" t="s">
        <v>1448</v>
      </c>
      <c r="R891" s="191" t="str">
        <f t="shared" si="56"/>
        <v>Cước vận chuyển Container hàng 20' tuyến đường PAN HA - NDV. BKS: 15H07135</v>
      </c>
      <c r="S891" s="191" t="str">
        <f t="shared" si="57"/>
        <v xml:space="preserve"> hàng 20' </v>
      </c>
      <c r="V891" s="191">
        <v>7</v>
      </c>
    </row>
    <row r="892" spans="1:22" s="191" customFormat="1" ht="15">
      <c r="A892" s="236">
        <v>881</v>
      </c>
      <c r="B892" s="244">
        <v>46126</v>
      </c>
      <c r="C892" s="245" t="s">
        <v>261</v>
      </c>
      <c r="D892" s="246" t="s">
        <v>1137</v>
      </c>
      <c r="E892" s="247">
        <v>1</v>
      </c>
      <c r="F892" s="247"/>
      <c r="G892" s="248"/>
      <c r="H892" s="247"/>
      <c r="I892" s="249" t="s">
        <v>743</v>
      </c>
      <c r="J892" s="249" t="s">
        <v>21</v>
      </c>
      <c r="K892" s="249" t="s">
        <v>31</v>
      </c>
      <c r="L892" s="250">
        <f t="shared" si="55"/>
        <v>1</v>
      </c>
      <c r="M892" s="237">
        <f t="array" ref="M892">INDEX('BKTT T4.26'!$N$12:$N$55,MATCH(V892,'BKTT T4.26'!$A$12:$A$55,0),0)</f>
        <v>454158</v>
      </c>
      <c r="N892" s="162">
        <f t="shared" si="58"/>
        <v>454158</v>
      </c>
      <c r="O892" s="238" t="s">
        <v>264</v>
      </c>
      <c r="P892" s="251" t="s">
        <v>1448</v>
      </c>
      <c r="R892" s="191" t="str">
        <f t="shared" si="56"/>
        <v>Cước vận chuyển Container hàng 20' tuyến đường PAN HA - NDV. BKS: 15H07135</v>
      </c>
      <c r="S892" s="191" t="str">
        <f t="shared" si="57"/>
        <v xml:space="preserve"> hàng 20' </v>
      </c>
      <c r="V892" s="191">
        <v>7</v>
      </c>
    </row>
    <row r="893" spans="1:22" s="191" customFormat="1" ht="15">
      <c r="A893" s="236">
        <v>882</v>
      </c>
      <c r="B893" s="244">
        <v>46127</v>
      </c>
      <c r="C893" s="245" t="s">
        <v>261</v>
      </c>
      <c r="D893" s="246" t="s">
        <v>1138</v>
      </c>
      <c r="E893" s="247"/>
      <c r="F893" s="247"/>
      <c r="G893" s="248"/>
      <c r="H893" s="247">
        <v>1</v>
      </c>
      <c r="I893" s="249" t="s">
        <v>279</v>
      </c>
      <c r="J893" s="249" t="s">
        <v>21</v>
      </c>
      <c r="K893" s="249" t="s">
        <v>27</v>
      </c>
      <c r="L893" s="250">
        <f t="shared" si="55"/>
        <v>1</v>
      </c>
      <c r="M893" s="237">
        <f t="array" ref="M893">INDEX('BKTT T4.26'!$N$12:$N$55,MATCH(V893,'BKTT T4.26'!$A$12:$A$55,0),0)</f>
        <v>628690</v>
      </c>
      <c r="N893" s="162">
        <f t="shared" si="58"/>
        <v>628690</v>
      </c>
      <c r="O893" s="238" t="s">
        <v>264</v>
      </c>
      <c r="P893" s="251" t="s">
        <v>1448</v>
      </c>
      <c r="R893" s="191" t="str">
        <f t="shared" si="56"/>
        <v>Cước vận chuyển Container vỏ tuyến đường PAN HA - HẢI AN.. BKS: 15H07524</v>
      </c>
      <c r="S893" s="191" t="str">
        <f t="shared" si="57"/>
        <v xml:space="preserve"> vỏ </v>
      </c>
      <c r="V893" s="191">
        <v>3</v>
      </c>
    </row>
    <row r="894" spans="1:22" s="191" customFormat="1" ht="15">
      <c r="A894" s="236">
        <v>883</v>
      </c>
      <c r="B894" s="244">
        <v>46125</v>
      </c>
      <c r="C894" s="245" t="s">
        <v>261</v>
      </c>
      <c r="D894" s="246" t="s">
        <v>1139</v>
      </c>
      <c r="E894" s="247"/>
      <c r="F894" s="247"/>
      <c r="G894" s="248"/>
      <c r="H894" s="247">
        <v>1</v>
      </c>
      <c r="I894" s="249" t="s">
        <v>274</v>
      </c>
      <c r="J894" s="249" t="s">
        <v>21</v>
      </c>
      <c r="K894" s="249" t="s">
        <v>27</v>
      </c>
      <c r="L894" s="250">
        <f t="shared" si="55"/>
        <v>1</v>
      </c>
      <c r="M894" s="237">
        <f t="array" ref="M894">INDEX('BKTT T4.26'!$N$12:$N$55,MATCH(V894,'BKTT T4.26'!$A$12:$A$55,0),0)</f>
        <v>628690</v>
      </c>
      <c r="N894" s="162">
        <f t="shared" si="58"/>
        <v>628690</v>
      </c>
      <c r="O894" s="238" t="s">
        <v>264</v>
      </c>
      <c r="P894" s="251" t="s">
        <v>1448</v>
      </c>
      <c r="R894" s="191" t="str">
        <f t="shared" si="56"/>
        <v>Cước vận chuyển Container vỏ tuyến đường PAN HA - HẢI AN.. BKS: 15H12925</v>
      </c>
      <c r="S894" s="191" t="str">
        <f t="shared" si="57"/>
        <v xml:space="preserve"> vỏ </v>
      </c>
      <c r="V894" s="191">
        <v>3</v>
      </c>
    </row>
    <row r="895" spans="1:22" s="191" customFormat="1" ht="15">
      <c r="A895" s="236">
        <v>884</v>
      </c>
      <c r="B895" s="244">
        <v>46125</v>
      </c>
      <c r="C895" s="245" t="s">
        <v>261</v>
      </c>
      <c r="D895" s="246" t="s">
        <v>1140</v>
      </c>
      <c r="E895" s="247">
        <v>1</v>
      </c>
      <c r="F895" s="247"/>
      <c r="G895" s="248"/>
      <c r="H895" s="247"/>
      <c r="I895" s="249" t="s">
        <v>274</v>
      </c>
      <c r="J895" s="249" t="s">
        <v>21</v>
      </c>
      <c r="K895" s="249" t="s">
        <v>22</v>
      </c>
      <c r="L895" s="250">
        <f t="shared" si="55"/>
        <v>1</v>
      </c>
      <c r="M895" s="237">
        <f t="array" ref="M895">INDEX('BKTT T4.26'!$N$12:$N$55,MATCH(V895,'BKTT T4.26'!$A$12:$A$55,0),0)</f>
        <v>654871</v>
      </c>
      <c r="N895" s="162">
        <f t="shared" si="58"/>
        <v>654871</v>
      </c>
      <c r="O895" s="238" t="s">
        <v>264</v>
      </c>
      <c r="P895" s="251" t="s">
        <v>1448</v>
      </c>
      <c r="R895" s="191" t="str">
        <f t="shared" si="56"/>
        <v>Cước vận chuyển Container hàng 20' tuyến đường PAN HA - HẢI AN. BKS: 15H12925</v>
      </c>
      <c r="S895" s="191" t="str">
        <f t="shared" si="57"/>
        <v xml:space="preserve"> hàng 20' </v>
      </c>
      <c r="V895" s="191">
        <v>1</v>
      </c>
    </row>
    <row r="896" spans="1:22" s="191" customFormat="1" ht="15">
      <c r="A896" s="236">
        <v>885</v>
      </c>
      <c r="B896" s="244">
        <v>46125</v>
      </c>
      <c r="C896" s="245" t="s">
        <v>261</v>
      </c>
      <c r="D896" s="246" t="s">
        <v>1141</v>
      </c>
      <c r="E896" s="247"/>
      <c r="F896" s="247">
        <v>1</v>
      </c>
      <c r="G896" s="248"/>
      <c r="H896" s="247"/>
      <c r="I896" s="249" t="s">
        <v>274</v>
      </c>
      <c r="J896" s="249" t="s">
        <v>21</v>
      </c>
      <c r="K896" s="249" t="s">
        <v>25</v>
      </c>
      <c r="L896" s="250">
        <f t="shared" si="55"/>
        <v>1</v>
      </c>
      <c r="M896" s="237">
        <f t="array" ref="M896">INDEX('BKTT T4.26'!$N$12:$N$55,MATCH(V896,'BKTT T4.26'!$A$12:$A$55,0),0)</f>
        <v>681050</v>
      </c>
      <c r="N896" s="162">
        <f t="shared" si="58"/>
        <v>681050</v>
      </c>
      <c r="O896" s="238" t="s">
        <v>264</v>
      </c>
      <c r="P896" s="251" t="s">
        <v>1448</v>
      </c>
      <c r="R896" s="191" t="str">
        <f t="shared" si="56"/>
        <v>Cước vận chuyển Container hàng 40' tuyến đường PAN HA - HẢI AN,. BKS: 15H12925</v>
      </c>
      <c r="S896" s="191" t="str">
        <f t="shared" si="57"/>
        <v xml:space="preserve"> hàng 40' </v>
      </c>
      <c r="V896" s="191">
        <v>2</v>
      </c>
    </row>
    <row r="897" spans="1:22" s="283" customFormat="1" ht="15">
      <c r="A897" s="236">
        <v>886</v>
      </c>
      <c r="B897" s="272">
        <v>46125</v>
      </c>
      <c r="C897" s="273" t="s">
        <v>261</v>
      </c>
      <c r="D897" s="285" t="s">
        <v>1476</v>
      </c>
      <c r="E897" s="275"/>
      <c r="F897" s="247">
        <v>1</v>
      </c>
      <c r="G897" s="276"/>
      <c r="H897" s="275"/>
      <c r="I897" s="249" t="s">
        <v>274</v>
      </c>
      <c r="J897" s="249" t="s">
        <v>21</v>
      </c>
      <c r="K897" s="249" t="s">
        <v>25</v>
      </c>
      <c r="L897" s="278">
        <f t="shared" si="55"/>
        <v>1</v>
      </c>
      <c r="M897" s="279">
        <f t="array" ref="M897">INDEX('BKTT T4.26'!$N$12:$N$55,MATCH(V897,'BKTT T4.26'!$A$12:$A$55,0),0)</f>
        <v>681050</v>
      </c>
      <c r="N897" s="280">
        <f t="shared" si="58"/>
        <v>681050</v>
      </c>
      <c r="O897" s="281" t="s">
        <v>264</v>
      </c>
      <c r="P897" s="282" t="s">
        <v>1447</v>
      </c>
      <c r="R897" s="283" t="str">
        <f t="shared" si="56"/>
        <v>Cước vận chuyển Container hàng 40' tuyến đường PAN HA - HẢI AN,. BKS: 15H12925</v>
      </c>
      <c r="S897" s="283" t="str">
        <f t="shared" si="57"/>
        <v xml:space="preserve"> hàng 40' </v>
      </c>
      <c r="V897" s="191">
        <v>2</v>
      </c>
    </row>
    <row r="898" spans="1:22" s="191" customFormat="1" ht="15">
      <c r="A898" s="236">
        <v>887</v>
      </c>
      <c r="B898" s="244">
        <v>46125</v>
      </c>
      <c r="C898" s="245" t="s">
        <v>261</v>
      </c>
      <c r="D898" s="246" t="s">
        <v>1142</v>
      </c>
      <c r="E898" s="247">
        <v>1</v>
      </c>
      <c r="F898" s="247"/>
      <c r="G898" s="248"/>
      <c r="H898" s="247"/>
      <c r="I898" s="249" t="s">
        <v>263</v>
      </c>
      <c r="J898" s="249" t="s">
        <v>21</v>
      </c>
      <c r="K898" s="249" t="s">
        <v>22</v>
      </c>
      <c r="L898" s="250">
        <f t="shared" si="55"/>
        <v>1</v>
      </c>
      <c r="M898" s="237">
        <f t="array" ref="M898">INDEX('BKTT T4.26'!$N$12:$N$55,MATCH(V898,'BKTT T4.26'!$A$12:$A$55,0),0)</f>
        <v>654871</v>
      </c>
      <c r="N898" s="162">
        <f t="shared" si="58"/>
        <v>654871</v>
      </c>
      <c r="O898" s="238" t="s">
        <v>264</v>
      </c>
      <c r="P898" s="251" t="s">
        <v>1448</v>
      </c>
      <c r="R898" s="191" t="str">
        <f t="shared" si="56"/>
        <v>Cước vận chuyển Container hàng 20' tuyến đường PAN HA - HẢI AN. BKS: 15C17442</v>
      </c>
      <c r="S898" s="191" t="str">
        <f t="shared" si="57"/>
        <v xml:space="preserve"> hàng 20' </v>
      </c>
      <c r="V898" s="191">
        <v>1</v>
      </c>
    </row>
    <row r="899" spans="1:22" s="191" customFormat="1" ht="15">
      <c r="A899" s="236">
        <v>888</v>
      </c>
      <c r="B899" s="244">
        <v>46125</v>
      </c>
      <c r="C899" s="245" t="s">
        <v>261</v>
      </c>
      <c r="D899" s="246" t="s">
        <v>1143</v>
      </c>
      <c r="E899" s="247">
        <v>1</v>
      </c>
      <c r="F899" s="247"/>
      <c r="G899" s="248"/>
      <c r="H899" s="247"/>
      <c r="I899" s="249" t="s">
        <v>263</v>
      </c>
      <c r="J899" s="249" t="s">
        <v>21</v>
      </c>
      <c r="K899" s="249" t="s">
        <v>22</v>
      </c>
      <c r="L899" s="250">
        <f t="shared" si="55"/>
        <v>1</v>
      </c>
      <c r="M899" s="237">
        <f t="array" ref="M899">INDEX('BKTT T4.26'!$N$12:$N$55,MATCH(V899,'BKTT T4.26'!$A$12:$A$55,0),0)</f>
        <v>654871</v>
      </c>
      <c r="N899" s="162">
        <f t="shared" si="58"/>
        <v>654871</v>
      </c>
      <c r="O899" s="238" t="s">
        <v>264</v>
      </c>
      <c r="P899" s="251" t="s">
        <v>1448</v>
      </c>
      <c r="R899" s="191" t="str">
        <f t="shared" si="56"/>
        <v>Cước vận chuyển Container hàng 20' tuyến đường PAN HA - HẢI AN. BKS: 15C17442</v>
      </c>
      <c r="S899" s="191" t="str">
        <f t="shared" si="57"/>
        <v xml:space="preserve"> hàng 20' </v>
      </c>
      <c r="V899" s="191">
        <v>1</v>
      </c>
    </row>
    <row r="900" spans="1:22" s="191" customFormat="1" ht="15">
      <c r="A900" s="236">
        <v>889</v>
      </c>
      <c r="B900" s="244">
        <v>46125</v>
      </c>
      <c r="C900" s="245" t="s">
        <v>261</v>
      </c>
      <c r="D900" s="246" t="s">
        <v>1144</v>
      </c>
      <c r="E900" s="247">
        <v>1</v>
      </c>
      <c r="F900" s="247"/>
      <c r="G900" s="248"/>
      <c r="H900" s="247"/>
      <c r="I900" s="249" t="s">
        <v>263</v>
      </c>
      <c r="J900" s="249" t="s">
        <v>21</v>
      </c>
      <c r="K900" s="249" t="s">
        <v>22</v>
      </c>
      <c r="L900" s="250">
        <f t="shared" si="55"/>
        <v>1</v>
      </c>
      <c r="M900" s="237">
        <f t="array" ref="M900">INDEX('BKTT T4.26'!$N$12:$N$55,MATCH(V900,'BKTT T4.26'!$A$12:$A$55,0),0)</f>
        <v>654871</v>
      </c>
      <c r="N900" s="162">
        <f t="shared" si="58"/>
        <v>654871</v>
      </c>
      <c r="O900" s="238" t="s">
        <v>264</v>
      </c>
      <c r="P900" s="251" t="s">
        <v>1448</v>
      </c>
      <c r="R900" s="191" t="str">
        <f t="shared" si="56"/>
        <v>Cước vận chuyển Container hàng 20' tuyến đường PAN HA - HẢI AN. BKS: 15C17442</v>
      </c>
      <c r="S900" s="191" t="str">
        <f t="shared" si="57"/>
        <v xml:space="preserve"> hàng 20' </v>
      </c>
      <c r="V900" s="191">
        <v>1</v>
      </c>
    </row>
    <row r="901" spans="1:22" s="191" customFormat="1" ht="15">
      <c r="A901" s="236">
        <v>890</v>
      </c>
      <c r="B901" s="244">
        <v>46125</v>
      </c>
      <c r="C901" s="245" t="s">
        <v>261</v>
      </c>
      <c r="D901" s="246" t="s">
        <v>1145</v>
      </c>
      <c r="E901" s="247">
        <v>1</v>
      </c>
      <c r="F901" s="247"/>
      <c r="G901" s="248"/>
      <c r="H901" s="247"/>
      <c r="I901" s="249" t="s">
        <v>263</v>
      </c>
      <c r="J901" s="249" t="s">
        <v>21</v>
      </c>
      <c r="K901" s="249" t="s">
        <v>22</v>
      </c>
      <c r="L901" s="250">
        <f t="shared" si="55"/>
        <v>1</v>
      </c>
      <c r="M901" s="237">
        <f t="array" ref="M901">INDEX('BKTT T4.26'!$N$12:$N$55,MATCH(V901,'BKTT T4.26'!$A$12:$A$55,0),0)</f>
        <v>654871</v>
      </c>
      <c r="N901" s="162">
        <f t="shared" si="58"/>
        <v>654871</v>
      </c>
      <c r="O901" s="238" t="s">
        <v>264</v>
      </c>
      <c r="P901" s="251" t="s">
        <v>1448</v>
      </c>
      <c r="R901" s="191" t="str">
        <f t="shared" si="56"/>
        <v>Cước vận chuyển Container hàng 20' tuyến đường PAN HA - HẢI AN. BKS: 15C17442</v>
      </c>
      <c r="S901" s="191" t="str">
        <f t="shared" si="57"/>
        <v xml:space="preserve"> hàng 20' </v>
      </c>
      <c r="V901" s="191">
        <v>1</v>
      </c>
    </row>
    <row r="902" spans="1:22" s="283" customFormat="1" ht="15">
      <c r="A902" s="236">
        <v>891</v>
      </c>
      <c r="B902" s="272">
        <v>46125</v>
      </c>
      <c r="C902" s="273" t="s">
        <v>261</v>
      </c>
      <c r="D902" s="285" t="s">
        <v>1475</v>
      </c>
      <c r="E902" s="275"/>
      <c r="F902" s="247">
        <v>1</v>
      </c>
      <c r="G902" s="276"/>
      <c r="H902" s="275"/>
      <c r="I902" s="277" t="s">
        <v>263</v>
      </c>
      <c r="J902" s="249" t="s">
        <v>21</v>
      </c>
      <c r="K902" s="249" t="s">
        <v>25</v>
      </c>
      <c r="L902" s="278">
        <f t="shared" si="55"/>
        <v>1</v>
      </c>
      <c r="M902" s="279">
        <f t="array" ref="M902">INDEX('BKTT T4.26'!$N$12:$N$55,MATCH(V902,'BKTT T4.26'!$A$12:$A$55,0),0)</f>
        <v>681050</v>
      </c>
      <c r="N902" s="280">
        <f t="shared" si="58"/>
        <v>681050</v>
      </c>
      <c r="O902" s="281" t="s">
        <v>264</v>
      </c>
      <c r="P902" s="282" t="s">
        <v>1447</v>
      </c>
      <c r="R902" s="283" t="str">
        <f t="shared" si="56"/>
        <v>Cước vận chuyển Container hàng 40' tuyến đường PAN HA - HẢI AN,. BKS: 15C17442</v>
      </c>
      <c r="S902" s="283" t="str">
        <f t="shared" si="57"/>
        <v xml:space="preserve"> hàng 40' </v>
      </c>
      <c r="V902" s="191">
        <v>2</v>
      </c>
    </row>
    <row r="903" spans="1:22" s="191" customFormat="1" ht="15">
      <c r="A903" s="236">
        <v>892</v>
      </c>
      <c r="B903" s="244">
        <v>46125</v>
      </c>
      <c r="C903" s="245" t="s">
        <v>261</v>
      </c>
      <c r="D903" s="246" t="s">
        <v>1146</v>
      </c>
      <c r="E903" s="247"/>
      <c r="F903" s="247"/>
      <c r="G903" s="248"/>
      <c r="H903" s="247">
        <v>1</v>
      </c>
      <c r="I903" s="249" t="s">
        <v>263</v>
      </c>
      <c r="J903" s="249" t="s">
        <v>56</v>
      </c>
      <c r="K903" s="249" t="s">
        <v>21</v>
      </c>
      <c r="L903" s="250">
        <f t="shared" si="55"/>
        <v>1</v>
      </c>
      <c r="M903" s="237">
        <f t="array" ref="M903">INDEX('BKTT T4.26'!$N$12:$N$55,MATCH(V903,'BKTT T4.26'!$A$12:$A$55,0),0)</f>
        <v>1002400</v>
      </c>
      <c r="N903" s="162">
        <f t="shared" si="58"/>
        <v>1002400</v>
      </c>
      <c r="O903" s="238" t="s">
        <v>267</v>
      </c>
      <c r="P903" s="251" t="s">
        <v>1448</v>
      </c>
      <c r="R903" s="191" t="str">
        <f t="shared" si="56"/>
        <v>Cước vận chuyển Container vỏ tuyến đường HATECO - PAN HA. BKS: 15C17442</v>
      </c>
      <c r="S903" s="191" t="str">
        <f t="shared" si="57"/>
        <v xml:space="preserve"> vỏ </v>
      </c>
      <c r="V903" s="191">
        <v>35</v>
      </c>
    </row>
    <row r="904" spans="1:22" s="191" customFormat="1" ht="15">
      <c r="A904" s="236">
        <v>893</v>
      </c>
      <c r="B904" s="244">
        <v>46125</v>
      </c>
      <c r="C904" s="245" t="s">
        <v>261</v>
      </c>
      <c r="D904" s="246" t="s">
        <v>1147</v>
      </c>
      <c r="E904" s="247"/>
      <c r="F904" s="247"/>
      <c r="G904" s="248"/>
      <c r="H904" s="247">
        <v>1</v>
      </c>
      <c r="I904" s="249" t="s">
        <v>263</v>
      </c>
      <c r="J904" s="249" t="s">
        <v>56</v>
      </c>
      <c r="K904" s="249" t="s">
        <v>21</v>
      </c>
      <c r="L904" s="250">
        <f t="shared" si="55"/>
        <v>1</v>
      </c>
      <c r="M904" s="237">
        <f t="array" ref="M904">INDEX('BKTT T4.26'!$N$12:$N$55,MATCH(V904,'BKTT T4.26'!$A$12:$A$55,0),0)</f>
        <v>1002400</v>
      </c>
      <c r="N904" s="162">
        <f t="shared" si="58"/>
        <v>1002400</v>
      </c>
      <c r="O904" s="238" t="s">
        <v>267</v>
      </c>
      <c r="P904" s="251" t="s">
        <v>1448</v>
      </c>
      <c r="R904" s="191" t="str">
        <f t="shared" si="56"/>
        <v>Cước vận chuyển Container vỏ tuyến đường HATECO - PAN HA. BKS: 15C17442</v>
      </c>
      <c r="S904" s="191" t="str">
        <f t="shared" si="57"/>
        <v xml:space="preserve"> vỏ </v>
      </c>
      <c r="V904" s="191">
        <v>35</v>
      </c>
    </row>
    <row r="905" spans="1:22" s="191" customFormat="1" ht="15">
      <c r="A905" s="236">
        <v>894</v>
      </c>
      <c r="B905" s="244">
        <v>46125</v>
      </c>
      <c r="C905" s="245" t="s">
        <v>261</v>
      </c>
      <c r="D905" s="246" t="s">
        <v>1148</v>
      </c>
      <c r="E905" s="247"/>
      <c r="F905" s="247">
        <v>1</v>
      </c>
      <c r="G905" s="248"/>
      <c r="H905" s="247"/>
      <c r="I905" s="249" t="s">
        <v>263</v>
      </c>
      <c r="J905" s="249" t="s">
        <v>21</v>
      </c>
      <c r="K905" s="249" t="s">
        <v>32</v>
      </c>
      <c r="L905" s="250">
        <f t="shared" ref="L905:L967" si="59">E905+F905+G905+H905</f>
        <v>1</v>
      </c>
      <c r="M905" s="237">
        <f t="array" ref="M905">INDEX('BKTT T4.26'!$N$12:$N$55,MATCH(V905,'BKTT T4.26'!$A$12:$A$55,0),0)</f>
        <v>489065</v>
      </c>
      <c r="N905" s="162">
        <f t="shared" si="58"/>
        <v>489065</v>
      </c>
      <c r="O905" s="238" t="s">
        <v>264</v>
      </c>
      <c r="P905" s="251" t="s">
        <v>1448</v>
      </c>
      <c r="R905" s="191" t="str">
        <f t="shared" ref="R905:R967" si="60">$R$10&amp;S905&amp;$R$9&amp;J905&amp;$S$10&amp;K905&amp;$R$8&amp;I905</f>
        <v>Cước vận chuyển Container hàng 40' tuyến đường PAN HA - NDV,. BKS: 15C17442</v>
      </c>
      <c r="S905" s="191" t="str">
        <f t="shared" ref="S905:S967" si="61">IF(E905=1," hàng 20' ",IF(F905=1," hàng 40' "," vỏ "))</f>
        <v xml:space="preserve"> hàng 40' </v>
      </c>
      <c r="V905" s="191">
        <v>8</v>
      </c>
    </row>
    <row r="906" spans="1:22" s="191" customFormat="1" ht="15">
      <c r="A906" s="236">
        <v>895</v>
      </c>
      <c r="B906" s="244">
        <v>46127</v>
      </c>
      <c r="C906" s="245" t="s">
        <v>261</v>
      </c>
      <c r="D906" s="246" t="s">
        <v>1149</v>
      </c>
      <c r="E906" s="247"/>
      <c r="F906" s="247"/>
      <c r="G906" s="248">
        <v>0.5</v>
      </c>
      <c r="H906" s="247"/>
      <c r="I906" s="249" t="s">
        <v>269</v>
      </c>
      <c r="J906" s="249" t="s">
        <v>21</v>
      </c>
      <c r="K906" s="249" t="s">
        <v>27</v>
      </c>
      <c r="L906" s="250">
        <f t="shared" si="59"/>
        <v>0.5</v>
      </c>
      <c r="M906" s="237">
        <f t="array" ref="M906">INDEX('BKTT T4.26'!$N$12:$N$55,MATCH(V906,'BKTT T4.26'!$A$12:$A$55,0),0)</f>
        <v>628690</v>
      </c>
      <c r="N906" s="162">
        <f t="shared" si="58"/>
        <v>314345</v>
      </c>
      <c r="O906" s="238" t="s">
        <v>264</v>
      </c>
      <c r="P906" s="251" t="s">
        <v>1448</v>
      </c>
      <c r="R906" s="191" t="str">
        <f t="shared" si="60"/>
        <v>Cước vận chuyển Container vỏ tuyến đường PAN HA - HẢI AN.. BKS: 15H07644</v>
      </c>
      <c r="S906" s="191" t="str">
        <f t="shared" si="61"/>
        <v xml:space="preserve"> vỏ </v>
      </c>
      <c r="V906" s="191">
        <v>3</v>
      </c>
    </row>
    <row r="907" spans="1:22" s="191" customFormat="1" ht="15">
      <c r="A907" s="236">
        <v>896</v>
      </c>
      <c r="B907" s="244">
        <v>46127</v>
      </c>
      <c r="C907" s="245" t="s">
        <v>261</v>
      </c>
      <c r="D907" s="246" t="s">
        <v>1150</v>
      </c>
      <c r="E907" s="247"/>
      <c r="F907" s="247"/>
      <c r="G907" s="248">
        <v>0.5</v>
      </c>
      <c r="H907" s="247"/>
      <c r="I907" s="249" t="s">
        <v>269</v>
      </c>
      <c r="J907" s="249" t="s">
        <v>21</v>
      </c>
      <c r="K907" s="249" t="s">
        <v>27</v>
      </c>
      <c r="L907" s="250">
        <f t="shared" si="59"/>
        <v>0.5</v>
      </c>
      <c r="M907" s="237">
        <f t="array" ref="M907">INDEX('BKTT T4.26'!$N$12:$N$55,MATCH(V907,'BKTT T4.26'!$A$12:$A$55,0),0)</f>
        <v>628690</v>
      </c>
      <c r="N907" s="162">
        <f t="shared" si="58"/>
        <v>314345</v>
      </c>
      <c r="O907" s="238" t="s">
        <v>264</v>
      </c>
      <c r="P907" s="251" t="s">
        <v>1448</v>
      </c>
      <c r="R907" s="191" t="str">
        <f t="shared" si="60"/>
        <v>Cước vận chuyển Container vỏ tuyến đường PAN HA - HẢI AN.. BKS: 15H07644</v>
      </c>
      <c r="S907" s="191" t="str">
        <f t="shared" si="61"/>
        <v xml:space="preserve"> vỏ </v>
      </c>
      <c r="V907" s="191">
        <v>3</v>
      </c>
    </row>
    <row r="908" spans="1:22" s="191" customFormat="1" ht="15">
      <c r="A908" s="236">
        <v>897</v>
      </c>
      <c r="B908" s="244">
        <v>46127</v>
      </c>
      <c r="C908" s="245" t="s">
        <v>261</v>
      </c>
      <c r="D908" s="246" t="s">
        <v>1151</v>
      </c>
      <c r="E908" s="247"/>
      <c r="F908" s="247"/>
      <c r="G908" s="248">
        <v>0.5</v>
      </c>
      <c r="H908" s="247"/>
      <c r="I908" s="249" t="s">
        <v>304</v>
      </c>
      <c r="J908" s="249" t="s">
        <v>21</v>
      </c>
      <c r="K908" s="249" t="s">
        <v>27</v>
      </c>
      <c r="L908" s="250">
        <f t="shared" si="59"/>
        <v>0.5</v>
      </c>
      <c r="M908" s="237">
        <f t="array" ref="M908">INDEX('BKTT T4.26'!$N$12:$N$55,MATCH(V908,'BKTT T4.26'!$A$12:$A$55,0),0)</f>
        <v>628690</v>
      </c>
      <c r="N908" s="162">
        <f t="shared" si="58"/>
        <v>314345</v>
      </c>
      <c r="O908" s="238" t="s">
        <v>264</v>
      </c>
      <c r="P908" s="251" t="s">
        <v>1448</v>
      </c>
      <c r="R908" s="191" t="str">
        <f t="shared" si="60"/>
        <v>Cước vận chuyển Container vỏ tuyến đường PAN HA - HẢI AN.. BKS: 15C09877</v>
      </c>
      <c r="S908" s="191" t="str">
        <f t="shared" si="61"/>
        <v xml:space="preserve"> vỏ </v>
      </c>
      <c r="V908" s="191">
        <v>3</v>
      </c>
    </row>
    <row r="909" spans="1:22" s="191" customFormat="1" ht="15">
      <c r="A909" s="236">
        <v>898</v>
      </c>
      <c r="B909" s="244">
        <v>46127</v>
      </c>
      <c r="C909" s="245" t="s">
        <v>261</v>
      </c>
      <c r="D909" s="251" t="s">
        <v>1152</v>
      </c>
      <c r="E909" s="247"/>
      <c r="F909" s="247"/>
      <c r="G909" s="248">
        <v>0.5</v>
      </c>
      <c r="H909" s="247"/>
      <c r="I909" s="244" t="s">
        <v>304</v>
      </c>
      <c r="J909" s="249" t="s">
        <v>21</v>
      </c>
      <c r="K909" s="249" t="s">
        <v>27</v>
      </c>
      <c r="L909" s="250">
        <f t="shared" si="59"/>
        <v>0.5</v>
      </c>
      <c r="M909" s="237">
        <f t="array" ref="M909">INDEX('BKTT T4.26'!$N$12:$N$55,MATCH(V909,'BKTT T4.26'!$A$12:$A$55,0),0)</f>
        <v>628690</v>
      </c>
      <c r="N909" s="162">
        <f t="shared" si="58"/>
        <v>314345</v>
      </c>
      <c r="O909" s="238" t="s">
        <v>264</v>
      </c>
      <c r="P909" s="251" t="s">
        <v>1448</v>
      </c>
      <c r="R909" s="191" t="str">
        <f t="shared" si="60"/>
        <v>Cước vận chuyển Container vỏ tuyến đường PAN HA - HẢI AN.. BKS: 15C09877</v>
      </c>
      <c r="S909" s="191" t="str">
        <f t="shared" si="61"/>
        <v xml:space="preserve"> vỏ </v>
      </c>
      <c r="V909" s="191">
        <v>3</v>
      </c>
    </row>
    <row r="910" spans="1:22" s="191" customFormat="1" ht="15">
      <c r="A910" s="236">
        <v>899</v>
      </c>
      <c r="B910" s="244">
        <v>46121</v>
      </c>
      <c r="C910" s="245" t="s">
        <v>261</v>
      </c>
      <c r="D910" s="251" t="s">
        <v>1153</v>
      </c>
      <c r="E910" s="247">
        <v>1</v>
      </c>
      <c r="F910" s="247"/>
      <c r="G910" s="248"/>
      <c r="H910" s="247"/>
      <c r="I910" s="244" t="s">
        <v>1154</v>
      </c>
      <c r="J910" s="249" t="s">
        <v>21</v>
      </c>
      <c r="K910" s="249" t="s">
        <v>22</v>
      </c>
      <c r="L910" s="250">
        <f t="shared" si="59"/>
        <v>1</v>
      </c>
      <c r="M910" s="237">
        <f t="array" ref="M910">INDEX('BKTT T4.26'!$N$12:$N$55,MATCH(V910,'BKTT T4.26'!$A$12:$A$55,0),0)</f>
        <v>654871</v>
      </c>
      <c r="N910" s="162">
        <f t="shared" si="58"/>
        <v>654871</v>
      </c>
      <c r="O910" s="238" t="s">
        <v>264</v>
      </c>
      <c r="P910" s="251" t="s">
        <v>1448</v>
      </c>
      <c r="R910" s="191" t="str">
        <f t="shared" si="60"/>
        <v>Cước vận chuyển Container hàng 20' tuyến đường PAN HA - HẢI AN. BKS: 15H17112</v>
      </c>
      <c r="S910" s="191" t="str">
        <f t="shared" si="61"/>
        <v xml:space="preserve"> hàng 20' </v>
      </c>
      <c r="V910" s="191">
        <v>1</v>
      </c>
    </row>
    <row r="911" spans="1:22" s="191" customFormat="1" ht="15">
      <c r="A911" s="236">
        <v>900</v>
      </c>
      <c r="B911" s="244">
        <v>46121</v>
      </c>
      <c r="C911" s="245" t="s">
        <v>261</v>
      </c>
      <c r="D911" s="251" t="s">
        <v>1155</v>
      </c>
      <c r="E911" s="247">
        <v>1</v>
      </c>
      <c r="F911" s="247"/>
      <c r="G911" s="248"/>
      <c r="H911" s="247"/>
      <c r="I911" s="244" t="s">
        <v>1154</v>
      </c>
      <c r="J911" s="249" t="s">
        <v>21</v>
      </c>
      <c r="K911" s="249" t="s">
        <v>22</v>
      </c>
      <c r="L911" s="250">
        <f t="shared" si="59"/>
        <v>1</v>
      </c>
      <c r="M911" s="237">
        <f t="array" ref="M911">INDEX('BKTT T4.26'!$N$12:$N$55,MATCH(V911,'BKTT T4.26'!$A$12:$A$55,0),0)</f>
        <v>654871</v>
      </c>
      <c r="N911" s="162">
        <f t="shared" si="58"/>
        <v>654871</v>
      </c>
      <c r="O911" s="238" t="s">
        <v>264</v>
      </c>
      <c r="P911" s="251" t="s">
        <v>1448</v>
      </c>
      <c r="R911" s="191" t="str">
        <f t="shared" si="60"/>
        <v>Cước vận chuyển Container hàng 20' tuyến đường PAN HA - HẢI AN. BKS: 15H17112</v>
      </c>
      <c r="S911" s="191" t="str">
        <f t="shared" si="61"/>
        <v xml:space="preserve"> hàng 20' </v>
      </c>
      <c r="V911" s="191">
        <v>1</v>
      </c>
    </row>
    <row r="912" spans="1:22" s="191" customFormat="1" ht="15">
      <c r="A912" s="236">
        <v>901</v>
      </c>
      <c r="B912" s="244">
        <v>46121</v>
      </c>
      <c r="C912" s="245" t="s">
        <v>261</v>
      </c>
      <c r="D912" s="251" t="s">
        <v>1156</v>
      </c>
      <c r="E912" s="254">
        <v>1</v>
      </c>
      <c r="F912" s="254"/>
      <c r="G912" s="254"/>
      <c r="H912" s="254"/>
      <c r="I912" s="244" t="s">
        <v>1154</v>
      </c>
      <c r="J912" s="249" t="s">
        <v>21</v>
      </c>
      <c r="K912" s="249" t="s">
        <v>22</v>
      </c>
      <c r="L912" s="250">
        <f t="shared" si="59"/>
        <v>1</v>
      </c>
      <c r="M912" s="237">
        <f t="array" ref="M912">INDEX('BKTT T4.26'!$N$12:$N$55,MATCH(V912,'BKTT T4.26'!$A$12:$A$55,0),0)</f>
        <v>654871</v>
      </c>
      <c r="N912" s="162">
        <f t="shared" si="58"/>
        <v>654871</v>
      </c>
      <c r="O912" s="238" t="s">
        <v>264</v>
      </c>
      <c r="P912" s="251" t="s">
        <v>1448</v>
      </c>
      <c r="R912" s="191" t="str">
        <f t="shared" si="60"/>
        <v>Cước vận chuyển Container hàng 20' tuyến đường PAN HA - HẢI AN. BKS: 15H17112</v>
      </c>
      <c r="S912" s="191" t="str">
        <f t="shared" si="61"/>
        <v xml:space="preserve"> hàng 20' </v>
      </c>
      <c r="V912" s="191">
        <v>1</v>
      </c>
    </row>
    <row r="913" spans="1:22" s="191" customFormat="1" ht="15">
      <c r="A913" s="236">
        <v>902</v>
      </c>
      <c r="B913" s="244">
        <v>46121</v>
      </c>
      <c r="C913" s="245" t="s">
        <v>261</v>
      </c>
      <c r="D913" s="251" t="s">
        <v>1157</v>
      </c>
      <c r="E913" s="254">
        <v>1</v>
      </c>
      <c r="F913" s="254"/>
      <c r="G913" s="248"/>
      <c r="H913" s="254"/>
      <c r="I913" s="244" t="s">
        <v>1154</v>
      </c>
      <c r="J913" s="249" t="s">
        <v>21</v>
      </c>
      <c r="K913" s="249" t="s">
        <v>22</v>
      </c>
      <c r="L913" s="250">
        <f t="shared" si="59"/>
        <v>1</v>
      </c>
      <c r="M913" s="237">
        <f t="array" ref="M913">INDEX('BKTT T4.26'!$N$12:$N$55,MATCH(V913,'BKTT T4.26'!$A$12:$A$55,0),0)</f>
        <v>654871</v>
      </c>
      <c r="N913" s="162">
        <f t="shared" si="58"/>
        <v>654871</v>
      </c>
      <c r="O913" s="238" t="s">
        <v>264</v>
      </c>
      <c r="P913" s="251" t="s">
        <v>1448</v>
      </c>
      <c r="R913" s="191" t="str">
        <f t="shared" si="60"/>
        <v>Cước vận chuyển Container hàng 20' tuyến đường PAN HA - HẢI AN. BKS: 15H17112</v>
      </c>
      <c r="S913" s="191" t="str">
        <f t="shared" si="61"/>
        <v xml:space="preserve"> hàng 20' </v>
      </c>
      <c r="V913" s="191">
        <v>1</v>
      </c>
    </row>
    <row r="914" spans="1:22" s="191" customFormat="1" ht="15">
      <c r="A914" s="236">
        <v>903</v>
      </c>
      <c r="B914" s="244">
        <v>46121</v>
      </c>
      <c r="C914" s="245" t="s">
        <v>261</v>
      </c>
      <c r="D914" s="251" t="s">
        <v>1158</v>
      </c>
      <c r="E914" s="254"/>
      <c r="F914" s="247">
        <v>1</v>
      </c>
      <c r="G914" s="248"/>
      <c r="H914" s="254"/>
      <c r="I914" s="244" t="s">
        <v>1154</v>
      </c>
      <c r="J914" s="249" t="s">
        <v>21</v>
      </c>
      <c r="K914" s="249" t="s">
        <v>25</v>
      </c>
      <c r="L914" s="250">
        <f t="shared" si="59"/>
        <v>1</v>
      </c>
      <c r="M914" s="237">
        <f t="array" ref="M914">INDEX('BKTT T4.26'!$N$12:$N$55,MATCH(V914,'BKTT T4.26'!$A$12:$A$55,0),0)</f>
        <v>681050</v>
      </c>
      <c r="N914" s="162">
        <f t="shared" si="58"/>
        <v>681050</v>
      </c>
      <c r="O914" s="238" t="s">
        <v>264</v>
      </c>
      <c r="P914" s="251" t="s">
        <v>1448</v>
      </c>
      <c r="R914" s="191" t="str">
        <f t="shared" si="60"/>
        <v>Cước vận chuyển Container hàng 40' tuyến đường PAN HA - HẢI AN,. BKS: 15H17112</v>
      </c>
      <c r="S914" s="191" t="str">
        <f t="shared" si="61"/>
        <v xml:space="preserve"> hàng 40' </v>
      </c>
      <c r="V914" s="191">
        <v>2</v>
      </c>
    </row>
    <row r="915" spans="1:22" s="191" customFormat="1" ht="13.9" customHeight="1">
      <c r="A915" s="236">
        <v>904</v>
      </c>
      <c r="B915" s="244">
        <v>46121</v>
      </c>
      <c r="C915" s="245" t="s">
        <v>261</v>
      </c>
      <c r="D915" s="251" t="s">
        <v>1159</v>
      </c>
      <c r="E915" s="254"/>
      <c r="F915" s="247">
        <v>1</v>
      </c>
      <c r="G915" s="248"/>
      <c r="H915" s="254"/>
      <c r="I915" s="244" t="s">
        <v>1154</v>
      </c>
      <c r="J915" s="249" t="s">
        <v>21</v>
      </c>
      <c r="K915" s="249" t="s">
        <v>25</v>
      </c>
      <c r="L915" s="250">
        <f t="shared" si="59"/>
        <v>1</v>
      </c>
      <c r="M915" s="237">
        <f t="array" ref="M915">INDEX('BKTT T4.26'!$N$12:$N$55,MATCH(V915,'BKTT T4.26'!$A$12:$A$55,0),0)</f>
        <v>681050</v>
      </c>
      <c r="N915" s="162">
        <f t="shared" si="58"/>
        <v>681050</v>
      </c>
      <c r="O915" s="238" t="s">
        <v>264</v>
      </c>
      <c r="P915" s="251" t="s">
        <v>1448</v>
      </c>
      <c r="R915" s="191" t="str">
        <f t="shared" si="60"/>
        <v>Cước vận chuyển Container hàng 40' tuyến đường PAN HA - HẢI AN,. BKS: 15H17112</v>
      </c>
      <c r="S915" s="191" t="str">
        <f t="shared" si="61"/>
        <v xml:space="preserve"> hàng 40' </v>
      </c>
      <c r="V915" s="191">
        <v>2</v>
      </c>
    </row>
    <row r="916" spans="1:22" s="191" customFormat="1" ht="13.9" customHeight="1">
      <c r="A916" s="236">
        <v>905</v>
      </c>
      <c r="B916" s="244">
        <v>46121</v>
      </c>
      <c r="C916" s="245" t="s">
        <v>261</v>
      </c>
      <c r="D916" s="251" t="s">
        <v>1160</v>
      </c>
      <c r="E916" s="254"/>
      <c r="F916" s="254"/>
      <c r="G916" s="248"/>
      <c r="H916" s="254">
        <v>1</v>
      </c>
      <c r="I916" s="244" t="s">
        <v>1154</v>
      </c>
      <c r="J916" s="249" t="s">
        <v>38</v>
      </c>
      <c r="K916" s="249" t="s">
        <v>21</v>
      </c>
      <c r="L916" s="250">
        <f t="shared" si="59"/>
        <v>1</v>
      </c>
      <c r="M916" s="237">
        <f t="array" ref="M916">INDEX('BKTT T4.26'!$N$12:$N$55,MATCH(V916,'BKTT T4.26'!$A$12:$A$55,0),0)</f>
        <v>585057</v>
      </c>
      <c r="N916" s="162">
        <f t="shared" si="58"/>
        <v>585057</v>
      </c>
      <c r="O916" s="238" t="s">
        <v>267</v>
      </c>
      <c r="P916" s="251" t="s">
        <v>1448</v>
      </c>
      <c r="R916" s="191" t="str">
        <f t="shared" si="60"/>
        <v>Cước vận chuyển Container vỏ tuyến đường NHĐV. - PAN HA. BKS: 15H17112</v>
      </c>
      <c r="S916" s="191" t="str">
        <f t="shared" si="61"/>
        <v xml:space="preserve"> vỏ </v>
      </c>
      <c r="V916" s="191">
        <v>16</v>
      </c>
    </row>
    <row r="917" spans="1:22" s="191" customFormat="1" ht="13.9" customHeight="1">
      <c r="A917" s="236">
        <v>906</v>
      </c>
      <c r="B917" s="244">
        <v>46122</v>
      </c>
      <c r="C917" s="245" t="s">
        <v>261</v>
      </c>
      <c r="D917" s="251" t="s">
        <v>1161</v>
      </c>
      <c r="E917" s="247">
        <v>1</v>
      </c>
      <c r="F917" s="247"/>
      <c r="G917" s="248"/>
      <c r="H917" s="247"/>
      <c r="I917" s="244" t="s">
        <v>1154</v>
      </c>
      <c r="J917" s="249" t="s">
        <v>21</v>
      </c>
      <c r="K917" s="249" t="s">
        <v>22</v>
      </c>
      <c r="L917" s="250">
        <f t="shared" si="59"/>
        <v>1</v>
      </c>
      <c r="M917" s="237">
        <f t="array" ref="M917">INDEX('BKTT T4.26'!$N$12:$N$55,MATCH(V917,'BKTT T4.26'!$A$12:$A$55,0),0)</f>
        <v>654871</v>
      </c>
      <c r="N917" s="162">
        <f t="shared" si="58"/>
        <v>654871</v>
      </c>
      <c r="O917" s="238" t="s">
        <v>264</v>
      </c>
      <c r="P917" s="251" t="s">
        <v>1448</v>
      </c>
      <c r="R917" s="191" t="str">
        <f t="shared" si="60"/>
        <v>Cước vận chuyển Container hàng 20' tuyến đường PAN HA - HẢI AN. BKS: 15H17112</v>
      </c>
      <c r="S917" s="191" t="str">
        <f t="shared" si="61"/>
        <v xml:space="preserve"> hàng 20' </v>
      </c>
      <c r="V917" s="191">
        <v>1</v>
      </c>
    </row>
    <row r="918" spans="1:22" s="191" customFormat="1" ht="13.9" customHeight="1">
      <c r="A918" s="236">
        <v>907</v>
      </c>
      <c r="B918" s="244">
        <v>46122</v>
      </c>
      <c r="C918" s="245" t="s">
        <v>261</v>
      </c>
      <c r="D918" s="251" t="s">
        <v>281</v>
      </c>
      <c r="E918" s="247">
        <v>1</v>
      </c>
      <c r="F918" s="247"/>
      <c r="G918" s="248"/>
      <c r="H918" s="247"/>
      <c r="I918" s="244" t="s">
        <v>1154</v>
      </c>
      <c r="J918" s="249" t="s">
        <v>21</v>
      </c>
      <c r="K918" s="249" t="s">
        <v>22</v>
      </c>
      <c r="L918" s="250">
        <f t="shared" si="59"/>
        <v>1</v>
      </c>
      <c r="M918" s="237">
        <f t="array" ref="M918">INDEX('BKTT T4.26'!$N$12:$N$55,MATCH(V918,'BKTT T4.26'!$A$12:$A$55,0),0)</f>
        <v>654871</v>
      </c>
      <c r="N918" s="162">
        <f t="shared" si="58"/>
        <v>654871</v>
      </c>
      <c r="O918" s="238" t="s">
        <v>264</v>
      </c>
      <c r="P918" s="251" t="s">
        <v>1448</v>
      </c>
      <c r="R918" s="191" t="str">
        <f t="shared" si="60"/>
        <v>Cước vận chuyển Container hàng 20' tuyến đường PAN HA - HẢI AN. BKS: 15H17112</v>
      </c>
      <c r="S918" s="191" t="str">
        <f t="shared" si="61"/>
        <v xml:space="preserve"> hàng 20' </v>
      </c>
      <c r="V918" s="191">
        <v>1</v>
      </c>
    </row>
    <row r="919" spans="1:22" s="191" customFormat="1" ht="13.9" customHeight="1">
      <c r="A919" s="236">
        <v>908</v>
      </c>
      <c r="B919" s="244">
        <v>46122</v>
      </c>
      <c r="C919" s="245" t="s">
        <v>261</v>
      </c>
      <c r="D919" s="251" t="s">
        <v>1162</v>
      </c>
      <c r="E919" s="254">
        <v>1</v>
      </c>
      <c r="F919" s="254"/>
      <c r="G919" s="248"/>
      <c r="H919" s="254"/>
      <c r="I919" s="244" t="s">
        <v>1154</v>
      </c>
      <c r="J919" s="249" t="s">
        <v>21</v>
      </c>
      <c r="K919" s="249" t="s">
        <v>22</v>
      </c>
      <c r="L919" s="250">
        <f t="shared" si="59"/>
        <v>1</v>
      </c>
      <c r="M919" s="237">
        <f t="array" ref="M919">INDEX('BKTT T4.26'!$N$12:$N$55,MATCH(V919,'BKTT T4.26'!$A$12:$A$55,0),0)</f>
        <v>654871</v>
      </c>
      <c r="N919" s="162">
        <f t="shared" si="58"/>
        <v>654871</v>
      </c>
      <c r="O919" s="238" t="s">
        <v>264</v>
      </c>
      <c r="P919" s="251" t="s">
        <v>1448</v>
      </c>
      <c r="R919" s="191" t="str">
        <f t="shared" si="60"/>
        <v>Cước vận chuyển Container hàng 20' tuyến đường PAN HA - HẢI AN. BKS: 15H17112</v>
      </c>
      <c r="S919" s="191" t="str">
        <f t="shared" si="61"/>
        <v xml:space="preserve"> hàng 20' </v>
      </c>
      <c r="V919" s="191">
        <v>1</v>
      </c>
    </row>
    <row r="920" spans="1:22" s="191" customFormat="1" ht="13.9" customHeight="1">
      <c r="A920" s="236">
        <v>909</v>
      </c>
      <c r="B920" s="244">
        <v>46122</v>
      </c>
      <c r="C920" s="245" t="s">
        <v>261</v>
      </c>
      <c r="D920" s="251" t="s">
        <v>1163</v>
      </c>
      <c r="E920" s="254">
        <v>1</v>
      </c>
      <c r="F920" s="254"/>
      <c r="G920" s="248"/>
      <c r="H920" s="254"/>
      <c r="I920" s="244" t="s">
        <v>1154</v>
      </c>
      <c r="J920" s="249" t="s">
        <v>21</v>
      </c>
      <c r="K920" s="249" t="s">
        <v>22</v>
      </c>
      <c r="L920" s="250">
        <f t="shared" si="59"/>
        <v>1</v>
      </c>
      <c r="M920" s="237">
        <f t="array" ref="M920">INDEX('BKTT T4.26'!$N$12:$N$55,MATCH(V920,'BKTT T4.26'!$A$12:$A$55,0),0)</f>
        <v>654871</v>
      </c>
      <c r="N920" s="162">
        <f t="shared" si="58"/>
        <v>654871</v>
      </c>
      <c r="O920" s="238" t="s">
        <v>264</v>
      </c>
      <c r="P920" s="251" t="s">
        <v>1448</v>
      </c>
      <c r="R920" s="191" t="str">
        <f t="shared" si="60"/>
        <v>Cước vận chuyển Container hàng 20' tuyến đường PAN HA - HẢI AN. BKS: 15H17112</v>
      </c>
      <c r="S920" s="191" t="str">
        <f t="shared" si="61"/>
        <v xml:space="preserve"> hàng 20' </v>
      </c>
      <c r="V920" s="191">
        <v>1</v>
      </c>
    </row>
    <row r="921" spans="1:22" s="191" customFormat="1" ht="13.9" customHeight="1">
      <c r="A921" s="236">
        <v>910</v>
      </c>
      <c r="B921" s="244">
        <v>46122</v>
      </c>
      <c r="C921" s="245" t="s">
        <v>261</v>
      </c>
      <c r="D921" s="251" t="s">
        <v>1164</v>
      </c>
      <c r="E921" s="254">
        <v>1</v>
      </c>
      <c r="F921" s="254"/>
      <c r="G921" s="248"/>
      <c r="H921" s="254"/>
      <c r="I921" s="244" t="s">
        <v>1154</v>
      </c>
      <c r="J921" s="249" t="s">
        <v>21</v>
      </c>
      <c r="K921" s="249" t="s">
        <v>22</v>
      </c>
      <c r="L921" s="250">
        <f t="shared" si="59"/>
        <v>1</v>
      </c>
      <c r="M921" s="237">
        <f t="array" ref="M921">INDEX('BKTT T4.26'!$N$12:$N$55,MATCH(V921,'BKTT T4.26'!$A$12:$A$55,0),0)</f>
        <v>654871</v>
      </c>
      <c r="N921" s="162">
        <f t="shared" si="58"/>
        <v>654871</v>
      </c>
      <c r="O921" s="238" t="s">
        <v>264</v>
      </c>
      <c r="P921" s="251" t="s">
        <v>1448</v>
      </c>
      <c r="R921" s="191" t="str">
        <f t="shared" si="60"/>
        <v>Cước vận chuyển Container hàng 20' tuyến đường PAN HA - HẢI AN. BKS: 15H17112</v>
      </c>
      <c r="S921" s="191" t="str">
        <f t="shared" si="61"/>
        <v xml:space="preserve"> hàng 20' </v>
      </c>
      <c r="V921" s="191">
        <v>1</v>
      </c>
    </row>
    <row r="922" spans="1:22" s="191" customFormat="1" ht="13.9" customHeight="1">
      <c r="A922" s="236">
        <v>911</v>
      </c>
      <c r="B922" s="244">
        <v>46122</v>
      </c>
      <c r="C922" s="245" t="s">
        <v>261</v>
      </c>
      <c r="D922" s="251" t="s">
        <v>1165</v>
      </c>
      <c r="E922" s="254">
        <v>1</v>
      </c>
      <c r="F922" s="254"/>
      <c r="G922" s="248"/>
      <c r="H922" s="254"/>
      <c r="I922" s="244" t="s">
        <v>1154</v>
      </c>
      <c r="J922" s="249" t="s">
        <v>21</v>
      </c>
      <c r="K922" s="249" t="s">
        <v>22</v>
      </c>
      <c r="L922" s="250">
        <f t="shared" si="59"/>
        <v>1</v>
      </c>
      <c r="M922" s="237">
        <f t="array" ref="M922">INDEX('BKTT T4.26'!$N$12:$N$55,MATCH(V922,'BKTT T4.26'!$A$12:$A$55,0),0)</f>
        <v>654871</v>
      </c>
      <c r="N922" s="162">
        <f t="shared" si="58"/>
        <v>654871</v>
      </c>
      <c r="O922" s="238" t="s">
        <v>264</v>
      </c>
      <c r="P922" s="251" t="s">
        <v>1448</v>
      </c>
      <c r="R922" s="191" t="str">
        <f t="shared" si="60"/>
        <v>Cước vận chuyển Container hàng 20' tuyến đường PAN HA - HẢI AN. BKS: 15H17112</v>
      </c>
      <c r="S922" s="191" t="str">
        <f t="shared" si="61"/>
        <v xml:space="preserve"> hàng 20' </v>
      </c>
      <c r="V922" s="191">
        <v>1</v>
      </c>
    </row>
    <row r="923" spans="1:22" s="191" customFormat="1" ht="13.9" customHeight="1">
      <c r="A923" s="236">
        <v>912</v>
      </c>
      <c r="B923" s="244">
        <v>46125</v>
      </c>
      <c r="C923" s="245" t="s">
        <v>261</v>
      </c>
      <c r="D923" s="251" t="s">
        <v>1166</v>
      </c>
      <c r="E923" s="254"/>
      <c r="F923" s="254"/>
      <c r="G923" s="248"/>
      <c r="H923" s="254">
        <v>1</v>
      </c>
      <c r="I923" s="244" t="s">
        <v>1154</v>
      </c>
      <c r="J923" s="249" t="s">
        <v>21</v>
      </c>
      <c r="K923" s="249" t="s">
        <v>27</v>
      </c>
      <c r="L923" s="250">
        <f t="shared" si="59"/>
        <v>1</v>
      </c>
      <c r="M923" s="237">
        <f t="array" ref="M923">INDEX('BKTT T4.26'!$N$12:$N$55,MATCH(V923,'BKTT T4.26'!$A$12:$A$55,0),0)</f>
        <v>628690</v>
      </c>
      <c r="N923" s="162">
        <f t="shared" si="58"/>
        <v>628690</v>
      </c>
      <c r="O923" s="238" t="s">
        <v>264</v>
      </c>
      <c r="P923" s="251" t="s">
        <v>1448</v>
      </c>
      <c r="R923" s="191" t="str">
        <f t="shared" si="60"/>
        <v>Cước vận chuyển Container vỏ tuyến đường PAN HA - HẢI AN.. BKS: 15H17112</v>
      </c>
      <c r="S923" s="191" t="str">
        <f t="shared" si="61"/>
        <v xml:space="preserve"> vỏ </v>
      </c>
      <c r="V923" s="191">
        <v>3</v>
      </c>
    </row>
    <row r="924" spans="1:22" s="191" customFormat="1" ht="13.9" customHeight="1">
      <c r="A924" s="236">
        <v>913</v>
      </c>
      <c r="B924" s="244">
        <v>46125</v>
      </c>
      <c r="C924" s="245" t="s">
        <v>261</v>
      </c>
      <c r="D924" s="251" t="s">
        <v>1167</v>
      </c>
      <c r="E924" s="254">
        <v>1</v>
      </c>
      <c r="F924" s="254"/>
      <c r="G924" s="248"/>
      <c r="H924" s="254"/>
      <c r="I924" s="244" t="s">
        <v>1154</v>
      </c>
      <c r="J924" s="249" t="s">
        <v>21</v>
      </c>
      <c r="K924" s="249" t="s">
        <v>22</v>
      </c>
      <c r="L924" s="250">
        <f t="shared" si="59"/>
        <v>1</v>
      </c>
      <c r="M924" s="237">
        <f t="array" ref="M924">INDEX('BKTT T4.26'!$N$12:$N$55,MATCH(V924,'BKTT T4.26'!$A$12:$A$55,0),0)</f>
        <v>654871</v>
      </c>
      <c r="N924" s="162">
        <f t="shared" si="58"/>
        <v>654871</v>
      </c>
      <c r="O924" s="238" t="s">
        <v>264</v>
      </c>
      <c r="P924" s="251" t="s">
        <v>1448</v>
      </c>
      <c r="R924" s="191" t="str">
        <f t="shared" si="60"/>
        <v>Cước vận chuyển Container hàng 20' tuyến đường PAN HA - HẢI AN. BKS: 15H17112</v>
      </c>
      <c r="S924" s="191" t="str">
        <f t="shared" si="61"/>
        <v xml:space="preserve"> hàng 20' </v>
      </c>
      <c r="V924" s="191">
        <v>1</v>
      </c>
    </row>
    <row r="925" spans="1:22" s="191" customFormat="1" ht="13.9" customHeight="1">
      <c r="A925" s="236">
        <v>914</v>
      </c>
      <c r="B925" s="244">
        <v>46125</v>
      </c>
      <c r="C925" s="245" t="s">
        <v>261</v>
      </c>
      <c r="D925" s="251" t="s">
        <v>1168</v>
      </c>
      <c r="E925" s="254">
        <v>1</v>
      </c>
      <c r="F925" s="254"/>
      <c r="G925" s="254"/>
      <c r="H925" s="254"/>
      <c r="I925" s="244" t="s">
        <v>1154</v>
      </c>
      <c r="J925" s="249" t="s">
        <v>21</v>
      </c>
      <c r="K925" s="249" t="s">
        <v>22</v>
      </c>
      <c r="L925" s="250">
        <f t="shared" si="59"/>
        <v>1</v>
      </c>
      <c r="M925" s="237">
        <f t="array" ref="M925">INDEX('BKTT T4.26'!$N$12:$N$55,MATCH(V925,'BKTT T4.26'!$A$12:$A$55,0),0)</f>
        <v>654871</v>
      </c>
      <c r="N925" s="162">
        <f t="shared" si="58"/>
        <v>654871</v>
      </c>
      <c r="O925" s="238" t="s">
        <v>264</v>
      </c>
      <c r="P925" s="251" t="s">
        <v>1448</v>
      </c>
      <c r="R925" s="191" t="str">
        <f t="shared" si="60"/>
        <v>Cước vận chuyển Container hàng 20' tuyến đường PAN HA - HẢI AN. BKS: 15H17112</v>
      </c>
      <c r="S925" s="191" t="str">
        <f t="shared" si="61"/>
        <v xml:space="preserve"> hàng 20' </v>
      </c>
      <c r="V925" s="191">
        <v>1</v>
      </c>
    </row>
    <row r="926" spans="1:22" s="191" customFormat="1" ht="13.9" customHeight="1">
      <c r="A926" s="236">
        <v>915</v>
      </c>
      <c r="B926" s="244">
        <v>46125</v>
      </c>
      <c r="C926" s="245" t="s">
        <v>261</v>
      </c>
      <c r="D926" s="251" t="s">
        <v>1169</v>
      </c>
      <c r="E926" s="254"/>
      <c r="F926" s="247">
        <v>1</v>
      </c>
      <c r="G926" s="254"/>
      <c r="H926" s="254"/>
      <c r="I926" s="244" t="s">
        <v>1154</v>
      </c>
      <c r="J926" s="249" t="s">
        <v>21</v>
      </c>
      <c r="K926" s="249" t="s">
        <v>25</v>
      </c>
      <c r="L926" s="250">
        <f t="shared" si="59"/>
        <v>1</v>
      </c>
      <c r="M926" s="237">
        <f t="array" ref="M926">INDEX('BKTT T4.26'!$N$12:$N$55,MATCH(V926,'BKTT T4.26'!$A$12:$A$55,0),0)</f>
        <v>681050</v>
      </c>
      <c r="N926" s="162">
        <f t="shared" si="58"/>
        <v>681050</v>
      </c>
      <c r="O926" s="238" t="s">
        <v>264</v>
      </c>
      <c r="P926" s="251" t="s">
        <v>1448</v>
      </c>
      <c r="R926" s="191" t="str">
        <f t="shared" si="60"/>
        <v>Cước vận chuyển Container hàng 40' tuyến đường PAN HA - HẢI AN,. BKS: 15H17112</v>
      </c>
      <c r="S926" s="191" t="str">
        <f t="shared" si="61"/>
        <v xml:space="preserve"> hàng 40' </v>
      </c>
      <c r="V926" s="191">
        <v>2</v>
      </c>
    </row>
    <row r="927" spans="1:22" s="191" customFormat="1" ht="13.9" customHeight="1">
      <c r="A927" s="236">
        <v>916</v>
      </c>
      <c r="B927" s="244">
        <v>46125</v>
      </c>
      <c r="C927" s="245" t="s">
        <v>261</v>
      </c>
      <c r="D927" s="251" t="s">
        <v>1170</v>
      </c>
      <c r="E927" s="254"/>
      <c r="F927" s="247">
        <v>1</v>
      </c>
      <c r="G927" s="248"/>
      <c r="H927" s="254"/>
      <c r="I927" s="244" t="s">
        <v>1154</v>
      </c>
      <c r="J927" s="249" t="s">
        <v>21</v>
      </c>
      <c r="K927" s="249" t="s">
        <v>25</v>
      </c>
      <c r="L927" s="250">
        <f t="shared" si="59"/>
        <v>1</v>
      </c>
      <c r="M927" s="237">
        <f t="array" ref="M927">INDEX('BKTT T4.26'!$N$12:$N$55,MATCH(V927,'BKTT T4.26'!$A$12:$A$55,0),0)</f>
        <v>681050</v>
      </c>
      <c r="N927" s="162">
        <f t="shared" si="58"/>
        <v>681050</v>
      </c>
      <c r="O927" s="238" t="s">
        <v>264</v>
      </c>
      <c r="P927" s="251" t="s">
        <v>1448</v>
      </c>
      <c r="R927" s="191" t="str">
        <f t="shared" si="60"/>
        <v>Cước vận chuyển Container hàng 40' tuyến đường PAN HA - HẢI AN,. BKS: 15H17112</v>
      </c>
      <c r="S927" s="191" t="str">
        <f t="shared" si="61"/>
        <v xml:space="preserve"> hàng 40' </v>
      </c>
      <c r="V927" s="191">
        <v>2</v>
      </c>
    </row>
    <row r="928" spans="1:22" s="191" customFormat="1" ht="13.9" customHeight="1">
      <c r="A928" s="236">
        <v>917</v>
      </c>
      <c r="B928" s="244">
        <v>46126</v>
      </c>
      <c r="C928" s="245" t="s">
        <v>261</v>
      </c>
      <c r="D928" s="251" t="s">
        <v>1171</v>
      </c>
      <c r="E928" s="247"/>
      <c r="F928" s="247"/>
      <c r="G928" s="248"/>
      <c r="H928" s="247">
        <v>1</v>
      </c>
      <c r="I928" s="244" t="s">
        <v>1154</v>
      </c>
      <c r="J928" s="249" t="s">
        <v>56</v>
      </c>
      <c r="K928" s="249" t="s">
        <v>21</v>
      </c>
      <c r="L928" s="250">
        <f t="shared" si="59"/>
        <v>1</v>
      </c>
      <c r="M928" s="237">
        <f t="array" ref="M928">INDEX('BKTT T4.26'!$N$12:$N$55,MATCH(V928,'BKTT T4.26'!$A$12:$A$55,0),0)</f>
        <v>1002400</v>
      </c>
      <c r="N928" s="162">
        <f t="shared" ref="N928:N985" si="62">L928*M928</f>
        <v>1002400</v>
      </c>
      <c r="O928" s="238" t="s">
        <v>267</v>
      </c>
      <c r="P928" s="251" t="s">
        <v>1448</v>
      </c>
      <c r="R928" s="191" t="str">
        <f t="shared" si="60"/>
        <v>Cước vận chuyển Container vỏ tuyến đường HATECO - PAN HA. BKS: 15H17112</v>
      </c>
      <c r="S928" s="191" t="str">
        <f t="shared" si="61"/>
        <v xml:space="preserve"> vỏ </v>
      </c>
      <c r="V928" s="191">
        <v>35</v>
      </c>
    </row>
    <row r="929" spans="1:22" s="191" customFormat="1" ht="15">
      <c r="A929" s="236">
        <v>918</v>
      </c>
      <c r="B929" s="244">
        <v>46126</v>
      </c>
      <c r="C929" s="245" t="s">
        <v>261</v>
      </c>
      <c r="D929" s="246" t="s">
        <v>1172</v>
      </c>
      <c r="E929" s="247"/>
      <c r="F929" s="247"/>
      <c r="G929" s="248"/>
      <c r="H929" s="247">
        <v>1</v>
      </c>
      <c r="I929" s="244" t="s">
        <v>1154</v>
      </c>
      <c r="J929" s="249" t="s">
        <v>56</v>
      </c>
      <c r="K929" s="249" t="s">
        <v>21</v>
      </c>
      <c r="L929" s="250">
        <f t="shared" si="59"/>
        <v>1</v>
      </c>
      <c r="M929" s="237">
        <f t="array" ref="M929">INDEX('BKTT T4.26'!$N$12:$N$55,MATCH(V929,'BKTT T4.26'!$A$12:$A$55,0),0)</f>
        <v>1002400</v>
      </c>
      <c r="N929" s="162">
        <f t="shared" si="62"/>
        <v>1002400</v>
      </c>
      <c r="O929" s="238" t="s">
        <v>267</v>
      </c>
      <c r="P929" s="251" t="s">
        <v>1448</v>
      </c>
      <c r="R929" s="191" t="str">
        <f t="shared" si="60"/>
        <v>Cước vận chuyển Container vỏ tuyến đường HATECO - PAN HA. BKS: 15H17112</v>
      </c>
      <c r="S929" s="191" t="str">
        <f t="shared" si="61"/>
        <v xml:space="preserve"> vỏ </v>
      </c>
      <c r="V929" s="191">
        <v>35</v>
      </c>
    </row>
    <row r="930" spans="1:22" s="191" customFormat="1" ht="15">
      <c r="A930" s="236">
        <v>919</v>
      </c>
      <c r="B930" s="244">
        <v>46126</v>
      </c>
      <c r="C930" s="245" t="s">
        <v>261</v>
      </c>
      <c r="D930" s="246" t="s">
        <v>1173</v>
      </c>
      <c r="E930" s="247"/>
      <c r="F930" s="247"/>
      <c r="G930" s="248"/>
      <c r="H930" s="247">
        <v>1</v>
      </c>
      <c r="I930" s="244" t="s">
        <v>1154</v>
      </c>
      <c r="J930" s="249" t="s">
        <v>56</v>
      </c>
      <c r="K930" s="249" t="s">
        <v>21</v>
      </c>
      <c r="L930" s="250">
        <f t="shared" si="59"/>
        <v>1</v>
      </c>
      <c r="M930" s="237">
        <f t="array" ref="M930">INDEX('BKTT T4.26'!$N$12:$N$55,MATCH(V930,'BKTT T4.26'!$A$12:$A$55,0),0)</f>
        <v>1002400</v>
      </c>
      <c r="N930" s="162">
        <f t="shared" si="62"/>
        <v>1002400</v>
      </c>
      <c r="O930" s="238" t="s">
        <v>267</v>
      </c>
      <c r="P930" s="251" t="s">
        <v>1448</v>
      </c>
      <c r="R930" s="191" t="str">
        <f t="shared" si="60"/>
        <v>Cước vận chuyển Container vỏ tuyến đường HATECO - PAN HA. BKS: 15H17112</v>
      </c>
      <c r="S930" s="191" t="str">
        <f t="shared" si="61"/>
        <v xml:space="preserve"> vỏ </v>
      </c>
      <c r="V930" s="191">
        <v>35</v>
      </c>
    </row>
    <row r="931" spans="1:22" s="191" customFormat="1" ht="15">
      <c r="A931" s="236">
        <v>920</v>
      </c>
      <c r="B931" s="244">
        <v>46126</v>
      </c>
      <c r="C931" s="245" t="s">
        <v>261</v>
      </c>
      <c r="D931" s="246" t="s">
        <v>1174</v>
      </c>
      <c r="E931" s="247"/>
      <c r="F931" s="247"/>
      <c r="G931" s="248"/>
      <c r="H931" s="247">
        <v>1</v>
      </c>
      <c r="I931" s="244" t="s">
        <v>1154</v>
      </c>
      <c r="J931" s="249" t="s">
        <v>56</v>
      </c>
      <c r="K931" s="249" t="s">
        <v>21</v>
      </c>
      <c r="L931" s="250">
        <f t="shared" si="59"/>
        <v>1</v>
      </c>
      <c r="M931" s="237">
        <f t="array" ref="M931">INDEX('BKTT T4.26'!$N$12:$N$55,MATCH(V931,'BKTT T4.26'!$A$12:$A$55,0),0)</f>
        <v>1002400</v>
      </c>
      <c r="N931" s="162">
        <f t="shared" si="62"/>
        <v>1002400</v>
      </c>
      <c r="O931" s="238" t="s">
        <v>267</v>
      </c>
      <c r="P931" s="251" t="s">
        <v>1448</v>
      </c>
      <c r="R931" s="191" t="str">
        <f t="shared" si="60"/>
        <v>Cước vận chuyển Container vỏ tuyến đường HATECO - PAN HA. BKS: 15H17112</v>
      </c>
      <c r="S931" s="191" t="str">
        <f t="shared" si="61"/>
        <v xml:space="preserve"> vỏ </v>
      </c>
      <c r="V931" s="191">
        <v>35</v>
      </c>
    </row>
    <row r="932" spans="1:22" s="191" customFormat="1" ht="15">
      <c r="A932" s="236">
        <v>921</v>
      </c>
      <c r="B932" s="244">
        <v>46126</v>
      </c>
      <c r="C932" s="245" t="s">
        <v>261</v>
      </c>
      <c r="D932" s="246" t="s">
        <v>1175</v>
      </c>
      <c r="E932" s="247"/>
      <c r="F932" s="247"/>
      <c r="G932" s="248"/>
      <c r="H932" s="247">
        <v>1</v>
      </c>
      <c r="I932" s="244" t="s">
        <v>1154</v>
      </c>
      <c r="J932" s="249" t="s">
        <v>56</v>
      </c>
      <c r="K932" s="249" t="s">
        <v>21</v>
      </c>
      <c r="L932" s="250">
        <f t="shared" si="59"/>
        <v>1</v>
      </c>
      <c r="M932" s="237">
        <f t="array" ref="M932">INDEX('BKTT T4.26'!$N$12:$N$55,MATCH(V932,'BKTT T4.26'!$A$12:$A$55,0),0)</f>
        <v>1002400</v>
      </c>
      <c r="N932" s="162">
        <f t="shared" si="62"/>
        <v>1002400</v>
      </c>
      <c r="O932" s="238" t="s">
        <v>267</v>
      </c>
      <c r="P932" s="251" t="s">
        <v>1448</v>
      </c>
      <c r="R932" s="191" t="str">
        <f t="shared" si="60"/>
        <v>Cước vận chuyển Container vỏ tuyến đường HATECO - PAN HA. BKS: 15H17112</v>
      </c>
      <c r="S932" s="191" t="str">
        <f t="shared" si="61"/>
        <v xml:space="preserve"> vỏ </v>
      </c>
      <c r="V932" s="191">
        <v>35</v>
      </c>
    </row>
    <row r="933" spans="1:22" s="191" customFormat="1" ht="15">
      <c r="A933" s="236">
        <v>922</v>
      </c>
      <c r="B933" s="244">
        <v>46128</v>
      </c>
      <c r="C933" s="245" t="s">
        <v>261</v>
      </c>
      <c r="D933" s="246" t="s">
        <v>1176</v>
      </c>
      <c r="E933" s="247"/>
      <c r="F933" s="247"/>
      <c r="G933" s="248"/>
      <c r="H933" s="247">
        <v>1</v>
      </c>
      <c r="I933" s="244" t="s">
        <v>797</v>
      </c>
      <c r="J933" s="249" t="s">
        <v>21</v>
      </c>
      <c r="K933" s="249" t="s">
        <v>27</v>
      </c>
      <c r="L933" s="250">
        <f t="shared" si="59"/>
        <v>1</v>
      </c>
      <c r="M933" s="237">
        <f t="array" ref="M933">INDEX('BKTT T4.26'!$N$12:$N$55,MATCH(V933,'BKTT T4.26'!$A$12:$A$55,0),0)</f>
        <v>628690</v>
      </c>
      <c r="N933" s="162">
        <f t="shared" si="62"/>
        <v>628690</v>
      </c>
      <c r="O933" s="238" t="s">
        <v>264</v>
      </c>
      <c r="P933" s="251" t="s">
        <v>1448</v>
      </c>
      <c r="R933" s="191" t="str">
        <f t="shared" si="60"/>
        <v>Cước vận chuyển Container vỏ tuyến đường PAN HA - HẢI AN.. BKS: 15H17712</v>
      </c>
      <c r="S933" s="191" t="str">
        <f t="shared" si="61"/>
        <v xml:space="preserve"> vỏ </v>
      </c>
      <c r="V933" s="191">
        <v>3</v>
      </c>
    </row>
    <row r="934" spans="1:22" s="191" customFormat="1" ht="15">
      <c r="A934" s="236">
        <v>923</v>
      </c>
      <c r="B934" s="244">
        <v>46127</v>
      </c>
      <c r="C934" s="245" t="s">
        <v>261</v>
      </c>
      <c r="D934" s="246" t="s">
        <v>1177</v>
      </c>
      <c r="E934" s="247"/>
      <c r="F934" s="247"/>
      <c r="G934" s="248"/>
      <c r="H934" s="247">
        <v>1</v>
      </c>
      <c r="I934" s="244" t="s">
        <v>335</v>
      </c>
      <c r="J934" s="249" t="s">
        <v>21</v>
      </c>
      <c r="K934" s="249" t="s">
        <v>27</v>
      </c>
      <c r="L934" s="250">
        <f t="shared" si="59"/>
        <v>1</v>
      </c>
      <c r="M934" s="237">
        <f t="array" ref="M934">INDEX('BKTT T4.26'!$N$12:$N$55,MATCH(V934,'BKTT T4.26'!$A$12:$A$55,0),0)</f>
        <v>628690</v>
      </c>
      <c r="N934" s="162">
        <f t="shared" si="62"/>
        <v>628690</v>
      </c>
      <c r="O934" s="238" t="s">
        <v>264</v>
      </c>
      <c r="P934" s="251" t="s">
        <v>1448</v>
      </c>
      <c r="R934" s="191" t="str">
        <f t="shared" si="60"/>
        <v>Cước vận chuyển Container vỏ tuyến đường PAN HA - HẢI AN.. BKS: 15H18552</v>
      </c>
      <c r="S934" s="191" t="str">
        <f t="shared" si="61"/>
        <v xml:space="preserve"> vỏ </v>
      </c>
      <c r="V934" s="191">
        <v>3</v>
      </c>
    </row>
    <row r="935" spans="1:22" s="191" customFormat="1" ht="15">
      <c r="A935" s="236">
        <v>924</v>
      </c>
      <c r="B935" s="244">
        <v>46128</v>
      </c>
      <c r="C935" s="245" t="s">
        <v>261</v>
      </c>
      <c r="D935" s="246" t="s">
        <v>1178</v>
      </c>
      <c r="E935" s="247"/>
      <c r="F935" s="247"/>
      <c r="G935" s="248"/>
      <c r="H935" s="247">
        <v>1</v>
      </c>
      <c r="I935" s="249" t="s">
        <v>358</v>
      </c>
      <c r="J935" s="249" t="s">
        <v>56</v>
      </c>
      <c r="K935" s="249" t="s">
        <v>21</v>
      </c>
      <c r="L935" s="250">
        <f t="shared" si="59"/>
        <v>1</v>
      </c>
      <c r="M935" s="237">
        <f t="array" ref="M935">INDEX('BKTT T4.26'!$N$12:$N$55,MATCH(V935,'BKTT T4.26'!$A$12:$A$55,0),0)</f>
        <v>1002400</v>
      </c>
      <c r="N935" s="162">
        <f t="shared" si="62"/>
        <v>1002400</v>
      </c>
      <c r="O935" s="238" t="s">
        <v>267</v>
      </c>
      <c r="P935" s="251" t="s">
        <v>1448</v>
      </c>
      <c r="R935" s="191" t="str">
        <f t="shared" si="60"/>
        <v>Cước vận chuyển Container vỏ tuyến đường HATECO - PAN HA. BKS: 15H18753</v>
      </c>
      <c r="S935" s="191" t="str">
        <f t="shared" si="61"/>
        <v xml:space="preserve"> vỏ </v>
      </c>
      <c r="V935" s="191">
        <v>35</v>
      </c>
    </row>
    <row r="936" spans="1:22" s="191" customFormat="1" ht="15">
      <c r="A936" s="236">
        <v>925</v>
      </c>
      <c r="B936" s="244">
        <v>46128</v>
      </c>
      <c r="C936" s="245" t="s">
        <v>261</v>
      </c>
      <c r="D936" s="246" t="s">
        <v>1179</v>
      </c>
      <c r="E936" s="247"/>
      <c r="F936" s="247"/>
      <c r="G936" s="248"/>
      <c r="H936" s="247">
        <v>1</v>
      </c>
      <c r="I936" s="244" t="s">
        <v>358</v>
      </c>
      <c r="J936" s="249" t="s">
        <v>56</v>
      </c>
      <c r="K936" s="249" t="s">
        <v>21</v>
      </c>
      <c r="L936" s="250">
        <f t="shared" si="59"/>
        <v>1</v>
      </c>
      <c r="M936" s="237">
        <f t="array" ref="M936">INDEX('BKTT T4.26'!$N$12:$N$55,MATCH(V936,'BKTT T4.26'!$A$12:$A$55,0),0)</f>
        <v>1002400</v>
      </c>
      <c r="N936" s="162">
        <f t="shared" si="62"/>
        <v>1002400</v>
      </c>
      <c r="O936" s="238" t="s">
        <v>267</v>
      </c>
      <c r="P936" s="251" t="s">
        <v>1448</v>
      </c>
      <c r="R936" s="191" t="str">
        <f t="shared" si="60"/>
        <v>Cước vận chuyển Container vỏ tuyến đường HATECO - PAN HA. BKS: 15H18753</v>
      </c>
      <c r="S936" s="191" t="str">
        <f t="shared" si="61"/>
        <v xml:space="preserve"> vỏ </v>
      </c>
      <c r="V936" s="191">
        <v>35</v>
      </c>
    </row>
    <row r="937" spans="1:22" s="191" customFormat="1" ht="15">
      <c r="A937" s="236">
        <v>926</v>
      </c>
      <c r="B937" s="244">
        <v>46125</v>
      </c>
      <c r="C937" s="245" t="s">
        <v>261</v>
      </c>
      <c r="D937" s="246" t="s">
        <v>1180</v>
      </c>
      <c r="E937" s="254"/>
      <c r="F937" s="254"/>
      <c r="G937" s="248"/>
      <c r="H937" s="254">
        <v>1</v>
      </c>
      <c r="I937" s="244" t="s">
        <v>272</v>
      </c>
      <c r="J937" s="249" t="s">
        <v>21</v>
      </c>
      <c r="K937" s="249" t="s">
        <v>27</v>
      </c>
      <c r="L937" s="250">
        <f t="shared" si="59"/>
        <v>1</v>
      </c>
      <c r="M937" s="237">
        <f t="array" ref="M937">INDEX('BKTT T4.26'!$N$12:$N$55,MATCH(V937,'BKTT T4.26'!$A$12:$A$55,0),0)</f>
        <v>628690</v>
      </c>
      <c r="N937" s="162">
        <f t="shared" si="62"/>
        <v>628690</v>
      </c>
      <c r="O937" s="238" t="s">
        <v>264</v>
      </c>
      <c r="P937" s="251" t="s">
        <v>1448</v>
      </c>
      <c r="R937" s="191" t="str">
        <f t="shared" si="60"/>
        <v>Cước vận chuyển Container vỏ tuyến đường PAN HA - HẢI AN.. BKS: 15H07788</v>
      </c>
      <c r="S937" s="191" t="str">
        <f t="shared" si="61"/>
        <v xml:space="preserve"> vỏ </v>
      </c>
      <c r="V937" s="191">
        <v>3</v>
      </c>
    </row>
    <row r="938" spans="1:22" s="191" customFormat="1" ht="15">
      <c r="A938" s="236">
        <v>927</v>
      </c>
      <c r="B938" s="244">
        <v>46125</v>
      </c>
      <c r="C938" s="245" t="s">
        <v>261</v>
      </c>
      <c r="D938" s="246" t="s">
        <v>1181</v>
      </c>
      <c r="E938" s="254"/>
      <c r="F938" s="247">
        <v>1</v>
      </c>
      <c r="G938" s="254"/>
      <c r="H938" s="254"/>
      <c r="I938" s="244" t="s">
        <v>272</v>
      </c>
      <c r="J938" s="249" t="s">
        <v>21</v>
      </c>
      <c r="K938" s="249" t="s">
        <v>25</v>
      </c>
      <c r="L938" s="250">
        <f t="shared" si="59"/>
        <v>1</v>
      </c>
      <c r="M938" s="237">
        <f t="array" ref="M938">INDEX('BKTT T4.26'!$N$12:$N$55,MATCH(V938,'BKTT T4.26'!$A$12:$A$55,0),0)</f>
        <v>681050</v>
      </c>
      <c r="N938" s="162">
        <f t="shared" si="62"/>
        <v>681050</v>
      </c>
      <c r="O938" s="238" t="s">
        <v>264</v>
      </c>
      <c r="P938" s="251" t="s">
        <v>1448</v>
      </c>
      <c r="R938" s="191" t="str">
        <f t="shared" si="60"/>
        <v>Cước vận chuyển Container hàng 40' tuyến đường PAN HA - HẢI AN,. BKS: 15H07788</v>
      </c>
      <c r="S938" s="191" t="str">
        <f t="shared" si="61"/>
        <v xml:space="preserve"> hàng 40' </v>
      </c>
      <c r="V938" s="191">
        <v>2</v>
      </c>
    </row>
    <row r="939" spans="1:22" s="191" customFormat="1" ht="15">
      <c r="A939" s="236">
        <v>928</v>
      </c>
      <c r="B939" s="244">
        <v>46126</v>
      </c>
      <c r="C939" s="245" t="s">
        <v>261</v>
      </c>
      <c r="D939" s="246" t="s">
        <v>1182</v>
      </c>
      <c r="E939" s="254">
        <v>1</v>
      </c>
      <c r="F939" s="254"/>
      <c r="G939" s="254"/>
      <c r="H939" s="254"/>
      <c r="I939" s="244" t="s">
        <v>272</v>
      </c>
      <c r="J939" s="249" t="s">
        <v>21</v>
      </c>
      <c r="K939" s="249" t="s">
        <v>31</v>
      </c>
      <c r="L939" s="250">
        <f t="shared" si="59"/>
        <v>1</v>
      </c>
      <c r="M939" s="237">
        <f t="array" ref="M939">INDEX('BKTT T4.26'!$N$12:$N$55,MATCH(V939,'BKTT T4.26'!$A$12:$A$55,0),0)</f>
        <v>454158</v>
      </c>
      <c r="N939" s="162">
        <f t="shared" si="62"/>
        <v>454158</v>
      </c>
      <c r="O939" s="238" t="s">
        <v>264</v>
      </c>
      <c r="P939" s="251" t="s">
        <v>1448</v>
      </c>
      <c r="R939" s="191" t="str">
        <f t="shared" si="60"/>
        <v>Cước vận chuyển Container hàng 20' tuyến đường PAN HA - NDV. BKS: 15H07788</v>
      </c>
      <c r="S939" s="191" t="str">
        <f t="shared" si="61"/>
        <v xml:space="preserve"> hàng 20' </v>
      </c>
      <c r="V939" s="191">
        <v>7</v>
      </c>
    </row>
    <row r="940" spans="1:22" s="191" customFormat="1" ht="15">
      <c r="A940" s="236">
        <v>929</v>
      </c>
      <c r="B940" s="244">
        <v>46126</v>
      </c>
      <c r="C940" s="245" t="s">
        <v>261</v>
      </c>
      <c r="D940" s="246" t="s">
        <v>1183</v>
      </c>
      <c r="E940" s="254">
        <v>1</v>
      </c>
      <c r="F940" s="254"/>
      <c r="G940" s="254"/>
      <c r="H940" s="254"/>
      <c r="I940" s="244" t="s">
        <v>272</v>
      </c>
      <c r="J940" s="249" t="s">
        <v>21</v>
      </c>
      <c r="K940" s="249" t="s">
        <v>31</v>
      </c>
      <c r="L940" s="250">
        <f t="shared" si="59"/>
        <v>1</v>
      </c>
      <c r="M940" s="237">
        <f t="array" ref="M940">INDEX('BKTT T4.26'!$N$12:$N$55,MATCH(V940,'BKTT T4.26'!$A$12:$A$55,0),0)</f>
        <v>454158</v>
      </c>
      <c r="N940" s="162">
        <f t="shared" si="62"/>
        <v>454158</v>
      </c>
      <c r="O940" s="238" t="s">
        <v>264</v>
      </c>
      <c r="P940" s="251" t="s">
        <v>1448</v>
      </c>
      <c r="R940" s="191" t="str">
        <f t="shared" si="60"/>
        <v>Cước vận chuyển Container hàng 20' tuyến đường PAN HA - NDV. BKS: 15H07788</v>
      </c>
      <c r="S940" s="191" t="str">
        <f t="shared" si="61"/>
        <v xml:space="preserve"> hàng 20' </v>
      </c>
      <c r="V940" s="191">
        <v>7</v>
      </c>
    </row>
    <row r="941" spans="1:22" s="191" customFormat="1" ht="15">
      <c r="A941" s="236">
        <v>930</v>
      </c>
      <c r="B941" s="244">
        <v>46126</v>
      </c>
      <c r="C941" s="245" t="s">
        <v>261</v>
      </c>
      <c r="D941" s="246" t="s">
        <v>1184</v>
      </c>
      <c r="E941" s="247">
        <v>1</v>
      </c>
      <c r="F941" s="247"/>
      <c r="G941" s="248"/>
      <c r="H941" s="247"/>
      <c r="I941" s="244" t="s">
        <v>272</v>
      </c>
      <c r="J941" s="249" t="s">
        <v>21</v>
      </c>
      <c r="K941" s="249" t="s">
        <v>31</v>
      </c>
      <c r="L941" s="250">
        <f t="shared" si="59"/>
        <v>1</v>
      </c>
      <c r="M941" s="237">
        <f t="array" ref="M941">INDEX('BKTT T4.26'!$N$12:$N$55,MATCH(V941,'BKTT T4.26'!$A$12:$A$55,0),0)</f>
        <v>454158</v>
      </c>
      <c r="N941" s="162">
        <f t="shared" si="62"/>
        <v>454158</v>
      </c>
      <c r="O941" s="238" t="s">
        <v>264</v>
      </c>
      <c r="P941" s="251" t="s">
        <v>1448</v>
      </c>
      <c r="R941" s="191" t="str">
        <f t="shared" si="60"/>
        <v>Cước vận chuyển Container hàng 20' tuyến đường PAN HA - NDV. BKS: 15H07788</v>
      </c>
      <c r="S941" s="191" t="str">
        <f t="shared" si="61"/>
        <v xml:space="preserve"> hàng 20' </v>
      </c>
      <c r="V941" s="191">
        <v>7</v>
      </c>
    </row>
    <row r="942" spans="1:22" s="191" customFormat="1" ht="15">
      <c r="A942" s="236">
        <v>931</v>
      </c>
      <c r="B942" s="244">
        <v>46126</v>
      </c>
      <c r="C942" s="245" t="s">
        <v>261</v>
      </c>
      <c r="D942" s="246" t="s">
        <v>1185</v>
      </c>
      <c r="E942" s="247">
        <v>1</v>
      </c>
      <c r="F942" s="247"/>
      <c r="G942" s="248"/>
      <c r="H942" s="247"/>
      <c r="I942" s="244" t="s">
        <v>272</v>
      </c>
      <c r="J942" s="249" t="s">
        <v>21</v>
      </c>
      <c r="K942" s="249" t="s">
        <v>31</v>
      </c>
      <c r="L942" s="250">
        <f t="shared" si="59"/>
        <v>1</v>
      </c>
      <c r="M942" s="237">
        <f t="array" ref="M942">INDEX('BKTT T4.26'!$N$12:$N$55,MATCH(V942,'BKTT T4.26'!$A$12:$A$55,0),0)</f>
        <v>454158</v>
      </c>
      <c r="N942" s="162">
        <f t="shared" si="62"/>
        <v>454158</v>
      </c>
      <c r="O942" s="238" t="s">
        <v>264</v>
      </c>
      <c r="P942" s="251" t="s">
        <v>1448</v>
      </c>
      <c r="R942" s="191" t="str">
        <f t="shared" si="60"/>
        <v>Cước vận chuyển Container hàng 20' tuyến đường PAN HA - NDV. BKS: 15H07788</v>
      </c>
      <c r="S942" s="191" t="str">
        <f t="shared" si="61"/>
        <v xml:space="preserve"> hàng 20' </v>
      </c>
      <c r="V942" s="191">
        <v>7</v>
      </c>
    </row>
    <row r="943" spans="1:22" s="191" customFormat="1" ht="15">
      <c r="A943" s="236">
        <v>932</v>
      </c>
      <c r="B943" s="244">
        <v>46126</v>
      </c>
      <c r="C943" s="245" t="s">
        <v>261</v>
      </c>
      <c r="D943" s="246" t="s">
        <v>1186</v>
      </c>
      <c r="E943" s="247"/>
      <c r="F943" s="247"/>
      <c r="G943" s="248"/>
      <c r="H943" s="247">
        <v>1</v>
      </c>
      <c r="I943" s="244" t="s">
        <v>272</v>
      </c>
      <c r="J943" s="249" t="s">
        <v>56</v>
      </c>
      <c r="K943" s="249" t="s">
        <v>21</v>
      </c>
      <c r="L943" s="250">
        <f t="shared" si="59"/>
        <v>1</v>
      </c>
      <c r="M943" s="237">
        <f t="array" ref="M943">INDEX('BKTT T4.26'!$N$12:$N$55,MATCH(V943,'BKTT T4.26'!$A$12:$A$55,0),0)</f>
        <v>1002400</v>
      </c>
      <c r="N943" s="162">
        <f t="shared" si="62"/>
        <v>1002400</v>
      </c>
      <c r="O943" s="238" t="s">
        <v>267</v>
      </c>
      <c r="P943" s="251" t="s">
        <v>1448</v>
      </c>
      <c r="R943" s="191" t="str">
        <f t="shared" si="60"/>
        <v>Cước vận chuyển Container vỏ tuyến đường HATECO - PAN HA. BKS: 15H07788</v>
      </c>
      <c r="S943" s="191" t="str">
        <f t="shared" si="61"/>
        <v xml:space="preserve"> vỏ </v>
      </c>
      <c r="V943" s="191">
        <v>35</v>
      </c>
    </row>
    <row r="944" spans="1:22" s="191" customFormat="1" ht="15">
      <c r="A944" s="236">
        <v>933</v>
      </c>
      <c r="B944" s="244">
        <v>46126</v>
      </c>
      <c r="C944" s="245" t="s">
        <v>261</v>
      </c>
      <c r="D944" s="246" t="s">
        <v>1187</v>
      </c>
      <c r="E944" s="247"/>
      <c r="F944" s="247"/>
      <c r="G944" s="248">
        <v>0.5</v>
      </c>
      <c r="H944" s="247"/>
      <c r="I944" s="244" t="s">
        <v>272</v>
      </c>
      <c r="J944" s="249" t="s">
        <v>21</v>
      </c>
      <c r="K944" s="249" t="s">
        <v>27</v>
      </c>
      <c r="L944" s="250">
        <f t="shared" si="59"/>
        <v>0.5</v>
      </c>
      <c r="M944" s="237">
        <f t="array" ref="M944">INDEX('BKTT T4.26'!$N$12:$N$55,MATCH(V944,'BKTT T4.26'!$A$12:$A$55,0),0)</f>
        <v>628690</v>
      </c>
      <c r="N944" s="162">
        <f t="shared" si="62"/>
        <v>314345</v>
      </c>
      <c r="O944" s="238" t="s">
        <v>264</v>
      </c>
      <c r="P944" s="251" t="s">
        <v>1448</v>
      </c>
      <c r="R944" s="191" t="str">
        <f t="shared" si="60"/>
        <v>Cước vận chuyển Container vỏ tuyến đường PAN HA - HẢI AN.. BKS: 15H07788</v>
      </c>
      <c r="S944" s="191" t="str">
        <f t="shared" si="61"/>
        <v xml:space="preserve"> vỏ </v>
      </c>
      <c r="V944" s="191">
        <v>3</v>
      </c>
    </row>
    <row r="945" spans="1:22" s="191" customFormat="1" ht="15">
      <c r="A945" s="236">
        <v>934</v>
      </c>
      <c r="B945" s="244">
        <v>46126</v>
      </c>
      <c r="C945" s="245" t="s">
        <v>261</v>
      </c>
      <c r="D945" s="246" t="s">
        <v>1188</v>
      </c>
      <c r="E945" s="254"/>
      <c r="F945" s="254"/>
      <c r="G945" s="248">
        <v>0.5</v>
      </c>
      <c r="H945" s="254"/>
      <c r="I945" s="244" t="s">
        <v>272</v>
      </c>
      <c r="J945" s="249" t="s">
        <v>21</v>
      </c>
      <c r="K945" s="249" t="s">
        <v>27</v>
      </c>
      <c r="L945" s="250">
        <f t="shared" si="59"/>
        <v>0.5</v>
      </c>
      <c r="M945" s="237">
        <f t="array" ref="M945">INDEX('BKTT T4.26'!$N$12:$N$55,MATCH(V945,'BKTT T4.26'!$A$12:$A$55,0),0)</f>
        <v>628690</v>
      </c>
      <c r="N945" s="162">
        <f t="shared" si="62"/>
        <v>314345</v>
      </c>
      <c r="O945" s="238" t="s">
        <v>264</v>
      </c>
      <c r="P945" s="251" t="s">
        <v>1448</v>
      </c>
      <c r="R945" s="191" t="str">
        <f t="shared" si="60"/>
        <v>Cước vận chuyển Container vỏ tuyến đường PAN HA - HẢI AN.. BKS: 15H07788</v>
      </c>
      <c r="S945" s="191" t="str">
        <f t="shared" si="61"/>
        <v xml:space="preserve"> vỏ </v>
      </c>
      <c r="V945" s="191">
        <v>3</v>
      </c>
    </row>
    <row r="946" spans="1:22" s="191" customFormat="1" ht="15">
      <c r="A946" s="236">
        <v>935</v>
      </c>
      <c r="B946" s="244">
        <v>46129</v>
      </c>
      <c r="C946" s="245" t="s">
        <v>261</v>
      </c>
      <c r="D946" s="246" t="s">
        <v>1189</v>
      </c>
      <c r="E946" s="247"/>
      <c r="F946" s="247"/>
      <c r="G946" s="248"/>
      <c r="H946" s="247">
        <v>1</v>
      </c>
      <c r="I946" s="244" t="s">
        <v>335</v>
      </c>
      <c r="J946" s="249" t="s">
        <v>56</v>
      </c>
      <c r="K946" s="249" t="s">
        <v>21</v>
      </c>
      <c r="L946" s="250">
        <f t="shared" si="59"/>
        <v>1</v>
      </c>
      <c r="M946" s="237">
        <f t="array" ref="M946">INDEX('BKTT T4.26'!$N$12:$N$55,MATCH(V946,'BKTT T4.26'!$A$12:$A$55,0),0)</f>
        <v>1002400</v>
      </c>
      <c r="N946" s="162">
        <f t="shared" si="62"/>
        <v>1002400</v>
      </c>
      <c r="O946" s="238" t="s">
        <v>267</v>
      </c>
      <c r="P946" s="251" t="s">
        <v>1448</v>
      </c>
      <c r="R946" s="191" t="str">
        <f t="shared" si="60"/>
        <v>Cước vận chuyển Container vỏ tuyến đường HATECO - PAN HA. BKS: 15H18552</v>
      </c>
      <c r="S946" s="191" t="str">
        <f t="shared" si="61"/>
        <v xml:space="preserve"> vỏ </v>
      </c>
      <c r="V946" s="191">
        <v>35</v>
      </c>
    </row>
    <row r="947" spans="1:22" s="191" customFormat="1" ht="15">
      <c r="A947" s="236">
        <v>936</v>
      </c>
      <c r="B947" s="244">
        <v>46129</v>
      </c>
      <c r="C947" s="245" t="s">
        <v>261</v>
      </c>
      <c r="D947" s="246" t="s">
        <v>1190</v>
      </c>
      <c r="E947" s="247"/>
      <c r="F947" s="247"/>
      <c r="G947" s="248"/>
      <c r="H947" s="247">
        <v>1</v>
      </c>
      <c r="I947" s="244" t="s">
        <v>335</v>
      </c>
      <c r="J947" s="249" t="s">
        <v>56</v>
      </c>
      <c r="K947" s="249" t="s">
        <v>21</v>
      </c>
      <c r="L947" s="250">
        <f t="shared" si="59"/>
        <v>1</v>
      </c>
      <c r="M947" s="237">
        <f t="array" ref="M947">INDEX('BKTT T4.26'!$N$12:$N$55,MATCH(V947,'BKTT T4.26'!$A$12:$A$55,0),0)</f>
        <v>1002400</v>
      </c>
      <c r="N947" s="162">
        <f t="shared" si="62"/>
        <v>1002400</v>
      </c>
      <c r="O947" s="238" t="s">
        <v>267</v>
      </c>
      <c r="P947" s="251" t="s">
        <v>1448</v>
      </c>
      <c r="R947" s="191" t="str">
        <f t="shared" si="60"/>
        <v>Cước vận chuyển Container vỏ tuyến đường HATECO - PAN HA. BKS: 15H18552</v>
      </c>
      <c r="S947" s="191" t="str">
        <f t="shared" si="61"/>
        <v xml:space="preserve"> vỏ </v>
      </c>
      <c r="V947" s="191">
        <v>35</v>
      </c>
    </row>
    <row r="948" spans="1:22" s="191" customFormat="1" ht="15">
      <c r="A948" s="236">
        <v>937</v>
      </c>
      <c r="B948" s="244">
        <v>46129</v>
      </c>
      <c r="C948" s="245" t="s">
        <v>261</v>
      </c>
      <c r="D948" s="246" t="s">
        <v>1191</v>
      </c>
      <c r="E948" s="247"/>
      <c r="F948" s="247"/>
      <c r="G948" s="248"/>
      <c r="H948" s="247">
        <v>1</v>
      </c>
      <c r="I948" s="244" t="s">
        <v>335</v>
      </c>
      <c r="J948" s="249" t="s">
        <v>56</v>
      </c>
      <c r="K948" s="249" t="s">
        <v>21</v>
      </c>
      <c r="L948" s="250">
        <f t="shared" si="59"/>
        <v>1</v>
      </c>
      <c r="M948" s="237">
        <f t="array" ref="M948">INDEX('BKTT T4.26'!$N$12:$N$55,MATCH(V948,'BKTT T4.26'!$A$12:$A$55,0),0)</f>
        <v>1002400</v>
      </c>
      <c r="N948" s="162">
        <f t="shared" si="62"/>
        <v>1002400</v>
      </c>
      <c r="O948" s="238" t="s">
        <v>267</v>
      </c>
      <c r="P948" s="251" t="s">
        <v>1448</v>
      </c>
      <c r="R948" s="191" t="str">
        <f t="shared" si="60"/>
        <v>Cước vận chuyển Container vỏ tuyến đường HATECO - PAN HA. BKS: 15H18552</v>
      </c>
      <c r="S948" s="191" t="str">
        <f t="shared" si="61"/>
        <v xml:space="preserve"> vỏ </v>
      </c>
      <c r="V948" s="191">
        <v>35</v>
      </c>
    </row>
    <row r="949" spans="1:22" s="191" customFormat="1" ht="15">
      <c r="A949" s="236">
        <v>938</v>
      </c>
      <c r="B949" s="244">
        <v>46129</v>
      </c>
      <c r="C949" s="245" t="s">
        <v>261</v>
      </c>
      <c r="D949" s="246" t="s">
        <v>1192</v>
      </c>
      <c r="E949" s="247"/>
      <c r="F949" s="247"/>
      <c r="G949" s="248">
        <v>0.5</v>
      </c>
      <c r="H949" s="247"/>
      <c r="I949" s="244" t="s">
        <v>335</v>
      </c>
      <c r="J949" s="249" t="s">
        <v>21</v>
      </c>
      <c r="K949" s="249" t="s">
        <v>27</v>
      </c>
      <c r="L949" s="250">
        <f t="shared" si="59"/>
        <v>0.5</v>
      </c>
      <c r="M949" s="237">
        <f t="array" ref="M949">INDEX('BKTT T4.26'!$N$12:$N$55,MATCH(V949,'BKTT T4.26'!$A$12:$A$55,0),0)</f>
        <v>628690</v>
      </c>
      <c r="N949" s="162">
        <f t="shared" si="62"/>
        <v>314345</v>
      </c>
      <c r="O949" s="238" t="s">
        <v>264</v>
      </c>
      <c r="P949" s="251" t="s">
        <v>1448</v>
      </c>
      <c r="R949" s="191" t="str">
        <f t="shared" si="60"/>
        <v>Cước vận chuyển Container vỏ tuyến đường PAN HA - HẢI AN.. BKS: 15H18552</v>
      </c>
      <c r="S949" s="191" t="str">
        <f t="shared" si="61"/>
        <v xml:space="preserve"> vỏ </v>
      </c>
      <c r="V949" s="191">
        <v>3</v>
      </c>
    </row>
    <row r="950" spans="1:22" s="191" customFormat="1" ht="15">
      <c r="A950" s="236">
        <v>939</v>
      </c>
      <c r="B950" s="244">
        <v>46129</v>
      </c>
      <c r="C950" s="245" t="s">
        <v>261</v>
      </c>
      <c r="D950" s="246" t="s">
        <v>1193</v>
      </c>
      <c r="E950" s="254"/>
      <c r="F950" s="254"/>
      <c r="G950" s="248">
        <v>0.5</v>
      </c>
      <c r="H950" s="254"/>
      <c r="I950" s="244" t="s">
        <v>335</v>
      </c>
      <c r="J950" s="249" t="s">
        <v>21</v>
      </c>
      <c r="K950" s="249" t="s">
        <v>27</v>
      </c>
      <c r="L950" s="250">
        <f t="shared" si="59"/>
        <v>0.5</v>
      </c>
      <c r="M950" s="237">
        <f t="array" ref="M950">INDEX('BKTT T4.26'!$N$12:$N$55,MATCH(V950,'BKTT T4.26'!$A$12:$A$55,0),0)</f>
        <v>628690</v>
      </c>
      <c r="N950" s="162">
        <f t="shared" si="62"/>
        <v>314345</v>
      </c>
      <c r="O950" s="238" t="s">
        <v>264</v>
      </c>
      <c r="P950" s="251" t="s">
        <v>1448</v>
      </c>
      <c r="R950" s="191" t="str">
        <f t="shared" si="60"/>
        <v>Cước vận chuyển Container vỏ tuyến đường PAN HA - HẢI AN.. BKS: 15H18552</v>
      </c>
      <c r="S950" s="191" t="str">
        <f t="shared" si="61"/>
        <v xml:space="preserve"> vỏ </v>
      </c>
      <c r="V950" s="191">
        <v>3</v>
      </c>
    </row>
    <row r="951" spans="1:22" s="191" customFormat="1" ht="15">
      <c r="A951" s="236">
        <v>940</v>
      </c>
      <c r="B951" s="244">
        <v>46129</v>
      </c>
      <c r="C951" s="245" t="s">
        <v>261</v>
      </c>
      <c r="D951" s="246" t="s">
        <v>1194</v>
      </c>
      <c r="E951" s="247"/>
      <c r="F951" s="247">
        <v>1</v>
      </c>
      <c r="G951" s="248"/>
      <c r="H951" s="247"/>
      <c r="I951" s="244" t="s">
        <v>282</v>
      </c>
      <c r="J951" s="249" t="s">
        <v>21</v>
      </c>
      <c r="K951" s="249" t="s">
        <v>25</v>
      </c>
      <c r="L951" s="250">
        <f t="shared" si="59"/>
        <v>1</v>
      </c>
      <c r="M951" s="237">
        <f t="array" ref="M951">INDEX('BKTT T4.26'!$N$12:$N$55,MATCH(V951,'BKTT T4.26'!$A$12:$A$55,0),0)</f>
        <v>681050</v>
      </c>
      <c r="N951" s="162">
        <f t="shared" si="62"/>
        <v>681050</v>
      </c>
      <c r="O951" s="238" t="s">
        <v>264</v>
      </c>
      <c r="P951" s="251" t="s">
        <v>1448</v>
      </c>
      <c r="R951" s="191" t="str">
        <f t="shared" si="60"/>
        <v>Cước vận chuyển Container hàng 40' tuyến đường PAN HA - HẢI AN,. BKS: 15C17301</v>
      </c>
      <c r="S951" s="191" t="str">
        <f t="shared" si="61"/>
        <v xml:space="preserve"> hàng 40' </v>
      </c>
      <c r="V951" s="191">
        <v>2</v>
      </c>
    </row>
    <row r="952" spans="1:22" s="283" customFormat="1" ht="15">
      <c r="A952" s="236">
        <v>941</v>
      </c>
      <c r="B952" s="272">
        <v>46129</v>
      </c>
      <c r="C952" s="273" t="s">
        <v>261</v>
      </c>
      <c r="D952" s="285" t="s">
        <v>1477</v>
      </c>
      <c r="E952" s="275">
        <v>1</v>
      </c>
      <c r="F952" s="275"/>
      <c r="G952" s="276"/>
      <c r="H952" s="275"/>
      <c r="I952" s="272" t="s">
        <v>282</v>
      </c>
      <c r="J952" s="249" t="s">
        <v>21</v>
      </c>
      <c r="K952" s="277" t="s">
        <v>22</v>
      </c>
      <c r="L952" s="278">
        <f t="shared" si="59"/>
        <v>1</v>
      </c>
      <c r="M952" s="279">
        <f t="array" ref="M952">INDEX('BKTT T4.26'!$N$12:$N$55,MATCH(V952,'BKTT T4.26'!$A$12:$A$55,0),0)</f>
        <v>654871</v>
      </c>
      <c r="N952" s="280">
        <f t="shared" si="62"/>
        <v>654871</v>
      </c>
      <c r="O952" s="281" t="s">
        <v>264</v>
      </c>
      <c r="P952" s="282" t="s">
        <v>1447</v>
      </c>
      <c r="R952" s="283" t="str">
        <f t="shared" si="60"/>
        <v>Cước vận chuyển Container hàng 20' tuyến đường PAN HA - HẢI AN. BKS: 15C17301</v>
      </c>
      <c r="S952" s="283" t="str">
        <f t="shared" si="61"/>
        <v xml:space="preserve"> hàng 20' </v>
      </c>
      <c r="V952" s="191">
        <v>1</v>
      </c>
    </row>
    <row r="953" spans="1:22" s="191" customFormat="1" ht="15">
      <c r="A953" s="236">
        <v>942</v>
      </c>
      <c r="B953" s="244">
        <v>46129</v>
      </c>
      <c r="C953" s="245" t="s">
        <v>261</v>
      </c>
      <c r="D953" s="246" t="s">
        <v>1195</v>
      </c>
      <c r="E953" s="247">
        <v>1</v>
      </c>
      <c r="F953" s="247"/>
      <c r="G953" s="248"/>
      <c r="H953" s="247"/>
      <c r="I953" s="244" t="s">
        <v>282</v>
      </c>
      <c r="J953" s="249" t="s">
        <v>21</v>
      </c>
      <c r="K953" s="249" t="s">
        <v>22</v>
      </c>
      <c r="L953" s="250">
        <f t="shared" si="59"/>
        <v>1</v>
      </c>
      <c r="M953" s="237">
        <f t="array" ref="M953">INDEX('BKTT T4.26'!$N$12:$N$55,MATCH(V953,'BKTT T4.26'!$A$12:$A$55,0),0)</f>
        <v>654871</v>
      </c>
      <c r="N953" s="162">
        <f t="shared" si="62"/>
        <v>654871</v>
      </c>
      <c r="O953" s="238" t="s">
        <v>264</v>
      </c>
      <c r="P953" s="251" t="s">
        <v>1448</v>
      </c>
      <c r="R953" s="191" t="str">
        <f t="shared" si="60"/>
        <v>Cước vận chuyển Container hàng 20' tuyến đường PAN HA - HẢI AN. BKS: 15C17301</v>
      </c>
      <c r="S953" s="191" t="str">
        <f t="shared" si="61"/>
        <v xml:space="preserve"> hàng 20' </v>
      </c>
      <c r="V953" s="191">
        <v>1</v>
      </c>
    </row>
    <row r="954" spans="1:22" s="191" customFormat="1" ht="15">
      <c r="A954" s="236">
        <v>943</v>
      </c>
      <c r="B954" s="244">
        <v>46129</v>
      </c>
      <c r="C954" s="245" t="s">
        <v>261</v>
      </c>
      <c r="D954" s="246" t="s">
        <v>1196</v>
      </c>
      <c r="E954" s="247"/>
      <c r="F954" s="247"/>
      <c r="G954" s="248"/>
      <c r="H954" s="247">
        <v>1</v>
      </c>
      <c r="I954" s="244" t="s">
        <v>358</v>
      </c>
      <c r="J954" s="249" t="s">
        <v>56</v>
      </c>
      <c r="K954" s="249" t="s">
        <v>21</v>
      </c>
      <c r="L954" s="250">
        <f t="shared" si="59"/>
        <v>1</v>
      </c>
      <c r="M954" s="237">
        <f t="array" ref="M954">INDEX('BKTT T4.26'!$N$12:$N$55,MATCH(V954,'BKTT T4.26'!$A$12:$A$55,0),0)</f>
        <v>1002400</v>
      </c>
      <c r="N954" s="162">
        <f t="shared" si="62"/>
        <v>1002400</v>
      </c>
      <c r="O954" s="238" t="s">
        <v>267</v>
      </c>
      <c r="P954" s="251" t="s">
        <v>1448</v>
      </c>
      <c r="R954" s="191" t="str">
        <f t="shared" si="60"/>
        <v>Cước vận chuyển Container vỏ tuyến đường HATECO - PAN HA. BKS: 15H18753</v>
      </c>
      <c r="S954" s="191" t="str">
        <f t="shared" si="61"/>
        <v xml:space="preserve"> vỏ </v>
      </c>
      <c r="V954" s="191">
        <v>35</v>
      </c>
    </row>
    <row r="955" spans="1:22" s="191" customFormat="1" ht="15">
      <c r="A955" s="236">
        <v>944</v>
      </c>
      <c r="B955" s="244">
        <v>46129</v>
      </c>
      <c r="C955" s="245" t="s">
        <v>261</v>
      </c>
      <c r="D955" s="246" t="s">
        <v>1197</v>
      </c>
      <c r="E955" s="247"/>
      <c r="F955" s="247"/>
      <c r="G955" s="248"/>
      <c r="H955" s="247">
        <v>1</v>
      </c>
      <c r="I955" s="244" t="s">
        <v>358</v>
      </c>
      <c r="J955" s="249" t="s">
        <v>56</v>
      </c>
      <c r="K955" s="249" t="s">
        <v>21</v>
      </c>
      <c r="L955" s="250">
        <f t="shared" si="59"/>
        <v>1</v>
      </c>
      <c r="M955" s="237">
        <f t="array" ref="M955">INDEX('BKTT T4.26'!$N$12:$N$55,MATCH(V955,'BKTT T4.26'!$A$12:$A$55,0),0)</f>
        <v>1002400</v>
      </c>
      <c r="N955" s="162">
        <f t="shared" si="62"/>
        <v>1002400</v>
      </c>
      <c r="O955" s="238" t="s">
        <v>267</v>
      </c>
      <c r="P955" s="251" t="s">
        <v>1448</v>
      </c>
      <c r="R955" s="191" t="str">
        <f t="shared" si="60"/>
        <v>Cước vận chuyển Container vỏ tuyến đường HATECO - PAN HA. BKS: 15H18753</v>
      </c>
      <c r="S955" s="191" t="str">
        <f t="shared" si="61"/>
        <v xml:space="preserve"> vỏ </v>
      </c>
      <c r="V955" s="191">
        <v>35</v>
      </c>
    </row>
    <row r="956" spans="1:22" s="191" customFormat="1" ht="15">
      <c r="A956" s="236">
        <v>945</v>
      </c>
      <c r="B956" s="244">
        <v>46129</v>
      </c>
      <c r="C956" s="245" t="s">
        <v>261</v>
      </c>
      <c r="D956" s="246" t="s">
        <v>1198</v>
      </c>
      <c r="E956" s="247"/>
      <c r="F956" s="247"/>
      <c r="G956" s="248"/>
      <c r="H956" s="247">
        <v>1</v>
      </c>
      <c r="I956" s="244" t="s">
        <v>358</v>
      </c>
      <c r="J956" s="249" t="s">
        <v>56</v>
      </c>
      <c r="K956" s="249" t="s">
        <v>21</v>
      </c>
      <c r="L956" s="250">
        <f t="shared" si="59"/>
        <v>1</v>
      </c>
      <c r="M956" s="237">
        <f t="array" ref="M956">INDEX('BKTT T4.26'!$N$12:$N$55,MATCH(V956,'BKTT T4.26'!$A$12:$A$55,0),0)</f>
        <v>1002400</v>
      </c>
      <c r="N956" s="162">
        <f t="shared" si="62"/>
        <v>1002400</v>
      </c>
      <c r="O956" s="238" t="s">
        <v>267</v>
      </c>
      <c r="P956" s="251" t="s">
        <v>1448</v>
      </c>
      <c r="R956" s="191" t="str">
        <f t="shared" si="60"/>
        <v>Cước vận chuyển Container vỏ tuyến đường HATECO - PAN HA. BKS: 15H18753</v>
      </c>
      <c r="S956" s="191" t="str">
        <f t="shared" si="61"/>
        <v xml:space="preserve"> vỏ </v>
      </c>
      <c r="V956" s="191">
        <v>35</v>
      </c>
    </row>
    <row r="957" spans="1:22" s="191" customFormat="1" ht="15">
      <c r="A957" s="236">
        <v>946</v>
      </c>
      <c r="B957" s="244">
        <v>46129</v>
      </c>
      <c r="C957" s="245" t="s">
        <v>261</v>
      </c>
      <c r="D957" s="246" t="s">
        <v>1199</v>
      </c>
      <c r="E957" s="254"/>
      <c r="F957" s="247">
        <v>1</v>
      </c>
      <c r="G957" s="254"/>
      <c r="H957" s="254"/>
      <c r="I957" s="244" t="s">
        <v>279</v>
      </c>
      <c r="J957" s="249" t="s">
        <v>21</v>
      </c>
      <c r="K957" s="249" t="s">
        <v>25</v>
      </c>
      <c r="L957" s="250">
        <f t="shared" si="59"/>
        <v>1</v>
      </c>
      <c r="M957" s="237">
        <f t="array" ref="M957">INDEX('BKTT T4.26'!$N$12:$N$55,MATCH(V957,'BKTT T4.26'!$A$12:$A$55,0),0)</f>
        <v>681050</v>
      </c>
      <c r="N957" s="162">
        <f t="shared" si="62"/>
        <v>681050</v>
      </c>
      <c r="O957" s="238" t="s">
        <v>264</v>
      </c>
      <c r="P957" s="251" t="s">
        <v>1448</v>
      </c>
      <c r="R957" s="191" t="str">
        <f t="shared" si="60"/>
        <v>Cước vận chuyển Container hàng 40' tuyến đường PAN HA - HẢI AN,. BKS: 15H07524</v>
      </c>
      <c r="S957" s="191" t="str">
        <f t="shared" si="61"/>
        <v xml:space="preserve"> hàng 40' </v>
      </c>
      <c r="V957" s="191">
        <v>2</v>
      </c>
    </row>
    <row r="958" spans="1:22" s="191" customFormat="1" ht="15">
      <c r="A958" s="236">
        <v>947</v>
      </c>
      <c r="B958" s="244">
        <v>46129</v>
      </c>
      <c r="C958" s="245" t="s">
        <v>261</v>
      </c>
      <c r="D958" s="246" t="s">
        <v>1200</v>
      </c>
      <c r="E958" s="254">
        <v>1</v>
      </c>
      <c r="F958" s="254"/>
      <c r="G958" s="254"/>
      <c r="H958" s="254"/>
      <c r="I958" s="244" t="s">
        <v>279</v>
      </c>
      <c r="J958" s="249" t="s">
        <v>21</v>
      </c>
      <c r="K958" s="249" t="s">
        <v>22</v>
      </c>
      <c r="L958" s="250">
        <f t="shared" si="59"/>
        <v>1</v>
      </c>
      <c r="M958" s="237">
        <f t="array" ref="M958">INDEX('BKTT T4.26'!$N$12:$N$55,MATCH(V958,'BKTT T4.26'!$A$12:$A$55,0),0)</f>
        <v>654871</v>
      </c>
      <c r="N958" s="162">
        <f t="shared" si="62"/>
        <v>654871</v>
      </c>
      <c r="O958" s="238" t="s">
        <v>264</v>
      </c>
      <c r="P958" s="251" t="s">
        <v>1448</v>
      </c>
      <c r="R958" s="191" t="str">
        <f t="shared" si="60"/>
        <v>Cước vận chuyển Container hàng 20' tuyến đường PAN HA - HẢI AN. BKS: 15H07524</v>
      </c>
      <c r="S958" s="191" t="str">
        <f t="shared" si="61"/>
        <v xml:space="preserve"> hàng 20' </v>
      </c>
      <c r="V958" s="191">
        <v>1</v>
      </c>
    </row>
    <row r="959" spans="1:22" s="191" customFormat="1" ht="15">
      <c r="A959" s="236">
        <v>948</v>
      </c>
      <c r="B959" s="244">
        <v>46129</v>
      </c>
      <c r="C959" s="245" t="s">
        <v>261</v>
      </c>
      <c r="D959" s="246" t="s">
        <v>1201</v>
      </c>
      <c r="E959" s="247">
        <v>1</v>
      </c>
      <c r="F959" s="247"/>
      <c r="G959" s="248"/>
      <c r="H959" s="247"/>
      <c r="I959" s="244" t="s">
        <v>279</v>
      </c>
      <c r="J959" s="249" t="s">
        <v>21</v>
      </c>
      <c r="K959" s="249" t="s">
        <v>22</v>
      </c>
      <c r="L959" s="250">
        <f t="shared" si="59"/>
        <v>1</v>
      </c>
      <c r="M959" s="237">
        <f t="array" ref="M959">INDEX('BKTT T4.26'!$N$12:$N$55,MATCH(V959,'BKTT T4.26'!$A$12:$A$55,0),0)</f>
        <v>654871</v>
      </c>
      <c r="N959" s="162">
        <f t="shared" si="62"/>
        <v>654871</v>
      </c>
      <c r="O959" s="238" t="s">
        <v>264</v>
      </c>
      <c r="P959" s="251" t="s">
        <v>1448</v>
      </c>
      <c r="R959" s="191" t="str">
        <f t="shared" si="60"/>
        <v>Cước vận chuyển Container hàng 20' tuyến đường PAN HA - HẢI AN. BKS: 15H07524</v>
      </c>
      <c r="S959" s="191" t="str">
        <f t="shared" si="61"/>
        <v xml:space="preserve"> hàng 20' </v>
      </c>
      <c r="V959" s="191">
        <v>1</v>
      </c>
    </row>
    <row r="960" spans="1:22" s="191" customFormat="1" ht="15">
      <c r="A960" s="236">
        <v>949</v>
      </c>
      <c r="B960" s="244">
        <v>46129</v>
      </c>
      <c r="C960" s="245" t="s">
        <v>261</v>
      </c>
      <c r="D960" s="246" t="s">
        <v>1202</v>
      </c>
      <c r="E960" s="247"/>
      <c r="F960" s="247">
        <v>1</v>
      </c>
      <c r="G960" s="248"/>
      <c r="H960" s="247"/>
      <c r="I960" s="244" t="s">
        <v>269</v>
      </c>
      <c r="J960" s="249" t="s">
        <v>21</v>
      </c>
      <c r="K960" s="249" t="s">
        <v>25</v>
      </c>
      <c r="L960" s="250">
        <f t="shared" si="59"/>
        <v>1</v>
      </c>
      <c r="M960" s="237">
        <f t="array" ref="M960">INDEX('BKTT T4.26'!$N$12:$N$55,MATCH(V960,'BKTT T4.26'!$A$12:$A$55,0),0)</f>
        <v>681050</v>
      </c>
      <c r="N960" s="162">
        <f t="shared" si="62"/>
        <v>681050</v>
      </c>
      <c r="O960" s="238" t="s">
        <v>264</v>
      </c>
      <c r="P960" s="251" t="s">
        <v>1448</v>
      </c>
      <c r="R960" s="191" t="str">
        <f t="shared" si="60"/>
        <v>Cước vận chuyển Container hàng 40' tuyến đường PAN HA - HẢI AN,. BKS: 15H07644</v>
      </c>
      <c r="S960" s="191" t="str">
        <f t="shared" si="61"/>
        <v xml:space="preserve"> hàng 40' </v>
      </c>
      <c r="V960" s="191">
        <v>2</v>
      </c>
    </row>
    <row r="961" spans="1:22" s="191" customFormat="1" ht="15">
      <c r="A961" s="236">
        <v>950</v>
      </c>
      <c r="B961" s="244">
        <v>46128</v>
      </c>
      <c r="C961" s="245" t="s">
        <v>261</v>
      </c>
      <c r="D961" s="246" t="s">
        <v>1203</v>
      </c>
      <c r="E961" s="247"/>
      <c r="F961" s="247"/>
      <c r="G961" s="248"/>
      <c r="H961" s="247">
        <v>1</v>
      </c>
      <c r="I961" s="244" t="s">
        <v>363</v>
      </c>
      <c r="J961" s="249" t="s">
        <v>56</v>
      </c>
      <c r="K961" s="249" t="s">
        <v>21</v>
      </c>
      <c r="L961" s="250">
        <f t="shared" si="59"/>
        <v>1</v>
      </c>
      <c r="M961" s="237">
        <f t="array" ref="M961">INDEX('BKTT T4.26'!$N$12:$N$55,MATCH(V961,'BKTT T4.26'!$A$12:$A$55,0),0)</f>
        <v>1002400</v>
      </c>
      <c r="N961" s="162">
        <f t="shared" si="62"/>
        <v>1002400</v>
      </c>
      <c r="O961" s="238" t="s">
        <v>267</v>
      </c>
      <c r="P961" s="251" t="s">
        <v>1448</v>
      </c>
      <c r="R961" s="191" t="str">
        <f t="shared" si="60"/>
        <v>Cước vận chuyển Container vỏ tuyến đường HATECO - PAN HA. BKS: 15H20645</v>
      </c>
      <c r="S961" s="191" t="str">
        <f t="shared" si="61"/>
        <v xml:space="preserve"> vỏ </v>
      </c>
      <c r="V961" s="191">
        <v>35</v>
      </c>
    </row>
    <row r="962" spans="1:22" s="191" customFormat="1" ht="15">
      <c r="A962" s="236">
        <v>951</v>
      </c>
      <c r="B962" s="244">
        <v>46128</v>
      </c>
      <c r="C962" s="245" t="s">
        <v>261</v>
      </c>
      <c r="D962" s="246" t="s">
        <v>1204</v>
      </c>
      <c r="E962" s="247"/>
      <c r="F962" s="247"/>
      <c r="G962" s="248"/>
      <c r="H962" s="247">
        <v>1</v>
      </c>
      <c r="I962" s="244" t="s">
        <v>363</v>
      </c>
      <c r="J962" s="249" t="s">
        <v>56</v>
      </c>
      <c r="K962" s="249" t="s">
        <v>21</v>
      </c>
      <c r="L962" s="250">
        <f t="shared" si="59"/>
        <v>1</v>
      </c>
      <c r="M962" s="237">
        <f t="array" ref="M962">INDEX('BKTT T4.26'!$N$12:$N$55,MATCH(V962,'BKTT T4.26'!$A$12:$A$55,0),0)</f>
        <v>1002400</v>
      </c>
      <c r="N962" s="162">
        <f t="shared" si="62"/>
        <v>1002400</v>
      </c>
      <c r="O962" s="238" t="s">
        <v>267</v>
      </c>
      <c r="P962" s="251" t="s">
        <v>1448</v>
      </c>
      <c r="R962" s="191" t="str">
        <f t="shared" si="60"/>
        <v>Cước vận chuyển Container vỏ tuyến đường HATECO - PAN HA. BKS: 15H20645</v>
      </c>
      <c r="S962" s="191" t="str">
        <f t="shared" si="61"/>
        <v xml:space="preserve"> vỏ </v>
      </c>
      <c r="V962" s="191">
        <v>35</v>
      </c>
    </row>
    <row r="963" spans="1:22" s="191" customFormat="1" ht="15">
      <c r="A963" s="236">
        <v>952</v>
      </c>
      <c r="B963" s="244">
        <v>46128</v>
      </c>
      <c r="C963" s="245" t="s">
        <v>261</v>
      </c>
      <c r="D963" s="246" t="s">
        <v>1205</v>
      </c>
      <c r="E963" s="247"/>
      <c r="F963" s="247"/>
      <c r="G963" s="248"/>
      <c r="H963" s="247">
        <v>1</v>
      </c>
      <c r="I963" s="244" t="s">
        <v>363</v>
      </c>
      <c r="J963" s="249" t="s">
        <v>56</v>
      </c>
      <c r="K963" s="249" t="s">
        <v>21</v>
      </c>
      <c r="L963" s="250">
        <f t="shared" si="59"/>
        <v>1</v>
      </c>
      <c r="M963" s="237">
        <f t="array" ref="M963">INDEX('BKTT T4.26'!$N$12:$N$55,MATCH(V963,'BKTT T4.26'!$A$12:$A$55,0),0)</f>
        <v>1002400</v>
      </c>
      <c r="N963" s="162">
        <f t="shared" si="62"/>
        <v>1002400</v>
      </c>
      <c r="O963" s="238" t="s">
        <v>267</v>
      </c>
      <c r="P963" s="251" t="s">
        <v>1448</v>
      </c>
      <c r="R963" s="191" t="str">
        <f t="shared" si="60"/>
        <v>Cước vận chuyển Container vỏ tuyến đường HATECO - PAN HA. BKS: 15H20645</v>
      </c>
      <c r="S963" s="191" t="str">
        <f t="shared" si="61"/>
        <v xml:space="preserve"> vỏ </v>
      </c>
      <c r="V963" s="191">
        <v>35</v>
      </c>
    </row>
    <row r="964" spans="1:22" s="191" customFormat="1" ht="15">
      <c r="A964" s="236">
        <v>953</v>
      </c>
      <c r="B964" s="244">
        <v>46128</v>
      </c>
      <c r="C964" s="245" t="s">
        <v>261</v>
      </c>
      <c r="D964" s="246" t="s">
        <v>1206</v>
      </c>
      <c r="E964" s="247"/>
      <c r="F964" s="247"/>
      <c r="G964" s="248"/>
      <c r="H964" s="247">
        <v>1</v>
      </c>
      <c r="I964" s="244" t="s">
        <v>363</v>
      </c>
      <c r="J964" s="249" t="s">
        <v>56</v>
      </c>
      <c r="K964" s="249" t="s">
        <v>21</v>
      </c>
      <c r="L964" s="250">
        <f t="shared" si="59"/>
        <v>1</v>
      </c>
      <c r="M964" s="237">
        <f t="array" ref="M964">INDEX('BKTT T4.26'!$N$12:$N$55,MATCH(V964,'BKTT T4.26'!$A$12:$A$55,0),0)</f>
        <v>1002400</v>
      </c>
      <c r="N964" s="162">
        <f t="shared" si="62"/>
        <v>1002400</v>
      </c>
      <c r="O964" s="238" t="s">
        <v>267</v>
      </c>
      <c r="P964" s="251" t="s">
        <v>1448</v>
      </c>
      <c r="R964" s="191" t="str">
        <f t="shared" si="60"/>
        <v>Cước vận chuyển Container vỏ tuyến đường HATECO - PAN HA. BKS: 15H20645</v>
      </c>
      <c r="S964" s="191" t="str">
        <f t="shared" si="61"/>
        <v xml:space="preserve"> vỏ </v>
      </c>
      <c r="V964" s="191">
        <v>35</v>
      </c>
    </row>
    <row r="965" spans="1:22" s="191" customFormat="1" ht="15">
      <c r="A965" s="236">
        <v>954</v>
      </c>
      <c r="B965" s="244">
        <v>46129</v>
      </c>
      <c r="C965" s="245" t="s">
        <v>261</v>
      </c>
      <c r="D965" s="246" t="s">
        <v>1207</v>
      </c>
      <c r="E965" s="254"/>
      <c r="F965" s="247">
        <v>1</v>
      </c>
      <c r="G965" s="254"/>
      <c r="H965" s="254"/>
      <c r="I965" s="249" t="s">
        <v>274</v>
      </c>
      <c r="J965" s="249" t="s">
        <v>21</v>
      </c>
      <c r="K965" s="249" t="s">
        <v>25</v>
      </c>
      <c r="L965" s="250">
        <f t="shared" si="59"/>
        <v>1</v>
      </c>
      <c r="M965" s="237">
        <f t="array" ref="M965">INDEX('BKTT T4.26'!$N$12:$N$55,MATCH(V965,'BKTT T4.26'!$A$12:$A$55,0),0)</f>
        <v>681050</v>
      </c>
      <c r="N965" s="162">
        <f t="shared" si="62"/>
        <v>681050</v>
      </c>
      <c r="O965" s="238" t="s">
        <v>264</v>
      </c>
      <c r="P965" s="251" t="s">
        <v>98</v>
      </c>
      <c r="R965" s="191" t="str">
        <f t="shared" si="60"/>
        <v>Cước vận chuyển Container hàng 40' tuyến đường PAN HA - HẢI AN,. BKS: 15H12925</v>
      </c>
      <c r="S965" s="191" t="str">
        <f t="shared" si="61"/>
        <v xml:space="preserve"> hàng 40' </v>
      </c>
      <c r="V965" s="191">
        <v>2</v>
      </c>
    </row>
    <row r="966" spans="1:22" s="191" customFormat="1" ht="15">
      <c r="A966" s="236">
        <v>955</v>
      </c>
      <c r="B966" s="244">
        <v>46129</v>
      </c>
      <c r="C966" s="245" t="s">
        <v>261</v>
      </c>
      <c r="D966" s="246" t="s">
        <v>1208</v>
      </c>
      <c r="E966" s="247">
        <v>1</v>
      </c>
      <c r="F966" s="247"/>
      <c r="G966" s="248"/>
      <c r="H966" s="247"/>
      <c r="I966" s="244" t="s">
        <v>369</v>
      </c>
      <c r="J966" s="249" t="s">
        <v>21</v>
      </c>
      <c r="K966" s="249" t="s">
        <v>22</v>
      </c>
      <c r="L966" s="250">
        <f t="shared" si="59"/>
        <v>1</v>
      </c>
      <c r="M966" s="237">
        <f t="array" ref="M966">INDEX('BKTT T4.26'!$N$12:$N$55,MATCH(V966,'BKTT T4.26'!$A$12:$A$55,0),0)</f>
        <v>654871</v>
      </c>
      <c r="N966" s="162">
        <f t="shared" si="62"/>
        <v>654871</v>
      </c>
      <c r="O966" s="238" t="s">
        <v>264</v>
      </c>
      <c r="P966" s="251" t="s">
        <v>1448</v>
      </c>
      <c r="R966" s="191" t="str">
        <f t="shared" si="60"/>
        <v>Cước vận chuyển Container hàng 20' tuyến đường PAN HA - HẢI AN. BKS: 15C15033</v>
      </c>
      <c r="S966" s="191" t="str">
        <f t="shared" si="61"/>
        <v xml:space="preserve"> hàng 20' </v>
      </c>
      <c r="V966" s="191">
        <v>1</v>
      </c>
    </row>
    <row r="967" spans="1:22" s="191" customFormat="1" ht="15">
      <c r="A967" s="236">
        <v>956</v>
      </c>
      <c r="B967" s="244">
        <v>46129</v>
      </c>
      <c r="C967" s="245" t="s">
        <v>261</v>
      </c>
      <c r="D967" s="246" t="s">
        <v>479</v>
      </c>
      <c r="E967" s="247">
        <v>1</v>
      </c>
      <c r="F967" s="247"/>
      <c r="G967" s="248"/>
      <c r="H967" s="247"/>
      <c r="I967" s="244" t="s">
        <v>369</v>
      </c>
      <c r="J967" s="249" t="s">
        <v>21</v>
      </c>
      <c r="K967" s="249" t="s">
        <v>22</v>
      </c>
      <c r="L967" s="250">
        <f t="shared" si="59"/>
        <v>1</v>
      </c>
      <c r="M967" s="237">
        <f t="array" ref="M967">INDEX('BKTT T4.26'!$N$12:$N$55,MATCH(V967,'BKTT T4.26'!$A$12:$A$55,0),0)</f>
        <v>654871</v>
      </c>
      <c r="N967" s="162">
        <f t="shared" si="62"/>
        <v>654871</v>
      </c>
      <c r="O967" s="238" t="s">
        <v>264</v>
      </c>
      <c r="P967" s="251" t="s">
        <v>1448</v>
      </c>
      <c r="R967" s="191" t="str">
        <f t="shared" si="60"/>
        <v>Cước vận chuyển Container hàng 20' tuyến đường PAN HA - HẢI AN. BKS: 15C15033</v>
      </c>
      <c r="S967" s="191" t="str">
        <f t="shared" si="61"/>
        <v xml:space="preserve"> hàng 20' </v>
      </c>
      <c r="V967" s="191">
        <v>1</v>
      </c>
    </row>
    <row r="968" spans="1:22" s="191" customFormat="1" ht="15">
      <c r="A968" s="236">
        <v>957</v>
      </c>
      <c r="B968" s="244">
        <v>46130</v>
      </c>
      <c r="C968" s="245" t="s">
        <v>261</v>
      </c>
      <c r="D968" s="246" t="s">
        <v>1209</v>
      </c>
      <c r="E968" s="247"/>
      <c r="F968" s="247"/>
      <c r="G968" s="248"/>
      <c r="H968" s="247">
        <v>1</v>
      </c>
      <c r="I968" s="244" t="s">
        <v>279</v>
      </c>
      <c r="J968" s="249" t="s">
        <v>21</v>
      </c>
      <c r="K968" s="249" t="s">
        <v>27</v>
      </c>
      <c r="L968" s="250">
        <f t="shared" ref="L968:L1031" si="63">E968+F968+G968+H968</f>
        <v>1</v>
      </c>
      <c r="M968" s="237">
        <f t="array" ref="M968">INDEX('BKTT T4.26'!$N$12:$N$55,MATCH(V968,'BKTT T4.26'!$A$12:$A$55,0),0)</f>
        <v>628690</v>
      </c>
      <c r="N968" s="162">
        <f t="shared" si="62"/>
        <v>628690</v>
      </c>
      <c r="O968" s="238" t="s">
        <v>264</v>
      </c>
      <c r="P968" s="251" t="s">
        <v>1448</v>
      </c>
      <c r="R968" s="191" t="str">
        <f t="shared" ref="R968:R1031" si="64">$R$10&amp;S968&amp;$R$9&amp;J968&amp;$S$10&amp;K968&amp;$R$8&amp;I968</f>
        <v>Cước vận chuyển Container vỏ tuyến đường PAN HA - HẢI AN.. BKS: 15H07524</v>
      </c>
      <c r="S968" s="191" t="str">
        <f t="shared" ref="S968:S1031" si="65">IF(E968=1," hàng 20' ",IF(F968=1," hàng 40' "," vỏ "))</f>
        <v xml:space="preserve"> vỏ </v>
      </c>
      <c r="V968" s="191">
        <v>3</v>
      </c>
    </row>
    <row r="969" spans="1:22" s="191" customFormat="1" ht="15">
      <c r="A969" s="236">
        <v>958</v>
      </c>
      <c r="B969" s="244">
        <v>46130</v>
      </c>
      <c r="C969" s="245" t="s">
        <v>261</v>
      </c>
      <c r="D969" s="246" t="s">
        <v>1210</v>
      </c>
      <c r="E969" s="247"/>
      <c r="F969" s="247"/>
      <c r="G969" s="248"/>
      <c r="H969" s="247">
        <v>1</v>
      </c>
      <c r="I969" s="244" t="s">
        <v>279</v>
      </c>
      <c r="J969" s="249" t="s">
        <v>21</v>
      </c>
      <c r="K969" s="249" t="s">
        <v>27</v>
      </c>
      <c r="L969" s="250">
        <f t="shared" si="63"/>
        <v>1</v>
      </c>
      <c r="M969" s="237">
        <f t="array" ref="M969">INDEX('BKTT T4.26'!$N$12:$N$55,MATCH(V969,'BKTT T4.26'!$A$12:$A$55,0),0)</f>
        <v>628690</v>
      </c>
      <c r="N969" s="162">
        <f t="shared" si="62"/>
        <v>628690</v>
      </c>
      <c r="O969" s="238" t="s">
        <v>264</v>
      </c>
      <c r="P969" s="251" t="s">
        <v>1448</v>
      </c>
      <c r="R969" s="191" t="str">
        <f t="shared" si="64"/>
        <v>Cước vận chuyển Container vỏ tuyến đường PAN HA - HẢI AN.. BKS: 15H07524</v>
      </c>
      <c r="S969" s="191" t="str">
        <f t="shared" si="65"/>
        <v xml:space="preserve"> vỏ </v>
      </c>
      <c r="V969" s="191">
        <v>3</v>
      </c>
    </row>
    <row r="970" spans="1:22" s="191" customFormat="1" ht="15">
      <c r="A970" s="236">
        <v>959</v>
      </c>
      <c r="B970" s="244">
        <v>46130</v>
      </c>
      <c r="C970" s="245" t="s">
        <v>261</v>
      </c>
      <c r="D970" s="246" t="s">
        <v>1211</v>
      </c>
      <c r="E970" s="254"/>
      <c r="F970" s="254"/>
      <c r="G970" s="254"/>
      <c r="H970" s="254">
        <v>1</v>
      </c>
      <c r="I970" s="244" t="s">
        <v>279</v>
      </c>
      <c r="J970" s="249" t="s">
        <v>21</v>
      </c>
      <c r="K970" s="249" t="s">
        <v>27</v>
      </c>
      <c r="L970" s="250">
        <f t="shared" si="63"/>
        <v>1</v>
      </c>
      <c r="M970" s="237">
        <f t="array" ref="M970">INDEX('BKTT T4.26'!$N$12:$N$55,MATCH(V970,'BKTT T4.26'!$A$12:$A$55,0),0)</f>
        <v>628690</v>
      </c>
      <c r="N970" s="162">
        <f t="shared" si="62"/>
        <v>628690</v>
      </c>
      <c r="O970" s="238" t="s">
        <v>264</v>
      </c>
      <c r="P970" s="251" t="s">
        <v>1448</v>
      </c>
      <c r="R970" s="191" t="str">
        <f t="shared" si="64"/>
        <v>Cước vận chuyển Container vỏ tuyến đường PAN HA - HẢI AN.. BKS: 15H07524</v>
      </c>
      <c r="S970" s="191" t="str">
        <f t="shared" si="65"/>
        <v xml:space="preserve"> vỏ </v>
      </c>
      <c r="V970" s="191">
        <v>3</v>
      </c>
    </row>
    <row r="971" spans="1:22" s="191" customFormat="1" ht="15">
      <c r="A971" s="236">
        <v>960</v>
      </c>
      <c r="B971" s="244">
        <v>46130</v>
      </c>
      <c r="C971" s="245" t="s">
        <v>261</v>
      </c>
      <c r="D971" s="246" t="s">
        <v>1212</v>
      </c>
      <c r="E971" s="254"/>
      <c r="F971" s="254"/>
      <c r="G971" s="254"/>
      <c r="H971" s="254">
        <v>1</v>
      </c>
      <c r="I971" s="244" t="s">
        <v>279</v>
      </c>
      <c r="J971" s="249" t="s">
        <v>21</v>
      </c>
      <c r="K971" s="249" t="s">
        <v>27</v>
      </c>
      <c r="L971" s="250">
        <f t="shared" si="63"/>
        <v>1</v>
      </c>
      <c r="M971" s="237">
        <f t="array" ref="M971">INDEX('BKTT T4.26'!$N$12:$N$55,MATCH(V971,'BKTT T4.26'!$A$12:$A$55,0),0)</f>
        <v>628690</v>
      </c>
      <c r="N971" s="162">
        <f t="shared" si="62"/>
        <v>628690</v>
      </c>
      <c r="O971" s="238" t="s">
        <v>264</v>
      </c>
      <c r="P971" s="251" t="s">
        <v>1448</v>
      </c>
      <c r="R971" s="191" t="str">
        <f t="shared" si="64"/>
        <v>Cước vận chuyển Container vỏ tuyến đường PAN HA - HẢI AN.. BKS: 15H07524</v>
      </c>
      <c r="S971" s="191" t="str">
        <f t="shared" si="65"/>
        <v xml:space="preserve"> vỏ </v>
      </c>
      <c r="V971" s="191">
        <v>3</v>
      </c>
    </row>
    <row r="972" spans="1:22" s="191" customFormat="1" ht="15">
      <c r="A972" s="236">
        <v>961</v>
      </c>
      <c r="B972" s="244">
        <v>46130</v>
      </c>
      <c r="C972" s="245" t="s">
        <v>261</v>
      </c>
      <c r="D972" s="246" t="s">
        <v>1213</v>
      </c>
      <c r="E972" s="247"/>
      <c r="F972" s="247"/>
      <c r="G972" s="248"/>
      <c r="H972" s="247">
        <v>1</v>
      </c>
      <c r="I972" s="244" t="s">
        <v>279</v>
      </c>
      <c r="J972" s="249" t="s">
        <v>21</v>
      </c>
      <c r="K972" s="249" t="s">
        <v>27</v>
      </c>
      <c r="L972" s="250">
        <f t="shared" si="63"/>
        <v>1</v>
      </c>
      <c r="M972" s="237">
        <f t="array" ref="M972">INDEX('BKTT T4.26'!$N$12:$N$55,MATCH(V972,'BKTT T4.26'!$A$12:$A$55,0),0)</f>
        <v>628690</v>
      </c>
      <c r="N972" s="162">
        <f t="shared" si="62"/>
        <v>628690</v>
      </c>
      <c r="O972" s="238" t="s">
        <v>264</v>
      </c>
      <c r="P972" s="251" t="s">
        <v>1448</v>
      </c>
      <c r="R972" s="191" t="str">
        <f t="shared" si="64"/>
        <v>Cước vận chuyển Container vỏ tuyến đường PAN HA - HẢI AN.. BKS: 15H07524</v>
      </c>
      <c r="S972" s="191" t="str">
        <f t="shared" si="65"/>
        <v xml:space="preserve"> vỏ </v>
      </c>
      <c r="V972" s="191">
        <v>3</v>
      </c>
    </row>
    <row r="973" spans="1:22" s="191" customFormat="1" ht="15">
      <c r="A973" s="236">
        <v>962</v>
      </c>
      <c r="B973" s="244">
        <v>46130</v>
      </c>
      <c r="C973" s="245" t="s">
        <v>261</v>
      </c>
      <c r="D973" s="246" t="s">
        <v>1214</v>
      </c>
      <c r="E973" s="247"/>
      <c r="F973" s="247"/>
      <c r="G973" s="248"/>
      <c r="H973" s="247">
        <v>1</v>
      </c>
      <c r="I973" s="244" t="s">
        <v>279</v>
      </c>
      <c r="J973" s="249" t="s">
        <v>21</v>
      </c>
      <c r="K973" s="249" t="s">
        <v>27</v>
      </c>
      <c r="L973" s="250">
        <f t="shared" si="63"/>
        <v>1</v>
      </c>
      <c r="M973" s="237">
        <f t="array" ref="M973">INDEX('BKTT T4.26'!$N$12:$N$55,MATCH(V973,'BKTT T4.26'!$A$12:$A$55,0),0)</f>
        <v>628690</v>
      </c>
      <c r="N973" s="162">
        <f t="shared" si="62"/>
        <v>628690</v>
      </c>
      <c r="O973" s="238" t="s">
        <v>264</v>
      </c>
      <c r="P973" s="251" t="s">
        <v>1448</v>
      </c>
      <c r="R973" s="191" t="str">
        <f t="shared" si="64"/>
        <v>Cước vận chuyển Container vỏ tuyến đường PAN HA - HẢI AN.. BKS: 15H07524</v>
      </c>
      <c r="S973" s="191" t="str">
        <f t="shared" si="65"/>
        <v xml:space="preserve"> vỏ </v>
      </c>
      <c r="V973" s="191">
        <v>3</v>
      </c>
    </row>
    <row r="974" spans="1:22" s="191" customFormat="1" ht="15">
      <c r="A974" s="236">
        <v>963</v>
      </c>
      <c r="B974" s="244">
        <v>46130</v>
      </c>
      <c r="C974" s="245" t="s">
        <v>261</v>
      </c>
      <c r="D974" s="246" t="s">
        <v>1215</v>
      </c>
      <c r="E974" s="254"/>
      <c r="F974" s="254"/>
      <c r="G974" s="254"/>
      <c r="H974" s="254">
        <v>1</v>
      </c>
      <c r="I974" s="244" t="s">
        <v>279</v>
      </c>
      <c r="J974" s="249" t="s">
        <v>21</v>
      </c>
      <c r="K974" s="249" t="s">
        <v>27</v>
      </c>
      <c r="L974" s="250">
        <f t="shared" si="63"/>
        <v>1</v>
      </c>
      <c r="M974" s="237">
        <f t="array" ref="M974">INDEX('BKTT T4.26'!$N$12:$N$55,MATCH(V974,'BKTT T4.26'!$A$12:$A$55,0),0)</f>
        <v>628690</v>
      </c>
      <c r="N974" s="162">
        <f t="shared" si="62"/>
        <v>628690</v>
      </c>
      <c r="O974" s="238" t="s">
        <v>264</v>
      </c>
      <c r="P974" s="251" t="s">
        <v>1448</v>
      </c>
      <c r="R974" s="191" t="str">
        <f t="shared" si="64"/>
        <v>Cước vận chuyển Container vỏ tuyến đường PAN HA - HẢI AN.. BKS: 15H07524</v>
      </c>
      <c r="S974" s="191" t="str">
        <f t="shared" si="65"/>
        <v xml:space="preserve"> vỏ </v>
      </c>
      <c r="V974" s="191">
        <v>3</v>
      </c>
    </row>
    <row r="975" spans="1:22" s="191" customFormat="1" ht="15">
      <c r="A975" s="236">
        <v>964</v>
      </c>
      <c r="B975" s="244">
        <v>46130</v>
      </c>
      <c r="C975" s="245" t="s">
        <v>261</v>
      </c>
      <c r="D975" s="246" t="s">
        <v>1216</v>
      </c>
      <c r="E975" s="254"/>
      <c r="F975" s="247">
        <v>1</v>
      </c>
      <c r="G975" s="254"/>
      <c r="H975" s="254"/>
      <c r="I975" s="244" t="s">
        <v>263</v>
      </c>
      <c r="J975" s="249" t="s">
        <v>21</v>
      </c>
      <c r="K975" s="249" t="s">
        <v>25</v>
      </c>
      <c r="L975" s="250">
        <f t="shared" si="63"/>
        <v>1</v>
      </c>
      <c r="M975" s="237">
        <f t="array" ref="M975">INDEX('BKTT T4.26'!$N$12:$N$55,MATCH(V975,'BKTT T4.26'!$A$12:$A$55,0),0)</f>
        <v>681050</v>
      </c>
      <c r="N975" s="162">
        <f t="shared" si="62"/>
        <v>681050</v>
      </c>
      <c r="O975" s="238" t="s">
        <v>264</v>
      </c>
      <c r="P975" s="251" t="s">
        <v>1448</v>
      </c>
      <c r="R975" s="191" t="str">
        <f t="shared" si="64"/>
        <v>Cước vận chuyển Container hàng 40' tuyến đường PAN HA - HẢI AN,. BKS: 15C17442</v>
      </c>
      <c r="S975" s="191" t="str">
        <f t="shared" si="65"/>
        <v xml:space="preserve"> hàng 40' </v>
      </c>
      <c r="V975" s="191">
        <v>2</v>
      </c>
    </row>
    <row r="976" spans="1:22" s="191" customFormat="1" ht="15">
      <c r="A976" s="236">
        <v>965</v>
      </c>
      <c r="B976" s="244">
        <v>46130</v>
      </c>
      <c r="C976" s="245" t="s">
        <v>261</v>
      </c>
      <c r="D976" s="246" t="s">
        <v>1217</v>
      </c>
      <c r="E976" s="254"/>
      <c r="F976" s="254"/>
      <c r="G976" s="254"/>
      <c r="H976" s="254">
        <v>1</v>
      </c>
      <c r="I976" s="244" t="s">
        <v>263</v>
      </c>
      <c r="J976" s="249" t="s">
        <v>21</v>
      </c>
      <c r="K976" s="249" t="s">
        <v>27</v>
      </c>
      <c r="L976" s="250">
        <f t="shared" si="63"/>
        <v>1</v>
      </c>
      <c r="M976" s="237">
        <f t="array" ref="M976">INDEX('BKTT T4.26'!$N$12:$N$55,MATCH(V976,'BKTT T4.26'!$A$12:$A$55,0),0)</f>
        <v>628690</v>
      </c>
      <c r="N976" s="162">
        <f t="shared" si="62"/>
        <v>628690</v>
      </c>
      <c r="O976" s="238" t="s">
        <v>264</v>
      </c>
      <c r="P976" s="251" t="s">
        <v>1448</v>
      </c>
      <c r="R976" s="191" t="str">
        <f t="shared" si="64"/>
        <v>Cước vận chuyển Container vỏ tuyến đường PAN HA - HẢI AN.. BKS: 15C17442</v>
      </c>
      <c r="S976" s="191" t="str">
        <f t="shared" si="65"/>
        <v xml:space="preserve"> vỏ </v>
      </c>
      <c r="V976" s="191">
        <v>3</v>
      </c>
    </row>
    <row r="977" spans="1:22" s="191" customFormat="1" ht="15">
      <c r="A977" s="236">
        <v>966</v>
      </c>
      <c r="B977" s="244">
        <v>46130</v>
      </c>
      <c r="C977" s="245" t="s">
        <v>261</v>
      </c>
      <c r="D977" s="246" t="s">
        <v>1218</v>
      </c>
      <c r="E977" s="254"/>
      <c r="F977" s="254"/>
      <c r="G977" s="254"/>
      <c r="H977" s="254">
        <v>1</v>
      </c>
      <c r="I977" s="244" t="s">
        <v>263</v>
      </c>
      <c r="J977" s="249" t="s">
        <v>21</v>
      </c>
      <c r="K977" s="249" t="s">
        <v>27</v>
      </c>
      <c r="L977" s="250">
        <f t="shared" si="63"/>
        <v>1</v>
      </c>
      <c r="M977" s="237">
        <f t="array" ref="M977">INDEX('BKTT T4.26'!$N$12:$N$55,MATCH(V977,'BKTT T4.26'!$A$12:$A$55,0),0)</f>
        <v>628690</v>
      </c>
      <c r="N977" s="162">
        <f t="shared" si="62"/>
        <v>628690</v>
      </c>
      <c r="O977" s="238" t="s">
        <v>264</v>
      </c>
      <c r="P977" s="251" t="s">
        <v>1448</v>
      </c>
      <c r="R977" s="191" t="str">
        <f t="shared" si="64"/>
        <v>Cước vận chuyển Container vỏ tuyến đường PAN HA - HẢI AN.. BKS: 15C17442</v>
      </c>
      <c r="S977" s="191" t="str">
        <f t="shared" si="65"/>
        <v xml:space="preserve"> vỏ </v>
      </c>
      <c r="V977" s="191">
        <v>3</v>
      </c>
    </row>
    <row r="978" spans="1:22" s="191" customFormat="1" ht="15">
      <c r="A978" s="236">
        <v>967</v>
      </c>
      <c r="B978" s="244">
        <v>46130</v>
      </c>
      <c r="C978" s="245" t="s">
        <v>261</v>
      </c>
      <c r="D978" s="246" t="s">
        <v>1219</v>
      </c>
      <c r="E978" s="247"/>
      <c r="F978" s="247"/>
      <c r="G978" s="248"/>
      <c r="H978" s="247">
        <v>1</v>
      </c>
      <c r="I978" s="249" t="s">
        <v>274</v>
      </c>
      <c r="J978" s="249" t="s">
        <v>21</v>
      </c>
      <c r="K978" s="249" t="s">
        <v>27</v>
      </c>
      <c r="L978" s="250">
        <f t="shared" si="63"/>
        <v>1</v>
      </c>
      <c r="M978" s="237">
        <f t="array" ref="M978">INDEX('BKTT T4.26'!$N$12:$N$55,MATCH(V978,'BKTT T4.26'!$A$12:$A$55,0),0)</f>
        <v>628690</v>
      </c>
      <c r="N978" s="162">
        <f t="shared" si="62"/>
        <v>628690</v>
      </c>
      <c r="O978" s="238" t="s">
        <v>264</v>
      </c>
      <c r="P978" s="251" t="s">
        <v>1448</v>
      </c>
      <c r="R978" s="191" t="str">
        <f t="shared" si="64"/>
        <v>Cước vận chuyển Container vỏ tuyến đường PAN HA - HẢI AN.. BKS: 15H12925</v>
      </c>
      <c r="S978" s="191" t="str">
        <f t="shared" si="65"/>
        <v xml:space="preserve"> vỏ </v>
      </c>
      <c r="V978" s="191">
        <v>3</v>
      </c>
    </row>
    <row r="979" spans="1:22" s="191" customFormat="1" ht="15">
      <c r="A979" s="236">
        <v>968</v>
      </c>
      <c r="B979" s="244">
        <v>46130</v>
      </c>
      <c r="C979" s="245" t="s">
        <v>261</v>
      </c>
      <c r="D979" s="246" t="s">
        <v>1220</v>
      </c>
      <c r="E979" s="247"/>
      <c r="F979" s="247"/>
      <c r="G979" s="248"/>
      <c r="H979" s="247">
        <v>1</v>
      </c>
      <c r="I979" s="249" t="s">
        <v>274</v>
      </c>
      <c r="J979" s="249" t="s">
        <v>21</v>
      </c>
      <c r="K979" s="249" t="s">
        <v>27</v>
      </c>
      <c r="L979" s="250">
        <f t="shared" si="63"/>
        <v>1</v>
      </c>
      <c r="M979" s="237">
        <f t="array" ref="M979">INDEX('BKTT T4.26'!$N$12:$N$55,MATCH(V979,'BKTT T4.26'!$A$12:$A$55,0),0)</f>
        <v>628690</v>
      </c>
      <c r="N979" s="162">
        <f t="shared" si="62"/>
        <v>628690</v>
      </c>
      <c r="O979" s="238" t="s">
        <v>264</v>
      </c>
      <c r="P979" s="251" t="s">
        <v>1448</v>
      </c>
      <c r="R979" s="191" t="str">
        <f t="shared" si="64"/>
        <v>Cước vận chuyển Container vỏ tuyến đường PAN HA - HẢI AN.. BKS: 15H12925</v>
      </c>
      <c r="S979" s="191" t="str">
        <f t="shared" si="65"/>
        <v xml:space="preserve"> vỏ </v>
      </c>
      <c r="V979" s="191">
        <v>3</v>
      </c>
    </row>
    <row r="980" spans="1:22" s="191" customFormat="1" ht="15">
      <c r="A980" s="236">
        <v>969</v>
      </c>
      <c r="B980" s="244">
        <v>46130</v>
      </c>
      <c r="C980" s="245" t="s">
        <v>261</v>
      </c>
      <c r="D980" s="246" t="s">
        <v>1221</v>
      </c>
      <c r="E980" s="247"/>
      <c r="F980" s="247"/>
      <c r="G980" s="248"/>
      <c r="H980" s="247">
        <v>1</v>
      </c>
      <c r="I980" s="249" t="s">
        <v>274</v>
      </c>
      <c r="J980" s="249" t="s">
        <v>21</v>
      </c>
      <c r="K980" s="249" t="s">
        <v>27</v>
      </c>
      <c r="L980" s="250">
        <f t="shared" si="63"/>
        <v>1</v>
      </c>
      <c r="M980" s="237">
        <f t="array" ref="M980">INDEX('BKTT T4.26'!$N$12:$N$55,MATCH(V980,'BKTT T4.26'!$A$12:$A$55,0),0)</f>
        <v>628690</v>
      </c>
      <c r="N980" s="162">
        <f t="shared" si="62"/>
        <v>628690</v>
      </c>
      <c r="O980" s="238" t="s">
        <v>264</v>
      </c>
      <c r="P980" s="251" t="s">
        <v>1448</v>
      </c>
      <c r="R980" s="191" t="str">
        <f t="shared" si="64"/>
        <v>Cước vận chuyển Container vỏ tuyến đường PAN HA - HẢI AN.. BKS: 15H12925</v>
      </c>
      <c r="S980" s="191" t="str">
        <f t="shared" si="65"/>
        <v xml:space="preserve"> vỏ </v>
      </c>
      <c r="V980" s="191">
        <v>3</v>
      </c>
    </row>
    <row r="981" spans="1:22" s="191" customFormat="1" ht="15">
      <c r="A981" s="236">
        <v>970</v>
      </c>
      <c r="B981" s="244">
        <v>46130</v>
      </c>
      <c r="C981" s="245" t="s">
        <v>261</v>
      </c>
      <c r="D981" s="246" t="s">
        <v>1222</v>
      </c>
      <c r="E981" s="247"/>
      <c r="F981" s="247"/>
      <c r="G981" s="248"/>
      <c r="H981" s="247">
        <v>1</v>
      </c>
      <c r="I981" s="249" t="s">
        <v>274</v>
      </c>
      <c r="J981" s="249" t="s">
        <v>21</v>
      </c>
      <c r="K981" s="249" t="s">
        <v>27</v>
      </c>
      <c r="L981" s="250">
        <f t="shared" si="63"/>
        <v>1</v>
      </c>
      <c r="M981" s="237">
        <f t="array" ref="M981">INDEX('BKTT T4.26'!$N$12:$N$55,MATCH(V981,'BKTT T4.26'!$A$12:$A$55,0),0)</f>
        <v>628690</v>
      </c>
      <c r="N981" s="162">
        <f t="shared" si="62"/>
        <v>628690</v>
      </c>
      <c r="O981" s="238" t="s">
        <v>264</v>
      </c>
      <c r="P981" s="251" t="s">
        <v>1448</v>
      </c>
      <c r="R981" s="191" t="str">
        <f t="shared" si="64"/>
        <v>Cước vận chuyển Container vỏ tuyến đường PAN HA - HẢI AN.. BKS: 15H12925</v>
      </c>
      <c r="S981" s="191" t="str">
        <f t="shared" si="65"/>
        <v xml:space="preserve"> vỏ </v>
      </c>
      <c r="V981" s="191">
        <v>3</v>
      </c>
    </row>
    <row r="982" spans="1:22" s="191" customFormat="1" ht="15">
      <c r="A982" s="236">
        <v>971</v>
      </c>
      <c r="B982" s="244">
        <v>46130</v>
      </c>
      <c r="C982" s="245" t="s">
        <v>261</v>
      </c>
      <c r="D982" s="246" t="s">
        <v>1223</v>
      </c>
      <c r="E982" s="247"/>
      <c r="F982" s="247"/>
      <c r="G982" s="248"/>
      <c r="H982" s="247">
        <v>1</v>
      </c>
      <c r="I982" s="249" t="s">
        <v>274</v>
      </c>
      <c r="J982" s="249" t="s">
        <v>21</v>
      </c>
      <c r="K982" s="249" t="s">
        <v>27</v>
      </c>
      <c r="L982" s="250">
        <f t="shared" si="63"/>
        <v>1</v>
      </c>
      <c r="M982" s="237">
        <f t="array" ref="M982">INDEX('BKTT T4.26'!$N$12:$N$55,MATCH(V982,'BKTT T4.26'!$A$12:$A$55,0),0)</f>
        <v>628690</v>
      </c>
      <c r="N982" s="162">
        <f t="shared" si="62"/>
        <v>628690</v>
      </c>
      <c r="O982" s="238" t="s">
        <v>264</v>
      </c>
      <c r="P982" s="251" t="s">
        <v>1448</v>
      </c>
      <c r="R982" s="191" t="str">
        <f t="shared" si="64"/>
        <v>Cước vận chuyển Container vỏ tuyến đường PAN HA - HẢI AN.. BKS: 15H12925</v>
      </c>
      <c r="S982" s="191" t="str">
        <f t="shared" si="65"/>
        <v xml:space="preserve"> vỏ </v>
      </c>
      <c r="V982" s="191">
        <v>3</v>
      </c>
    </row>
    <row r="983" spans="1:22" s="191" customFormat="1" ht="15">
      <c r="A983" s="236">
        <v>972</v>
      </c>
      <c r="B983" s="244">
        <v>46130</v>
      </c>
      <c r="C983" s="245" t="s">
        <v>261</v>
      </c>
      <c r="D983" s="246" t="s">
        <v>1224</v>
      </c>
      <c r="E983" s="247"/>
      <c r="F983" s="247"/>
      <c r="G983" s="248"/>
      <c r="H983" s="247">
        <v>1</v>
      </c>
      <c r="I983" s="249" t="s">
        <v>274</v>
      </c>
      <c r="J983" s="249" t="s">
        <v>21</v>
      </c>
      <c r="K983" s="249" t="s">
        <v>27</v>
      </c>
      <c r="L983" s="250">
        <f t="shared" si="63"/>
        <v>1</v>
      </c>
      <c r="M983" s="237">
        <f t="array" ref="M983">INDEX('BKTT T4.26'!$N$12:$N$55,MATCH(V983,'BKTT T4.26'!$A$12:$A$55,0),0)</f>
        <v>628690</v>
      </c>
      <c r="N983" s="162">
        <f t="shared" si="62"/>
        <v>628690</v>
      </c>
      <c r="O983" s="238" t="s">
        <v>264</v>
      </c>
      <c r="P983" s="251" t="s">
        <v>1448</v>
      </c>
      <c r="R983" s="191" t="str">
        <f t="shared" si="64"/>
        <v>Cước vận chuyển Container vỏ tuyến đường PAN HA - HẢI AN.. BKS: 15H12925</v>
      </c>
      <c r="S983" s="191" t="str">
        <f t="shared" si="65"/>
        <v xml:space="preserve"> vỏ </v>
      </c>
      <c r="V983" s="191">
        <v>3</v>
      </c>
    </row>
    <row r="984" spans="1:22" s="191" customFormat="1" ht="15">
      <c r="A984" s="236">
        <v>973</v>
      </c>
      <c r="B984" s="244">
        <v>46130</v>
      </c>
      <c r="C984" s="245" t="s">
        <v>261</v>
      </c>
      <c r="D984" s="246" t="s">
        <v>1225</v>
      </c>
      <c r="E984" s="247"/>
      <c r="F984" s="247"/>
      <c r="G984" s="248"/>
      <c r="H984" s="247">
        <v>1</v>
      </c>
      <c r="I984" s="249" t="s">
        <v>274</v>
      </c>
      <c r="J984" s="249" t="s">
        <v>21</v>
      </c>
      <c r="K984" s="249" t="s">
        <v>27</v>
      </c>
      <c r="L984" s="250">
        <f t="shared" si="63"/>
        <v>1</v>
      </c>
      <c r="M984" s="237">
        <f t="array" ref="M984">INDEX('BKTT T4.26'!$N$12:$N$55,MATCH(V984,'BKTT T4.26'!$A$12:$A$55,0),0)</f>
        <v>628690</v>
      </c>
      <c r="N984" s="162">
        <f t="shared" si="62"/>
        <v>628690</v>
      </c>
      <c r="O984" s="238" t="s">
        <v>264</v>
      </c>
      <c r="P984" s="251" t="s">
        <v>1448</v>
      </c>
      <c r="R984" s="191" t="str">
        <f t="shared" si="64"/>
        <v>Cước vận chuyển Container vỏ tuyến đường PAN HA - HẢI AN.. BKS: 15H12925</v>
      </c>
      <c r="S984" s="191" t="str">
        <f t="shared" si="65"/>
        <v xml:space="preserve"> vỏ </v>
      </c>
      <c r="V984" s="191">
        <v>3</v>
      </c>
    </row>
    <row r="985" spans="1:22" s="191" customFormat="1" ht="15">
      <c r="A985" s="236">
        <v>974</v>
      </c>
      <c r="B985" s="244">
        <v>46130</v>
      </c>
      <c r="C985" s="245" t="s">
        <v>261</v>
      </c>
      <c r="D985" s="246" t="s">
        <v>1226</v>
      </c>
      <c r="E985" s="247"/>
      <c r="F985" s="247"/>
      <c r="G985" s="248"/>
      <c r="H985" s="247">
        <v>1</v>
      </c>
      <c r="I985" s="249" t="s">
        <v>274</v>
      </c>
      <c r="J985" s="249" t="s">
        <v>21</v>
      </c>
      <c r="K985" s="249" t="s">
        <v>27</v>
      </c>
      <c r="L985" s="250">
        <f t="shared" si="63"/>
        <v>1</v>
      </c>
      <c r="M985" s="237">
        <f t="array" ref="M985">INDEX('BKTT T4.26'!$N$12:$N$55,MATCH(V985,'BKTT T4.26'!$A$12:$A$55,0),0)</f>
        <v>628690</v>
      </c>
      <c r="N985" s="162">
        <f t="shared" si="62"/>
        <v>628690</v>
      </c>
      <c r="O985" s="238" t="s">
        <v>264</v>
      </c>
      <c r="P985" s="251" t="s">
        <v>1448</v>
      </c>
      <c r="R985" s="191" t="str">
        <f t="shared" si="64"/>
        <v>Cước vận chuyển Container vỏ tuyến đường PAN HA - HẢI AN.. BKS: 15H12925</v>
      </c>
      <c r="S985" s="191" t="str">
        <f t="shared" si="65"/>
        <v xml:space="preserve"> vỏ </v>
      </c>
      <c r="V985" s="191">
        <v>3</v>
      </c>
    </row>
    <row r="986" spans="1:22" s="191" customFormat="1" ht="15">
      <c r="A986" s="236">
        <v>975</v>
      </c>
      <c r="B986" s="244">
        <v>46130</v>
      </c>
      <c r="C986" s="245" t="s">
        <v>261</v>
      </c>
      <c r="D986" s="246" t="s">
        <v>1227</v>
      </c>
      <c r="E986" s="247"/>
      <c r="F986" s="247"/>
      <c r="G986" s="248"/>
      <c r="H986" s="247">
        <v>1</v>
      </c>
      <c r="I986" s="249" t="s">
        <v>274</v>
      </c>
      <c r="J986" s="249" t="s">
        <v>21</v>
      </c>
      <c r="K986" s="249" t="s">
        <v>27</v>
      </c>
      <c r="L986" s="250">
        <f t="shared" si="63"/>
        <v>1</v>
      </c>
      <c r="M986" s="237">
        <f t="array" ref="M986">INDEX('BKTT T4.26'!$N$12:$N$55,MATCH(V986,'BKTT T4.26'!$A$12:$A$55,0),0)</f>
        <v>628690</v>
      </c>
      <c r="N986" s="162">
        <f t="shared" ref="N986:N1049" si="66">L986*M986</f>
        <v>628690</v>
      </c>
      <c r="O986" s="238" t="s">
        <v>264</v>
      </c>
      <c r="P986" s="251" t="s">
        <v>1448</v>
      </c>
      <c r="R986" s="191" t="str">
        <f t="shared" si="64"/>
        <v>Cước vận chuyển Container vỏ tuyến đường PAN HA - HẢI AN.. BKS: 15H12925</v>
      </c>
      <c r="S986" s="191" t="str">
        <f t="shared" si="65"/>
        <v xml:space="preserve"> vỏ </v>
      </c>
      <c r="V986" s="191">
        <v>3</v>
      </c>
    </row>
    <row r="987" spans="1:22" s="191" customFormat="1" ht="15">
      <c r="A987" s="236">
        <v>976</v>
      </c>
      <c r="B987" s="244">
        <v>46130</v>
      </c>
      <c r="C987" s="245" t="s">
        <v>261</v>
      </c>
      <c r="D987" s="246" t="s">
        <v>1228</v>
      </c>
      <c r="E987" s="247">
        <v>1</v>
      </c>
      <c r="F987" s="247"/>
      <c r="G987" s="248"/>
      <c r="H987" s="247"/>
      <c r="I987" s="244" t="s">
        <v>472</v>
      </c>
      <c r="J987" s="249" t="s">
        <v>21</v>
      </c>
      <c r="K987" s="249" t="s">
        <v>22</v>
      </c>
      <c r="L987" s="250">
        <f t="shared" si="63"/>
        <v>1</v>
      </c>
      <c r="M987" s="237">
        <f t="array" ref="M987">INDEX('BKTT T4.26'!$N$12:$N$55,MATCH(V987,'BKTT T4.26'!$A$12:$A$55,0),0)</f>
        <v>654871</v>
      </c>
      <c r="N987" s="162">
        <f t="shared" si="66"/>
        <v>654871</v>
      </c>
      <c r="O987" s="238" t="s">
        <v>264</v>
      </c>
      <c r="P987" s="251" t="s">
        <v>1448</v>
      </c>
      <c r="R987" s="191" t="str">
        <f t="shared" si="64"/>
        <v>Cước vận chuyển Container hàng 20' tuyến đường PAN HA - HẢI AN. BKS: 15H08574</v>
      </c>
      <c r="S987" s="191" t="str">
        <f t="shared" si="65"/>
        <v xml:space="preserve"> hàng 20' </v>
      </c>
      <c r="V987" s="191">
        <v>1</v>
      </c>
    </row>
    <row r="988" spans="1:22" s="191" customFormat="1" ht="15">
      <c r="A988" s="236">
        <v>977</v>
      </c>
      <c r="B988" s="244">
        <v>46130</v>
      </c>
      <c r="C988" s="245" t="s">
        <v>261</v>
      </c>
      <c r="D988" s="246" t="s">
        <v>1229</v>
      </c>
      <c r="E988" s="254"/>
      <c r="F988" s="254"/>
      <c r="G988" s="254"/>
      <c r="H988" s="254">
        <v>1</v>
      </c>
      <c r="I988" s="244" t="s">
        <v>472</v>
      </c>
      <c r="J988" s="249" t="s">
        <v>21</v>
      </c>
      <c r="K988" s="249" t="s">
        <v>27</v>
      </c>
      <c r="L988" s="250">
        <f t="shared" si="63"/>
        <v>1</v>
      </c>
      <c r="M988" s="237">
        <f t="array" ref="M988">INDEX('BKTT T4.26'!$N$12:$N$55,MATCH(V988,'BKTT T4.26'!$A$12:$A$55,0),0)</f>
        <v>628690</v>
      </c>
      <c r="N988" s="162">
        <f t="shared" si="66"/>
        <v>628690</v>
      </c>
      <c r="O988" s="238" t="s">
        <v>264</v>
      </c>
      <c r="P988" s="251" t="s">
        <v>1448</v>
      </c>
      <c r="R988" s="191" t="str">
        <f t="shared" si="64"/>
        <v>Cước vận chuyển Container vỏ tuyến đường PAN HA - HẢI AN.. BKS: 15H08574</v>
      </c>
      <c r="S988" s="191" t="str">
        <f t="shared" si="65"/>
        <v xml:space="preserve"> vỏ </v>
      </c>
      <c r="V988" s="191">
        <v>3</v>
      </c>
    </row>
    <row r="989" spans="1:22" s="191" customFormat="1" ht="15">
      <c r="A989" s="236">
        <v>978</v>
      </c>
      <c r="B989" s="244">
        <v>46126</v>
      </c>
      <c r="C989" s="245" t="s">
        <v>261</v>
      </c>
      <c r="D989" s="246" t="s">
        <v>1230</v>
      </c>
      <c r="E989" s="254">
        <v>1</v>
      </c>
      <c r="F989" s="254"/>
      <c r="G989" s="254"/>
      <c r="H989" s="254"/>
      <c r="I989" s="249" t="s">
        <v>1492</v>
      </c>
      <c r="J989" s="249" t="s">
        <v>21</v>
      </c>
      <c r="K989" s="249" t="s">
        <v>31</v>
      </c>
      <c r="L989" s="250">
        <f t="shared" si="63"/>
        <v>1</v>
      </c>
      <c r="M989" s="237">
        <f t="array" ref="M989">INDEX('BKTT T4.26'!$N$12:$N$55,MATCH(V989,'BKTT T4.26'!$A$12:$A$55,0),0)</f>
        <v>454158</v>
      </c>
      <c r="N989" s="162">
        <f t="shared" si="66"/>
        <v>454158</v>
      </c>
      <c r="O989" s="238" t="s">
        <v>264</v>
      </c>
      <c r="P989" s="251" t="s">
        <v>1448</v>
      </c>
      <c r="R989" s="191" t="str">
        <f t="shared" si="64"/>
        <v>Cước vận chuyển Container hàng 20' tuyến đường PAN HA - NDV. BKS: 15C21728</v>
      </c>
      <c r="S989" s="191" t="str">
        <f t="shared" si="65"/>
        <v xml:space="preserve"> hàng 20' </v>
      </c>
      <c r="V989" s="191">
        <v>7</v>
      </c>
    </row>
    <row r="990" spans="1:22" s="191" customFormat="1" ht="15">
      <c r="A990" s="236">
        <v>979</v>
      </c>
      <c r="B990" s="244">
        <v>46126</v>
      </c>
      <c r="C990" s="245" t="s">
        <v>261</v>
      </c>
      <c r="D990" s="246" t="s">
        <v>1231</v>
      </c>
      <c r="E990" s="247">
        <v>1</v>
      </c>
      <c r="F990" s="247"/>
      <c r="G990" s="248"/>
      <c r="H990" s="247"/>
      <c r="I990" s="249" t="s">
        <v>1492</v>
      </c>
      <c r="J990" s="249" t="s">
        <v>21</v>
      </c>
      <c r="K990" s="249" t="s">
        <v>31</v>
      </c>
      <c r="L990" s="250">
        <f t="shared" si="63"/>
        <v>1</v>
      </c>
      <c r="M990" s="237">
        <f t="array" ref="M990">INDEX('BKTT T4.26'!$N$12:$N$55,MATCH(V990,'BKTT T4.26'!$A$12:$A$55,0),0)</f>
        <v>454158</v>
      </c>
      <c r="N990" s="162">
        <f t="shared" si="66"/>
        <v>454158</v>
      </c>
      <c r="O990" s="238" t="s">
        <v>264</v>
      </c>
      <c r="P990" s="251" t="s">
        <v>1448</v>
      </c>
      <c r="R990" s="191" t="str">
        <f t="shared" si="64"/>
        <v>Cước vận chuyển Container hàng 20' tuyến đường PAN HA - NDV. BKS: 15C21728</v>
      </c>
      <c r="S990" s="191" t="str">
        <f t="shared" si="65"/>
        <v xml:space="preserve"> hàng 20' </v>
      </c>
      <c r="V990" s="191">
        <v>7</v>
      </c>
    </row>
    <row r="991" spans="1:22" s="191" customFormat="1" ht="15">
      <c r="A991" s="236">
        <v>980</v>
      </c>
      <c r="B991" s="244">
        <v>46126</v>
      </c>
      <c r="C991" s="245" t="s">
        <v>261</v>
      </c>
      <c r="D991" s="246" t="s">
        <v>1232</v>
      </c>
      <c r="E991" s="247"/>
      <c r="F991" s="247"/>
      <c r="G991" s="248"/>
      <c r="H991" s="247">
        <v>1</v>
      </c>
      <c r="I991" s="249" t="s">
        <v>1492</v>
      </c>
      <c r="J991" s="249" t="s">
        <v>56</v>
      </c>
      <c r="K991" s="249" t="s">
        <v>21</v>
      </c>
      <c r="L991" s="250">
        <f t="shared" si="63"/>
        <v>1</v>
      </c>
      <c r="M991" s="237">
        <f t="array" ref="M991">INDEX('BKTT T4.26'!$N$12:$N$55,MATCH(V991,'BKTT T4.26'!$A$12:$A$55,0),0)</f>
        <v>1002400</v>
      </c>
      <c r="N991" s="162">
        <f t="shared" si="66"/>
        <v>1002400</v>
      </c>
      <c r="O991" s="238" t="s">
        <v>267</v>
      </c>
      <c r="P991" s="251" t="s">
        <v>1448</v>
      </c>
      <c r="R991" s="191" t="str">
        <f t="shared" si="64"/>
        <v>Cước vận chuyển Container vỏ tuyến đường HATECO - PAN HA. BKS: 15C21728</v>
      </c>
      <c r="S991" s="191" t="str">
        <f t="shared" si="65"/>
        <v xml:space="preserve"> vỏ </v>
      </c>
      <c r="V991" s="191">
        <v>35</v>
      </c>
    </row>
    <row r="992" spans="1:22" s="191" customFormat="1" ht="15">
      <c r="A992" s="236">
        <v>981</v>
      </c>
      <c r="B992" s="244">
        <v>46126</v>
      </c>
      <c r="C992" s="245" t="s">
        <v>261</v>
      </c>
      <c r="D992" s="246" t="s">
        <v>1233</v>
      </c>
      <c r="E992" s="247"/>
      <c r="F992" s="247"/>
      <c r="G992" s="248"/>
      <c r="H992" s="247">
        <v>1</v>
      </c>
      <c r="I992" s="249" t="s">
        <v>1492</v>
      </c>
      <c r="J992" s="249" t="s">
        <v>56</v>
      </c>
      <c r="K992" s="249" t="s">
        <v>21</v>
      </c>
      <c r="L992" s="250">
        <f t="shared" si="63"/>
        <v>1</v>
      </c>
      <c r="M992" s="237">
        <f t="array" ref="M992">INDEX('BKTT T4.26'!$N$12:$N$55,MATCH(V992,'BKTT T4.26'!$A$12:$A$55,0),0)</f>
        <v>1002400</v>
      </c>
      <c r="N992" s="162">
        <f t="shared" si="66"/>
        <v>1002400</v>
      </c>
      <c r="O992" s="238" t="s">
        <v>267</v>
      </c>
      <c r="P992" s="251" t="s">
        <v>1448</v>
      </c>
      <c r="R992" s="191" t="str">
        <f t="shared" si="64"/>
        <v>Cước vận chuyển Container vỏ tuyến đường HATECO - PAN HA. BKS: 15C21728</v>
      </c>
      <c r="S992" s="191" t="str">
        <f t="shared" si="65"/>
        <v xml:space="preserve"> vỏ </v>
      </c>
      <c r="V992" s="191">
        <v>35</v>
      </c>
    </row>
    <row r="993" spans="1:22" s="191" customFormat="1" ht="15">
      <c r="A993" s="236">
        <v>982</v>
      </c>
      <c r="B993" s="244">
        <v>46126</v>
      </c>
      <c r="C993" s="245" t="s">
        <v>261</v>
      </c>
      <c r="D993" s="246" t="s">
        <v>1234</v>
      </c>
      <c r="E993" s="247"/>
      <c r="F993" s="247"/>
      <c r="G993" s="248"/>
      <c r="H993" s="247">
        <v>1</v>
      </c>
      <c r="I993" s="249" t="s">
        <v>1492</v>
      </c>
      <c r="J993" s="249" t="s">
        <v>56</v>
      </c>
      <c r="K993" s="249" t="s">
        <v>21</v>
      </c>
      <c r="L993" s="250">
        <f t="shared" si="63"/>
        <v>1</v>
      </c>
      <c r="M993" s="237">
        <f t="array" ref="M993">INDEX('BKTT T4.26'!$N$12:$N$55,MATCH(V993,'BKTT T4.26'!$A$12:$A$55,0),0)</f>
        <v>1002400</v>
      </c>
      <c r="N993" s="162">
        <f t="shared" si="66"/>
        <v>1002400</v>
      </c>
      <c r="O993" s="238" t="s">
        <v>267</v>
      </c>
      <c r="P993" s="251" t="s">
        <v>1448</v>
      </c>
      <c r="R993" s="191" t="str">
        <f t="shared" si="64"/>
        <v>Cước vận chuyển Container vỏ tuyến đường HATECO - PAN HA. BKS: 15C21728</v>
      </c>
      <c r="S993" s="191" t="str">
        <f t="shared" si="65"/>
        <v xml:space="preserve"> vỏ </v>
      </c>
      <c r="V993" s="191">
        <v>35</v>
      </c>
    </row>
    <row r="994" spans="1:22" s="191" customFormat="1" ht="15">
      <c r="A994" s="236">
        <v>983</v>
      </c>
      <c r="B994" s="244">
        <v>46126</v>
      </c>
      <c r="C994" s="245" t="s">
        <v>261</v>
      </c>
      <c r="D994" s="246" t="s">
        <v>1235</v>
      </c>
      <c r="E994" s="254"/>
      <c r="F994" s="254"/>
      <c r="G994" s="254"/>
      <c r="H994" s="254">
        <v>1</v>
      </c>
      <c r="I994" s="249" t="s">
        <v>1492</v>
      </c>
      <c r="J994" s="249" t="s">
        <v>56</v>
      </c>
      <c r="K994" s="249" t="s">
        <v>21</v>
      </c>
      <c r="L994" s="250">
        <f t="shared" si="63"/>
        <v>1</v>
      </c>
      <c r="M994" s="237">
        <f t="array" ref="M994">INDEX('BKTT T4.26'!$N$12:$N$55,MATCH(V994,'BKTT T4.26'!$A$12:$A$55,0),0)</f>
        <v>1002400</v>
      </c>
      <c r="N994" s="162">
        <f t="shared" si="66"/>
        <v>1002400</v>
      </c>
      <c r="O994" s="238" t="s">
        <v>267</v>
      </c>
      <c r="P994" s="251" t="s">
        <v>1448</v>
      </c>
      <c r="R994" s="191" t="str">
        <f t="shared" si="64"/>
        <v>Cước vận chuyển Container vỏ tuyến đường HATECO - PAN HA. BKS: 15C21728</v>
      </c>
      <c r="S994" s="191" t="str">
        <f t="shared" si="65"/>
        <v xml:space="preserve"> vỏ </v>
      </c>
      <c r="V994" s="191">
        <v>35</v>
      </c>
    </row>
    <row r="995" spans="1:22" s="191" customFormat="1" ht="15">
      <c r="A995" s="236">
        <v>984</v>
      </c>
      <c r="B995" s="244">
        <v>46129</v>
      </c>
      <c r="C995" s="245" t="s">
        <v>261</v>
      </c>
      <c r="D995" s="246" t="s">
        <v>1236</v>
      </c>
      <c r="E995" s="254"/>
      <c r="F995" s="247">
        <v>1</v>
      </c>
      <c r="G995" s="254"/>
      <c r="H995" s="254"/>
      <c r="I995" s="244" t="s">
        <v>564</v>
      </c>
      <c r="J995" s="249" t="s">
        <v>21</v>
      </c>
      <c r="K995" s="249" t="s">
        <v>25</v>
      </c>
      <c r="L995" s="250">
        <f t="shared" si="63"/>
        <v>1</v>
      </c>
      <c r="M995" s="237">
        <f t="array" ref="M995">INDEX('BKTT T4.26'!$N$12:$N$55,MATCH(V995,'BKTT T4.26'!$A$12:$A$55,0),0)</f>
        <v>681050</v>
      </c>
      <c r="N995" s="162">
        <f t="shared" si="66"/>
        <v>681050</v>
      </c>
      <c r="O995" s="238" t="s">
        <v>264</v>
      </c>
      <c r="P995" s="251" t="s">
        <v>1448</v>
      </c>
      <c r="R995" s="191" t="str">
        <f t="shared" si="64"/>
        <v>Cước vận chuyển Container hàng 40' tuyến đường PAN HA - HẢI AN,. BKS: 15H06892</v>
      </c>
      <c r="S995" s="191" t="str">
        <f t="shared" si="65"/>
        <v xml:space="preserve"> hàng 40' </v>
      </c>
      <c r="V995" s="191">
        <v>2</v>
      </c>
    </row>
    <row r="996" spans="1:22" s="191" customFormat="1" ht="15">
      <c r="A996" s="236">
        <v>985</v>
      </c>
      <c r="B996" s="244">
        <v>46130</v>
      </c>
      <c r="C996" s="245" t="s">
        <v>261</v>
      </c>
      <c r="D996" s="246" t="s">
        <v>1237</v>
      </c>
      <c r="E996" s="254"/>
      <c r="F996" s="254"/>
      <c r="G996" s="254"/>
      <c r="H996" s="254">
        <v>1</v>
      </c>
      <c r="I996" s="244" t="s">
        <v>564</v>
      </c>
      <c r="J996" s="249" t="s">
        <v>21</v>
      </c>
      <c r="K996" s="249" t="s">
        <v>27</v>
      </c>
      <c r="L996" s="250">
        <f t="shared" si="63"/>
        <v>1</v>
      </c>
      <c r="M996" s="237">
        <f t="array" ref="M996">INDEX('BKTT T4.26'!$N$12:$N$55,MATCH(V996,'BKTT T4.26'!$A$12:$A$55,0),0)</f>
        <v>628690</v>
      </c>
      <c r="N996" s="162">
        <f t="shared" si="66"/>
        <v>628690</v>
      </c>
      <c r="O996" s="238" t="s">
        <v>264</v>
      </c>
      <c r="P996" s="251" t="s">
        <v>1448</v>
      </c>
      <c r="R996" s="191" t="str">
        <f t="shared" si="64"/>
        <v>Cước vận chuyển Container vỏ tuyến đường PAN HA - HẢI AN.. BKS: 15H06892</v>
      </c>
      <c r="S996" s="191" t="str">
        <f t="shared" si="65"/>
        <v xml:space="preserve"> vỏ </v>
      </c>
      <c r="V996" s="191">
        <v>3</v>
      </c>
    </row>
    <row r="997" spans="1:22" s="191" customFormat="1" ht="15">
      <c r="A997" s="236">
        <v>986</v>
      </c>
      <c r="B997" s="244">
        <v>46130</v>
      </c>
      <c r="C997" s="245" t="s">
        <v>261</v>
      </c>
      <c r="D997" s="246" t="s">
        <v>1238</v>
      </c>
      <c r="E997" s="254"/>
      <c r="F997" s="254"/>
      <c r="G997" s="248"/>
      <c r="H997" s="254">
        <v>1</v>
      </c>
      <c r="I997" s="244" t="s">
        <v>564</v>
      </c>
      <c r="J997" s="249" t="s">
        <v>21</v>
      </c>
      <c r="K997" s="249" t="s">
        <v>27</v>
      </c>
      <c r="L997" s="250">
        <f t="shared" si="63"/>
        <v>1</v>
      </c>
      <c r="M997" s="237">
        <f t="array" ref="M997">INDEX('BKTT T4.26'!$N$12:$N$55,MATCH(V997,'BKTT T4.26'!$A$12:$A$55,0),0)</f>
        <v>628690</v>
      </c>
      <c r="N997" s="162">
        <f t="shared" si="66"/>
        <v>628690</v>
      </c>
      <c r="O997" s="238" t="s">
        <v>264</v>
      </c>
      <c r="P997" s="251" t="s">
        <v>1448</v>
      </c>
      <c r="R997" s="191" t="str">
        <f t="shared" si="64"/>
        <v>Cước vận chuyển Container vỏ tuyến đường PAN HA - HẢI AN.. BKS: 15H06892</v>
      </c>
      <c r="S997" s="191" t="str">
        <f t="shared" si="65"/>
        <v xml:space="preserve"> vỏ </v>
      </c>
      <c r="V997" s="191">
        <v>3</v>
      </c>
    </row>
    <row r="998" spans="1:22" s="191" customFormat="1" ht="15">
      <c r="A998" s="236">
        <v>987</v>
      </c>
      <c r="B998" s="244">
        <v>46130</v>
      </c>
      <c r="C998" s="245" t="s">
        <v>261</v>
      </c>
      <c r="D998" s="246" t="s">
        <v>1239</v>
      </c>
      <c r="E998" s="254"/>
      <c r="F998" s="254"/>
      <c r="G998" s="248"/>
      <c r="H998" s="254">
        <v>1</v>
      </c>
      <c r="I998" s="244" t="s">
        <v>564</v>
      </c>
      <c r="J998" s="249" t="s">
        <v>21</v>
      </c>
      <c r="K998" s="249" t="s">
        <v>27</v>
      </c>
      <c r="L998" s="250">
        <f t="shared" si="63"/>
        <v>1</v>
      </c>
      <c r="M998" s="237">
        <f t="array" ref="M998">INDEX('BKTT T4.26'!$N$12:$N$55,MATCH(V998,'BKTT T4.26'!$A$12:$A$55,0),0)</f>
        <v>628690</v>
      </c>
      <c r="N998" s="162">
        <f t="shared" si="66"/>
        <v>628690</v>
      </c>
      <c r="O998" s="238" t="s">
        <v>264</v>
      </c>
      <c r="P998" s="251" t="s">
        <v>1448</v>
      </c>
      <c r="R998" s="191" t="str">
        <f t="shared" si="64"/>
        <v>Cước vận chuyển Container vỏ tuyến đường PAN HA - HẢI AN.. BKS: 15H06892</v>
      </c>
      <c r="S998" s="191" t="str">
        <f t="shared" si="65"/>
        <v xml:space="preserve"> vỏ </v>
      </c>
      <c r="V998" s="191">
        <v>3</v>
      </c>
    </row>
    <row r="999" spans="1:22" s="191" customFormat="1" ht="15">
      <c r="A999" s="236">
        <v>988</v>
      </c>
      <c r="B999" s="244">
        <v>46130</v>
      </c>
      <c r="C999" s="245" t="s">
        <v>261</v>
      </c>
      <c r="D999" s="284" t="s">
        <v>1240</v>
      </c>
      <c r="E999" s="254"/>
      <c r="F999" s="254"/>
      <c r="G999" s="248"/>
      <c r="H999" s="254">
        <v>1</v>
      </c>
      <c r="I999" s="244" t="s">
        <v>564</v>
      </c>
      <c r="J999" s="249" t="s">
        <v>21</v>
      </c>
      <c r="K999" s="249" t="s">
        <v>27</v>
      </c>
      <c r="L999" s="250">
        <f t="shared" si="63"/>
        <v>1</v>
      </c>
      <c r="M999" s="237">
        <f t="array" ref="M999">INDEX('BKTT T4.26'!$N$12:$N$55,MATCH(V999,'BKTT T4.26'!$A$12:$A$55,0),0)</f>
        <v>628690</v>
      </c>
      <c r="N999" s="162">
        <f t="shared" si="66"/>
        <v>628690</v>
      </c>
      <c r="O999" s="238" t="s">
        <v>264</v>
      </c>
      <c r="P999" s="251" t="s">
        <v>1448</v>
      </c>
      <c r="R999" s="191" t="str">
        <f t="shared" si="64"/>
        <v>Cước vận chuyển Container vỏ tuyến đường PAN HA - HẢI AN.. BKS: 15H06892</v>
      </c>
      <c r="S999" s="191" t="str">
        <f t="shared" si="65"/>
        <v xml:space="preserve"> vỏ </v>
      </c>
      <c r="V999" s="191">
        <v>3</v>
      </c>
    </row>
    <row r="1000" spans="1:22" s="191" customFormat="1" ht="15">
      <c r="A1000" s="236">
        <v>989</v>
      </c>
      <c r="B1000" s="244">
        <v>46130</v>
      </c>
      <c r="C1000" s="245" t="s">
        <v>261</v>
      </c>
      <c r="D1000" s="246" t="s">
        <v>1241</v>
      </c>
      <c r="E1000" s="254"/>
      <c r="F1000" s="254"/>
      <c r="G1000" s="248"/>
      <c r="H1000" s="254">
        <v>1</v>
      </c>
      <c r="I1000" s="244" t="s">
        <v>564</v>
      </c>
      <c r="J1000" s="249" t="s">
        <v>21</v>
      </c>
      <c r="K1000" s="249" t="s">
        <v>27</v>
      </c>
      <c r="L1000" s="250">
        <f t="shared" si="63"/>
        <v>1</v>
      </c>
      <c r="M1000" s="237">
        <f t="array" ref="M1000">INDEX('BKTT T4.26'!$N$12:$N$55,MATCH(V1000,'BKTT T4.26'!$A$12:$A$55,0),0)</f>
        <v>628690</v>
      </c>
      <c r="N1000" s="162">
        <f t="shared" si="66"/>
        <v>628690</v>
      </c>
      <c r="O1000" s="238" t="s">
        <v>264</v>
      </c>
      <c r="P1000" s="251" t="s">
        <v>1448</v>
      </c>
      <c r="R1000" s="191" t="str">
        <f t="shared" si="64"/>
        <v>Cước vận chuyển Container vỏ tuyến đường PAN HA - HẢI AN.. BKS: 15H06892</v>
      </c>
      <c r="S1000" s="191" t="str">
        <f t="shared" si="65"/>
        <v xml:space="preserve"> vỏ </v>
      </c>
      <c r="V1000" s="191">
        <v>3</v>
      </c>
    </row>
    <row r="1001" spans="1:22" s="191" customFormat="1" ht="15">
      <c r="A1001" s="236">
        <v>990</v>
      </c>
      <c r="B1001" s="244">
        <v>46128</v>
      </c>
      <c r="C1001" s="245" t="s">
        <v>261</v>
      </c>
      <c r="D1001" s="246" t="s">
        <v>1242</v>
      </c>
      <c r="E1001" s="247"/>
      <c r="F1001" s="247"/>
      <c r="G1001" s="248"/>
      <c r="H1001" s="247">
        <v>1</v>
      </c>
      <c r="I1001" s="244" t="s">
        <v>399</v>
      </c>
      <c r="J1001" s="249" t="s">
        <v>56</v>
      </c>
      <c r="K1001" s="249" t="s">
        <v>21</v>
      </c>
      <c r="L1001" s="250">
        <f t="shared" si="63"/>
        <v>1</v>
      </c>
      <c r="M1001" s="237">
        <f t="array" ref="M1001">INDEX('BKTT T4.26'!$N$12:$N$55,MATCH(V1001,'BKTT T4.26'!$A$12:$A$55,0),0)</f>
        <v>1002400</v>
      </c>
      <c r="N1001" s="162">
        <f t="shared" si="66"/>
        <v>1002400</v>
      </c>
      <c r="O1001" s="238" t="s">
        <v>267</v>
      </c>
      <c r="P1001" s="251" t="s">
        <v>1448</v>
      </c>
      <c r="R1001" s="191" t="str">
        <f t="shared" si="64"/>
        <v>Cước vận chuyển Container vỏ tuyến đường HATECO - PAN HA. BKS: 15H15378</v>
      </c>
      <c r="S1001" s="191" t="str">
        <f t="shared" si="65"/>
        <v xml:space="preserve"> vỏ </v>
      </c>
      <c r="V1001" s="191">
        <v>35</v>
      </c>
    </row>
    <row r="1002" spans="1:22" s="191" customFormat="1" ht="15">
      <c r="A1002" s="236">
        <v>991</v>
      </c>
      <c r="B1002" s="244">
        <v>46128</v>
      </c>
      <c r="C1002" s="245" t="s">
        <v>261</v>
      </c>
      <c r="D1002" s="246" t="s">
        <v>1243</v>
      </c>
      <c r="E1002" s="254"/>
      <c r="F1002" s="254"/>
      <c r="G1002" s="254"/>
      <c r="H1002" s="254">
        <v>1</v>
      </c>
      <c r="I1002" s="244" t="s">
        <v>399</v>
      </c>
      <c r="J1002" s="249" t="s">
        <v>56</v>
      </c>
      <c r="K1002" s="249" t="s">
        <v>21</v>
      </c>
      <c r="L1002" s="250">
        <f t="shared" si="63"/>
        <v>1</v>
      </c>
      <c r="M1002" s="237">
        <f t="array" ref="M1002">INDEX('BKTT T4.26'!$N$12:$N$55,MATCH(V1002,'BKTT T4.26'!$A$12:$A$55,0),0)</f>
        <v>1002400</v>
      </c>
      <c r="N1002" s="162">
        <f t="shared" si="66"/>
        <v>1002400</v>
      </c>
      <c r="O1002" s="238" t="s">
        <v>267</v>
      </c>
      <c r="P1002" s="251" t="s">
        <v>1448</v>
      </c>
      <c r="R1002" s="191" t="str">
        <f t="shared" si="64"/>
        <v>Cước vận chuyển Container vỏ tuyến đường HATECO - PAN HA. BKS: 15H15378</v>
      </c>
      <c r="S1002" s="191" t="str">
        <f t="shared" si="65"/>
        <v xml:space="preserve"> vỏ </v>
      </c>
      <c r="V1002" s="191">
        <v>35</v>
      </c>
    </row>
    <row r="1003" spans="1:22" s="191" customFormat="1" ht="15">
      <c r="A1003" s="236">
        <v>992</v>
      </c>
      <c r="B1003" s="244">
        <v>46128</v>
      </c>
      <c r="C1003" s="245" t="s">
        <v>261</v>
      </c>
      <c r="D1003" s="246" t="s">
        <v>1244</v>
      </c>
      <c r="E1003" s="247"/>
      <c r="F1003" s="247"/>
      <c r="G1003" s="248"/>
      <c r="H1003" s="247">
        <v>1</v>
      </c>
      <c r="I1003" s="244" t="s">
        <v>399</v>
      </c>
      <c r="J1003" s="249" t="s">
        <v>56</v>
      </c>
      <c r="K1003" s="249" t="s">
        <v>21</v>
      </c>
      <c r="L1003" s="250">
        <f t="shared" si="63"/>
        <v>1</v>
      </c>
      <c r="M1003" s="237">
        <f t="array" ref="M1003">INDEX('BKTT T4.26'!$N$12:$N$55,MATCH(V1003,'BKTT T4.26'!$A$12:$A$55,0),0)</f>
        <v>1002400</v>
      </c>
      <c r="N1003" s="162">
        <f t="shared" si="66"/>
        <v>1002400</v>
      </c>
      <c r="O1003" s="238" t="s">
        <v>267</v>
      </c>
      <c r="P1003" s="251" t="s">
        <v>1448</v>
      </c>
      <c r="R1003" s="191" t="str">
        <f t="shared" si="64"/>
        <v>Cước vận chuyển Container vỏ tuyến đường HATECO - PAN HA. BKS: 15H15378</v>
      </c>
      <c r="S1003" s="191" t="str">
        <f t="shared" si="65"/>
        <v xml:space="preserve"> vỏ </v>
      </c>
      <c r="V1003" s="191">
        <v>35</v>
      </c>
    </row>
    <row r="1004" spans="1:22" s="191" customFormat="1" ht="15">
      <c r="A1004" s="236">
        <v>993</v>
      </c>
      <c r="B1004" s="244">
        <v>46128</v>
      </c>
      <c r="C1004" s="245" t="s">
        <v>261</v>
      </c>
      <c r="D1004" s="246" t="s">
        <v>1245</v>
      </c>
      <c r="E1004" s="247"/>
      <c r="F1004" s="247"/>
      <c r="G1004" s="248"/>
      <c r="H1004" s="247">
        <v>1</v>
      </c>
      <c r="I1004" s="244" t="s">
        <v>399</v>
      </c>
      <c r="J1004" s="249" t="s">
        <v>56</v>
      </c>
      <c r="K1004" s="249" t="s">
        <v>21</v>
      </c>
      <c r="L1004" s="250">
        <f t="shared" si="63"/>
        <v>1</v>
      </c>
      <c r="M1004" s="237">
        <f t="array" ref="M1004">INDEX('BKTT T4.26'!$N$12:$N$55,MATCH(V1004,'BKTT T4.26'!$A$12:$A$55,0),0)</f>
        <v>1002400</v>
      </c>
      <c r="N1004" s="162">
        <f t="shared" si="66"/>
        <v>1002400</v>
      </c>
      <c r="O1004" s="238" t="s">
        <v>267</v>
      </c>
      <c r="P1004" s="251" t="s">
        <v>1448</v>
      </c>
      <c r="R1004" s="191" t="str">
        <f t="shared" si="64"/>
        <v>Cước vận chuyển Container vỏ tuyến đường HATECO - PAN HA. BKS: 15H15378</v>
      </c>
      <c r="S1004" s="191" t="str">
        <f t="shared" si="65"/>
        <v xml:space="preserve"> vỏ </v>
      </c>
      <c r="V1004" s="191">
        <v>35</v>
      </c>
    </row>
    <row r="1005" spans="1:22" s="191" customFormat="1" ht="15">
      <c r="A1005" s="236">
        <v>994</v>
      </c>
      <c r="B1005" s="244">
        <v>46125</v>
      </c>
      <c r="C1005" s="245" t="s">
        <v>261</v>
      </c>
      <c r="D1005" s="246" t="s">
        <v>1246</v>
      </c>
      <c r="E1005" s="254"/>
      <c r="F1005" s="254"/>
      <c r="G1005" s="254"/>
      <c r="H1005" s="254">
        <v>1</v>
      </c>
      <c r="I1005" s="244" t="s">
        <v>399</v>
      </c>
      <c r="J1005" s="249" t="s">
        <v>21</v>
      </c>
      <c r="K1005" s="249" t="s">
        <v>27</v>
      </c>
      <c r="L1005" s="250">
        <f t="shared" si="63"/>
        <v>1</v>
      </c>
      <c r="M1005" s="237">
        <f t="array" ref="M1005">INDEX('BKTT T4.26'!$N$12:$N$55,MATCH(V1005,'BKTT T4.26'!$A$12:$A$55,0),0)</f>
        <v>628690</v>
      </c>
      <c r="N1005" s="162">
        <f t="shared" si="66"/>
        <v>628690</v>
      </c>
      <c r="O1005" s="238" t="s">
        <v>264</v>
      </c>
      <c r="P1005" s="251" t="s">
        <v>1496</v>
      </c>
      <c r="R1005" s="191" t="str">
        <f t="shared" si="64"/>
        <v>Cước vận chuyển Container vỏ tuyến đường PAN HA - HẢI AN.. BKS: 15H15378</v>
      </c>
      <c r="S1005" s="191" t="str">
        <f t="shared" si="65"/>
        <v xml:space="preserve"> vỏ </v>
      </c>
      <c r="V1005" s="191">
        <v>3</v>
      </c>
    </row>
    <row r="1006" spans="1:22" s="191" customFormat="1" ht="15">
      <c r="A1006" s="236">
        <v>995</v>
      </c>
      <c r="B1006" s="244">
        <v>46125</v>
      </c>
      <c r="C1006" s="245" t="s">
        <v>261</v>
      </c>
      <c r="D1006" s="246" t="s">
        <v>1247</v>
      </c>
      <c r="E1006" s="254"/>
      <c r="F1006" s="247">
        <v>1</v>
      </c>
      <c r="G1006" s="254"/>
      <c r="H1006" s="254"/>
      <c r="I1006" s="244" t="s">
        <v>399</v>
      </c>
      <c r="J1006" s="249" t="s">
        <v>21</v>
      </c>
      <c r="K1006" s="249" t="s">
        <v>25</v>
      </c>
      <c r="L1006" s="250">
        <f t="shared" si="63"/>
        <v>1</v>
      </c>
      <c r="M1006" s="237">
        <f t="array" ref="M1006">INDEX('BKTT T4.26'!$N$12:$N$55,MATCH(V1006,'BKTT T4.26'!$A$12:$A$55,0),0)</f>
        <v>681050</v>
      </c>
      <c r="N1006" s="162">
        <f t="shared" si="66"/>
        <v>681050</v>
      </c>
      <c r="O1006" s="238" t="s">
        <v>264</v>
      </c>
      <c r="P1006" s="251" t="s">
        <v>1448</v>
      </c>
      <c r="R1006" s="191" t="str">
        <f t="shared" si="64"/>
        <v>Cước vận chuyển Container hàng 40' tuyến đường PAN HA - HẢI AN,. BKS: 15H15378</v>
      </c>
      <c r="S1006" s="191" t="str">
        <f t="shared" si="65"/>
        <v xml:space="preserve"> hàng 40' </v>
      </c>
      <c r="V1006" s="191">
        <v>2</v>
      </c>
    </row>
    <row r="1007" spans="1:22" s="191" customFormat="1" ht="15">
      <c r="A1007" s="236">
        <v>996</v>
      </c>
      <c r="B1007" s="244">
        <v>46125</v>
      </c>
      <c r="C1007" s="245" t="s">
        <v>261</v>
      </c>
      <c r="D1007" s="246" t="s">
        <v>1248</v>
      </c>
      <c r="E1007" s="254"/>
      <c r="F1007" s="247">
        <v>1</v>
      </c>
      <c r="G1007" s="254"/>
      <c r="H1007" s="254"/>
      <c r="I1007" s="244" t="s">
        <v>399</v>
      </c>
      <c r="J1007" s="249" t="s">
        <v>21</v>
      </c>
      <c r="K1007" s="249" t="s">
        <v>25</v>
      </c>
      <c r="L1007" s="250">
        <f t="shared" si="63"/>
        <v>1</v>
      </c>
      <c r="M1007" s="237">
        <f t="array" ref="M1007">INDEX('BKTT T4.26'!$N$12:$N$55,MATCH(V1007,'BKTT T4.26'!$A$12:$A$55,0),0)</f>
        <v>681050</v>
      </c>
      <c r="N1007" s="162">
        <f t="shared" si="66"/>
        <v>681050</v>
      </c>
      <c r="O1007" s="238" t="s">
        <v>264</v>
      </c>
      <c r="P1007" s="251" t="s">
        <v>1448</v>
      </c>
      <c r="R1007" s="191" t="str">
        <f t="shared" si="64"/>
        <v>Cước vận chuyển Container hàng 40' tuyến đường PAN HA - HẢI AN,. BKS: 15H15378</v>
      </c>
      <c r="S1007" s="191" t="str">
        <f t="shared" si="65"/>
        <v xml:space="preserve"> hàng 40' </v>
      </c>
      <c r="V1007" s="191">
        <v>2</v>
      </c>
    </row>
    <row r="1008" spans="1:22" s="191" customFormat="1" ht="15">
      <c r="A1008" s="236">
        <v>997</v>
      </c>
      <c r="B1008" s="244">
        <v>46126</v>
      </c>
      <c r="C1008" s="245" t="s">
        <v>261</v>
      </c>
      <c r="D1008" s="246" t="s">
        <v>1249</v>
      </c>
      <c r="E1008" s="254"/>
      <c r="F1008" s="254"/>
      <c r="G1008" s="248">
        <v>0.5</v>
      </c>
      <c r="H1008" s="254"/>
      <c r="I1008" s="244" t="s">
        <v>399</v>
      </c>
      <c r="J1008" s="249" t="s">
        <v>21</v>
      </c>
      <c r="K1008" s="249" t="s">
        <v>27</v>
      </c>
      <c r="L1008" s="250">
        <f t="shared" si="63"/>
        <v>0.5</v>
      </c>
      <c r="M1008" s="237">
        <f t="array" ref="M1008">INDEX('BKTT T4.26'!$N$12:$N$55,MATCH(V1008,'BKTT T4.26'!$A$12:$A$55,0),0)</f>
        <v>628690</v>
      </c>
      <c r="N1008" s="162">
        <f t="shared" si="66"/>
        <v>314345</v>
      </c>
      <c r="O1008" s="238" t="s">
        <v>264</v>
      </c>
      <c r="P1008" s="251" t="s">
        <v>1494</v>
      </c>
      <c r="R1008" s="191" t="str">
        <f t="shared" si="64"/>
        <v>Cước vận chuyển Container vỏ tuyến đường PAN HA - HẢI AN.. BKS: 15H15378</v>
      </c>
      <c r="S1008" s="191" t="str">
        <f t="shared" si="65"/>
        <v xml:space="preserve"> vỏ </v>
      </c>
      <c r="V1008" s="191">
        <v>3</v>
      </c>
    </row>
    <row r="1009" spans="1:22" s="191" customFormat="1" ht="15">
      <c r="A1009" s="236">
        <v>998</v>
      </c>
      <c r="B1009" s="244">
        <v>46126</v>
      </c>
      <c r="C1009" s="245" t="s">
        <v>261</v>
      </c>
      <c r="D1009" s="246" t="s">
        <v>1250</v>
      </c>
      <c r="E1009" s="254"/>
      <c r="F1009" s="254"/>
      <c r="G1009" s="248">
        <v>0.5</v>
      </c>
      <c r="H1009" s="254"/>
      <c r="I1009" s="249" t="s">
        <v>399</v>
      </c>
      <c r="J1009" s="249" t="s">
        <v>21</v>
      </c>
      <c r="K1009" s="249" t="s">
        <v>27</v>
      </c>
      <c r="L1009" s="250">
        <f t="shared" si="63"/>
        <v>0.5</v>
      </c>
      <c r="M1009" s="237">
        <f t="array" ref="M1009">INDEX('BKTT T4.26'!$N$12:$N$55,MATCH(V1009,'BKTT T4.26'!$A$12:$A$55,0),0)</f>
        <v>628690</v>
      </c>
      <c r="N1009" s="162">
        <f t="shared" si="66"/>
        <v>314345</v>
      </c>
      <c r="O1009" s="238" t="s">
        <v>264</v>
      </c>
      <c r="P1009" s="251" t="s">
        <v>1494</v>
      </c>
      <c r="R1009" s="191" t="str">
        <f t="shared" si="64"/>
        <v>Cước vận chuyển Container vỏ tuyến đường PAN HA - HẢI AN.. BKS: 15H15378</v>
      </c>
      <c r="S1009" s="191" t="str">
        <f t="shared" si="65"/>
        <v xml:space="preserve"> vỏ </v>
      </c>
      <c r="V1009" s="191">
        <v>3</v>
      </c>
    </row>
    <row r="1010" spans="1:22" s="191" customFormat="1" ht="15">
      <c r="A1010" s="236">
        <v>999</v>
      </c>
      <c r="B1010" s="244">
        <v>46126</v>
      </c>
      <c r="C1010" s="245" t="s">
        <v>261</v>
      </c>
      <c r="D1010" s="246" t="s">
        <v>1251</v>
      </c>
      <c r="E1010" s="254"/>
      <c r="F1010" s="254"/>
      <c r="G1010" s="254"/>
      <c r="H1010" s="254">
        <v>1</v>
      </c>
      <c r="I1010" s="249" t="s">
        <v>399</v>
      </c>
      <c r="J1010" s="249" t="s">
        <v>56</v>
      </c>
      <c r="K1010" s="249" t="s">
        <v>21</v>
      </c>
      <c r="L1010" s="250">
        <f t="shared" si="63"/>
        <v>1</v>
      </c>
      <c r="M1010" s="237">
        <f t="array" ref="M1010">INDEX('BKTT T4.26'!$N$12:$N$55,MATCH(V1010,'BKTT T4.26'!$A$12:$A$55,0),0)</f>
        <v>1002400</v>
      </c>
      <c r="N1010" s="162">
        <f t="shared" si="66"/>
        <v>1002400</v>
      </c>
      <c r="O1010" s="238" t="s">
        <v>267</v>
      </c>
      <c r="P1010" s="251" t="s">
        <v>1448</v>
      </c>
      <c r="R1010" s="191" t="str">
        <f t="shared" si="64"/>
        <v>Cước vận chuyển Container vỏ tuyến đường HATECO - PAN HA. BKS: 15H15378</v>
      </c>
      <c r="S1010" s="191" t="str">
        <f t="shared" si="65"/>
        <v xml:space="preserve"> vỏ </v>
      </c>
      <c r="V1010" s="191">
        <v>35</v>
      </c>
    </row>
    <row r="1011" spans="1:22" s="191" customFormat="1" ht="15">
      <c r="A1011" s="236">
        <v>1000</v>
      </c>
      <c r="B1011" s="244">
        <v>46126</v>
      </c>
      <c r="C1011" s="245" t="s">
        <v>261</v>
      </c>
      <c r="D1011" s="246" t="s">
        <v>1252</v>
      </c>
      <c r="E1011" s="247"/>
      <c r="F1011" s="247"/>
      <c r="G1011" s="248"/>
      <c r="H1011" s="247">
        <v>1</v>
      </c>
      <c r="I1011" s="249" t="s">
        <v>399</v>
      </c>
      <c r="J1011" s="249" t="s">
        <v>56</v>
      </c>
      <c r="K1011" s="249" t="s">
        <v>21</v>
      </c>
      <c r="L1011" s="250">
        <f t="shared" si="63"/>
        <v>1</v>
      </c>
      <c r="M1011" s="237">
        <f t="array" ref="M1011">INDEX('BKTT T4.26'!$N$12:$N$55,MATCH(V1011,'BKTT T4.26'!$A$12:$A$55,0),0)</f>
        <v>1002400</v>
      </c>
      <c r="N1011" s="162">
        <f t="shared" si="66"/>
        <v>1002400</v>
      </c>
      <c r="O1011" s="238" t="s">
        <v>267</v>
      </c>
      <c r="P1011" s="251" t="s">
        <v>1448</v>
      </c>
      <c r="R1011" s="191" t="str">
        <f t="shared" si="64"/>
        <v>Cước vận chuyển Container vỏ tuyến đường HATECO - PAN HA. BKS: 15H15378</v>
      </c>
      <c r="S1011" s="191" t="str">
        <f t="shared" si="65"/>
        <v xml:space="preserve"> vỏ </v>
      </c>
      <c r="V1011" s="191">
        <v>35</v>
      </c>
    </row>
    <row r="1012" spans="1:22" s="191" customFormat="1" ht="15">
      <c r="A1012" s="236">
        <v>1001</v>
      </c>
      <c r="B1012" s="244">
        <v>46126</v>
      </c>
      <c r="C1012" s="245" t="s">
        <v>261</v>
      </c>
      <c r="D1012" s="246" t="s">
        <v>1253</v>
      </c>
      <c r="E1012" s="254"/>
      <c r="F1012" s="254"/>
      <c r="G1012" s="254"/>
      <c r="H1012" s="254">
        <v>1</v>
      </c>
      <c r="I1012" s="249" t="s">
        <v>399</v>
      </c>
      <c r="J1012" s="249" t="s">
        <v>56</v>
      </c>
      <c r="K1012" s="249" t="s">
        <v>21</v>
      </c>
      <c r="L1012" s="250">
        <f t="shared" si="63"/>
        <v>1</v>
      </c>
      <c r="M1012" s="237">
        <f t="array" ref="M1012">INDEX('BKTT T4.26'!$N$12:$N$55,MATCH(V1012,'BKTT T4.26'!$A$12:$A$55,0),0)</f>
        <v>1002400</v>
      </c>
      <c r="N1012" s="162">
        <f t="shared" si="66"/>
        <v>1002400</v>
      </c>
      <c r="O1012" s="238" t="s">
        <v>267</v>
      </c>
      <c r="P1012" s="251" t="s">
        <v>1448</v>
      </c>
      <c r="R1012" s="191" t="str">
        <f t="shared" si="64"/>
        <v>Cước vận chuyển Container vỏ tuyến đường HATECO - PAN HA. BKS: 15H15378</v>
      </c>
      <c r="S1012" s="191" t="str">
        <f t="shared" si="65"/>
        <v xml:space="preserve"> vỏ </v>
      </c>
      <c r="V1012" s="191">
        <v>35</v>
      </c>
    </row>
    <row r="1013" spans="1:22" s="191" customFormat="1" ht="15">
      <c r="A1013" s="236">
        <v>1002</v>
      </c>
      <c r="B1013" s="244">
        <v>46132</v>
      </c>
      <c r="C1013" s="245" t="s">
        <v>261</v>
      </c>
      <c r="D1013" s="246" t="s">
        <v>1254</v>
      </c>
      <c r="E1013" s="254">
        <v>1</v>
      </c>
      <c r="F1013" s="254"/>
      <c r="G1013" s="254"/>
      <c r="H1013" s="254"/>
      <c r="I1013" s="249" t="s">
        <v>282</v>
      </c>
      <c r="J1013" s="249" t="s">
        <v>21</v>
      </c>
      <c r="K1013" s="249" t="s">
        <v>22</v>
      </c>
      <c r="L1013" s="250">
        <f t="shared" si="63"/>
        <v>1</v>
      </c>
      <c r="M1013" s="237">
        <f t="array" ref="M1013">INDEX('BKTT T4.26'!$N$12:$N$55,MATCH(V1013,'BKTT T4.26'!$A$12:$A$55,0),0)</f>
        <v>654871</v>
      </c>
      <c r="N1013" s="162">
        <f t="shared" si="66"/>
        <v>654871</v>
      </c>
      <c r="O1013" s="238" t="s">
        <v>264</v>
      </c>
      <c r="P1013" s="251" t="s">
        <v>1448</v>
      </c>
      <c r="R1013" s="191" t="str">
        <f t="shared" si="64"/>
        <v>Cước vận chuyển Container hàng 20' tuyến đường PAN HA - HẢI AN. BKS: 15C17301</v>
      </c>
      <c r="S1013" s="191" t="str">
        <f t="shared" si="65"/>
        <v xml:space="preserve"> hàng 20' </v>
      </c>
      <c r="V1013" s="191">
        <v>1</v>
      </c>
    </row>
    <row r="1014" spans="1:22" s="191" customFormat="1" ht="15">
      <c r="A1014" s="236">
        <v>1003</v>
      </c>
      <c r="B1014" s="244">
        <v>46132</v>
      </c>
      <c r="C1014" s="245" t="s">
        <v>261</v>
      </c>
      <c r="D1014" s="246" t="s">
        <v>1255</v>
      </c>
      <c r="E1014" s="254">
        <v>1</v>
      </c>
      <c r="F1014" s="254"/>
      <c r="G1014" s="254"/>
      <c r="H1014" s="254"/>
      <c r="I1014" s="249" t="s">
        <v>282</v>
      </c>
      <c r="J1014" s="249" t="s">
        <v>21</v>
      </c>
      <c r="K1014" s="249" t="s">
        <v>22</v>
      </c>
      <c r="L1014" s="250">
        <f t="shared" si="63"/>
        <v>1</v>
      </c>
      <c r="M1014" s="237">
        <f t="array" ref="M1014">INDEX('BKTT T4.26'!$N$12:$N$55,MATCH(V1014,'BKTT T4.26'!$A$12:$A$55,0),0)</f>
        <v>654871</v>
      </c>
      <c r="N1014" s="162">
        <f t="shared" si="66"/>
        <v>654871</v>
      </c>
      <c r="O1014" s="238" t="s">
        <v>264</v>
      </c>
      <c r="P1014" s="251" t="s">
        <v>1448</v>
      </c>
      <c r="R1014" s="191" t="str">
        <f t="shared" si="64"/>
        <v>Cước vận chuyển Container hàng 20' tuyến đường PAN HA - HẢI AN. BKS: 15C17301</v>
      </c>
      <c r="S1014" s="191" t="str">
        <f t="shared" si="65"/>
        <v xml:space="preserve"> hàng 20' </v>
      </c>
      <c r="V1014" s="191">
        <v>1</v>
      </c>
    </row>
    <row r="1015" spans="1:22" s="191" customFormat="1" ht="15">
      <c r="A1015" s="236">
        <v>1004</v>
      </c>
      <c r="B1015" s="244">
        <v>46132</v>
      </c>
      <c r="C1015" s="245" t="s">
        <v>261</v>
      </c>
      <c r="D1015" s="246" t="s">
        <v>1256</v>
      </c>
      <c r="E1015" s="254"/>
      <c r="F1015" s="247">
        <v>1</v>
      </c>
      <c r="G1015" s="254"/>
      <c r="H1015" s="254"/>
      <c r="I1015" s="249" t="s">
        <v>282</v>
      </c>
      <c r="J1015" s="249" t="s">
        <v>21</v>
      </c>
      <c r="K1015" s="249" t="s">
        <v>25</v>
      </c>
      <c r="L1015" s="250">
        <f t="shared" si="63"/>
        <v>1</v>
      </c>
      <c r="M1015" s="237">
        <f t="array" ref="M1015">INDEX('BKTT T4.26'!$N$12:$N$55,MATCH(V1015,'BKTT T4.26'!$A$12:$A$55,0),0)</f>
        <v>681050</v>
      </c>
      <c r="N1015" s="162">
        <f t="shared" si="66"/>
        <v>681050</v>
      </c>
      <c r="O1015" s="238" t="s">
        <v>264</v>
      </c>
      <c r="P1015" s="251" t="s">
        <v>1448</v>
      </c>
      <c r="R1015" s="191" t="str">
        <f t="shared" si="64"/>
        <v>Cước vận chuyển Container hàng 40' tuyến đường PAN HA - HẢI AN,. BKS: 15C17301</v>
      </c>
      <c r="S1015" s="191" t="str">
        <f t="shared" si="65"/>
        <v xml:space="preserve"> hàng 40' </v>
      </c>
      <c r="V1015" s="191">
        <v>2</v>
      </c>
    </row>
    <row r="1016" spans="1:22" s="191" customFormat="1" ht="15">
      <c r="A1016" s="236">
        <v>1005</v>
      </c>
      <c r="B1016" s="244">
        <v>46132</v>
      </c>
      <c r="C1016" s="245" t="s">
        <v>261</v>
      </c>
      <c r="D1016" s="246" t="s">
        <v>1257</v>
      </c>
      <c r="E1016" s="254"/>
      <c r="F1016" s="247">
        <v>1</v>
      </c>
      <c r="G1016" s="254"/>
      <c r="H1016" s="254"/>
      <c r="I1016" s="249" t="s">
        <v>282</v>
      </c>
      <c r="J1016" s="249" t="s">
        <v>21</v>
      </c>
      <c r="K1016" s="249" t="s">
        <v>25</v>
      </c>
      <c r="L1016" s="250">
        <f t="shared" si="63"/>
        <v>1</v>
      </c>
      <c r="M1016" s="237">
        <f t="array" ref="M1016">INDEX('BKTT T4.26'!$N$12:$N$55,MATCH(V1016,'BKTT T4.26'!$A$12:$A$55,0),0)</f>
        <v>681050</v>
      </c>
      <c r="N1016" s="162">
        <f t="shared" si="66"/>
        <v>681050</v>
      </c>
      <c r="O1016" s="238" t="s">
        <v>264</v>
      </c>
      <c r="P1016" s="251" t="s">
        <v>1448</v>
      </c>
      <c r="R1016" s="191" t="str">
        <f t="shared" si="64"/>
        <v>Cước vận chuyển Container hàng 40' tuyến đường PAN HA - HẢI AN,. BKS: 15C17301</v>
      </c>
      <c r="S1016" s="191" t="str">
        <f t="shared" si="65"/>
        <v xml:space="preserve"> hàng 40' </v>
      </c>
      <c r="V1016" s="191">
        <v>2</v>
      </c>
    </row>
    <row r="1017" spans="1:22" s="191" customFormat="1" ht="15">
      <c r="A1017" s="236">
        <v>1006</v>
      </c>
      <c r="B1017" s="244">
        <v>46132</v>
      </c>
      <c r="C1017" s="245" t="s">
        <v>261</v>
      </c>
      <c r="D1017" s="246" t="s">
        <v>290</v>
      </c>
      <c r="E1017" s="254"/>
      <c r="F1017" s="247">
        <v>1</v>
      </c>
      <c r="G1017" s="254"/>
      <c r="H1017" s="254"/>
      <c r="I1017" s="249" t="s">
        <v>282</v>
      </c>
      <c r="J1017" s="249" t="s">
        <v>21</v>
      </c>
      <c r="K1017" s="249" t="s">
        <v>25</v>
      </c>
      <c r="L1017" s="250">
        <f t="shared" si="63"/>
        <v>1</v>
      </c>
      <c r="M1017" s="237">
        <f t="array" ref="M1017">INDEX('BKTT T4.26'!$N$12:$N$55,MATCH(V1017,'BKTT T4.26'!$A$12:$A$55,0),0)</f>
        <v>681050</v>
      </c>
      <c r="N1017" s="162">
        <f t="shared" si="66"/>
        <v>681050</v>
      </c>
      <c r="O1017" s="238" t="s">
        <v>264</v>
      </c>
      <c r="P1017" s="251" t="s">
        <v>1448</v>
      </c>
      <c r="R1017" s="191" t="str">
        <f t="shared" si="64"/>
        <v>Cước vận chuyển Container hàng 40' tuyến đường PAN HA - HẢI AN,. BKS: 15C17301</v>
      </c>
      <c r="S1017" s="191" t="str">
        <f t="shared" si="65"/>
        <v xml:space="preserve"> hàng 40' </v>
      </c>
      <c r="V1017" s="191">
        <v>2</v>
      </c>
    </row>
    <row r="1018" spans="1:22" s="191" customFormat="1" ht="15">
      <c r="A1018" s="236">
        <v>1007</v>
      </c>
      <c r="B1018" s="244">
        <v>46132</v>
      </c>
      <c r="C1018" s="245" t="s">
        <v>261</v>
      </c>
      <c r="D1018" s="246" t="s">
        <v>1258</v>
      </c>
      <c r="E1018" s="254"/>
      <c r="F1018" s="247">
        <v>1</v>
      </c>
      <c r="G1018" s="254"/>
      <c r="H1018" s="254"/>
      <c r="I1018" s="244" t="s">
        <v>282</v>
      </c>
      <c r="J1018" s="249" t="s">
        <v>21</v>
      </c>
      <c r="K1018" s="249" t="s">
        <v>25</v>
      </c>
      <c r="L1018" s="250">
        <f t="shared" si="63"/>
        <v>1</v>
      </c>
      <c r="M1018" s="237">
        <f t="array" ref="M1018">INDEX('BKTT T4.26'!$N$12:$N$55,MATCH(V1018,'BKTT T4.26'!$A$12:$A$55,0),0)</f>
        <v>681050</v>
      </c>
      <c r="N1018" s="162">
        <f t="shared" si="66"/>
        <v>681050</v>
      </c>
      <c r="O1018" s="238" t="s">
        <v>264</v>
      </c>
      <c r="P1018" s="251" t="s">
        <v>1448</v>
      </c>
      <c r="R1018" s="191" t="str">
        <f t="shared" si="64"/>
        <v>Cước vận chuyển Container hàng 40' tuyến đường PAN HA - HẢI AN,. BKS: 15C17301</v>
      </c>
      <c r="S1018" s="191" t="str">
        <f t="shared" si="65"/>
        <v xml:space="preserve"> hàng 40' </v>
      </c>
      <c r="V1018" s="191">
        <v>2</v>
      </c>
    </row>
    <row r="1019" spans="1:22" s="191" customFormat="1" ht="15">
      <c r="A1019" s="236">
        <v>1008</v>
      </c>
      <c r="B1019" s="244">
        <v>46132</v>
      </c>
      <c r="C1019" s="245" t="s">
        <v>261</v>
      </c>
      <c r="D1019" s="246" t="s">
        <v>1259</v>
      </c>
      <c r="E1019" s="254"/>
      <c r="F1019" s="247">
        <v>1</v>
      </c>
      <c r="G1019" s="254"/>
      <c r="H1019" s="254"/>
      <c r="I1019" s="244" t="s">
        <v>282</v>
      </c>
      <c r="J1019" s="249" t="s">
        <v>21</v>
      </c>
      <c r="K1019" s="249" t="s">
        <v>25</v>
      </c>
      <c r="L1019" s="250">
        <f t="shared" si="63"/>
        <v>1</v>
      </c>
      <c r="M1019" s="237">
        <f t="array" ref="M1019">INDEX('BKTT T4.26'!$N$12:$N$55,MATCH(V1019,'BKTT T4.26'!$A$12:$A$55,0),0)</f>
        <v>681050</v>
      </c>
      <c r="N1019" s="162">
        <f t="shared" si="66"/>
        <v>681050</v>
      </c>
      <c r="O1019" s="238" t="s">
        <v>264</v>
      </c>
      <c r="P1019" s="251" t="s">
        <v>1448</v>
      </c>
      <c r="R1019" s="191" t="str">
        <f t="shared" si="64"/>
        <v>Cước vận chuyển Container hàng 40' tuyến đường PAN HA - HẢI AN,. BKS: 15C17301</v>
      </c>
      <c r="S1019" s="191" t="str">
        <f t="shared" si="65"/>
        <v xml:space="preserve"> hàng 40' </v>
      </c>
      <c r="V1019" s="191">
        <v>2</v>
      </c>
    </row>
    <row r="1020" spans="1:22" s="191" customFormat="1" ht="15">
      <c r="A1020" s="236">
        <v>1009</v>
      </c>
      <c r="B1020" s="244">
        <v>46111</v>
      </c>
      <c r="C1020" s="245" t="s">
        <v>261</v>
      </c>
      <c r="D1020" s="246" t="s">
        <v>1260</v>
      </c>
      <c r="E1020" s="254">
        <v>1</v>
      </c>
      <c r="F1020" s="254"/>
      <c r="G1020" s="254"/>
      <c r="H1020" s="254"/>
      <c r="I1020" s="244" t="s">
        <v>272</v>
      </c>
      <c r="J1020" s="249" t="s">
        <v>21</v>
      </c>
      <c r="K1020" s="249" t="s">
        <v>22</v>
      </c>
      <c r="L1020" s="250">
        <f t="shared" si="63"/>
        <v>1</v>
      </c>
      <c r="M1020" s="237">
        <f t="array" ref="M1020">INDEX('BKTT T4.26'!$N$12:$N$55,MATCH(V1020,'BKTT T4.26'!$A$12:$A$55,0),0)</f>
        <v>654871</v>
      </c>
      <c r="N1020" s="162">
        <f t="shared" si="66"/>
        <v>654871</v>
      </c>
      <c r="O1020" s="238" t="s">
        <v>264</v>
      </c>
      <c r="P1020" s="251" t="s">
        <v>1448</v>
      </c>
      <c r="R1020" s="191" t="str">
        <f t="shared" si="64"/>
        <v>Cước vận chuyển Container hàng 20' tuyến đường PAN HA - HẢI AN. BKS: 15H07788</v>
      </c>
      <c r="S1020" s="191" t="str">
        <f t="shared" si="65"/>
        <v xml:space="preserve"> hàng 20' </v>
      </c>
      <c r="V1020" s="191">
        <v>1</v>
      </c>
    </row>
    <row r="1021" spans="1:22" s="191" customFormat="1" ht="15">
      <c r="A1021" s="236">
        <v>1010</v>
      </c>
      <c r="B1021" s="244">
        <v>46111</v>
      </c>
      <c r="C1021" s="245" t="s">
        <v>261</v>
      </c>
      <c r="D1021" s="246" t="s">
        <v>1261</v>
      </c>
      <c r="E1021" s="254">
        <v>1</v>
      </c>
      <c r="F1021" s="254"/>
      <c r="G1021" s="254"/>
      <c r="H1021" s="254"/>
      <c r="I1021" s="244" t="s">
        <v>272</v>
      </c>
      <c r="J1021" s="249" t="s">
        <v>21</v>
      </c>
      <c r="K1021" s="249" t="s">
        <v>22</v>
      </c>
      <c r="L1021" s="250">
        <f t="shared" si="63"/>
        <v>1</v>
      </c>
      <c r="M1021" s="237">
        <f t="array" ref="M1021">INDEX('BKTT T4.26'!$N$12:$N$55,MATCH(V1021,'BKTT T4.26'!$A$12:$A$55,0),0)</f>
        <v>654871</v>
      </c>
      <c r="N1021" s="162">
        <f t="shared" si="66"/>
        <v>654871</v>
      </c>
      <c r="O1021" s="238" t="s">
        <v>264</v>
      </c>
      <c r="P1021" s="251" t="s">
        <v>1448</v>
      </c>
      <c r="R1021" s="191" t="str">
        <f t="shared" si="64"/>
        <v>Cước vận chuyển Container hàng 20' tuyến đường PAN HA - HẢI AN. BKS: 15H07788</v>
      </c>
      <c r="S1021" s="191" t="str">
        <f t="shared" si="65"/>
        <v xml:space="preserve"> hàng 20' </v>
      </c>
      <c r="V1021" s="191">
        <v>1</v>
      </c>
    </row>
    <row r="1022" spans="1:22" s="191" customFormat="1" ht="15">
      <c r="A1022" s="236">
        <v>1011</v>
      </c>
      <c r="B1022" s="244">
        <v>46106</v>
      </c>
      <c r="C1022" s="245" t="s">
        <v>261</v>
      </c>
      <c r="D1022" s="246" t="s">
        <v>1262</v>
      </c>
      <c r="E1022" s="254"/>
      <c r="F1022" s="254"/>
      <c r="G1022" s="254"/>
      <c r="H1022" s="254">
        <v>1</v>
      </c>
      <c r="I1022" s="244" t="s">
        <v>282</v>
      </c>
      <c r="J1022" s="249" t="s">
        <v>56</v>
      </c>
      <c r="K1022" s="249" t="s">
        <v>21</v>
      </c>
      <c r="L1022" s="250">
        <f t="shared" si="63"/>
        <v>1</v>
      </c>
      <c r="M1022" s="237">
        <f t="array" ref="M1022">INDEX('BKTT T4.26'!$N$12:$N$55,MATCH(V1022,'BKTT T4.26'!$A$12:$A$55,0),0)</f>
        <v>1002400</v>
      </c>
      <c r="N1022" s="162">
        <f t="shared" si="66"/>
        <v>1002400</v>
      </c>
      <c r="O1022" s="238" t="s">
        <v>267</v>
      </c>
      <c r="P1022" s="251" t="s">
        <v>1448</v>
      </c>
      <c r="R1022" s="191" t="str">
        <f t="shared" si="64"/>
        <v>Cước vận chuyển Container vỏ tuyến đường HATECO - PAN HA. BKS: 15C17301</v>
      </c>
      <c r="S1022" s="191" t="str">
        <f t="shared" si="65"/>
        <v xml:space="preserve"> vỏ </v>
      </c>
      <c r="V1022" s="191">
        <v>35</v>
      </c>
    </row>
    <row r="1023" spans="1:22" s="191" customFormat="1" ht="15">
      <c r="A1023" s="236">
        <v>1012</v>
      </c>
      <c r="B1023" s="244">
        <v>46106</v>
      </c>
      <c r="C1023" s="245" t="s">
        <v>261</v>
      </c>
      <c r="D1023" s="246" t="s">
        <v>1263</v>
      </c>
      <c r="E1023" s="254"/>
      <c r="F1023" s="254"/>
      <c r="G1023" s="254"/>
      <c r="H1023" s="254">
        <v>1</v>
      </c>
      <c r="I1023" s="244" t="s">
        <v>282</v>
      </c>
      <c r="J1023" s="249" t="s">
        <v>56</v>
      </c>
      <c r="K1023" s="249" t="s">
        <v>21</v>
      </c>
      <c r="L1023" s="250">
        <f t="shared" si="63"/>
        <v>1</v>
      </c>
      <c r="M1023" s="237">
        <f t="array" ref="M1023">INDEX('BKTT T4.26'!$N$12:$N$55,MATCH(V1023,'BKTT T4.26'!$A$12:$A$55,0),0)</f>
        <v>1002400</v>
      </c>
      <c r="N1023" s="162">
        <f t="shared" si="66"/>
        <v>1002400</v>
      </c>
      <c r="O1023" s="238" t="s">
        <v>267</v>
      </c>
      <c r="P1023" s="251" t="s">
        <v>1448</v>
      </c>
      <c r="R1023" s="191" t="str">
        <f t="shared" si="64"/>
        <v>Cước vận chuyển Container vỏ tuyến đường HATECO - PAN HA. BKS: 15C17301</v>
      </c>
      <c r="S1023" s="191" t="str">
        <f t="shared" si="65"/>
        <v xml:space="preserve"> vỏ </v>
      </c>
      <c r="V1023" s="191">
        <v>35</v>
      </c>
    </row>
    <row r="1024" spans="1:22" s="191" customFormat="1" ht="15">
      <c r="A1024" s="236">
        <v>1013</v>
      </c>
      <c r="B1024" s="244">
        <v>46108</v>
      </c>
      <c r="C1024" s="245" t="s">
        <v>261</v>
      </c>
      <c r="D1024" s="246" t="s">
        <v>1264</v>
      </c>
      <c r="E1024" s="254">
        <v>1</v>
      </c>
      <c r="F1024" s="254"/>
      <c r="G1024" s="254"/>
      <c r="H1024" s="254"/>
      <c r="I1024" s="244" t="s">
        <v>369</v>
      </c>
      <c r="J1024" s="249" t="s">
        <v>21</v>
      </c>
      <c r="K1024" s="249" t="s">
        <v>22</v>
      </c>
      <c r="L1024" s="250">
        <f t="shared" si="63"/>
        <v>1</v>
      </c>
      <c r="M1024" s="237">
        <f t="array" ref="M1024">INDEX('BKTT T4.26'!$N$12:$N$55,MATCH(V1024,'BKTT T4.26'!$A$12:$A$55,0),0)</f>
        <v>654871</v>
      </c>
      <c r="N1024" s="162">
        <f t="shared" si="66"/>
        <v>654871</v>
      </c>
      <c r="O1024" s="238" t="s">
        <v>264</v>
      </c>
      <c r="P1024" s="251" t="s">
        <v>1448</v>
      </c>
      <c r="R1024" s="191" t="str">
        <f t="shared" si="64"/>
        <v>Cước vận chuyển Container hàng 20' tuyến đường PAN HA - HẢI AN. BKS: 15C15033</v>
      </c>
      <c r="S1024" s="191" t="str">
        <f t="shared" si="65"/>
        <v xml:space="preserve"> hàng 20' </v>
      </c>
      <c r="V1024" s="191">
        <v>1</v>
      </c>
    </row>
    <row r="1025" spans="1:22" s="191" customFormat="1" ht="15">
      <c r="A1025" s="236">
        <v>1014</v>
      </c>
      <c r="B1025" s="244">
        <v>46108</v>
      </c>
      <c r="C1025" s="245" t="s">
        <v>261</v>
      </c>
      <c r="D1025" s="246" t="s">
        <v>1265</v>
      </c>
      <c r="E1025" s="247">
        <v>1</v>
      </c>
      <c r="F1025" s="247"/>
      <c r="G1025" s="248"/>
      <c r="H1025" s="247"/>
      <c r="I1025" s="244" t="s">
        <v>369</v>
      </c>
      <c r="J1025" s="249" t="s">
        <v>21</v>
      </c>
      <c r="K1025" s="249" t="s">
        <v>22</v>
      </c>
      <c r="L1025" s="250">
        <f t="shared" si="63"/>
        <v>1</v>
      </c>
      <c r="M1025" s="237">
        <f t="array" ref="M1025">INDEX('BKTT T4.26'!$N$12:$N$55,MATCH(V1025,'BKTT T4.26'!$A$12:$A$55,0),0)</f>
        <v>654871</v>
      </c>
      <c r="N1025" s="162">
        <f t="shared" si="66"/>
        <v>654871</v>
      </c>
      <c r="O1025" s="238" t="s">
        <v>264</v>
      </c>
      <c r="P1025" s="251" t="s">
        <v>1448</v>
      </c>
      <c r="R1025" s="191" t="str">
        <f t="shared" si="64"/>
        <v>Cước vận chuyển Container hàng 20' tuyến đường PAN HA - HẢI AN. BKS: 15C15033</v>
      </c>
      <c r="S1025" s="191" t="str">
        <f t="shared" si="65"/>
        <v xml:space="preserve"> hàng 20' </v>
      </c>
      <c r="V1025" s="191">
        <v>1</v>
      </c>
    </row>
    <row r="1026" spans="1:22" s="191" customFormat="1" ht="15">
      <c r="A1026" s="236">
        <v>1015</v>
      </c>
      <c r="B1026" s="244">
        <v>46108</v>
      </c>
      <c r="C1026" s="245" t="s">
        <v>261</v>
      </c>
      <c r="D1026" s="246" t="s">
        <v>1266</v>
      </c>
      <c r="E1026" s="247">
        <v>1</v>
      </c>
      <c r="F1026" s="247"/>
      <c r="G1026" s="248"/>
      <c r="H1026" s="247"/>
      <c r="I1026" s="244" t="s">
        <v>369</v>
      </c>
      <c r="J1026" s="249" t="s">
        <v>21</v>
      </c>
      <c r="K1026" s="249" t="s">
        <v>22</v>
      </c>
      <c r="L1026" s="250">
        <f t="shared" si="63"/>
        <v>1</v>
      </c>
      <c r="M1026" s="237">
        <f t="array" ref="M1026">INDEX('BKTT T4.26'!$N$12:$N$55,MATCH(V1026,'BKTT T4.26'!$A$12:$A$55,0),0)</f>
        <v>654871</v>
      </c>
      <c r="N1026" s="162">
        <f t="shared" si="66"/>
        <v>654871</v>
      </c>
      <c r="O1026" s="238" t="s">
        <v>264</v>
      </c>
      <c r="P1026" s="251" t="s">
        <v>1448</v>
      </c>
      <c r="R1026" s="191" t="str">
        <f t="shared" si="64"/>
        <v>Cước vận chuyển Container hàng 20' tuyến đường PAN HA - HẢI AN. BKS: 15C15033</v>
      </c>
      <c r="S1026" s="191" t="str">
        <f t="shared" si="65"/>
        <v xml:space="preserve"> hàng 20' </v>
      </c>
      <c r="V1026" s="191">
        <v>1</v>
      </c>
    </row>
    <row r="1027" spans="1:22" s="191" customFormat="1" ht="15">
      <c r="A1027" s="236">
        <v>1016</v>
      </c>
      <c r="B1027" s="244">
        <v>46108</v>
      </c>
      <c r="C1027" s="245" t="s">
        <v>261</v>
      </c>
      <c r="D1027" s="246" t="s">
        <v>1267</v>
      </c>
      <c r="E1027" s="254">
        <v>1</v>
      </c>
      <c r="F1027" s="254"/>
      <c r="G1027" s="254"/>
      <c r="H1027" s="254"/>
      <c r="I1027" s="244" t="s">
        <v>369</v>
      </c>
      <c r="J1027" s="249" t="s">
        <v>21</v>
      </c>
      <c r="K1027" s="249" t="s">
        <v>22</v>
      </c>
      <c r="L1027" s="250">
        <f t="shared" si="63"/>
        <v>1</v>
      </c>
      <c r="M1027" s="237">
        <f t="array" ref="M1027">INDEX('BKTT T4.26'!$N$12:$N$55,MATCH(V1027,'BKTT T4.26'!$A$12:$A$55,0),0)</f>
        <v>654871</v>
      </c>
      <c r="N1027" s="162">
        <f t="shared" si="66"/>
        <v>654871</v>
      </c>
      <c r="O1027" s="238" t="s">
        <v>264</v>
      </c>
      <c r="P1027" s="251" t="s">
        <v>1448</v>
      </c>
      <c r="R1027" s="191" t="str">
        <f t="shared" si="64"/>
        <v>Cước vận chuyển Container hàng 20' tuyến đường PAN HA - HẢI AN. BKS: 15C15033</v>
      </c>
      <c r="S1027" s="191" t="str">
        <f t="shared" si="65"/>
        <v xml:space="preserve"> hàng 20' </v>
      </c>
      <c r="V1027" s="191">
        <v>1</v>
      </c>
    </row>
    <row r="1028" spans="1:22" s="191" customFormat="1" ht="15">
      <c r="A1028" s="236">
        <v>1017</v>
      </c>
      <c r="B1028" s="244">
        <v>46108</v>
      </c>
      <c r="C1028" s="245" t="s">
        <v>261</v>
      </c>
      <c r="D1028" s="246" t="s">
        <v>1268</v>
      </c>
      <c r="E1028" s="247">
        <v>1</v>
      </c>
      <c r="F1028" s="247"/>
      <c r="G1028" s="248"/>
      <c r="H1028" s="247"/>
      <c r="I1028" s="244" t="s">
        <v>369</v>
      </c>
      <c r="J1028" s="249" t="s">
        <v>21</v>
      </c>
      <c r="K1028" s="249" t="s">
        <v>22</v>
      </c>
      <c r="L1028" s="250">
        <f t="shared" si="63"/>
        <v>1</v>
      </c>
      <c r="M1028" s="237">
        <f t="array" ref="M1028">INDEX('BKTT T4.26'!$N$12:$N$55,MATCH(V1028,'BKTT T4.26'!$A$12:$A$55,0),0)</f>
        <v>654871</v>
      </c>
      <c r="N1028" s="162">
        <f t="shared" si="66"/>
        <v>654871</v>
      </c>
      <c r="O1028" s="238" t="s">
        <v>264</v>
      </c>
      <c r="P1028" s="251" t="s">
        <v>1448</v>
      </c>
      <c r="R1028" s="191" t="str">
        <f t="shared" si="64"/>
        <v>Cước vận chuyển Container hàng 20' tuyến đường PAN HA - HẢI AN. BKS: 15C15033</v>
      </c>
      <c r="S1028" s="191" t="str">
        <f t="shared" si="65"/>
        <v xml:space="preserve"> hàng 20' </v>
      </c>
      <c r="V1028" s="191">
        <v>1</v>
      </c>
    </row>
    <row r="1029" spans="1:22" s="191" customFormat="1" ht="15">
      <c r="A1029" s="236">
        <v>1018</v>
      </c>
      <c r="B1029" s="244">
        <v>46108</v>
      </c>
      <c r="C1029" s="245" t="s">
        <v>261</v>
      </c>
      <c r="D1029" s="246" t="s">
        <v>1269</v>
      </c>
      <c r="E1029" s="247">
        <v>1</v>
      </c>
      <c r="F1029" s="247"/>
      <c r="G1029" s="248"/>
      <c r="H1029" s="247"/>
      <c r="I1029" s="244" t="s">
        <v>369</v>
      </c>
      <c r="J1029" s="249" t="s">
        <v>21</v>
      </c>
      <c r="K1029" s="249" t="s">
        <v>22</v>
      </c>
      <c r="L1029" s="250">
        <f t="shared" si="63"/>
        <v>1</v>
      </c>
      <c r="M1029" s="237">
        <f t="array" ref="M1029">INDEX('BKTT T4.26'!$N$12:$N$55,MATCH(V1029,'BKTT T4.26'!$A$12:$A$55,0),0)</f>
        <v>654871</v>
      </c>
      <c r="N1029" s="162">
        <f t="shared" si="66"/>
        <v>654871</v>
      </c>
      <c r="O1029" s="238" t="s">
        <v>264</v>
      </c>
      <c r="P1029" s="251" t="s">
        <v>1448</v>
      </c>
      <c r="R1029" s="191" t="str">
        <f t="shared" si="64"/>
        <v>Cước vận chuyển Container hàng 20' tuyến đường PAN HA - HẢI AN. BKS: 15C15033</v>
      </c>
      <c r="S1029" s="191" t="str">
        <f t="shared" si="65"/>
        <v xml:space="preserve"> hàng 20' </v>
      </c>
      <c r="V1029" s="191">
        <v>1</v>
      </c>
    </row>
    <row r="1030" spans="1:22" s="191" customFormat="1" ht="15">
      <c r="A1030" s="236">
        <v>1019</v>
      </c>
      <c r="B1030" s="244">
        <v>46108</v>
      </c>
      <c r="C1030" s="245" t="s">
        <v>261</v>
      </c>
      <c r="D1030" s="246" t="s">
        <v>1270</v>
      </c>
      <c r="E1030" s="247">
        <v>1</v>
      </c>
      <c r="F1030" s="247"/>
      <c r="G1030" s="248"/>
      <c r="H1030" s="247"/>
      <c r="I1030" s="244" t="s">
        <v>369</v>
      </c>
      <c r="J1030" s="249" t="s">
        <v>21</v>
      </c>
      <c r="K1030" s="249" t="s">
        <v>22</v>
      </c>
      <c r="L1030" s="250">
        <f t="shared" si="63"/>
        <v>1</v>
      </c>
      <c r="M1030" s="237">
        <f t="array" ref="M1030">INDEX('BKTT T4.26'!$N$12:$N$55,MATCH(V1030,'BKTT T4.26'!$A$12:$A$55,0),0)</f>
        <v>654871</v>
      </c>
      <c r="N1030" s="162">
        <f t="shared" si="66"/>
        <v>654871</v>
      </c>
      <c r="O1030" s="238" t="s">
        <v>264</v>
      </c>
      <c r="P1030" s="251" t="s">
        <v>1448</v>
      </c>
      <c r="R1030" s="191" t="str">
        <f t="shared" si="64"/>
        <v>Cước vận chuyển Container hàng 20' tuyến đường PAN HA - HẢI AN. BKS: 15C15033</v>
      </c>
      <c r="S1030" s="191" t="str">
        <f t="shared" si="65"/>
        <v xml:space="preserve"> hàng 20' </v>
      </c>
      <c r="V1030" s="191">
        <v>1</v>
      </c>
    </row>
    <row r="1031" spans="1:22" s="191" customFormat="1" ht="15">
      <c r="A1031" s="236">
        <v>1020</v>
      </c>
      <c r="B1031" s="244">
        <v>46108</v>
      </c>
      <c r="C1031" s="245" t="s">
        <v>261</v>
      </c>
      <c r="D1031" s="246" t="s">
        <v>1271</v>
      </c>
      <c r="E1031" s="247">
        <v>1</v>
      </c>
      <c r="F1031" s="247"/>
      <c r="G1031" s="248"/>
      <c r="H1031" s="247"/>
      <c r="I1031" s="244" t="s">
        <v>369</v>
      </c>
      <c r="J1031" s="249" t="s">
        <v>21</v>
      </c>
      <c r="K1031" s="249" t="s">
        <v>22</v>
      </c>
      <c r="L1031" s="250">
        <f t="shared" si="63"/>
        <v>1</v>
      </c>
      <c r="M1031" s="237">
        <f t="array" ref="M1031">INDEX('BKTT T4.26'!$N$12:$N$55,MATCH(V1031,'BKTT T4.26'!$A$12:$A$55,0),0)</f>
        <v>654871</v>
      </c>
      <c r="N1031" s="162">
        <f t="shared" si="66"/>
        <v>654871</v>
      </c>
      <c r="O1031" s="238" t="s">
        <v>264</v>
      </c>
      <c r="P1031" s="251" t="s">
        <v>1448</v>
      </c>
      <c r="R1031" s="191" t="str">
        <f t="shared" si="64"/>
        <v>Cước vận chuyển Container hàng 20' tuyến đường PAN HA - HẢI AN. BKS: 15C15033</v>
      </c>
      <c r="S1031" s="191" t="str">
        <f t="shared" si="65"/>
        <v xml:space="preserve"> hàng 20' </v>
      </c>
      <c r="V1031" s="191">
        <v>1</v>
      </c>
    </row>
    <row r="1032" spans="1:22" s="191" customFormat="1" ht="15">
      <c r="A1032" s="236">
        <v>1021</v>
      </c>
      <c r="B1032" s="244">
        <v>46132</v>
      </c>
      <c r="C1032" s="245" t="s">
        <v>261</v>
      </c>
      <c r="D1032" s="246" t="s">
        <v>1272</v>
      </c>
      <c r="E1032" s="247">
        <v>1</v>
      </c>
      <c r="F1032" s="247"/>
      <c r="G1032" s="248"/>
      <c r="H1032" s="247"/>
      <c r="I1032" s="244" t="s">
        <v>279</v>
      </c>
      <c r="J1032" s="249" t="s">
        <v>21</v>
      </c>
      <c r="K1032" s="249" t="s">
        <v>49</v>
      </c>
      <c r="L1032" s="250">
        <f t="shared" ref="L1032:L1095" si="67">E1032+F1032+G1032+H1032</f>
        <v>1</v>
      </c>
      <c r="M1032" s="237">
        <f t="array" ref="M1032">INDEX('BKTT T4.26'!$N$12:$N$55,MATCH(V1032,'BKTT T4.26'!$A$12:$A$55,0),0)</f>
        <v>576331</v>
      </c>
      <c r="N1032" s="162">
        <f t="shared" si="66"/>
        <v>576331</v>
      </c>
      <c r="O1032" s="238" t="s">
        <v>264</v>
      </c>
      <c r="P1032" s="251" t="s">
        <v>1448</v>
      </c>
      <c r="R1032" s="191" t="str">
        <f t="shared" ref="R1032:R1095" si="68">$R$10&amp;S1032&amp;$R$9&amp;J1032&amp;$S$10&amp;K1032&amp;$R$8&amp;I1032</f>
        <v>Cước vận chuyển Container hàng 20' tuyến đường PAN HA - VIP. BKS: 15H07524</v>
      </c>
      <c r="S1032" s="191" t="str">
        <f t="shared" ref="S1032:S1095" si="69">IF(E1032=1," hàng 20' ",IF(F1032=1," hàng 40' "," vỏ "))</f>
        <v xml:space="preserve"> hàng 20' </v>
      </c>
      <c r="V1032" s="191">
        <v>27</v>
      </c>
    </row>
    <row r="1033" spans="1:22" s="191" customFormat="1" ht="15">
      <c r="A1033" s="236">
        <v>1022</v>
      </c>
      <c r="B1033" s="244">
        <v>46132</v>
      </c>
      <c r="C1033" s="245" t="s">
        <v>261</v>
      </c>
      <c r="D1033" s="246" t="s">
        <v>1273</v>
      </c>
      <c r="E1033" s="247">
        <v>1</v>
      </c>
      <c r="F1033" s="247"/>
      <c r="G1033" s="248"/>
      <c r="H1033" s="247"/>
      <c r="I1033" s="244" t="s">
        <v>279</v>
      </c>
      <c r="J1033" s="249" t="s">
        <v>21</v>
      </c>
      <c r="K1033" s="249" t="s">
        <v>49</v>
      </c>
      <c r="L1033" s="250">
        <f t="shared" si="67"/>
        <v>1</v>
      </c>
      <c r="M1033" s="237">
        <f t="array" ref="M1033">INDEX('BKTT T4.26'!$N$12:$N$55,MATCH(V1033,'BKTT T4.26'!$A$12:$A$55,0),0)</f>
        <v>576331</v>
      </c>
      <c r="N1033" s="162">
        <f t="shared" si="66"/>
        <v>576331</v>
      </c>
      <c r="O1033" s="238" t="s">
        <v>264</v>
      </c>
      <c r="P1033" s="251" t="s">
        <v>1448</v>
      </c>
      <c r="R1033" s="191" t="str">
        <f t="shared" si="68"/>
        <v>Cước vận chuyển Container hàng 20' tuyến đường PAN HA - VIP. BKS: 15H07524</v>
      </c>
      <c r="S1033" s="191" t="str">
        <f t="shared" si="69"/>
        <v xml:space="preserve"> hàng 20' </v>
      </c>
      <c r="V1033" s="191">
        <v>27</v>
      </c>
    </row>
    <row r="1034" spans="1:22" s="191" customFormat="1" ht="15">
      <c r="A1034" s="236">
        <v>1023</v>
      </c>
      <c r="B1034" s="244">
        <v>46132</v>
      </c>
      <c r="C1034" s="245" t="s">
        <v>261</v>
      </c>
      <c r="D1034" s="246" t="s">
        <v>475</v>
      </c>
      <c r="E1034" s="247">
        <v>1</v>
      </c>
      <c r="F1034" s="247"/>
      <c r="G1034" s="248"/>
      <c r="H1034" s="247"/>
      <c r="I1034" s="244" t="s">
        <v>279</v>
      </c>
      <c r="J1034" s="249" t="s">
        <v>21</v>
      </c>
      <c r="K1034" s="249" t="s">
        <v>49</v>
      </c>
      <c r="L1034" s="250">
        <f t="shared" si="67"/>
        <v>1</v>
      </c>
      <c r="M1034" s="237">
        <f t="array" ref="M1034">INDEX('BKTT T4.26'!$N$12:$N$55,MATCH(V1034,'BKTT T4.26'!$A$12:$A$55,0),0)</f>
        <v>576331</v>
      </c>
      <c r="N1034" s="162">
        <f t="shared" si="66"/>
        <v>576331</v>
      </c>
      <c r="O1034" s="238" t="s">
        <v>264</v>
      </c>
      <c r="P1034" s="251" t="s">
        <v>1448</v>
      </c>
      <c r="R1034" s="191" t="str">
        <f t="shared" si="68"/>
        <v>Cước vận chuyển Container hàng 20' tuyến đường PAN HA - VIP. BKS: 15H07524</v>
      </c>
      <c r="S1034" s="191" t="str">
        <f t="shared" si="69"/>
        <v xml:space="preserve"> hàng 20' </v>
      </c>
      <c r="V1034" s="191">
        <v>27</v>
      </c>
    </row>
    <row r="1035" spans="1:22" s="191" customFormat="1" ht="15">
      <c r="A1035" s="236">
        <v>1024</v>
      </c>
      <c r="B1035" s="244">
        <v>46132</v>
      </c>
      <c r="C1035" s="245" t="s">
        <v>261</v>
      </c>
      <c r="D1035" s="246" t="s">
        <v>1274</v>
      </c>
      <c r="E1035" s="247">
        <v>1</v>
      </c>
      <c r="F1035" s="247"/>
      <c r="G1035" s="248"/>
      <c r="H1035" s="247"/>
      <c r="I1035" s="244" t="s">
        <v>279</v>
      </c>
      <c r="J1035" s="249" t="s">
        <v>21</v>
      </c>
      <c r="K1035" s="249" t="s">
        <v>49</v>
      </c>
      <c r="L1035" s="250">
        <f t="shared" si="67"/>
        <v>1</v>
      </c>
      <c r="M1035" s="237">
        <f t="array" ref="M1035">INDEX('BKTT T4.26'!$N$12:$N$55,MATCH(V1035,'BKTT T4.26'!$A$12:$A$55,0),0)</f>
        <v>576331</v>
      </c>
      <c r="N1035" s="162">
        <f t="shared" si="66"/>
        <v>576331</v>
      </c>
      <c r="O1035" s="238" t="s">
        <v>264</v>
      </c>
      <c r="P1035" s="251" t="s">
        <v>1448</v>
      </c>
      <c r="R1035" s="191" t="str">
        <f t="shared" si="68"/>
        <v>Cước vận chuyển Container hàng 20' tuyến đường PAN HA - VIP. BKS: 15H07524</v>
      </c>
      <c r="S1035" s="191" t="str">
        <f t="shared" si="69"/>
        <v xml:space="preserve"> hàng 20' </v>
      </c>
      <c r="V1035" s="191">
        <v>27</v>
      </c>
    </row>
    <row r="1036" spans="1:22" s="191" customFormat="1" ht="15">
      <c r="A1036" s="236">
        <v>1025</v>
      </c>
      <c r="B1036" s="244">
        <v>46132</v>
      </c>
      <c r="C1036" s="245" t="s">
        <v>261</v>
      </c>
      <c r="D1036" s="246" t="s">
        <v>1275</v>
      </c>
      <c r="E1036" s="247">
        <v>1</v>
      </c>
      <c r="F1036" s="247"/>
      <c r="G1036" s="248"/>
      <c r="H1036" s="247"/>
      <c r="I1036" s="244" t="s">
        <v>279</v>
      </c>
      <c r="J1036" s="249" t="s">
        <v>21</v>
      </c>
      <c r="K1036" s="249" t="s">
        <v>49</v>
      </c>
      <c r="L1036" s="250">
        <f t="shared" si="67"/>
        <v>1</v>
      </c>
      <c r="M1036" s="237">
        <f t="array" ref="M1036">INDEX('BKTT T4.26'!$N$12:$N$55,MATCH(V1036,'BKTT T4.26'!$A$12:$A$55,0),0)</f>
        <v>576331</v>
      </c>
      <c r="N1036" s="162">
        <f t="shared" si="66"/>
        <v>576331</v>
      </c>
      <c r="O1036" s="238" t="s">
        <v>264</v>
      </c>
      <c r="P1036" s="251" t="s">
        <v>1448</v>
      </c>
      <c r="R1036" s="191" t="str">
        <f t="shared" si="68"/>
        <v>Cước vận chuyển Container hàng 20' tuyến đường PAN HA - VIP. BKS: 15H07524</v>
      </c>
      <c r="S1036" s="191" t="str">
        <f t="shared" si="69"/>
        <v xml:space="preserve"> hàng 20' </v>
      </c>
      <c r="V1036" s="191">
        <v>27</v>
      </c>
    </row>
    <row r="1037" spans="1:22" s="191" customFormat="1" ht="15">
      <c r="A1037" s="236">
        <v>1026</v>
      </c>
      <c r="B1037" s="244">
        <v>46132</v>
      </c>
      <c r="C1037" s="245" t="s">
        <v>261</v>
      </c>
      <c r="D1037" s="246" t="s">
        <v>1276</v>
      </c>
      <c r="E1037" s="247">
        <v>1</v>
      </c>
      <c r="F1037" s="247"/>
      <c r="G1037" s="248"/>
      <c r="H1037" s="247"/>
      <c r="I1037" s="244" t="s">
        <v>279</v>
      </c>
      <c r="J1037" s="249" t="s">
        <v>21</v>
      </c>
      <c r="K1037" s="249" t="s">
        <v>49</v>
      </c>
      <c r="L1037" s="250">
        <f t="shared" si="67"/>
        <v>1</v>
      </c>
      <c r="M1037" s="237">
        <f t="array" ref="M1037">INDEX('BKTT T4.26'!$N$12:$N$55,MATCH(V1037,'BKTT T4.26'!$A$12:$A$55,0),0)</f>
        <v>576331</v>
      </c>
      <c r="N1037" s="162">
        <f t="shared" si="66"/>
        <v>576331</v>
      </c>
      <c r="O1037" s="238" t="s">
        <v>264</v>
      </c>
      <c r="P1037" s="251" t="s">
        <v>1448</v>
      </c>
      <c r="R1037" s="191" t="str">
        <f t="shared" si="68"/>
        <v>Cước vận chuyển Container hàng 20' tuyến đường PAN HA - VIP. BKS: 15H07524</v>
      </c>
      <c r="S1037" s="191" t="str">
        <f t="shared" si="69"/>
        <v xml:space="preserve"> hàng 20' </v>
      </c>
      <c r="V1037" s="191">
        <v>27</v>
      </c>
    </row>
    <row r="1038" spans="1:22" s="191" customFormat="1" ht="15">
      <c r="A1038" s="236">
        <v>1027</v>
      </c>
      <c r="B1038" s="244">
        <v>46132</v>
      </c>
      <c r="C1038" s="245" t="s">
        <v>261</v>
      </c>
      <c r="D1038" s="246" t="s">
        <v>1277</v>
      </c>
      <c r="E1038" s="247">
        <v>1</v>
      </c>
      <c r="F1038" s="247"/>
      <c r="G1038" s="248"/>
      <c r="H1038" s="247"/>
      <c r="I1038" s="244" t="s">
        <v>279</v>
      </c>
      <c r="J1038" s="249" t="s">
        <v>21</v>
      </c>
      <c r="K1038" s="249" t="s">
        <v>49</v>
      </c>
      <c r="L1038" s="250">
        <f t="shared" si="67"/>
        <v>1</v>
      </c>
      <c r="M1038" s="237">
        <f t="array" ref="M1038">INDEX('BKTT T4.26'!$N$12:$N$55,MATCH(V1038,'BKTT T4.26'!$A$12:$A$55,0),0)</f>
        <v>576331</v>
      </c>
      <c r="N1038" s="162">
        <f t="shared" si="66"/>
        <v>576331</v>
      </c>
      <c r="O1038" s="238" t="s">
        <v>264</v>
      </c>
      <c r="P1038" s="251" t="s">
        <v>1448</v>
      </c>
      <c r="R1038" s="191" t="str">
        <f t="shared" si="68"/>
        <v>Cước vận chuyển Container hàng 20' tuyến đường PAN HA - VIP. BKS: 15H07524</v>
      </c>
      <c r="S1038" s="191" t="str">
        <f t="shared" si="69"/>
        <v xml:space="preserve"> hàng 20' </v>
      </c>
      <c r="V1038" s="191">
        <v>27</v>
      </c>
    </row>
    <row r="1039" spans="1:22" s="191" customFormat="1" ht="15">
      <c r="A1039" s="236">
        <v>1028</v>
      </c>
      <c r="B1039" s="244">
        <v>46132</v>
      </c>
      <c r="C1039" s="245" t="s">
        <v>261</v>
      </c>
      <c r="D1039" s="246" t="s">
        <v>1278</v>
      </c>
      <c r="E1039" s="247">
        <v>1</v>
      </c>
      <c r="F1039" s="247"/>
      <c r="G1039" s="248"/>
      <c r="H1039" s="247"/>
      <c r="I1039" s="244" t="s">
        <v>279</v>
      </c>
      <c r="J1039" s="249" t="s">
        <v>21</v>
      </c>
      <c r="K1039" s="249" t="s">
        <v>49</v>
      </c>
      <c r="L1039" s="250">
        <f t="shared" si="67"/>
        <v>1</v>
      </c>
      <c r="M1039" s="237">
        <f t="array" ref="M1039">INDEX('BKTT T4.26'!$N$12:$N$55,MATCH(V1039,'BKTT T4.26'!$A$12:$A$55,0),0)</f>
        <v>576331</v>
      </c>
      <c r="N1039" s="162">
        <f t="shared" si="66"/>
        <v>576331</v>
      </c>
      <c r="O1039" s="238" t="s">
        <v>264</v>
      </c>
      <c r="P1039" s="251" t="s">
        <v>1448</v>
      </c>
      <c r="R1039" s="191" t="str">
        <f t="shared" si="68"/>
        <v>Cước vận chuyển Container hàng 20' tuyến đường PAN HA - VIP. BKS: 15H07524</v>
      </c>
      <c r="S1039" s="191" t="str">
        <f t="shared" si="69"/>
        <v xml:space="preserve"> hàng 20' </v>
      </c>
      <c r="V1039" s="191">
        <v>27</v>
      </c>
    </row>
    <row r="1040" spans="1:22" s="191" customFormat="1" ht="15">
      <c r="A1040" s="236">
        <v>1029</v>
      </c>
      <c r="B1040" s="244">
        <v>46132</v>
      </c>
      <c r="C1040" s="245" t="s">
        <v>261</v>
      </c>
      <c r="D1040" s="246" t="s">
        <v>1279</v>
      </c>
      <c r="E1040" s="247">
        <v>1</v>
      </c>
      <c r="F1040" s="247"/>
      <c r="G1040" s="248"/>
      <c r="H1040" s="247"/>
      <c r="I1040" s="244" t="s">
        <v>279</v>
      </c>
      <c r="J1040" s="249" t="s">
        <v>21</v>
      </c>
      <c r="K1040" s="249" t="s">
        <v>49</v>
      </c>
      <c r="L1040" s="250">
        <f t="shared" si="67"/>
        <v>1</v>
      </c>
      <c r="M1040" s="237">
        <f t="array" ref="M1040">INDEX('BKTT T4.26'!$N$12:$N$55,MATCH(V1040,'BKTT T4.26'!$A$12:$A$55,0),0)</f>
        <v>576331</v>
      </c>
      <c r="N1040" s="162">
        <f t="shared" si="66"/>
        <v>576331</v>
      </c>
      <c r="O1040" s="238" t="s">
        <v>264</v>
      </c>
      <c r="P1040" s="251" t="s">
        <v>1448</v>
      </c>
      <c r="R1040" s="191" t="str">
        <f t="shared" si="68"/>
        <v>Cước vận chuyển Container hàng 20' tuyến đường PAN HA - VIP. BKS: 15H07524</v>
      </c>
      <c r="S1040" s="191" t="str">
        <f t="shared" si="69"/>
        <v xml:space="preserve"> hàng 20' </v>
      </c>
      <c r="V1040" s="191">
        <v>27</v>
      </c>
    </row>
    <row r="1041" spans="1:22" s="191" customFormat="1" ht="15">
      <c r="A1041" s="236">
        <v>1030</v>
      </c>
      <c r="B1041" s="244">
        <v>46132</v>
      </c>
      <c r="C1041" s="245" t="s">
        <v>261</v>
      </c>
      <c r="D1041" s="246" t="s">
        <v>1280</v>
      </c>
      <c r="E1041" s="247">
        <v>1</v>
      </c>
      <c r="F1041" s="247"/>
      <c r="G1041" s="248"/>
      <c r="H1041" s="247"/>
      <c r="I1041" s="244" t="s">
        <v>279</v>
      </c>
      <c r="J1041" s="249" t="s">
        <v>21</v>
      </c>
      <c r="K1041" s="249" t="s">
        <v>49</v>
      </c>
      <c r="L1041" s="250">
        <f t="shared" si="67"/>
        <v>1</v>
      </c>
      <c r="M1041" s="237">
        <f t="array" ref="M1041">INDEX('BKTT T4.26'!$N$12:$N$55,MATCH(V1041,'BKTT T4.26'!$A$12:$A$55,0),0)</f>
        <v>576331</v>
      </c>
      <c r="N1041" s="162">
        <f t="shared" si="66"/>
        <v>576331</v>
      </c>
      <c r="O1041" s="238" t="s">
        <v>264</v>
      </c>
      <c r="P1041" s="251" t="s">
        <v>1448</v>
      </c>
      <c r="R1041" s="191" t="str">
        <f t="shared" si="68"/>
        <v>Cước vận chuyển Container hàng 20' tuyến đường PAN HA - VIP. BKS: 15H07524</v>
      </c>
      <c r="S1041" s="191" t="str">
        <f t="shared" si="69"/>
        <v xml:space="preserve"> hàng 20' </v>
      </c>
      <c r="V1041" s="191">
        <v>27</v>
      </c>
    </row>
    <row r="1042" spans="1:22" s="191" customFormat="1" ht="15">
      <c r="A1042" s="236">
        <v>1031</v>
      </c>
      <c r="B1042" s="244">
        <v>46132</v>
      </c>
      <c r="C1042" s="245" t="s">
        <v>261</v>
      </c>
      <c r="D1042" s="246" t="s">
        <v>1281</v>
      </c>
      <c r="E1042" s="254">
        <v>1</v>
      </c>
      <c r="F1042" s="254"/>
      <c r="G1042" s="254"/>
      <c r="H1042" s="254"/>
      <c r="I1042" s="244" t="s">
        <v>279</v>
      </c>
      <c r="J1042" s="249" t="s">
        <v>21</v>
      </c>
      <c r="K1042" s="249" t="s">
        <v>22</v>
      </c>
      <c r="L1042" s="250">
        <f t="shared" si="67"/>
        <v>1</v>
      </c>
      <c r="M1042" s="237">
        <f t="array" ref="M1042">INDEX('BKTT T4.26'!$N$12:$N$55,MATCH(V1042,'BKTT T4.26'!$A$12:$A$55,0),0)</f>
        <v>654871</v>
      </c>
      <c r="N1042" s="162">
        <f t="shared" si="66"/>
        <v>654871</v>
      </c>
      <c r="O1042" s="238" t="s">
        <v>264</v>
      </c>
      <c r="P1042" s="251" t="s">
        <v>1448</v>
      </c>
      <c r="R1042" s="191" t="str">
        <f t="shared" si="68"/>
        <v>Cước vận chuyển Container hàng 20' tuyến đường PAN HA - HẢI AN. BKS: 15H07524</v>
      </c>
      <c r="S1042" s="191" t="str">
        <f t="shared" si="69"/>
        <v xml:space="preserve"> hàng 20' </v>
      </c>
      <c r="V1042" s="191">
        <v>1</v>
      </c>
    </row>
    <row r="1043" spans="1:22" s="191" customFormat="1" ht="15">
      <c r="A1043" s="236">
        <v>1032</v>
      </c>
      <c r="B1043" s="244">
        <v>46132</v>
      </c>
      <c r="C1043" s="245" t="s">
        <v>261</v>
      </c>
      <c r="D1043" s="246" t="s">
        <v>1282</v>
      </c>
      <c r="E1043" s="247">
        <v>1</v>
      </c>
      <c r="F1043" s="247"/>
      <c r="G1043" s="248"/>
      <c r="H1043" s="247"/>
      <c r="I1043" s="244" t="s">
        <v>279</v>
      </c>
      <c r="J1043" s="249" t="s">
        <v>21</v>
      </c>
      <c r="K1043" s="249" t="s">
        <v>22</v>
      </c>
      <c r="L1043" s="250">
        <f t="shared" si="67"/>
        <v>1</v>
      </c>
      <c r="M1043" s="237">
        <f t="array" ref="M1043">INDEX('BKTT T4.26'!$N$12:$N$55,MATCH(V1043,'BKTT T4.26'!$A$12:$A$55,0),0)</f>
        <v>654871</v>
      </c>
      <c r="N1043" s="162">
        <f t="shared" si="66"/>
        <v>654871</v>
      </c>
      <c r="O1043" s="238" t="s">
        <v>264</v>
      </c>
      <c r="P1043" s="251" t="s">
        <v>1448</v>
      </c>
      <c r="R1043" s="191" t="str">
        <f t="shared" si="68"/>
        <v>Cước vận chuyển Container hàng 20' tuyến đường PAN HA - HẢI AN. BKS: 15H07524</v>
      </c>
      <c r="S1043" s="191" t="str">
        <f t="shared" si="69"/>
        <v xml:space="preserve"> hàng 20' </v>
      </c>
      <c r="V1043" s="191">
        <v>1</v>
      </c>
    </row>
    <row r="1044" spans="1:22" s="191" customFormat="1" ht="15">
      <c r="A1044" s="236">
        <v>1033</v>
      </c>
      <c r="B1044" s="244">
        <v>46132</v>
      </c>
      <c r="C1044" s="245" t="s">
        <v>261</v>
      </c>
      <c r="D1044" s="246" t="s">
        <v>1283</v>
      </c>
      <c r="E1044" s="247"/>
      <c r="F1044" s="247">
        <v>1</v>
      </c>
      <c r="G1044" s="248"/>
      <c r="H1044" s="247"/>
      <c r="I1044" s="244" t="s">
        <v>279</v>
      </c>
      <c r="J1044" s="249" t="s">
        <v>21</v>
      </c>
      <c r="K1044" s="249" t="s">
        <v>25</v>
      </c>
      <c r="L1044" s="250">
        <f t="shared" si="67"/>
        <v>1</v>
      </c>
      <c r="M1044" s="237">
        <f t="array" ref="M1044">INDEX('BKTT T4.26'!$N$12:$N$55,MATCH(V1044,'BKTT T4.26'!$A$12:$A$55,0),0)</f>
        <v>681050</v>
      </c>
      <c r="N1044" s="162">
        <f t="shared" si="66"/>
        <v>681050</v>
      </c>
      <c r="O1044" s="238" t="s">
        <v>264</v>
      </c>
      <c r="P1044" s="251" t="s">
        <v>1448</v>
      </c>
      <c r="R1044" s="191" t="str">
        <f t="shared" si="68"/>
        <v>Cước vận chuyển Container hàng 40' tuyến đường PAN HA - HẢI AN,. BKS: 15H07524</v>
      </c>
      <c r="S1044" s="191" t="str">
        <f t="shared" si="69"/>
        <v xml:space="preserve"> hàng 40' </v>
      </c>
      <c r="V1044" s="191">
        <v>2</v>
      </c>
    </row>
    <row r="1045" spans="1:22" s="191" customFormat="1" ht="15">
      <c r="A1045" s="236">
        <v>1034</v>
      </c>
      <c r="B1045" s="244">
        <v>46132</v>
      </c>
      <c r="C1045" s="245" t="s">
        <v>261</v>
      </c>
      <c r="D1045" s="246" t="s">
        <v>1284</v>
      </c>
      <c r="E1045" s="254"/>
      <c r="F1045" s="247">
        <v>1</v>
      </c>
      <c r="G1045" s="254"/>
      <c r="H1045" s="254"/>
      <c r="I1045" s="244" t="s">
        <v>279</v>
      </c>
      <c r="J1045" s="249" t="s">
        <v>21</v>
      </c>
      <c r="K1045" s="249" t="s">
        <v>25</v>
      </c>
      <c r="L1045" s="250">
        <f t="shared" si="67"/>
        <v>1</v>
      </c>
      <c r="M1045" s="237">
        <f t="array" ref="M1045">INDEX('BKTT T4.26'!$N$12:$N$55,MATCH(V1045,'BKTT T4.26'!$A$12:$A$55,0),0)</f>
        <v>681050</v>
      </c>
      <c r="N1045" s="162">
        <f t="shared" si="66"/>
        <v>681050</v>
      </c>
      <c r="O1045" s="238" t="s">
        <v>264</v>
      </c>
      <c r="P1045" s="251" t="s">
        <v>1448</v>
      </c>
      <c r="R1045" s="191" t="str">
        <f t="shared" si="68"/>
        <v>Cước vận chuyển Container hàng 40' tuyến đường PAN HA - HẢI AN,. BKS: 15H07524</v>
      </c>
      <c r="S1045" s="191" t="str">
        <f t="shared" si="69"/>
        <v xml:space="preserve"> hàng 40' </v>
      </c>
      <c r="V1045" s="191">
        <v>2</v>
      </c>
    </row>
    <row r="1046" spans="1:22" s="191" customFormat="1" ht="15">
      <c r="A1046" s="236">
        <v>1035</v>
      </c>
      <c r="B1046" s="244">
        <v>46132</v>
      </c>
      <c r="C1046" s="245" t="s">
        <v>261</v>
      </c>
      <c r="D1046" s="246" t="s">
        <v>1285</v>
      </c>
      <c r="E1046" s="254">
        <v>1</v>
      </c>
      <c r="F1046" s="254"/>
      <c r="G1046" s="254"/>
      <c r="H1046" s="254"/>
      <c r="I1046" s="244" t="s">
        <v>304</v>
      </c>
      <c r="J1046" s="249" t="s">
        <v>21</v>
      </c>
      <c r="K1046" s="249" t="s">
        <v>31</v>
      </c>
      <c r="L1046" s="250">
        <f t="shared" si="67"/>
        <v>1</v>
      </c>
      <c r="M1046" s="237">
        <f t="array" ref="M1046">INDEX('BKTT T4.26'!$N$12:$N$55,MATCH(V1046,'BKTT T4.26'!$A$12:$A$55,0),0)</f>
        <v>454158</v>
      </c>
      <c r="N1046" s="162">
        <f t="shared" si="66"/>
        <v>454158</v>
      </c>
      <c r="O1046" s="238" t="s">
        <v>264</v>
      </c>
      <c r="P1046" s="251" t="s">
        <v>1448</v>
      </c>
      <c r="R1046" s="191" t="str">
        <f t="shared" si="68"/>
        <v>Cước vận chuyển Container hàng 20' tuyến đường PAN HA - NDV. BKS: 15C09877</v>
      </c>
      <c r="S1046" s="191" t="str">
        <f t="shared" si="69"/>
        <v xml:space="preserve"> hàng 20' </v>
      </c>
      <c r="V1046" s="191">
        <v>7</v>
      </c>
    </row>
    <row r="1047" spans="1:22" s="191" customFormat="1" ht="15">
      <c r="A1047" s="236">
        <v>1036</v>
      </c>
      <c r="B1047" s="244">
        <v>46132</v>
      </c>
      <c r="C1047" s="245" t="s">
        <v>261</v>
      </c>
      <c r="D1047" s="246" t="s">
        <v>1286</v>
      </c>
      <c r="E1047" s="254">
        <v>1</v>
      </c>
      <c r="F1047" s="254"/>
      <c r="G1047" s="254"/>
      <c r="H1047" s="254"/>
      <c r="I1047" s="244" t="s">
        <v>304</v>
      </c>
      <c r="J1047" s="249" t="s">
        <v>21</v>
      </c>
      <c r="K1047" s="249" t="s">
        <v>31</v>
      </c>
      <c r="L1047" s="250">
        <f t="shared" si="67"/>
        <v>1</v>
      </c>
      <c r="M1047" s="237">
        <f t="array" ref="M1047">INDEX('BKTT T4.26'!$N$12:$N$55,MATCH(V1047,'BKTT T4.26'!$A$12:$A$55,0),0)</f>
        <v>454158</v>
      </c>
      <c r="N1047" s="162">
        <f t="shared" si="66"/>
        <v>454158</v>
      </c>
      <c r="O1047" s="238" t="s">
        <v>264</v>
      </c>
      <c r="P1047" s="251" t="s">
        <v>1448</v>
      </c>
      <c r="R1047" s="191" t="str">
        <f t="shared" si="68"/>
        <v>Cước vận chuyển Container hàng 20' tuyến đường PAN HA - NDV. BKS: 15C09877</v>
      </c>
      <c r="S1047" s="191" t="str">
        <f t="shared" si="69"/>
        <v xml:space="preserve"> hàng 20' </v>
      </c>
      <c r="V1047" s="191">
        <v>7</v>
      </c>
    </row>
    <row r="1048" spans="1:22" s="191" customFormat="1" ht="15">
      <c r="A1048" s="236">
        <v>1037</v>
      </c>
      <c r="B1048" s="244">
        <v>46132</v>
      </c>
      <c r="C1048" s="245" t="s">
        <v>261</v>
      </c>
      <c r="D1048" s="246" t="s">
        <v>1287</v>
      </c>
      <c r="E1048" s="254">
        <v>1</v>
      </c>
      <c r="F1048" s="254"/>
      <c r="G1048" s="254"/>
      <c r="H1048" s="254"/>
      <c r="I1048" s="244" t="s">
        <v>304</v>
      </c>
      <c r="J1048" s="249" t="s">
        <v>21</v>
      </c>
      <c r="K1048" s="249" t="s">
        <v>31</v>
      </c>
      <c r="L1048" s="250">
        <f t="shared" si="67"/>
        <v>1</v>
      </c>
      <c r="M1048" s="237">
        <f t="array" ref="M1048">INDEX('BKTT T4.26'!$N$12:$N$55,MATCH(V1048,'BKTT T4.26'!$A$12:$A$55,0),0)</f>
        <v>454158</v>
      </c>
      <c r="N1048" s="162">
        <f t="shared" si="66"/>
        <v>454158</v>
      </c>
      <c r="O1048" s="238" t="s">
        <v>264</v>
      </c>
      <c r="P1048" s="251" t="s">
        <v>1448</v>
      </c>
      <c r="R1048" s="191" t="str">
        <f t="shared" si="68"/>
        <v>Cước vận chuyển Container hàng 20' tuyến đường PAN HA - NDV. BKS: 15C09877</v>
      </c>
      <c r="S1048" s="191" t="str">
        <f t="shared" si="69"/>
        <v xml:space="preserve"> hàng 20' </v>
      </c>
      <c r="V1048" s="191">
        <v>7</v>
      </c>
    </row>
    <row r="1049" spans="1:22" s="191" customFormat="1" ht="15">
      <c r="A1049" s="236">
        <v>1038</v>
      </c>
      <c r="B1049" s="244">
        <v>46132</v>
      </c>
      <c r="C1049" s="245" t="s">
        <v>261</v>
      </c>
      <c r="D1049" s="246" t="s">
        <v>1288</v>
      </c>
      <c r="E1049" s="247">
        <v>1</v>
      </c>
      <c r="F1049" s="247"/>
      <c r="G1049" s="248"/>
      <c r="H1049" s="247"/>
      <c r="I1049" s="244" t="s">
        <v>304</v>
      </c>
      <c r="J1049" s="249" t="s">
        <v>21</v>
      </c>
      <c r="K1049" s="249" t="s">
        <v>31</v>
      </c>
      <c r="L1049" s="250">
        <f t="shared" si="67"/>
        <v>1</v>
      </c>
      <c r="M1049" s="237">
        <f t="array" ref="M1049">INDEX('BKTT T4.26'!$N$12:$N$55,MATCH(V1049,'BKTT T4.26'!$A$12:$A$55,0),0)</f>
        <v>454158</v>
      </c>
      <c r="N1049" s="162">
        <f t="shared" si="66"/>
        <v>454158</v>
      </c>
      <c r="O1049" s="238" t="s">
        <v>264</v>
      </c>
      <c r="P1049" s="251" t="s">
        <v>1448</v>
      </c>
      <c r="R1049" s="191" t="str">
        <f t="shared" si="68"/>
        <v>Cước vận chuyển Container hàng 20' tuyến đường PAN HA - NDV. BKS: 15C09877</v>
      </c>
      <c r="S1049" s="191" t="str">
        <f t="shared" si="69"/>
        <v xml:space="preserve"> hàng 20' </v>
      </c>
      <c r="V1049" s="191">
        <v>7</v>
      </c>
    </row>
    <row r="1050" spans="1:22" s="191" customFormat="1" ht="15">
      <c r="A1050" s="236">
        <v>1039</v>
      </c>
      <c r="B1050" s="244">
        <v>46132</v>
      </c>
      <c r="C1050" s="245" t="s">
        <v>261</v>
      </c>
      <c r="D1050" s="246" t="s">
        <v>1289</v>
      </c>
      <c r="E1050" s="247">
        <v>1</v>
      </c>
      <c r="F1050" s="247"/>
      <c r="G1050" s="248"/>
      <c r="H1050" s="247"/>
      <c r="I1050" s="244" t="s">
        <v>438</v>
      </c>
      <c r="J1050" s="249" t="s">
        <v>21</v>
      </c>
      <c r="K1050" s="249" t="s">
        <v>49</v>
      </c>
      <c r="L1050" s="250">
        <f t="shared" si="67"/>
        <v>1</v>
      </c>
      <c r="M1050" s="237">
        <f t="array" ref="M1050">INDEX('BKTT T4.26'!$N$12:$N$55,MATCH(V1050,'BKTT T4.26'!$A$12:$A$55,0),0)</f>
        <v>576331</v>
      </c>
      <c r="N1050" s="162">
        <f t="shared" ref="N1050:N1112" si="70">L1050*M1050</f>
        <v>576331</v>
      </c>
      <c r="O1050" s="238" t="s">
        <v>264</v>
      </c>
      <c r="P1050" s="251" t="s">
        <v>1448</v>
      </c>
      <c r="R1050" s="191" t="str">
        <f t="shared" si="68"/>
        <v>Cước vận chuyển Container hàng 20' tuyến đường PAN HA - VIP. BKS: 15C30649</v>
      </c>
      <c r="S1050" s="191" t="str">
        <f t="shared" si="69"/>
        <v xml:space="preserve"> hàng 20' </v>
      </c>
      <c r="V1050" s="191">
        <v>27</v>
      </c>
    </row>
    <row r="1051" spans="1:22" s="191" customFormat="1" ht="15">
      <c r="A1051" s="236">
        <v>1040</v>
      </c>
      <c r="B1051" s="244">
        <v>46132</v>
      </c>
      <c r="C1051" s="245" t="s">
        <v>261</v>
      </c>
      <c r="D1051" s="246" t="s">
        <v>1290</v>
      </c>
      <c r="E1051" s="254">
        <v>1</v>
      </c>
      <c r="F1051" s="254"/>
      <c r="G1051" s="254"/>
      <c r="H1051" s="254"/>
      <c r="I1051" s="244" t="s">
        <v>438</v>
      </c>
      <c r="J1051" s="249" t="s">
        <v>21</v>
      </c>
      <c r="K1051" s="249" t="s">
        <v>49</v>
      </c>
      <c r="L1051" s="250">
        <f t="shared" si="67"/>
        <v>1</v>
      </c>
      <c r="M1051" s="237">
        <f t="array" ref="M1051">INDEX('BKTT T4.26'!$N$12:$N$55,MATCH(V1051,'BKTT T4.26'!$A$12:$A$55,0),0)</f>
        <v>576331</v>
      </c>
      <c r="N1051" s="162">
        <f t="shared" si="70"/>
        <v>576331</v>
      </c>
      <c r="O1051" s="238" t="s">
        <v>264</v>
      </c>
      <c r="P1051" s="251" t="s">
        <v>1448</v>
      </c>
      <c r="R1051" s="191" t="str">
        <f t="shared" si="68"/>
        <v>Cước vận chuyển Container hàng 20' tuyến đường PAN HA - VIP. BKS: 15C30649</v>
      </c>
      <c r="S1051" s="191" t="str">
        <f t="shared" si="69"/>
        <v xml:space="preserve"> hàng 20' </v>
      </c>
      <c r="V1051" s="191">
        <v>27</v>
      </c>
    </row>
    <row r="1052" spans="1:22" s="191" customFormat="1" ht="15">
      <c r="A1052" s="236">
        <v>1041</v>
      </c>
      <c r="B1052" s="244">
        <v>46132</v>
      </c>
      <c r="C1052" s="245" t="s">
        <v>261</v>
      </c>
      <c r="D1052" s="246" t="s">
        <v>1291</v>
      </c>
      <c r="E1052" s="254">
        <v>1</v>
      </c>
      <c r="F1052" s="254"/>
      <c r="G1052" s="254"/>
      <c r="H1052" s="254"/>
      <c r="I1052" s="244" t="s">
        <v>438</v>
      </c>
      <c r="J1052" s="249" t="s">
        <v>21</v>
      </c>
      <c r="K1052" s="249" t="s">
        <v>49</v>
      </c>
      <c r="L1052" s="250">
        <f t="shared" si="67"/>
        <v>1</v>
      </c>
      <c r="M1052" s="237">
        <f t="array" ref="M1052">INDEX('BKTT T4.26'!$N$12:$N$55,MATCH(V1052,'BKTT T4.26'!$A$12:$A$55,0),0)</f>
        <v>576331</v>
      </c>
      <c r="N1052" s="162">
        <f t="shared" si="70"/>
        <v>576331</v>
      </c>
      <c r="O1052" s="238" t="s">
        <v>264</v>
      </c>
      <c r="P1052" s="251" t="s">
        <v>1448</v>
      </c>
      <c r="R1052" s="191" t="str">
        <f t="shared" si="68"/>
        <v>Cước vận chuyển Container hàng 20' tuyến đường PAN HA - VIP. BKS: 15C30649</v>
      </c>
      <c r="S1052" s="191" t="str">
        <f t="shared" si="69"/>
        <v xml:space="preserve"> hàng 20' </v>
      </c>
      <c r="V1052" s="191">
        <v>27</v>
      </c>
    </row>
    <row r="1053" spans="1:22" s="191" customFormat="1" ht="15">
      <c r="A1053" s="236">
        <v>1042</v>
      </c>
      <c r="B1053" s="244">
        <v>46132</v>
      </c>
      <c r="C1053" s="245" t="s">
        <v>261</v>
      </c>
      <c r="D1053" s="246" t="s">
        <v>387</v>
      </c>
      <c r="E1053" s="254">
        <v>1</v>
      </c>
      <c r="F1053" s="254"/>
      <c r="G1053" s="254"/>
      <c r="H1053" s="254"/>
      <c r="I1053" s="244" t="s">
        <v>438</v>
      </c>
      <c r="J1053" s="249" t="s">
        <v>21</v>
      </c>
      <c r="K1053" s="249" t="s">
        <v>49</v>
      </c>
      <c r="L1053" s="250">
        <f t="shared" si="67"/>
        <v>1</v>
      </c>
      <c r="M1053" s="237">
        <f t="array" ref="M1053">INDEX('BKTT T4.26'!$N$12:$N$55,MATCH(V1053,'BKTT T4.26'!$A$12:$A$55,0),0)</f>
        <v>576331</v>
      </c>
      <c r="N1053" s="162">
        <f t="shared" si="70"/>
        <v>576331</v>
      </c>
      <c r="O1053" s="238" t="s">
        <v>264</v>
      </c>
      <c r="P1053" s="251" t="s">
        <v>1448</v>
      </c>
      <c r="R1053" s="191" t="str">
        <f t="shared" si="68"/>
        <v>Cước vận chuyển Container hàng 20' tuyến đường PAN HA - VIP. BKS: 15C30649</v>
      </c>
      <c r="S1053" s="191" t="str">
        <f t="shared" si="69"/>
        <v xml:space="preserve"> hàng 20' </v>
      </c>
      <c r="V1053" s="191">
        <v>27</v>
      </c>
    </row>
    <row r="1054" spans="1:22" s="191" customFormat="1" ht="15">
      <c r="A1054" s="236">
        <v>1043</v>
      </c>
      <c r="B1054" s="244">
        <v>46132</v>
      </c>
      <c r="C1054" s="245" t="s">
        <v>261</v>
      </c>
      <c r="D1054" s="246" t="s">
        <v>1292</v>
      </c>
      <c r="E1054" s="254">
        <v>1</v>
      </c>
      <c r="F1054" s="254"/>
      <c r="G1054" s="254"/>
      <c r="H1054" s="254"/>
      <c r="I1054" s="244" t="s">
        <v>438</v>
      </c>
      <c r="J1054" s="249" t="s">
        <v>21</v>
      </c>
      <c r="K1054" s="249" t="s">
        <v>49</v>
      </c>
      <c r="L1054" s="250">
        <f t="shared" si="67"/>
        <v>1</v>
      </c>
      <c r="M1054" s="237">
        <f t="array" ref="M1054">INDEX('BKTT T4.26'!$N$12:$N$55,MATCH(V1054,'BKTT T4.26'!$A$12:$A$55,0),0)</f>
        <v>576331</v>
      </c>
      <c r="N1054" s="162">
        <f t="shared" si="70"/>
        <v>576331</v>
      </c>
      <c r="O1054" s="238" t="s">
        <v>264</v>
      </c>
      <c r="P1054" s="251" t="s">
        <v>1448</v>
      </c>
      <c r="R1054" s="191" t="str">
        <f t="shared" si="68"/>
        <v>Cước vận chuyển Container hàng 20' tuyến đường PAN HA - VIP. BKS: 15C30649</v>
      </c>
      <c r="S1054" s="191" t="str">
        <f t="shared" si="69"/>
        <v xml:space="preserve"> hàng 20' </v>
      </c>
      <c r="V1054" s="191">
        <v>27</v>
      </c>
    </row>
    <row r="1055" spans="1:22" s="191" customFormat="1" ht="15">
      <c r="A1055" s="236">
        <v>1044</v>
      </c>
      <c r="B1055" s="244">
        <v>46132</v>
      </c>
      <c r="C1055" s="245" t="s">
        <v>261</v>
      </c>
      <c r="D1055" s="246" t="s">
        <v>1293</v>
      </c>
      <c r="E1055" s="254">
        <v>1</v>
      </c>
      <c r="F1055" s="254"/>
      <c r="G1055" s="254"/>
      <c r="H1055" s="254"/>
      <c r="I1055" s="244" t="s">
        <v>438</v>
      </c>
      <c r="J1055" s="249" t="s">
        <v>21</v>
      </c>
      <c r="K1055" s="249" t="s">
        <v>49</v>
      </c>
      <c r="L1055" s="250">
        <f t="shared" si="67"/>
        <v>1</v>
      </c>
      <c r="M1055" s="237">
        <f t="array" ref="M1055">INDEX('BKTT T4.26'!$N$12:$N$55,MATCH(V1055,'BKTT T4.26'!$A$12:$A$55,0),0)</f>
        <v>576331</v>
      </c>
      <c r="N1055" s="162">
        <f t="shared" si="70"/>
        <v>576331</v>
      </c>
      <c r="O1055" s="238" t="s">
        <v>264</v>
      </c>
      <c r="P1055" s="251" t="s">
        <v>1448</v>
      </c>
      <c r="R1055" s="191" t="str">
        <f t="shared" si="68"/>
        <v>Cước vận chuyển Container hàng 20' tuyến đường PAN HA - VIP. BKS: 15C30649</v>
      </c>
      <c r="S1055" s="191" t="str">
        <f t="shared" si="69"/>
        <v xml:space="preserve"> hàng 20' </v>
      </c>
      <c r="V1055" s="191">
        <v>27</v>
      </c>
    </row>
    <row r="1056" spans="1:22" s="191" customFormat="1" ht="15">
      <c r="A1056" s="236">
        <v>1045</v>
      </c>
      <c r="B1056" s="244">
        <v>46132</v>
      </c>
      <c r="C1056" s="245" t="s">
        <v>261</v>
      </c>
      <c r="D1056" s="246" t="s">
        <v>1294</v>
      </c>
      <c r="E1056" s="254">
        <v>1</v>
      </c>
      <c r="F1056" s="254"/>
      <c r="G1056" s="254"/>
      <c r="H1056" s="254"/>
      <c r="I1056" s="244" t="s">
        <v>438</v>
      </c>
      <c r="J1056" s="249" t="s">
        <v>21</v>
      </c>
      <c r="K1056" s="249" t="s">
        <v>49</v>
      </c>
      <c r="L1056" s="250">
        <f t="shared" si="67"/>
        <v>1</v>
      </c>
      <c r="M1056" s="237">
        <f t="array" ref="M1056">INDEX('BKTT T4.26'!$N$12:$N$55,MATCH(V1056,'BKTT T4.26'!$A$12:$A$55,0),0)</f>
        <v>576331</v>
      </c>
      <c r="N1056" s="162">
        <f t="shared" si="70"/>
        <v>576331</v>
      </c>
      <c r="O1056" s="238" t="s">
        <v>264</v>
      </c>
      <c r="P1056" s="251" t="s">
        <v>1448</v>
      </c>
      <c r="R1056" s="191" t="str">
        <f t="shared" si="68"/>
        <v>Cước vận chuyển Container hàng 20' tuyến đường PAN HA - VIP. BKS: 15C30649</v>
      </c>
      <c r="S1056" s="191" t="str">
        <f t="shared" si="69"/>
        <v xml:space="preserve"> hàng 20' </v>
      </c>
      <c r="V1056" s="191">
        <v>27</v>
      </c>
    </row>
    <row r="1057" spans="1:22" s="191" customFormat="1" ht="15">
      <c r="A1057" s="236">
        <v>1046</v>
      </c>
      <c r="B1057" s="244">
        <v>46132</v>
      </c>
      <c r="C1057" s="245" t="s">
        <v>261</v>
      </c>
      <c r="D1057" s="246" t="s">
        <v>1295</v>
      </c>
      <c r="E1057" s="254">
        <v>1</v>
      </c>
      <c r="F1057" s="254"/>
      <c r="G1057" s="254"/>
      <c r="H1057" s="254"/>
      <c r="I1057" s="244" t="s">
        <v>438</v>
      </c>
      <c r="J1057" s="249" t="s">
        <v>21</v>
      </c>
      <c r="K1057" s="249" t="s">
        <v>49</v>
      </c>
      <c r="L1057" s="250">
        <f t="shared" si="67"/>
        <v>1</v>
      </c>
      <c r="M1057" s="237">
        <f t="array" ref="M1057">INDEX('BKTT T4.26'!$N$12:$N$55,MATCH(V1057,'BKTT T4.26'!$A$12:$A$55,0),0)</f>
        <v>576331</v>
      </c>
      <c r="N1057" s="162">
        <f t="shared" si="70"/>
        <v>576331</v>
      </c>
      <c r="O1057" s="238" t="s">
        <v>264</v>
      </c>
      <c r="P1057" s="251" t="s">
        <v>1448</v>
      </c>
      <c r="R1057" s="191" t="str">
        <f t="shared" si="68"/>
        <v>Cước vận chuyển Container hàng 20' tuyến đường PAN HA - VIP. BKS: 15C30649</v>
      </c>
      <c r="S1057" s="191" t="str">
        <f t="shared" si="69"/>
        <v xml:space="preserve"> hàng 20' </v>
      </c>
      <c r="V1057" s="191">
        <v>27</v>
      </c>
    </row>
    <row r="1058" spans="1:22" s="191" customFormat="1" ht="15">
      <c r="A1058" s="236">
        <v>1047</v>
      </c>
      <c r="B1058" s="244">
        <v>46132</v>
      </c>
      <c r="C1058" s="245" t="s">
        <v>261</v>
      </c>
      <c r="D1058" s="246" t="s">
        <v>1296</v>
      </c>
      <c r="E1058" s="247">
        <v>1</v>
      </c>
      <c r="F1058" s="247"/>
      <c r="G1058" s="248"/>
      <c r="H1058" s="247"/>
      <c r="I1058" s="244" t="s">
        <v>438</v>
      </c>
      <c r="J1058" s="249" t="s">
        <v>21</v>
      </c>
      <c r="K1058" s="249" t="s">
        <v>49</v>
      </c>
      <c r="L1058" s="250">
        <f t="shared" si="67"/>
        <v>1</v>
      </c>
      <c r="M1058" s="237">
        <f t="array" ref="M1058">INDEX('BKTT T4.26'!$N$12:$N$55,MATCH(V1058,'BKTT T4.26'!$A$12:$A$55,0),0)</f>
        <v>576331</v>
      </c>
      <c r="N1058" s="162">
        <f t="shared" si="70"/>
        <v>576331</v>
      </c>
      <c r="O1058" s="238" t="s">
        <v>264</v>
      </c>
      <c r="P1058" s="251" t="s">
        <v>1448</v>
      </c>
      <c r="R1058" s="191" t="str">
        <f t="shared" si="68"/>
        <v>Cước vận chuyển Container hàng 20' tuyến đường PAN HA - VIP. BKS: 15C30649</v>
      </c>
      <c r="S1058" s="191" t="str">
        <f t="shared" si="69"/>
        <v xml:space="preserve"> hàng 20' </v>
      </c>
      <c r="V1058" s="191">
        <v>27</v>
      </c>
    </row>
    <row r="1059" spans="1:22" s="191" customFormat="1" ht="15">
      <c r="A1059" s="236">
        <v>1048</v>
      </c>
      <c r="B1059" s="244">
        <v>46132</v>
      </c>
      <c r="C1059" s="245" t="s">
        <v>261</v>
      </c>
      <c r="D1059" s="246" t="s">
        <v>1297</v>
      </c>
      <c r="E1059" s="247">
        <v>1</v>
      </c>
      <c r="F1059" s="247"/>
      <c r="G1059" s="248"/>
      <c r="H1059" s="247"/>
      <c r="I1059" s="244" t="s">
        <v>438</v>
      </c>
      <c r="J1059" s="249" t="s">
        <v>21</v>
      </c>
      <c r="K1059" s="249" t="s">
        <v>49</v>
      </c>
      <c r="L1059" s="250">
        <f t="shared" si="67"/>
        <v>1</v>
      </c>
      <c r="M1059" s="237">
        <f t="array" ref="M1059">INDEX('BKTT T4.26'!$N$12:$N$55,MATCH(V1059,'BKTT T4.26'!$A$12:$A$55,0),0)</f>
        <v>576331</v>
      </c>
      <c r="N1059" s="162">
        <f t="shared" si="70"/>
        <v>576331</v>
      </c>
      <c r="O1059" s="238" t="s">
        <v>264</v>
      </c>
      <c r="P1059" s="251" t="s">
        <v>1448</v>
      </c>
      <c r="R1059" s="191" t="str">
        <f t="shared" si="68"/>
        <v>Cước vận chuyển Container hàng 20' tuyến đường PAN HA - VIP. BKS: 15C30649</v>
      </c>
      <c r="S1059" s="191" t="str">
        <f t="shared" si="69"/>
        <v xml:space="preserve"> hàng 20' </v>
      </c>
      <c r="V1059" s="191">
        <v>27</v>
      </c>
    </row>
    <row r="1060" spans="1:22" s="191" customFormat="1" ht="15">
      <c r="A1060" s="236">
        <v>1049</v>
      </c>
      <c r="B1060" s="244">
        <v>46132</v>
      </c>
      <c r="C1060" s="245" t="s">
        <v>261</v>
      </c>
      <c r="D1060" s="246" t="s">
        <v>1298</v>
      </c>
      <c r="E1060" s="247">
        <v>1</v>
      </c>
      <c r="F1060" s="247"/>
      <c r="G1060" s="248"/>
      <c r="H1060" s="247"/>
      <c r="I1060" s="244" t="s">
        <v>438</v>
      </c>
      <c r="J1060" s="249" t="s">
        <v>21</v>
      </c>
      <c r="K1060" s="249" t="s">
        <v>22</v>
      </c>
      <c r="L1060" s="250">
        <f t="shared" si="67"/>
        <v>1</v>
      </c>
      <c r="M1060" s="237">
        <f t="array" ref="M1060">INDEX('BKTT T4.26'!$N$12:$N$55,MATCH(V1060,'BKTT T4.26'!$A$12:$A$55,0),0)</f>
        <v>654871</v>
      </c>
      <c r="N1060" s="162">
        <f t="shared" si="70"/>
        <v>654871</v>
      </c>
      <c r="O1060" s="238" t="s">
        <v>264</v>
      </c>
      <c r="P1060" s="251" t="s">
        <v>1448</v>
      </c>
      <c r="R1060" s="191" t="str">
        <f t="shared" si="68"/>
        <v>Cước vận chuyển Container hàng 20' tuyến đường PAN HA - HẢI AN. BKS: 15C30649</v>
      </c>
      <c r="S1060" s="191" t="str">
        <f t="shared" si="69"/>
        <v xml:space="preserve"> hàng 20' </v>
      </c>
      <c r="V1060" s="191">
        <v>1</v>
      </c>
    </row>
    <row r="1061" spans="1:22" s="191" customFormat="1" ht="15">
      <c r="A1061" s="236">
        <v>1050</v>
      </c>
      <c r="B1061" s="244">
        <v>46132</v>
      </c>
      <c r="C1061" s="245" t="s">
        <v>261</v>
      </c>
      <c r="D1061" s="246" t="s">
        <v>1299</v>
      </c>
      <c r="E1061" s="247">
        <v>1</v>
      </c>
      <c r="F1061" s="247"/>
      <c r="G1061" s="248"/>
      <c r="H1061" s="247"/>
      <c r="I1061" s="244" t="s">
        <v>438</v>
      </c>
      <c r="J1061" s="249" t="s">
        <v>21</v>
      </c>
      <c r="K1061" s="249" t="s">
        <v>22</v>
      </c>
      <c r="L1061" s="250">
        <f t="shared" si="67"/>
        <v>1</v>
      </c>
      <c r="M1061" s="237">
        <f t="array" ref="M1061">INDEX('BKTT T4.26'!$N$12:$N$55,MATCH(V1061,'BKTT T4.26'!$A$12:$A$55,0),0)</f>
        <v>654871</v>
      </c>
      <c r="N1061" s="162">
        <f t="shared" si="70"/>
        <v>654871</v>
      </c>
      <c r="O1061" s="238" t="s">
        <v>264</v>
      </c>
      <c r="P1061" s="251" t="s">
        <v>1448</v>
      </c>
      <c r="R1061" s="191" t="str">
        <f t="shared" si="68"/>
        <v>Cước vận chuyển Container hàng 20' tuyến đường PAN HA - HẢI AN. BKS: 15C30649</v>
      </c>
      <c r="S1061" s="191" t="str">
        <f t="shared" si="69"/>
        <v xml:space="preserve"> hàng 20' </v>
      </c>
      <c r="V1061" s="191">
        <v>1</v>
      </c>
    </row>
    <row r="1062" spans="1:22" s="191" customFormat="1" ht="15">
      <c r="A1062" s="236">
        <v>1051</v>
      </c>
      <c r="B1062" s="244">
        <v>46132</v>
      </c>
      <c r="C1062" s="245" t="s">
        <v>261</v>
      </c>
      <c r="D1062" s="246" t="s">
        <v>1300</v>
      </c>
      <c r="E1062" s="247"/>
      <c r="F1062" s="247">
        <v>1</v>
      </c>
      <c r="G1062" s="248"/>
      <c r="H1062" s="247"/>
      <c r="I1062" s="244" t="s">
        <v>438</v>
      </c>
      <c r="J1062" s="249" t="s">
        <v>21</v>
      </c>
      <c r="K1062" s="249" t="s">
        <v>25</v>
      </c>
      <c r="L1062" s="250">
        <f t="shared" si="67"/>
        <v>1</v>
      </c>
      <c r="M1062" s="237">
        <f t="array" ref="M1062">INDEX('BKTT T4.26'!$N$12:$N$55,MATCH(V1062,'BKTT T4.26'!$A$12:$A$55,0),0)</f>
        <v>681050</v>
      </c>
      <c r="N1062" s="162">
        <f t="shared" si="70"/>
        <v>681050</v>
      </c>
      <c r="O1062" s="238" t="s">
        <v>264</v>
      </c>
      <c r="P1062" s="251" t="s">
        <v>1448</v>
      </c>
      <c r="R1062" s="191" t="str">
        <f t="shared" si="68"/>
        <v>Cước vận chuyển Container hàng 40' tuyến đường PAN HA - HẢI AN,. BKS: 15C30649</v>
      </c>
      <c r="S1062" s="191" t="str">
        <f t="shared" si="69"/>
        <v xml:space="preserve"> hàng 40' </v>
      </c>
      <c r="V1062" s="191">
        <v>2</v>
      </c>
    </row>
    <row r="1063" spans="1:22" s="191" customFormat="1" ht="15">
      <c r="A1063" s="236">
        <v>1052</v>
      </c>
      <c r="B1063" s="244">
        <v>46132</v>
      </c>
      <c r="C1063" s="245" t="s">
        <v>261</v>
      </c>
      <c r="D1063" s="246" t="s">
        <v>1301</v>
      </c>
      <c r="E1063" s="247"/>
      <c r="F1063" s="247">
        <v>1</v>
      </c>
      <c r="G1063" s="248"/>
      <c r="H1063" s="247"/>
      <c r="I1063" s="244" t="s">
        <v>438</v>
      </c>
      <c r="J1063" s="249" t="s">
        <v>21</v>
      </c>
      <c r="K1063" s="249" t="s">
        <v>25</v>
      </c>
      <c r="L1063" s="250">
        <f t="shared" si="67"/>
        <v>1</v>
      </c>
      <c r="M1063" s="237">
        <f t="array" ref="M1063">INDEX('BKTT T4.26'!$N$12:$N$55,MATCH(V1063,'BKTT T4.26'!$A$12:$A$55,0),0)</f>
        <v>681050</v>
      </c>
      <c r="N1063" s="162">
        <f t="shared" si="70"/>
        <v>681050</v>
      </c>
      <c r="O1063" s="238" t="s">
        <v>264</v>
      </c>
      <c r="P1063" s="251" t="s">
        <v>1448</v>
      </c>
      <c r="R1063" s="191" t="str">
        <f t="shared" si="68"/>
        <v>Cước vận chuyển Container hàng 40' tuyến đường PAN HA - HẢI AN,. BKS: 15C30649</v>
      </c>
      <c r="S1063" s="191" t="str">
        <f t="shared" si="69"/>
        <v xml:space="preserve"> hàng 40' </v>
      </c>
      <c r="V1063" s="191">
        <v>2</v>
      </c>
    </row>
    <row r="1064" spans="1:22" s="191" customFormat="1" ht="15">
      <c r="A1064" s="236">
        <v>1053</v>
      </c>
      <c r="B1064" s="244">
        <v>46132</v>
      </c>
      <c r="C1064" s="245" t="s">
        <v>261</v>
      </c>
      <c r="D1064" s="246" t="s">
        <v>1302</v>
      </c>
      <c r="E1064" s="247">
        <v>1</v>
      </c>
      <c r="F1064" s="247"/>
      <c r="G1064" s="248"/>
      <c r="H1064" s="247"/>
      <c r="I1064" s="244" t="s">
        <v>438</v>
      </c>
      <c r="J1064" s="249" t="s">
        <v>21</v>
      </c>
      <c r="K1064" s="249" t="s">
        <v>31</v>
      </c>
      <c r="L1064" s="250">
        <f t="shared" si="67"/>
        <v>1</v>
      </c>
      <c r="M1064" s="237">
        <f t="array" ref="M1064">INDEX('BKTT T4.26'!$N$12:$N$55,MATCH(V1064,'BKTT T4.26'!$A$12:$A$55,0),0)</f>
        <v>454158</v>
      </c>
      <c r="N1064" s="162">
        <f t="shared" si="70"/>
        <v>454158</v>
      </c>
      <c r="O1064" s="238" t="s">
        <v>264</v>
      </c>
      <c r="P1064" s="251" t="s">
        <v>1448</v>
      </c>
      <c r="R1064" s="191" t="str">
        <f t="shared" si="68"/>
        <v>Cước vận chuyển Container hàng 20' tuyến đường PAN HA - NDV. BKS: 15C30649</v>
      </c>
      <c r="S1064" s="191" t="str">
        <f t="shared" si="69"/>
        <v xml:space="preserve"> hàng 20' </v>
      </c>
      <c r="V1064" s="191">
        <v>7</v>
      </c>
    </row>
    <row r="1065" spans="1:22" s="191" customFormat="1" ht="15">
      <c r="A1065" s="236">
        <v>1054</v>
      </c>
      <c r="B1065" s="244">
        <v>46132</v>
      </c>
      <c r="C1065" s="245" t="s">
        <v>261</v>
      </c>
      <c r="D1065" s="246" t="s">
        <v>1303</v>
      </c>
      <c r="E1065" s="247">
        <v>1</v>
      </c>
      <c r="F1065" s="247"/>
      <c r="G1065" s="248"/>
      <c r="H1065" s="247"/>
      <c r="I1065" s="244" t="s">
        <v>438</v>
      </c>
      <c r="J1065" s="249" t="s">
        <v>21</v>
      </c>
      <c r="K1065" s="249" t="s">
        <v>31</v>
      </c>
      <c r="L1065" s="250">
        <f t="shared" si="67"/>
        <v>1</v>
      </c>
      <c r="M1065" s="237">
        <f t="array" ref="M1065">INDEX('BKTT T4.26'!$N$12:$N$55,MATCH(V1065,'BKTT T4.26'!$A$12:$A$55,0),0)</f>
        <v>454158</v>
      </c>
      <c r="N1065" s="162">
        <f t="shared" si="70"/>
        <v>454158</v>
      </c>
      <c r="O1065" s="238" t="s">
        <v>264</v>
      </c>
      <c r="P1065" s="251" t="s">
        <v>1448</v>
      </c>
      <c r="R1065" s="191" t="str">
        <f t="shared" si="68"/>
        <v>Cước vận chuyển Container hàng 20' tuyến đường PAN HA - NDV. BKS: 15C30649</v>
      </c>
      <c r="S1065" s="191" t="str">
        <f t="shared" si="69"/>
        <v xml:space="preserve"> hàng 20' </v>
      </c>
      <c r="V1065" s="191">
        <v>7</v>
      </c>
    </row>
    <row r="1066" spans="1:22" s="283" customFormat="1" ht="15">
      <c r="A1066" s="236">
        <v>1055</v>
      </c>
      <c r="B1066" s="272">
        <v>46132</v>
      </c>
      <c r="C1066" s="273" t="s">
        <v>261</v>
      </c>
      <c r="D1066" s="285" t="s">
        <v>1478</v>
      </c>
      <c r="E1066" s="275">
        <v>1</v>
      </c>
      <c r="F1066" s="275"/>
      <c r="G1066" s="276"/>
      <c r="H1066" s="275"/>
      <c r="I1066" s="272" t="s">
        <v>438</v>
      </c>
      <c r="J1066" s="249" t="s">
        <v>21</v>
      </c>
      <c r="K1066" s="277" t="s">
        <v>31</v>
      </c>
      <c r="L1066" s="278">
        <f t="shared" si="67"/>
        <v>1</v>
      </c>
      <c r="M1066" s="279">
        <f t="array" ref="M1066">INDEX('BKTT T4.26'!$N$12:$N$55,MATCH(V1066,'BKTT T4.26'!$A$12:$A$55,0),0)</f>
        <v>454158</v>
      </c>
      <c r="N1066" s="280">
        <f t="shared" si="70"/>
        <v>454158</v>
      </c>
      <c r="O1066" s="281" t="s">
        <v>264</v>
      </c>
      <c r="P1066" s="282" t="s">
        <v>1447</v>
      </c>
      <c r="R1066" s="283" t="str">
        <f t="shared" si="68"/>
        <v>Cước vận chuyển Container hàng 20' tuyến đường PAN HA - NDV. BKS: 15C30649</v>
      </c>
      <c r="S1066" s="283" t="str">
        <f t="shared" si="69"/>
        <v xml:space="preserve"> hàng 20' </v>
      </c>
      <c r="V1066" s="191">
        <v>7</v>
      </c>
    </row>
    <row r="1067" spans="1:22" s="191" customFormat="1" ht="15">
      <c r="A1067" s="236">
        <v>1056</v>
      </c>
      <c r="B1067" s="244">
        <v>46132</v>
      </c>
      <c r="C1067" s="245" t="s">
        <v>261</v>
      </c>
      <c r="D1067" s="246" t="s">
        <v>1304</v>
      </c>
      <c r="E1067" s="247">
        <v>1</v>
      </c>
      <c r="F1067" s="247"/>
      <c r="G1067" s="248"/>
      <c r="H1067" s="247"/>
      <c r="I1067" s="244" t="s">
        <v>438</v>
      </c>
      <c r="J1067" s="249" t="s">
        <v>21</v>
      </c>
      <c r="K1067" s="249" t="s">
        <v>31</v>
      </c>
      <c r="L1067" s="250">
        <f t="shared" si="67"/>
        <v>1</v>
      </c>
      <c r="M1067" s="237">
        <f t="array" ref="M1067">INDEX('BKTT T4.26'!$N$12:$N$55,MATCH(V1067,'BKTT T4.26'!$A$12:$A$55,0),0)</f>
        <v>454158</v>
      </c>
      <c r="N1067" s="162">
        <f t="shared" si="70"/>
        <v>454158</v>
      </c>
      <c r="O1067" s="238" t="s">
        <v>264</v>
      </c>
      <c r="P1067" s="251" t="s">
        <v>1448</v>
      </c>
      <c r="R1067" s="191" t="str">
        <f t="shared" si="68"/>
        <v>Cước vận chuyển Container hàng 20' tuyến đường PAN HA - NDV. BKS: 15C30649</v>
      </c>
      <c r="S1067" s="191" t="str">
        <f t="shared" si="69"/>
        <v xml:space="preserve"> hàng 20' </v>
      </c>
      <c r="V1067" s="191">
        <v>7</v>
      </c>
    </row>
    <row r="1068" spans="1:22" s="191" customFormat="1" ht="15">
      <c r="A1068" s="236">
        <v>1057</v>
      </c>
      <c r="B1068" s="244">
        <v>46132</v>
      </c>
      <c r="C1068" s="245" t="s">
        <v>261</v>
      </c>
      <c r="D1068" s="246" t="s">
        <v>1305</v>
      </c>
      <c r="E1068" s="247">
        <v>1</v>
      </c>
      <c r="F1068" s="247"/>
      <c r="G1068" s="248"/>
      <c r="H1068" s="247"/>
      <c r="I1068" s="244" t="s">
        <v>438</v>
      </c>
      <c r="J1068" s="249" t="s">
        <v>21</v>
      </c>
      <c r="K1068" s="249" t="s">
        <v>31</v>
      </c>
      <c r="L1068" s="250">
        <f t="shared" si="67"/>
        <v>1</v>
      </c>
      <c r="M1068" s="237">
        <f t="array" ref="M1068">INDEX('BKTT T4.26'!$N$12:$N$55,MATCH(V1068,'BKTT T4.26'!$A$12:$A$55,0),0)</f>
        <v>454158</v>
      </c>
      <c r="N1068" s="162">
        <f t="shared" si="70"/>
        <v>454158</v>
      </c>
      <c r="O1068" s="238" t="s">
        <v>264</v>
      </c>
      <c r="P1068" s="251" t="s">
        <v>1448</v>
      </c>
      <c r="R1068" s="191" t="str">
        <f t="shared" si="68"/>
        <v>Cước vận chuyển Container hàng 20' tuyến đường PAN HA - NDV. BKS: 15C30649</v>
      </c>
      <c r="S1068" s="191" t="str">
        <f t="shared" si="69"/>
        <v xml:space="preserve"> hàng 20' </v>
      </c>
      <c r="V1068" s="191">
        <v>7</v>
      </c>
    </row>
    <row r="1069" spans="1:22" s="191" customFormat="1" ht="15">
      <c r="A1069" s="236">
        <v>1058</v>
      </c>
      <c r="B1069" s="244">
        <v>46132</v>
      </c>
      <c r="C1069" s="245" t="s">
        <v>261</v>
      </c>
      <c r="D1069" s="246" t="s">
        <v>1306</v>
      </c>
      <c r="E1069" s="247">
        <v>1</v>
      </c>
      <c r="F1069" s="247"/>
      <c r="G1069" s="248"/>
      <c r="H1069" s="247"/>
      <c r="I1069" s="244" t="s">
        <v>438</v>
      </c>
      <c r="J1069" s="249" t="s">
        <v>21</v>
      </c>
      <c r="K1069" s="249" t="s">
        <v>31</v>
      </c>
      <c r="L1069" s="250">
        <f t="shared" si="67"/>
        <v>1</v>
      </c>
      <c r="M1069" s="237">
        <f t="array" ref="M1069">INDEX('BKTT T4.26'!$N$12:$N$55,MATCH(V1069,'BKTT T4.26'!$A$12:$A$55,0),0)</f>
        <v>454158</v>
      </c>
      <c r="N1069" s="162">
        <f t="shared" si="70"/>
        <v>454158</v>
      </c>
      <c r="O1069" s="238" t="s">
        <v>264</v>
      </c>
      <c r="P1069" s="251" t="s">
        <v>1448</v>
      </c>
      <c r="R1069" s="191" t="str">
        <f t="shared" si="68"/>
        <v>Cước vận chuyển Container hàng 20' tuyến đường PAN HA - NDV. BKS: 15C30649</v>
      </c>
      <c r="S1069" s="191" t="str">
        <f t="shared" si="69"/>
        <v xml:space="preserve"> hàng 20' </v>
      </c>
      <c r="V1069" s="191">
        <v>7</v>
      </c>
    </row>
    <row r="1070" spans="1:22" s="191" customFormat="1" ht="15">
      <c r="A1070" s="236">
        <v>1059</v>
      </c>
      <c r="B1070" s="244">
        <v>46130</v>
      </c>
      <c r="C1070" s="245" t="s">
        <v>261</v>
      </c>
      <c r="D1070" s="246" t="s">
        <v>1307</v>
      </c>
      <c r="E1070" s="247"/>
      <c r="F1070" s="247"/>
      <c r="G1070" s="248"/>
      <c r="H1070" s="247">
        <v>1</v>
      </c>
      <c r="I1070" s="244" t="s">
        <v>369</v>
      </c>
      <c r="J1070" s="249" t="s">
        <v>21</v>
      </c>
      <c r="K1070" s="249" t="s">
        <v>27</v>
      </c>
      <c r="L1070" s="250">
        <f t="shared" si="67"/>
        <v>1</v>
      </c>
      <c r="M1070" s="237">
        <f t="array" ref="M1070">INDEX('BKTT T4.26'!$N$12:$N$55,MATCH(V1070,'BKTT T4.26'!$A$12:$A$55,0),0)</f>
        <v>628690</v>
      </c>
      <c r="N1070" s="162">
        <f t="shared" si="70"/>
        <v>628690</v>
      </c>
      <c r="O1070" s="238" t="s">
        <v>264</v>
      </c>
      <c r="P1070" s="251" t="s">
        <v>1448</v>
      </c>
      <c r="R1070" s="191" t="str">
        <f t="shared" si="68"/>
        <v>Cước vận chuyển Container vỏ tuyến đường PAN HA - HẢI AN.. BKS: 15C15033</v>
      </c>
      <c r="S1070" s="191" t="str">
        <f t="shared" si="69"/>
        <v xml:space="preserve"> vỏ </v>
      </c>
      <c r="V1070" s="191">
        <v>3</v>
      </c>
    </row>
    <row r="1071" spans="1:22" s="191" customFormat="1" ht="15">
      <c r="A1071" s="236">
        <v>1060</v>
      </c>
      <c r="B1071" s="244">
        <v>46130</v>
      </c>
      <c r="C1071" s="245" t="s">
        <v>261</v>
      </c>
      <c r="D1071" s="246" t="s">
        <v>1308</v>
      </c>
      <c r="E1071" s="247"/>
      <c r="F1071" s="247"/>
      <c r="G1071" s="248"/>
      <c r="H1071" s="247">
        <v>1</v>
      </c>
      <c r="I1071" s="244" t="s">
        <v>369</v>
      </c>
      <c r="J1071" s="249" t="s">
        <v>21</v>
      </c>
      <c r="K1071" s="249" t="s">
        <v>27</v>
      </c>
      <c r="L1071" s="250">
        <f t="shared" si="67"/>
        <v>1</v>
      </c>
      <c r="M1071" s="237">
        <f t="array" ref="M1071">INDEX('BKTT T4.26'!$N$12:$N$55,MATCH(V1071,'BKTT T4.26'!$A$12:$A$55,0),0)</f>
        <v>628690</v>
      </c>
      <c r="N1071" s="162">
        <f t="shared" si="70"/>
        <v>628690</v>
      </c>
      <c r="O1071" s="238" t="s">
        <v>264</v>
      </c>
      <c r="P1071" s="251" t="s">
        <v>1448</v>
      </c>
      <c r="R1071" s="191" t="str">
        <f t="shared" si="68"/>
        <v>Cước vận chuyển Container vỏ tuyến đường PAN HA - HẢI AN.. BKS: 15C15033</v>
      </c>
      <c r="S1071" s="191" t="str">
        <f t="shared" si="69"/>
        <v xml:space="preserve"> vỏ </v>
      </c>
      <c r="V1071" s="191">
        <v>3</v>
      </c>
    </row>
    <row r="1072" spans="1:22" s="191" customFormat="1" ht="15">
      <c r="A1072" s="236">
        <v>1061</v>
      </c>
      <c r="B1072" s="244">
        <v>46132</v>
      </c>
      <c r="C1072" s="245" t="s">
        <v>261</v>
      </c>
      <c r="D1072" s="246" t="s">
        <v>440</v>
      </c>
      <c r="E1072" s="247">
        <v>1</v>
      </c>
      <c r="F1072" s="247"/>
      <c r="G1072" s="248"/>
      <c r="H1072" s="247"/>
      <c r="I1072" s="244" t="s">
        <v>369</v>
      </c>
      <c r="J1072" s="249" t="s">
        <v>21</v>
      </c>
      <c r="K1072" s="249" t="s">
        <v>22</v>
      </c>
      <c r="L1072" s="250">
        <f t="shared" si="67"/>
        <v>1</v>
      </c>
      <c r="M1072" s="237">
        <f t="array" ref="M1072">INDEX('BKTT T4.26'!$N$12:$N$55,MATCH(V1072,'BKTT T4.26'!$A$12:$A$55,0),0)</f>
        <v>654871</v>
      </c>
      <c r="N1072" s="162">
        <f t="shared" si="70"/>
        <v>654871</v>
      </c>
      <c r="O1072" s="238" t="s">
        <v>264</v>
      </c>
      <c r="P1072" s="251" t="s">
        <v>1448</v>
      </c>
      <c r="R1072" s="191" t="str">
        <f t="shared" si="68"/>
        <v>Cước vận chuyển Container hàng 20' tuyến đường PAN HA - HẢI AN. BKS: 15C15033</v>
      </c>
      <c r="S1072" s="191" t="str">
        <f t="shared" si="69"/>
        <v xml:space="preserve"> hàng 20' </v>
      </c>
      <c r="V1072" s="191">
        <v>1</v>
      </c>
    </row>
    <row r="1073" spans="1:22" s="191" customFormat="1" ht="15">
      <c r="A1073" s="236">
        <v>1062</v>
      </c>
      <c r="B1073" s="244">
        <v>46132</v>
      </c>
      <c r="C1073" s="245" t="s">
        <v>261</v>
      </c>
      <c r="D1073" s="246" t="s">
        <v>1309</v>
      </c>
      <c r="E1073" s="247">
        <v>1</v>
      </c>
      <c r="F1073" s="247"/>
      <c r="G1073" s="248"/>
      <c r="H1073" s="247"/>
      <c r="I1073" s="244" t="s">
        <v>369</v>
      </c>
      <c r="J1073" s="249" t="s">
        <v>21</v>
      </c>
      <c r="K1073" s="249" t="s">
        <v>22</v>
      </c>
      <c r="L1073" s="250">
        <f t="shared" si="67"/>
        <v>1</v>
      </c>
      <c r="M1073" s="237">
        <f t="array" ref="M1073">INDEX('BKTT T4.26'!$N$12:$N$55,MATCH(V1073,'BKTT T4.26'!$A$12:$A$55,0),0)</f>
        <v>654871</v>
      </c>
      <c r="N1073" s="162">
        <f t="shared" si="70"/>
        <v>654871</v>
      </c>
      <c r="O1073" s="238" t="s">
        <v>264</v>
      </c>
      <c r="P1073" s="251" t="s">
        <v>1448</v>
      </c>
      <c r="R1073" s="191" t="str">
        <f t="shared" si="68"/>
        <v>Cước vận chuyển Container hàng 20' tuyến đường PAN HA - HẢI AN. BKS: 15C15033</v>
      </c>
      <c r="S1073" s="191" t="str">
        <f t="shared" si="69"/>
        <v xml:space="preserve"> hàng 20' </v>
      </c>
      <c r="V1073" s="191">
        <v>1</v>
      </c>
    </row>
    <row r="1074" spans="1:22" s="191" customFormat="1" ht="15">
      <c r="A1074" s="236">
        <v>1063</v>
      </c>
      <c r="B1074" s="244">
        <v>46132</v>
      </c>
      <c r="C1074" s="245" t="s">
        <v>261</v>
      </c>
      <c r="D1074" s="246" t="s">
        <v>1310</v>
      </c>
      <c r="E1074" s="247"/>
      <c r="F1074" s="247">
        <v>1</v>
      </c>
      <c r="G1074" s="248"/>
      <c r="H1074" s="247"/>
      <c r="I1074" s="244" t="s">
        <v>369</v>
      </c>
      <c r="J1074" s="249" t="s">
        <v>21</v>
      </c>
      <c r="K1074" s="249" t="s">
        <v>25</v>
      </c>
      <c r="L1074" s="250">
        <f t="shared" si="67"/>
        <v>1</v>
      </c>
      <c r="M1074" s="237">
        <f t="array" ref="M1074">INDEX('BKTT T4.26'!$N$12:$N$55,MATCH(V1074,'BKTT T4.26'!$A$12:$A$55,0),0)</f>
        <v>681050</v>
      </c>
      <c r="N1074" s="162">
        <f t="shared" si="70"/>
        <v>681050</v>
      </c>
      <c r="O1074" s="238" t="s">
        <v>264</v>
      </c>
      <c r="P1074" s="251" t="s">
        <v>1448</v>
      </c>
      <c r="R1074" s="191" t="str">
        <f t="shared" si="68"/>
        <v>Cước vận chuyển Container hàng 40' tuyến đường PAN HA - HẢI AN,. BKS: 15C15033</v>
      </c>
      <c r="S1074" s="191" t="str">
        <f t="shared" si="69"/>
        <v xml:space="preserve"> hàng 40' </v>
      </c>
      <c r="V1074" s="191">
        <v>2</v>
      </c>
    </row>
    <row r="1075" spans="1:22" s="191" customFormat="1" ht="15">
      <c r="A1075" s="236">
        <v>1064</v>
      </c>
      <c r="B1075" s="244">
        <v>46132</v>
      </c>
      <c r="C1075" s="245" t="s">
        <v>261</v>
      </c>
      <c r="D1075" s="246" t="s">
        <v>1311</v>
      </c>
      <c r="E1075" s="247"/>
      <c r="F1075" s="247">
        <v>1</v>
      </c>
      <c r="G1075" s="248"/>
      <c r="H1075" s="247"/>
      <c r="I1075" s="244" t="s">
        <v>369</v>
      </c>
      <c r="J1075" s="249" t="s">
        <v>21</v>
      </c>
      <c r="K1075" s="249" t="s">
        <v>25</v>
      </c>
      <c r="L1075" s="250">
        <f t="shared" si="67"/>
        <v>1</v>
      </c>
      <c r="M1075" s="237">
        <f t="array" ref="M1075">INDEX('BKTT T4.26'!$N$12:$N$55,MATCH(V1075,'BKTT T4.26'!$A$12:$A$55,0),0)</f>
        <v>681050</v>
      </c>
      <c r="N1075" s="162">
        <f t="shared" si="70"/>
        <v>681050</v>
      </c>
      <c r="O1075" s="238" t="s">
        <v>264</v>
      </c>
      <c r="P1075" s="251" t="s">
        <v>1448</v>
      </c>
      <c r="R1075" s="191" t="str">
        <f t="shared" si="68"/>
        <v>Cước vận chuyển Container hàng 40' tuyến đường PAN HA - HẢI AN,. BKS: 15C15033</v>
      </c>
      <c r="S1075" s="191" t="str">
        <f t="shared" si="69"/>
        <v xml:space="preserve"> hàng 40' </v>
      </c>
      <c r="V1075" s="191">
        <v>2</v>
      </c>
    </row>
    <row r="1076" spans="1:22" s="191" customFormat="1" ht="15">
      <c r="A1076" s="236">
        <v>1065</v>
      </c>
      <c r="B1076" s="244">
        <v>46132</v>
      </c>
      <c r="C1076" s="245" t="s">
        <v>261</v>
      </c>
      <c r="D1076" s="246" t="s">
        <v>1312</v>
      </c>
      <c r="E1076" s="254"/>
      <c r="F1076" s="247">
        <v>1</v>
      </c>
      <c r="G1076" s="254"/>
      <c r="H1076" s="254"/>
      <c r="I1076" s="244" t="s">
        <v>369</v>
      </c>
      <c r="J1076" s="249" t="s">
        <v>21</v>
      </c>
      <c r="K1076" s="249" t="s">
        <v>25</v>
      </c>
      <c r="L1076" s="250">
        <f t="shared" si="67"/>
        <v>1</v>
      </c>
      <c r="M1076" s="237">
        <f t="array" ref="M1076">INDEX('BKTT T4.26'!$N$12:$N$55,MATCH(V1076,'BKTT T4.26'!$A$12:$A$55,0),0)</f>
        <v>681050</v>
      </c>
      <c r="N1076" s="162">
        <f t="shared" si="70"/>
        <v>681050</v>
      </c>
      <c r="O1076" s="238" t="s">
        <v>264</v>
      </c>
      <c r="P1076" s="251" t="s">
        <v>1448</v>
      </c>
      <c r="R1076" s="191" t="str">
        <f t="shared" si="68"/>
        <v>Cước vận chuyển Container hàng 40' tuyến đường PAN HA - HẢI AN,. BKS: 15C15033</v>
      </c>
      <c r="S1076" s="191" t="str">
        <f t="shared" si="69"/>
        <v xml:space="preserve"> hàng 40' </v>
      </c>
      <c r="V1076" s="191">
        <v>2</v>
      </c>
    </row>
    <row r="1077" spans="1:22" s="191" customFormat="1" ht="15">
      <c r="A1077" s="236">
        <v>1066</v>
      </c>
      <c r="B1077" s="244">
        <v>46132</v>
      </c>
      <c r="C1077" s="245" t="s">
        <v>261</v>
      </c>
      <c r="D1077" s="246" t="s">
        <v>1313</v>
      </c>
      <c r="E1077" s="254">
        <v>1</v>
      </c>
      <c r="F1077" s="254"/>
      <c r="G1077" s="254"/>
      <c r="H1077" s="254"/>
      <c r="I1077" s="244" t="s">
        <v>369</v>
      </c>
      <c r="J1077" s="249" t="s">
        <v>21</v>
      </c>
      <c r="K1077" s="249" t="s">
        <v>31</v>
      </c>
      <c r="L1077" s="250">
        <f t="shared" si="67"/>
        <v>1</v>
      </c>
      <c r="M1077" s="237">
        <f t="array" ref="M1077">INDEX('BKTT T4.26'!$N$12:$N$55,MATCH(V1077,'BKTT T4.26'!$A$12:$A$55,0),0)</f>
        <v>454158</v>
      </c>
      <c r="N1077" s="162">
        <f t="shared" si="70"/>
        <v>454158</v>
      </c>
      <c r="O1077" s="238" t="s">
        <v>264</v>
      </c>
      <c r="P1077" s="251" t="s">
        <v>1448</v>
      </c>
      <c r="R1077" s="191" t="str">
        <f t="shared" si="68"/>
        <v>Cước vận chuyển Container hàng 20' tuyến đường PAN HA - NDV. BKS: 15C15033</v>
      </c>
      <c r="S1077" s="191" t="str">
        <f t="shared" si="69"/>
        <v xml:space="preserve"> hàng 20' </v>
      </c>
      <c r="V1077" s="191">
        <v>7</v>
      </c>
    </row>
    <row r="1078" spans="1:22" s="191" customFormat="1" ht="15">
      <c r="A1078" s="236">
        <v>1067</v>
      </c>
      <c r="B1078" s="244">
        <v>46132</v>
      </c>
      <c r="C1078" s="245" t="s">
        <v>261</v>
      </c>
      <c r="D1078" s="246" t="s">
        <v>1314</v>
      </c>
      <c r="E1078" s="254">
        <v>1</v>
      </c>
      <c r="F1078" s="254"/>
      <c r="G1078" s="254"/>
      <c r="H1078" s="254"/>
      <c r="I1078" s="244" t="s">
        <v>369</v>
      </c>
      <c r="J1078" s="249" t="s">
        <v>21</v>
      </c>
      <c r="K1078" s="249" t="s">
        <v>31</v>
      </c>
      <c r="L1078" s="250">
        <f t="shared" si="67"/>
        <v>1</v>
      </c>
      <c r="M1078" s="237">
        <f t="array" ref="M1078">INDEX('BKTT T4.26'!$N$12:$N$55,MATCH(V1078,'BKTT T4.26'!$A$12:$A$55,0),0)</f>
        <v>454158</v>
      </c>
      <c r="N1078" s="162">
        <f t="shared" si="70"/>
        <v>454158</v>
      </c>
      <c r="O1078" s="238" t="s">
        <v>264</v>
      </c>
      <c r="P1078" s="251" t="s">
        <v>1448</v>
      </c>
      <c r="R1078" s="191" t="str">
        <f t="shared" si="68"/>
        <v>Cước vận chuyển Container hàng 20' tuyến đường PAN HA - NDV. BKS: 15C15033</v>
      </c>
      <c r="S1078" s="191" t="str">
        <f t="shared" si="69"/>
        <v xml:space="preserve"> hàng 20' </v>
      </c>
      <c r="V1078" s="191">
        <v>7</v>
      </c>
    </row>
    <row r="1079" spans="1:22" s="283" customFormat="1" ht="15">
      <c r="A1079" s="236">
        <v>1068</v>
      </c>
      <c r="B1079" s="272">
        <v>46132</v>
      </c>
      <c r="C1079" s="273" t="s">
        <v>261</v>
      </c>
      <c r="D1079" s="285" t="s">
        <v>1479</v>
      </c>
      <c r="E1079" s="298">
        <v>1</v>
      </c>
      <c r="F1079" s="298"/>
      <c r="G1079" s="298"/>
      <c r="H1079" s="298"/>
      <c r="I1079" s="272" t="s">
        <v>369</v>
      </c>
      <c r="J1079" s="249" t="s">
        <v>21</v>
      </c>
      <c r="K1079" s="277" t="s">
        <v>31</v>
      </c>
      <c r="L1079" s="278">
        <f t="shared" si="67"/>
        <v>1</v>
      </c>
      <c r="M1079" s="279">
        <f t="array" ref="M1079">INDEX('BKTT T4.26'!$N$12:$N$55,MATCH(V1079,'BKTT T4.26'!$A$12:$A$55,0),0)</f>
        <v>454158</v>
      </c>
      <c r="N1079" s="280">
        <f t="shared" si="70"/>
        <v>454158</v>
      </c>
      <c r="O1079" s="281" t="s">
        <v>264</v>
      </c>
      <c r="P1079" s="282" t="s">
        <v>1447</v>
      </c>
      <c r="R1079" s="283" t="str">
        <f t="shared" si="68"/>
        <v>Cước vận chuyển Container hàng 20' tuyến đường PAN HA - NDV. BKS: 15C15033</v>
      </c>
      <c r="S1079" s="283" t="str">
        <f t="shared" si="69"/>
        <v xml:space="preserve"> hàng 20' </v>
      </c>
      <c r="V1079" s="191">
        <v>7</v>
      </c>
    </row>
    <row r="1080" spans="1:22" s="191" customFormat="1" ht="15">
      <c r="A1080" s="236">
        <v>1069</v>
      </c>
      <c r="B1080" s="244">
        <v>46132</v>
      </c>
      <c r="C1080" s="245" t="s">
        <v>261</v>
      </c>
      <c r="D1080" s="246" t="s">
        <v>1315</v>
      </c>
      <c r="E1080" s="254">
        <v>1</v>
      </c>
      <c r="F1080" s="254"/>
      <c r="G1080" s="254"/>
      <c r="H1080" s="254"/>
      <c r="I1080" s="244" t="s">
        <v>369</v>
      </c>
      <c r="J1080" s="249" t="s">
        <v>21</v>
      </c>
      <c r="K1080" s="249" t="s">
        <v>31</v>
      </c>
      <c r="L1080" s="250">
        <f t="shared" si="67"/>
        <v>1</v>
      </c>
      <c r="M1080" s="237">
        <f t="array" ref="M1080">INDEX('BKTT T4.26'!$N$12:$N$55,MATCH(V1080,'BKTT T4.26'!$A$12:$A$55,0),0)</f>
        <v>454158</v>
      </c>
      <c r="N1080" s="162">
        <f t="shared" si="70"/>
        <v>454158</v>
      </c>
      <c r="O1080" s="238" t="s">
        <v>264</v>
      </c>
      <c r="P1080" s="251" t="s">
        <v>1448</v>
      </c>
      <c r="R1080" s="191" t="str">
        <f t="shared" si="68"/>
        <v>Cước vận chuyển Container hàng 20' tuyến đường PAN HA - NDV. BKS: 15C15033</v>
      </c>
      <c r="S1080" s="191" t="str">
        <f t="shared" si="69"/>
        <v xml:space="preserve"> hàng 20' </v>
      </c>
      <c r="V1080" s="191">
        <v>7</v>
      </c>
    </row>
    <row r="1081" spans="1:22" s="191" customFormat="1" ht="15">
      <c r="A1081" s="236">
        <v>1070</v>
      </c>
      <c r="B1081" s="244">
        <v>46132</v>
      </c>
      <c r="C1081" s="245" t="s">
        <v>261</v>
      </c>
      <c r="D1081" s="246" t="s">
        <v>1316</v>
      </c>
      <c r="E1081" s="254">
        <v>1</v>
      </c>
      <c r="F1081" s="254"/>
      <c r="G1081" s="254"/>
      <c r="H1081" s="254"/>
      <c r="I1081" s="244" t="s">
        <v>369</v>
      </c>
      <c r="J1081" s="249" t="s">
        <v>21</v>
      </c>
      <c r="K1081" s="249" t="s">
        <v>31</v>
      </c>
      <c r="L1081" s="250">
        <f t="shared" si="67"/>
        <v>1</v>
      </c>
      <c r="M1081" s="237">
        <f t="array" ref="M1081">INDEX('BKTT T4.26'!$N$12:$N$55,MATCH(V1081,'BKTT T4.26'!$A$12:$A$55,0),0)</f>
        <v>454158</v>
      </c>
      <c r="N1081" s="162">
        <f t="shared" si="70"/>
        <v>454158</v>
      </c>
      <c r="O1081" s="238" t="s">
        <v>264</v>
      </c>
      <c r="P1081" s="251" t="s">
        <v>1448</v>
      </c>
      <c r="R1081" s="191" t="str">
        <f t="shared" si="68"/>
        <v>Cước vận chuyển Container hàng 20' tuyến đường PAN HA - NDV. BKS: 15C15033</v>
      </c>
      <c r="S1081" s="191" t="str">
        <f t="shared" si="69"/>
        <v xml:space="preserve"> hàng 20' </v>
      </c>
      <c r="V1081" s="191">
        <v>7</v>
      </c>
    </row>
    <row r="1082" spans="1:22" s="191" customFormat="1" ht="15">
      <c r="A1082" s="236">
        <v>1071</v>
      </c>
      <c r="B1082" s="244">
        <v>46132</v>
      </c>
      <c r="C1082" s="245" t="s">
        <v>261</v>
      </c>
      <c r="D1082" s="246" t="s">
        <v>1317</v>
      </c>
      <c r="E1082" s="254">
        <v>1</v>
      </c>
      <c r="F1082" s="254"/>
      <c r="G1082" s="254"/>
      <c r="H1082" s="254"/>
      <c r="I1082" s="244" t="s">
        <v>369</v>
      </c>
      <c r="J1082" s="249" t="s">
        <v>21</v>
      </c>
      <c r="K1082" s="249" t="s">
        <v>31</v>
      </c>
      <c r="L1082" s="250">
        <f t="shared" si="67"/>
        <v>1</v>
      </c>
      <c r="M1082" s="237">
        <f t="array" ref="M1082">INDEX('BKTT T4.26'!$N$12:$N$55,MATCH(V1082,'BKTT T4.26'!$A$12:$A$55,0),0)</f>
        <v>454158</v>
      </c>
      <c r="N1082" s="162">
        <f t="shared" si="70"/>
        <v>454158</v>
      </c>
      <c r="O1082" s="238" t="s">
        <v>264</v>
      </c>
      <c r="P1082" s="251" t="s">
        <v>1448</v>
      </c>
      <c r="R1082" s="191" t="str">
        <f t="shared" si="68"/>
        <v>Cước vận chuyển Container hàng 20' tuyến đường PAN HA - NDV. BKS: 15C15033</v>
      </c>
      <c r="S1082" s="191" t="str">
        <f t="shared" si="69"/>
        <v xml:space="preserve"> hàng 20' </v>
      </c>
      <c r="V1082" s="191">
        <v>7</v>
      </c>
    </row>
    <row r="1083" spans="1:22" s="191" customFormat="1" ht="15">
      <c r="A1083" s="236">
        <v>1072</v>
      </c>
      <c r="B1083" s="244">
        <v>46130</v>
      </c>
      <c r="C1083" s="245" t="s">
        <v>261</v>
      </c>
      <c r="D1083" s="246" t="s">
        <v>1318</v>
      </c>
      <c r="E1083" s="254"/>
      <c r="F1083" s="254"/>
      <c r="G1083" s="254"/>
      <c r="H1083" s="254">
        <v>1</v>
      </c>
      <c r="I1083" s="244" t="s">
        <v>363</v>
      </c>
      <c r="J1083" s="249" t="s">
        <v>21</v>
      </c>
      <c r="K1083" s="249" t="s">
        <v>27</v>
      </c>
      <c r="L1083" s="250">
        <f t="shared" si="67"/>
        <v>1</v>
      </c>
      <c r="M1083" s="237">
        <f t="array" ref="M1083">INDEX('BKTT T4.26'!$N$12:$N$55,MATCH(V1083,'BKTT T4.26'!$A$12:$A$55,0),0)</f>
        <v>628690</v>
      </c>
      <c r="N1083" s="162">
        <f t="shared" si="70"/>
        <v>628690</v>
      </c>
      <c r="O1083" s="238" t="s">
        <v>264</v>
      </c>
      <c r="P1083" s="251" t="s">
        <v>1448</v>
      </c>
      <c r="R1083" s="191" t="str">
        <f t="shared" si="68"/>
        <v>Cước vận chuyển Container vỏ tuyến đường PAN HA - HẢI AN.. BKS: 15H20645</v>
      </c>
      <c r="S1083" s="191" t="str">
        <f t="shared" si="69"/>
        <v xml:space="preserve"> vỏ </v>
      </c>
      <c r="V1083" s="191">
        <v>3</v>
      </c>
    </row>
    <row r="1084" spans="1:22" s="191" customFormat="1" ht="15">
      <c r="A1084" s="236">
        <v>1073</v>
      </c>
      <c r="B1084" s="244">
        <v>46130</v>
      </c>
      <c r="C1084" s="245" t="s">
        <v>261</v>
      </c>
      <c r="D1084" s="246" t="s">
        <v>1319</v>
      </c>
      <c r="E1084" s="254"/>
      <c r="F1084" s="254"/>
      <c r="G1084" s="254"/>
      <c r="H1084" s="254">
        <v>1</v>
      </c>
      <c r="I1084" s="244" t="s">
        <v>363</v>
      </c>
      <c r="J1084" s="249" t="s">
        <v>21</v>
      </c>
      <c r="K1084" s="249" t="s">
        <v>27</v>
      </c>
      <c r="L1084" s="250">
        <f t="shared" si="67"/>
        <v>1</v>
      </c>
      <c r="M1084" s="237">
        <f t="array" ref="M1084">INDEX('BKTT T4.26'!$N$12:$N$55,MATCH(V1084,'BKTT T4.26'!$A$12:$A$55,0),0)</f>
        <v>628690</v>
      </c>
      <c r="N1084" s="162">
        <f t="shared" si="70"/>
        <v>628690</v>
      </c>
      <c r="O1084" s="238" t="s">
        <v>264</v>
      </c>
      <c r="P1084" s="251" t="s">
        <v>1448</v>
      </c>
      <c r="R1084" s="191" t="str">
        <f t="shared" si="68"/>
        <v>Cước vận chuyển Container vỏ tuyến đường PAN HA - HẢI AN.. BKS: 15H20645</v>
      </c>
      <c r="S1084" s="191" t="str">
        <f t="shared" si="69"/>
        <v xml:space="preserve"> vỏ </v>
      </c>
      <c r="V1084" s="191">
        <v>3</v>
      </c>
    </row>
    <row r="1085" spans="1:22" s="191" customFormat="1" ht="15">
      <c r="A1085" s="236">
        <v>1074</v>
      </c>
      <c r="B1085" s="244">
        <v>46131</v>
      </c>
      <c r="C1085" s="245" t="s">
        <v>261</v>
      </c>
      <c r="D1085" s="246" t="s">
        <v>1320</v>
      </c>
      <c r="E1085" s="254">
        <v>1</v>
      </c>
      <c r="F1085" s="254"/>
      <c r="G1085" s="254"/>
      <c r="H1085" s="254"/>
      <c r="I1085" s="244" t="s">
        <v>263</v>
      </c>
      <c r="J1085" s="249" t="s">
        <v>21</v>
      </c>
      <c r="K1085" s="249" t="s">
        <v>42</v>
      </c>
      <c r="L1085" s="250">
        <f t="shared" si="67"/>
        <v>1</v>
      </c>
      <c r="M1085" s="237">
        <f t="array" ref="M1085">INDEX('BKTT T4.26'!$N$12:$N$55,MATCH(V1085,'BKTT T4.26'!$A$12:$A$55,0),0)</f>
        <v>593784</v>
      </c>
      <c r="N1085" s="162">
        <f t="shared" si="70"/>
        <v>593784</v>
      </c>
      <c r="O1085" s="238" t="s">
        <v>264</v>
      </c>
      <c r="P1085" s="251" t="s">
        <v>1448</v>
      </c>
      <c r="R1085" s="191" t="str">
        <f t="shared" si="68"/>
        <v>Cước vận chuyển Container hàng 20' tuyến đường PAN HA - TÂN VŨ. BKS: 15C17442</v>
      </c>
      <c r="S1085" s="191" t="str">
        <f t="shared" si="69"/>
        <v xml:space="preserve"> hàng 20' </v>
      </c>
      <c r="V1085" s="191">
        <v>20</v>
      </c>
    </row>
    <row r="1086" spans="1:22" s="191" customFormat="1" ht="15">
      <c r="A1086" s="236">
        <v>1075</v>
      </c>
      <c r="B1086" s="244">
        <v>46131</v>
      </c>
      <c r="C1086" s="245" t="s">
        <v>261</v>
      </c>
      <c r="D1086" s="246" t="s">
        <v>1321</v>
      </c>
      <c r="E1086" s="247">
        <v>1</v>
      </c>
      <c r="F1086" s="247"/>
      <c r="G1086" s="248"/>
      <c r="H1086" s="247"/>
      <c r="I1086" s="244" t="s">
        <v>263</v>
      </c>
      <c r="J1086" s="249" t="s">
        <v>21</v>
      </c>
      <c r="K1086" s="249" t="s">
        <v>42</v>
      </c>
      <c r="L1086" s="250">
        <f t="shared" si="67"/>
        <v>1</v>
      </c>
      <c r="M1086" s="237">
        <f t="array" ref="M1086">INDEX('BKTT T4.26'!$N$12:$N$55,MATCH(V1086,'BKTT T4.26'!$A$12:$A$55,0),0)</f>
        <v>593784</v>
      </c>
      <c r="N1086" s="162">
        <f t="shared" si="70"/>
        <v>593784</v>
      </c>
      <c r="O1086" s="238" t="s">
        <v>264</v>
      </c>
      <c r="P1086" s="251" t="s">
        <v>1448</v>
      </c>
      <c r="R1086" s="191" t="str">
        <f t="shared" si="68"/>
        <v>Cước vận chuyển Container hàng 20' tuyến đường PAN HA - TÂN VŨ. BKS: 15C17442</v>
      </c>
      <c r="S1086" s="191" t="str">
        <f t="shared" si="69"/>
        <v xml:space="preserve"> hàng 20' </v>
      </c>
      <c r="V1086" s="191">
        <v>20</v>
      </c>
    </row>
    <row r="1087" spans="1:22" s="191" customFormat="1" ht="15">
      <c r="A1087" s="236">
        <v>1076</v>
      </c>
      <c r="B1087" s="244">
        <v>46131</v>
      </c>
      <c r="C1087" s="245" t="s">
        <v>261</v>
      </c>
      <c r="D1087" s="246" t="s">
        <v>1322</v>
      </c>
      <c r="E1087" s="247">
        <v>1</v>
      </c>
      <c r="F1087" s="247"/>
      <c r="G1087" s="248"/>
      <c r="H1087" s="247"/>
      <c r="I1087" s="244" t="s">
        <v>263</v>
      </c>
      <c r="J1087" s="249" t="s">
        <v>21</v>
      </c>
      <c r="K1087" s="249" t="s">
        <v>42</v>
      </c>
      <c r="L1087" s="250">
        <f t="shared" si="67"/>
        <v>1</v>
      </c>
      <c r="M1087" s="237">
        <f t="array" ref="M1087">INDEX('BKTT T4.26'!$N$12:$N$55,MATCH(V1087,'BKTT T4.26'!$A$12:$A$55,0),0)</f>
        <v>593784</v>
      </c>
      <c r="N1087" s="162">
        <f t="shared" si="70"/>
        <v>593784</v>
      </c>
      <c r="O1087" s="238" t="s">
        <v>264</v>
      </c>
      <c r="P1087" s="251" t="s">
        <v>1448</v>
      </c>
      <c r="R1087" s="191" t="str">
        <f t="shared" si="68"/>
        <v>Cước vận chuyển Container hàng 20' tuyến đường PAN HA - TÂN VŨ. BKS: 15C17442</v>
      </c>
      <c r="S1087" s="191" t="str">
        <f t="shared" si="69"/>
        <v xml:space="preserve"> hàng 20' </v>
      </c>
      <c r="V1087" s="191">
        <v>20</v>
      </c>
    </row>
    <row r="1088" spans="1:22" s="191" customFormat="1" ht="15">
      <c r="A1088" s="236">
        <v>1077</v>
      </c>
      <c r="B1088" s="244">
        <v>46131</v>
      </c>
      <c r="C1088" s="245" t="s">
        <v>261</v>
      </c>
      <c r="D1088" s="246" t="s">
        <v>1323</v>
      </c>
      <c r="E1088" s="247">
        <v>1</v>
      </c>
      <c r="F1088" s="247"/>
      <c r="G1088" s="248"/>
      <c r="H1088" s="247"/>
      <c r="I1088" s="244" t="s">
        <v>263</v>
      </c>
      <c r="J1088" s="249" t="s">
        <v>21</v>
      </c>
      <c r="K1088" s="249" t="s">
        <v>42</v>
      </c>
      <c r="L1088" s="250">
        <f t="shared" si="67"/>
        <v>1</v>
      </c>
      <c r="M1088" s="237">
        <f t="array" ref="M1088">INDEX('BKTT T4.26'!$N$12:$N$55,MATCH(V1088,'BKTT T4.26'!$A$12:$A$55,0),0)</f>
        <v>593784</v>
      </c>
      <c r="N1088" s="162">
        <f t="shared" si="70"/>
        <v>593784</v>
      </c>
      <c r="O1088" s="238" t="s">
        <v>264</v>
      </c>
      <c r="P1088" s="251" t="s">
        <v>1448</v>
      </c>
      <c r="R1088" s="191" t="str">
        <f t="shared" si="68"/>
        <v>Cước vận chuyển Container hàng 20' tuyến đường PAN HA - TÂN VŨ. BKS: 15C17442</v>
      </c>
      <c r="S1088" s="191" t="str">
        <f t="shared" si="69"/>
        <v xml:space="preserve"> hàng 20' </v>
      </c>
      <c r="V1088" s="191">
        <v>20</v>
      </c>
    </row>
    <row r="1089" spans="1:22" s="191" customFormat="1" ht="15">
      <c r="A1089" s="236">
        <v>1078</v>
      </c>
      <c r="B1089" s="244">
        <v>46131</v>
      </c>
      <c r="C1089" s="245" t="s">
        <v>261</v>
      </c>
      <c r="D1089" s="246" t="s">
        <v>1324</v>
      </c>
      <c r="E1089" s="247">
        <v>1</v>
      </c>
      <c r="F1089" s="247"/>
      <c r="G1089" s="248"/>
      <c r="H1089" s="247"/>
      <c r="I1089" s="244" t="s">
        <v>263</v>
      </c>
      <c r="J1089" s="249" t="s">
        <v>21</v>
      </c>
      <c r="K1089" s="249" t="s">
        <v>42</v>
      </c>
      <c r="L1089" s="250">
        <f t="shared" si="67"/>
        <v>1</v>
      </c>
      <c r="M1089" s="237">
        <f t="array" ref="M1089">INDEX('BKTT T4.26'!$N$12:$N$55,MATCH(V1089,'BKTT T4.26'!$A$12:$A$55,0),0)</f>
        <v>593784</v>
      </c>
      <c r="N1089" s="162">
        <f t="shared" si="70"/>
        <v>593784</v>
      </c>
      <c r="O1089" s="238" t="s">
        <v>264</v>
      </c>
      <c r="P1089" s="251" t="s">
        <v>1448</v>
      </c>
      <c r="R1089" s="191" t="str">
        <f t="shared" si="68"/>
        <v>Cước vận chuyển Container hàng 20' tuyến đường PAN HA - TÂN VŨ. BKS: 15C17442</v>
      </c>
      <c r="S1089" s="191" t="str">
        <f t="shared" si="69"/>
        <v xml:space="preserve"> hàng 20' </v>
      </c>
      <c r="V1089" s="191">
        <v>20</v>
      </c>
    </row>
    <row r="1090" spans="1:22" s="283" customFormat="1" ht="15">
      <c r="A1090" s="236">
        <v>1079</v>
      </c>
      <c r="B1090" s="272">
        <v>46131</v>
      </c>
      <c r="C1090" s="273" t="s">
        <v>261</v>
      </c>
      <c r="D1090" s="285" t="s">
        <v>1480</v>
      </c>
      <c r="E1090" s="275">
        <v>1</v>
      </c>
      <c r="F1090" s="275"/>
      <c r="G1090" s="276"/>
      <c r="H1090" s="275"/>
      <c r="I1090" s="272" t="s">
        <v>263</v>
      </c>
      <c r="J1090" s="249" t="s">
        <v>21</v>
      </c>
      <c r="K1090" s="277" t="s">
        <v>49</v>
      </c>
      <c r="L1090" s="278">
        <f t="shared" si="67"/>
        <v>1</v>
      </c>
      <c r="M1090" s="279">
        <f t="array" ref="M1090">INDEX('BKTT T4.26'!$N$12:$N$55,MATCH(V1090,'BKTT T4.26'!$A$12:$A$55,0),0)</f>
        <v>576331</v>
      </c>
      <c r="N1090" s="280">
        <f t="shared" si="70"/>
        <v>576331</v>
      </c>
      <c r="O1090" s="281" t="s">
        <v>264</v>
      </c>
      <c r="P1090" s="282" t="s">
        <v>1447</v>
      </c>
      <c r="R1090" s="283" t="str">
        <f t="shared" si="68"/>
        <v>Cước vận chuyển Container hàng 20' tuyến đường PAN HA - VIP. BKS: 15C17442</v>
      </c>
      <c r="S1090" s="283" t="str">
        <f t="shared" si="69"/>
        <v xml:space="preserve"> hàng 20' </v>
      </c>
      <c r="V1090" s="191">
        <v>27</v>
      </c>
    </row>
    <row r="1091" spans="1:22" s="191" customFormat="1" ht="15">
      <c r="A1091" s="236">
        <v>1080</v>
      </c>
      <c r="B1091" s="244">
        <v>46131</v>
      </c>
      <c r="C1091" s="245" t="s">
        <v>261</v>
      </c>
      <c r="D1091" s="246" t="s">
        <v>1325</v>
      </c>
      <c r="E1091" s="247">
        <v>1</v>
      </c>
      <c r="F1091" s="247"/>
      <c r="G1091" s="248"/>
      <c r="H1091" s="247"/>
      <c r="I1091" s="244" t="s">
        <v>263</v>
      </c>
      <c r="J1091" s="249" t="s">
        <v>21</v>
      </c>
      <c r="K1091" s="249" t="s">
        <v>49</v>
      </c>
      <c r="L1091" s="250">
        <f t="shared" si="67"/>
        <v>1</v>
      </c>
      <c r="M1091" s="237">
        <f t="array" ref="M1091">INDEX('BKTT T4.26'!$N$12:$N$55,MATCH(V1091,'BKTT T4.26'!$A$12:$A$55,0),0)</f>
        <v>576331</v>
      </c>
      <c r="N1091" s="162">
        <f t="shared" si="70"/>
        <v>576331</v>
      </c>
      <c r="O1091" s="238" t="s">
        <v>264</v>
      </c>
      <c r="P1091" s="251" t="s">
        <v>1448</v>
      </c>
      <c r="R1091" s="191" t="str">
        <f t="shared" si="68"/>
        <v>Cước vận chuyển Container hàng 20' tuyến đường PAN HA - VIP. BKS: 15C17442</v>
      </c>
      <c r="S1091" s="191" t="str">
        <f t="shared" si="69"/>
        <v xml:space="preserve"> hàng 20' </v>
      </c>
      <c r="V1091" s="191">
        <v>27</v>
      </c>
    </row>
    <row r="1092" spans="1:22" s="191" customFormat="1" ht="15">
      <c r="A1092" s="236">
        <v>1081</v>
      </c>
      <c r="B1092" s="244">
        <v>46131</v>
      </c>
      <c r="C1092" s="245" t="s">
        <v>261</v>
      </c>
      <c r="D1092" s="246" t="s">
        <v>1326</v>
      </c>
      <c r="E1092" s="254">
        <v>1</v>
      </c>
      <c r="F1092" s="254"/>
      <c r="G1092" s="254"/>
      <c r="H1092" s="254"/>
      <c r="I1092" s="244" t="s">
        <v>263</v>
      </c>
      <c r="J1092" s="249" t="s">
        <v>21</v>
      </c>
      <c r="K1092" s="249" t="s">
        <v>49</v>
      </c>
      <c r="L1092" s="250">
        <f t="shared" si="67"/>
        <v>1</v>
      </c>
      <c r="M1092" s="237">
        <f t="array" ref="M1092">INDEX('BKTT T4.26'!$N$12:$N$55,MATCH(V1092,'BKTT T4.26'!$A$12:$A$55,0),0)</f>
        <v>576331</v>
      </c>
      <c r="N1092" s="162">
        <f t="shared" si="70"/>
        <v>576331</v>
      </c>
      <c r="O1092" s="238" t="s">
        <v>264</v>
      </c>
      <c r="P1092" s="251" t="s">
        <v>1448</v>
      </c>
      <c r="R1092" s="191" t="str">
        <f t="shared" si="68"/>
        <v>Cước vận chuyển Container hàng 20' tuyến đường PAN HA - VIP. BKS: 15C17442</v>
      </c>
      <c r="S1092" s="191" t="str">
        <f t="shared" si="69"/>
        <v xml:space="preserve"> hàng 20' </v>
      </c>
      <c r="V1092" s="191">
        <v>27</v>
      </c>
    </row>
    <row r="1093" spans="1:22" s="283" customFormat="1" ht="15">
      <c r="A1093" s="236">
        <v>1082</v>
      </c>
      <c r="B1093" s="272">
        <v>46131</v>
      </c>
      <c r="C1093" s="273" t="s">
        <v>261</v>
      </c>
      <c r="D1093" s="285" t="s">
        <v>1481</v>
      </c>
      <c r="E1093" s="298">
        <v>1</v>
      </c>
      <c r="F1093" s="298"/>
      <c r="G1093" s="298"/>
      <c r="H1093" s="298"/>
      <c r="I1093" s="272" t="s">
        <v>263</v>
      </c>
      <c r="J1093" s="249" t="s">
        <v>21</v>
      </c>
      <c r="K1093" s="277" t="s">
        <v>49</v>
      </c>
      <c r="L1093" s="278">
        <f t="shared" si="67"/>
        <v>1</v>
      </c>
      <c r="M1093" s="279">
        <f t="array" ref="M1093">INDEX('BKTT T4.26'!$N$12:$N$55,MATCH(V1093,'BKTT T4.26'!$A$12:$A$55,0),0)</f>
        <v>576331</v>
      </c>
      <c r="N1093" s="280">
        <f t="shared" si="70"/>
        <v>576331</v>
      </c>
      <c r="O1093" s="281" t="s">
        <v>264</v>
      </c>
      <c r="P1093" s="282" t="s">
        <v>1447</v>
      </c>
      <c r="R1093" s="283" t="str">
        <f t="shared" si="68"/>
        <v>Cước vận chuyển Container hàng 20' tuyến đường PAN HA - VIP. BKS: 15C17442</v>
      </c>
      <c r="S1093" s="283" t="str">
        <f t="shared" si="69"/>
        <v xml:space="preserve"> hàng 20' </v>
      </c>
      <c r="V1093" s="191">
        <v>27</v>
      </c>
    </row>
    <row r="1094" spans="1:22" s="283" customFormat="1" ht="15">
      <c r="A1094" s="236">
        <v>1083</v>
      </c>
      <c r="B1094" s="272">
        <v>46131</v>
      </c>
      <c r="C1094" s="273" t="s">
        <v>261</v>
      </c>
      <c r="D1094" s="274" t="s">
        <v>388</v>
      </c>
      <c r="E1094" s="298">
        <v>1</v>
      </c>
      <c r="F1094" s="298"/>
      <c r="G1094" s="298"/>
      <c r="H1094" s="298"/>
      <c r="I1094" s="272" t="s">
        <v>263</v>
      </c>
      <c r="J1094" s="249" t="s">
        <v>21</v>
      </c>
      <c r="K1094" s="277" t="s">
        <v>22</v>
      </c>
      <c r="L1094" s="278">
        <f t="shared" si="67"/>
        <v>1</v>
      </c>
      <c r="M1094" s="279">
        <f t="array" ref="M1094">INDEX('BKTT T4.26'!$N$12:$N$55,MATCH(V1094,'BKTT T4.26'!$A$12:$A$55,0),0)</f>
        <v>654871</v>
      </c>
      <c r="N1094" s="280">
        <f t="shared" si="70"/>
        <v>654871</v>
      </c>
      <c r="O1094" s="281" t="s">
        <v>264</v>
      </c>
      <c r="P1094" s="282" t="s">
        <v>1497</v>
      </c>
      <c r="R1094" s="283" t="str">
        <f t="shared" si="68"/>
        <v>Cước vận chuyển Container hàng 20' tuyến đường PAN HA - HẢI AN. BKS: 15C17442</v>
      </c>
      <c r="S1094" s="283" t="str">
        <f t="shared" si="69"/>
        <v xml:space="preserve"> hàng 20' </v>
      </c>
      <c r="V1094" s="191">
        <v>1</v>
      </c>
    </row>
    <row r="1095" spans="1:22" s="283" customFormat="1" ht="15">
      <c r="A1095" s="236">
        <v>1084</v>
      </c>
      <c r="B1095" s="272">
        <v>46131</v>
      </c>
      <c r="C1095" s="273" t="s">
        <v>261</v>
      </c>
      <c r="D1095" s="274" t="s">
        <v>1327</v>
      </c>
      <c r="E1095" s="298">
        <v>1</v>
      </c>
      <c r="F1095" s="298"/>
      <c r="G1095" s="298"/>
      <c r="H1095" s="298"/>
      <c r="I1095" s="272" t="s">
        <v>263</v>
      </c>
      <c r="J1095" s="249" t="s">
        <v>21</v>
      </c>
      <c r="K1095" s="277" t="s">
        <v>22</v>
      </c>
      <c r="L1095" s="278">
        <f t="shared" si="67"/>
        <v>1</v>
      </c>
      <c r="M1095" s="279">
        <f t="array" ref="M1095">INDEX('BKTT T4.26'!$N$12:$N$55,MATCH(V1095,'BKTT T4.26'!$A$12:$A$55,0),0)</f>
        <v>654871</v>
      </c>
      <c r="N1095" s="280">
        <f t="shared" si="70"/>
        <v>654871</v>
      </c>
      <c r="O1095" s="281" t="s">
        <v>264</v>
      </c>
      <c r="P1095" s="282" t="s">
        <v>1497</v>
      </c>
      <c r="R1095" s="283" t="str">
        <f t="shared" si="68"/>
        <v>Cước vận chuyển Container hàng 20' tuyến đường PAN HA - HẢI AN. BKS: 15C17442</v>
      </c>
      <c r="S1095" s="283" t="str">
        <f t="shared" si="69"/>
        <v xml:space="preserve"> hàng 20' </v>
      </c>
      <c r="V1095" s="191">
        <v>1</v>
      </c>
    </row>
    <row r="1096" spans="1:22" s="283" customFormat="1" ht="15">
      <c r="A1096" s="236">
        <v>1085</v>
      </c>
      <c r="B1096" s="272">
        <v>46131</v>
      </c>
      <c r="C1096" s="273" t="s">
        <v>261</v>
      </c>
      <c r="D1096" s="274" t="s">
        <v>1328</v>
      </c>
      <c r="E1096" s="275"/>
      <c r="F1096" s="247">
        <v>1</v>
      </c>
      <c r="G1096" s="276"/>
      <c r="H1096" s="275"/>
      <c r="I1096" s="272" t="s">
        <v>263</v>
      </c>
      <c r="J1096" s="249" t="s">
        <v>21</v>
      </c>
      <c r="K1096" s="249" t="s">
        <v>25</v>
      </c>
      <c r="L1096" s="278">
        <f t="shared" ref="L1096:L1159" si="71">E1096+F1096+G1096+H1096</f>
        <v>1</v>
      </c>
      <c r="M1096" s="279">
        <f t="array" ref="M1096">INDEX('BKTT T4.26'!$N$12:$N$55,MATCH(V1096,'BKTT T4.26'!$A$12:$A$55,0),0)</f>
        <v>681050</v>
      </c>
      <c r="N1096" s="280">
        <f t="shared" si="70"/>
        <v>681050</v>
      </c>
      <c r="O1096" s="281" t="s">
        <v>264</v>
      </c>
      <c r="P1096" s="282" t="s">
        <v>1497</v>
      </c>
      <c r="R1096" s="283" t="str">
        <f t="shared" ref="R1096:R1159" si="72">$R$10&amp;S1096&amp;$R$9&amp;J1096&amp;$S$10&amp;K1096&amp;$R$8&amp;I1096</f>
        <v>Cước vận chuyển Container hàng 40' tuyến đường PAN HA - HẢI AN,. BKS: 15C17442</v>
      </c>
      <c r="S1096" s="283" t="str">
        <f t="shared" ref="S1096:S1159" si="73">IF(E1096=1," hàng 20' ",IF(F1096=1," hàng 40' "," vỏ "))</f>
        <v xml:space="preserve"> hàng 40' </v>
      </c>
      <c r="V1096" s="191">
        <v>2</v>
      </c>
    </row>
    <row r="1097" spans="1:22" s="191" customFormat="1" ht="15">
      <c r="A1097" s="236">
        <v>1086</v>
      </c>
      <c r="B1097" s="244">
        <v>46129</v>
      </c>
      <c r="C1097" s="245" t="s">
        <v>261</v>
      </c>
      <c r="D1097" s="246" t="s">
        <v>1329</v>
      </c>
      <c r="E1097" s="247"/>
      <c r="F1097" s="247">
        <v>1</v>
      </c>
      <c r="G1097" s="248"/>
      <c r="H1097" s="247"/>
      <c r="I1097" s="244" t="s">
        <v>272</v>
      </c>
      <c r="J1097" s="249" t="s">
        <v>21</v>
      </c>
      <c r="K1097" s="249" t="s">
        <v>25</v>
      </c>
      <c r="L1097" s="250">
        <f t="shared" si="71"/>
        <v>1</v>
      </c>
      <c r="M1097" s="237">
        <f t="array" ref="M1097">INDEX('BKTT T4.26'!$N$12:$N$55,MATCH(V1097,'BKTT T4.26'!$A$12:$A$55,0),0)</f>
        <v>681050</v>
      </c>
      <c r="N1097" s="162">
        <f t="shared" si="70"/>
        <v>681050</v>
      </c>
      <c r="O1097" s="238" t="s">
        <v>264</v>
      </c>
      <c r="P1097" s="251" t="s">
        <v>1448</v>
      </c>
      <c r="R1097" s="191" t="str">
        <f t="shared" si="72"/>
        <v>Cước vận chuyển Container hàng 40' tuyến đường PAN HA - HẢI AN,. BKS: 15H07788</v>
      </c>
      <c r="S1097" s="191" t="str">
        <f t="shared" si="73"/>
        <v xml:space="preserve"> hàng 40' </v>
      </c>
      <c r="V1097" s="191">
        <v>2</v>
      </c>
    </row>
    <row r="1098" spans="1:22" s="191" customFormat="1" ht="15">
      <c r="A1098" s="236">
        <v>1087</v>
      </c>
      <c r="B1098" s="244">
        <v>46130</v>
      </c>
      <c r="C1098" s="245" t="s">
        <v>261</v>
      </c>
      <c r="D1098" s="246" t="s">
        <v>1330</v>
      </c>
      <c r="E1098" s="247"/>
      <c r="F1098" s="247"/>
      <c r="G1098" s="248"/>
      <c r="H1098" s="247">
        <v>1</v>
      </c>
      <c r="I1098" s="244" t="s">
        <v>272</v>
      </c>
      <c r="J1098" s="249" t="s">
        <v>21</v>
      </c>
      <c r="K1098" s="249" t="s">
        <v>27</v>
      </c>
      <c r="L1098" s="250">
        <f t="shared" si="71"/>
        <v>1</v>
      </c>
      <c r="M1098" s="237">
        <f t="array" ref="M1098">INDEX('BKTT T4.26'!$N$12:$N$55,MATCH(V1098,'BKTT T4.26'!$A$12:$A$55,0),0)</f>
        <v>628690</v>
      </c>
      <c r="N1098" s="162">
        <f t="shared" si="70"/>
        <v>628690</v>
      </c>
      <c r="O1098" s="238" t="s">
        <v>264</v>
      </c>
      <c r="P1098" s="251" t="s">
        <v>1448</v>
      </c>
      <c r="R1098" s="191" t="str">
        <f t="shared" si="72"/>
        <v>Cước vận chuyển Container vỏ tuyến đường PAN HA - HẢI AN.. BKS: 15H07788</v>
      </c>
      <c r="S1098" s="191" t="str">
        <f t="shared" si="73"/>
        <v xml:space="preserve"> vỏ </v>
      </c>
      <c r="V1098" s="191">
        <v>3</v>
      </c>
    </row>
    <row r="1099" spans="1:22" s="191" customFormat="1" ht="15">
      <c r="A1099" s="236">
        <v>1088</v>
      </c>
      <c r="B1099" s="244">
        <v>46130</v>
      </c>
      <c r="C1099" s="245" t="s">
        <v>261</v>
      </c>
      <c r="D1099" s="246" t="s">
        <v>1331</v>
      </c>
      <c r="E1099" s="247"/>
      <c r="F1099" s="247"/>
      <c r="G1099" s="248"/>
      <c r="H1099" s="247">
        <v>1</v>
      </c>
      <c r="I1099" s="244" t="s">
        <v>272</v>
      </c>
      <c r="J1099" s="249" t="s">
        <v>21</v>
      </c>
      <c r="K1099" s="249" t="s">
        <v>27</v>
      </c>
      <c r="L1099" s="250">
        <f t="shared" si="71"/>
        <v>1</v>
      </c>
      <c r="M1099" s="237">
        <f t="array" ref="M1099">INDEX('BKTT T4.26'!$N$12:$N$55,MATCH(V1099,'BKTT T4.26'!$A$12:$A$55,0),0)</f>
        <v>628690</v>
      </c>
      <c r="N1099" s="162">
        <f t="shared" si="70"/>
        <v>628690</v>
      </c>
      <c r="O1099" s="238" t="s">
        <v>264</v>
      </c>
      <c r="P1099" s="251" t="s">
        <v>1448</v>
      </c>
      <c r="R1099" s="191" t="str">
        <f t="shared" si="72"/>
        <v>Cước vận chuyển Container vỏ tuyến đường PAN HA - HẢI AN.. BKS: 15H07788</v>
      </c>
      <c r="S1099" s="191" t="str">
        <f t="shared" si="73"/>
        <v xml:space="preserve"> vỏ </v>
      </c>
      <c r="V1099" s="191">
        <v>3</v>
      </c>
    </row>
    <row r="1100" spans="1:22" s="191" customFormat="1" ht="15">
      <c r="A1100" s="236">
        <v>1089</v>
      </c>
      <c r="B1100" s="244">
        <v>46130</v>
      </c>
      <c r="C1100" s="245" t="s">
        <v>261</v>
      </c>
      <c r="D1100" s="246" t="s">
        <v>1332</v>
      </c>
      <c r="E1100" s="247"/>
      <c r="F1100" s="247"/>
      <c r="G1100" s="248"/>
      <c r="H1100" s="247">
        <v>1</v>
      </c>
      <c r="I1100" s="244" t="s">
        <v>272</v>
      </c>
      <c r="J1100" s="249" t="s">
        <v>21</v>
      </c>
      <c r="K1100" s="249" t="s">
        <v>27</v>
      </c>
      <c r="L1100" s="250">
        <f t="shared" si="71"/>
        <v>1</v>
      </c>
      <c r="M1100" s="237">
        <f t="array" ref="M1100">INDEX('BKTT T4.26'!$N$12:$N$55,MATCH(V1100,'BKTT T4.26'!$A$12:$A$55,0),0)</f>
        <v>628690</v>
      </c>
      <c r="N1100" s="162">
        <f t="shared" si="70"/>
        <v>628690</v>
      </c>
      <c r="O1100" s="238" t="s">
        <v>264</v>
      </c>
      <c r="P1100" s="251" t="s">
        <v>1448</v>
      </c>
      <c r="R1100" s="191" t="str">
        <f t="shared" si="72"/>
        <v>Cước vận chuyển Container vỏ tuyến đường PAN HA - HẢI AN.. BKS: 15H07788</v>
      </c>
      <c r="S1100" s="191" t="str">
        <f t="shared" si="73"/>
        <v xml:space="preserve"> vỏ </v>
      </c>
      <c r="V1100" s="191">
        <v>3</v>
      </c>
    </row>
    <row r="1101" spans="1:22" s="191" customFormat="1" ht="15">
      <c r="A1101" s="236">
        <v>1090</v>
      </c>
      <c r="B1101" s="244">
        <v>46130</v>
      </c>
      <c r="C1101" s="245" t="s">
        <v>261</v>
      </c>
      <c r="D1101" s="246" t="s">
        <v>1333</v>
      </c>
      <c r="E1101" s="247"/>
      <c r="F1101" s="247"/>
      <c r="G1101" s="248"/>
      <c r="H1101" s="247">
        <v>1</v>
      </c>
      <c r="I1101" s="244" t="s">
        <v>272</v>
      </c>
      <c r="J1101" s="249" t="s">
        <v>21</v>
      </c>
      <c r="K1101" s="249" t="s">
        <v>27</v>
      </c>
      <c r="L1101" s="250">
        <f t="shared" si="71"/>
        <v>1</v>
      </c>
      <c r="M1101" s="237">
        <f t="array" ref="M1101">INDEX('BKTT T4.26'!$N$12:$N$55,MATCH(V1101,'BKTT T4.26'!$A$12:$A$55,0),0)</f>
        <v>628690</v>
      </c>
      <c r="N1101" s="162">
        <f t="shared" si="70"/>
        <v>628690</v>
      </c>
      <c r="O1101" s="238" t="s">
        <v>264</v>
      </c>
      <c r="P1101" s="251" t="s">
        <v>1448</v>
      </c>
      <c r="R1101" s="191" t="str">
        <f t="shared" si="72"/>
        <v>Cước vận chuyển Container vỏ tuyến đường PAN HA - HẢI AN.. BKS: 15H07788</v>
      </c>
      <c r="S1101" s="191" t="str">
        <f t="shared" si="73"/>
        <v xml:space="preserve"> vỏ </v>
      </c>
      <c r="V1101" s="191">
        <v>3</v>
      </c>
    </row>
    <row r="1102" spans="1:22" s="191" customFormat="1" ht="15">
      <c r="A1102" s="236">
        <v>1091</v>
      </c>
      <c r="B1102" s="244">
        <v>46130</v>
      </c>
      <c r="C1102" s="245" t="s">
        <v>261</v>
      </c>
      <c r="D1102" s="246" t="s">
        <v>1334</v>
      </c>
      <c r="E1102" s="247"/>
      <c r="F1102" s="247"/>
      <c r="G1102" s="248"/>
      <c r="H1102" s="247">
        <v>1</v>
      </c>
      <c r="I1102" s="244" t="s">
        <v>272</v>
      </c>
      <c r="J1102" s="249" t="s">
        <v>21</v>
      </c>
      <c r="K1102" s="249" t="s">
        <v>27</v>
      </c>
      <c r="L1102" s="250">
        <f t="shared" si="71"/>
        <v>1</v>
      </c>
      <c r="M1102" s="237">
        <f t="array" ref="M1102">INDEX('BKTT T4.26'!$N$12:$N$55,MATCH(V1102,'BKTT T4.26'!$A$12:$A$55,0),0)</f>
        <v>628690</v>
      </c>
      <c r="N1102" s="162">
        <f t="shared" si="70"/>
        <v>628690</v>
      </c>
      <c r="O1102" s="238" t="s">
        <v>264</v>
      </c>
      <c r="P1102" s="251" t="s">
        <v>1448</v>
      </c>
      <c r="R1102" s="191" t="str">
        <f t="shared" si="72"/>
        <v>Cước vận chuyển Container vỏ tuyến đường PAN HA - HẢI AN.. BKS: 15H07788</v>
      </c>
      <c r="S1102" s="191" t="str">
        <f t="shared" si="73"/>
        <v xml:space="preserve"> vỏ </v>
      </c>
      <c r="V1102" s="191">
        <v>3</v>
      </c>
    </row>
    <row r="1103" spans="1:22" s="191" customFormat="1" ht="15">
      <c r="A1103" s="236">
        <v>1092</v>
      </c>
      <c r="B1103" s="244">
        <v>46132</v>
      </c>
      <c r="C1103" s="245" t="s">
        <v>261</v>
      </c>
      <c r="D1103" s="246" t="s">
        <v>1335</v>
      </c>
      <c r="E1103" s="247">
        <v>1</v>
      </c>
      <c r="F1103" s="247"/>
      <c r="G1103" s="248"/>
      <c r="H1103" s="247"/>
      <c r="I1103" s="244" t="s">
        <v>272</v>
      </c>
      <c r="J1103" s="249" t="s">
        <v>21</v>
      </c>
      <c r="K1103" s="249" t="s">
        <v>22</v>
      </c>
      <c r="L1103" s="250">
        <f t="shared" si="71"/>
        <v>1</v>
      </c>
      <c r="M1103" s="237">
        <f t="array" ref="M1103">INDEX('BKTT T4.26'!$N$12:$N$55,MATCH(V1103,'BKTT T4.26'!$A$12:$A$55,0),0)</f>
        <v>654871</v>
      </c>
      <c r="N1103" s="162">
        <f t="shared" si="70"/>
        <v>654871</v>
      </c>
      <c r="O1103" s="238" t="s">
        <v>264</v>
      </c>
      <c r="P1103" s="251" t="s">
        <v>1448</v>
      </c>
      <c r="R1103" s="191" t="str">
        <f t="shared" si="72"/>
        <v>Cước vận chuyển Container hàng 20' tuyến đường PAN HA - HẢI AN. BKS: 15H07788</v>
      </c>
      <c r="S1103" s="191" t="str">
        <f t="shared" si="73"/>
        <v xml:space="preserve"> hàng 20' </v>
      </c>
      <c r="V1103" s="191">
        <v>1</v>
      </c>
    </row>
    <row r="1104" spans="1:22" s="191" customFormat="1" ht="15">
      <c r="A1104" s="236">
        <v>1093</v>
      </c>
      <c r="B1104" s="244">
        <v>46132</v>
      </c>
      <c r="C1104" s="245" t="s">
        <v>261</v>
      </c>
      <c r="D1104" s="246" t="s">
        <v>1336</v>
      </c>
      <c r="E1104" s="254">
        <v>1</v>
      </c>
      <c r="F1104" s="254"/>
      <c r="G1104" s="254"/>
      <c r="H1104" s="254"/>
      <c r="I1104" s="244" t="s">
        <v>272</v>
      </c>
      <c r="J1104" s="249" t="s">
        <v>21</v>
      </c>
      <c r="K1104" s="249" t="s">
        <v>22</v>
      </c>
      <c r="L1104" s="250">
        <f t="shared" si="71"/>
        <v>1</v>
      </c>
      <c r="M1104" s="237">
        <f t="array" ref="M1104">INDEX('BKTT T4.26'!$N$12:$N$55,MATCH(V1104,'BKTT T4.26'!$A$12:$A$55,0),0)</f>
        <v>654871</v>
      </c>
      <c r="N1104" s="162">
        <f t="shared" si="70"/>
        <v>654871</v>
      </c>
      <c r="O1104" s="238" t="s">
        <v>264</v>
      </c>
      <c r="P1104" s="251" t="s">
        <v>1448</v>
      </c>
      <c r="R1104" s="191" t="str">
        <f t="shared" si="72"/>
        <v>Cước vận chuyển Container hàng 20' tuyến đường PAN HA - HẢI AN. BKS: 15H07788</v>
      </c>
      <c r="S1104" s="191" t="str">
        <f t="shared" si="73"/>
        <v xml:space="preserve"> hàng 20' </v>
      </c>
      <c r="V1104" s="191">
        <v>1</v>
      </c>
    </row>
    <row r="1105" spans="1:22" s="191" customFormat="1" ht="15">
      <c r="A1105" s="236">
        <v>1094</v>
      </c>
      <c r="B1105" s="244">
        <v>46132</v>
      </c>
      <c r="C1105" s="245" t="s">
        <v>261</v>
      </c>
      <c r="D1105" s="246" t="s">
        <v>1337</v>
      </c>
      <c r="E1105" s="247"/>
      <c r="F1105" s="247">
        <v>1</v>
      </c>
      <c r="G1105" s="248"/>
      <c r="H1105" s="247"/>
      <c r="I1105" s="244" t="s">
        <v>272</v>
      </c>
      <c r="J1105" s="249" t="s">
        <v>21</v>
      </c>
      <c r="K1105" s="249" t="s">
        <v>25</v>
      </c>
      <c r="L1105" s="250">
        <f t="shared" si="71"/>
        <v>1</v>
      </c>
      <c r="M1105" s="237">
        <f t="array" ref="M1105">INDEX('BKTT T4.26'!$N$12:$N$55,MATCH(V1105,'BKTT T4.26'!$A$12:$A$55,0),0)</f>
        <v>681050</v>
      </c>
      <c r="N1105" s="162">
        <f t="shared" si="70"/>
        <v>681050</v>
      </c>
      <c r="O1105" s="238" t="s">
        <v>264</v>
      </c>
      <c r="P1105" s="251" t="s">
        <v>1448</v>
      </c>
      <c r="R1105" s="191" t="str">
        <f t="shared" si="72"/>
        <v>Cước vận chuyển Container hàng 40' tuyến đường PAN HA - HẢI AN,. BKS: 15H07788</v>
      </c>
      <c r="S1105" s="191" t="str">
        <f t="shared" si="73"/>
        <v xml:space="preserve"> hàng 40' </v>
      </c>
      <c r="V1105" s="191">
        <v>2</v>
      </c>
    </row>
    <row r="1106" spans="1:22" s="191" customFormat="1" ht="15">
      <c r="A1106" s="236">
        <v>1095</v>
      </c>
      <c r="B1106" s="244">
        <v>46132</v>
      </c>
      <c r="C1106" s="245" t="s">
        <v>261</v>
      </c>
      <c r="D1106" s="246" t="s">
        <v>891</v>
      </c>
      <c r="E1106" s="247"/>
      <c r="F1106" s="247">
        <v>1</v>
      </c>
      <c r="G1106" s="248"/>
      <c r="H1106" s="247"/>
      <c r="I1106" s="244" t="s">
        <v>272</v>
      </c>
      <c r="J1106" s="249" t="s">
        <v>21</v>
      </c>
      <c r="K1106" s="249" t="s">
        <v>25</v>
      </c>
      <c r="L1106" s="250">
        <f t="shared" si="71"/>
        <v>1</v>
      </c>
      <c r="M1106" s="237">
        <f t="array" ref="M1106">INDEX('BKTT T4.26'!$N$12:$N$55,MATCH(V1106,'BKTT T4.26'!$A$12:$A$55,0),0)</f>
        <v>681050</v>
      </c>
      <c r="N1106" s="162">
        <f t="shared" si="70"/>
        <v>681050</v>
      </c>
      <c r="O1106" s="238" t="s">
        <v>264</v>
      </c>
      <c r="P1106" s="251" t="s">
        <v>1448</v>
      </c>
      <c r="R1106" s="191" t="str">
        <f t="shared" si="72"/>
        <v>Cước vận chuyển Container hàng 40' tuyến đường PAN HA - HẢI AN,. BKS: 15H07788</v>
      </c>
      <c r="S1106" s="191" t="str">
        <f t="shared" si="73"/>
        <v xml:space="preserve"> hàng 40' </v>
      </c>
      <c r="V1106" s="191">
        <v>2</v>
      </c>
    </row>
    <row r="1107" spans="1:22" s="191" customFormat="1" ht="15">
      <c r="A1107" s="236">
        <v>1096</v>
      </c>
      <c r="B1107" s="244">
        <v>46132</v>
      </c>
      <c r="C1107" s="245" t="s">
        <v>261</v>
      </c>
      <c r="D1107" s="246" t="s">
        <v>1338</v>
      </c>
      <c r="E1107" s="247"/>
      <c r="F1107" s="247">
        <v>1</v>
      </c>
      <c r="G1107" s="248"/>
      <c r="H1107" s="247"/>
      <c r="I1107" s="244" t="s">
        <v>272</v>
      </c>
      <c r="J1107" s="249" t="s">
        <v>21</v>
      </c>
      <c r="K1107" s="249" t="s">
        <v>25</v>
      </c>
      <c r="L1107" s="250">
        <f t="shared" si="71"/>
        <v>1</v>
      </c>
      <c r="M1107" s="237">
        <f t="array" ref="M1107">INDEX('BKTT T4.26'!$N$12:$N$55,MATCH(V1107,'BKTT T4.26'!$A$12:$A$55,0),0)</f>
        <v>681050</v>
      </c>
      <c r="N1107" s="162">
        <f t="shared" si="70"/>
        <v>681050</v>
      </c>
      <c r="O1107" s="238" t="s">
        <v>264</v>
      </c>
      <c r="P1107" s="251" t="s">
        <v>1448</v>
      </c>
      <c r="R1107" s="191" t="str">
        <f t="shared" si="72"/>
        <v>Cước vận chuyển Container hàng 40' tuyến đường PAN HA - HẢI AN,. BKS: 15H07788</v>
      </c>
      <c r="S1107" s="191" t="str">
        <f t="shared" si="73"/>
        <v xml:space="preserve"> hàng 40' </v>
      </c>
      <c r="V1107" s="191">
        <v>2</v>
      </c>
    </row>
    <row r="1108" spans="1:22" s="191" customFormat="1" ht="15">
      <c r="A1108" s="236">
        <v>1097</v>
      </c>
      <c r="B1108" s="244">
        <v>46132</v>
      </c>
      <c r="C1108" s="245" t="s">
        <v>261</v>
      </c>
      <c r="D1108" s="246" t="s">
        <v>1339</v>
      </c>
      <c r="E1108" s="247">
        <v>1</v>
      </c>
      <c r="F1108" s="247"/>
      <c r="G1108" s="248"/>
      <c r="H1108" s="247"/>
      <c r="I1108" s="244" t="s">
        <v>272</v>
      </c>
      <c r="J1108" s="249" t="s">
        <v>21</v>
      </c>
      <c r="K1108" s="249" t="s">
        <v>31</v>
      </c>
      <c r="L1108" s="250">
        <f t="shared" si="71"/>
        <v>1</v>
      </c>
      <c r="M1108" s="237">
        <f t="array" ref="M1108">INDEX('BKTT T4.26'!$N$12:$N$55,MATCH(V1108,'BKTT T4.26'!$A$12:$A$55,0),0)</f>
        <v>454158</v>
      </c>
      <c r="N1108" s="162">
        <f t="shared" si="70"/>
        <v>454158</v>
      </c>
      <c r="O1108" s="238" t="s">
        <v>264</v>
      </c>
      <c r="P1108" s="251" t="s">
        <v>1448</v>
      </c>
      <c r="R1108" s="191" t="str">
        <f t="shared" si="72"/>
        <v>Cước vận chuyển Container hàng 20' tuyến đường PAN HA - NDV. BKS: 15H07788</v>
      </c>
      <c r="S1108" s="191" t="str">
        <f t="shared" si="73"/>
        <v xml:space="preserve"> hàng 20' </v>
      </c>
      <c r="V1108" s="191">
        <v>7</v>
      </c>
    </row>
    <row r="1109" spans="1:22" s="191" customFormat="1" ht="15">
      <c r="A1109" s="236">
        <v>1098</v>
      </c>
      <c r="B1109" s="244">
        <v>46132</v>
      </c>
      <c r="C1109" s="245" t="s">
        <v>261</v>
      </c>
      <c r="D1109" s="246" t="s">
        <v>1340</v>
      </c>
      <c r="E1109" s="254">
        <v>1</v>
      </c>
      <c r="F1109" s="254"/>
      <c r="G1109" s="254"/>
      <c r="H1109" s="254"/>
      <c r="I1109" s="244" t="s">
        <v>272</v>
      </c>
      <c r="J1109" s="249" t="s">
        <v>21</v>
      </c>
      <c r="K1109" s="249" t="s">
        <v>31</v>
      </c>
      <c r="L1109" s="250">
        <f t="shared" si="71"/>
        <v>1</v>
      </c>
      <c r="M1109" s="237">
        <f t="array" ref="M1109">INDEX('BKTT T4.26'!$N$12:$N$55,MATCH(V1109,'BKTT T4.26'!$A$12:$A$55,0),0)</f>
        <v>454158</v>
      </c>
      <c r="N1109" s="162">
        <f t="shared" si="70"/>
        <v>454158</v>
      </c>
      <c r="O1109" s="238" t="s">
        <v>264</v>
      </c>
      <c r="P1109" s="251" t="s">
        <v>1448</v>
      </c>
      <c r="R1109" s="191" t="str">
        <f t="shared" si="72"/>
        <v>Cước vận chuyển Container hàng 20' tuyến đường PAN HA - NDV. BKS: 15H07788</v>
      </c>
      <c r="S1109" s="191" t="str">
        <f t="shared" si="73"/>
        <v xml:space="preserve"> hàng 20' </v>
      </c>
      <c r="V1109" s="191">
        <v>7</v>
      </c>
    </row>
    <row r="1110" spans="1:22" s="191" customFormat="1" ht="15">
      <c r="A1110" s="236">
        <v>1099</v>
      </c>
      <c r="B1110" s="244">
        <v>46132</v>
      </c>
      <c r="C1110" s="245" t="s">
        <v>261</v>
      </c>
      <c r="D1110" s="246" t="s">
        <v>1341</v>
      </c>
      <c r="E1110" s="254"/>
      <c r="F1110" s="254"/>
      <c r="G1110" s="248">
        <v>0.5</v>
      </c>
      <c r="H1110" s="254"/>
      <c r="I1110" s="244" t="s">
        <v>272</v>
      </c>
      <c r="J1110" s="249" t="s">
        <v>21</v>
      </c>
      <c r="K1110" s="249" t="s">
        <v>27</v>
      </c>
      <c r="L1110" s="250">
        <f t="shared" si="71"/>
        <v>0.5</v>
      </c>
      <c r="M1110" s="237">
        <f t="array" ref="M1110">INDEX('BKTT T4.26'!$N$12:$N$55,MATCH(V1110,'BKTT T4.26'!$A$12:$A$55,0),0)</f>
        <v>628690</v>
      </c>
      <c r="N1110" s="162">
        <f t="shared" si="70"/>
        <v>314345</v>
      </c>
      <c r="O1110" s="238" t="s">
        <v>264</v>
      </c>
      <c r="P1110" s="251" t="s">
        <v>1448</v>
      </c>
      <c r="R1110" s="191" t="str">
        <f t="shared" si="72"/>
        <v>Cước vận chuyển Container vỏ tuyến đường PAN HA - HẢI AN.. BKS: 15H07788</v>
      </c>
      <c r="S1110" s="191" t="str">
        <f t="shared" si="73"/>
        <v xml:space="preserve"> vỏ </v>
      </c>
      <c r="V1110" s="191">
        <v>3</v>
      </c>
    </row>
    <row r="1111" spans="1:22" s="191" customFormat="1" ht="15">
      <c r="A1111" s="236">
        <v>1100</v>
      </c>
      <c r="B1111" s="244">
        <v>46132</v>
      </c>
      <c r="C1111" s="245" t="s">
        <v>261</v>
      </c>
      <c r="D1111" s="246" t="s">
        <v>1342</v>
      </c>
      <c r="E1111" s="254"/>
      <c r="F1111" s="254"/>
      <c r="G1111" s="248">
        <v>0.5</v>
      </c>
      <c r="H1111" s="254"/>
      <c r="I1111" s="244" t="s">
        <v>272</v>
      </c>
      <c r="J1111" s="249" t="s">
        <v>21</v>
      </c>
      <c r="K1111" s="249" t="s">
        <v>27</v>
      </c>
      <c r="L1111" s="250">
        <f t="shared" si="71"/>
        <v>0.5</v>
      </c>
      <c r="M1111" s="237">
        <f t="array" ref="M1111">INDEX('BKTT T4.26'!$N$12:$N$55,MATCH(V1111,'BKTT T4.26'!$A$12:$A$55,0),0)</f>
        <v>628690</v>
      </c>
      <c r="N1111" s="162">
        <f t="shared" si="70"/>
        <v>314345</v>
      </c>
      <c r="O1111" s="238" t="s">
        <v>264</v>
      </c>
      <c r="P1111" s="251" t="s">
        <v>1448</v>
      </c>
      <c r="R1111" s="191" t="str">
        <f t="shared" si="72"/>
        <v>Cước vận chuyển Container vỏ tuyến đường PAN HA - HẢI AN.. BKS: 15H07788</v>
      </c>
      <c r="S1111" s="191" t="str">
        <f t="shared" si="73"/>
        <v xml:space="preserve"> vỏ </v>
      </c>
      <c r="V1111" s="191">
        <v>3</v>
      </c>
    </row>
    <row r="1112" spans="1:22" s="191" customFormat="1" ht="15">
      <c r="A1112" s="236">
        <v>1101</v>
      </c>
      <c r="B1112" s="244">
        <v>46131</v>
      </c>
      <c r="C1112" s="245" t="s">
        <v>261</v>
      </c>
      <c r="D1112" s="246" t="s">
        <v>1343</v>
      </c>
      <c r="E1112" s="254">
        <v>1</v>
      </c>
      <c r="F1112" s="254"/>
      <c r="G1112" s="254"/>
      <c r="H1112" s="254"/>
      <c r="I1112" s="244" t="s">
        <v>472</v>
      </c>
      <c r="J1112" s="249" t="s">
        <v>21</v>
      </c>
      <c r="K1112" s="249" t="s">
        <v>42</v>
      </c>
      <c r="L1112" s="250">
        <f t="shared" si="71"/>
        <v>1</v>
      </c>
      <c r="M1112" s="237">
        <f t="array" ref="M1112">INDEX('BKTT T4.26'!$N$12:$N$55,MATCH(V1112,'BKTT T4.26'!$A$12:$A$55,0),0)</f>
        <v>593784</v>
      </c>
      <c r="N1112" s="162">
        <f t="shared" si="70"/>
        <v>593784</v>
      </c>
      <c r="O1112" s="238" t="s">
        <v>264</v>
      </c>
      <c r="P1112" s="251" t="s">
        <v>1448</v>
      </c>
      <c r="R1112" s="191" t="str">
        <f t="shared" si="72"/>
        <v>Cước vận chuyển Container hàng 20' tuyến đường PAN HA - TÂN VŨ. BKS: 15H08574</v>
      </c>
      <c r="S1112" s="191" t="str">
        <f t="shared" si="73"/>
        <v xml:space="preserve"> hàng 20' </v>
      </c>
      <c r="V1112" s="191">
        <v>20</v>
      </c>
    </row>
    <row r="1113" spans="1:22" s="191" customFormat="1" ht="15">
      <c r="A1113" s="236">
        <v>1102</v>
      </c>
      <c r="B1113" s="244">
        <v>46131</v>
      </c>
      <c r="C1113" s="245" t="s">
        <v>261</v>
      </c>
      <c r="D1113" s="246" t="s">
        <v>1344</v>
      </c>
      <c r="E1113" s="254">
        <v>1</v>
      </c>
      <c r="F1113" s="254"/>
      <c r="G1113" s="254"/>
      <c r="H1113" s="254"/>
      <c r="I1113" s="244" t="s">
        <v>472</v>
      </c>
      <c r="J1113" s="249" t="s">
        <v>21</v>
      </c>
      <c r="K1113" s="249" t="s">
        <v>42</v>
      </c>
      <c r="L1113" s="250">
        <f t="shared" si="71"/>
        <v>1</v>
      </c>
      <c r="M1113" s="237">
        <f t="array" ref="M1113">INDEX('BKTT T4.26'!$N$12:$N$55,MATCH(V1113,'BKTT T4.26'!$A$12:$A$55,0),0)</f>
        <v>593784</v>
      </c>
      <c r="N1113" s="162">
        <f t="shared" ref="N1113:N1176" si="74">L1113*M1113</f>
        <v>593784</v>
      </c>
      <c r="O1113" s="238" t="s">
        <v>264</v>
      </c>
      <c r="P1113" s="251" t="s">
        <v>1448</v>
      </c>
      <c r="R1113" s="191" t="str">
        <f t="shared" si="72"/>
        <v>Cước vận chuyển Container hàng 20' tuyến đường PAN HA - TÂN VŨ. BKS: 15H08574</v>
      </c>
      <c r="S1113" s="191" t="str">
        <f t="shared" si="73"/>
        <v xml:space="preserve"> hàng 20' </v>
      </c>
      <c r="V1113" s="191">
        <v>20</v>
      </c>
    </row>
    <row r="1114" spans="1:22" s="191" customFormat="1" ht="15">
      <c r="A1114" s="236">
        <v>1103</v>
      </c>
      <c r="B1114" s="244">
        <v>46131</v>
      </c>
      <c r="C1114" s="245" t="s">
        <v>261</v>
      </c>
      <c r="D1114" s="246" t="s">
        <v>1345</v>
      </c>
      <c r="E1114" s="254">
        <v>1</v>
      </c>
      <c r="F1114" s="254"/>
      <c r="G1114" s="254"/>
      <c r="H1114" s="254"/>
      <c r="I1114" s="244" t="s">
        <v>472</v>
      </c>
      <c r="J1114" s="249" t="s">
        <v>21</v>
      </c>
      <c r="K1114" s="249" t="s">
        <v>42</v>
      </c>
      <c r="L1114" s="250">
        <f t="shared" si="71"/>
        <v>1</v>
      </c>
      <c r="M1114" s="237">
        <f t="array" ref="M1114">INDEX('BKTT T4.26'!$N$12:$N$55,MATCH(V1114,'BKTT T4.26'!$A$12:$A$55,0),0)</f>
        <v>593784</v>
      </c>
      <c r="N1114" s="162">
        <f t="shared" si="74"/>
        <v>593784</v>
      </c>
      <c r="O1114" s="238" t="s">
        <v>264</v>
      </c>
      <c r="P1114" s="251" t="s">
        <v>1448</v>
      </c>
      <c r="R1114" s="191" t="str">
        <f t="shared" si="72"/>
        <v>Cước vận chuyển Container hàng 20' tuyến đường PAN HA - TÂN VŨ. BKS: 15H08574</v>
      </c>
      <c r="S1114" s="191" t="str">
        <f t="shared" si="73"/>
        <v xml:space="preserve"> hàng 20' </v>
      </c>
      <c r="V1114" s="191">
        <v>20</v>
      </c>
    </row>
    <row r="1115" spans="1:22" s="191" customFormat="1" ht="15">
      <c r="A1115" s="236">
        <v>1104</v>
      </c>
      <c r="B1115" s="244">
        <v>46131</v>
      </c>
      <c r="C1115" s="245" t="s">
        <v>261</v>
      </c>
      <c r="D1115" s="246" t="s">
        <v>1346</v>
      </c>
      <c r="E1115" s="247">
        <v>1</v>
      </c>
      <c r="F1115" s="247"/>
      <c r="G1115" s="248"/>
      <c r="H1115" s="247"/>
      <c r="I1115" s="244" t="s">
        <v>472</v>
      </c>
      <c r="J1115" s="249" t="s">
        <v>21</v>
      </c>
      <c r="K1115" s="249" t="s">
        <v>42</v>
      </c>
      <c r="L1115" s="250">
        <f t="shared" si="71"/>
        <v>1</v>
      </c>
      <c r="M1115" s="237">
        <f t="array" ref="M1115">INDEX('BKTT T4.26'!$N$12:$N$55,MATCH(V1115,'BKTT T4.26'!$A$12:$A$55,0),0)</f>
        <v>593784</v>
      </c>
      <c r="N1115" s="162">
        <f t="shared" si="74"/>
        <v>593784</v>
      </c>
      <c r="O1115" s="238" t="s">
        <v>264</v>
      </c>
      <c r="P1115" s="251" t="s">
        <v>1448</v>
      </c>
      <c r="R1115" s="191" t="str">
        <f t="shared" si="72"/>
        <v>Cước vận chuyển Container hàng 20' tuyến đường PAN HA - TÂN VŨ. BKS: 15H08574</v>
      </c>
      <c r="S1115" s="191" t="str">
        <f t="shared" si="73"/>
        <v xml:space="preserve"> hàng 20' </v>
      </c>
      <c r="V1115" s="191">
        <v>20</v>
      </c>
    </row>
    <row r="1116" spans="1:22" s="191" customFormat="1" ht="15">
      <c r="A1116" s="236">
        <v>1105</v>
      </c>
      <c r="B1116" s="244">
        <v>46132</v>
      </c>
      <c r="C1116" s="245" t="s">
        <v>261</v>
      </c>
      <c r="D1116" s="246" t="s">
        <v>1347</v>
      </c>
      <c r="E1116" s="247">
        <v>1</v>
      </c>
      <c r="F1116" s="247"/>
      <c r="G1116" s="248"/>
      <c r="H1116" s="247"/>
      <c r="I1116" s="244" t="s">
        <v>472</v>
      </c>
      <c r="J1116" s="249" t="s">
        <v>21</v>
      </c>
      <c r="K1116" s="249" t="s">
        <v>22</v>
      </c>
      <c r="L1116" s="250">
        <f t="shared" si="71"/>
        <v>1</v>
      </c>
      <c r="M1116" s="237">
        <f t="array" ref="M1116">INDEX('BKTT T4.26'!$N$12:$N$55,MATCH(V1116,'BKTT T4.26'!$A$12:$A$55,0),0)</f>
        <v>654871</v>
      </c>
      <c r="N1116" s="162">
        <f t="shared" si="74"/>
        <v>654871</v>
      </c>
      <c r="O1116" s="238" t="s">
        <v>264</v>
      </c>
      <c r="P1116" s="251" t="s">
        <v>1448</v>
      </c>
      <c r="R1116" s="191" t="str">
        <f t="shared" si="72"/>
        <v>Cước vận chuyển Container hàng 20' tuyến đường PAN HA - HẢI AN. BKS: 15H08574</v>
      </c>
      <c r="S1116" s="191" t="str">
        <f t="shared" si="73"/>
        <v xml:space="preserve"> hàng 20' </v>
      </c>
      <c r="V1116" s="191">
        <v>1</v>
      </c>
    </row>
    <row r="1117" spans="1:22" s="191" customFormat="1" ht="15">
      <c r="A1117" s="236">
        <v>1106</v>
      </c>
      <c r="B1117" s="244">
        <v>46132</v>
      </c>
      <c r="C1117" s="245" t="s">
        <v>261</v>
      </c>
      <c r="D1117" s="246" t="s">
        <v>1348</v>
      </c>
      <c r="E1117" s="254">
        <v>1</v>
      </c>
      <c r="F1117" s="254"/>
      <c r="G1117" s="248"/>
      <c r="H1117" s="254"/>
      <c r="I1117" s="244" t="s">
        <v>472</v>
      </c>
      <c r="J1117" s="249" t="s">
        <v>21</v>
      </c>
      <c r="K1117" s="249" t="s">
        <v>22</v>
      </c>
      <c r="L1117" s="250">
        <f t="shared" si="71"/>
        <v>1</v>
      </c>
      <c r="M1117" s="237">
        <f t="array" ref="M1117">INDEX('BKTT T4.26'!$N$12:$N$55,MATCH(V1117,'BKTT T4.26'!$A$12:$A$55,0),0)</f>
        <v>654871</v>
      </c>
      <c r="N1117" s="162">
        <f t="shared" si="74"/>
        <v>654871</v>
      </c>
      <c r="O1117" s="238" t="s">
        <v>264</v>
      </c>
      <c r="P1117" s="251" t="s">
        <v>1448</v>
      </c>
      <c r="R1117" s="191" t="str">
        <f t="shared" si="72"/>
        <v>Cước vận chuyển Container hàng 20' tuyến đường PAN HA - HẢI AN. BKS: 15H08574</v>
      </c>
      <c r="S1117" s="191" t="str">
        <f t="shared" si="73"/>
        <v xml:space="preserve"> hàng 20' </v>
      </c>
      <c r="V1117" s="191">
        <v>1</v>
      </c>
    </row>
    <row r="1118" spans="1:22" s="191" customFormat="1" ht="15">
      <c r="A1118" s="236">
        <v>1107</v>
      </c>
      <c r="B1118" s="244">
        <v>46132</v>
      </c>
      <c r="C1118" s="245" t="s">
        <v>261</v>
      </c>
      <c r="D1118" s="246" t="s">
        <v>1349</v>
      </c>
      <c r="E1118" s="254">
        <v>1</v>
      </c>
      <c r="F1118" s="254"/>
      <c r="G1118" s="248"/>
      <c r="H1118" s="254"/>
      <c r="I1118" s="244" t="s">
        <v>472</v>
      </c>
      <c r="J1118" s="249" t="s">
        <v>21</v>
      </c>
      <c r="K1118" s="249" t="s">
        <v>22</v>
      </c>
      <c r="L1118" s="250">
        <f t="shared" si="71"/>
        <v>1</v>
      </c>
      <c r="M1118" s="237">
        <f t="array" ref="M1118">INDEX('BKTT T4.26'!$N$12:$N$55,MATCH(V1118,'BKTT T4.26'!$A$12:$A$55,0),0)</f>
        <v>654871</v>
      </c>
      <c r="N1118" s="162">
        <f t="shared" si="74"/>
        <v>654871</v>
      </c>
      <c r="O1118" s="238" t="s">
        <v>264</v>
      </c>
      <c r="P1118" s="251" t="s">
        <v>1448</v>
      </c>
      <c r="R1118" s="191" t="str">
        <f t="shared" si="72"/>
        <v>Cước vận chuyển Container hàng 20' tuyến đường PAN HA - HẢI AN. BKS: 15H08574</v>
      </c>
      <c r="S1118" s="191" t="str">
        <f t="shared" si="73"/>
        <v xml:space="preserve"> hàng 20' </v>
      </c>
      <c r="V1118" s="191">
        <v>1</v>
      </c>
    </row>
    <row r="1119" spans="1:22" s="191" customFormat="1" ht="15">
      <c r="A1119" s="236">
        <v>1108</v>
      </c>
      <c r="B1119" s="244">
        <v>46132</v>
      </c>
      <c r="C1119" s="245" t="s">
        <v>261</v>
      </c>
      <c r="D1119" s="246" t="s">
        <v>1350</v>
      </c>
      <c r="E1119" s="254">
        <v>1</v>
      </c>
      <c r="F1119" s="254"/>
      <c r="G1119" s="254"/>
      <c r="H1119" s="254"/>
      <c r="I1119" s="244" t="s">
        <v>472</v>
      </c>
      <c r="J1119" s="249" t="s">
        <v>21</v>
      </c>
      <c r="K1119" s="249" t="s">
        <v>22</v>
      </c>
      <c r="L1119" s="250">
        <f t="shared" si="71"/>
        <v>1</v>
      </c>
      <c r="M1119" s="237">
        <f t="array" ref="M1119">INDEX('BKTT T4.26'!$N$12:$N$55,MATCH(V1119,'BKTT T4.26'!$A$12:$A$55,0),0)</f>
        <v>654871</v>
      </c>
      <c r="N1119" s="162">
        <f t="shared" si="74"/>
        <v>654871</v>
      </c>
      <c r="O1119" s="238" t="s">
        <v>264</v>
      </c>
      <c r="P1119" s="251" t="s">
        <v>1448</v>
      </c>
      <c r="R1119" s="191" t="str">
        <f t="shared" si="72"/>
        <v>Cước vận chuyển Container hàng 20' tuyến đường PAN HA - HẢI AN. BKS: 15H08574</v>
      </c>
      <c r="S1119" s="191" t="str">
        <f t="shared" si="73"/>
        <v xml:space="preserve"> hàng 20' </v>
      </c>
      <c r="V1119" s="191">
        <v>1</v>
      </c>
    </row>
    <row r="1120" spans="1:22" s="191" customFormat="1" ht="15">
      <c r="A1120" s="236">
        <v>1109</v>
      </c>
      <c r="B1120" s="244">
        <v>46132</v>
      </c>
      <c r="C1120" s="245" t="s">
        <v>261</v>
      </c>
      <c r="D1120" s="246" t="s">
        <v>1351</v>
      </c>
      <c r="E1120" s="254"/>
      <c r="F1120" s="247">
        <v>1</v>
      </c>
      <c r="G1120" s="254"/>
      <c r="H1120" s="254"/>
      <c r="I1120" s="244" t="s">
        <v>472</v>
      </c>
      <c r="J1120" s="249" t="s">
        <v>21</v>
      </c>
      <c r="K1120" s="249" t="s">
        <v>25</v>
      </c>
      <c r="L1120" s="250">
        <f t="shared" si="71"/>
        <v>1</v>
      </c>
      <c r="M1120" s="237">
        <f t="array" ref="M1120">INDEX('BKTT T4.26'!$N$12:$N$55,MATCH(V1120,'BKTT T4.26'!$A$12:$A$55,0),0)</f>
        <v>681050</v>
      </c>
      <c r="N1120" s="162">
        <f t="shared" si="74"/>
        <v>681050</v>
      </c>
      <c r="O1120" s="238" t="s">
        <v>264</v>
      </c>
      <c r="P1120" s="251" t="s">
        <v>1448</v>
      </c>
      <c r="R1120" s="191" t="str">
        <f t="shared" si="72"/>
        <v>Cước vận chuyển Container hàng 40' tuyến đường PAN HA - HẢI AN,. BKS: 15H08574</v>
      </c>
      <c r="S1120" s="191" t="str">
        <f t="shared" si="73"/>
        <v xml:space="preserve"> hàng 40' </v>
      </c>
      <c r="V1120" s="191">
        <v>2</v>
      </c>
    </row>
    <row r="1121" spans="1:22" s="191" customFormat="1" ht="15">
      <c r="A1121" s="236">
        <v>1110</v>
      </c>
      <c r="B1121" s="244">
        <v>46132</v>
      </c>
      <c r="C1121" s="245" t="s">
        <v>261</v>
      </c>
      <c r="D1121" s="246" t="s">
        <v>1352</v>
      </c>
      <c r="E1121" s="254"/>
      <c r="F1121" s="247">
        <v>1</v>
      </c>
      <c r="G1121" s="254"/>
      <c r="H1121" s="254"/>
      <c r="I1121" s="244" t="s">
        <v>472</v>
      </c>
      <c r="J1121" s="249" t="s">
        <v>21</v>
      </c>
      <c r="K1121" s="249" t="s">
        <v>25</v>
      </c>
      <c r="L1121" s="250">
        <f t="shared" si="71"/>
        <v>1</v>
      </c>
      <c r="M1121" s="237">
        <f t="array" ref="M1121">INDEX('BKTT T4.26'!$N$12:$N$55,MATCH(V1121,'BKTT T4.26'!$A$12:$A$55,0),0)</f>
        <v>681050</v>
      </c>
      <c r="N1121" s="162">
        <f t="shared" si="74"/>
        <v>681050</v>
      </c>
      <c r="O1121" s="238" t="s">
        <v>264</v>
      </c>
      <c r="P1121" s="251" t="s">
        <v>1448</v>
      </c>
      <c r="R1121" s="191" t="str">
        <f t="shared" si="72"/>
        <v>Cước vận chuyển Container hàng 40' tuyến đường PAN HA - HẢI AN,. BKS: 15H08574</v>
      </c>
      <c r="S1121" s="191" t="str">
        <f t="shared" si="73"/>
        <v xml:space="preserve"> hàng 40' </v>
      </c>
      <c r="V1121" s="191">
        <v>2</v>
      </c>
    </row>
    <row r="1122" spans="1:22" s="191" customFormat="1" ht="15">
      <c r="A1122" s="236">
        <v>1111</v>
      </c>
      <c r="B1122" s="244">
        <v>46132</v>
      </c>
      <c r="C1122" s="245" t="s">
        <v>261</v>
      </c>
      <c r="D1122" s="246" t="s">
        <v>1353</v>
      </c>
      <c r="E1122" s="254"/>
      <c r="F1122" s="247">
        <v>1</v>
      </c>
      <c r="G1122" s="254"/>
      <c r="H1122" s="254"/>
      <c r="I1122" s="244" t="s">
        <v>472</v>
      </c>
      <c r="J1122" s="249" t="s">
        <v>21</v>
      </c>
      <c r="K1122" s="249" t="s">
        <v>25</v>
      </c>
      <c r="L1122" s="250">
        <f t="shared" si="71"/>
        <v>1</v>
      </c>
      <c r="M1122" s="237">
        <f t="array" ref="M1122">INDEX('BKTT T4.26'!$N$12:$N$55,MATCH(V1122,'BKTT T4.26'!$A$12:$A$55,0),0)</f>
        <v>681050</v>
      </c>
      <c r="N1122" s="162">
        <f t="shared" si="74"/>
        <v>681050</v>
      </c>
      <c r="O1122" s="238" t="s">
        <v>264</v>
      </c>
      <c r="P1122" s="251" t="s">
        <v>1448</v>
      </c>
      <c r="R1122" s="191" t="str">
        <f t="shared" si="72"/>
        <v>Cước vận chuyển Container hàng 40' tuyến đường PAN HA - HẢI AN,. BKS: 15H08574</v>
      </c>
      <c r="S1122" s="191" t="str">
        <f t="shared" si="73"/>
        <v xml:space="preserve"> hàng 40' </v>
      </c>
      <c r="V1122" s="191">
        <v>2</v>
      </c>
    </row>
    <row r="1123" spans="1:22" s="191" customFormat="1" ht="15">
      <c r="A1123" s="236">
        <v>1112</v>
      </c>
      <c r="B1123" s="244">
        <v>46133</v>
      </c>
      <c r="C1123" s="245" t="s">
        <v>261</v>
      </c>
      <c r="D1123" s="246" t="s">
        <v>1354</v>
      </c>
      <c r="E1123" s="254"/>
      <c r="F1123" s="254"/>
      <c r="G1123" s="254"/>
      <c r="H1123" s="254">
        <v>1</v>
      </c>
      <c r="I1123" s="244" t="s">
        <v>269</v>
      </c>
      <c r="J1123" s="249" t="s">
        <v>56</v>
      </c>
      <c r="K1123" s="249" t="s">
        <v>21</v>
      </c>
      <c r="L1123" s="250">
        <f t="shared" si="71"/>
        <v>1</v>
      </c>
      <c r="M1123" s="237">
        <f t="array" ref="M1123">INDEX('BKTT T4.26'!$N$12:$N$55,MATCH(V1123,'BKTT T4.26'!$A$12:$A$55,0),0)</f>
        <v>1002400</v>
      </c>
      <c r="N1123" s="162">
        <f t="shared" si="74"/>
        <v>1002400</v>
      </c>
      <c r="O1123" s="238" t="s">
        <v>267</v>
      </c>
      <c r="P1123" s="251" t="s">
        <v>1448</v>
      </c>
      <c r="R1123" s="191" t="str">
        <f t="shared" si="72"/>
        <v>Cước vận chuyển Container vỏ tuyến đường HATECO - PAN HA. BKS: 15H07644</v>
      </c>
      <c r="S1123" s="191" t="str">
        <f t="shared" si="73"/>
        <v xml:space="preserve"> vỏ </v>
      </c>
      <c r="V1123" s="191">
        <v>35</v>
      </c>
    </row>
    <row r="1124" spans="1:22" s="191" customFormat="1" ht="15">
      <c r="A1124" s="236">
        <v>1113</v>
      </c>
      <c r="B1124" s="244">
        <v>46133</v>
      </c>
      <c r="C1124" s="245" t="s">
        <v>261</v>
      </c>
      <c r="D1124" s="246" t="s">
        <v>1355</v>
      </c>
      <c r="E1124" s="254"/>
      <c r="F1124" s="254"/>
      <c r="G1124" s="248">
        <v>0.5</v>
      </c>
      <c r="H1124" s="254"/>
      <c r="I1124" s="244" t="s">
        <v>282</v>
      </c>
      <c r="J1124" s="249" t="s">
        <v>21</v>
      </c>
      <c r="K1124" s="249" t="s">
        <v>27</v>
      </c>
      <c r="L1124" s="250">
        <f t="shared" si="71"/>
        <v>0.5</v>
      </c>
      <c r="M1124" s="237">
        <f t="array" ref="M1124">INDEX('BKTT T4.26'!$N$12:$N$55,MATCH(V1124,'BKTT T4.26'!$A$12:$A$55,0),0)</f>
        <v>628690</v>
      </c>
      <c r="N1124" s="162">
        <f t="shared" si="74"/>
        <v>314345</v>
      </c>
      <c r="O1124" s="238" t="s">
        <v>264</v>
      </c>
      <c r="P1124" s="251" t="s">
        <v>1448</v>
      </c>
      <c r="R1124" s="191" t="str">
        <f t="shared" si="72"/>
        <v>Cước vận chuyển Container vỏ tuyến đường PAN HA - HẢI AN.. BKS: 15C17301</v>
      </c>
      <c r="S1124" s="191" t="str">
        <f t="shared" si="73"/>
        <v xml:space="preserve"> vỏ </v>
      </c>
      <c r="V1124" s="191">
        <v>3</v>
      </c>
    </row>
    <row r="1125" spans="1:22" s="191" customFormat="1" ht="15">
      <c r="A1125" s="236">
        <v>1114</v>
      </c>
      <c r="B1125" s="244">
        <v>46133</v>
      </c>
      <c r="C1125" s="245" t="s">
        <v>261</v>
      </c>
      <c r="D1125" s="246" t="s">
        <v>1356</v>
      </c>
      <c r="E1125" s="254"/>
      <c r="F1125" s="254"/>
      <c r="G1125" s="248">
        <v>0.5</v>
      </c>
      <c r="H1125" s="254"/>
      <c r="I1125" s="244" t="s">
        <v>282</v>
      </c>
      <c r="J1125" s="249" t="s">
        <v>21</v>
      </c>
      <c r="K1125" s="249" t="s">
        <v>27</v>
      </c>
      <c r="L1125" s="250">
        <f t="shared" si="71"/>
        <v>0.5</v>
      </c>
      <c r="M1125" s="237">
        <f t="array" ref="M1125">INDEX('BKTT T4.26'!$N$12:$N$55,MATCH(V1125,'BKTT T4.26'!$A$12:$A$55,0),0)</f>
        <v>628690</v>
      </c>
      <c r="N1125" s="162">
        <f t="shared" si="74"/>
        <v>314345</v>
      </c>
      <c r="O1125" s="238" t="s">
        <v>264</v>
      </c>
      <c r="P1125" s="251" t="s">
        <v>1448</v>
      </c>
      <c r="R1125" s="191" t="str">
        <f t="shared" si="72"/>
        <v>Cước vận chuyển Container vỏ tuyến đường PAN HA - HẢI AN.. BKS: 15C17301</v>
      </c>
      <c r="S1125" s="191" t="str">
        <f t="shared" si="73"/>
        <v xml:space="preserve"> vỏ </v>
      </c>
      <c r="V1125" s="191">
        <v>3</v>
      </c>
    </row>
    <row r="1126" spans="1:22" s="191" customFormat="1" ht="15">
      <c r="A1126" s="236">
        <v>1115</v>
      </c>
      <c r="B1126" s="244">
        <v>46133</v>
      </c>
      <c r="C1126" s="245" t="s">
        <v>261</v>
      </c>
      <c r="D1126" s="246" t="s">
        <v>1357</v>
      </c>
      <c r="E1126" s="254"/>
      <c r="F1126" s="254"/>
      <c r="G1126" s="248">
        <v>0.5</v>
      </c>
      <c r="H1126" s="254"/>
      <c r="I1126" s="244" t="s">
        <v>282</v>
      </c>
      <c r="J1126" s="249" t="s">
        <v>21</v>
      </c>
      <c r="K1126" s="249" t="s">
        <v>27</v>
      </c>
      <c r="L1126" s="250">
        <f t="shared" si="71"/>
        <v>0.5</v>
      </c>
      <c r="M1126" s="237">
        <f t="array" ref="M1126">INDEX('BKTT T4.26'!$N$12:$N$55,MATCH(V1126,'BKTT T4.26'!$A$12:$A$55,0),0)</f>
        <v>628690</v>
      </c>
      <c r="N1126" s="162">
        <f t="shared" si="74"/>
        <v>314345</v>
      </c>
      <c r="O1126" s="238" t="s">
        <v>264</v>
      </c>
      <c r="P1126" s="251" t="s">
        <v>1448</v>
      </c>
      <c r="R1126" s="191" t="str">
        <f t="shared" si="72"/>
        <v>Cước vận chuyển Container vỏ tuyến đường PAN HA - HẢI AN.. BKS: 15C17301</v>
      </c>
      <c r="S1126" s="191" t="str">
        <f t="shared" si="73"/>
        <v xml:space="preserve"> vỏ </v>
      </c>
      <c r="V1126" s="191">
        <v>3</v>
      </c>
    </row>
    <row r="1127" spans="1:22" s="191" customFormat="1" ht="15">
      <c r="A1127" s="236">
        <v>1116</v>
      </c>
      <c r="B1127" s="244">
        <v>46133</v>
      </c>
      <c r="C1127" s="245" t="s">
        <v>261</v>
      </c>
      <c r="D1127" s="246" t="s">
        <v>1358</v>
      </c>
      <c r="E1127" s="254"/>
      <c r="F1127" s="254"/>
      <c r="G1127" s="248">
        <v>0.5</v>
      </c>
      <c r="H1127" s="254"/>
      <c r="I1127" s="244" t="s">
        <v>282</v>
      </c>
      <c r="J1127" s="249" t="s">
        <v>21</v>
      </c>
      <c r="K1127" s="249" t="s">
        <v>27</v>
      </c>
      <c r="L1127" s="250">
        <f t="shared" si="71"/>
        <v>0.5</v>
      </c>
      <c r="M1127" s="237">
        <f t="array" ref="M1127">INDEX('BKTT T4.26'!$N$12:$N$55,MATCH(V1127,'BKTT T4.26'!$A$12:$A$55,0),0)</f>
        <v>628690</v>
      </c>
      <c r="N1127" s="162">
        <f t="shared" si="74"/>
        <v>314345</v>
      </c>
      <c r="O1127" s="238" t="s">
        <v>264</v>
      </c>
      <c r="P1127" s="251" t="s">
        <v>1448</v>
      </c>
      <c r="R1127" s="191" t="str">
        <f t="shared" si="72"/>
        <v>Cước vận chuyển Container vỏ tuyến đường PAN HA - HẢI AN.. BKS: 15C17301</v>
      </c>
      <c r="S1127" s="191" t="str">
        <f t="shared" si="73"/>
        <v xml:space="preserve"> vỏ </v>
      </c>
      <c r="V1127" s="191">
        <v>3</v>
      </c>
    </row>
    <row r="1128" spans="1:22" s="191" customFormat="1" ht="15">
      <c r="A1128" s="236">
        <v>1117</v>
      </c>
      <c r="B1128" s="244">
        <v>46133</v>
      </c>
      <c r="C1128" s="245" t="s">
        <v>261</v>
      </c>
      <c r="D1128" s="246" t="s">
        <v>1359</v>
      </c>
      <c r="E1128" s="254"/>
      <c r="F1128" s="254"/>
      <c r="G1128" s="254"/>
      <c r="H1128" s="254">
        <v>1</v>
      </c>
      <c r="I1128" s="244" t="s">
        <v>282</v>
      </c>
      <c r="J1128" s="249" t="s">
        <v>38</v>
      </c>
      <c r="K1128" s="249" t="s">
        <v>21</v>
      </c>
      <c r="L1128" s="250">
        <f t="shared" si="71"/>
        <v>1</v>
      </c>
      <c r="M1128" s="237">
        <f t="array" ref="M1128">INDEX('BKTT T4.26'!$N$12:$N$55,MATCH(V1128,'BKTT T4.26'!$A$12:$A$55,0),0)</f>
        <v>585057</v>
      </c>
      <c r="N1128" s="162">
        <f t="shared" si="74"/>
        <v>585057</v>
      </c>
      <c r="O1128" s="238" t="s">
        <v>267</v>
      </c>
      <c r="P1128" s="251" t="s">
        <v>1448</v>
      </c>
      <c r="R1128" s="191" t="str">
        <f t="shared" si="72"/>
        <v>Cước vận chuyển Container vỏ tuyến đường NHĐV. - PAN HA. BKS: 15C17301</v>
      </c>
      <c r="S1128" s="191" t="str">
        <f t="shared" si="73"/>
        <v xml:space="preserve"> vỏ </v>
      </c>
      <c r="V1128" s="191">
        <v>16</v>
      </c>
    </row>
    <row r="1129" spans="1:22" s="191" customFormat="1" ht="15">
      <c r="A1129" s="236">
        <v>1118</v>
      </c>
      <c r="B1129" s="244">
        <v>46133</v>
      </c>
      <c r="C1129" s="245" t="s">
        <v>261</v>
      </c>
      <c r="D1129" s="246" t="s">
        <v>1360</v>
      </c>
      <c r="E1129" s="254"/>
      <c r="F1129" s="254"/>
      <c r="G1129" s="254"/>
      <c r="H1129" s="254">
        <v>1</v>
      </c>
      <c r="I1129" s="244" t="s">
        <v>282</v>
      </c>
      <c r="J1129" s="249" t="s">
        <v>38</v>
      </c>
      <c r="K1129" s="249" t="s">
        <v>21</v>
      </c>
      <c r="L1129" s="250">
        <f t="shared" si="71"/>
        <v>1</v>
      </c>
      <c r="M1129" s="237">
        <f t="array" ref="M1129">INDEX('BKTT T4.26'!$N$12:$N$55,MATCH(V1129,'BKTT T4.26'!$A$12:$A$55,0),0)</f>
        <v>585057</v>
      </c>
      <c r="N1129" s="162">
        <f t="shared" si="74"/>
        <v>585057</v>
      </c>
      <c r="O1129" s="238" t="s">
        <v>267</v>
      </c>
      <c r="P1129" s="251" t="s">
        <v>1448</v>
      </c>
      <c r="R1129" s="191" t="str">
        <f t="shared" si="72"/>
        <v>Cước vận chuyển Container vỏ tuyến đường NHĐV. - PAN HA. BKS: 15C17301</v>
      </c>
      <c r="S1129" s="191" t="str">
        <f t="shared" si="73"/>
        <v xml:space="preserve"> vỏ </v>
      </c>
      <c r="V1129" s="191">
        <v>16</v>
      </c>
    </row>
    <row r="1130" spans="1:22" s="191" customFormat="1" ht="15">
      <c r="A1130" s="236">
        <v>1119</v>
      </c>
      <c r="B1130" s="244">
        <v>46133</v>
      </c>
      <c r="C1130" s="245" t="s">
        <v>261</v>
      </c>
      <c r="D1130" s="246" t="s">
        <v>1361</v>
      </c>
      <c r="E1130" s="247"/>
      <c r="F1130" s="247"/>
      <c r="G1130" s="248">
        <v>0.5</v>
      </c>
      <c r="H1130" s="247"/>
      <c r="I1130" s="244" t="s">
        <v>279</v>
      </c>
      <c r="J1130" s="249" t="s">
        <v>21</v>
      </c>
      <c r="K1130" s="249" t="s">
        <v>27</v>
      </c>
      <c r="L1130" s="250">
        <f t="shared" si="71"/>
        <v>0.5</v>
      </c>
      <c r="M1130" s="237">
        <f t="array" ref="M1130">INDEX('BKTT T4.26'!$N$12:$N$55,MATCH(V1130,'BKTT T4.26'!$A$12:$A$55,0),0)</f>
        <v>628690</v>
      </c>
      <c r="N1130" s="162">
        <f t="shared" si="74"/>
        <v>314345</v>
      </c>
      <c r="O1130" s="238" t="s">
        <v>264</v>
      </c>
      <c r="P1130" s="251" t="s">
        <v>1448</v>
      </c>
      <c r="R1130" s="191" t="str">
        <f t="shared" si="72"/>
        <v>Cước vận chuyển Container vỏ tuyến đường PAN HA - HẢI AN.. BKS: 15H07524</v>
      </c>
      <c r="S1130" s="191" t="str">
        <f t="shared" si="73"/>
        <v xml:space="preserve"> vỏ </v>
      </c>
      <c r="V1130" s="191">
        <v>3</v>
      </c>
    </row>
    <row r="1131" spans="1:22" s="191" customFormat="1" ht="15">
      <c r="A1131" s="236">
        <v>1120</v>
      </c>
      <c r="B1131" s="244">
        <v>46133</v>
      </c>
      <c r="C1131" s="245" t="s">
        <v>261</v>
      </c>
      <c r="D1131" s="246" t="s">
        <v>1362</v>
      </c>
      <c r="E1131" s="247"/>
      <c r="F1131" s="247"/>
      <c r="G1131" s="248">
        <v>0.5</v>
      </c>
      <c r="H1131" s="247"/>
      <c r="I1131" s="244" t="s">
        <v>279</v>
      </c>
      <c r="J1131" s="249" t="s">
        <v>21</v>
      </c>
      <c r="K1131" s="249" t="s">
        <v>27</v>
      </c>
      <c r="L1131" s="250">
        <f t="shared" si="71"/>
        <v>0.5</v>
      </c>
      <c r="M1131" s="237">
        <f t="array" ref="M1131">INDEX('BKTT T4.26'!$N$12:$N$55,MATCH(V1131,'BKTT T4.26'!$A$12:$A$55,0),0)</f>
        <v>628690</v>
      </c>
      <c r="N1131" s="162">
        <f t="shared" si="74"/>
        <v>314345</v>
      </c>
      <c r="O1131" s="238" t="s">
        <v>264</v>
      </c>
      <c r="P1131" s="251" t="s">
        <v>1448</v>
      </c>
      <c r="R1131" s="191" t="str">
        <f t="shared" si="72"/>
        <v>Cước vận chuyển Container vỏ tuyến đường PAN HA - HẢI AN.. BKS: 15H07524</v>
      </c>
      <c r="S1131" s="191" t="str">
        <f t="shared" si="73"/>
        <v xml:space="preserve"> vỏ </v>
      </c>
      <c r="V1131" s="191">
        <v>3</v>
      </c>
    </row>
    <row r="1132" spans="1:22" s="191" customFormat="1" ht="15">
      <c r="A1132" s="236">
        <v>1121</v>
      </c>
      <c r="B1132" s="244">
        <v>46133</v>
      </c>
      <c r="C1132" s="245" t="s">
        <v>261</v>
      </c>
      <c r="D1132" s="246" t="s">
        <v>1363</v>
      </c>
      <c r="E1132" s="247"/>
      <c r="F1132" s="247"/>
      <c r="G1132" s="248">
        <v>0.5</v>
      </c>
      <c r="H1132" s="247"/>
      <c r="I1132" s="244" t="s">
        <v>279</v>
      </c>
      <c r="J1132" s="249" t="s">
        <v>21</v>
      </c>
      <c r="K1132" s="249" t="s">
        <v>27</v>
      </c>
      <c r="L1132" s="250">
        <f t="shared" si="71"/>
        <v>0.5</v>
      </c>
      <c r="M1132" s="237">
        <f t="array" ref="M1132">INDEX('BKTT T4.26'!$N$12:$N$55,MATCH(V1132,'BKTT T4.26'!$A$12:$A$55,0),0)</f>
        <v>628690</v>
      </c>
      <c r="N1132" s="162">
        <f t="shared" si="74"/>
        <v>314345</v>
      </c>
      <c r="O1132" s="238" t="s">
        <v>264</v>
      </c>
      <c r="P1132" s="251" t="s">
        <v>1448</v>
      </c>
      <c r="R1132" s="191" t="str">
        <f t="shared" si="72"/>
        <v>Cước vận chuyển Container vỏ tuyến đường PAN HA - HẢI AN.. BKS: 15H07524</v>
      </c>
      <c r="S1132" s="191" t="str">
        <f t="shared" si="73"/>
        <v xml:space="preserve"> vỏ </v>
      </c>
      <c r="V1132" s="191">
        <v>3</v>
      </c>
    </row>
    <row r="1133" spans="1:22" s="191" customFormat="1" ht="15">
      <c r="A1133" s="236">
        <v>1122</v>
      </c>
      <c r="B1133" s="244">
        <v>46133</v>
      </c>
      <c r="C1133" s="245" t="s">
        <v>261</v>
      </c>
      <c r="D1133" s="246" t="s">
        <v>1364</v>
      </c>
      <c r="E1133" s="247"/>
      <c r="F1133" s="247"/>
      <c r="G1133" s="248">
        <v>0.5</v>
      </c>
      <c r="H1133" s="247"/>
      <c r="I1133" s="244" t="s">
        <v>279</v>
      </c>
      <c r="J1133" s="249" t="s">
        <v>21</v>
      </c>
      <c r="K1133" s="249" t="s">
        <v>27</v>
      </c>
      <c r="L1133" s="250">
        <f t="shared" si="71"/>
        <v>0.5</v>
      </c>
      <c r="M1133" s="237">
        <f t="array" ref="M1133">INDEX('BKTT T4.26'!$N$12:$N$55,MATCH(V1133,'BKTT T4.26'!$A$12:$A$55,0),0)</f>
        <v>628690</v>
      </c>
      <c r="N1133" s="162">
        <f t="shared" si="74"/>
        <v>314345</v>
      </c>
      <c r="O1133" s="238" t="s">
        <v>264</v>
      </c>
      <c r="P1133" s="251" t="s">
        <v>1448</v>
      </c>
      <c r="R1133" s="191" t="str">
        <f t="shared" si="72"/>
        <v>Cước vận chuyển Container vỏ tuyến đường PAN HA - HẢI AN.. BKS: 15H07524</v>
      </c>
      <c r="S1133" s="191" t="str">
        <f t="shared" si="73"/>
        <v xml:space="preserve"> vỏ </v>
      </c>
      <c r="V1133" s="191">
        <v>3</v>
      </c>
    </row>
    <row r="1134" spans="1:22" s="191" customFormat="1" ht="15">
      <c r="A1134" s="236">
        <v>1123</v>
      </c>
      <c r="B1134" s="244">
        <v>46133</v>
      </c>
      <c r="C1134" s="245" t="s">
        <v>261</v>
      </c>
      <c r="D1134" s="246" t="s">
        <v>1365</v>
      </c>
      <c r="E1134" s="247"/>
      <c r="F1134" s="247"/>
      <c r="G1134" s="248"/>
      <c r="H1134" s="247">
        <v>1</v>
      </c>
      <c r="I1134" s="244" t="s">
        <v>279</v>
      </c>
      <c r="J1134" s="249" t="s">
        <v>38</v>
      </c>
      <c r="K1134" s="249" t="s">
        <v>21</v>
      </c>
      <c r="L1134" s="250">
        <f t="shared" si="71"/>
        <v>1</v>
      </c>
      <c r="M1134" s="237">
        <f t="array" ref="M1134">INDEX('BKTT T4.26'!$N$12:$N$55,MATCH(V1134,'BKTT T4.26'!$A$12:$A$55,0),0)</f>
        <v>585057</v>
      </c>
      <c r="N1134" s="162">
        <f t="shared" si="74"/>
        <v>585057</v>
      </c>
      <c r="O1134" s="238" t="s">
        <v>267</v>
      </c>
      <c r="P1134" s="251" t="s">
        <v>1448</v>
      </c>
      <c r="R1134" s="191" t="str">
        <f t="shared" si="72"/>
        <v>Cước vận chuyển Container vỏ tuyến đường NHĐV. - PAN HA. BKS: 15H07524</v>
      </c>
      <c r="S1134" s="191" t="str">
        <f t="shared" si="73"/>
        <v xml:space="preserve"> vỏ </v>
      </c>
      <c r="V1134" s="191">
        <v>16</v>
      </c>
    </row>
    <row r="1135" spans="1:22" s="191" customFormat="1" ht="15">
      <c r="A1135" s="236">
        <v>1124</v>
      </c>
      <c r="B1135" s="244">
        <v>46133</v>
      </c>
      <c r="C1135" s="245" t="s">
        <v>261</v>
      </c>
      <c r="D1135" s="246" t="s">
        <v>1366</v>
      </c>
      <c r="E1135" s="247"/>
      <c r="F1135" s="247"/>
      <c r="G1135" s="248"/>
      <c r="H1135" s="247">
        <v>1</v>
      </c>
      <c r="I1135" s="244" t="s">
        <v>279</v>
      </c>
      <c r="J1135" s="249" t="s">
        <v>38</v>
      </c>
      <c r="K1135" s="249" t="s">
        <v>21</v>
      </c>
      <c r="L1135" s="250">
        <f t="shared" si="71"/>
        <v>1</v>
      </c>
      <c r="M1135" s="237">
        <f t="array" ref="M1135">INDEX('BKTT T4.26'!$N$12:$N$55,MATCH(V1135,'BKTT T4.26'!$A$12:$A$55,0),0)</f>
        <v>585057</v>
      </c>
      <c r="N1135" s="162">
        <f t="shared" si="74"/>
        <v>585057</v>
      </c>
      <c r="O1135" s="238" t="s">
        <v>267</v>
      </c>
      <c r="P1135" s="251" t="s">
        <v>1448</v>
      </c>
      <c r="R1135" s="191" t="str">
        <f t="shared" si="72"/>
        <v>Cước vận chuyển Container vỏ tuyến đường NHĐV. - PAN HA. BKS: 15H07524</v>
      </c>
      <c r="S1135" s="191" t="str">
        <f t="shared" si="73"/>
        <v xml:space="preserve"> vỏ </v>
      </c>
      <c r="V1135" s="191">
        <v>16</v>
      </c>
    </row>
    <row r="1136" spans="1:22" s="191" customFormat="1" ht="15">
      <c r="A1136" s="236">
        <v>1125</v>
      </c>
      <c r="B1136" s="244">
        <v>46133</v>
      </c>
      <c r="C1136" s="245" t="s">
        <v>261</v>
      </c>
      <c r="D1136" s="246" t="s">
        <v>1367</v>
      </c>
      <c r="E1136" s="247"/>
      <c r="F1136" s="247"/>
      <c r="G1136" s="248">
        <v>0.5</v>
      </c>
      <c r="H1136" s="247"/>
      <c r="I1136" s="244" t="s">
        <v>472</v>
      </c>
      <c r="J1136" s="249" t="s">
        <v>21</v>
      </c>
      <c r="K1136" s="249" t="s">
        <v>27</v>
      </c>
      <c r="L1136" s="250">
        <f t="shared" si="71"/>
        <v>0.5</v>
      </c>
      <c r="M1136" s="237">
        <f t="array" ref="M1136">INDEX('BKTT T4.26'!$N$12:$N$55,MATCH(V1136,'BKTT T4.26'!$A$12:$A$55,0),0)</f>
        <v>628690</v>
      </c>
      <c r="N1136" s="162">
        <f t="shared" si="74"/>
        <v>314345</v>
      </c>
      <c r="O1136" s="238" t="s">
        <v>264</v>
      </c>
      <c r="P1136" s="251" t="s">
        <v>1448</v>
      </c>
      <c r="R1136" s="191" t="str">
        <f t="shared" si="72"/>
        <v>Cước vận chuyển Container vỏ tuyến đường PAN HA - HẢI AN.. BKS: 15H08574</v>
      </c>
      <c r="S1136" s="191" t="str">
        <f t="shared" si="73"/>
        <v xml:space="preserve"> vỏ </v>
      </c>
      <c r="V1136" s="191">
        <v>3</v>
      </c>
    </row>
    <row r="1137" spans="1:22" s="191" customFormat="1" ht="15">
      <c r="A1137" s="236">
        <v>1126</v>
      </c>
      <c r="B1137" s="244">
        <v>46133</v>
      </c>
      <c r="C1137" s="245" t="s">
        <v>261</v>
      </c>
      <c r="D1137" s="246" t="s">
        <v>1368</v>
      </c>
      <c r="E1137" s="247"/>
      <c r="F1137" s="247"/>
      <c r="G1137" s="248">
        <v>0.5</v>
      </c>
      <c r="H1137" s="247"/>
      <c r="I1137" s="244" t="s">
        <v>472</v>
      </c>
      <c r="J1137" s="249" t="s">
        <v>21</v>
      </c>
      <c r="K1137" s="249" t="s">
        <v>27</v>
      </c>
      <c r="L1137" s="250">
        <f t="shared" si="71"/>
        <v>0.5</v>
      </c>
      <c r="M1137" s="237">
        <f t="array" ref="M1137">INDEX('BKTT T4.26'!$N$12:$N$55,MATCH(V1137,'BKTT T4.26'!$A$12:$A$55,0),0)</f>
        <v>628690</v>
      </c>
      <c r="N1137" s="162">
        <f t="shared" si="74"/>
        <v>314345</v>
      </c>
      <c r="O1137" s="238" t="s">
        <v>264</v>
      </c>
      <c r="P1137" s="251" t="s">
        <v>1448</v>
      </c>
      <c r="R1137" s="191" t="str">
        <f t="shared" si="72"/>
        <v>Cước vận chuyển Container vỏ tuyến đường PAN HA - HẢI AN.. BKS: 15H08574</v>
      </c>
      <c r="S1137" s="191" t="str">
        <f t="shared" si="73"/>
        <v xml:space="preserve"> vỏ </v>
      </c>
      <c r="V1137" s="191">
        <v>3</v>
      </c>
    </row>
    <row r="1138" spans="1:22" s="191" customFormat="1" ht="15">
      <c r="A1138" s="236">
        <v>1127</v>
      </c>
      <c r="B1138" s="244">
        <v>46133</v>
      </c>
      <c r="C1138" s="245" t="s">
        <v>261</v>
      </c>
      <c r="D1138" s="246" t="s">
        <v>1369</v>
      </c>
      <c r="E1138" s="247"/>
      <c r="F1138" s="247"/>
      <c r="G1138" s="248"/>
      <c r="H1138" s="247">
        <v>1</v>
      </c>
      <c r="I1138" s="244" t="s">
        <v>472</v>
      </c>
      <c r="J1138" s="249" t="s">
        <v>38</v>
      </c>
      <c r="K1138" s="249" t="s">
        <v>21</v>
      </c>
      <c r="L1138" s="250">
        <f t="shared" si="71"/>
        <v>1</v>
      </c>
      <c r="M1138" s="237">
        <f t="array" ref="M1138">INDEX('BKTT T4.26'!$N$12:$N$55,MATCH(V1138,'BKTT T4.26'!$A$12:$A$55,0),0)</f>
        <v>585057</v>
      </c>
      <c r="N1138" s="162">
        <f t="shared" si="74"/>
        <v>585057</v>
      </c>
      <c r="O1138" s="238" t="s">
        <v>267</v>
      </c>
      <c r="P1138" s="251" t="s">
        <v>1448</v>
      </c>
      <c r="R1138" s="191" t="str">
        <f t="shared" si="72"/>
        <v>Cước vận chuyển Container vỏ tuyến đường NHĐV. - PAN HA. BKS: 15H08574</v>
      </c>
      <c r="S1138" s="191" t="str">
        <f t="shared" si="73"/>
        <v xml:space="preserve"> vỏ </v>
      </c>
      <c r="V1138" s="191">
        <v>16</v>
      </c>
    </row>
    <row r="1139" spans="1:22" s="191" customFormat="1" ht="15">
      <c r="A1139" s="236">
        <v>1128</v>
      </c>
      <c r="B1139" s="244">
        <v>46133</v>
      </c>
      <c r="C1139" s="245" t="s">
        <v>261</v>
      </c>
      <c r="D1139" s="246" t="s">
        <v>1370</v>
      </c>
      <c r="E1139" s="247"/>
      <c r="F1139" s="247"/>
      <c r="G1139" s="248">
        <v>0.5</v>
      </c>
      <c r="H1139" s="247"/>
      <c r="I1139" s="244" t="s">
        <v>304</v>
      </c>
      <c r="J1139" s="249" t="s">
        <v>21</v>
      </c>
      <c r="K1139" s="249" t="s">
        <v>27</v>
      </c>
      <c r="L1139" s="250">
        <f t="shared" si="71"/>
        <v>0.5</v>
      </c>
      <c r="M1139" s="237">
        <f t="array" ref="M1139">INDEX('BKTT T4.26'!$N$12:$N$55,MATCH(V1139,'BKTT T4.26'!$A$12:$A$55,0),0)</f>
        <v>628690</v>
      </c>
      <c r="N1139" s="162">
        <f t="shared" si="74"/>
        <v>314345</v>
      </c>
      <c r="O1139" s="238" t="s">
        <v>264</v>
      </c>
      <c r="P1139" s="251" t="s">
        <v>1448</v>
      </c>
      <c r="R1139" s="191" t="str">
        <f t="shared" si="72"/>
        <v>Cước vận chuyển Container vỏ tuyến đường PAN HA - HẢI AN.. BKS: 15C09877</v>
      </c>
      <c r="S1139" s="191" t="str">
        <f t="shared" si="73"/>
        <v xml:space="preserve"> vỏ </v>
      </c>
      <c r="V1139" s="191">
        <v>3</v>
      </c>
    </row>
    <row r="1140" spans="1:22" s="191" customFormat="1" ht="15">
      <c r="A1140" s="236">
        <v>1129</v>
      </c>
      <c r="B1140" s="244">
        <v>46133</v>
      </c>
      <c r="C1140" s="245" t="s">
        <v>261</v>
      </c>
      <c r="D1140" s="246" t="s">
        <v>1371</v>
      </c>
      <c r="E1140" s="247"/>
      <c r="F1140" s="247"/>
      <c r="G1140" s="248">
        <v>0.5</v>
      </c>
      <c r="H1140" s="247"/>
      <c r="I1140" s="244" t="s">
        <v>304</v>
      </c>
      <c r="J1140" s="249" t="s">
        <v>21</v>
      </c>
      <c r="K1140" s="249" t="s">
        <v>27</v>
      </c>
      <c r="L1140" s="250">
        <f t="shared" si="71"/>
        <v>0.5</v>
      </c>
      <c r="M1140" s="237">
        <f t="array" ref="M1140">INDEX('BKTT T4.26'!$N$12:$N$55,MATCH(V1140,'BKTT T4.26'!$A$12:$A$55,0),0)</f>
        <v>628690</v>
      </c>
      <c r="N1140" s="162">
        <f t="shared" si="74"/>
        <v>314345</v>
      </c>
      <c r="O1140" s="238" t="s">
        <v>264</v>
      </c>
      <c r="P1140" s="251" t="s">
        <v>1448</v>
      </c>
      <c r="R1140" s="191" t="str">
        <f t="shared" si="72"/>
        <v>Cước vận chuyển Container vỏ tuyến đường PAN HA - HẢI AN.. BKS: 15C09877</v>
      </c>
      <c r="S1140" s="191" t="str">
        <f t="shared" si="73"/>
        <v xml:space="preserve"> vỏ </v>
      </c>
      <c r="V1140" s="191">
        <v>3</v>
      </c>
    </row>
    <row r="1141" spans="1:22" s="191" customFormat="1" ht="15">
      <c r="A1141" s="236">
        <v>1130</v>
      </c>
      <c r="B1141" s="244">
        <v>46133</v>
      </c>
      <c r="C1141" s="245" t="s">
        <v>261</v>
      </c>
      <c r="D1141" s="246" t="s">
        <v>1372</v>
      </c>
      <c r="E1141" s="247"/>
      <c r="F1141" s="247"/>
      <c r="G1141" s="248">
        <v>0.5</v>
      </c>
      <c r="H1141" s="247"/>
      <c r="I1141" s="244" t="s">
        <v>304</v>
      </c>
      <c r="J1141" s="249" t="s">
        <v>21</v>
      </c>
      <c r="K1141" s="249" t="s">
        <v>27</v>
      </c>
      <c r="L1141" s="250">
        <f t="shared" si="71"/>
        <v>0.5</v>
      </c>
      <c r="M1141" s="237">
        <f t="array" ref="M1141">INDEX('BKTT T4.26'!$N$12:$N$55,MATCH(V1141,'BKTT T4.26'!$A$12:$A$55,0),0)</f>
        <v>628690</v>
      </c>
      <c r="N1141" s="162">
        <f t="shared" si="74"/>
        <v>314345</v>
      </c>
      <c r="O1141" s="238" t="s">
        <v>264</v>
      </c>
      <c r="P1141" s="251" t="s">
        <v>1448</v>
      </c>
      <c r="R1141" s="191" t="str">
        <f t="shared" si="72"/>
        <v>Cước vận chuyển Container vỏ tuyến đường PAN HA - HẢI AN.. BKS: 15C09877</v>
      </c>
      <c r="S1141" s="191" t="str">
        <f t="shared" si="73"/>
        <v xml:space="preserve"> vỏ </v>
      </c>
      <c r="V1141" s="191">
        <v>3</v>
      </c>
    </row>
    <row r="1142" spans="1:22" s="191" customFormat="1" ht="15">
      <c r="A1142" s="236">
        <v>1131</v>
      </c>
      <c r="B1142" s="244">
        <v>46133</v>
      </c>
      <c r="C1142" s="245" t="s">
        <v>261</v>
      </c>
      <c r="D1142" s="246" t="s">
        <v>1373</v>
      </c>
      <c r="E1142" s="247"/>
      <c r="F1142" s="247"/>
      <c r="G1142" s="248">
        <v>0.5</v>
      </c>
      <c r="H1142" s="247"/>
      <c r="I1142" s="244" t="s">
        <v>304</v>
      </c>
      <c r="J1142" s="249" t="s">
        <v>21</v>
      </c>
      <c r="K1142" s="249" t="s">
        <v>27</v>
      </c>
      <c r="L1142" s="250">
        <f t="shared" si="71"/>
        <v>0.5</v>
      </c>
      <c r="M1142" s="237">
        <f t="array" ref="M1142">INDEX('BKTT T4.26'!$N$12:$N$55,MATCH(V1142,'BKTT T4.26'!$A$12:$A$55,0),0)</f>
        <v>628690</v>
      </c>
      <c r="N1142" s="162">
        <f t="shared" si="74"/>
        <v>314345</v>
      </c>
      <c r="O1142" s="238" t="s">
        <v>264</v>
      </c>
      <c r="P1142" s="251" t="s">
        <v>1448</v>
      </c>
      <c r="R1142" s="191" t="str">
        <f t="shared" si="72"/>
        <v>Cước vận chuyển Container vỏ tuyến đường PAN HA - HẢI AN.. BKS: 15C09877</v>
      </c>
      <c r="S1142" s="191" t="str">
        <f t="shared" si="73"/>
        <v xml:space="preserve"> vỏ </v>
      </c>
      <c r="V1142" s="191">
        <v>3</v>
      </c>
    </row>
    <row r="1143" spans="1:22" s="191" customFormat="1" ht="15">
      <c r="A1143" s="236">
        <v>1132</v>
      </c>
      <c r="B1143" s="244">
        <v>46133</v>
      </c>
      <c r="C1143" s="245" t="s">
        <v>261</v>
      </c>
      <c r="D1143" s="246" t="s">
        <v>377</v>
      </c>
      <c r="E1143" s="247"/>
      <c r="F1143" s="247"/>
      <c r="G1143" s="248"/>
      <c r="H1143" s="247">
        <v>1</v>
      </c>
      <c r="I1143" s="244" t="s">
        <v>304</v>
      </c>
      <c r="J1143" s="249" t="s">
        <v>38</v>
      </c>
      <c r="K1143" s="249" t="s">
        <v>21</v>
      </c>
      <c r="L1143" s="250">
        <f t="shared" si="71"/>
        <v>1</v>
      </c>
      <c r="M1143" s="237">
        <f t="array" ref="M1143">INDEX('BKTT T4.26'!$N$12:$N$55,MATCH(V1143,'BKTT T4.26'!$A$12:$A$55,0),0)</f>
        <v>585057</v>
      </c>
      <c r="N1143" s="162">
        <f t="shared" si="74"/>
        <v>585057</v>
      </c>
      <c r="O1143" s="238" t="s">
        <v>267</v>
      </c>
      <c r="P1143" s="251" t="s">
        <v>1448</v>
      </c>
      <c r="R1143" s="191" t="str">
        <f t="shared" si="72"/>
        <v>Cước vận chuyển Container vỏ tuyến đường NHĐV. - PAN HA. BKS: 15C09877</v>
      </c>
      <c r="S1143" s="191" t="str">
        <f t="shared" si="73"/>
        <v xml:space="preserve"> vỏ </v>
      </c>
      <c r="V1143" s="191">
        <v>16</v>
      </c>
    </row>
    <row r="1144" spans="1:22" s="191" customFormat="1" ht="15">
      <c r="A1144" s="236">
        <v>1133</v>
      </c>
      <c r="B1144" s="244">
        <v>46133</v>
      </c>
      <c r="C1144" s="245" t="s">
        <v>261</v>
      </c>
      <c r="D1144" s="246" t="s">
        <v>1374</v>
      </c>
      <c r="E1144" s="247"/>
      <c r="F1144" s="247"/>
      <c r="G1144" s="248"/>
      <c r="H1144" s="247">
        <v>1</v>
      </c>
      <c r="I1144" s="244" t="s">
        <v>304</v>
      </c>
      <c r="J1144" s="249" t="s">
        <v>38</v>
      </c>
      <c r="K1144" s="249" t="s">
        <v>21</v>
      </c>
      <c r="L1144" s="250">
        <f t="shared" si="71"/>
        <v>1</v>
      </c>
      <c r="M1144" s="237">
        <f t="array" ref="M1144">INDEX('BKTT T4.26'!$N$12:$N$55,MATCH(V1144,'BKTT T4.26'!$A$12:$A$55,0),0)</f>
        <v>585057</v>
      </c>
      <c r="N1144" s="162">
        <f t="shared" si="74"/>
        <v>585057</v>
      </c>
      <c r="O1144" s="238" t="s">
        <v>267</v>
      </c>
      <c r="P1144" s="251" t="s">
        <v>1448</v>
      </c>
      <c r="R1144" s="191" t="str">
        <f t="shared" si="72"/>
        <v>Cước vận chuyển Container vỏ tuyến đường NHĐV. - PAN HA. BKS: 15C09877</v>
      </c>
      <c r="S1144" s="191" t="str">
        <f t="shared" si="73"/>
        <v xml:space="preserve"> vỏ </v>
      </c>
      <c r="V1144" s="191">
        <v>16</v>
      </c>
    </row>
    <row r="1145" spans="1:22" s="191" customFormat="1" ht="15">
      <c r="A1145" s="236">
        <v>1134</v>
      </c>
      <c r="B1145" s="244">
        <v>46134</v>
      </c>
      <c r="C1145" s="245" t="s">
        <v>261</v>
      </c>
      <c r="D1145" s="246" t="s">
        <v>1375</v>
      </c>
      <c r="E1145" s="247"/>
      <c r="F1145" s="247"/>
      <c r="G1145" s="248"/>
      <c r="H1145" s="247">
        <v>1</v>
      </c>
      <c r="I1145" s="249" t="s">
        <v>274</v>
      </c>
      <c r="J1145" s="249" t="s">
        <v>56</v>
      </c>
      <c r="K1145" s="249" t="s">
        <v>21</v>
      </c>
      <c r="L1145" s="250">
        <f t="shared" si="71"/>
        <v>1</v>
      </c>
      <c r="M1145" s="237">
        <f t="array" ref="M1145">INDEX('BKTT T4.26'!$N$12:$N$55,MATCH(V1145,'BKTT T4.26'!$A$12:$A$55,0),0)</f>
        <v>1002400</v>
      </c>
      <c r="N1145" s="162">
        <f t="shared" si="74"/>
        <v>1002400</v>
      </c>
      <c r="O1145" s="238" t="s">
        <v>267</v>
      </c>
      <c r="P1145" s="251" t="s">
        <v>1448</v>
      </c>
      <c r="R1145" s="191" t="str">
        <f t="shared" si="72"/>
        <v>Cước vận chuyển Container vỏ tuyến đường HATECO - PAN HA. BKS: 15H12925</v>
      </c>
      <c r="S1145" s="191" t="str">
        <f t="shared" si="73"/>
        <v xml:space="preserve"> vỏ </v>
      </c>
      <c r="V1145" s="191">
        <v>35</v>
      </c>
    </row>
    <row r="1146" spans="1:22" s="191" customFormat="1" ht="15">
      <c r="A1146" s="236">
        <v>1135</v>
      </c>
      <c r="B1146" s="244">
        <v>46134</v>
      </c>
      <c r="C1146" s="245" t="s">
        <v>261</v>
      </c>
      <c r="D1146" s="246" t="s">
        <v>1376</v>
      </c>
      <c r="E1146" s="247"/>
      <c r="F1146" s="247"/>
      <c r="G1146" s="248"/>
      <c r="H1146" s="247">
        <v>1</v>
      </c>
      <c r="I1146" s="249" t="s">
        <v>274</v>
      </c>
      <c r="J1146" s="249" t="s">
        <v>56</v>
      </c>
      <c r="K1146" s="249" t="s">
        <v>21</v>
      </c>
      <c r="L1146" s="250">
        <f t="shared" si="71"/>
        <v>1</v>
      </c>
      <c r="M1146" s="237">
        <f t="array" ref="M1146">INDEX('BKTT T4.26'!$N$12:$N$55,MATCH(V1146,'BKTT T4.26'!$A$12:$A$55,0),0)</f>
        <v>1002400</v>
      </c>
      <c r="N1146" s="162">
        <f t="shared" si="74"/>
        <v>1002400</v>
      </c>
      <c r="O1146" s="238" t="s">
        <v>267</v>
      </c>
      <c r="P1146" s="251" t="s">
        <v>1448</v>
      </c>
      <c r="R1146" s="191" t="str">
        <f t="shared" si="72"/>
        <v>Cước vận chuyển Container vỏ tuyến đường HATECO - PAN HA. BKS: 15H12925</v>
      </c>
      <c r="S1146" s="191" t="str">
        <f t="shared" si="73"/>
        <v xml:space="preserve"> vỏ </v>
      </c>
      <c r="V1146" s="191">
        <v>35</v>
      </c>
    </row>
    <row r="1147" spans="1:22" s="191" customFormat="1" ht="15">
      <c r="A1147" s="236">
        <v>1136</v>
      </c>
      <c r="B1147" s="244">
        <v>46134</v>
      </c>
      <c r="C1147" s="245" t="s">
        <v>261</v>
      </c>
      <c r="D1147" s="246" t="s">
        <v>1377</v>
      </c>
      <c r="E1147" s="247"/>
      <c r="F1147" s="247"/>
      <c r="G1147" s="248"/>
      <c r="H1147" s="247">
        <v>1</v>
      </c>
      <c r="I1147" s="244" t="s">
        <v>269</v>
      </c>
      <c r="J1147" s="249" t="s">
        <v>56</v>
      </c>
      <c r="K1147" s="249" t="s">
        <v>21</v>
      </c>
      <c r="L1147" s="250">
        <f t="shared" si="71"/>
        <v>1</v>
      </c>
      <c r="M1147" s="237">
        <f t="array" ref="M1147">INDEX('BKTT T4.26'!$N$12:$N$55,MATCH(V1147,'BKTT T4.26'!$A$12:$A$55,0),0)</f>
        <v>1002400</v>
      </c>
      <c r="N1147" s="162">
        <f t="shared" si="74"/>
        <v>1002400</v>
      </c>
      <c r="O1147" s="238" t="s">
        <v>267</v>
      </c>
      <c r="P1147" s="251" t="s">
        <v>1448</v>
      </c>
      <c r="R1147" s="191" t="str">
        <f t="shared" si="72"/>
        <v>Cước vận chuyển Container vỏ tuyến đường HATECO - PAN HA. BKS: 15H07644</v>
      </c>
      <c r="S1147" s="191" t="str">
        <f t="shared" si="73"/>
        <v xml:space="preserve"> vỏ </v>
      </c>
      <c r="V1147" s="191">
        <v>35</v>
      </c>
    </row>
    <row r="1148" spans="1:22" s="191" customFormat="1" ht="15">
      <c r="A1148" s="236">
        <v>1137</v>
      </c>
      <c r="B1148" s="244">
        <v>46134</v>
      </c>
      <c r="C1148" s="245" t="s">
        <v>261</v>
      </c>
      <c r="D1148" s="246" t="s">
        <v>1378</v>
      </c>
      <c r="E1148" s="247"/>
      <c r="F1148" s="247"/>
      <c r="G1148" s="248"/>
      <c r="H1148" s="247">
        <v>1</v>
      </c>
      <c r="I1148" s="244" t="s">
        <v>269</v>
      </c>
      <c r="J1148" s="249" t="s">
        <v>56</v>
      </c>
      <c r="K1148" s="249" t="s">
        <v>21</v>
      </c>
      <c r="L1148" s="250">
        <f t="shared" si="71"/>
        <v>1</v>
      </c>
      <c r="M1148" s="237">
        <f t="array" ref="M1148">INDEX('BKTT T4.26'!$N$12:$N$55,MATCH(V1148,'BKTT T4.26'!$A$12:$A$55,0),0)</f>
        <v>1002400</v>
      </c>
      <c r="N1148" s="162">
        <f t="shared" si="74"/>
        <v>1002400</v>
      </c>
      <c r="O1148" s="238" t="s">
        <v>267</v>
      </c>
      <c r="P1148" s="251" t="s">
        <v>1448</v>
      </c>
      <c r="R1148" s="191" t="str">
        <f t="shared" si="72"/>
        <v>Cước vận chuyển Container vỏ tuyến đường HATECO - PAN HA. BKS: 15H07644</v>
      </c>
      <c r="S1148" s="191" t="str">
        <f t="shared" si="73"/>
        <v xml:space="preserve"> vỏ </v>
      </c>
      <c r="V1148" s="191">
        <v>35</v>
      </c>
    </row>
    <row r="1149" spans="1:22" s="191" customFormat="1" ht="15">
      <c r="A1149" s="236">
        <v>1138</v>
      </c>
      <c r="B1149" s="244">
        <v>46133</v>
      </c>
      <c r="C1149" s="245" t="s">
        <v>261</v>
      </c>
      <c r="D1149" s="246" t="s">
        <v>1379</v>
      </c>
      <c r="E1149" s="247"/>
      <c r="F1149" s="247"/>
      <c r="G1149" s="248"/>
      <c r="H1149" s="247">
        <v>1</v>
      </c>
      <c r="I1149" s="244" t="s">
        <v>363</v>
      </c>
      <c r="J1149" s="249" t="s">
        <v>56</v>
      </c>
      <c r="K1149" s="249" t="s">
        <v>21</v>
      </c>
      <c r="L1149" s="250">
        <f t="shared" si="71"/>
        <v>1</v>
      </c>
      <c r="M1149" s="237">
        <f t="array" ref="M1149">INDEX('BKTT T4.26'!$N$12:$N$55,MATCH(V1149,'BKTT T4.26'!$A$12:$A$55,0),0)</f>
        <v>1002400</v>
      </c>
      <c r="N1149" s="162">
        <f t="shared" si="74"/>
        <v>1002400</v>
      </c>
      <c r="O1149" s="238" t="s">
        <v>267</v>
      </c>
      <c r="P1149" s="251" t="s">
        <v>1448</v>
      </c>
      <c r="R1149" s="191" t="str">
        <f t="shared" si="72"/>
        <v>Cước vận chuyển Container vỏ tuyến đường HATECO - PAN HA. BKS: 15H20645</v>
      </c>
      <c r="S1149" s="191" t="str">
        <f t="shared" si="73"/>
        <v xml:space="preserve"> vỏ </v>
      </c>
      <c r="V1149" s="191">
        <v>35</v>
      </c>
    </row>
    <row r="1150" spans="1:22" s="191" customFormat="1" ht="15">
      <c r="A1150" s="236">
        <v>1139</v>
      </c>
      <c r="B1150" s="244">
        <v>46133</v>
      </c>
      <c r="C1150" s="245" t="s">
        <v>261</v>
      </c>
      <c r="D1150" s="246" t="s">
        <v>1380</v>
      </c>
      <c r="E1150" s="247"/>
      <c r="F1150" s="247"/>
      <c r="G1150" s="248"/>
      <c r="H1150" s="247">
        <v>1</v>
      </c>
      <c r="I1150" s="244" t="s">
        <v>363</v>
      </c>
      <c r="J1150" s="249" t="s">
        <v>21</v>
      </c>
      <c r="K1150" s="249" t="s">
        <v>51</v>
      </c>
      <c r="L1150" s="250">
        <f t="shared" si="71"/>
        <v>1</v>
      </c>
      <c r="M1150" s="237">
        <f t="array" ref="M1150">INDEX('BKTT T4.26'!$N$12:$N$55,MATCH(V1150,'BKTT T4.26'!$A$12:$A$55,0),0)</f>
        <v>550151</v>
      </c>
      <c r="N1150" s="162">
        <f t="shared" si="74"/>
        <v>550151</v>
      </c>
      <c r="O1150" s="238" t="s">
        <v>264</v>
      </c>
      <c r="P1150" s="251" t="s">
        <v>1448</v>
      </c>
      <c r="R1150" s="191" t="str">
        <f t="shared" si="72"/>
        <v>Cước vận chuyển Container vỏ tuyến đường PAN HA - VIP.. BKS: 15H20645</v>
      </c>
      <c r="S1150" s="191" t="str">
        <f t="shared" si="73"/>
        <v xml:space="preserve"> vỏ </v>
      </c>
      <c r="V1150" s="191">
        <v>29</v>
      </c>
    </row>
    <row r="1151" spans="1:22" s="191" customFormat="1" ht="15">
      <c r="A1151" s="236">
        <v>1140</v>
      </c>
      <c r="B1151" s="244">
        <v>46133</v>
      </c>
      <c r="C1151" s="245" t="s">
        <v>261</v>
      </c>
      <c r="D1151" s="284" t="s">
        <v>1381</v>
      </c>
      <c r="E1151" s="247"/>
      <c r="F1151" s="247"/>
      <c r="G1151" s="248"/>
      <c r="H1151" s="247">
        <v>1</v>
      </c>
      <c r="I1151" s="244" t="s">
        <v>363</v>
      </c>
      <c r="J1151" s="249" t="s">
        <v>21</v>
      </c>
      <c r="K1151" s="249" t="s">
        <v>51</v>
      </c>
      <c r="L1151" s="250">
        <f t="shared" si="71"/>
        <v>1</v>
      </c>
      <c r="M1151" s="237">
        <f t="array" ref="M1151">INDEX('BKTT T4.26'!$N$12:$N$55,MATCH(V1151,'BKTT T4.26'!$A$12:$A$55,0),0)</f>
        <v>550151</v>
      </c>
      <c r="N1151" s="162">
        <f t="shared" si="74"/>
        <v>550151</v>
      </c>
      <c r="O1151" s="238" t="s">
        <v>264</v>
      </c>
      <c r="P1151" s="251" t="s">
        <v>1448</v>
      </c>
      <c r="R1151" s="191" t="str">
        <f t="shared" si="72"/>
        <v>Cước vận chuyển Container vỏ tuyến đường PAN HA - VIP.. BKS: 15H20645</v>
      </c>
      <c r="S1151" s="191" t="str">
        <f t="shared" si="73"/>
        <v xml:space="preserve"> vỏ </v>
      </c>
      <c r="V1151" s="191">
        <v>29</v>
      </c>
    </row>
    <row r="1152" spans="1:22" s="191" customFormat="1" ht="15">
      <c r="A1152" s="236">
        <v>1141</v>
      </c>
      <c r="B1152" s="244">
        <v>46133</v>
      </c>
      <c r="C1152" s="245" t="s">
        <v>261</v>
      </c>
      <c r="D1152" s="246" t="s">
        <v>1382</v>
      </c>
      <c r="E1152" s="247"/>
      <c r="F1152" s="247"/>
      <c r="G1152" s="248"/>
      <c r="H1152" s="247">
        <v>1</v>
      </c>
      <c r="I1152" s="244" t="s">
        <v>363</v>
      </c>
      <c r="J1152" s="249" t="s">
        <v>21</v>
      </c>
      <c r="K1152" s="249" t="s">
        <v>51</v>
      </c>
      <c r="L1152" s="250">
        <f t="shared" si="71"/>
        <v>1</v>
      </c>
      <c r="M1152" s="237">
        <f t="array" ref="M1152">INDEX('BKTT T4.26'!$N$12:$N$55,MATCH(V1152,'BKTT T4.26'!$A$12:$A$55,0),0)</f>
        <v>550151</v>
      </c>
      <c r="N1152" s="162">
        <f t="shared" si="74"/>
        <v>550151</v>
      </c>
      <c r="O1152" s="238" t="s">
        <v>264</v>
      </c>
      <c r="P1152" s="251" t="s">
        <v>1448</v>
      </c>
      <c r="R1152" s="191" t="str">
        <f t="shared" si="72"/>
        <v>Cước vận chuyển Container vỏ tuyến đường PAN HA - VIP.. BKS: 15H20645</v>
      </c>
      <c r="S1152" s="191" t="str">
        <f t="shared" si="73"/>
        <v xml:space="preserve"> vỏ </v>
      </c>
      <c r="V1152" s="191">
        <v>29</v>
      </c>
    </row>
    <row r="1153" spans="1:22" s="191" customFormat="1" ht="15">
      <c r="A1153" s="236">
        <v>1142</v>
      </c>
      <c r="B1153" s="244">
        <v>46133</v>
      </c>
      <c r="C1153" s="245" t="s">
        <v>261</v>
      </c>
      <c r="D1153" s="246" t="s">
        <v>1383</v>
      </c>
      <c r="E1153" s="247"/>
      <c r="F1153" s="247"/>
      <c r="G1153" s="248"/>
      <c r="H1153" s="247">
        <v>1</v>
      </c>
      <c r="I1153" s="244" t="s">
        <v>363</v>
      </c>
      <c r="J1153" s="249" t="s">
        <v>21</v>
      </c>
      <c r="K1153" s="249" t="s">
        <v>51</v>
      </c>
      <c r="L1153" s="250">
        <f t="shared" si="71"/>
        <v>1</v>
      </c>
      <c r="M1153" s="237">
        <f t="array" ref="M1153">INDEX('BKTT T4.26'!$N$12:$N$55,MATCH(V1153,'BKTT T4.26'!$A$12:$A$55,0),0)</f>
        <v>550151</v>
      </c>
      <c r="N1153" s="162">
        <f t="shared" si="74"/>
        <v>550151</v>
      </c>
      <c r="O1153" s="238" t="s">
        <v>264</v>
      </c>
      <c r="P1153" s="251" t="s">
        <v>1448</v>
      </c>
      <c r="R1153" s="191" t="str">
        <f t="shared" si="72"/>
        <v>Cước vận chuyển Container vỏ tuyến đường PAN HA - VIP.. BKS: 15H20645</v>
      </c>
      <c r="S1153" s="191" t="str">
        <f t="shared" si="73"/>
        <v xml:space="preserve"> vỏ </v>
      </c>
      <c r="V1153" s="191">
        <v>29</v>
      </c>
    </row>
    <row r="1154" spans="1:22" s="191" customFormat="1" ht="15">
      <c r="A1154" s="236">
        <v>1143</v>
      </c>
      <c r="B1154" s="244">
        <v>46133</v>
      </c>
      <c r="C1154" s="245" t="s">
        <v>261</v>
      </c>
      <c r="D1154" s="246" t="s">
        <v>1384</v>
      </c>
      <c r="E1154" s="247"/>
      <c r="F1154" s="247"/>
      <c r="G1154" s="248"/>
      <c r="H1154" s="247">
        <v>1</v>
      </c>
      <c r="I1154" s="244" t="s">
        <v>363</v>
      </c>
      <c r="J1154" s="249" t="s">
        <v>21</v>
      </c>
      <c r="K1154" s="249" t="s">
        <v>51</v>
      </c>
      <c r="L1154" s="250">
        <f t="shared" si="71"/>
        <v>1</v>
      </c>
      <c r="M1154" s="237">
        <f t="array" ref="M1154">INDEX('BKTT T4.26'!$N$12:$N$55,MATCH(V1154,'BKTT T4.26'!$A$12:$A$55,0),0)</f>
        <v>550151</v>
      </c>
      <c r="N1154" s="162">
        <f t="shared" si="74"/>
        <v>550151</v>
      </c>
      <c r="O1154" s="238" t="s">
        <v>264</v>
      </c>
      <c r="P1154" s="251" t="s">
        <v>1448</v>
      </c>
      <c r="R1154" s="191" t="str">
        <f t="shared" si="72"/>
        <v>Cước vận chuyển Container vỏ tuyến đường PAN HA - VIP.. BKS: 15H20645</v>
      </c>
      <c r="S1154" s="191" t="str">
        <f t="shared" si="73"/>
        <v xml:space="preserve"> vỏ </v>
      </c>
      <c r="V1154" s="191">
        <v>29</v>
      </c>
    </row>
    <row r="1155" spans="1:22" s="191" customFormat="1" ht="15">
      <c r="A1155" s="236">
        <v>1144</v>
      </c>
      <c r="B1155" s="244">
        <v>46133</v>
      </c>
      <c r="C1155" s="245" t="s">
        <v>261</v>
      </c>
      <c r="D1155" s="246" t="s">
        <v>1385</v>
      </c>
      <c r="E1155" s="247"/>
      <c r="F1155" s="247"/>
      <c r="G1155" s="248"/>
      <c r="H1155" s="247">
        <v>1</v>
      </c>
      <c r="I1155" s="244" t="s">
        <v>363</v>
      </c>
      <c r="J1155" s="249" t="s">
        <v>21</v>
      </c>
      <c r="K1155" s="249" t="s">
        <v>51</v>
      </c>
      <c r="L1155" s="250">
        <f t="shared" si="71"/>
        <v>1</v>
      </c>
      <c r="M1155" s="237">
        <f t="array" ref="M1155">INDEX('BKTT T4.26'!$N$12:$N$55,MATCH(V1155,'BKTT T4.26'!$A$12:$A$55,0),0)</f>
        <v>550151</v>
      </c>
      <c r="N1155" s="162">
        <f t="shared" si="74"/>
        <v>550151</v>
      </c>
      <c r="O1155" s="238" t="s">
        <v>264</v>
      </c>
      <c r="P1155" s="251" t="s">
        <v>1448</v>
      </c>
      <c r="R1155" s="191" t="str">
        <f t="shared" si="72"/>
        <v>Cước vận chuyển Container vỏ tuyến đường PAN HA - VIP.. BKS: 15H20645</v>
      </c>
      <c r="S1155" s="191" t="str">
        <f t="shared" si="73"/>
        <v xml:space="preserve"> vỏ </v>
      </c>
      <c r="V1155" s="191">
        <v>29</v>
      </c>
    </row>
    <row r="1156" spans="1:22" s="191" customFormat="1" ht="15">
      <c r="A1156" s="236">
        <v>1145</v>
      </c>
      <c r="B1156" s="244">
        <v>46133</v>
      </c>
      <c r="C1156" s="245" t="s">
        <v>261</v>
      </c>
      <c r="D1156" s="246" t="s">
        <v>1386</v>
      </c>
      <c r="E1156" s="247"/>
      <c r="F1156" s="247"/>
      <c r="G1156" s="248"/>
      <c r="H1156" s="247">
        <v>1</v>
      </c>
      <c r="I1156" s="249" t="s">
        <v>363</v>
      </c>
      <c r="J1156" s="249" t="s">
        <v>21</v>
      </c>
      <c r="K1156" s="249" t="s">
        <v>51</v>
      </c>
      <c r="L1156" s="250">
        <f t="shared" si="71"/>
        <v>1</v>
      </c>
      <c r="M1156" s="237">
        <f t="array" ref="M1156">INDEX('BKTT T4.26'!$N$12:$N$55,MATCH(V1156,'BKTT T4.26'!$A$12:$A$55,0),0)</f>
        <v>550151</v>
      </c>
      <c r="N1156" s="162">
        <f t="shared" si="74"/>
        <v>550151</v>
      </c>
      <c r="O1156" s="238" t="s">
        <v>264</v>
      </c>
      <c r="P1156" s="251" t="s">
        <v>1448</v>
      </c>
      <c r="R1156" s="191" t="str">
        <f t="shared" si="72"/>
        <v>Cước vận chuyển Container vỏ tuyến đường PAN HA - VIP.. BKS: 15H20645</v>
      </c>
      <c r="S1156" s="191" t="str">
        <f t="shared" si="73"/>
        <v xml:space="preserve"> vỏ </v>
      </c>
      <c r="V1156" s="191">
        <v>29</v>
      </c>
    </row>
    <row r="1157" spans="1:22" s="283" customFormat="1" ht="15">
      <c r="A1157" s="236">
        <v>1146</v>
      </c>
      <c r="B1157" s="272">
        <v>46134</v>
      </c>
      <c r="C1157" s="273" t="s">
        <v>261</v>
      </c>
      <c r="D1157" s="285" t="s">
        <v>1452</v>
      </c>
      <c r="E1157" s="275"/>
      <c r="F1157" s="275"/>
      <c r="G1157" s="276"/>
      <c r="H1157" s="275">
        <v>1</v>
      </c>
      <c r="I1157" s="272" t="s">
        <v>399</v>
      </c>
      <c r="J1157" s="277" t="s">
        <v>56</v>
      </c>
      <c r="K1157" s="249" t="s">
        <v>21</v>
      </c>
      <c r="L1157" s="278">
        <f t="shared" si="71"/>
        <v>1</v>
      </c>
      <c r="M1157" s="279">
        <f t="array" ref="M1157">INDEX('BKTT T4.26'!$N$12:$N$55,MATCH(V1157,'BKTT T4.26'!$A$12:$A$55,0),0)</f>
        <v>1002400</v>
      </c>
      <c r="N1157" s="280">
        <f t="shared" si="74"/>
        <v>1002400</v>
      </c>
      <c r="O1157" s="281" t="s">
        <v>267</v>
      </c>
      <c r="P1157" s="282" t="s">
        <v>1447</v>
      </c>
      <c r="R1157" s="283" t="str">
        <f t="shared" si="72"/>
        <v>Cước vận chuyển Container vỏ tuyến đường HATECO - PAN HA. BKS: 15H15378</v>
      </c>
      <c r="S1157" s="283" t="str">
        <f t="shared" si="73"/>
        <v xml:space="preserve"> vỏ </v>
      </c>
      <c r="V1157" s="191">
        <v>35</v>
      </c>
    </row>
    <row r="1158" spans="1:22" s="191" customFormat="1" ht="15">
      <c r="A1158" s="236">
        <v>1147</v>
      </c>
      <c r="B1158" s="244">
        <v>46134</v>
      </c>
      <c r="C1158" s="245" t="s">
        <v>261</v>
      </c>
      <c r="D1158" s="246" t="s">
        <v>1387</v>
      </c>
      <c r="E1158" s="247"/>
      <c r="F1158" s="247"/>
      <c r="G1158" s="248"/>
      <c r="H1158" s="247">
        <v>1</v>
      </c>
      <c r="I1158" s="244" t="s">
        <v>399</v>
      </c>
      <c r="J1158" s="249" t="s">
        <v>56</v>
      </c>
      <c r="K1158" s="249" t="s">
        <v>21</v>
      </c>
      <c r="L1158" s="250">
        <f t="shared" si="71"/>
        <v>1</v>
      </c>
      <c r="M1158" s="237">
        <f t="array" ref="M1158">INDEX('BKTT T4.26'!$N$12:$N$55,MATCH(V1158,'BKTT T4.26'!$A$12:$A$55,0),0)</f>
        <v>1002400</v>
      </c>
      <c r="N1158" s="162">
        <f t="shared" si="74"/>
        <v>1002400</v>
      </c>
      <c r="O1158" s="238" t="s">
        <v>267</v>
      </c>
      <c r="P1158" s="251" t="s">
        <v>1448</v>
      </c>
      <c r="R1158" s="191" t="str">
        <f t="shared" si="72"/>
        <v>Cước vận chuyển Container vỏ tuyến đường HATECO - PAN HA. BKS: 15H15378</v>
      </c>
      <c r="S1158" s="191" t="str">
        <f t="shared" si="73"/>
        <v xml:space="preserve"> vỏ </v>
      </c>
      <c r="V1158" s="191">
        <v>35</v>
      </c>
    </row>
    <row r="1159" spans="1:22" s="191" customFormat="1" ht="15">
      <c r="A1159" s="236">
        <v>1148</v>
      </c>
      <c r="B1159" s="244">
        <v>46134</v>
      </c>
      <c r="C1159" s="245" t="s">
        <v>261</v>
      </c>
      <c r="D1159" s="246" t="s">
        <v>1388</v>
      </c>
      <c r="E1159" s="247"/>
      <c r="F1159" s="247"/>
      <c r="G1159" s="248"/>
      <c r="H1159" s="247">
        <v>1</v>
      </c>
      <c r="I1159" s="244" t="s">
        <v>399</v>
      </c>
      <c r="J1159" s="249" t="s">
        <v>56</v>
      </c>
      <c r="K1159" s="249" t="s">
        <v>21</v>
      </c>
      <c r="L1159" s="250">
        <f t="shared" si="71"/>
        <v>1</v>
      </c>
      <c r="M1159" s="237">
        <f t="array" ref="M1159">INDEX('BKTT T4.26'!$N$12:$N$55,MATCH(V1159,'BKTT T4.26'!$A$12:$A$55,0),0)</f>
        <v>1002400</v>
      </c>
      <c r="N1159" s="162">
        <f t="shared" si="74"/>
        <v>1002400</v>
      </c>
      <c r="O1159" s="238" t="s">
        <v>267</v>
      </c>
      <c r="P1159" s="251" t="s">
        <v>1448</v>
      </c>
      <c r="R1159" s="191" t="str">
        <f t="shared" si="72"/>
        <v>Cước vận chuyển Container vỏ tuyến đường HATECO - PAN HA. BKS: 15H15378</v>
      </c>
      <c r="S1159" s="191" t="str">
        <f t="shared" si="73"/>
        <v xml:space="preserve"> vỏ </v>
      </c>
      <c r="V1159" s="191">
        <v>35</v>
      </c>
    </row>
    <row r="1160" spans="1:22" s="191" customFormat="1" ht="15">
      <c r="A1160" s="236">
        <v>1149</v>
      </c>
      <c r="B1160" s="244">
        <v>46134</v>
      </c>
      <c r="C1160" s="245" t="s">
        <v>261</v>
      </c>
      <c r="D1160" s="246" t="s">
        <v>1389</v>
      </c>
      <c r="E1160" s="247">
        <v>1</v>
      </c>
      <c r="F1160" s="247"/>
      <c r="G1160" s="248"/>
      <c r="H1160" s="247"/>
      <c r="I1160" s="244" t="s">
        <v>472</v>
      </c>
      <c r="J1160" s="249" t="s">
        <v>21</v>
      </c>
      <c r="K1160" s="249" t="s">
        <v>36</v>
      </c>
      <c r="L1160" s="250">
        <f t="shared" ref="L1160:L1217" si="75">E1160+F1160+G1160+H1160</f>
        <v>1</v>
      </c>
      <c r="M1160" s="237">
        <f t="array" ref="M1160">INDEX('BKTT T4.26'!$N$12:$N$55,MATCH(V1160,'BKTT T4.26'!$A$12:$A$55,0),0)</f>
        <v>576331</v>
      </c>
      <c r="N1160" s="162">
        <f t="shared" si="74"/>
        <v>576331</v>
      </c>
      <c r="O1160" s="238" t="s">
        <v>264</v>
      </c>
      <c r="P1160" s="251" t="s">
        <v>1448</v>
      </c>
      <c r="R1160" s="191" t="str">
        <f t="shared" ref="R1160:R1217" si="76">$R$10&amp;S1160&amp;$R$9&amp;J1160&amp;$S$10&amp;K1160&amp;$R$8&amp;I1160</f>
        <v>Cước vận chuyển Container hàng 20' tuyến đường PAN HA - NHĐV. BKS: 15H08574</v>
      </c>
      <c r="S1160" s="191" t="str">
        <f t="shared" ref="S1160:S1217" si="77">IF(E1160=1," hàng 20' ",IF(F1160=1," hàng 40' "," vỏ "))</f>
        <v xml:space="preserve"> hàng 20' </v>
      </c>
      <c r="V1160" s="191">
        <v>11</v>
      </c>
    </row>
    <row r="1161" spans="1:22" s="191" customFormat="1" ht="15">
      <c r="A1161" s="236">
        <v>1150</v>
      </c>
      <c r="B1161" s="244">
        <v>46134</v>
      </c>
      <c r="C1161" s="245" t="s">
        <v>261</v>
      </c>
      <c r="D1161" s="246" t="s">
        <v>1390</v>
      </c>
      <c r="E1161" s="247">
        <v>1</v>
      </c>
      <c r="F1161" s="247"/>
      <c r="G1161" s="248"/>
      <c r="H1161" s="247"/>
      <c r="I1161" s="244" t="s">
        <v>472</v>
      </c>
      <c r="J1161" s="249" t="s">
        <v>21</v>
      </c>
      <c r="K1161" s="249" t="s">
        <v>36</v>
      </c>
      <c r="L1161" s="250">
        <f t="shared" si="75"/>
        <v>1</v>
      </c>
      <c r="M1161" s="237">
        <f t="array" ref="M1161">INDEX('BKTT T4.26'!$N$12:$N$55,MATCH(V1161,'BKTT T4.26'!$A$12:$A$55,0),0)</f>
        <v>576331</v>
      </c>
      <c r="N1161" s="162">
        <f t="shared" si="74"/>
        <v>576331</v>
      </c>
      <c r="O1161" s="238" t="s">
        <v>264</v>
      </c>
      <c r="P1161" s="251" t="s">
        <v>1448</v>
      </c>
      <c r="R1161" s="191" t="str">
        <f t="shared" si="76"/>
        <v>Cước vận chuyển Container hàng 20' tuyến đường PAN HA - NHĐV. BKS: 15H08574</v>
      </c>
      <c r="S1161" s="191" t="str">
        <f t="shared" si="77"/>
        <v xml:space="preserve"> hàng 20' </v>
      </c>
      <c r="V1161" s="191">
        <v>11</v>
      </c>
    </row>
    <row r="1162" spans="1:22" s="191" customFormat="1" ht="15">
      <c r="A1162" s="236">
        <v>1151</v>
      </c>
      <c r="B1162" s="244">
        <v>46134</v>
      </c>
      <c r="C1162" s="245" t="s">
        <v>261</v>
      </c>
      <c r="D1162" s="246" t="s">
        <v>1391</v>
      </c>
      <c r="E1162" s="247">
        <v>1</v>
      </c>
      <c r="F1162" s="247"/>
      <c r="G1162" s="248"/>
      <c r="H1162" s="247"/>
      <c r="I1162" s="244" t="s">
        <v>472</v>
      </c>
      <c r="J1162" s="249" t="s">
        <v>21</v>
      </c>
      <c r="K1162" s="249" t="s">
        <v>36</v>
      </c>
      <c r="L1162" s="250">
        <f t="shared" si="75"/>
        <v>1</v>
      </c>
      <c r="M1162" s="237">
        <f t="array" ref="M1162">INDEX('BKTT T4.26'!$N$12:$N$55,MATCH(V1162,'BKTT T4.26'!$A$12:$A$55,0),0)</f>
        <v>576331</v>
      </c>
      <c r="N1162" s="162">
        <f t="shared" si="74"/>
        <v>576331</v>
      </c>
      <c r="O1162" s="238" t="s">
        <v>264</v>
      </c>
      <c r="P1162" s="251" t="s">
        <v>1448</v>
      </c>
      <c r="R1162" s="191" t="str">
        <f t="shared" si="76"/>
        <v>Cước vận chuyển Container hàng 20' tuyến đường PAN HA - NHĐV. BKS: 15H08574</v>
      </c>
      <c r="S1162" s="191" t="str">
        <f t="shared" si="77"/>
        <v xml:space="preserve"> hàng 20' </v>
      </c>
      <c r="V1162" s="191">
        <v>11</v>
      </c>
    </row>
    <row r="1163" spans="1:22" s="191" customFormat="1" ht="15">
      <c r="A1163" s="236">
        <v>1152</v>
      </c>
      <c r="B1163" s="244">
        <v>46134</v>
      </c>
      <c r="C1163" s="245" t="s">
        <v>261</v>
      </c>
      <c r="D1163" s="246" t="s">
        <v>1392</v>
      </c>
      <c r="E1163" s="247">
        <v>1</v>
      </c>
      <c r="F1163" s="247"/>
      <c r="G1163" s="248"/>
      <c r="H1163" s="247"/>
      <c r="I1163" s="244" t="s">
        <v>472</v>
      </c>
      <c r="J1163" s="249" t="s">
        <v>21</v>
      </c>
      <c r="K1163" s="249" t="s">
        <v>36</v>
      </c>
      <c r="L1163" s="250">
        <f t="shared" si="75"/>
        <v>1</v>
      </c>
      <c r="M1163" s="237">
        <f t="array" ref="M1163">INDEX('BKTT T4.26'!$N$12:$N$55,MATCH(V1163,'BKTT T4.26'!$A$12:$A$55,0),0)</f>
        <v>576331</v>
      </c>
      <c r="N1163" s="162">
        <f t="shared" si="74"/>
        <v>576331</v>
      </c>
      <c r="O1163" s="238" t="s">
        <v>264</v>
      </c>
      <c r="P1163" s="251" t="s">
        <v>1448</v>
      </c>
      <c r="R1163" s="191" t="str">
        <f t="shared" si="76"/>
        <v>Cước vận chuyển Container hàng 20' tuyến đường PAN HA - NHĐV. BKS: 15H08574</v>
      </c>
      <c r="S1163" s="191" t="str">
        <f t="shared" si="77"/>
        <v xml:space="preserve"> hàng 20' </v>
      </c>
      <c r="V1163" s="191">
        <v>11</v>
      </c>
    </row>
    <row r="1164" spans="1:22" s="191" customFormat="1" ht="15">
      <c r="A1164" s="236">
        <v>1153</v>
      </c>
      <c r="B1164" s="244">
        <v>46134</v>
      </c>
      <c r="C1164" s="245" t="s">
        <v>261</v>
      </c>
      <c r="D1164" s="246" t="s">
        <v>1393</v>
      </c>
      <c r="E1164" s="247"/>
      <c r="F1164" s="247"/>
      <c r="G1164" s="248"/>
      <c r="H1164" s="247">
        <v>1</v>
      </c>
      <c r="I1164" s="244" t="s">
        <v>335</v>
      </c>
      <c r="J1164" s="249" t="s">
        <v>21</v>
      </c>
      <c r="K1164" s="249" t="s">
        <v>51</v>
      </c>
      <c r="L1164" s="250">
        <f t="shared" si="75"/>
        <v>1</v>
      </c>
      <c r="M1164" s="237">
        <f t="array" ref="M1164">INDEX('BKTT T4.26'!$N$12:$N$55,MATCH(V1164,'BKTT T4.26'!$A$12:$A$55,0),0)</f>
        <v>550151</v>
      </c>
      <c r="N1164" s="162">
        <f t="shared" si="74"/>
        <v>550151</v>
      </c>
      <c r="O1164" s="238" t="s">
        <v>264</v>
      </c>
      <c r="P1164" s="251" t="s">
        <v>1448</v>
      </c>
      <c r="R1164" s="191" t="str">
        <f t="shared" si="76"/>
        <v>Cước vận chuyển Container vỏ tuyến đường PAN HA - VIP.. BKS: 15H18552</v>
      </c>
      <c r="S1164" s="191" t="str">
        <f t="shared" si="77"/>
        <v xml:space="preserve"> vỏ </v>
      </c>
      <c r="V1164" s="191">
        <v>29</v>
      </c>
    </row>
    <row r="1165" spans="1:22" s="191" customFormat="1" ht="15">
      <c r="A1165" s="236">
        <v>1154</v>
      </c>
      <c r="B1165" s="244">
        <v>46134</v>
      </c>
      <c r="C1165" s="245" t="s">
        <v>261</v>
      </c>
      <c r="D1165" s="246" t="s">
        <v>1394</v>
      </c>
      <c r="E1165" s="247"/>
      <c r="F1165" s="247"/>
      <c r="G1165" s="248"/>
      <c r="H1165" s="247">
        <v>1</v>
      </c>
      <c r="I1165" s="244" t="s">
        <v>335</v>
      </c>
      <c r="J1165" s="249" t="s">
        <v>21</v>
      </c>
      <c r="K1165" s="249" t="s">
        <v>51</v>
      </c>
      <c r="L1165" s="250">
        <f t="shared" si="75"/>
        <v>1</v>
      </c>
      <c r="M1165" s="237">
        <f t="array" ref="M1165">INDEX('BKTT T4.26'!$N$12:$N$55,MATCH(V1165,'BKTT T4.26'!$A$12:$A$55,0),0)</f>
        <v>550151</v>
      </c>
      <c r="N1165" s="162">
        <f t="shared" si="74"/>
        <v>550151</v>
      </c>
      <c r="O1165" s="238" t="s">
        <v>264</v>
      </c>
      <c r="P1165" s="251" t="s">
        <v>1448</v>
      </c>
      <c r="R1165" s="191" t="str">
        <f t="shared" si="76"/>
        <v>Cước vận chuyển Container vỏ tuyến đường PAN HA - VIP.. BKS: 15H18552</v>
      </c>
      <c r="S1165" s="191" t="str">
        <f t="shared" si="77"/>
        <v xml:space="preserve"> vỏ </v>
      </c>
      <c r="V1165" s="191">
        <v>29</v>
      </c>
    </row>
    <row r="1166" spans="1:22" s="191" customFormat="1" ht="15">
      <c r="A1166" s="236">
        <v>1155</v>
      </c>
      <c r="B1166" s="244">
        <v>46134</v>
      </c>
      <c r="C1166" s="245" t="s">
        <v>261</v>
      </c>
      <c r="D1166" s="246" t="s">
        <v>1395</v>
      </c>
      <c r="E1166" s="247"/>
      <c r="F1166" s="247"/>
      <c r="G1166" s="248"/>
      <c r="H1166" s="247">
        <v>1</v>
      </c>
      <c r="I1166" s="244" t="s">
        <v>335</v>
      </c>
      <c r="J1166" s="249" t="s">
        <v>21</v>
      </c>
      <c r="K1166" s="249" t="s">
        <v>51</v>
      </c>
      <c r="L1166" s="250">
        <f t="shared" si="75"/>
        <v>1</v>
      </c>
      <c r="M1166" s="237">
        <f t="array" ref="M1166">INDEX('BKTT T4.26'!$N$12:$N$55,MATCH(V1166,'BKTT T4.26'!$A$12:$A$55,0),0)</f>
        <v>550151</v>
      </c>
      <c r="N1166" s="162">
        <f t="shared" si="74"/>
        <v>550151</v>
      </c>
      <c r="O1166" s="238" t="s">
        <v>264</v>
      </c>
      <c r="P1166" s="251" t="s">
        <v>1448</v>
      </c>
      <c r="R1166" s="191" t="str">
        <f t="shared" si="76"/>
        <v>Cước vận chuyển Container vỏ tuyến đường PAN HA - VIP.. BKS: 15H18552</v>
      </c>
      <c r="S1166" s="191" t="str">
        <f t="shared" si="77"/>
        <v xml:space="preserve"> vỏ </v>
      </c>
      <c r="V1166" s="191">
        <v>29</v>
      </c>
    </row>
    <row r="1167" spans="1:22" s="191" customFormat="1" ht="15">
      <c r="A1167" s="236">
        <v>1156</v>
      </c>
      <c r="B1167" s="244">
        <v>46134</v>
      </c>
      <c r="C1167" s="245" t="s">
        <v>261</v>
      </c>
      <c r="D1167" s="246" t="s">
        <v>1396</v>
      </c>
      <c r="E1167" s="247"/>
      <c r="F1167" s="247"/>
      <c r="G1167" s="248"/>
      <c r="H1167" s="247">
        <v>1</v>
      </c>
      <c r="I1167" s="244" t="s">
        <v>335</v>
      </c>
      <c r="J1167" s="249" t="s">
        <v>21</v>
      </c>
      <c r="K1167" s="249" t="s">
        <v>51</v>
      </c>
      <c r="L1167" s="250">
        <f t="shared" si="75"/>
        <v>1</v>
      </c>
      <c r="M1167" s="237">
        <f t="array" ref="M1167">INDEX('BKTT T4.26'!$N$12:$N$55,MATCH(V1167,'BKTT T4.26'!$A$12:$A$55,0),0)</f>
        <v>550151</v>
      </c>
      <c r="N1167" s="162">
        <f t="shared" si="74"/>
        <v>550151</v>
      </c>
      <c r="O1167" s="238" t="s">
        <v>264</v>
      </c>
      <c r="P1167" s="251" t="s">
        <v>1448</v>
      </c>
      <c r="R1167" s="191" t="str">
        <f t="shared" si="76"/>
        <v>Cước vận chuyển Container vỏ tuyến đường PAN HA - VIP.. BKS: 15H18552</v>
      </c>
      <c r="S1167" s="191" t="str">
        <f t="shared" si="77"/>
        <v xml:space="preserve"> vỏ </v>
      </c>
      <c r="V1167" s="191">
        <v>29</v>
      </c>
    </row>
    <row r="1168" spans="1:22" s="191" customFormat="1" ht="15">
      <c r="A1168" s="236">
        <v>1157</v>
      </c>
      <c r="B1168" s="244">
        <v>46130</v>
      </c>
      <c r="C1168" s="245" t="s">
        <v>261</v>
      </c>
      <c r="D1168" s="246" t="s">
        <v>1397</v>
      </c>
      <c r="E1168" s="247"/>
      <c r="F1168" s="247"/>
      <c r="G1168" s="248"/>
      <c r="H1168" s="247">
        <v>1</v>
      </c>
      <c r="I1168" s="244" t="s">
        <v>797</v>
      </c>
      <c r="J1168" s="249" t="s">
        <v>21</v>
      </c>
      <c r="K1168" s="249" t="s">
        <v>27</v>
      </c>
      <c r="L1168" s="250">
        <f t="shared" si="75"/>
        <v>1</v>
      </c>
      <c r="M1168" s="237">
        <f t="array" ref="M1168">INDEX('BKTT T4.26'!$N$12:$N$55,MATCH(V1168,'BKTT T4.26'!$A$12:$A$55,0),0)</f>
        <v>628690</v>
      </c>
      <c r="N1168" s="162">
        <f t="shared" si="74"/>
        <v>628690</v>
      </c>
      <c r="O1168" s="238" t="s">
        <v>264</v>
      </c>
      <c r="P1168" s="251" t="s">
        <v>1448</v>
      </c>
      <c r="R1168" s="191" t="str">
        <f t="shared" si="76"/>
        <v>Cước vận chuyển Container vỏ tuyến đường PAN HA - HẢI AN.. BKS: 15H17712</v>
      </c>
      <c r="S1168" s="191" t="str">
        <f t="shared" si="77"/>
        <v xml:space="preserve"> vỏ </v>
      </c>
      <c r="V1168" s="191">
        <v>3</v>
      </c>
    </row>
    <row r="1169" spans="1:22" s="191" customFormat="1" ht="15">
      <c r="A1169" s="236">
        <v>1158</v>
      </c>
      <c r="B1169" s="244">
        <v>46130</v>
      </c>
      <c r="C1169" s="245" t="s">
        <v>261</v>
      </c>
      <c r="D1169" s="246" t="s">
        <v>1398</v>
      </c>
      <c r="E1169" s="247"/>
      <c r="F1169" s="247"/>
      <c r="G1169" s="248"/>
      <c r="H1169" s="247">
        <v>1</v>
      </c>
      <c r="I1169" s="244" t="s">
        <v>797</v>
      </c>
      <c r="J1169" s="249" t="s">
        <v>21</v>
      </c>
      <c r="K1169" s="249" t="s">
        <v>27</v>
      </c>
      <c r="L1169" s="250">
        <f t="shared" si="75"/>
        <v>1</v>
      </c>
      <c r="M1169" s="237">
        <f t="array" ref="M1169">INDEX('BKTT T4.26'!$N$12:$N$55,MATCH(V1169,'BKTT T4.26'!$A$12:$A$55,0),0)</f>
        <v>628690</v>
      </c>
      <c r="N1169" s="162">
        <f t="shared" si="74"/>
        <v>628690</v>
      </c>
      <c r="O1169" s="238" t="s">
        <v>264</v>
      </c>
      <c r="P1169" s="251" t="s">
        <v>1448</v>
      </c>
      <c r="R1169" s="191" t="str">
        <f t="shared" si="76"/>
        <v>Cước vận chuyển Container vỏ tuyến đường PAN HA - HẢI AN.. BKS: 15H17712</v>
      </c>
      <c r="S1169" s="191" t="str">
        <f t="shared" si="77"/>
        <v xml:space="preserve"> vỏ </v>
      </c>
      <c r="V1169" s="191">
        <v>3</v>
      </c>
    </row>
    <row r="1170" spans="1:22" s="191" customFormat="1" ht="15">
      <c r="A1170" s="236">
        <v>1159</v>
      </c>
      <c r="B1170" s="244">
        <v>46130</v>
      </c>
      <c r="C1170" s="245" t="s">
        <v>261</v>
      </c>
      <c r="D1170" s="246" t="s">
        <v>1399</v>
      </c>
      <c r="E1170" s="247"/>
      <c r="F1170" s="247"/>
      <c r="G1170" s="248"/>
      <c r="H1170" s="247">
        <v>1</v>
      </c>
      <c r="I1170" s="244" t="s">
        <v>797</v>
      </c>
      <c r="J1170" s="249" t="s">
        <v>21</v>
      </c>
      <c r="K1170" s="249" t="s">
        <v>27</v>
      </c>
      <c r="L1170" s="250">
        <f t="shared" si="75"/>
        <v>1</v>
      </c>
      <c r="M1170" s="237">
        <f t="array" ref="M1170">INDEX('BKTT T4.26'!$N$12:$N$55,MATCH(V1170,'BKTT T4.26'!$A$12:$A$55,0),0)</f>
        <v>628690</v>
      </c>
      <c r="N1170" s="162">
        <f t="shared" si="74"/>
        <v>628690</v>
      </c>
      <c r="O1170" s="238" t="s">
        <v>264</v>
      </c>
      <c r="P1170" s="251" t="s">
        <v>1448</v>
      </c>
      <c r="R1170" s="191" t="str">
        <f t="shared" si="76"/>
        <v>Cước vận chuyển Container vỏ tuyến đường PAN HA - HẢI AN.. BKS: 15H17712</v>
      </c>
      <c r="S1170" s="191" t="str">
        <f t="shared" si="77"/>
        <v xml:space="preserve"> vỏ </v>
      </c>
      <c r="V1170" s="191">
        <v>3</v>
      </c>
    </row>
    <row r="1171" spans="1:22" s="191" customFormat="1" ht="15">
      <c r="A1171" s="236">
        <v>1160</v>
      </c>
      <c r="B1171" s="244">
        <v>46132</v>
      </c>
      <c r="C1171" s="245" t="s">
        <v>261</v>
      </c>
      <c r="D1171" s="246" t="s">
        <v>1400</v>
      </c>
      <c r="E1171" s="247">
        <v>1</v>
      </c>
      <c r="F1171" s="247"/>
      <c r="G1171" s="248"/>
      <c r="H1171" s="247"/>
      <c r="I1171" s="244" t="s">
        <v>797</v>
      </c>
      <c r="J1171" s="249" t="s">
        <v>21</v>
      </c>
      <c r="K1171" s="249" t="s">
        <v>22</v>
      </c>
      <c r="L1171" s="250">
        <f t="shared" si="75"/>
        <v>1</v>
      </c>
      <c r="M1171" s="237">
        <f t="array" ref="M1171">INDEX('BKTT T4.26'!$N$12:$N$55,MATCH(V1171,'BKTT T4.26'!$A$12:$A$55,0),0)</f>
        <v>654871</v>
      </c>
      <c r="N1171" s="162">
        <f t="shared" si="74"/>
        <v>654871</v>
      </c>
      <c r="O1171" s="238" t="s">
        <v>264</v>
      </c>
      <c r="P1171" s="251" t="s">
        <v>1448</v>
      </c>
      <c r="R1171" s="191" t="str">
        <f t="shared" si="76"/>
        <v>Cước vận chuyển Container hàng 20' tuyến đường PAN HA - HẢI AN. BKS: 15H17712</v>
      </c>
      <c r="S1171" s="191" t="str">
        <f t="shared" si="77"/>
        <v xml:space="preserve"> hàng 20' </v>
      </c>
      <c r="V1171" s="191">
        <v>1</v>
      </c>
    </row>
    <row r="1172" spans="1:22" s="191" customFormat="1" ht="15">
      <c r="A1172" s="236">
        <v>1161</v>
      </c>
      <c r="B1172" s="244">
        <v>46132</v>
      </c>
      <c r="C1172" s="245" t="s">
        <v>261</v>
      </c>
      <c r="D1172" s="246" t="s">
        <v>1401</v>
      </c>
      <c r="E1172" s="247">
        <v>1</v>
      </c>
      <c r="F1172" s="247"/>
      <c r="G1172" s="248"/>
      <c r="H1172" s="247"/>
      <c r="I1172" s="244" t="s">
        <v>797</v>
      </c>
      <c r="J1172" s="249" t="s">
        <v>21</v>
      </c>
      <c r="K1172" s="249" t="s">
        <v>22</v>
      </c>
      <c r="L1172" s="250">
        <f t="shared" si="75"/>
        <v>1</v>
      </c>
      <c r="M1172" s="237">
        <f t="array" ref="M1172">INDEX('BKTT T4.26'!$N$12:$N$55,MATCH(V1172,'BKTT T4.26'!$A$12:$A$55,0),0)</f>
        <v>654871</v>
      </c>
      <c r="N1172" s="162">
        <f t="shared" si="74"/>
        <v>654871</v>
      </c>
      <c r="O1172" s="238" t="s">
        <v>264</v>
      </c>
      <c r="P1172" s="251" t="s">
        <v>1448</v>
      </c>
      <c r="R1172" s="191" t="str">
        <f t="shared" si="76"/>
        <v>Cước vận chuyển Container hàng 20' tuyến đường PAN HA - HẢI AN. BKS: 15H17712</v>
      </c>
      <c r="S1172" s="191" t="str">
        <f t="shared" si="77"/>
        <v xml:space="preserve"> hàng 20' </v>
      </c>
      <c r="V1172" s="191">
        <v>1</v>
      </c>
    </row>
    <row r="1173" spans="1:22" s="191" customFormat="1" ht="15">
      <c r="A1173" s="236">
        <v>1162</v>
      </c>
      <c r="B1173" s="244">
        <v>46132</v>
      </c>
      <c r="C1173" s="245" t="s">
        <v>261</v>
      </c>
      <c r="D1173" s="246" t="s">
        <v>1402</v>
      </c>
      <c r="E1173" s="247"/>
      <c r="F1173" s="247">
        <v>1</v>
      </c>
      <c r="G1173" s="248"/>
      <c r="H1173" s="247"/>
      <c r="I1173" s="244" t="s">
        <v>797</v>
      </c>
      <c r="J1173" s="249" t="s">
        <v>21</v>
      </c>
      <c r="K1173" s="249" t="s">
        <v>25</v>
      </c>
      <c r="L1173" s="250">
        <f t="shared" si="75"/>
        <v>1</v>
      </c>
      <c r="M1173" s="237">
        <f t="array" ref="M1173">INDEX('BKTT T4.26'!$N$12:$N$55,MATCH(V1173,'BKTT T4.26'!$A$12:$A$55,0),0)</f>
        <v>681050</v>
      </c>
      <c r="N1173" s="162">
        <f t="shared" si="74"/>
        <v>681050</v>
      </c>
      <c r="O1173" s="238" t="s">
        <v>264</v>
      </c>
      <c r="P1173" s="251" t="s">
        <v>1448</v>
      </c>
      <c r="R1173" s="191" t="str">
        <f t="shared" si="76"/>
        <v>Cước vận chuyển Container hàng 40' tuyến đường PAN HA - HẢI AN,. BKS: 15H17712</v>
      </c>
      <c r="S1173" s="191" t="str">
        <f t="shared" si="77"/>
        <v xml:space="preserve"> hàng 40' </v>
      </c>
      <c r="V1173" s="191">
        <v>2</v>
      </c>
    </row>
    <row r="1174" spans="1:22" s="191" customFormat="1" ht="15">
      <c r="A1174" s="236">
        <v>1163</v>
      </c>
      <c r="B1174" s="244">
        <v>46132</v>
      </c>
      <c r="C1174" s="245" t="s">
        <v>261</v>
      </c>
      <c r="D1174" s="246" t="s">
        <v>1403</v>
      </c>
      <c r="E1174" s="247">
        <v>1</v>
      </c>
      <c r="F1174" s="247"/>
      <c r="G1174" s="248"/>
      <c r="H1174" s="247"/>
      <c r="I1174" s="244" t="s">
        <v>797</v>
      </c>
      <c r="J1174" s="249" t="s">
        <v>21</v>
      </c>
      <c r="K1174" s="249" t="s">
        <v>22</v>
      </c>
      <c r="L1174" s="250">
        <f t="shared" si="75"/>
        <v>1</v>
      </c>
      <c r="M1174" s="237">
        <f t="array" ref="M1174">INDEX('BKTT T4.26'!$N$12:$N$55,MATCH(V1174,'BKTT T4.26'!$A$12:$A$55,0),0)</f>
        <v>654871</v>
      </c>
      <c r="N1174" s="162">
        <f t="shared" si="74"/>
        <v>654871</v>
      </c>
      <c r="O1174" s="238" t="s">
        <v>264</v>
      </c>
      <c r="P1174" s="251" t="s">
        <v>1448</v>
      </c>
      <c r="R1174" s="191" t="str">
        <f t="shared" si="76"/>
        <v>Cước vận chuyển Container hàng 20' tuyến đường PAN HA - HẢI AN. BKS: 15H17712</v>
      </c>
      <c r="S1174" s="191" t="str">
        <f t="shared" si="77"/>
        <v xml:space="preserve"> hàng 20' </v>
      </c>
      <c r="V1174" s="191">
        <v>1</v>
      </c>
    </row>
    <row r="1175" spans="1:22" s="191" customFormat="1" ht="15">
      <c r="A1175" s="236">
        <v>1164</v>
      </c>
      <c r="B1175" s="244">
        <v>46132</v>
      </c>
      <c r="C1175" s="245" t="s">
        <v>261</v>
      </c>
      <c r="D1175" s="246" t="s">
        <v>1404</v>
      </c>
      <c r="E1175" s="247"/>
      <c r="F1175" s="247">
        <v>1</v>
      </c>
      <c r="G1175" s="248"/>
      <c r="H1175" s="247"/>
      <c r="I1175" s="244" t="s">
        <v>797</v>
      </c>
      <c r="J1175" s="249" t="s">
        <v>21</v>
      </c>
      <c r="K1175" s="249" t="s">
        <v>25</v>
      </c>
      <c r="L1175" s="250">
        <f t="shared" si="75"/>
        <v>1</v>
      </c>
      <c r="M1175" s="237">
        <f t="array" ref="M1175">INDEX('BKTT T4.26'!$N$12:$N$55,MATCH(V1175,'BKTT T4.26'!$A$12:$A$55,0),0)</f>
        <v>681050</v>
      </c>
      <c r="N1175" s="162">
        <f t="shared" si="74"/>
        <v>681050</v>
      </c>
      <c r="O1175" s="238" t="s">
        <v>264</v>
      </c>
      <c r="P1175" s="251" t="s">
        <v>1448</v>
      </c>
      <c r="R1175" s="191" t="str">
        <f t="shared" si="76"/>
        <v>Cước vận chuyển Container hàng 40' tuyến đường PAN HA - HẢI AN,. BKS: 15H17712</v>
      </c>
      <c r="S1175" s="191" t="str">
        <f t="shared" si="77"/>
        <v xml:space="preserve"> hàng 40' </v>
      </c>
      <c r="V1175" s="191">
        <v>2</v>
      </c>
    </row>
    <row r="1176" spans="1:22" s="191" customFormat="1" ht="15">
      <c r="A1176" s="236">
        <v>1165</v>
      </c>
      <c r="B1176" s="244">
        <v>46132</v>
      </c>
      <c r="C1176" s="245" t="s">
        <v>261</v>
      </c>
      <c r="D1176" s="246" t="s">
        <v>1405</v>
      </c>
      <c r="E1176" s="247"/>
      <c r="F1176" s="247">
        <v>1</v>
      </c>
      <c r="G1176" s="248"/>
      <c r="H1176" s="247"/>
      <c r="I1176" s="244" t="s">
        <v>797</v>
      </c>
      <c r="J1176" s="249" t="s">
        <v>21</v>
      </c>
      <c r="K1176" s="249" t="s">
        <v>25</v>
      </c>
      <c r="L1176" s="250">
        <f t="shared" si="75"/>
        <v>1</v>
      </c>
      <c r="M1176" s="237">
        <f t="array" ref="M1176">INDEX('BKTT T4.26'!$N$12:$N$55,MATCH(V1176,'BKTT T4.26'!$A$12:$A$55,0),0)</f>
        <v>681050</v>
      </c>
      <c r="N1176" s="162">
        <f t="shared" si="74"/>
        <v>681050</v>
      </c>
      <c r="O1176" s="238" t="s">
        <v>264</v>
      </c>
      <c r="P1176" s="251" t="s">
        <v>1448</v>
      </c>
      <c r="R1176" s="191" t="str">
        <f t="shared" si="76"/>
        <v>Cước vận chuyển Container hàng 40' tuyến đường PAN HA - HẢI AN,. BKS: 15H17712</v>
      </c>
      <c r="S1176" s="191" t="str">
        <f t="shared" si="77"/>
        <v xml:space="preserve"> hàng 40' </v>
      </c>
      <c r="V1176" s="191">
        <v>2</v>
      </c>
    </row>
    <row r="1177" spans="1:22" s="191" customFormat="1" ht="15">
      <c r="A1177" s="236">
        <v>1166</v>
      </c>
      <c r="B1177" s="244">
        <v>46132</v>
      </c>
      <c r="C1177" s="245" t="s">
        <v>261</v>
      </c>
      <c r="D1177" s="246" t="s">
        <v>1406</v>
      </c>
      <c r="E1177" s="247">
        <v>1</v>
      </c>
      <c r="F1177" s="247"/>
      <c r="G1177" s="248"/>
      <c r="H1177" s="247"/>
      <c r="I1177" s="244" t="s">
        <v>797</v>
      </c>
      <c r="J1177" s="249" t="s">
        <v>21</v>
      </c>
      <c r="K1177" s="249" t="s">
        <v>31</v>
      </c>
      <c r="L1177" s="250">
        <f t="shared" si="75"/>
        <v>1</v>
      </c>
      <c r="M1177" s="237">
        <f t="array" ref="M1177">INDEX('BKTT T4.26'!$N$12:$N$55,MATCH(V1177,'BKTT T4.26'!$A$12:$A$55,0),0)</f>
        <v>454158</v>
      </c>
      <c r="N1177" s="162">
        <f t="shared" ref="N1177:N1217" si="78">L1177*M1177</f>
        <v>454158</v>
      </c>
      <c r="O1177" s="238" t="s">
        <v>264</v>
      </c>
      <c r="P1177" s="251" t="s">
        <v>1448</v>
      </c>
      <c r="R1177" s="191" t="str">
        <f t="shared" si="76"/>
        <v>Cước vận chuyển Container hàng 20' tuyến đường PAN HA - NDV. BKS: 15H17712</v>
      </c>
      <c r="S1177" s="191" t="str">
        <f t="shared" si="77"/>
        <v xml:space="preserve"> hàng 20' </v>
      </c>
      <c r="V1177" s="191">
        <v>7</v>
      </c>
    </row>
    <row r="1178" spans="1:22" s="191" customFormat="1" ht="15">
      <c r="A1178" s="236">
        <v>1167</v>
      </c>
      <c r="B1178" s="244">
        <v>46132</v>
      </c>
      <c r="C1178" s="245" t="s">
        <v>261</v>
      </c>
      <c r="D1178" s="246" t="s">
        <v>1407</v>
      </c>
      <c r="E1178" s="247">
        <v>1</v>
      </c>
      <c r="F1178" s="247"/>
      <c r="G1178" s="248"/>
      <c r="H1178" s="247"/>
      <c r="I1178" s="244" t="s">
        <v>797</v>
      </c>
      <c r="J1178" s="249" t="s">
        <v>21</v>
      </c>
      <c r="K1178" s="249" t="s">
        <v>31</v>
      </c>
      <c r="L1178" s="250">
        <f t="shared" si="75"/>
        <v>1</v>
      </c>
      <c r="M1178" s="237">
        <f t="array" ref="M1178">INDEX('BKTT T4.26'!$N$12:$N$55,MATCH(V1178,'BKTT T4.26'!$A$12:$A$55,0),0)</f>
        <v>454158</v>
      </c>
      <c r="N1178" s="162">
        <f t="shared" si="78"/>
        <v>454158</v>
      </c>
      <c r="O1178" s="238" t="s">
        <v>264</v>
      </c>
      <c r="P1178" s="251" t="s">
        <v>1448</v>
      </c>
      <c r="R1178" s="191" t="str">
        <f t="shared" si="76"/>
        <v>Cước vận chuyển Container hàng 20' tuyến đường PAN HA - NDV. BKS: 15H17712</v>
      </c>
      <c r="S1178" s="191" t="str">
        <f t="shared" si="77"/>
        <v xml:space="preserve"> hàng 20' </v>
      </c>
      <c r="V1178" s="191">
        <v>7</v>
      </c>
    </row>
    <row r="1179" spans="1:22" s="191" customFormat="1" ht="15">
      <c r="A1179" s="236">
        <v>1168</v>
      </c>
      <c r="B1179" s="244">
        <v>46132</v>
      </c>
      <c r="C1179" s="245" t="s">
        <v>261</v>
      </c>
      <c r="D1179" s="246" t="s">
        <v>1408</v>
      </c>
      <c r="E1179" s="247">
        <v>1</v>
      </c>
      <c r="F1179" s="247"/>
      <c r="G1179" s="248"/>
      <c r="H1179" s="247"/>
      <c r="I1179" s="244" t="s">
        <v>797</v>
      </c>
      <c r="J1179" s="249" t="s">
        <v>21</v>
      </c>
      <c r="K1179" s="249" t="s">
        <v>31</v>
      </c>
      <c r="L1179" s="250">
        <f t="shared" si="75"/>
        <v>1</v>
      </c>
      <c r="M1179" s="237">
        <f t="array" ref="M1179">INDEX('BKTT T4.26'!$N$12:$N$55,MATCH(V1179,'BKTT T4.26'!$A$12:$A$55,0),0)</f>
        <v>454158</v>
      </c>
      <c r="N1179" s="162">
        <f t="shared" si="78"/>
        <v>454158</v>
      </c>
      <c r="O1179" s="238" t="s">
        <v>264</v>
      </c>
      <c r="P1179" s="251" t="s">
        <v>1448</v>
      </c>
      <c r="R1179" s="191" t="str">
        <f t="shared" si="76"/>
        <v>Cước vận chuyển Container hàng 20' tuyến đường PAN HA - NDV. BKS: 15H17712</v>
      </c>
      <c r="S1179" s="191" t="str">
        <f t="shared" si="77"/>
        <v xml:space="preserve"> hàng 20' </v>
      </c>
      <c r="V1179" s="191">
        <v>7</v>
      </c>
    </row>
    <row r="1180" spans="1:22" s="191" customFormat="1" ht="15">
      <c r="A1180" s="236">
        <v>1169</v>
      </c>
      <c r="B1180" s="244">
        <v>46132</v>
      </c>
      <c r="C1180" s="245" t="s">
        <v>261</v>
      </c>
      <c r="D1180" s="246" t="s">
        <v>1409</v>
      </c>
      <c r="E1180" s="247">
        <v>1</v>
      </c>
      <c r="F1180" s="247"/>
      <c r="G1180" s="248"/>
      <c r="H1180" s="247"/>
      <c r="I1180" s="244" t="s">
        <v>797</v>
      </c>
      <c r="J1180" s="249" t="s">
        <v>21</v>
      </c>
      <c r="K1180" s="249" t="s">
        <v>31</v>
      </c>
      <c r="L1180" s="250">
        <f t="shared" si="75"/>
        <v>1</v>
      </c>
      <c r="M1180" s="237">
        <f t="array" ref="M1180">INDEX('BKTT T4.26'!$N$12:$N$55,MATCH(V1180,'BKTT T4.26'!$A$12:$A$55,0),0)</f>
        <v>454158</v>
      </c>
      <c r="N1180" s="162">
        <f t="shared" si="78"/>
        <v>454158</v>
      </c>
      <c r="O1180" s="238" t="s">
        <v>264</v>
      </c>
      <c r="P1180" s="251" t="s">
        <v>1448</v>
      </c>
      <c r="R1180" s="191" t="str">
        <f t="shared" si="76"/>
        <v>Cước vận chuyển Container hàng 20' tuyến đường PAN HA - NDV. BKS: 15H17712</v>
      </c>
      <c r="S1180" s="191" t="str">
        <f t="shared" si="77"/>
        <v xml:space="preserve"> hàng 20' </v>
      </c>
      <c r="V1180" s="191">
        <v>7</v>
      </c>
    </row>
    <row r="1181" spans="1:22" s="191" customFormat="1" ht="15">
      <c r="A1181" s="236">
        <v>1170</v>
      </c>
      <c r="B1181" s="244">
        <v>46132</v>
      </c>
      <c r="C1181" s="245" t="s">
        <v>261</v>
      </c>
      <c r="D1181" s="246" t="s">
        <v>1410</v>
      </c>
      <c r="E1181" s="247">
        <v>1</v>
      </c>
      <c r="F1181" s="247"/>
      <c r="G1181" s="248"/>
      <c r="H1181" s="247"/>
      <c r="I1181" s="244" t="s">
        <v>797</v>
      </c>
      <c r="J1181" s="249" t="s">
        <v>21</v>
      </c>
      <c r="K1181" s="249" t="s">
        <v>31</v>
      </c>
      <c r="L1181" s="250">
        <f t="shared" si="75"/>
        <v>1</v>
      </c>
      <c r="M1181" s="237">
        <f t="array" ref="M1181">INDEX('BKTT T4.26'!$N$12:$N$55,MATCH(V1181,'BKTT T4.26'!$A$12:$A$55,0),0)</f>
        <v>454158</v>
      </c>
      <c r="N1181" s="162">
        <f t="shared" si="78"/>
        <v>454158</v>
      </c>
      <c r="O1181" s="238" t="s">
        <v>264</v>
      </c>
      <c r="P1181" s="251" t="s">
        <v>1448</v>
      </c>
      <c r="R1181" s="191" t="str">
        <f t="shared" si="76"/>
        <v>Cước vận chuyển Container hàng 20' tuyến đường PAN HA - NDV. BKS: 15H17712</v>
      </c>
      <c r="S1181" s="191" t="str">
        <f t="shared" si="77"/>
        <v xml:space="preserve"> hàng 20' </v>
      </c>
      <c r="V1181" s="191">
        <v>7</v>
      </c>
    </row>
    <row r="1182" spans="1:22" s="191" customFormat="1" ht="15">
      <c r="A1182" s="236">
        <v>1171</v>
      </c>
      <c r="B1182" s="244">
        <v>46132</v>
      </c>
      <c r="C1182" s="245" t="s">
        <v>261</v>
      </c>
      <c r="D1182" s="246" t="s">
        <v>1411</v>
      </c>
      <c r="E1182" s="247"/>
      <c r="F1182" s="247"/>
      <c r="G1182" s="248">
        <v>0.5</v>
      </c>
      <c r="H1182" s="247"/>
      <c r="I1182" s="244" t="s">
        <v>797</v>
      </c>
      <c r="J1182" s="249" t="s">
        <v>21</v>
      </c>
      <c r="K1182" s="249" t="s">
        <v>27</v>
      </c>
      <c r="L1182" s="250">
        <f t="shared" si="75"/>
        <v>0.5</v>
      </c>
      <c r="M1182" s="237">
        <f t="array" ref="M1182">INDEX('BKTT T4.26'!$N$12:$N$55,MATCH(V1182,'BKTT T4.26'!$A$12:$A$55,0),0)</f>
        <v>628690</v>
      </c>
      <c r="N1182" s="162">
        <f t="shared" si="78"/>
        <v>314345</v>
      </c>
      <c r="O1182" s="238" t="s">
        <v>264</v>
      </c>
      <c r="P1182" s="251" t="s">
        <v>1448</v>
      </c>
      <c r="R1182" s="191" t="str">
        <f t="shared" si="76"/>
        <v>Cước vận chuyển Container vỏ tuyến đường PAN HA - HẢI AN.. BKS: 15H17712</v>
      </c>
      <c r="S1182" s="191" t="str">
        <f t="shared" si="77"/>
        <v xml:space="preserve"> vỏ </v>
      </c>
      <c r="V1182" s="191">
        <v>3</v>
      </c>
    </row>
    <row r="1183" spans="1:22" s="191" customFormat="1" ht="15">
      <c r="A1183" s="236">
        <v>1172</v>
      </c>
      <c r="B1183" s="244">
        <v>46132</v>
      </c>
      <c r="C1183" s="245" t="s">
        <v>261</v>
      </c>
      <c r="D1183" s="246" t="s">
        <v>1412</v>
      </c>
      <c r="E1183" s="247"/>
      <c r="F1183" s="247"/>
      <c r="G1183" s="248">
        <v>0.5</v>
      </c>
      <c r="H1183" s="247"/>
      <c r="I1183" s="244" t="s">
        <v>797</v>
      </c>
      <c r="J1183" s="249" t="s">
        <v>21</v>
      </c>
      <c r="K1183" s="249" t="s">
        <v>27</v>
      </c>
      <c r="L1183" s="250">
        <f t="shared" si="75"/>
        <v>0.5</v>
      </c>
      <c r="M1183" s="237">
        <f t="array" ref="M1183">INDEX('BKTT T4.26'!$N$12:$N$55,MATCH(V1183,'BKTT T4.26'!$A$12:$A$55,0),0)</f>
        <v>628690</v>
      </c>
      <c r="N1183" s="162">
        <f t="shared" si="78"/>
        <v>314345</v>
      </c>
      <c r="O1183" s="238" t="s">
        <v>264</v>
      </c>
      <c r="P1183" s="251" t="s">
        <v>1448</v>
      </c>
      <c r="R1183" s="191" t="str">
        <f t="shared" si="76"/>
        <v>Cước vận chuyển Container vỏ tuyến đường PAN HA - HẢI AN.. BKS: 15H17712</v>
      </c>
      <c r="S1183" s="191" t="str">
        <f t="shared" si="77"/>
        <v xml:space="preserve"> vỏ </v>
      </c>
      <c r="V1183" s="191">
        <v>3</v>
      </c>
    </row>
    <row r="1184" spans="1:22" s="191" customFormat="1" ht="15">
      <c r="A1184" s="236">
        <v>1173</v>
      </c>
      <c r="B1184" s="244">
        <v>46133</v>
      </c>
      <c r="C1184" s="245" t="s">
        <v>261</v>
      </c>
      <c r="D1184" s="246" t="s">
        <v>1413</v>
      </c>
      <c r="E1184" s="247"/>
      <c r="F1184" s="247"/>
      <c r="G1184" s="248"/>
      <c r="H1184" s="247">
        <v>1</v>
      </c>
      <c r="I1184" s="244" t="s">
        <v>797</v>
      </c>
      <c r="J1184" s="249" t="s">
        <v>38</v>
      </c>
      <c r="K1184" s="249" t="s">
        <v>21</v>
      </c>
      <c r="L1184" s="250">
        <f t="shared" si="75"/>
        <v>1</v>
      </c>
      <c r="M1184" s="237">
        <f t="array" ref="M1184">INDEX('BKTT T4.26'!$N$12:$N$55,MATCH(V1184,'BKTT T4.26'!$A$12:$A$55,0),0)</f>
        <v>585057</v>
      </c>
      <c r="N1184" s="162">
        <f t="shared" si="78"/>
        <v>585057</v>
      </c>
      <c r="O1184" s="238" t="s">
        <v>267</v>
      </c>
      <c r="P1184" s="251" t="s">
        <v>1448</v>
      </c>
      <c r="R1184" s="191" t="str">
        <f t="shared" si="76"/>
        <v>Cước vận chuyển Container vỏ tuyến đường NHĐV. - PAN HA. BKS: 15H17712</v>
      </c>
      <c r="S1184" s="191" t="str">
        <f t="shared" si="77"/>
        <v xml:space="preserve"> vỏ </v>
      </c>
      <c r="V1184" s="191">
        <v>16</v>
      </c>
    </row>
    <row r="1185" spans="1:22" s="191" customFormat="1" ht="15">
      <c r="A1185" s="236">
        <v>1174</v>
      </c>
      <c r="B1185" s="244">
        <v>46133</v>
      </c>
      <c r="C1185" s="245" t="s">
        <v>261</v>
      </c>
      <c r="D1185" s="246" t="s">
        <v>1414</v>
      </c>
      <c r="E1185" s="247"/>
      <c r="F1185" s="247"/>
      <c r="G1185" s="248"/>
      <c r="H1185" s="247">
        <v>1</v>
      </c>
      <c r="I1185" s="244" t="s">
        <v>797</v>
      </c>
      <c r="J1185" s="249" t="s">
        <v>38</v>
      </c>
      <c r="K1185" s="249" t="s">
        <v>21</v>
      </c>
      <c r="L1185" s="250">
        <f t="shared" si="75"/>
        <v>1</v>
      </c>
      <c r="M1185" s="237">
        <f t="array" ref="M1185">INDEX('BKTT T4.26'!$N$12:$N$55,MATCH(V1185,'BKTT T4.26'!$A$12:$A$55,0),0)</f>
        <v>585057</v>
      </c>
      <c r="N1185" s="162">
        <f t="shared" si="78"/>
        <v>585057</v>
      </c>
      <c r="O1185" s="238" t="s">
        <v>267</v>
      </c>
      <c r="P1185" s="251" t="s">
        <v>1448</v>
      </c>
      <c r="R1185" s="191" t="str">
        <f t="shared" si="76"/>
        <v>Cước vận chuyển Container vỏ tuyến đường NHĐV. - PAN HA. BKS: 15H17712</v>
      </c>
      <c r="S1185" s="191" t="str">
        <f t="shared" si="77"/>
        <v xml:space="preserve"> vỏ </v>
      </c>
      <c r="V1185" s="191">
        <v>16</v>
      </c>
    </row>
    <row r="1186" spans="1:22" s="191" customFormat="1" ht="15">
      <c r="A1186" s="236">
        <v>1175</v>
      </c>
      <c r="B1186" s="244">
        <v>46129</v>
      </c>
      <c r="C1186" s="245" t="s">
        <v>261</v>
      </c>
      <c r="D1186" s="246" t="s">
        <v>1415</v>
      </c>
      <c r="E1186" s="247"/>
      <c r="F1186" s="247">
        <v>1</v>
      </c>
      <c r="G1186" s="248"/>
      <c r="H1186" s="247"/>
      <c r="I1186" s="244" t="s">
        <v>743</v>
      </c>
      <c r="J1186" s="249" t="s">
        <v>21</v>
      </c>
      <c r="K1186" s="249" t="s">
        <v>25</v>
      </c>
      <c r="L1186" s="250">
        <f t="shared" si="75"/>
        <v>1</v>
      </c>
      <c r="M1186" s="237">
        <f t="array" ref="M1186">INDEX('BKTT T4.26'!$N$12:$N$55,MATCH(V1186,'BKTT T4.26'!$A$12:$A$55,0),0)</f>
        <v>681050</v>
      </c>
      <c r="N1186" s="162">
        <f t="shared" si="78"/>
        <v>681050</v>
      </c>
      <c r="O1186" s="238" t="s">
        <v>264</v>
      </c>
      <c r="P1186" s="251" t="s">
        <v>1448</v>
      </c>
      <c r="R1186" s="191" t="str">
        <f t="shared" si="76"/>
        <v>Cước vận chuyển Container hàng 40' tuyến đường PAN HA - HẢI AN,. BKS: 15H07135</v>
      </c>
      <c r="S1186" s="191" t="str">
        <f t="shared" si="77"/>
        <v xml:space="preserve"> hàng 40' </v>
      </c>
      <c r="V1186" s="191">
        <v>2</v>
      </c>
    </row>
    <row r="1187" spans="1:22" s="191" customFormat="1" ht="15">
      <c r="A1187" s="236">
        <v>1176</v>
      </c>
      <c r="B1187" s="244">
        <v>46129</v>
      </c>
      <c r="C1187" s="245" t="s">
        <v>261</v>
      </c>
      <c r="D1187" s="246" t="s">
        <v>1416</v>
      </c>
      <c r="E1187" s="247">
        <v>1</v>
      </c>
      <c r="F1187" s="247"/>
      <c r="G1187" s="248"/>
      <c r="H1187" s="247"/>
      <c r="I1187" s="244" t="s">
        <v>743</v>
      </c>
      <c r="J1187" s="249" t="s">
        <v>21</v>
      </c>
      <c r="K1187" s="249" t="s">
        <v>22</v>
      </c>
      <c r="L1187" s="250">
        <f t="shared" si="75"/>
        <v>1</v>
      </c>
      <c r="M1187" s="237">
        <f t="array" ref="M1187">INDEX('BKTT T4.26'!$N$12:$N$55,MATCH(V1187,'BKTT T4.26'!$A$12:$A$55,0),0)</f>
        <v>654871</v>
      </c>
      <c r="N1187" s="162">
        <f t="shared" si="78"/>
        <v>654871</v>
      </c>
      <c r="O1187" s="238" t="s">
        <v>264</v>
      </c>
      <c r="P1187" s="251" t="s">
        <v>1448</v>
      </c>
      <c r="R1187" s="191" t="str">
        <f t="shared" si="76"/>
        <v>Cước vận chuyển Container hàng 20' tuyến đường PAN HA - HẢI AN. BKS: 15H07135</v>
      </c>
      <c r="S1187" s="191" t="str">
        <f t="shared" si="77"/>
        <v xml:space="preserve"> hàng 20' </v>
      </c>
      <c r="V1187" s="191">
        <v>1</v>
      </c>
    </row>
    <row r="1188" spans="1:22" s="191" customFormat="1" ht="15">
      <c r="A1188" s="236">
        <v>1177</v>
      </c>
      <c r="B1188" s="244">
        <v>46129</v>
      </c>
      <c r="C1188" s="245" t="s">
        <v>261</v>
      </c>
      <c r="D1188" s="246" t="s">
        <v>1417</v>
      </c>
      <c r="E1188" s="247">
        <v>1</v>
      </c>
      <c r="F1188" s="247"/>
      <c r="G1188" s="248"/>
      <c r="H1188" s="247"/>
      <c r="I1188" s="244" t="s">
        <v>743</v>
      </c>
      <c r="J1188" s="249" t="s">
        <v>21</v>
      </c>
      <c r="K1188" s="249" t="s">
        <v>22</v>
      </c>
      <c r="L1188" s="250">
        <f t="shared" si="75"/>
        <v>1</v>
      </c>
      <c r="M1188" s="237">
        <f t="array" ref="M1188">INDEX('BKTT T4.26'!$N$12:$N$55,MATCH(V1188,'BKTT T4.26'!$A$12:$A$55,0),0)</f>
        <v>654871</v>
      </c>
      <c r="N1188" s="162">
        <f t="shared" si="78"/>
        <v>654871</v>
      </c>
      <c r="O1188" s="238" t="s">
        <v>264</v>
      </c>
      <c r="P1188" s="251" t="s">
        <v>1448</v>
      </c>
      <c r="R1188" s="191" t="str">
        <f t="shared" si="76"/>
        <v>Cước vận chuyển Container hàng 20' tuyến đường PAN HA - HẢI AN. BKS: 15H07135</v>
      </c>
      <c r="S1188" s="191" t="str">
        <f t="shared" si="77"/>
        <v xml:space="preserve"> hàng 20' </v>
      </c>
      <c r="V1188" s="191">
        <v>1</v>
      </c>
    </row>
    <row r="1189" spans="1:22" s="191" customFormat="1" ht="15">
      <c r="A1189" s="236">
        <v>1178</v>
      </c>
      <c r="B1189" s="244">
        <v>46129</v>
      </c>
      <c r="C1189" s="245" t="s">
        <v>261</v>
      </c>
      <c r="D1189" s="246" t="s">
        <v>1418</v>
      </c>
      <c r="E1189" s="247">
        <v>1</v>
      </c>
      <c r="F1189" s="247"/>
      <c r="G1189" s="248"/>
      <c r="H1189" s="247"/>
      <c r="I1189" s="244" t="s">
        <v>743</v>
      </c>
      <c r="J1189" s="249" t="s">
        <v>21</v>
      </c>
      <c r="K1189" s="249" t="s">
        <v>36</v>
      </c>
      <c r="L1189" s="250">
        <f t="shared" si="75"/>
        <v>1</v>
      </c>
      <c r="M1189" s="237">
        <f t="array" ref="M1189">INDEX('BKTT T4.26'!$N$12:$N$55,MATCH(V1189,'BKTT T4.26'!$A$12:$A$55,0),0)</f>
        <v>576331</v>
      </c>
      <c r="N1189" s="162">
        <f t="shared" si="78"/>
        <v>576331</v>
      </c>
      <c r="O1189" s="238" t="s">
        <v>264</v>
      </c>
      <c r="P1189" s="251" t="s">
        <v>1448</v>
      </c>
      <c r="R1189" s="191" t="str">
        <f t="shared" si="76"/>
        <v>Cước vận chuyển Container hàng 20' tuyến đường PAN HA - NHĐV. BKS: 15H07135</v>
      </c>
      <c r="S1189" s="191" t="str">
        <f t="shared" si="77"/>
        <v xml:space="preserve"> hàng 20' </v>
      </c>
      <c r="V1189" s="191">
        <v>11</v>
      </c>
    </row>
    <row r="1190" spans="1:22" s="191" customFormat="1" ht="15">
      <c r="A1190" s="236">
        <v>1179</v>
      </c>
      <c r="B1190" s="244">
        <v>46129</v>
      </c>
      <c r="C1190" s="245" t="s">
        <v>261</v>
      </c>
      <c r="D1190" s="246" t="s">
        <v>1419</v>
      </c>
      <c r="E1190" s="247">
        <v>1</v>
      </c>
      <c r="F1190" s="247"/>
      <c r="G1190" s="248"/>
      <c r="H1190" s="247"/>
      <c r="I1190" s="244" t="s">
        <v>743</v>
      </c>
      <c r="J1190" s="249" t="s">
        <v>21</v>
      </c>
      <c r="K1190" s="249" t="s">
        <v>36</v>
      </c>
      <c r="L1190" s="250">
        <f t="shared" si="75"/>
        <v>1</v>
      </c>
      <c r="M1190" s="237">
        <f t="array" ref="M1190">INDEX('BKTT T4.26'!$N$12:$N$55,MATCH(V1190,'BKTT T4.26'!$A$12:$A$55,0),0)</f>
        <v>576331</v>
      </c>
      <c r="N1190" s="162">
        <f t="shared" si="78"/>
        <v>576331</v>
      </c>
      <c r="O1190" s="238" t="s">
        <v>264</v>
      </c>
      <c r="P1190" s="251" t="s">
        <v>1448</v>
      </c>
      <c r="R1190" s="191" t="str">
        <f t="shared" si="76"/>
        <v>Cước vận chuyển Container hàng 20' tuyến đường PAN HA - NHĐV. BKS: 15H07135</v>
      </c>
      <c r="S1190" s="191" t="str">
        <f t="shared" si="77"/>
        <v xml:space="preserve"> hàng 20' </v>
      </c>
      <c r="V1190" s="191">
        <v>11</v>
      </c>
    </row>
    <row r="1191" spans="1:22" s="283" customFormat="1" ht="15">
      <c r="A1191" s="236">
        <v>1180</v>
      </c>
      <c r="B1191" s="272">
        <v>46129</v>
      </c>
      <c r="C1191" s="273" t="s">
        <v>261</v>
      </c>
      <c r="D1191" s="285" t="s">
        <v>1482</v>
      </c>
      <c r="E1191" s="275">
        <v>1</v>
      </c>
      <c r="F1191" s="275"/>
      <c r="G1191" s="276"/>
      <c r="H1191" s="275"/>
      <c r="I1191" s="272" t="s">
        <v>743</v>
      </c>
      <c r="J1191" s="249" t="s">
        <v>21</v>
      </c>
      <c r="K1191" s="277" t="s">
        <v>36</v>
      </c>
      <c r="L1191" s="278">
        <f t="shared" si="75"/>
        <v>1</v>
      </c>
      <c r="M1191" s="279">
        <f t="array" ref="M1191">INDEX('BKTT T4.26'!$N$12:$N$55,MATCH(V1191,'BKTT T4.26'!$A$12:$A$55,0),0)</f>
        <v>576331</v>
      </c>
      <c r="N1191" s="280">
        <f t="shared" si="78"/>
        <v>576331</v>
      </c>
      <c r="O1191" s="281" t="s">
        <v>264</v>
      </c>
      <c r="P1191" s="282" t="s">
        <v>1447</v>
      </c>
      <c r="R1191" s="283" t="str">
        <f t="shared" si="76"/>
        <v>Cước vận chuyển Container hàng 20' tuyến đường PAN HA - NHĐV. BKS: 15H07135</v>
      </c>
      <c r="S1191" s="283" t="str">
        <f t="shared" si="77"/>
        <v xml:space="preserve"> hàng 20' </v>
      </c>
      <c r="V1191" s="191">
        <v>11</v>
      </c>
    </row>
    <row r="1192" spans="1:22" s="191" customFormat="1" ht="15">
      <c r="A1192" s="236">
        <v>1181</v>
      </c>
      <c r="B1192" s="244">
        <v>46129</v>
      </c>
      <c r="C1192" s="245" t="s">
        <v>261</v>
      </c>
      <c r="D1192" s="246" t="s">
        <v>1420</v>
      </c>
      <c r="E1192" s="247">
        <v>1</v>
      </c>
      <c r="F1192" s="247"/>
      <c r="G1192" s="248"/>
      <c r="H1192" s="247"/>
      <c r="I1192" s="244" t="s">
        <v>743</v>
      </c>
      <c r="J1192" s="249" t="s">
        <v>21</v>
      </c>
      <c r="K1192" s="249" t="s">
        <v>36</v>
      </c>
      <c r="L1192" s="250">
        <f t="shared" si="75"/>
        <v>1</v>
      </c>
      <c r="M1192" s="237">
        <f t="array" ref="M1192">INDEX('BKTT T4.26'!$N$12:$N$55,MATCH(V1192,'BKTT T4.26'!$A$12:$A$55,0),0)</f>
        <v>576331</v>
      </c>
      <c r="N1192" s="162">
        <f t="shared" si="78"/>
        <v>576331</v>
      </c>
      <c r="O1192" s="238" t="s">
        <v>264</v>
      </c>
      <c r="P1192" s="251" t="s">
        <v>1448</v>
      </c>
      <c r="R1192" s="191" t="str">
        <f t="shared" si="76"/>
        <v>Cước vận chuyển Container hàng 20' tuyến đường PAN HA - NHĐV. BKS: 15H07135</v>
      </c>
      <c r="S1192" s="191" t="str">
        <f t="shared" si="77"/>
        <v xml:space="preserve"> hàng 20' </v>
      </c>
      <c r="V1192" s="191">
        <v>11</v>
      </c>
    </row>
    <row r="1193" spans="1:22" s="191" customFormat="1" ht="15">
      <c r="A1193" s="236">
        <v>1182</v>
      </c>
      <c r="B1193" s="244">
        <v>46129</v>
      </c>
      <c r="C1193" s="245" t="s">
        <v>261</v>
      </c>
      <c r="D1193" s="246" t="s">
        <v>1421</v>
      </c>
      <c r="E1193" s="247">
        <v>1</v>
      </c>
      <c r="F1193" s="247"/>
      <c r="G1193" s="248"/>
      <c r="H1193" s="247"/>
      <c r="I1193" s="244" t="s">
        <v>743</v>
      </c>
      <c r="J1193" s="249" t="s">
        <v>21</v>
      </c>
      <c r="K1193" s="249" t="s">
        <v>36</v>
      </c>
      <c r="L1193" s="250">
        <f t="shared" si="75"/>
        <v>1</v>
      </c>
      <c r="M1193" s="237">
        <f t="array" ref="M1193">INDEX('BKTT T4.26'!$N$12:$N$55,MATCH(V1193,'BKTT T4.26'!$A$12:$A$55,0),0)</f>
        <v>576331</v>
      </c>
      <c r="N1193" s="162">
        <f t="shared" si="78"/>
        <v>576331</v>
      </c>
      <c r="O1193" s="238" t="s">
        <v>264</v>
      </c>
      <c r="P1193" s="251" t="s">
        <v>1448</v>
      </c>
      <c r="R1193" s="191" t="str">
        <f t="shared" si="76"/>
        <v>Cước vận chuyển Container hàng 20' tuyến đường PAN HA - NHĐV. BKS: 15H07135</v>
      </c>
      <c r="S1193" s="191" t="str">
        <f t="shared" si="77"/>
        <v xml:space="preserve"> hàng 20' </v>
      </c>
      <c r="V1193" s="191">
        <v>11</v>
      </c>
    </row>
    <row r="1194" spans="1:22" s="191" customFormat="1" ht="15">
      <c r="A1194" s="236">
        <v>1183</v>
      </c>
      <c r="B1194" s="244">
        <v>46129</v>
      </c>
      <c r="C1194" s="245" t="s">
        <v>261</v>
      </c>
      <c r="D1194" s="246" t="s">
        <v>1422</v>
      </c>
      <c r="E1194" s="247">
        <v>1</v>
      </c>
      <c r="F1194" s="247"/>
      <c r="G1194" s="248"/>
      <c r="H1194" s="247"/>
      <c r="I1194" s="244" t="s">
        <v>743</v>
      </c>
      <c r="J1194" s="249" t="s">
        <v>21</v>
      </c>
      <c r="K1194" s="249" t="s">
        <v>36</v>
      </c>
      <c r="L1194" s="250">
        <f t="shared" si="75"/>
        <v>1</v>
      </c>
      <c r="M1194" s="237">
        <f t="array" ref="M1194">INDEX('BKTT T4.26'!$N$12:$N$55,MATCH(V1194,'BKTT T4.26'!$A$12:$A$55,0),0)</f>
        <v>576331</v>
      </c>
      <c r="N1194" s="162">
        <f t="shared" si="78"/>
        <v>576331</v>
      </c>
      <c r="O1194" s="238" t="s">
        <v>264</v>
      </c>
      <c r="P1194" s="251" t="s">
        <v>1448</v>
      </c>
      <c r="R1194" s="191" t="str">
        <f t="shared" si="76"/>
        <v>Cước vận chuyển Container hàng 20' tuyến đường PAN HA - NHĐV. BKS: 15H07135</v>
      </c>
      <c r="S1194" s="191" t="str">
        <f t="shared" si="77"/>
        <v xml:space="preserve"> hàng 20' </v>
      </c>
      <c r="V1194" s="191">
        <v>11</v>
      </c>
    </row>
    <row r="1195" spans="1:22" s="191" customFormat="1" ht="15">
      <c r="A1195" s="236">
        <v>1184</v>
      </c>
      <c r="B1195" s="244">
        <v>46129</v>
      </c>
      <c r="C1195" s="245" t="s">
        <v>261</v>
      </c>
      <c r="D1195" s="246" t="s">
        <v>1423</v>
      </c>
      <c r="E1195" s="247">
        <v>1</v>
      </c>
      <c r="F1195" s="247"/>
      <c r="G1195" s="248"/>
      <c r="H1195" s="247"/>
      <c r="I1195" s="244" t="s">
        <v>743</v>
      </c>
      <c r="J1195" s="249" t="s">
        <v>21</v>
      </c>
      <c r="K1195" s="249" t="s">
        <v>36</v>
      </c>
      <c r="L1195" s="250">
        <f t="shared" si="75"/>
        <v>1</v>
      </c>
      <c r="M1195" s="237">
        <f t="array" ref="M1195">INDEX('BKTT T4.26'!$N$12:$N$55,MATCH(V1195,'BKTT T4.26'!$A$12:$A$55,0),0)</f>
        <v>576331</v>
      </c>
      <c r="N1195" s="162">
        <f t="shared" si="78"/>
        <v>576331</v>
      </c>
      <c r="O1195" s="238" t="s">
        <v>264</v>
      </c>
      <c r="P1195" s="251" t="s">
        <v>1448</v>
      </c>
      <c r="R1195" s="191" t="str">
        <f t="shared" si="76"/>
        <v>Cước vận chuyển Container hàng 20' tuyến đường PAN HA - NHĐV. BKS: 15H07135</v>
      </c>
      <c r="S1195" s="191" t="str">
        <f t="shared" si="77"/>
        <v xml:space="preserve"> hàng 20' </v>
      </c>
      <c r="V1195" s="191">
        <v>11</v>
      </c>
    </row>
    <row r="1196" spans="1:22" s="191" customFormat="1" ht="15">
      <c r="A1196" s="236">
        <v>1185</v>
      </c>
      <c r="B1196" s="244">
        <v>46129</v>
      </c>
      <c r="C1196" s="245" t="s">
        <v>261</v>
      </c>
      <c r="D1196" s="246" t="s">
        <v>951</v>
      </c>
      <c r="E1196" s="247">
        <v>1</v>
      </c>
      <c r="F1196" s="247"/>
      <c r="G1196" s="248"/>
      <c r="H1196" s="247"/>
      <c r="I1196" s="244" t="s">
        <v>743</v>
      </c>
      <c r="J1196" s="249" t="s">
        <v>21</v>
      </c>
      <c r="K1196" s="249" t="s">
        <v>36</v>
      </c>
      <c r="L1196" s="250">
        <f t="shared" si="75"/>
        <v>1</v>
      </c>
      <c r="M1196" s="237">
        <f t="array" ref="M1196">INDEX('BKTT T4.26'!$N$12:$N$55,MATCH(V1196,'BKTT T4.26'!$A$12:$A$55,0),0)</f>
        <v>576331</v>
      </c>
      <c r="N1196" s="162">
        <f t="shared" si="78"/>
        <v>576331</v>
      </c>
      <c r="O1196" s="238" t="s">
        <v>264</v>
      </c>
      <c r="P1196" s="251" t="s">
        <v>1448</v>
      </c>
      <c r="R1196" s="191" t="str">
        <f t="shared" si="76"/>
        <v>Cước vận chuyển Container hàng 20' tuyến đường PAN HA - NHĐV. BKS: 15H07135</v>
      </c>
      <c r="S1196" s="191" t="str">
        <f t="shared" si="77"/>
        <v xml:space="preserve"> hàng 20' </v>
      </c>
      <c r="V1196" s="191">
        <v>11</v>
      </c>
    </row>
    <row r="1197" spans="1:22" s="191" customFormat="1" ht="15">
      <c r="A1197" s="236">
        <v>1186</v>
      </c>
      <c r="B1197" s="244">
        <v>46129</v>
      </c>
      <c r="C1197" s="245" t="s">
        <v>261</v>
      </c>
      <c r="D1197" s="246" t="s">
        <v>1424</v>
      </c>
      <c r="E1197" s="247"/>
      <c r="F1197" s="247">
        <v>1</v>
      </c>
      <c r="G1197" s="248"/>
      <c r="H1197" s="247"/>
      <c r="I1197" s="244" t="s">
        <v>743</v>
      </c>
      <c r="J1197" s="249" t="s">
        <v>21</v>
      </c>
      <c r="K1197" s="249" t="s">
        <v>37</v>
      </c>
      <c r="L1197" s="250">
        <f t="shared" si="75"/>
        <v>1</v>
      </c>
      <c r="M1197" s="237">
        <f t="array" ref="M1197">INDEX('BKTT T4.26'!$N$12:$N$55,MATCH(V1197,'BKTT T4.26'!$A$12:$A$55,0),0)</f>
        <v>602510</v>
      </c>
      <c r="N1197" s="162">
        <f t="shared" si="78"/>
        <v>602510</v>
      </c>
      <c r="O1197" s="238" t="s">
        <v>264</v>
      </c>
      <c r="P1197" s="251" t="s">
        <v>1448</v>
      </c>
      <c r="R1197" s="191" t="str">
        <f t="shared" si="76"/>
        <v>Cước vận chuyển Container hàng 40' tuyến đường PAN HA - NHĐV,. BKS: 15H07135</v>
      </c>
      <c r="S1197" s="191" t="str">
        <f t="shared" si="77"/>
        <v xml:space="preserve"> hàng 40' </v>
      </c>
      <c r="V1197" s="191">
        <v>12</v>
      </c>
    </row>
    <row r="1198" spans="1:22" s="191" customFormat="1" ht="15">
      <c r="A1198" s="236">
        <v>1187</v>
      </c>
      <c r="B1198" s="244">
        <v>46130</v>
      </c>
      <c r="C1198" s="245" t="s">
        <v>261</v>
      </c>
      <c r="D1198" s="246" t="s">
        <v>1425</v>
      </c>
      <c r="E1198" s="247">
        <v>1</v>
      </c>
      <c r="F1198" s="247"/>
      <c r="G1198" s="248"/>
      <c r="H1198" s="247"/>
      <c r="I1198" s="244" t="s">
        <v>743</v>
      </c>
      <c r="J1198" s="249" t="s">
        <v>21</v>
      </c>
      <c r="K1198" s="249" t="s">
        <v>22</v>
      </c>
      <c r="L1198" s="250">
        <f t="shared" si="75"/>
        <v>1</v>
      </c>
      <c r="M1198" s="237">
        <f t="array" ref="M1198">INDEX('BKTT T4.26'!$N$12:$N$55,MATCH(V1198,'BKTT T4.26'!$A$12:$A$55,0),0)</f>
        <v>654871</v>
      </c>
      <c r="N1198" s="162">
        <f t="shared" si="78"/>
        <v>654871</v>
      </c>
      <c r="O1198" s="238" t="s">
        <v>264</v>
      </c>
      <c r="P1198" s="251" t="s">
        <v>1448</v>
      </c>
      <c r="R1198" s="191" t="str">
        <f t="shared" si="76"/>
        <v>Cước vận chuyển Container hàng 20' tuyến đường PAN HA - HẢI AN. BKS: 15H07135</v>
      </c>
      <c r="S1198" s="191" t="str">
        <f t="shared" si="77"/>
        <v xml:space="preserve"> hàng 20' </v>
      </c>
      <c r="V1198" s="191">
        <v>1</v>
      </c>
    </row>
    <row r="1199" spans="1:22" s="191" customFormat="1" ht="15">
      <c r="A1199" s="236">
        <v>1188</v>
      </c>
      <c r="B1199" s="244">
        <v>46130</v>
      </c>
      <c r="C1199" s="245" t="s">
        <v>261</v>
      </c>
      <c r="D1199" s="246" t="s">
        <v>1426</v>
      </c>
      <c r="E1199" s="247">
        <v>1</v>
      </c>
      <c r="F1199" s="247"/>
      <c r="G1199" s="248"/>
      <c r="H1199" s="247"/>
      <c r="I1199" s="244" t="s">
        <v>743</v>
      </c>
      <c r="J1199" s="249" t="s">
        <v>21</v>
      </c>
      <c r="K1199" s="249" t="s">
        <v>22</v>
      </c>
      <c r="L1199" s="250">
        <f t="shared" si="75"/>
        <v>1</v>
      </c>
      <c r="M1199" s="237">
        <f t="array" ref="M1199">INDEX('BKTT T4.26'!$N$12:$N$55,MATCH(V1199,'BKTT T4.26'!$A$12:$A$55,0),0)</f>
        <v>654871</v>
      </c>
      <c r="N1199" s="162">
        <f t="shared" si="78"/>
        <v>654871</v>
      </c>
      <c r="O1199" s="238" t="s">
        <v>264</v>
      </c>
      <c r="P1199" s="251" t="s">
        <v>1448</v>
      </c>
      <c r="R1199" s="191" t="str">
        <f t="shared" si="76"/>
        <v>Cước vận chuyển Container hàng 20' tuyến đường PAN HA - HẢI AN. BKS: 15H07135</v>
      </c>
      <c r="S1199" s="191" t="str">
        <f t="shared" si="77"/>
        <v xml:space="preserve"> hàng 20' </v>
      </c>
      <c r="V1199" s="191">
        <v>1</v>
      </c>
    </row>
    <row r="1200" spans="1:22" s="191" customFormat="1" ht="15">
      <c r="A1200" s="236">
        <v>1189</v>
      </c>
      <c r="B1200" s="244">
        <v>46130</v>
      </c>
      <c r="C1200" s="245" t="s">
        <v>261</v>
      </c>
      <c r="D1200" s="246" t="s">
        <v>1427</v>
      </c>
      <c r="E1200" s="247">
        <v>1</v>
      </c>
      <c r="F1200" s="247"/>
      <c r="G1200" s="248"/>
      <c r="H1200" s="247"/>
      <c r="I1200" s="244" t="s">
        <v>743</v>
      </c>
      <c r="J1200" s="249" t="s">
        <v>21</v>
      </c>
      <c r="K1200" s="249" t="s">
        <v>22</v>
      </c>
      <c r="L1200" s="250">
        <f t="shared" si="75"/>
        <v>1</v>
      </c>
      <c r="M1200" s="237">
        <f t="array" ref="M1200">INDEX('BKTT T4.26'!$N$12:$N$55,MATCH(V1200,'BKTT T4.26'!$A$12:$A$55,0),0)</f>
        <v>654871</v>
      </c>
      <c r="N1200" s="162">
        <f t="shared" si="78"/>
        <v>654871</v>
      </c>
      <c r="O1200" s="238" t="s">
        <v>264</v>
      </c>
      <c r="P1200" s="251" t="s">
        <v>1448</v>
      </c>
      <c r="R1200" s="191" t="str">
        <f t="shared" si="76"/>
        <v>Cước vận chuyển Container hàng 20' tuyến đường PAN HA - HẢI AN. BKS: 15H07135</v>
      </c>
      <c r="S1200" s="191" t="str">
        <f t="shared" si="77"/>
        <v xml:space="preserve"> hàng 20' </v>
      </c>
      <c r="V1200" s="191">
        <v>1</v>
      </c>
    </row>
    <row r="1201" spans="1:22" s="191" customFormat="1" ht="15">
      <c r="A1201" s="236">
        <v>1190</v>
      </c>
      <c r="B1201" s="244">
        <v>46130</v>
      </c>
      <c r="C1201" s="245" t="s">
        <v>261</v>
      </c>
      <c r="D1201" s="246" t="s">
        <v>579</v>
      </c>
      <c r="E1201" s="247">
        <v>1</v>
      </c>
      <c r="F1201" s="247"/>
      <c r="G1201" s="248"/>
      <c r="H1201" s="247"/>
      <c r="I1201" s="244" t="s">
        <v>743</v>
      </c>
      <c r="J1201" s="249" t="s">
        <v>21</v>
      </c>
      <c r="K1201" s="249" t="s">
        <v>22</v>
      </c>
      <c r="L1201" s="250">
        <f t="shared" si="75"/>
        <v>1</v>
      </c>
      <c r="M1201" s="237">
        <f t="array" ref="M1201">INDEX('BKTT T4.26'!$N$12:$N$55,MATCH(V1201,'BKTT T4.26'!$A$12:$A$55,0),0)</f>
        <v>654871</v>
      </c>
      <c r="N1201" s="162">
        <f t="shared" si="78"/>
        <v>654871</v>
      </c>
      <c r="O1201" s="238" t="s">
        <v>264</v>
      </c>
      <c r="P1201" s="251" t="s">
        <v>1448</v>
      </c>
      <c r="R1201" s="191" t="str">
        <f t="shared" si="76"/>
        <v>Cước vận chuyển Container hàng 20' tuyến đường PAN HA - HẢI AN. BKS: 15H07135</v>
      </c>
      <c r="S1201" s="191" t="str">
        <f t="shared" si="77"/>
        <v xml:space="preserve"> hàng 20' </v>
      </c>
      <c r="V1201" s="191">
        <v>1</v>
      </c>
    </row>
    <row r="1202" spans="1:22" s="191" customFormat="1" ht="15">
      <c r="A1202" s="236">
        <v>1191</v>
      </c>
      <c r="B1202" s="244">
        <v>46130</v>
      </c>
      <c r="C1202" s="245" t="s">
        <v>261</v>
      </c>
      <c r="D1202" s="246" t="s">
        <v>1428</v>
      </c>
      <c r="E1202" s="247">
        <v>1</v>
      </c>
      <c r="F1202" s="247"/>
      <c r="G1202" s="248"/>
      <c r="H1202" s="247"/>
      <c r="I1202" s="244" t="s">
        <v>743</v>
      </c>
      <c r="J1202" s="249" t="s">
        <v>21</v>
      </c>
      <c r="K1202" s="249" t="s">
        <v>22</v>
      </c>
      <c r="L1202" s="250">
        <f t="shared" si="75"/>
        <v>1</v>
      </c>
      <c r="M1202" s="237">
        <f t="array" ref="M1202">INDEX('BKTT T4.26'!$N$12:$N$55,MATCH(V1202,'BKTT T4.26'!$A$12:$A$55,0),0)</f>
        <v>654871</v>
      </c>
      <c r="N1202" s="162">
        <f t="shared" si="78"/>
        <v>654871</v>
      </c>
      <c r="O1202" s="238" t="s">
        <v>264</v>
      </c>
      <c r="P1202" s="251" t="s">
        <v>1448</v>
      </c>
      <c r="R1202" s="191" t="str">
        <f t="shared" si="76"/>
        <v>Cước vận chuyển Container hàng 20' tuyến đường PAN HA - HẢI AN. BKS: 15H07135</v>
      </c>
      <c r="S1202" s="191" t="str">
        <f t="shared" si="77"/>
        <v xml:space="preserve"> hàng 20' </v>
      </c>
      <c r="V1202" s="191">
        <v>1</v>
      </c>
    </row>
    <row r="1203" spans="1:22" s="191" customFormat="1" ht="15">
      <c r="A1203" s="236">
        <v>1192</v>
      </c>
      <c r="B1203" s="244">
        <v>46130</v>
      </c>
      <c r="C1203" s="245" t="s">
        <v>261</v>
      </c>
      <c r="D1203" s="246" t="s">
        <v>1429</v>
      </c>
      <c r="E1203" s="247">
        <v>1</v>
      </c>
      <c r="F1203" s="247"/>
      <c r="G1203" s="248"/>
      <c r="H1203" s="247"/>
      <c r="I1203" s="244" t="s">
        <v>743</v>
      </c>
      <c r="J1203" s="249" t="s">
        <v>21</v>
      </c>
      <c r="K1203" s="249" t="s">
        <v>22</v>
      </c>
      <c r="L1203" s="250">
        <f t="shared" si="75"/>
        <v>1</v>
      </c>
      <c r="M1203" s="237">
        <f t="array" ref="M1203">INDEX('BKTT T4.26'!$N$12:$N$55,MATCH(V1203,'BKTT T4.26'!$A$12:$A$55,0),0)</f>
        <v>654871</v>
      </c>
      <c r="N1203" s="162">
        <f t="shared" si="78"/>
        <v>654871</v>
      </c>
      <c r="O1203" s="238" t="s">
        <v>264</v>
      </c>
      <c r="P1203" s="251" t="s">
        <v>1448</v>
      </c>
      <c r="R1203" s="191" t="str">
        <f t="shared" si="76"/>
        <v>Cước vận chuyển Container hàng 20' tuyến đường PAN HA - HẢI AN. BKS: 15H07135</v>
      </c>
      <c r="S1203" s="191" t="str">
        <f t="shared" si="77"/>
        <v xml:space="preserve"> hàng 20' </v>
      </c>
      <c r="V1203" s="191">
        <v>1</v>
      </c>
    </row>
    <row r="1204" spans="1:22" s="191" customFormat="1" ht="15">
      <c r="A1204" s="236">
        <v>1193</v>
      </c>
      <c r="B1204" s="244">
        <v>46130</v>
      </c>
      <c r="C1204" s="245" t="s">
        <v>261</v>
      </c>
      <c r="D1204" s="246" t="s">
        <v>1430</v>
      </c>
      <c r="E1204" s="247"/>
      <c r="F1204" s="247">
        <v>1</v>
      </c>
      <c r="G1204" s="248"/>
      <c r="H1204" s="247"/>
      <c r="I1204" s="244" t="s">
        <v>743</v>
      </c>
      <c r="J1204" s="249" t="s">
        <v>21</v>
      </c>
      <c r="K1204" s="249" t="s">
        <v>25</v>
      </c>
      <c r="L1204" s="250">
        <f t="shared" si="75"/>
        <v>1</v>
      </c>
      <c r="M1204" s="237">
        <f t="array" ref="M1204">INDEX('BKTT T4.26'!$N$12:$N$55,MATCH(V1204,'BKTT T4.26'!$A$12:$A$55,0),0)</f>
        <v>681050</v>
      </c>
      <c r="N1204" s="162">
        <f t="shared" si="78"/>
        <v>681050</v>
      </c>
      <c r="O1204" s="238" t="s">
        <v>264</v>
      </c>
      <c r="P1204" s="251" t="s">
        <v>1448</v>
      </c>
      <c r="R1204" s="191" t="str">
        <f t="shared" si="76"/>
        <v>Cước vận chuyển Container hàng 40' tuyến đường PAN HA - HẢI AN,. BKS: 15H07135</v>
      </c>
      <c r="S1204" s="191" t="str">
        <f t="shared" si="77"/>
        <v xml:space="preserve"> hàng 40' </v>
      </c>
      <c r="V1204" s="191">
        <v>2</v>
      </c>
    </row>
    <row r="1205" spans="1:22" s="191" customFormat="1" ht="15">
      <c r="A1205" s="236">
        <v>1194</v>
      </c>
      <c r="B1205" s="244">
        <v>46130</v>
      </c>
      <c r="C1205" s="245" t="s">
        <v>261</v>
      </c>
      <c r="D1205" s="246" t="s">
        <v>1431</v>
      </c>
      <c r="E1205" s="247"/>
      <c r="F1205" s="247">
        <v>1</v>
      </c>
      <c r="G1205" s="248"/>
      <c r="H1205" s="247"/>
      <c r="I1205" s="244" t="s">
        <v>743</v>
      </c>
      <c r="J1205" s="249" t="s">
        <v>21</v>
      </c>
      <c r="K1205" s="249" t="s">
        <v>25</v>
      </c>
      <c r="L1205" s="250">
        <f t="shared" si="75"/>
        <v>1</v>
      </c>
      <c r="M1205" s="237">
        <f t="array" ref="M1205">INDEX('BKTT T4.26'!$N$12:$N$55,MATCH(V1205,'BKTT T4.26'!$A$12:$A$55,0),0)</f>
        <v>681050</v>
      </c>
      <c r="N1205" s="162">
        <f t="shared" si="78"/>
        <v>681050</v>
      </c>
      <c r="O1205" s="238" t="s">
        <v>264</v>
      </c>
      <c r="P1205" s="251" t="s">
        <v>1448</v>
      </c>
      <c r="R1205" s="191" t="str">
        <f t="shared" si="76"/>
        <v>Cước vận chuyển Container hàng 40' tuyến đường PAN HA - HẢI AN,. BKS: 15H07135</v>
      </c>
      <c r="S1205" s="191" t="str">
        <f t="shared" si="77"/>
        <v xml:space="preserve"> hàng 40' </v>
      </c>
      <c r="V1205" s="191">
        <v>2</v>
      </c>
    </row>
    <row r="1206" spans="1:22" s="191" customFormat="1" ht="15">
      <c r="A1206" s="236">
        <v>1195</v>
      </c>
      <c r="B1206" s="244">
        <v>46133</v>
      </c>
      <c r="C1206" s="245" t="s">
        <v>261</v>
      </c>
      <c r="D1206" s="246" t="s">
        <v>1432</v>
      </c>
      <c r="E1206" s="247">
        <v>1</v>
      </c>
      <c r="F1206" s="247"/>
      <c r="G1206" s="248"/>
      <c r="H1206" s="247"/>
      <c r="I1206" s="249" t="s">
        <v>1492</v>
      </c>
      <c r="J1206" s="249" t="s">
        <v>21</v>
      </c>
      <c r="K1206" s="249" t="s">
        <v>31</v>
      </c>
      <c r="L1206" s="250">
        <f t="shared" si="75"/>
        <v>1</v>
      </c>
      <c r="M1206" s="237">
        <f t="array" ref="M1206">INDEX('BKTT T4.26'!$N$12:$N$55,MATCH(V1206,'BKTT T4.26'!$A$12:$A$55,0),0)</f>
        <v>454158</v>
      </c>
      <c r="N1206" s="162">
        <f t="shared" si="78"/>
        <v>454158</v>
      </c>
      <c r="O1206" s="238" t="s">
        <v>264</v>
      </c>
      <c r="P1206" s="251" t="s">
        <v>1448</v>
      </c>
      <c r="R1206" s="191" t="str">
        <f t="shared" si="76"/>
        <v>Cước vận chuyển Container hàng 20' tuyến đường PAN HA - NDV. BKS: 15C21728</v>
      </c>
      <c r="S1206" s="191" t="str">
        <f t="shared" si="77"/>
        <v xml:space="preserve"> hàng 20' </v>
      </c>
      <c r="V1206" s="191">
        <v>7</v>
      </c>
    </row>
    <row r="1207" spans="1:22" s="191" customFormat="1" ht="15">
      <c r="A1207" s="236">
        <v>1196</v>
      </c>
      <c r="B1207" s="244">
        <v>46133</v>
      </c>
      <c r="C1207" s="245" t="s">
        <v>261</v>
      </c>
      <c r="D1207" s="246" t="s">
        <v>1433</v>
      </c>
      <c r="E1207" s="247">
        <v>1</v>
      </c>
      <c r="F1207" s="247"/>
      <c r="G1207" s="248"/>
      <c r="H1207" s="247"/>
      <c r="I1207" s="249" t="s">
        <v>1492</v>
      </c>
      <c r="J1207" s="249" t="s">
        <v>21</v>
      </c>
      <c r="K1207" s="249" t="s">
        <v>31</v>
      </c>
      <c r="L1207" s="250">
        <f t="shared" si="75"/>
        <v>1</v>
      </c>
      <c r="M1207" s="237">
        <f t="array" ref="M1207">INDEX('BKTT T4.26'!$N$12:$N$55,MATCH(V1207,'BKTT T4.26'!$A$12:$A$55,0),0)</f>
        <v>454158</v>
      </c>
      <c r="N1207" s="162">
        <f t="shared" si="78"/>
        <v>454158</v>
      </c>
      <c r="O1207" s="238" t="s">
        <v>264</v>
      </c>
      <c r="P1207" s="251" t="s">
        <v>1448</v>
      </c>
      <c r="R1207" s="191" t="str">
        <f t="shared" si="76"/>
        <v>Cước vận chuyển Container hàng 20' tuyến đường PAN HA - NDV. BKS: 15C21728</v>
      </c>
      <c r="S1207" s="191" t="str">
        <f t="shared" si="77"/>
        <v xml:space="preserve"> hàng 20' </v>
      </c>
      <c r="V1207" s="191">
        <v>7</v>
      </c>
    </row>
    <row r="1208" spans="1:22" s="191" customFormat="1" ht="15">
      <c r="A1208" s="236">
        <v>1197</v>
      </c>
      <c r="B1208" s="244">
        <v>46133</v>
      </c>
      <c r="C1208" s="245" t="s">
        <v>261</v>
      </c>
      <c r="D1208" s="246" t="s">
        <v>1434</v>
      </c>
      <c r="E1208" s="247">
        <v>1</v>
      </c>
      <c r="F1208" s="247"/>
      <c r="G1208" s="248"/>
      <c r="H1208" s="247"/>
      <c r="I1208" s="249" t="s">
        <v>1492</v>
      </c>
      <c r="J1208" s="249" t="s">
        <v>21</v>
      </c>
      <c r="K1208" s="249" t="s">
        <v>31</v>
      </c>
      <c r="L1208" s="250">
        <f t="shared" si="75"/>
        <v>1</v>
      </c>
      <c r="M1208" s="237">
        <f t="array" ref="M1208">INDEX('BKTT T4.26'!$N$12:$N$55,MATCH(V1208,'BKTT T4.26'!$A$12:$A$55,0),0)</f>
        <v>454158</v>
      </c>
      <c r="N1208" s="162">
        <f t="shared" si="78"/>
        <v>454158</v>
      </c>
      <c r="O1208" s="238" t="s">
        <v>264</v>
      </c>
      <c r="P1208" s="251" t="s">
        <v>1448</v>
      </c>
      <c r="R1208" s="191" t="str">
        <f t="shared" si="76"/>
        <v>Cước vận chuyển Container hàng 20' tuyến đường PAN HA - NDV. BKS: 15C21728</v>
      </c>
      <c r="S1208" s="191" t="str">
        <f t="shared" si="77"/>
        <v xml:space="preserve"> hàng 20' </v>
      </c>
      <c r="V1208" s="191">
        <v>7</v>
      </c>
    </row>
    <row r="1209" spans="1:22" s="191" customFormat="1" ht="15">
      <c r="A1209" s="236">
        <v>1198</v>
      </c>
      <c r="B1209" s="244">
        <v>46133</v>
      </c>
      <c r="C1209" s="245" t="s">
        <v>261</v>
      </c>
      <c r="D1209" s="246" t="s">
        <v>1435</v>
      </c>
      <c r="E1209" s="247">
        <v>1</v>
      </c>
      <c r="F1209" s="247"/>
      <c r="G1209" s="248"/>
      <c r="H1209" s="247"/>
      <c r="I1209" s="249" t="s">
        <v>1492</v>
      </c>
      <c r="J1209" s="249" t="s">
        <v>21</v>
      </c>
      <c r="K1209" s="249" t="s">
        <v>31</v>
      </c>
      <c r="L1209" s="250">
        <f t="shared" si="75"/>
        <v>1</v>
      </c>
      <c r="M1209" s="237">
        <f t="array" ref="M1209">INDEX('BKTT T4.26'!$N$12:$N$55,MATCH(V1209,'BKTT T4.26'!$A$12:$A$55,0),0)</f>
        <v>454158</v>
      </c>
      <c r="N1209" s="162">
        <f t="shared" si="78"/>
        <v>454158</v>
      </c>
      <c r="O1209" s="238" t="s">
        <v>264</v>
      </c>
      <c r="P1209" s="251" t="s">
        <v>1448</v>
      </c>
      <c r="R1209" s="191" t="str">
        <f t="shared" si="76"/>
        <v>Cước vận chuyển Container hàng 20' tuyến đường PAN HA - NDV. BKS: 15C21728</v>
      </c>
      <c r="S1209" s="191" t="str">
        <f t="shared" si="77"/>
        <v xml:space="preserve"> hàng 20' </v>
      </c>
      <c r="V1209" s="191">
        <v>7</v>
      </c>
    </row>
    <row r="1210" spans="1:22" s="191" customFormat="1" ht="15">
      <c r="A1210" s="236">
        <v>1199</v>
      </c>
      <c r="B1210" s="244">
        <v>46135</v>
      </c>
      <c r="C1210" s="245" t="s">
        <v>261</v>
      </c>
      <c r="D1210" s="246" t="s">
        <v>1436</v>
      </c>
      <c r="E1210" s="247">
        <v>1</v>
      </c>
      <c r="F1210" s="247"/>
      <c r="G1210" s="248"/>
      <c r="H1210" s="247"/>
      <c r="I1210" s="244" t="s">
        <v>743</v>
      </c>
      <c r="J1210" s="249" t="s">
        <v>21</v>
      </c>
      <c r="K1210" s="249" t="s">
        <v>36</v>
      </c>
      <c r="L1210" s="250">
        <f t="shared" si="75"/>
        <v>1</v>
      </c>
      <c r="M1210" s="237">
        <f t="array" ref="M1210">INDEX('BKTT T4.26'!$N$12:$N$55,MATCH(V1210,'BKTT T4.26'!$A$12:$A$55,0),0)</f>
        <v>576331</v>
      </c>
      <c r="N1210" s="162">
        <f t="shared" si="78"/>
        <v>576331</v>
      </c>
      <c r="O1210" s="238" t="s">
        <v>264</v>
      </c>
      <c r="P1210" s="251" t="s">
        <v>1448</v>
      </c>
      <c r="R1210" s="191" t="str">
        <f t="shared" si="76"/>
        <v>Cước vận chuyển Container hàng 20' tuyến đường PAN HA - NHĐV. BKS: 15H07135</v>
      </c>
      <c r="S1210" s="191" t="str">
        <f t="shared" si="77"/>
        <v xml:space="preserve"> hàng 20' </v>
      </c>
      <c r="V1210" s="191">
        <v>11</v>
      </c>
    </row>
    <row r="1211" spans="1:22" s="191" customFormat="1" ht="15">
      <c r="A1211" s="236">
        <v>1200</v>
      </c>
      <c r="B1211" s="244">
        <v>46135</v>
      </c>
      <c r="C1211" s="245" t="s">
        <v>261</v>
      </c>
      <c r="D1211" s="246" t="s">
        <v>1437</v>
      </c>
      <c r="E1211" s="247">
        <v>1</v>
      </c>
      <c r="F1211" s="247"/>
      <c r="G1211" s="248"/>
      <c r="H1211" s="247"/>
      <c r="I1211" s="244" t="s">
        <v>743</v>
      </c>
      <c r="J1211" s="249" t="s">
        <v>21</v>
      </c>
      <c r="K1211" s="249" t="s">
        <v>36</v>
      </c>
      <c r="L1211" s="250">
        <f t="shared" si="75"/>
        <v>1</v>
      </c>
      <c r="M1211" s="237">
        <f t="array" ref="M1211">INDEX('BKTT T4.26'!$N$12:$N$55,MATCH(V1211,'BKTT T4.26'!$A$12:$A$55,0),0)</f>
        <v>576331</v>
      </c>
      <c r="N1211" s="162">
        <f t="shared" si="78"/>
        <v>576331</v>
      </c>
      <c r="O1211" s="238" t="s">
        <v>264</v>
      </c>
      <c r="P1211" s="251" t="s">
        <v>1448</v>
      </c>
      <c r="R1211" s="191" t="str">
        <f t="shared" si="76"/>
        <v>Cước vận chuyển Container hàng 20' tuyến đường PAN HA - NHĐV. BKS: 15H07135</v>
      </c>
      <c r="S1211" s="191" t="str">
        <f t="shared" si="77"/>
        <v xml:space="preserve"> hàng 20' </v>
      </c>
      <c r="V1211" s="191">
        <v>11</v>
      </c>
    </row>
    <row r="1212" spans="1:22" s="191" customFormat="1" ht="15">
      <c r="A1212" s="236">
        <v>1201</v>
      </c>
      <c r="B1212" s="244">
        <v>46135</v>
      </c>
      <c r="C1212" s="245" t="s">
        <v>261</v>
      </c>
      <c r="D1212" s="246" t="s">
        <v>1438</v>
      </c>
      <c r="E1212" s="247">
        <v>1</v>
      </c>
      <c r="F1212" s="247"/>
      <c r="G1212" s="248"/>
      <c r="H1212" s="247"/>
      <c r="I1212" s="244" t="s">
        <v>743</v>
      </c>
      <c r="J1212" s="249" t="s">
        <v>21</v>
      </c>
      <c r="K1212" s="249" t="s">
        <v>36</v>
      </c>
      <c r="L1212" s="250">
        <f t="shared" si="75"/>
        <v>1</v>
      </c>
      <c r="M1212" s="237">
        <f t="array" ref="M1212">INDEX('BKTT T4.26'!$N$12:$N$55,MATCH(V1212,'BKTT T4.26'!$A$12:$A$55,0),0)</f>
        <v>576331</v>
      </c>
      <c r="N1212" s="162">
        <f t="shared" si="78"/>
        <v>576331</v>
      </c>
      <c r="O1212" s="238" t="s">
        <v>264</v>
      </c>
      <c r="P1212" s="251" t="s">
        <v>1448</v>
      </c>
      <c r="R1212" s="191" t="str">
        <f t="shared" si="76"/>
        <v>Cước vận chuyển Container hàng 20' tuyến đường PAN HA - NHĐV. BKS: 15H07135</v>
      </c>
      <c r="S1212" s="191" t="str">
        <f t="shared" si="77"/>
        <v xml:space="preserve"> hàng 20' </v>
      </c>
      <c r="V1212" s="191">
        <v>11</v>
      </c>
    </row>
    <row r="1213" spans="1:22" s="191" customFormat="1" ht="15">
      <c r="A1213" s="236">
        <v>1202</v>
      </c>
      <c r="B1213" s="244">
        <v>46135</v>
      </c>
      <c r="C1213" s="245" t="s">
        <v>261</v>
      </c>
      <c r="D1213" s="246" t="s">
        <v>1439</v>
      </c>
      <c r="E1213" s="247">
        <v>1</v>
      </c>
      <c r="F1213" s="247"/>
      <c r="G1213" s="248"/>
      <c r="H1213" s="247"/>
      <c r="I1213" s="244" t="s">
        <v>743</v>
      </c>
      <c r="J1213" s="249" t="s">
        <v>21</v>
      </c>
      <c r="K1213" s="249" t="s">
        <v>36</v>
      </c>
      <c r="L1213" s="250">
        <f t="shared" si="75"/>
        <v>1</v>
      </c>
      <c r="M1213" s="237">
        <f t="array" ref="M1213">INDEX('BKTT T4.26'!$N$12:$N$55,MATCH(V1213,'BKTT T4.26'!$A$12:$A$55,0),0)</f>
        <v>576331</v>
      </c>
      <c r="N1213" s="162">
        <f t="shared" si="78"/>
        <v>576331</v>
      </c>
      <c r="O1213" s="238" t="s">
        <v>264</v>
      </c>
      <c r="P1213" s="251" t="s">
        <v>1448</v>
      </c>
      <c r="R1213" s="191" t="str">
        <f t="shared" si="76"/>
        <v>Cước vận chuyển Container hàng 20' tuyến đường PAN HA - NHĐV. BKS: 15H07135</v>
      </c>
      <c r="S1213" s="191" t="str">
        <f t="shared" si="77"/>
        <v xml:space="preserve"> hàng 20' </v>
      </c>
      <c r="V1213" s="191">
        <v>11</v>
      </c>
    </row>
    <row r="1214" spans="1:22" s="191" customFormat="1" ht="15">
      <c r="A1214" s="236">
        <v>1203</v>
      </c>
      <c r="B1214" s="244">
        <v>46135</v>
      </c>
      <c r="C1214" s="245" t="s">
        <v>261</v>
      </c>
      <c r="D1214" s="246" t="s">
        <v>1440</v>
      </c>
      <c r="E1214" s="247">
        <v>1</v>
      </c>
      <c r="F1214" s="247"/>
      <c r="G1214" s="248"/>
      <c r="H1214" s="247"/>
      <c r="I1214" s="244" t="s">
        <v>743</v>
      </c>
      <c r="J1214" s="249" t="s">
        <v>21</v>
      </c>
      <c r="K1214" s="249" t="s">
        <v>36</v>
      </c>
      <c r="L1214" s="250">
        <f t="shared" si="75"/>
        <v>1</v>
      </c>
      <c r="M1214" s="237">
        <f t="array" ref="M1214">INDEX('BKTT T4.26'!$N$12:$N$55,MATCH(V1214,'BKTT T4.26'!$A$12:$A$55,0),0)</f>
        <v>576331</v>
      </c>
      <c r="N1214" s="162">
        <f t="shared" si="78"/>
        <v>576331</v>
      </c>
      <c r="O1214" s="238" t="s">
        <v>264</v>
      </c>
      <c r="P1214" s="251" t="s">
        <v>1448</v>
      </c>
      <c r="R1214" s="191" t="str">
        <f t="shared" si="76"/>
        <v>Cước vận chuyển Container hàng 20' tuyến đường PAN HA - NHĐV. BKS: 15H07135</v>
      </c>
      <c r="S1214" s="191" t="str">
        <f t="shared" si="77"/>
        <v xml:space="preserve"> hàng 20' </v>
      </c>
      <c r="V1214" s="191">
        <v>11</v>
      </c>
    </row>
    <row r="1215" spans="1:22" s="191" customFormat="1" ht="15">
      <c r="A1215" s="236">
        <v>1204</v>
      </c>
      <c r="B1215" s="244">
        <v>46135</v>
      </c>
      <c r="C1215" s="245" t="s">
        <v>261</v>
      </c>
      <c r="D1215" s="246" t="s">
        <v>1441</v>
      </c>
      <c r="E1215" s="247">
        <v>1</v>
      </c>
      <c r="F1215" s="247"/>
      <c r="G1215" s="248"/>
      <c r="H1215" s="247"/>
      <c r="I1215" s="244" t="s">
        <v>743</v>
      </c>
      <c r="J1215" s="249" t="s">
        <v>21</v>
      </c>
      <c r="K1215" s="249" t="s">
        <v>36</v>
      </c>
      <c r="L1215" s="250">
        <f t="shared" si="75"/>
        <v>1</v>
      </c>
      <c r="M1215" s="237">
        <f t="array" ref="M1215">INDEX('BKTT T4.26'!$N$12:$N$55,MATCH(V1215,'BKTT T4.26'!$A$12:$A$55,0),0)</f>
        <v>576331</v>
      </c>
      <c r="N1215" s="162">
        <f t="shared" si="78"/>
        <v>576331</v>
      </c>
      <c r="O1215" s="238" t="s">
        <v>264</v>
      </c>
      <c r="P1215" s="251" t="s">
        <v>1448</v>
      </c>
      <c r="R1215" s="191" t="str">
        <f t="shared" si="76"/>
        <v>Cước vận chuyển Container hàng 20' tuyến đường PAN HA - NHĐV. BKS: 15H07135</v>
      </c>
      <c r="S1215" s="191" t="str">
        <f t="shared" si="77"/>
        <v xml:space="preserve"> hàng 20' </v>
      </c>
      <c r="V1215" s="191">
        <v>11</v>
      </c>
    </row>
    <row r="1216" spans="1:22" s="191" customFormat="1" ht="15">
      <c r="A1216" s="236">
        <v>1205</v>
      </c>
      <c r="B1216" s="244">
        <v>46135</v>
      </c>
      <c r="C1216" s="245" t="s">
        <v>261</v>
      </c>
      <c r="D1216" s="246" t="s">
        <v>1442</v>
      </c>
      <c r="E1216" s="247">
        <v>1</v>
      </c>
      <c r="F1216" s="247"/>
      <c r="G1216" s="248"/>
      <c r="H1216" s="247"/>
      <c r="I1216" s="244" t="s">
        <v>743</v>
      </c>
      <c r="J1216" s="249" t="s">
        <v>21</v>
      </c>
      <c r="K1216" s="249" t="s">
        <v>36</v>
      </c>
      <c r="L1216" s="250">
        <f t="shared" si="75"/>
        <v>1</v>
      </c>
      <c r="M1216" s="237">
        <f t="array" ref="M1216">INDEX('BKTT T4.26'!$N$12:$N$55,MATCH(V1216,'BKTT T4.26'!$A$12:$A$55,0),0)</f>
        <v>576331</v>
      </c>
      <c r="N1216" s="162">
        <f t="shared" si="78"/>
        <v>576331</v>
      </c>
      <c r="O1216" s="238" t="s">
        <v>264</v>
      </c>
      <c r="P1216" s="251" t="s">
        <v>1448</v>
      </c>
      <c r="R1216" s="191" t="str">
        <f t="shared" si="76"/>
        <v>Cước vận chuyển Container hàng 20' tuyến đường PAN HA - NHĐV. BKS: 15H07135</v>
      </c>
      <c r="S1216" s="191" t="str">
        <f t="shared" si="77"/>
        <v xml:space="preserve"> hàng 20' </v>
      </c>
      <c r="V1216" s="191">
        <v>11</v>
      </c>
    </row>
    <row r="1217" spans="1:22" s="191" customFormat="1" ht="15">
      <c r="A1217" s="236">
        <v>1206</v>
      </c>
      <c r="B1217" s="244">
        <v>46135</v>
      </c>
      <c r="C1217" s="245" t="s">
        <v>261</v>
      </c>
      <c r="D1217" s="246" t="s">
        <v>1443</v>
      </c>
      <c r="E1217" s="247">
        <v>1</v>
      </c>
      <c r="F1217" s="247"/>
      <c r="G1217" s="248"/>
      <c r="H1217" s="247"/>
      <c r="I1217" s="244" t="s">
        <v>743</v>
      </c>
      <c r="J1217" s="249" t="s">
        <v>21</v>
      </c>
      <c r="K1217" s="249" t="s">
        <v>36</v>
      </c>
      <c r="L1217" s="250">
        <f t="shared" si="75"/>
        <v>1</v>
      </c>
      <c r="M1217" s="237">
        <f t="array" ref="M1217">INDEX('BKTT T4.26'!$N$12:$N$55,MATCH(V1217,'BKTT T4.26'!$A$12:$A$55,0),0)</f>
        <v>576331</v>
      </c>
      <c r="N1217" s="162">
        <f t="shared" si="78"/>
        <v>576331</v>
      </c>
      <c r="O1217" s="238" t="s">
        <v>264</v>
      </c>
      <c r="P1217" s="251" t="s">
        <v>1448</v>
      </c>
      <c r="R1217" s="191" t="str">
        <f t="shared" si="76"/>
        <v>Cước vận chuyển Container hàng 20' tuyến đường PAN HA - NHĐV. BKS: 15H07135</v>
      </c>
      <c r="S1217" s="191" t="str">
        <f t="shared" si="77"/>
        <v xml:space="preserve"> hàng 20' </v>
      </c>
      <c r="V1217" s="191">
        <v>11</v>
      </c>
    </row>
    <row r="1218" spans="1:22" s="191" customFormat="1" ht="15">
      <c r="A1218" s="236">
        <v>1207</v>
      </c>
      <c r="B1218" s="244">
        <v>46130</v>
      </c>
      <c r="C1218" s="245" t="s">
        <v>261</v>
      </c>
      <c r="D1218" s="246" t="s">
        <v>1504</v>
      </c>
      <c r="E1218" s="247"/>
      <c r="F1218" s="247"/>
      <c r="G1218" s="248"/>
      <c r="H1218" s="247">
        <v>1</v>
      </c>
      <c r="I1218" s="244" t="s">
        <v>263</v>
      </c>
      <c r="J1218" s="249" t="s">
        <v>21</v>
      </c>
      <c r="K1218" s="249" t="s">
        <v>27</v>
      </c>
      <c r="L1218" s="250">
        <f t="shared" ref="L1218" si="79">E1218+F1218+G1218+H1218</f>
        <v>1</v>
      </c>
      <c r="M1218" s="237">
        <f t="array" ref="M1218">INDEX('BKTT T4.26'!$N$12:$N$55,MATCH(V1218,'BKTT T4.26'!$A$12:$A$55,0),0)</f>
        <v>628690</v>
      </c>
      <c r="N1218" s="162">
        <f t="shared" ref="N1218" si="80">L1218*M1218</f>
        <v>628690</v>
      </c>
      <c r="O1218" s="238" t="s">
        <v>264</v>
      </c>
      <c r="P1218" s="251" t="s">
        <v>1448</v>
      </c>
      <c r="R1218" s="191" t="str">
        <f t="shared" ref="R1218" si="81">$R$10&amp;S1218&amp;$R$9&amp;J1218&amp;$S$10&amp;K1218&amp;$R$8&amp;I1218</f>
        <v>Cước vận chuyển Container vỏ tuyến đường PAN HA - HẢI AN.. BKS: 15C17442</v>
      </c>
      <c r="S1218" s="191" t="str">
        <f t="shared" ref="S1218" si="82">IF(E1218=1," hàng 20' ",IF(F1218=1," hàng 40' "," vỏ "))</f>
        <v xml:space="preserve"> vỏ </v>
      </c>
      <c r="V1218" s="191">
        <v>3</v>
      </c>
    </row>
    <row r="1219" spans="1:22" s="263" customFormat="1" ht="19.149999999999999" customHeight="1">
      <c r="A1219" s="239"/>
      <c r="B1219" s="255"/>
      <c r="C1219" s="256"/>
      <c r="D1219" s="257" t="s">
        <v>100</v>
      </c>
      <c r="E1219" s="258"/>
      <c r="F1219" s="258"/>
      <c r="G1219" s="259"/>
      <c r="H1219" s="258"/>
      <c r="I1219" s="255"/>
      <c r="J1219" s="260"/>
      <c r="K1219" s="255"/>
      <c r="L1219" s="261"/>
      <c r="M1219" s="240"/>
      <c r="N1219" s="162">
        <f>SUM(N12:N1218)</f>
        <v>764422896</v>
      </c>
      <c r="O1219" s="241"/>
      <c r="P1219" s="262"/>
    </row>
    <row r="1220" spans="1:22" s="263" customFormat="1" ht="19.149999999999999" customHeight="1">
      <c r="A1220" s="239"/>
      <c r="B1220" s="255"/>
      <c r="C1220" s="256"/>
      <c r="D1220" s="257" t="s">
        <v>101</v>
      </c>
      <c r="E1220" s="258"/>
      <c r="F1220" s="258"/>
      <c r="G1220" s="259"/>
      <c r="H1220" s="258"/>
      <c r="I1220" s="255"/>
      <c r="J1220" s="260"/>
      <c r="K1220" s="255"/>
      <c r="L1220" s="261"/>
      <c r="M1220" s="240"/>
      <c r="N1220" s="162">
        <f>N1219*8%</f>
        <v>61153831.68</v>
      </c>
      <c r="O1220" s="241"/>
      <c r="P1220" s="262"/>
    </row>
    <row r="1221" spans="1:22" s="263" customFormat="1" ht="19.149999999999999" customHeight="1">
      <c r="A1221" s="239"/>
      <c r="B1221" s="255"/>
      <c r="C1221" s="256"/>
      <c r="D1221" s="257" t="s">
        <v>102</v>
      </c>
      <c r="E1221" s="258"/>
      <c r="F1221" s="258"/>
      <c r="G1221" s="259"/>
      <c r="H1221" s="258"/>
      <c r="I1221" s="255"/>
      <c r="J1221" s="260"/>
      <c r="K1221" s="255"/>
      <c r="L1221" s="261"/>
      <c r="M1221" s="240"/>
      <c r="N1221" s="162">
        <f>SUM(N1219:N1220)</f>
        <v>825576727.67999995</v>
      </c>
      <c r="O1221" s="241"/>
      <c r="P1221" s="262"/>
    </row>
  </sheetData>
  <autoFilter ref="A11:X1221" xr:uid="{00000000-0009-0000-0000-000001000000}"/>
  <sortState xmlns:xlrd2="http://schemas.microsoft.com/office/spreadsheetml/2017/richdata2" ref="D969:D1466">
    <sortCondition sortBy="cellColor" ref="D969:D1466" dxfId="29"/>
  </sortState>
  <mergeCells count="3">
    <mergeCell ref="A5:P5"/>
    <mergeCell ref="A6:P6"/>
    <mergeCell ref="C7:H7"/>
  </mergeCells>
  <conditionalFormatting sqref="D1:D1048576">
    <cfRule type="duplicateValues" dxfId="10" priority="418"/>
  </conditionalFormatting>
  <conditionalFormatting sqref="D28">
    <cfRule type="duplicateValues" dxfId="9" priority="419"/>
    <cfRule type="duplicateValues" dxfId="8" priority="420"/>
    <cfRule type="duplicateValues" dxfId="7" priority="421"/>
    <cfRule type="duplicateValues" dxfId="6" priority="422"/>
    <cfRule type="duplicateValues" dxfId="5" priority="423"/>
    <cfRule type="duplicateValues" dxfId="4" priority="424"/>
    <cfRule type="duplicateValues" dxfId="3" priority="425"/>
  </conditionalFormatting>
  <conditionalFormatting sqref="D297">
    <cfRule type="duplicateValues" dxfId="2" priority="426"/>
    <cfRule type="duplicateValues" dxfId="1" priority="427"/>
  </conditionalFormatting>
  <conditionalFormatting sqref="D666">
    <cfRule type="duplicateValues" dxfId="0" priority="428"/>
  </conditionalFormatting>
  <pageMargins left="0.23622047244094499" right="0.23622047244094499" top="0.23622047244094499" bottom="0.511811023622047" header="0.31496062992126" footer="0.31496062992126"/>
  <pageSetup paperSize="9" scale="85" orientation="landscape" r:id="rId1"/>
  <headerFoot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135"/>
  <sheetViews>
    <sheetView topLeftCell="A91" workbookViewId="0">
      <selection activeCell="I3" sqref="I3:I135"/>
    </sheetView>
  </sheetViews>
  <sheetFormatPr defaultRowHeight="15.75"/>
  <sheetData>
    <row r="3" spans="1:12">
      <c r="A3" t="s">
        <v>56</v>
      </c>
      <c r="B3" t="s">
        <v>1483</v>
      </c>
      <c r="C3" t="s">
        <v>1498</v>
      </c>
      <c r="D3" t="s">
        <v>1493</v>
      </c>
      <c r="E3" t="s">
        <v>270</v>
      </c>
      <c r="F3" t="s">
        <v>1488</v>
      </c>
      <c r="G3" t="s">
        <v>1487</v>
      </c>
      <c r="H3" t="str">
        <f>F3&amp;G3</f>
        <v>40HCE</v>
      </c>
      <c r="I3" t="str">
        <f>A3</f>
        <v>HATECO</v>
      </c>
      <c r="J3" t="s">
        <v>269</v>
      </c>
      <c r="K3" t="s">
        <v>1486</v>
      </c>
    </row>
    <row r="4" spans="1:12">
      <c r="A4" t="s">
        <v>56</v>
      </c>
      <c r="B4" t="s">
        <v>1483</v>
      </c>
      <c r="C4" t="s">
        <v>1498</v>
      </c>
      <c r="D4" t="s">
        <v>1493</v>
      </c>
      <c r="E4" t="s">
        <v>403</v>
      </c>
      <c r="F4" t="s">
        <v>1488</v>
      </c>
      <c r="G4" t="s">
        <v>1487</v>
      </c>
      <c r="H4" t="str">
        <f t="shared" ref="H4:H67" si="0">F4&amp;G4</f>
        <v>40HCE</v>
      </c>
      <c r="I4" t="str">
        <f t="shared" ref="I4:I67" si="1">A4</f>
        <v>HATECO</v>
      </c>
      <c r="J4" t="s">
        <v>399</v>
      </c>
      <c r="K4" t="s">
        <v>1486</v>
      </c>
    </row>
    <row r="5" spans="1:12">
      <c r="A5" t="s">
        <v>56</v>
      </c>
      <c r="B5" t="s">
        <v>1483</v>
      </c>
      <c r="C5" t="s">
        <v>1498</v>
      </c>
      <c r="D5" t="s">
        <v>1493</v>
      </c>
      <c r="E5" t="s">
        <v>271</v>
      </c>
      <c r="F5" t="s">
        <v>1488</v>
      </c>
      <c r="G5" t="s">
        <v>1487</v>
      </c>
      <c r="H5" t="str">
        <f t="shared" si="0"/>
        <v>40HCE</v>
      </c>
      <c r="I5" t="str">
        <f t="shared" si="1"/>
        <v>HATECO</v>
      </c>
      <c r="J5" t="s">
        <v>272</v>
      </c>
      <c r="K5" t="s">
        <v>1486</v>
      </c>
    </row>
    <row r="6" spans="1:12">
      <c r="A6" t="s">
        <v>56</v>
      </c>
      <c r="B6" t="s">
        <v>1483</v>
      </c>
      <c r="C6" t="s">
        <v>1498</v>
      </c>
      <c r="D6" t="s">
        <v>1493</v>
      </c>
      <c r="E6" t="s">
        <v>268</v>
      </c>
      <c r="F6" t="s">
        <v>1488</v>
      </c>
      <c r="G6" t="s">
        <v>1487</v>
      </c>
      <c r="H6" t="str">
        <f t="shared" si="0"/>
        <v>40HCE</v>
      </c>
      <c r="I6" t="str">
        <f t="shared" si="1"/>
        <v>HATECO</v>
      </c>
      <c r="J6" t="s">
        <v>269</v>
      </c>
      <c r="K6" t="s">
        <v>1486</v>
      </c>
    </row>
    <row r="7" spans="1:12">
      <c r="A7" t="s">
        <v>56</v>
      </c>
      <c r="B7" t="s">
        <v>1483</v>
      </c>
      <c r="C7" t="s">
        <v>1498</v>
      </c>
      <c r="D7" t="s">
        <v>1499</v>
      </c>
      <c r="E7" t="s">
        <v>336</v>
      </c>
      <c r="F7" t="s">
        <v>1485</v>
      </c>
      <c r="G7" t="s">
        <v>1487</v>
      </c>
      <c r="H7" t="str">
        <f t="shared" si="0"/>
        <v>20GPE</v>
      </c>
      <c r="I7" t="str">
        <f t="shared" si="1"/>
        <v>HATECO</v>
      </c>
      <c r="J7" t="s">
        <v>335</v>
      </c>
      <c r="K7" t="s">
        <v>1486</v>
      </c>
      <c r="L7" t="s">
        <v>1500</v>
      </c>
    </row>
    <row r="8" spans="1:12">
      <c r="A8" t="s">
        <v>56</v>
      </c>
      <c r="B8" t="s">
        <v>1483</v>
      </c>
      <c r="C8" t="s">
        <v>1498</v>
      </c>
      <c r="D8" t="s">
        <v>1499</v>
      </c>
      <c r="E8" t="s">
        <v>334</v>
      </c>
      <c r="F8" t="s">
        <v>1485</v>
      </c>
      <c r="G8" t="s">
        <v>1487</v>
      </c>
      <c r="H8" t="str">
        <f t="shared" si="0"/>
        <v>20GPE</v>
      </c>
      <c r="I8" t="str">
        <f t="shared" si="1"/>
        <v>HATECO</v>
      </c>
      <c r="J8" t="s">
        <v>335</v>
      </c>
      <c r="K8" t="s">
        <v>1486</v>
      </c>
      <c r="L8" t="s">
        <v>1500</v>
      </c>
    </row>
    <row r="9" spans="1:12">
      <c r="A9" t="s">
        <v>56</v>
      </c>
      <c r="B9" t="s">
        <v>1483</v>
      </c>
      <c r="C9" t="s">
        <v>1498</v>
      </c>
      <c r="D9" t="s">
        <v>1499</v>
      </c>
      <c r="E9" t="s">
        <v>338</v>
      </c>
      <c r="F9" t="s">
        <v>1485</v>
      </c>
      <c r="G9" t="s">
        <v>1487</v>
      </c>
      <c r="H9" t="str">
        <f t="shared" si="0"/>
        <v>20GPE</v>
      </c>
      <c r="I9" t="str">
        <f t="shared" si="1"/>
        <v>HATECO</v>
      </c>
      <c r="J9" t="s">
        <v>335</v>
      </c>
      <c r="K9" t="s">
        <v>1486</v>
      </c>
      <c r="L9" t="s">
        <v>1500</v>
      </c>
    </row>
    <row r="10" spans="1:12">
      <c r="A10" t="s">
        <v>56</v>
      </c>
      <c r="B10" t="s">
        <v>1483</v>
      </c>
      <c r="C10" t="s">
        <v>1498</v>
      </c>
      <c r="D10" t="s">
        <v>1499</v>
      </c>
      <c r="E10" t="s">
        <v>337</v>
      </c>
      <c r="F10" t="s">
        <v>1485</v>
      </c>
      <c r="G10" t="s">
        <v>1487</v>
      </c>
      <c r="H10" t="str">
        <f t="shared" si="0"/>
        <v>20GPE</v>
      </c>
      <c r="I10" t="str">
        <f t="shared" si="1"/>
        <v>HATECO</v>
      </c>
      <c r="J10" t="s">
        <v>335</v>
      </c>
      <c r="K10" t="s">
        <v>1486</v>
      </c>
      <c r="L10" t="s">
        <v>1500</v>
      </c>
    </row>
    <row r="11" spans="1:12">
      <c r="A11" t="s">
        <v>56</v>
      </c>
      <c r="B11" t="s">
        <v>1483</v>
      </c>
      <c r="C11" t="s">
        <v>1498</v>
      </c>
      <c r="D11" t="s">
        <v>1499</v>
      </c>
      <c r="E11" t="s">
        <v>1262</v>
      </c>
      <c r="F11" t="s">
        <v>1488</v>
      </c>
      <c r="G11" t="s">
        <v>1487</v>
      </c>
      <c r="H11" t="str">
        <f t="shared" si="0"/>
        <v>40HCE</v>
      </c>
      <c r="I11" t="str">
        <f t="shared" si="1"/>
        <v>HATECO</v>
      </c>
      <c r="J11" t="s">
        <v>282</v>
      </c>
      <c r="K11" t="s">
        <v>1486</v>
      </c>
      <c r="L11" t="s">
        <v>1500</v>
      </c>
    </row>
    <row r="12" spans="1:12">
      <c r="A12" t="s">
        <v>56</v>
      </c>
      <c r="B12" t="s">
        <v>1483</v>
      </c>
      <c r="C12" t="s">
        <v>1498</v>
      </c>
      <c r="D12" t="s">
        <v>1499</v>
      </c>
      <c r="E12" t="s">
        <v>796</v>
      </c>
      <c r="F12" t="s">
        <v>1488</v>
      </c>
      <c r="G12" t="s">
        <v>1487</v>
      </c>
      <c r="H12" t="str">
        <f t="shared" si="0"/>
        <v>40HCE</v>
      </c>
      <c r="I12" t="str">
        <f t="shared" si="1"/>
        <v>HATECO</v>
      </c>
      <c r="J12" t="s">
        <v>797</v>
      </c>
      <c r="K12" t="s">
        <v>1486</v>
      </c>
      <c r="L12" t="s">
        <v>1500</v>
      </c>
    </row>
    <row r="13" spans="1:12">
      <c r="A13" t="s">
        <v>56</v>
      </c>
      <c r="B13" t="s">
        <v>1483</v>
      </c>
      <c r="C13" t="s">
        <v>1498</v>
      </c>
      <c r="D13" t="s">
        <v>1499</v>
      </c>
      <c r="E13" t="s">
        <v>1263</v>
      </c>
      <c r="F13" t="s">
        <v>1488</v>
      </c>
      <c r="G13" t="s">
        <v>1487</v>
      </c>
      <c r="H13" t="str">
        <f t="shared" si="0"/>
        <v>40HCE</v>
      </c>
      <c r="I13" t="str">
        <f t="shared" si="1"/>
        <v>HATECO</v>
      </c>
      <c r="J13" t="s">
        <v>282</v>
      </c>
      <c r="K13" t="s">
        <v>1486</v>
      </c>
      <c r="L13" t="s">
        <v>1500</v>
      </c>
    </row>
    <row r="14" spans="1:12">
      <c r="A14" t="s">
        <v>56</v>
      </c>
      <c r="B14" t="s">
        <v>1483</v>
      </c>
      <c r="C14" t="s">
        <v>1498</v>
      </c>
      <c r="D14" t="s">
        <v>1499</v>
      </c>
      <c r="E14" t="s">
        <v>798</v>
      </c>
      <c r="F14" t="s">
        <v>1488</v>
      </c>
      <c r="G14" t="s">
        <v>1487</v>
      </c>
      <c r="H14" t="str">
        <f t="shared" si="0"/>
        <v>40HCE</v>
      </c>
      <c r="I14" t="str">
        <f t="shared" si="1"/>
        <v>HATECO</v>
      </c>
      <c r="J14" t="s">
        <v>797</v>
      </c>
      <c r="K14" t="s">
        <v>1486</v>
      </c>
      <c r="L14" t="s">
        <v>1500</v>
      </c>
    </row>
    <row r="15" spans="1:12">
      <c r="A15" t="s">
        <v>56</v>
      </c>
      <c r="B15" t="s">
        <v>1483</v>
      </c>
      <c r="C15" t="s">
        <v>1498</v>
      </c>
      <c r="D15" t="s">
        <v>1499</v>
      </c>
      <c r="E15" t="s">
        <v>799</v>
      </c>
      <c r="F15" t="s">
        <v>1488</v>
      </c>
      <c r="G15" t="s">
        <v>1487</v>
      </c>
      <c r="H15" t="str">
        <f t="shared" si="0"/>
        <v>40HCE</v>
      </c>
      <c r="I15" t="str">
        <f t="shared" si="1"/>
        <v>HATECO</v>
      </c>
      <c r="J15" t="s">
        <v>797</v>
      </c>
      <c r="K15" t="s">
        <v>1486</v>
      </c>
      <c r="L15" t="s">
        <v>1500</v>
      </c>
    </row>
    <row r="16" spans="1:12">
      <c r="A16" t="s">
        <v>56</v>
      </c>
      <c r="B16" t="s">
        <v>1483</v>
      </c>
      <c r="C16" t="s">
        <v>1498</v>
      </c>
      <c r="D16" t="s">
        <v>1499</v>
      </c>
      <c r="E16" t="s">
        <v>800</v>
      </c>
      <c r="F16" t="s">
        <v>1488</v>
      </c>
      <c r="G16" t="s">
        <v>1487</v>
      </c>
      <c r="H16" t="str">
        <f t="shared" si="0"/>
        <v>40HCE</v>
      </c>
      <c r="I16" t="str">
        <f t="shared" si="1"/>
        <v>HATECO</v>
      </c>
      <c r="J16" t="s">
        <v>797</v>
      </c>
      <c r="K16" t="s">
        <v>1486</v>
      </c>
      <c r="L16" t="s">
        <v>1500</v>
      </c>
    </row>
    <row r="17" spans="1:12">
      <c r="A17" t="s">
        <v>56</v>
      </c>
      <c r="B17" t="s">
        <v>1483</v>
      </c>
      <c r="C17" t="s">
        <v>1498</v>
      </c>
      <c r="D17" t="s">
        <v>1499</v>
      </c>
      <c r="E17" t="s">
        <v>266</v>
      </c>
      <c r="F17" t="s">
        <v>1488</v>
      </c>
      <c r="G17" t="s">
        <v>1487</v>
      </c>
      <c r="H17" t="str">
        <f t="shared" si="0"/>
        <v>40HCE</v>
      </c>
      <c r="I17" t="str">
        <f t="shared" si="1"/>
        <v>HATECO</v>
      </c>
      <c r="J17" t="s">
        <v>263</v>
      </c>
      <c r="K17" t="s">
        <v>1486</v>
      </c>
      <c r="L17" t="s">
        <v>1500</v>
      </c>
    </row>
    <row r="18" spans="1:12">
      <c r="A18" t="s">
        <v>56</v>
      </c>
      <c r="B18" t="s">
        <v>1483</v>
      </c>
      <c r="C18" t="s">
        <v>1498</v>
      </c>
      <c r="D18" t="s">
        <v>1499</v>
      </c>
      <c r="E18" t="s">
        <v>1446</v>
      </c>
      <c r="F18" t="s">
        <v>1488</v>
      </c>
      <c r="G18" t="s">
        <v>1487</v>
      </c>
      <c r="H18" t="str">
        <f t="shared" si="0"/>
        <v>40HCE</v>
      </c>
      <c r="I18" t="str">
        <f t="shared" si="1"/>
        <v>HATECO</v>
      </c>
      <c r="J18" t="s">
        <v>399</v>
      </c>
      <c r="K18" t="s">
        <v>1486</v>
      </c>
      <c r="L18" t="s">
        <v>1500</v>
      </c>
    </row>
    <row r="19" spans="1:12">
      <c r="A19" t="s">
        <v>56</v>
      </c>
      <c r="B19" t="s">
        <v>1483</v>
      </c>
      <c r="C19" t="s">
        <v>1498</v>
      </c>
      <c r="D19" t="s">
        <v>1493</v>
      </c>
      <c r="E19" t="s">
        <v>325</v>
      </c>
      <c r="F19" t="s">
        <v>1501</v>
      </c>
      <c r="G19" t="s">
        <v>1487</v>
      </c>
      <c r="H19" t="str">
        <f t="shared" si="0"/>
        <v>45HCE</v>
      </c>
      <c r="I19" t="str">
        <f t="shared" si="1"/>
        <v>HATECO</v>
      </c>
      <c r="J19" t="s">
        <v>274</v>
      </c>
      <c r="K19" t="s">
        <v>1486</v>
      </c>
    </row>
    <row r="20" spans="1:12">
      <c r="A20" t="s">
        <v>56</v>
      </c>
      <c r="B20" t="s">
        <v>1483</v>
      </c>
      <c r="C20" t="s">
        <v>1498</v>
      </c>
      <c r="D20" t="s">
        <v>1493</v>
      </c>
      <c r="E20" t="s">
        <v>419</v>
      </c>
      <c r="F20" t="s">
        <v>1501</v>
      </c>
      <c r="G20" t="s">
        <v>1487</v>
      </c>
      <c r="H20" t="str">
        <f t="shared" si="0"/>
        <v>45HCE</v>
      </c>
      <c r="I20" t="str">
        <f t="shared" si="1"/>
        <v>HATECO</v>
      </c>
      <c r="J20" t="s">
        <v>272</v>
      </c>
      <c r="K20" t="s">
        <v>1486</v>
      </c>
    </row>
    <row r="21" spans="1:12">
      <c r="A21" t="s">
        <v>56</v>
      </c>
      <c r="B21" t="s">
        <v>1483</v>
      </c>
      <c r="C21" t="s">
        <v>1498</v>
      </c>
      <c r="D21" t="s">
        <v>1493</v>
      </c>
      <c r="E21" t="s">
        <v>317</v>
      </c>
      <c r="F21" t="s">
        <v>1501</v>
      </c>
      <c r="G21" t="s">
        <v>1487</v>
      </c>
      <c r="H21" t="str">
        <f t="shared" si="0"/>
        <v>45HCE</v>
      </c>
      <c r="I21" t="str">
        <f t="shared" si="1"/>
        <v>HATECO</v>
      </c>
      <c r="J21" t="s">
        <v>1489</v>
      </c>
      <c r="K21" t="s">
        <v>1486</v>
      </c>
    </row>
    <row r="22" spans="1:12">
      <c r="A22" t="s">
        <v>56</v>
      </c>
      <c r="B22" t="s">
        <v>1483</v>
      </c>
      <c r="C22" t="s">
        <v>1498</v>
      </c>
      <c r="D22" t="s">
        <v>1493</v>
      </c>
      <c r="E22" t="s">
        <v>326</v>
      </c>
      <c r="F22" t="s">
        <v>1501</v>
      </c>
      <c r="G22" t="s">
        <v>1487</v>
      </c>
      <c r="H22" t="str">
        <f t="shared" si="0"/>
        <v>45HCE</v>
      </c>
      <c r="I22" t="str">
        <f t="shared" si="1"/>
        <v>HATECO</v>
      </c>
      <c r="J22" t="s">
        <v>274</v>
      </c>
      <c r="K22" t="s">
        <v>1486</v>
      </c>
    </row>
    <row r="23" spans="1:12">
      <c r="A23" t="s">
        <v>56</v>
      </c>
      <c r="B23" t="s">
        <v>1483</v>
      </c>
      <c r="C23" t="s">
        <v>1498</v>
      </c>
      <c r="D23" t="s">
        <v>1493</v>
      </c>
      <c r="E23" t="s">
        <v>418</v>
      </c>
      <c r="F23" t="s">
        <v>1501</v>
      </c>
      <c r="G23" t="s">
        <v>1487</v>
      </c>
      <c r="H23" t="str">
        <f t="shared" si="0"/>
        <v>45HCE</v>
      </c>
      <c r="I23" t="str">
        <f t="shared" si="1"/>
        <v>HATECO</v>
      </c>
      <c r="J23" t="s">
        <v>272</v>
      </c>
      <c r="K23" t="s">
        <v>1486</v>
      </c>
    </row>
    <row r="24" spans="1:12">
      <c r="A24" t="s">
        <v>1491</v>
      </c>
      <c r="B24" t="s">
        <v>1483</v>
      </c>
      <c r="C24" t="s">
        <v>1498</v>
      </c>
      <c r="D24" t="s">
        <v>1484</v>
      </c>
      <c r="E24" t="s">
        <v>826</v>
      </c>
      <c r="F24" t="s">
        <v>1488</v>
      </c>
      <c r="G24" t="s">
        <v>1487</v>
      </c>
      <c r="H24" t="str">
        <f t="shared" si="0"/>
        <v>40HCE</v>
      </c>
      <c r="I24" t="str">
        <f t="shared" si="1"/>
        <v>NAM HẢI ĐÌNH VŨ</v>
      </c>
      <c r="J24" t="s">
        <v>269</v>
      </c>
      <c r="K24" t="s">
        <v>1486</v>
      </c>
    </row>
    <row r="25" spans="1:12">
      <c r="A25" t="s">
        <v>1491</v>
      </c>
      <c r="B25" t="s">
        <v>1483</v>
      </c>
      <c r="C25" t="s">
        <v>1498</v>
      </c>
      <c r="D25" t="s">
        <v>1484</v>
      </c>
      <c r="E25" t="s">
        <v>830</v>
      </c>
      <c r="F25" t="s">
        <v>1488</v>
      </c>
      <c r="G25" t="s">
        <v>1487</v>
      </c>
      <c r="H25" t="str">
        <f t="shared" si="0"/>
        <v>40HCE</v>
      </c>
      <c r="I25" t="str">
        <f t="shared" si="1"/>
        <v>NAM HẢI ĐÌNH VŨ</v>
      </c>
      <c r="J25" t="s">
        <v>335</v>
      </c>
      <c r="K25" t="s">
        <v>1486</v>
      </c>
    </row>
    <row r="26" spans="1:12">
      <c r="A26" t="s">
        <v>1491</v>
      </c>
      <c r="B26" t="s">
        <v>1483</v>
      </c>
      <c r="C26" t="s">
        <v>1498</v>
      </c>
      <c r="D26" t="s">
        <v>1484</v>
      </c>
      <c r="E26" t="s">
        <v>831</v>
      </c>
      <c r="F26" t="s">
        <v>1488</v>
      </c>
      <c r="G26" t="s">
        <v>1487</v>
      </c>
      <c r="H26" t="str">
        <f t="shared" si="0"/>
        <v>40HCE</v>
      </c>
      <c r="I26" t="str">
        <f t="shared" si="1"/>
        <v>NAM HẢI ĐÌNH VŨ</v>
      </c>
      <c r="J26" t="s">
        <v>369</v>
      </c>
      <c r="K26" t="s">
        <v>1486</v>
      </c>
    </row>
    <row r="27" spans="1:12">
      <c r="A27" t="s">
        <v>1491</v>
      </c>
      <c r="B27" t="s">
        <v>1483</v>
      </c>
      <c r="C27" t="s">
        <v>1498</v>
      </c>
      <c r="D27" t="s">
        <v>1484</v>
      </c>
      <c r="E27" t="s">
        <v>825</v>
      </c>
      <c r="F27" t="s">
        <v>1488</v>
      </c>
      <c r="G27" t="s">
        <v>1487</v>
      </c>
      <c r="H27" t="str">
        <f t="shared" si="0"/>
        <v>40HCE</v>
      </c>
      <c r="I27" t="str">
        <f t="shared" si="1"/>
        <v>NAM HẢI ĐÌNH VŨ</v>
      </c>
      <c r="J27" t="s">
        <v>269</v>
      </c>
      <c r="K27" t="s">
        <v>1486</v>
      </c>
    </row>
    <row r="28" spans="1:12">
      <c r="A28" t="s">
        <v>1491</v>
      </c>
      <c r="B28" t="s">
        <v>1483</v>
      </c>
      <c r="C28" t="s">
        <v>1498</v>
      </c>
      <c r="D28" t="s">
        <v>1484</v>
      </c>
      <c r="E28" t="s">
        <v>787</v>
      </c>
      <c r="F28" t="s">
        <v>1488</v>
      </c>
      <c r="G28" t="s">
        <v>1487</v>
      </c>
      <c r="H28" t="str">
        <f t="shared" si="0"/>
        <v>40HCE</v>
      </c>
      <c r="I28" t="str">
        <f t="shared" si="1"/>
        <v>NAM HẢI ĐÌNH VŨ</v>
      </c>
      <c r="J28" t="s">
        <v>282</v>
      </c>
      <c r="K28" t="s">
        <v>1486</v>
      </c>
    </row>
    <row r="29" spans="1:12">
      <c r="A29" t="s">
        <v>1491</v>
      </c>
      <c r="B29" t="s">
        <v>1483</v>
      </c>
      <c r="C29" t="s">
        <v>1498</v>
      </c>
      <c r="D29" t="s">
        <v>1484</v>
      </c>
      <c r="E29" t="s">
        <v>891</v>
      </c>
      <c r="F29" t="s">
        <v>1488</v>
      </c>
      <c r="G29" t="s">
        <v>1487</v>
      </c>
      <c r="H29" t="str">
        <f t="shared" si="0"/>
        <v>40HCE</v>
      </c>
      <c r="I29" t="str">
        <f t="shared" si="1"/>
        <v>NAM HẢI ĐÌNH VŨ</v>
      </c>
      <c r="J29" t="s">
        <v>279</v>
      </c>
      <c r="K29" t="s">
        <v>1486</v>
      </c>
    </row>
    <row r="30" spans="1:12">
      <c r="A30" t="s">
        <v>1491</v>
      </c>
      <c r="B30" t="s">
        <v>1483</v>
      </c>
      <c r="C30" t="s">
        <v>1498</v>
      </c>
      <c r="D30" t="s">
        <v>1484</v>
      </c>
      <c r="E30" t="s">
        <v>921</v>
      </c>
      <c r="F30" t="s">
        <v>1488</v>
      </c>
      <c r="G30" t="s">
        <v>1487</v>
      </c>
      <c r="H30" t="str">
        <f t="shared" si="0"/>
        <v>40HCE</v>
      </c>
      <c r="I30" t="str">
        <f t="shared" si="1"/>
        <v>NAM HẢI ĐÌNH VŨ</v>
      </c>
      <c r="J30" t="s">
        <v>472</v>
      </c>
      <c r="K30" t="s">
        <v>1486</v>
      </c>
    </row>
    <row r="31" spans="1:12">
      <c r="A31" t="s">
        <v>1491</v>
      </c>
      <c r="B31" t="s">
        <v>1483</v>
      </c>
      <c r="C31" t="s">
        <v>1498</v>
      </c>
      <c r="D31" t="s">
        <v>1484</v>
      </c>
      <c r="E31" t="s">
        <v>904</v>
      </c>
      <c r="F31" t="s">
        <v>1488</v>
      </c>
      <c r="G31" t="s">
        <v>1487</v>
      </c>
      <c r="H31" t="str">
        <f t="shared" si="0"/>
        <v>40HCE</v>
      </c>
      <c r="I31" t="str">
        <f t="shared" si="1"/>
        <v>NAM HẢI ĐÌNH VŨ</v>
      </c>
      <c r="J31" t="s">
        <v>274</v>
      </c>
      <c r="K31" t="s">
        <v>1486</v>
      </c>
    </row>
    <row r="32" spans="1:12">
      <c r="A32" t="s">
        <v>1491</v>
      </c>
      <c r="B32" t="s">
        <v>1483</v>
      </c>
      <c r="C32" t="s">
        <v>1498</v>
      </c>
      <c r="D32" t="s">
        <v>1484</v>
      </c>
      <c r="E32" t="s">
        <v>894</v>
      </c>
      <c r="F32" t="s">
        <v>1488</v>
      </c>
      <c r="G32" t="s">
        <v>1487</v>
      </c>
      <c r="H32" t="str">
        <f t="shared" si="0"/>
        <v>40HCE</v>
      </c>
      <c r="I32" t="str">
        <f t="shared" si="1"/>
        <v>NAM HẢI ĐÌNH VŨ</v>
      </c>
      <c r="J32" t="s">
        <v>269</v>
      </c>
      <c r="K32" t="s">
        <v>1486</v>
      </c>
    </row>
    <row r="33" spans="1:11">
      <c r="A33" t="s">
        <v>1491</v>
      </c>
      <c r="B33" t="s">
        <v>1483</v>
      </c>
      <c r="C33" t="s">
        <v>1498</v>
      </c>
      <c r="D33" t="s">
        <v>1484</v>
      </c>
      <c r="E33" t="s">
        <v>928</v>
      </c>
      <c r="F33" t="s">
        <v>1488</v>
      </c>
      <c r="G33" t="s">
        <v>1487</v>
      </c>
      <c r="H33" t="str">
        <f t="shared" si="0"/>
        <v>40HCE</v>
      </c>
      <c r="I33" t="str">
        <f t="shared" si="1"/>
        <v>NAM HẢI ĐÌNH VŨ</v>
      </c>
      <c r="J33" t="s">
        <v>1489</v>
      </c>
      <c r="K33" t="s">
        <v>1486</v>
      </c>
    </row>
    <row r="34" spans="1:11">
      <c r="A34" t="s">
        <v>1491</v>
      </c>
      <c r="B34" t="s">
        <v>1483</v>
      </c>
      <c r="C34" t="s">
        <v>1498</v>
      </c>
      <c r="D34" t="s">
        <v>1484</v>
      </c>
      <c r="E34" t="s">
        <v>872</v>
      </c>
      <c r="F34" t="s">
        <v>1488</v>
      </c>
      <c r="G34" t="s">
        <v>1487</v>
      </c>
      <c r="H34" t="str">
        <f t="shared" si="0"/>
        <v>40HCE</v>
      </c>
      <c r="I34" t="str">
        <f t="shared" si="1"/>
        <v>NAM HẢI ĐÌNH VŨ</v>
      </c>
      <c r="J34" t="s">
        <v>282</v>
      </c>
      <c r="K34" t="s">
        <v>1486</v>
      </c>
    </row>
    <row r="35" spans="1:11">
      <c r="A35" t="s">
        <v>1491</v>
      </c>
      <c r="B35" t="s">
        <v>1483</v>
      </c>
      <c r="C35" t="s">
        <v>1498</v>
      </c>
      <c r="D35" t="s">
        <v>1484</v>
      </c>
      <c r="E35" t="s">
        <v>858</v>
      </c>
      <c r="F35" t="s">
        <v>1488</v>
      </c>
      <c r="G35" t="s">
        <v>1487</v>
      </c>
      <c r="H35" t="str">
        <f t="shared" si="0"/>
        <v>40HCE</v>
      </c>
      <c r="I35" t="str">
        <f t="shared" si="1"/>
        <v>NAM HẢI ĐÌNH VŨ</v>
      </c>
      <c r="J35" t="s">
        <v>541</v>
      </c>
      <c r="K35" t="s">
        <v>1486</v>
      </c>
    </row>
    <row r="36" spans="1:11">
      <c r="A36" t="s">
        <v>1491</v>
      </c>
      <c r="B36" t="s">
        <v>1483</v>
      </c>
      <c r="C36" t="s">
        <v>1498</v>
      </c>
      <c r="D36" t="s">
        <v>1484</v>
      </c>
      <c r="E36" t="s">
        <v>1020</v>
      </c>
      <c r="F36" t="s">
        <v>1488</v>
      </c>
      <c r="G36" t="s">
        <v>1487</v>
      </c>
      <c r="H36" t="str">
        <f t="shared" si="0"/>
        <v>40HCE</v>
      </c>
      <c r="I36" t="str">
        <f t="shared" si="1"/>
        <v>NAM HẢI ĐÌNH VŨ</v>
      </c>
      <c r="J36" t="s">
        <v>399</v>
      </c>
      <c r="K36" t="s">
        <v>1486</v>
      </c>
    </row>
    <row r="37" spans="1:11">
      <c r="A37" t="s">
        <v>1491</v>
      </c>
      <c r="B37" t="s">
        <v>1483</v>
      </c>
      <c r="C37" t="s">
        <v>1498</v>
      </c>
      <c r="D37" t="s">
        <v>1484</v>
      </c>
      <c r="E37" t="s">
        <v>1160</v>
      </c>
      <c r="F37" t="s">
        <v>1488</v>
      </c>
      <c r="G37" t="s">
        <v>1487</v>
      </c>
      <c r="H37" t="str">
        <f t="shared" si="0"/>
        <v>40HCE</v>
      </c>
      <c r="I37" t="str">
        <f t="shared" si="1"/>
        <v>NAM HẢI ĐÌNH VŨ</v>
      </c>
      <c r="J37" t="s">
        <v>797</v>
      </c>
      <c r="K37" t="s">
        <v>1486</v>
      </c>
    </row>
    <row r="38" spans="1:11">
      <c r="A38" t="s">
        <v>1491</v>
      </c>
      <c r="B38" t="s">
        <v>1483</v>
      </c>
      <c r="C38" t="s">
        <v>1498</v>
      </c>
      <c r="D38" t="s">
        <v>1484</v>
      </c>
      <c r="E38" t="s">
        <v>1002</v>
      </c>
      <c r="F38" t="s">
        <v>1488</v>
      </c>
      <c r="G38" t="s">
        <v>1487</v>
      </c>
      <c r="H38" t="str">
        <f t="shared" si="0"/>
        <v>40HCE</v>
      </c>
      <c r="I38" t="str">
        <f t="shared" si="1"/>
        <v>NAM HẢI ĐÌNH VŨ</v>
      </c>
      <c r="J38" t="s">
        <v>272</v>
      </c>
      <c r="K38" t="s">
        <v>1486</v>
      </c>
    </row>
    <row r="39" spans="1:11">
      <c r="A39" t="s">
        <v>1491</v>
      </c>
      <c r="B39" t="s">
        <v>1483</v>
      </c>
      <c r="C39" t="s">
        <v>1498</v>
      </c>
      <c r="D39" t="s">
        <v>1484</v>
      </c>
      <c r="E39" t="s">
        <v>850</v>
      </c>
      <c r="F39" t="s">
        <v>1488</v>
      </c>
      <c r="G39" t="s">
        <v>1487</v>
      </c>
      <c r="H39" t="str">
        <f t="shared" si="0"/>
        <v>40HCE</v>
      </c>
      <c r="I39" t="str">
        <f t="shared" si="1"/>
        <v>NAM HẢI ĐÌNH VŨ</v>
      </c>
      <c r="J39" t="s">
        <v>369</v>
      </c>
      <c r="K39" t="s">
        <v>1486</v>
      </c>
    </row>
    <row r="40" spans="1:11">
      <c r="A40" t="s">
        <v>1491</v>
      </c>
      <c r="B40" t="s">
        <v>1483</v>
      </c>
      <c r="C40" t="s">
        <v>1498</v>
      </c>
      <c r="D40" t="s">
        <v>1484</v>
      </c>
      <c r="E40" t="s">
        <v>890</v>
      </c>
      <c r="F40" t="s">
        <v>1488</v>
      </c>
      <c r="G40" t="s">
        <v>1487</v>
      </c>
      <c r="H40" t="str">
        <f t="shared" si="0"/>
        <v>40HCE</v>
      </c>
      <c r="I40" t="str">
        <f t="shared" si="1"/>
        <v>NAM HẢI ĐÌNH VŨ</v>
      </c>
      <c r="J40" t="s">
        <v>279</v>
      </c>
      <c r="K40" t="s">
        <v>1486</v>
      </c>
    </row>
    <row r="41" spans="1:11">
      <c r="A41" t="s">
        <v>1491</v>
      </c>
      <c r="B41" t="s">
        <v>1483</v>
      </c>
      <c r="C41" t="s">
        <v>1498</v>
      </c>
      <c r="D41" t="s">
        <v>1484</v>
      </c>
      <c r="E41" t="s">
        <v>922</v>
      </c>
      <c r="F41" t="s">
        <v>1488</v>
      </c>
      <c r="G41" t="s">
        <v>1487</v>
      </c>
      <c r="H41" t="str">
        <f t="shared" si="0"/>
        <v>40HCE</v>
      </c>
      <c r="I41" t="str">
        <f t="shared" si="1"/>
        <v>NAM HẢI ĐÌNH VŨ</v>
      </c>
      <c r="J41" t="s">
        <v>472</v>
      </c>
      <c r="K41" t="s">
        <v>1486</v>
      </c>
    </row>
    <row r="42" spans="1:11">
      <c r="A42" t="s">
        <v>1491</v>
      </c>
      <c r="B42" t="s">
        <v>1483</v>
      </c>
      <c r="C42" t="s">
        <v>1498</v>
      </c>
      <c r="D42" t="s">
        <v>1484</v>
      </c>
      <c r="E42" t="s">
        <v>1450</v>
      </c>
      <c r="F42" t="s">
        <v>1488</v>
      </c>
      <c r="G42" t="s">
        <v>1487</v>
      </c>
      <c r="H42" t="str">
        <f t="shared" si="0"/>
        <v>40HCE</v>
      </c>
      <c r="I42" t="str">
        <f t="shared" si="1"/>
        <v>NAM HẢI ĐÌNH VŨ</v>
      </c>
      <c r="J42" t="s">
        <v>541</v>
      </c>
      <c r="K42" t="s">
        <v>1486</v>
      </c>
    </row>
    <row r="43" spans="1:11">
      <c r="A43" t="s">
        <v>1491</v>
      </c>
      <c r="B43" t="s">
        <v>1483</v>
      </c>
      <c r="C43" t="s">
        <v>1498</v>
      </c>
      <c r="D43" t="s">
        <v>1484</v>
      </c>
      <c r="E43" t="s">
        <v>927</v>
      </c>
      <c r="F43" t="s">
        <v>1488</v>
      </c>
      <c r="G43" t="s">
        <v>1487</v>
      </c>
      <c r="H43" t="str">
        <f t="shared" si="0"/>
        <v>40HCE</v>
      </c>
      <c r="I43" t="str">
        <f t="shared" si="1"/>
        <v>NAM HẢI ĐÌNH VŨ</v>
      </c>
      <c r="J43" t="s">
        <v>1489</v>
      </c>
      <c r="K43" t="s">
        <v>1486</v>
      </c>
    </row>
    <row r="44" spans="1:11">
      <c r="A44" t="s">
        <v>1491</v>
      </c>
      <c r="B44" t="s">
        <v>1483</v>
      </c>
      <c r="C44" t="s">
        <v>1498</v>
      </c>
      <c r="D44" t="s">
        <v>1484</v>
      </c>
      <c r="E44" t="s">
        <v>905</v>
      </c>
      <c r="F44" t="s">
        <v>1488</v>
      </c>
      <c r="G44" t="s">
        <v>1487</v>
      </c>
      <c r="H44" t="str">
        <f t="shared" si="0"/>
        <v>40HCE</v>
      </c>
      <c r="I44" t="str">
        <f t="shared" si="1"/>
        <v>NAM HẢI ĐÌNH VŨ</v>
      </c>
      <c r="J44" t="s">
        <v>274</v>
      </c>
      <c r="K44" t="s">
        <v>1486</v>
      </c>
    </row>
    <row r="45" spans="1:11">
      <c r="A45" t="s">
        <v>1491</v>
      </c>
      <c r="B45" t="s">
        <v>1483</v>
      </c>
      <c r="C45" t="s">
        <v>1498</v>
      </c>
      <c r="D45" t="s">
        <v>1484</v>
      </c>
      <c r="E45" t="s">
        <v>951</v>
      </c>
      <c r="F45" t="s">
        <v>1485</v>
      </c>
      <c r="G45" t="s">
        <v>1487</v>
      </c>
      <c r="H45" t="str">
        <f t="shared" si="0"/>
        <v>20GPE</v>
      </c>
      <c r="I45" t="str">
        <f t="shared" si="1"/>
        <v>NAM HẢI ĐÌNH VŨ</v>
      </c>
      <c r="J45" t="s">
        <v>363</v>
      </c>
      <c r="K45" t="s">
        <v>1486</v>
      </c>
    </row>
    <row r="46" spans="1:11">
      <c r="A46" t="s">
        <v>1491</v>
      </c>
      <c r="B46" t="s">
        <v>1483</v>
      </c>
      <c r="C46" t="s">
        <v>1498</v>
      </c>
      <c r="D46" t="s">
        <v>1484</v>
      </c>
      <c r="E46" t="s">
        <v>952</v>
      </c>
      <c r="F46" t="s">
        <v>1485</v>
      </c>
      <c r="G46" t="s">
        <v>1487</v>
      </c>
      <c r="H46" t="str">
        <f t="shared" si="0"/>
        <v>20GPE</v>
      </c>
      <c r="I46" t="str">
        <f t="shared" si="1"/>
        <v>NAM HẢI ĐÌNH VŨ</v>
      </c>
      <c r="J46" t="s">
        <v>363</v>
      </c>
      <c r="K46" t="s">
        <v>1486</v>
      </c>
    </row>
    <row r="47" spans="1:11">
      <c r="A47" t="s">
        <v>56</v>
      </c>
      <c r="B47" t="s">
        <v>1483</v>
      </c>
      <c r="C47" t="s">
        <v>1498</v>
      </c>
      <c r="D47" t="s">
        <v>1502</v>
      </c>
      <c r="E47" t="s">
        <v>1035</v>
      </c>
      <c r="F47" t="s">
        <v>1488</v>
      </c>
      <c r="G47" t="s">
        <v>1487</v>
      </c>
      <c r="H47" t="str">
        <f t="shared" si="0"/>
        <v>40HCE</v>
      </c>
      <c r="I47" t="str">
        <f t="shared" si="1"/>
        <v>HATECO</v>
      </c>
      <c r="J47" t="s">
        <v>363</v>
      </c>
      <c r="K47" t="s">
        <v>1486</v>
      </c>
    </row>
    <row r="48" spans="1:11">
      <c r="A48" t="s">
        <v>56</v>
      </c>
      <c r="B48" t="s">
        <v>1483</v>
      </c>
      <c r="C48" t="s">
        <v>1498</v>
      </c>
      <c r="D48" t="s">
        <v>1502</v>
      </c>
      <c r="E48" t="s">
        <v>1104</v>
      </c>
      <c r="F48" t="s">
        <v>1488</v>
      </c>
      <c r="G48" t="s">
        <v>1487</v>
      </c>
      <c r="H48" t="str">
        <f t="shared" si="0"/>
        <v>40HCE</v>
      </c>
      <c r="I48" t="str">
        <f t="shared" si="1"/>
        <v>HATECO</v>
      </c>
      <c r="J48" t="s">
        <v>1489</v>
      </c>
      <c r="K48" t="s">
        <v>1486</v>
      </c>
    </row>
    <row r="49" spans="1:11">
      <c r="A49" t="s">
        <v>56</v>
      </c>
      <c r="B49" t="s">
        <v>1483</v>
      </c>
      <c r="C49" t="s">
        <v>1498</v>
      </c>
      <c r="D49" t="s">
        <v>1502</v>
      </c>
      <c r="E49" t="s">
        <v>1174</v>
      </c>
      <c r="F49" t="s">
        <v>1488</v>
      </c>
      <c r="G49" t="s">
        <v>1487</v>
      </c>
      <c r="H49" t="str">
        <f t="shared" si="0"/>
        <v>40HCE</v>
      </c>
      <c r="I49" t="str">
        <f t="shared" si="1"/>
        <v>HATECO</v>
      </c>
      <c r="J49" t="s">
        <v>797</v>
      </c>
      <c r="K49" t="s">
        <v>1486</v>
      </c>
    </row>
    <row r="50" spans="1:11">
      <c r="A50" t="s">
        <v>56</v>
      </c>
      <c r="B50" t="s">
        <v>1483</v>
      </c>
      <c r="C50" t="s">
        <v>1498</v>
      </c>
      <c r="D50" t="s">
        <v>1502</v>
      </c>
      <c r="E50" t="s">
        <v>1079</v>
      </c>
      <c r="F50" t="s">
        <v>1488</v>
      </c>
      <c r="G50" t="s">
        <v>1487</v>
      </c>
      <c r="H50" t="str">
        <f t="shared" si="0"/>
        <v>40HCE</v>
      </c>
      <c r="I50" t="str">
        <f t="shared" si="1"/>
        <v>HATECO</v>
      </c>
      <c r="J50" t="s">
        <v>472</v>
      </c>
      <c r="K50" t="s">
        <v>1486</v>
      </c>
    </row>
    <row r="51" spans="1:11">
      <c r="A51" t="s">
        <v>56</v>
      </c>
      <c r="B51" t="s">
        <v>1483</v>
      </c>
      <c r="C51" t="s">
        <v>1498</v>
      </c>
      <c r="D51" t="s">
        <v>1502</v>
      </c>
      <c r="E51" t="s">
        <v>1186</v>
      </c>
      <c r="F51" t="s">
        <v>1488</v>
      </c>
      <c r="G51" t="s">
        <v>1487</v>
      </c>
      <c r="H51" t="str">
        <f t="shared" si="0"/>
        <v>40HCE</v>
      </c>
      <c r="I51" t="str">
        <f t="shared" si="1"/>
        <v>HATECO</v>
      </c>
      <c r="J51" t="s">
        <v>272</v>
      </c>
      <c r="K51" t="s">
        <v>1486</v>
      </c>
    </row>
    <row r="52" spans="1:11">
      <c r="A52" t="s">
        <v>56</v>
      </c>
      <c r="B52" t="s">
        <v>1483</v>
      </c>
      <c r="C52" t="s">
        <v>1498</v>
      </c>
      <c r="D52" t="s">
        <v>1502</v>
      </c>
      <c r="E52" t="s">
        <v>1043</v>
      </c>
      <c r="F52" t="s">
        <v>1488</v>
      </c>
      <c r="G52" t="s">
        <v>1487</v>
      </c>
      <c r="H52" t="str">
        <f t="shared" si="0"/>
        <v>40HCE</v>
      </c>
      <c r="I52" t="str">
        <f t="shared" si="1"/>
        <v>HATECO</v>
      </c>
      <c r="J52" t="s">
        <v>279</v>
      </c>
      <c r="K52" t="s">
        <v>1486</v>
      </c>
    </row>
    <row r="53" spans="1:11">
      <c r="A53" t="s">
        <v>56</v>
      </c>
      <c r="B53" t="s">
        <v>1483</v>
      </c>
      <c r="C53" t="s">
        <v>1498</v>
      </c>
      <c r="D53" t="s">
        <v>1502</v>
      </c>
      <c r="E53" t="s">
        <v>1060</v>
      </c>
      <c r="F53" t="s">
        <v>1488</v>
      </c>
      <c r="G53" t="s">
        <v>1487</v>
      </c>
      <c r="H53" t="str">
        <f t="shared" si="0"/>
        <v>40HCE</v>
      </c>
      <c r="I53" t="str">
        <f t="shared" si="1"/>
        <v>HATECO</v>
      </c>
      <c r="J53" t="s">
        <v>438</v>
      </c>
      <c r="K53" t="s">
        <v>1486</v>
      </c>
    </row>
    <row r="54" spans="1:11">
      <c r="A54" t="s">
        <v>56</v>
      </c>
      <c r="B54" t="s">
        <v>1483</v>
      </c>
      <c r="C54" t="s">
        <v>1498</v>
      </c>
      <c r="D54" t="s">
        <v>1502</v>
      </c>
      <c r="E54" t="s">
        <v>1087</v>
      </c>
      <c r="F54" t="s">
        <v>1488</v>
      </c>
      <c r="G54" t="s">
        <v>1487</v>
      </c>
      <c r="H54" t="str">
        <f t="shared" si="0"/>
        <v>40HCE</v>
      </c>
      <c r="I54" t="str">
        <f t="shared" si="1"/>
        <v>HATECO</v>
      </c>
      <c r="J54" t="s">
        <v>358</v>
      </c>
      <c r="K54" t="s">
        <v>1486</v>
      </c>
    </row>
    <row r="55" spans="1:11">
      <c r="A55" t="s">
        <v>56</v>
      </c>
      <c r="B55" t="s">
        <v>1483</v>
      </c>
      <c r="C55" t="s">
        <v>1498</v>
      </c>
      <c r="D55" t="s">
        <v>1502</v>
      </c>
      <c r="E55" t="s">
        <v>1120</v>
      </c>
      <c r="F55" t="s">
        <v>1488</v>
      </c>
      <c r="G55" t="s">
        <v>1487</v>
      </c>
      <c r="H55" t="str">
        <f t="shared" si="0"/>
        <v>40HCE</v>
      </c>
      <c r="I55" t="str">
        <f t="shared" si="1"/>
        <v>HATECO</v>
      </c>
      <c r="J55" t="s">
        <v>335</v>
      </c>
      <c r="K55" t="s">
        <v>1486</v>
      </c>
    </row>
    <row r="56" spans="1:11">
      <c r="A56" t="s">
        <v>56</v>
      </c>
      <c r="B56" t="s">
        <v>1483</v>
      </c>
      <c r="C56" t="s">
        <v>1498</v>
      </c>
      <c r="D56" t="s">
        <v>1502</v>
      </c>
      <c r="E56" t="s">
        <v>1251</v>
      </c>
      <c r="F56" t="s">
        <v>1488</v>
      </c>
      <c r="G56" t="s">
        <v>1487</v>
      </c>
      <c r="H56" t="str">
        <f t="shared" si="0"/>
        <v>40HCE</v>
      </c>
      <c r="I56" t="str">
        <f t="shared" si="1"/>
        <v>HATECO</v>
      </c>
      <c r="J56" t="s">
        <v>399</v>
      </c>
      <c r="K56" t="s">
        <v>1486</v>
      </c>
    </row>
    <row r="57" spans="1:11">
      <c r="A57" t="s">
        <v>56</v>
      </c>
      <c r="B57" t="s">
        <v>1483</v>
      </c>
      <c r="C57" t="s">
        <v>1498</v>
      </c>
      <c r="D57" t="s">
        <v>1502</v>
      </c>
      <c r="E57" t="s">
        <v>1034</v>
      </c>
      <c r="F57" t="s">
        <v>1488</v>
      </c>
      <c r="G57" t="s">
        <v>1487</v>
      </c>
      <c r="H57" t="str">
        <f t="shared" si="0"/>
        <v>40HCE</v>
      </c>
      <c r="I57" t="str">
        <f t="shared" si="1"/>
        <v>HATECO</v>
      </c>
      <c r="J57" t="s">
        <v>363</v>
      </c>
      <c r="K57" t="s">
        <v>1486</v>
      </c>
    </row>
    <row r="58" spans="1:11">
      <c r="A58" t="s">
        <v>56</v>
      </c>
      <c r="B58" t="s">
        <v>1483</v>
      </c>
      <c r="C58" t="s">
        <v>1498</v>
      </c>
      <c r="D58" t="s">
        <v>1502</v>
      </c>
      <c r="E58" t="s">
        <v>1069</v>
      </c>
      <c r="F58" t="s">
        <v>1488</v>
      </c>
      <c r="G58" t="s">
        <v>1487</v>
      </c>
      <c r="H58" t="str">
        <f t="shared" si="0"/>
        <v>40HCE</v>
      </c>
      <c r="I58" t="str">
        <f t="shared" si="1"/>
        <v>HATECO</v>
      </c>
      <c r="J58" t="s">
        <v>369</v>
      </c>
      <c r="K58" t="s">
        <v>1486</v>
      </c>
    </row>
    <row r="59" spans="1:11">
      <c r="A59" t="s">
        <v>56</v>
      </c>
      <c r="B59" t="s">
        <v>1483</v>
      </c>
      <c r="C59" t="s">
        <v>1498</v>
      </c>
      <c r="D59" t="s">
        <v>1502</v>
      </c>
      <c r="E59" t="s">
        <v>1063</v>
      </c>
      <c r="F59" t="s">
        <v>1488</v>
      </c>
      <c r="G59" t="s">
        <v>1487</v>
      </c>
      <c r="H59" t="str">
        <f t="shared" si="0"/>
        <v>40HCE</v>
      </c>
      <c r="I59" t="str">
        <f t="shared" si="1"/>
        <v>HATECO</v>
      </c>
      <c r="J59" t="s">
        <v>282</v>
      </c>
      <c r="K59" t="s">
        <v>1486</v>
      </c>
    </row>
    <row r="60" spans="1:11">
      <c r="A60" t="s">
        <v>56</v>
      </c>
      <c r="B60" t="s">
        <v>1483</v>
      </c>
      <c r="C60" t="s">
        <v>1498</v>
      </c>
      <c r="D60" t="s">
        <v>1502</v>
      </c>
      <c r="E60" t="s">
        <v>1175</v>
      </c>
      <c r="F60" t="s">
        <v>1488</v>
      </c>
      <c r="G60" t="s">
        <v>1487</v>
      </c>
      <c r="H60" t="str">
        <f t="shared" si="0"/>
        <v>40HCE</v>
      </c>
      <c r="I60" t="str">
        <f t="shared" si="1"/>
        <v>HATECO</v>
      </c>
      <c r="J60" t="s">
        <v>797</v>
      </c>
      <c r="K60" t="s">
        <v>1486</v>
      </c>
    </row>
    <row r="61" spans="1:11">
      <c r="A61" t="s">
        <v>56</v>
      </c>
      <c r="B61" t="s">
        <v>1483</v>
      </c>
      <c r="C61" t="s">
        <v>1498</v>
      </c>
      <c r="D61" t="s">
        <v>1502</v>
      </c>
      <c r="E61" t="s">
        <v>1088</v>
      </c>
      <c r="F61" t="s">
        <v>1488</v>
      </c>
      <c r="G61" t="s">
        <v>1487</v>
      </c>
      <c r="H61" t="str">
        <f t="shared" si="0"/>
        <v>40HCE</v>
      </c>
      <c r="I61" t="str">
        <f t="shared" si="1"/>
        <v>HATECO</v>
      </c>
      <c r="J61" t="s">
        <v>358</v>
      </c>
      <c r="K61" t="s">
        <v>1486</v>
      </c>
    </row>
    <row r="62" spans="1:11">
      <c r="A62" t="s">
        <v>56</v>
      </c>
      <c r="B62" t="s">
        <v>1483</v>
      </c>
      <c r="C62" t="s">
        <v>1498</v>
      </c>
      <c r="D62" t="s">
        <v>1502</v>
      </c>
      <c r="E62" t="s">
        <v>1033</v>
      </c>
      <c r="F62" t="s">
        <v>1488</v>
      </c>
      <c r="G62" t="s">
        <v>1487</v>
      </c>
      <c r="H62" t="str">
        <f t="shared" si="0"/>
        <v>40HCE</v>
      </c>
      <c r="I62" t="str">
        <f t="shared" si="1"/>
        <v>HATECO</v>
      </c>
      <c r="J62" t="s">
        <v>363</v>
      </c>
      <c r="K62" t="s">
        <v>1486</v>
      </c>
    </row>
    <row r="63" spans="1:11">
      <c r="A63" t="s">
        <v>56</v>
      </c>
      <c r="B63" t="s">
        <v>1483</v>
      </c>
      <c r="C63" t="s">
        <v>1498</v>
      </c>
      <c r="D63" t="s">
        <v>1502</v>
      </c>
      <c r="E63" t="s">
        <v>1119</v>
      </c>
      <c r="F63" t="s">
        <v>1488</v>
      </c>
      <c r="G63" t="s">
        <v>1487</v>
      </c>
      <c r="H63" t="str">
        <f t="shared" si="0"/>
        <v>40HCE</v>
      </c>
      <c r="I63" t="str">
        <f t="shared" si="1"/>
        <v>HATECO</v>
      </c>
      <c r="J63" t="s">
        <v>335</v>
      </c>
      <c r="K63" t="s">
        <v>1486</v>
      </c>
    </row>
    <row r="64" spans="1:11">
      <c r="A64" t="s">
        <v>56</v>
      </c>
      <c r="B64" t="s">
        <v>1483</v>
      </c>
      <c r="C64" t="s">
        <v>1498</v>
      </c>
      <c r="D64" t="s">
        <v>1502</v>
      </c>
      <c r="E64" t="s">
        <v>1173</v>
      </c>
      <c r="F64" t="s">
        <v>1488</v>
      </c>
      <c r="G64" t="s">
        <v>1487</v>
      </c>
      <c r="H64" t="str">
        <f t="shared" si="0"/>
        <v>40HCE</v>
      </c>
      <c r="I64" t="str">
        <f t="shared" si="1"/>
        <v>HATECO</v>
      </c>
      <c r="J64" t="s">
        <v>797</v>
      </c>
      <c r="K64" t="s">
        <v>1486</v>
      </c>
    </row>
    <row r="65" spans="1:11">
      <c r="A65" t="s">
        <v>56</v>
      </c>
      <c r="B65" t="s">
        <v>1483</v>
      </c>
      <c r="C65" t="s">
        <v>1498</v>
      </c>
      <c r="D65" t="s">
        <v>1502</v>
      </c>
      <c r="E65" t="s">
        <v>1070</v>
      </c>
      <c r="F65" t="s">
        <v>1488</v>
      </c>
      <c r="G65" t="s">
        <v>1487</v>
      </c>
      <c r="H65" t="str">
        <f t="shared" si="0"/>
        <v>40HCE</v>
      </c>
      <c r="I65" t="str">
        <f t="shared" si="1"/>
        <v>HATECO</v>
      </c>
      <c r="J65" t="s">
        <v>369</v>
      </c>
      <c r="K65" t="s">
        <v>1486</v>
      </c>
    </row>
    <row r="66" spans="1:11">
      <c r="A66" t="s">
        <v>56</v>
      </c>
      <c r="B66" t="s">
        <v>1483</v>
      </c>
      <c r="C66" t="s">
        <v>1498</v>
      </c>
      <c r="D66" t="s">
        <v>1502</v>
      </c>
      <c r="E66" t="s">
        <v>1089</v>
      </c>
      <c r="F66" t="s">
        <v>1488</v>
      </c>
      <c r="G66" t="s">
        <v>1487</v>
      </c>
      <c r="H66" t="str">
        <f t="shared" si="0"/>
        <v>40HCE</v>
      </c>
      <c r="I66" t="str">
        <f t="shared" si="1"/>
        <v>HATECO</v>
      </c>
      <c r="J66" t="s">
        <v>358</v>
      </c>
      <c r="K66" t="s">
        <v>1486</v>
      </c>
    </row>
    <row r="67" spans="1:11">
      <c r="A67" t="s">
        <v>56</v>
      </c>
      <c r="B67" t="s">
        <v>1483</v>
      </c>
      <c r="C67" t="s">
        <v>1498</v>
      </c>
      <c r="D67" t="s">
        <v>1502</v>
      </c>
      <c r="E67" t="s">
        <v>1105</v>
      </c>
      <c r="F67" t="s">
        <v>1488</v>
      </c>
      <c r="G67" t="s">
        <v>1487</v>
      </c>
      <c r="H67" t="str">
        <f t="shared" si="0"/>
        <v>40HCE</v>
      </c>
      <c r="I67" t="str">
        <f t="shared" si="1"/>
        <v>HATECO</v>
      </c>
      <c r="J67" t="s">
        <v>304</v>
      </c>
      <c r="K67" t="s">
        <v>1486</v>
      </c>
    </row>
    <row r="68" spans="1:11">
      <c r="A68" t="s">
        <v>56</v>
      </c>
      <c r="B68" t="s">
        <v>1483</v>
      </c>
      <c r="C68" t="s">
        <v>1498</v>
      </c>
      <c r="D68" t="s">
        <v>1502</v>
      </c>
      <c r="E68" t="s">
        <v>1232</v>
      </c>
      <c r="F68" t="s">
        <v>1488</v>
      </c>
      <c r="G68" t="s">
        <v>1487</v>
      </c>
      <c r="H68" t="str">
        <f t="shared" ref="H68:H131" si="2">F68&amp;G68</f>
        <v>40HCE</v>
      </c>
      <c r="I68" t="str">
        <f t="shared" ref="I68:I131" si="3">A68</f>
        <v>HATECO</v>
      </c>
      <c r="J68" t="s">
        <v>1492</v>
      </c>
      <c r="K68" t="s">
        <v>1486</v>
      </c>
    </row>
    <row r="69" spans="1:11">
      <c r="A69" t="s">
        <v>56</v>
      </c>
      <c r="B69" t="s">
        <v>1483</v>
      </c>
      <c r="C69" t="s">
        <v>1498</v>
      </c>
      <c r="D69" t="s">
        <v>1502</v>
      </c>
      <c r="E69" t="s">
        <v>1061</v>
      </c>
      <c r="F69" t="s">
        <v>1488</v>
      </c>
      <c r="G69" t="s">
        <v>1487</v>
      </c>
      <c r="H69" t="str">
        <f t="shared" si="2"/>
        <v>40HCE</v>
      </c>
      <c r="I69" t="str">
        <f t="shared" si="3"/>
        <v>HATECO</v>
      </c>
      <c r="J69" t="s">
        <v>438</v>
      </c>
      <c r="K69" t="s">
        <v>1486</v>
      </c>
    </row>
    <row r="70" spans="1:11">
      <c r="A70" t="s">
        <v>56</v>
      </c>
      <c r="B70" t="s">
        <v>1483</v>
      </c>
      <c r="C70" t="s">
        <v>1498</v>
      </c>
      <c r="D70" t="s">
        <v>1502</v>
      </c>
      <c r="E70" t="s">
        <v>1252</v>
      </c>
      <c r="F70" t="s">
        <v>1488</v>
      </c>
      <c r="G70" t="s">
        <v>1487</v>
      </c>
      <c r="H70" t="str">
        <f t="shared" si="2"/>
        <v>40HCE</v>
      </c>
      <c r="I70" t="str">
        <f t="shared" si="3"/>
        <v>HATECO</v>
      </c>
      <c r="J70" t="s">
        <v>399</v>
      </c>
      <c r="K70" t="s">
        <v>1486</v>
      </c>
    </row>
    <row r="71" spans="1:11">
      <c r="A71" t="s">
        <v>56</v>
      </c>
      <c r="B71" t="s">
        <v>1483</v>
      </c>
      <c r="C71" t="s">
        <v>1498</v>
      </c>
      <c r="D71" t="s">
        <v>1502</v>
      </c>
      <c r="E71" t="s">
        <v>1451</v>
      </c>
      <c r="F71" t="s">
        <v>1488</v>
      </c>
      <c r="G71" t="s">
        <v>1487</v>
      </c>
      <c r="H71" t="str">
        <f t="shared" si="2"/>
        <v>40HCE</v>
      </c>
      <c r="I71" t="str">
        <f t="shared" si="3"/>
        <v>HATECO</v>
      </c>
      <c r="J71" t="s">
        <v>369</v>
      </c>
      <c r="K71" t="s">
        <v>1486</v>
      </c>
    </row>
    <row r="72" spans="1:11">
      <c r="A72" t="s">
        <v>56</v>
      </c>
      <c r="B72" t="s">
        <v>1483</v>
      </c>
      <c r="C72" t="s">
        <v>1498</v>
      </c>
      <c r="D72" t="s">
        <v>1502</v>
      </c>
      <c r="E72" t="s">
        <v>1064</v>
      </c>
      <c r="F72" t="s">
        <v>1488</v>
      </c>
      <c r="G72" t="s">
        <v>1487</v>
      </c>
      <c r="H72" t="str">
        <f t="shared" si="2"/>
        <v>40HCE</v>
      </c>
      <c r="I72" t="str">
        <f t="shared" si="3"/>
        <v>HATECO</v>
      </c>
      <c r="J72" t="s">
        <v>282</v>
      </c>
      <c r="K72" t="s">
        <v>1486</v>
      </c>
    </row>
    <row r="73" spans="1:11">
      <c r="A73" t="s">
        <v>56</v>
      </c>
      <c r="B73" t="s">
        <v>1483</v>
      </c>
      <c r="C73" t="s">
        <v>1498</v>
      </c>
      <c r="D73" t="s">
        <v>1502</v>
      </c>
      <c r="E73" t="s">
        <v>1147</v>
      </c>
      <c r="F73" t="s">
        <v>1488</v>
      </c>
      <c r="G73" t="s">
        <v>1487</v>
      </c>
      <c r="H73" t="str">
        <f t="shared" si="2"/>
        <v>40HCE</v>
      </c>
      <c r="I73" t="str">
        <f t="shared" si="3"/>
        <v>HATECO</v>
      </c>
      <c r="J73" t="s">
        <v>263</v>
      </c>
      <c r="K73" t="s">
        <v>1486</v>
      </c>
    </row>
    <row r="74" spans="1:11">
      <c r="A74" t="s">
        <v>56</v>
      </c>
      <c r="B74" t="s">
        <v>1483</v>
      </c>
      <c r="C74" t="s">
        <v>1498</v>
      </c>
      <c r="D74" t="s">
        <v>1502</v>
      </c>
      <c r="E74" t="s">
        <v>1090</v>
      </c>
      <c r="F74" t="s">
        <v>1488</v>
      </c>
      <c r="G74" t="s">
        <v>1487</v>
      </c>
      <c r="H74" t="str">
        <f t="shared" si="2"/>
        <v>40HCE</v>
      </c>
      <c r="I74" t="str">
        <f t="shared" si="3"/>
        <v>HATECO</v>
      </c>
      <c r="J74" t="s">
        <v>358</v>
      </c>
      <c r="K74" t="s">
        <v>1486</v>
      </c>
    </row>
    <row r="75" spans="1:11">
      <c r="A75" t="s">
        <v>56</v>
      </c>
      <c r="B75" t="s">
        <v>1483</v>
      </c>
      <c r="C75" t="s">
        <v>1498</v>
      </c>
      <c r="D75" t="s">
        <v>1502</v>
      </c>
      <c r="E75" t="s">
        <v>1233</v>
      </c>
      <c r="F75" t="s">
        <v>1488</v>
      </c>
      <c r="G75" t="s">
        <v>1487</v>
      </c>
      <c r="H75" t="str">
        <f t="shared" si="2"/>
        <v>40HCE</v>
      </c>
      <c r="I75" t="str">
        <f t="shared" si="3"/>
        <v>HATECO</v>
      </c>
      <c r="J75" t="s">
        <v>1492</v>
      </c>
      <c r="K75" t="s">
        <v>1486</v>
      </c>
    </row>
    <row r="76" spans="1:11">
      <c r="A76" t="s">
        <v>56</v>
      </c>
      <c r="B76" t="s">
        <v>1483</v>
      </c>
      <c r="C76" t="s">
        <v>1498</v>
      </c>
      <c r="D76" t="s">
        <v>1502</v>
      </c>
      <c r="E76" t="s">
        <v>1121</v>
      </c>
      <c r="F76" t="s">
        <v>1488</v>
      </c>
      <c r="G76" t="s">
        <v>1487</v>
      </c>
      <c r="H76" t="str">
        <f t="shared" si="2"/>
        <v>40HCE</v>
      </c>
      <c r="I76" t="str">
        <f t="shared" si="3"/>
        <v>HATECO</v>
      </c>
      <c r="J76" t="s">
        <v>335</v>
      </c>
      <c r="K76" t="s">
        <v>1486</v>
      </c>
    </row>
    <row r="77" spans="1:11">
      <c r="A77" t="s">
        <v>56</v>
      </c>
      <c r="B77" t="s">
        <v>1483</v>
      </c>
      <c r="C77" t="s">
        <v>1498</v>
      </c>
      <c r="D77" t="s">
        <v>1502</v>
      </c>
      <c r="E77" t="s">
        <v>1106</v>
      </c>
      <c r="F77" t="s">
        <v>1488</v>
      </c>
      <c r="G77" t="s">
        <v>1487</v>
      </c>
      <c r="H77" t="str">
        <f t="shared" si="2"/>
        <v>40HCE</v>
      </c>
      <c r="I77" t="str">
        <f t="shared" si="3"/>
        <v>HATECO</v>
      </c>
      <c r="J77" t="s">
        <v>1489</v>
      </c>
      <c r="K77" t="s">
        <v>1486</v>
      </c>
    </row>
    <row r="78" spans="1:11">
      <c r="A78" t="s">
        <v>56</v>
      </c>
      <c r="B78" t="s">
        <v>1483</v>
      </c>
      <c r="C78" t="s">
        <v>1498</v>
      </c>
      <c r="D78" t="s">
        <v>1502</v>
      </c>
      <c r="E78" t="s">
        <v>1078</v>
      </c>
      <c r="F78" t="s">
        <v>1488</v>
      </c>
      <c r="G78" t="s">
        <v>1487</v>
      </c>
      <c r="H78" t="str">
        <f t="shared" si="2"/>
        <v>40HCE</v>
      </c>
      <c r="I78" t="str">
        <f t="shared" si="3"/>
        <v>HATECO</v>
      </c>
      <c r="J78" t="s">
        <v>472</v>
      </c>
      <c r="K78" t="s">
        <v>1486</v>
      </c>
    </row>
    <row r="79" spans="1:11">
      <c r="A79" t="s">
        <v>56</v>
      </c>
      <c r="B79" t="s">
        <v>1483</v>
      </c>
      <c r="C79" t="s">
        <v>1498</v>
      </c>
      <c r="D79" t="s">
        <v>1502</v>
      </c>
      <c r="E79" t="s">
        <v>1059</v>
      </c>
      <c r="F79" t="s">
        <v>1488</v>
      </c>
      <c r="G79" t="s">
        <v>1487</v>
      </c>
      <c r="H79" t="str">
        <f t="shared" si="2"/>
        <v>40HCE</v>
      </c>
      <c r="I79" t="str">
        <f t="shared" si="3"/>
        <v>HATECO</v>
      </c>
      <c r="J79" t="s">
        <v>438</v>
      </c>
      <c r="K79" t="s">
        <v>1486</v>
      </c>
    </row>
    <row r="80" spans="1:11">
      <c r="A80" t="s">
        <v>56</v>
      </c>
      <c r="B80" t="s">
        <v>1483</v>
      </c>
      <c r="C80" t="s">
        <v>1498</v>
      </c>
      <c r="D80" t="s">
        <v>1502</v>
      </c>
      <c r="E80" t="s">
        <v>1095</v>
      </c>
      <c r="F80" t="s">
        <v>1488</v>
      </c>
      <c r="G80" t="s">
        <v>1487</v>
      </c>
      <c r="H80" t="str">
        <f t="shared" si="2"/>
        <v>40HCE</v>
      </c>
      <c r="I80" t="str">
        <f t="shared" si="3"/>
        <v>HATECO</v>
      </c>
      <c r="J80" t="s">
        <v>269</v>
      </c>
      <c r="K80" t="s">
        <v>1486</v>
      </c>
    </row>
    <row r="81" spans="1:11">
      <c r="A81" t="s">
        <v>56</v>
      </c>
      <c r="B81" t="s">
        <v>1483</v>
      </c>
      <c r="C81" t="s">
        <v>1498</v>
      </c>
      <c r="D81" t="s">
        <v>1502</v>
      </c>
      <c r="E81" t="s">
        <v>1172</v>
      </c>
      <c r="F81" t="s">
        <v>1488</v>
      </c>
      <c r="G81" t="s">
        <v>1487</v>
      </c>
      <c r="H81" t="str">
        <f t="shared" si="2"/>
        <v>40HCE</v>
      </c>
      <c r="I81" t="str">
        <f t="shared" si="3"/>
        <v>HATECO</v>
      </c>
      <c r="J81" t="s">
        <v>797</v>
      </c>
      <c r="K81" t="s">
        <v>1486</v>
      </c>
    </row>
    <row r="82" spans="1:11">
      <c r="A82" t="s">
        <v>56</v>
      </c>
      <c r="B82" t="s">
        <v>1483</v>
      </c>
      <c r="C82" t="s">
        <v>1498</v>
      </c>
      <c r="D82" t="s">
        <v>1502</v>
      </c>
      <c r="E82" t="s">
        <v>1036</v>
      </c>
      <c r="F82" t="s">
        <v>1488</v>
      </c>
      <c r="G82" t="s">
        <v>1487</v>
      </c>
      <c r="H82" t="str">
        <f t="shared" si="2"/>
        <v>40HCE</v>
      </c>
      <c r="I82" t="str">
        <f t="shared" si="3"/>
        <v>HATECO</v>
      </c>
      <c r="J82" t="s">
        <v>363</v>
      </c>
      <c r="K82" t="s">
        <v>1486</v>
      </c>
    </row>
    <row r="83" spans="1:11">
      <c r="A83" t="s">
        <v>56</v>
      </c>
      <c r="B83" t="s">
        <v>1483</v>
      </c>
      <c r="C83" t="s">
        <v>1498</v>
      </c>
      <c r="D83" t="s">
        <v>1502</v>
      </c>
      <c r="E83" t="s">
        <v>1091</v>
      </c>
      <c r="F83" t="s">
        <v>1488</v>
      </c>
      <c r="G83" t="s">
        <v>1487</v>
      </c>
      <c r="H83" t="str">
        <f t="shared" si="2"/>
        <v>40HCE</v>
      </c>
      <c r="I83" t="str">
        <f t="shared" si="3"/>
        <v>HATECO</v>
      </c>
      <c r="J83" t="s">
        <v>358</v>
      </c>
      <c r="K83" t="s">
        <v>1486</v>
      </c>
    </row>
    <row r="84" spans="1:11">
      <c r="A84" t="s">
        <v>56</v>
      </c>
      <c r="B84" t="s">
        <v>1483</v>
      </c>
      <c r="C84" t="s">
        <v>1498</v>
      </c>
      <c r="D84" t="s">
        <v>1502</v>
      </c>
      <c r="E84" t="s">
        <v>1179</v>
      </c>
      <c r="F84" t="s">
        <v>1488</v>
      </c>
      <c r="G84" t="s">
        <v>1487</v>
      </c>
      <c r="H84" t="str">
        <f t="shared" si="2"/>
        <v>40HCE</v>
      </c>
      <c r="I84" t="str">
        <f t="shared" si="3"/>
        <v>HATECO</v>
      </c>
      <c r="J84" t="s">
        <v>358</v>
      </c>
      <c r="K84" t="s">
        <v>1486</v>
      </c>
    </row>
    <row r="85" spans="1:11">
      <c r="A85" t="s">
        <v>56</v>
      </c>
      <c r="B85" t="s">
        <v>1483</v>
      </c>
      <c r="C85" t="s">
        <v>1498</v>
      </c>
      <c r="D85" t="s">
        <v>1502</v>
      </c>
      <c r="E85" t="s">
        <v>1203</v>
      </c>
      <c r="F85" t="s">
        <v>1488</v>
      </c>
      <c r="G85" t="s">
        <v>1487</v>
      </c>
      <c r="H85" t="str">
        <f t="shared" si="2"/>
        <v>40HCE</v>
      </c>
      <c r="I85" t="str">
        <f t="shared" si="3"/>
        <v>HATECO</v>
      </c>
      <c r="J85" t="s">
        <v>363</v>
      </c>
      <c r="K85" t="s">
        <v>1486</v>
      </c>
    </row>
    <row r="86" spans="1:11">
      <c r="A86" t="s">
        <v>56</v>
      </c>
      <c r="B86" t="s">
        <v>1483</v>
      </c>
      <c r="C86" t="s">
        <v>1498</v>
      </c>
      <c r="D86" t="s">
        <v>1502</v>
      </c>
      <c r="E86" t="s">
        <v>1242</v>
      </c>
      <c r="F86" t="s">
        <v>1488</v>
      </c>
      <c r="G86" t="s">
        <v>1487</v>
      </c>
      <c r="H86" t="str">
        <f t="shared" si="2"/>
        <v>40HCE</v>
      </c>
      <c r="I86" t="str">
        <f t="shared" si="3"/>
        <v>HATECO</v>
      </c>
      <c r="J86" t="s">
        <v>399</v>
      </c>
      <c r="K86" t="s">
        <v>1486</v>
      </c>
    </row>
    <row r="87" spans="1:11">
      <c r="A87" t="s">
        <v>56</v>
      </c>
      <c r="B87" t="s">
        <v>1483</v>
      </c>
      <c r="C87" t="s">
        <v>1498</v>
      </c>
      <c r="D87" t="s">
        <v>1502</v>
      </c>
      <c r="E87" t="s">
        <v>1191</v>
      </c>
      <c r="F87" t="s">
        <v>1488</v>
      </c>
      <c r="G87" t="s">
        <v>1487</v>
      </c>
      <c r="H87" t="str">
        <f t="shared" si="2"/>
        <v>40HCE</v>
      </c>
      <c r="I87" t="str">
        <f t="shared" si="3"/>
        <v>HATECO</v>
      </c>
      <c r="J87" t="s">
        <v>335</v>
      </c>
      <c r="K87" t="s">
        <v>1486</v>
      </c>
    </row>
    <row r="88" spans="1:11">
      <c r="A88" t="s">
        <v>56</v>
      </c>
      <c r="B88" t="s">
        <v>1483</v>
      </c>
      <c r="C88" t="s">
        <v>1498</v>
      </c>
      <c r="D88" t="s">
        <v>1502</v>
      </c>
      <c r="E88" t="s">
        <v>1243</v>
      </c>
      <c r="F88" t="s">
        <v>1488</v>
      </c>
      <c r="G88" t="s">
        <v>1487</v>
      </c>
      <c r="H88" t="str">
        <f t="shared" si="2"/>
        <v>40HCE</v>
      </c>
      <c r="I88" t="str">
        <f t="shared" si="3"/>
        <v>HATECO</v>
      </c>
      <c r="J88" t="s">
        <v>399</v>
      </c>
      <c r="K88" t="s">
        <v>1486</v>
      </c>
    </row>
    <row r="89" spans="1:11">
      <c r="A89" t="s">
        <v>56</v>
      </c>
      <c r="B89" t="s">
        <v>1483</v>
      </c>
      <c r="C89" t="s">
        <v>1498</v>
      </c>
      <c r="D89" t="s">
        <v>1502</v>
      </c>
      <c r="E89" t="s">
        <v>1205</v>
      </c>
      <c r="F89" t="s">
        <v>1488</v>
      </c>
      <c r="G89" t="s">
        <v>1487</v>
      </c>
      <c r="H89" t="str">
        <f t="shared" si="2"/>
        <v>40HCE</v>
      </c>
      <c r="I89" t="str">
        <f t="shared" si="3"/>
        <v>HATECO</v>
      </c>
      <c r="J89" t="s">
        <v>363</v>
      </c>
      <c r="K89" t="s">
        <v>1486</v>
      </c>
    </row>
    <row r="90" spans="1:11">
      <c r="A90" t="s">
        <v>56</v>
      </c>
      <c r="B90" t="s">
        <v>1483</v>
      </c>
      <c r="C90" t="s">
        <v>1498</v>
      </c>
      <c r="D90" t="s">
        <v>1502</v>
      </c>
      <c r="E90" t="s">
        <v>1178</v>
      </c>
      <c r="F90" t="s">
        <v>1488</v>
      </c>
      <c r="G90" t="s">
        <v>1487</v>
      </c>
      <c r="H90" t="str">
        <f t="shared" si="2"/>
        <v>40HCE</v>
      </c>
      <c r="I90" t="str">
        <f t="shared" si="3"/>
        <v>HATECO</v>
      </c>
      <c r="J90" t="s">
        <v>358</v>
      </c>
      <c r="K90" t="s">
        <v>1486</v>
      </c>
    </row>
    <row r="91" spans="1:11">
      <c r="A91" t="s">
        <v>56</v>
      </c>
      <c r="B91" t="s">
        <v>1483</v>
      </c>
      <c r="C91" t="s">
        <v>1498</v>
      </c>
      <c r="D91" t="s">
        <v>1502</v>
      </c>
      <c r="E91" t="s">
        <v>1190</v>
      </c>
      <c r="F91" t="s">
        <v>1488</v>
      </c>
      <c r="G91" t="s">
        <v>1487</v>
      </c>
      <c r="H91" t="str">
        <f t="shared" si="2"/>
        <v>40HCE</v>
      </c>
      <c r="I91" t="str">
        <f t="shared" si="3"/>
        <v>HATECO</v>
      </c>
      <c r="J91" t="s">
        <v>335</v>
      </c>
      <c r="K91" t="s">
        <v>1486</v>
      </c>
    </row>
    <row r="92" spans="1:11">
      <c r="A92" t="s">
        <v>56</v>
      </c>
      <c r="B92" t="s">
        <v>1483</v>
      </c>
      <c r="C92" t="s">
        <v>1498</v>
      </c>
      <c r="D92" t="s">
        <v>1502</v>
      </c>
      <c r="E92" t="s">
        <v>1245</v>
      </c>
      <c r="F92" t="s">
        <v>1488</v>
      </c>
      <c r="G92" t="s">
        <v>1487</v>
      </c>
      <c r="H92" t="str">
        <f t="shared" si="2"/>
        <v>40HCE</v>
      </c>
      <c r="I92" t="str">
        <f t="shared" si="3"/>
        <v>HATECO</v>
      </c>
      <c r="J92" t="s">
        <v>399</v>
      </c>
      <c r="K92" t="s">
        <v>1486</v>
      </c>
    </row>
    <row r="93" spans="1:11">
      <c r="A93" t="s">
        <v>56</v>
      </c>
      <c r="B93" t="s">
        <v>1483</v>
      </c>
      <c r="C93" t="s">
        <v>1498</v>
      </c>
      <c r="D93" t="s">
        <v>1502</v>
      </c>
      <c r="E93" t="s">
        <v>1198</v>
      </c>
      <c r="F93" t="s">
        <v>1488</v>
      </c>
      <c r="G93" t="s">
        <v>1487</v>
      </c>
      <c r="H93" t="str">
        <f t="shared" si="2"/>
        <v>40HCE</v>
      </c>
      <c r="I93" t="str">
        <f t="shared" si="3"/>
        <v>HATECO</v>
      </c>
      <c r="J93" t="s">
        <v>358</v>
      </c>
      <c r="K93" t="s">
        <v>1486</v>
      </c>
    </row>
    <row r="94" spans="1:11">
      <c r="A94" t="s">
        <v>56</v>
      </c>
      <c r="B94" t="s">
        <v>1483</v>
      </c>
      <c r="C94" t="s">
        <v>1498</v>
      </c>
      <c r="D94" t="s">
        <v>1502</v>
      </c>
      <c r="E94" t="s">
        <v>1189</v>
      </c>
      <c r="F94" t="s">
        <v>1488</v>
      </c>
      <c r="G94" t="s">
        <v>1487</v>
      </c>
      <c r="H94" t="str">
        <f t="shared" si="2"/>
        <v>40HCE</v>
      </c>
      <c r="I94" t="str">
        <f t="shared" si="3"/>
        <v>HATECO</v>
      </c>
      <c r="J94" t="s">
        <v>335</v>
      </c>
      <c r="K94" t="s">
        <v>1486</v>
      </c>
    </row>
    <row r="95" spans="1:11">
      <c r="A95" t="s">
        <v>56</v>
      </c>
      <c r="B95" t="s">
        <v>1483</v>
      </c>
      <c r="C95" t="s">
        <v>1498</v>
      </c>
      <c r="D95" t="s">
        <v>1502</v>
      </c>
      <c r="E95" t="s">
        <v>1204</v>
      </c>
      <c r="F95" t="s">
        <v>1488</v>
      </c>
      <c r="G95" t="s">
        <v>1487</v>
      </c>
      <c r="H95" t="str">
        <f t="shared" si="2"/>
        <v>40HCE</v>
      </c>
      <c r="I95" t="str">
        <f t="shared" si="3"/>
        <v>HATECO</v>
      </c>
      <c r="J95" t="s">
        <v>363</v>
      </c>
      <c r="K95" t="s">
        <v>1486</v>
      </c>
    </row>
    <row r="96" spans="1:11">
      <c r="A96" t="s">
        <v>56</v>
      </c>
      <c r="B96" t="s">
        <v>1483</v>
      </c>
      <c r="C96" t="s">
        <v>1498</v>
      </c>
      <c r="D96" t="s">
        <v>1502</v>
      </c>
      <c r="E96" t="s">
        <v>1197</v>
      </c>
      <c r="F96" t="s">
        <v>1488</v>
      </c>
      <c r="G96" t="s">
        <v>1487</v>
      </c>
      <c r="H96" t="str">
        <f t="shared" si="2"/>
        <v>40HCE</v>
      </c>
      <c r="I96" t="str">
        <f t="shared" si="3"/>
        <v>HATECO</v>
      </c>
      <c r="J96" t="s">
        <v>358</v>
      </c>
      <c r="K96" t="s">
        <v>1486</v>
      </c>
    </row>
    <row r="97" spans="1:12">
      <c r="A97" t="s">
        <v>56</v>
      </c>
      <c r="B97" t="s">
        <v>1483</v>
      </c>
      <c r="C97" t="s">
        <v>1498</v>
      </c>
      <c r="D97" t="s">
        <v>1502</v>
      </c>
      <c r="E97" t="s">
        <v>1244</v>
      </c>
      <c r="F97" t="s">
        <v>1488</v>
      </c>
      <c r="G97" t="s">
        <v>1487</v>
      </c>
      <c r="H97" t="str">
        <f t="shared" si="2"/>
        <v>40HCE</v>
      </c>
      <c r="I97" t="str">
        <f t="shared" si="3"/>
        <v>HATECO</v>
      </c>
      <c r="J97" t="s">
        <v>399</v>
      </c>
      <c r="K97" t="s">
        <v>1486</v>
      </c>
    </row>
    <row r="98" spans="1:12">
      <c r="A98" t="s">
        <v>56</v>
      </c>
      <c r="B98" t="s">
        <v>1483</v>
      </c>
      <c r="C98" t="s">
        <v>1498</v>
      </c>
      <c r="D98" t="s">
        <v>1502</v>
      </c>
      <c r="E98" t="s">
        <v>1196</v>
      </c>
      <c r="F98" t="s">
        <v>1488</v>
      </c>
      <c r="G98" t="s">
        <v>1487</v>
      </c>
      <c r="H98" t="str">
        <f t="shared" si="2"/>
        <v>40HCE</v>
      </c>
      <c r="I98" t="str">
        <f t="shared" si="3"/>
        <v>HATECO</v>
      </c>
      <c r="J98" t="s">
        <v>358</v>
      </c>
      <c r="K98" t="s">
        <v>1486</v>
      </c>
    </row>
    <row r="99" spans="1:12">
      <c r="A99" t="s">
        <v>56</v>
      </c>
      <c r="B99" t="s">
        <v>1483</v>
      </c>
      <c r="C99" t="s">
        <v>1498</v>
      </c>
      <c r="D99" t="s">
        <v>1502</v>
      </c>
      <c r="E99" t="s">
        <v>1206</v>
      </c>
      <c r="F99" t="s">
        <v>1488</v>
      </c>
      <c r="G99" t="s">
        <v>1487</v>
      </c>
      <c r="H99" t="str">
        <f t="shared" si="2"/>
        <v>40HCE</v>
      </c>
      <c r="I99" t="str">
        <f t="shared" si="3"/>
        <v>HATECO</v>
      </c>
      <c r="J99" t="s">
        <v>363</v>
      </c>
      <c r="K99" t="s">
        <v>1486</v>
      </c>
    </row>
    <row r="100" spans="1:12">
      <c r="A100" t="s">
        <v>56</v>
      </c>
      <c r="B100" t="s">
        <v>1483</v>
      </c>
      <c r="C100" t="s">
        <v>1498</v>
      </c>
      <c r="D100" t="s">
        <v>1499</v>
      </c>
      <c r="E100" t="s">
        <v>1065</v>
      </c>
      <c r="F100" t="s">
        <v>1488</v>
      </c>
      <c r="G100" t="s">
        <v>1487</v>
      </c>
      <c r="H100" t="str">
        <f t="shared" si="2"/>
        <v>40HCE</v>
      </c>
      <c r="I100" t="str">
        <f t="shared" si="3"/>
        <v>HATECO</v>
      </c>
      <c r="J100" t="s">
        <v>282</v>
      </c>
      <c r="K100" t="s">
        <v>1486</v>
      </c>
      <c r="L100" t="s">
        <v>1503</v>
      </c>
    </row>
    <row r="101" spans="1:12">
      <c r="A101" t="s">
        <v>56</v>
      </c>
      <c r="B101" t="s">
        <v>1483</v>
      </c>
      <c r="C101" t="s">
        <v>1498</v>
      </c>
      <c r="D101" t="s">
        <v>1499</v>
      </c>
      <c r="E101" t="s">
        <v>1107</v>
      </c>
      <c r="F101" t="s">
        <v>1488</v>
      </c>
      <c r="G101" t="s">
        <v>1487</v>
      </c>
      <c r="H101" t="str">
        <f t="shared" si="2"/>
        <v>40HCE</v>
      </c>
      <c r="I101" t="str">
        <f t="shared" si="3"/>
        <v>HATECO</v>
      </c>
      <c r="J101" t="s">
        <v>1489</v>
      </c>
      <c r="K101" t="s">
        <v>1486</v>
      </c>
      <c r="L101" t="s">
        <v>1503</v>
      </c>
    </row>
    <row r="102" spans="1:12">
      <c r="A102" t="s">
        <v>56</v>
      </c>
      <c r="B102" t="s">
        <v>1483</v>
      </c>
      <c r="C102" t="s">
        <v>1498</v>
      </c>
      <c r="D102" t="s">
        <v>1499</v>
      </c>
      <c r="E102" t="s">
        <v>1146</v>
      </c>
      <c r="F102" t="s">
        <v>1488</v>
      </c>
      <c r="G102" t="s">
        <v>1487</v>
      </c>
      <c r="H102" t="str">
        <f t="shared" si="2"/>
        <v>40HCE</v>
      </c>
      <c r="I102" t="str">
        <f t="shared" si="3"/>
        <v>HATECO</v>
      </c>
      <c r="J102" t="s">
        <v>263</v>
      </c>
      <c r="K102" t="s">
        <v>1486</v>
      </c>
      <c r="L102" t="s">
        <v>1503</v>
      </c>
    </row>
    <row r="103" spans="1:12">
      <c r="A103" t="s">
        <v>56</v>
      </c>
      <c r="B103" t="s">
        <v>1483</v>
      </c>
      <c r="C103" t="s">
        <v>1498</v>
      </c>
      <c r="D103" t="s">
        <v>1499</v>
      </c>
      <c r="E103" t="s">
        <v>1234</v>
      </c>
      <c r="F103" t="s">
        <v>1488</v>
      </c>
      <c r="G103" t="s">
        <v>1487</v>
      </c>
      <c r="H103" t="str">
        <f t="shared" si="2"/>
        <v>40HCE</v>
      </c>
      <c r="I103" t="str">
        <f t="shared" si="3"/>
        <v>HATECO</v>
      </c>
      <c r="J103" t="s">
        <v>1492</v>
      </c>
      <c r="K103" t="s">
        <v>1486</v>
      </c>
      <c r="L103" t="s">
        <v>1503</v>
      </c>
    </row>
    <row r="104" spans="1:12">
      <c r="A104" t="s">
        <v>56</v>
      </c>
      <c r="B104" t="s">
        <v>1483</v>
      </c>
      <c r="C104" t="s">
        <v>1498</v>
      </c>
      <c r="D104" t="s">
        <v>1499</v>
      </c>
      <c r="E104" t="s">
        <v>1122</v>
      </c>
      <c r="F104" t="s">
        <v>1488</v>
      </c>
      <c r="G104" t="s">
        <v>1487</v>
      </c>
      <c r="H104" t="str">
        <f t="shared" si="2"/>
        <v>40HCE</v>
      </c>
      <c r="I104" t="str">
        <f t="shared" si="3"/>
        <v>HATECO</v>
      </c>
      <c r="J104" t="s">
        <v>335</v>
      </c>
      <c r="K104" t="s">
        <v>1486</v>
      </c>
      <c r="L104" t="s">
        <v>1503</v>
      </c>
    </row>
    <row r="105" spans="1:12">
      <c r="A105" t="s">
        <v>56</v>
      </c>
      <c r="B105" t="s">
        <v>1483</v>
      </c>
      <c r="C105" t="s">
        <v>1498</v>
      </c>
      <c r="D105" t="s">
        <v>1499</v>
      </c>
      <c r="E105" t="s">
        <v>1077</v>
      </c>
      <c r="F105" t="s">
        <v>1488</v>
      </c>
      <c r="G105" t="s">
        <v>1487</v>
      </c>
      <c r="H105" t="str">
        <f t="shared" si="2"/>
        <v>40HCE</v>
      </c>
      <c r="I105" t="str">
        <f t="shared" si="3"/>
        <v>HATECO</v>
      </c>
      <c r="J105" t="s">
        <v>472</v>
      </c>
      <c r="K105" t="s">
        <v>1486</v>
      </c>
      <c r="L105" t="s">
        <v>1503</v>
      </c>
    </row>
    <row r="106" spans="1:12">
      <c r="A106" t="s">
        <v>56</v>
      </c>
      <c r="B106" t="s">
        <v>1483</v>
      </c>
      <c r="C106" t="s">
        <v>1498</v>
      </c>
      <c r="D106" t="s">
        <v>1499</v>
      </c>
      <c r="E106" t="s">
        <v>1058</v>
      </c>
      <c r="F106" t="s">
        <v>1488</v>
      </c>
      <c r="G106" t="s">
        <v>1487</v>
      </c>
      <c r="H106" t="str">
        <f t="shared" si="2"/>
        <v>40HCE</v>
      </c>
      <c r="I106" t="str">
        <f t="shared" si="3"/>
        <v>HATECO</v>
      </c>
      <c r="J106" t="s">
        <v>438</v>
      </c>
      <c r="K106" t="s">
        <v>1486</v>
      </c>
      <c r="L106" t="s">
        <v>1503</v>
      </c>
    </row>
    <row r="107" spans="1:12">
      <c r="A107" t="s">
        <v>56</v>
      </c>
      <c r="B107" t="s">
        <v>1483</v>
      </c>
      <c r="C107" t="s">
        <v>1498</v>
      </c>
      <c r="D107" t="s">
        <v>1499</v>
      </c>
      <c r="E107" t="s">
        <v>1037</v>
      </c>
      <c r="F107" t="s">
        <v>1488</v>
      </c>
      <c r="G107" t="s">
        <v>1487</v>
      </c>
      <c r="H107" t="str">
        <f t="shared" si="2"/>
        <v>40HCE</v>
      </c>
      <c r="I107" t="str">
        <f t="shared" si="3"/>
        <v>HATECO</v>
      </c>
      <c r="J107" t="s">
        <v>363</v>
      </c>
      <c r="K107" t="s">
        <v>1486</v>
      </c>
      <c r="L107" t="s">
        <v>1503</v>
      </c>
    </row>
    <row r="108" spans="1:12">
      <c r="A108" t="s">
        <v>56</v>
      </c>
      <c r="B108" t="s">
        <v>1483</v>
      </c>
      <c r="C108" t="s">
        <v>1498</v>
      </c>
      <c r="D108" t="s">
        <v>1499</v>
      </c>
      <c r="E108" t="s">
        <v>1171</v>
      </c>
      <c r="F108" t="s">
        <v>1488</v>
      </c>
      <c r="G108" t="s">
        <v>1487</v>
      </c>
      <c r="H108" t="str">
        <f t="shared" si="2"/>
        <v>40HCE</v>
      </c>
      <c r="I108" t="str">
        <f t="shared" si="3"/>
        <v>HATECO</v>
      </c>
      <c r="J108" t="s">
        <v>263</v>
      </c>
      <c r="K108" t="s">
        <v>1486</v>
      </c>
      <c r="L108" t="s">
        <v>1503</v>
      </c>
    </row>
    <row r="109" spans="1:12">
      <c r="A109" t="s">
        <v>56</v>
      </c>
      <c r="B109" t="s">
        <v>1483</v>
      </c>
      <c r="C109" t="s">
        <v>1498</v>
      </c>
      <c r="D109" t="s">
        <v>1499</v>
      </c>
      <c r="E109" t="s">
        <v>1108</v>
      </c>
      <c r="F109" t="s">
        <v>1488</v>
      </c>
      <c r="G109" t="s">
        <v>1487</v>
      </c>
      <c r="H109" t="str">
        <f t="shared" si="2"/>
        <v>40HCE</v>
      </c>
      <c r="I109" t="str">
        <f t="shared" si="3"/>
        <v>HATECO</v>
      </c>
      <c r="J109" t="s">
        <v>1489</v>
      </c>
      <c r="K109" t="s">
        <v>1486</v>
      </c>
      <c r="L109" t="s">
        <v>1503</v>
      </c>
    </row>
    <row r="110" spans="1:12">
      <c r="A110" t="s">
        <v>56</v>
      </c>
      <c r="B110" t="s">
        <v>1483</v>
      </c>
      <c r="C110" t="s">
        <v>1498</v>
      </c>
      <c r="D110" t="s">
        <v>1499</v>
      </c>
      <c r="E110" t="s">
        <v>1066</v>
      </c>
      <c r="F110" t="s">
        <v>1488</v>
      </c>
      <c r="G110" t="s">
        <v>1487</v>
      </c>
      <c r="H110" t="str">
        <f t="shared" si="2"/>
        <v>40HCE</v>
      </c>
      <c r="I110" t="str">
        <f t="shared" si="3"/>
        <v>HATECO</v>
      </c>
      <c r="J110" t="s">
        <v>282</v>
      </c>
      <c r="K110" t="s">
        <v>1486</v>
      </c>
      <c r="L110" t="s">
        <v>1503</v>
      </c>
    </row>
    <row r="111" spans="1:12">
      <c r="A111" t="s">
        <v>56</v>
      </c>
      <c r="B111" t="s">
        <v>1483</v>
      </c>
      <c r="C111" t="s">
        <v>1498</v>
      </c>
      <c r="D111" t="s">
        <v>1499</v>
      </c>
      <c r="E111" t="s">
        <v>1235</v>
      </c>
      <c r="F111" t="s">
        <v>1488</v>
      </c>
      <c r="G111" t="s">
        <v>1487</v>
      </c>
      <c r="H111" t="str">
        <f t="shared" si="2"/>
        <v>40HCE</v>
      </c>
      <c r="I111" t="str">
        <f t="shared" si="3"/>
        <v>HATECO</v>
      </c>
      <c r="J111" t="s">
        <v>1492</v>
      </c>
      <c r="K111" t="s">
        <v>1486</v>
      </c>
      <c r="L111" t="s">
        <v>1503</v>
      </c>
    </row>
    <row r="112" spans="1:12">
      <c r="A112" t="s">
        <v>56</v>
      </c>
      <c r="B112" t="s">
        <v>1483</v>
      </c>
      <c r="C112" t="s">
        <v>1498</v>
      </c>
      <c r="D112" t="s">
        <v>1499</v>
      </c>
      <c r="E112" t="s">
        <v>1076</v>
      </c>
      <c r="F112" t="s">
        <v>1488</v>
      </c>
      <c r="G112" t="s">
        <v>1487</v>
      </c>
      <c r="H112" t="str">
        <f t="shared" si="2"/>
        <v>40HCE</v>
      </c>
      <c r="I112" t="str">
        <f t="shared" si="3"/>
        <v>HATECO</v>
      </c>
      <c r="J112" t="s">
        <v>472</v>
      </c>
      <c r="K112" t="s">
        <v>1486</v>
      </c>
      <c r="L112" t="s">
        <v>1503</v>
      </c>
    </row>
    <row r="113" spans="1:12">
      <c r="A113" t="s">
        <v>56</v>
      </c>
      <c r="B113" t="s">
        <v>1483</v>
      </c>
      <c r="C113" t="s">
        <v>1498</v>
      </c>
      <c r="D113" t="s">
        <v>1499</v>
      </c>
      <c r="E113" t="s">
        <v>1062</v>
      </c>
      <c r="F113" t="s">
        <v>1488</v>
      </c>
      <c r="G113" t="s">
        <v>1487</v>
      </c>
      <c r="H113" t="str">
        <f t="shared" si="2"/>
        <v>40HCE</v>
      </c>
      <c r="I113" t="str">
        <f t="shared" si="3"/>
        <v>HATECO</v>
      </c>
      <c r="J113" t="s">
        <v>438</v>
      </c>
      <c r="K113" t="s">
        <v>1486</v>
      </c>
      <c r="L113" t="s">
        <v>1503</v>
      </c>
    </row>
    <row r="114" spans="1:12">
      <c r="A114" t="s">
        <v>56</v>
      </c>
      <c r="B114" t="s">
        <v>1483</v>
      </c>
      <c r="C114" t="s">
        <v>1498</v>
      </c>
      <c r="D114" t="s">
        <v>1499</v>
      </c>
      <c r="E114" t="s">
        <v>1123</v>
      </c>
      <c r="F114" t="s">
        <v>1488</v>
      </c>
      <c r="G114" t="s">
        <v>1487</v>
      </c>
      <c r="H114" t="str">
        <f t="shared" si="2"/>
        <v>40HCE</v>
      </c>
      <c r="I114" t="str">
        <f t="shared" si="3"/>
        <v>HATECO</v>
      </c>
      <c r="J114" t="s">
        <v>335</v>
      </c>
      <c r="K114" t="s">
        <v>1486</v>
      </c>
      <c r="L114" t="s">
        <v>1503</v>
      </c>
    </row>
    <row r="115" spans="1:12">
      <c r="A115" t="s">
        <v>56</v>
      </c>
      <c r="B115" t="s">
        <v>1483</v>
      </c>
      <c r="C115" t="s">
        <v>1498</v>
      </c>
      <c r="D115" t="s">
        <v>1499</v>
      </c>
      <c r="E115" t="s">
        <v>1067</v>
      </c>
      <c r="F115" t="s">
        <v>1488</v>
      </c>
      <c r="G115" t="s">
        <v>1487</v>
      </c>
      <c r="H115" t="str">
        <f t="shared" si="2"/>
        <v>40HCE</v>
      </c>
      <c r="I115" t="str">
        <f t="shared" si="3"/>
        <v>HATECO</v>
      </c>
      <c r="J115" t="s">
        <v>282</v>
      </c>
      <c r="K115" t="s">
        <v>1486</v>
      </c>
      <c r="L115" t="s">
        <v>1503</v>
      </c>
    </row>
    <row r="116" spans="1:12">
      <c r="A116" t="s">
        <v>56</v>
      </c>
      <c r="B116" t="s">
        <v>1483</v>
      </c>
      <c r="C116" t="s">
        <v>1498</v>
      </c>
      <c r="D116" t="s">
        <v>1499</v>
      </c>
      <c r="E116" t="s">
        <v>1253</v>
      </c>
      <c r="F116" t="s">
        <v>1488</v>
      </c>
      <c r="G116" t="s">
        <v>1487</v>
      </c>
      <c r="H116" t="str">
        <f t="shared" si="2"/>
        <v>40HCE</v>
      </c>
      <c r="I116" t="str">
        <f t="shared" si="3"/>
        <v>HATECO</v>
      </c>
      <c r="J116" t="s">
        <v>399</v>
      </c>
      <c r="K116" t="s">
        <v>1486</v>
      </c>
      <c r="L116" t="s">
        <v>1503</v>
      </c>
    </row>
    <row r="117" spans="1:12">
      <c r="A117" t="s">
        <v>56</v>
      </c>
      <c r="B117" t="s">
        <v>1483</v>
      </c>
      <c r="C117" t="s">
        <v>1498</v>
      </c>
      <c r="D117" t="s">
        <v>1499</v>
      </c>
      <c r="E117" t="s">
        <v>1092</v>
      </c>
      <c r="F117" t="s">
        <v>1488</v>
      </c>
      <c r="G117" t="s">
        <v>1487</v>
      </c>
      <c r="H117" t="str">
        <f t="shared" si="2"/>
        <v>40HCE</v>
      </c>
      <c r="I117" t="str">
        <f t="shared" si="3"/>
        <v>HATECO</v>
      </c>
      <c r="J117" t="s">
        <v>541</v>
      </c>
      <c r="K117" t="s">
        <v>1486</v>
      </c>
      <c r="L117" t="s">
        <v>1503</v>
      </c>
    </row>
    <row r="118" spans="1:12">
      <c r="A118" t="s">
        <v>1491</v>
      </c>
      <c r="B118" t="s">
        <v>1483</v>
      </c>
      <c r="C118" t="s">
        <v>1498</v>
      </c>
      <c r="D118" t="s">
        <v>1484</v>
      </c>
      <c r="E118" t="s">
        <v>1414</v>
      </c>
      <c r="F118" t="s">
        <v>1488</v>
      </c>
      <c r="G118" t="s">
        <v>1487</v>
      </c>
      <c r="H118" t="str">
        <f t="shared" si="2"/>
        <v>40HCE</v>
      </c>
      <c r="I118" t="str">
        <f t="shared" si="3"/>
        <v>NAM HẢI ĐÌNH VŨ</v>
      </c>
      <c r="J118" t="s">
        <v>797</v>
      </c>
      <c r="K118" t="s">
        <v>1486</v>
      </c>
    </row>
    <row r="119" spans="1:12">
      <c r="A119" t="s">
        <v>1491</v>
      </c>
      <c r="B119" t="s">
        <v>1483</v>
      </c>
      <c r="C119" t="s">
        <v>1498</v>
      </c>
      <c r="D119" t="s">
        <v>1484</v>
      </c>
      <c r="E119" t="s">
        <v>377</v>
      </c>
      <c r="F119" t="s">
        <v>1488</v>
      </c>
      <c r="G119" t="s">
        <v>1487</v>
      </c>
      <c r="H119" t="str">
        <f t="shared" si="2"/>
        <v>40HCE</v>
      </c>
      <c r="I119" t="str">
        <f t="shared" si="3"/>
        <v>NAM HẢI ĐÌNH VŨ</v>
      </c>
      <c r="J119" t="s">
        <v>1489</v>
      </c>
      <c r="K119" t="s">
        <v>1486</v>
      </c>
    </row>
    <row r="120" spans="1:12">
      <c r="A120" t="s">
        <v>1491</v>
      </c>
      <c r="B120" t="s">
        <v>1483</v>
      </c>
      <c r="C120" t="s">
        <v>1498</v>
      </c>
      <c r="D120" t="s">
        <v>1484</v>
      </c>
      <c r="E120" t="s">
        <v>1369</v>
      </c>
      <c r="F120" t="s">
        <v>1488</v>
      </c>
      <c r="G120" t="s">
        <v>1487</v>
      </c>
      <c r="H120" t="str">
        <f t="shared" si="2"/>
        <v>40HCE</v>
      </c>
      <c r="I120" t="str">
        <f t="shared" si="3"/>
        <v>NAM HẢI ĐÌNH VŨ</v>
      </c>
      <c r="J120" t="s">
        <v>472</v>
      </c>
      <c r="K120" t="s">
        <v>1486</v>
      </c>
    </row>
    <row r="121" spans="1:12">
      <c r="A121" t="s">
        <v>1491</v>
      </c>
      <c r="B121" t="s">
        <v>1483</v>
      </c>
      <c r="C121" t="s">
        <v>1498</v>
      </c>
      <c r="D121" t="s">
        <v>1484</v>
      </c>
      <c r="E121" t="s">
        <v>1365</v>
      </c>
      <c r="F121" t="s">
        <v>1488</v>
      </c>
      <c r="G121" t="s">
        <v>1487</v>
      </c>
      <c r="H121" t="str">
        <f t="shared" si="2"/>
        <v>40HCE</v>
      </c>
      <c r="I121" t="str">
        <f t="shared" si="3"/>
        <v>NAM HẢI ĐÌNH VŨ</v>
      </c>
      <c r="J121" t="s">
        <v>279</v>
      </c>
      <c r="K121" t="s">
        <v>1486</v>
      </c>
    </row>
    <row r="122" spans="1:12">
      <c r="A122" t="s">
        <v>1491</v>
      </c>
      <c r="B122" t="s">
        <v>1483</v>
      </c>
      <c r="C122" t="s">
        <v>1498</v>
      </c>
      <c r="D122" t="s">
        <v>1484</v>
      </c>
      <c r="E122" t="s">
        <v>1359</v>
      </c>
      <c r="F122" t="s">
        <v>1488</v>
      </c>
      <c r="G122" t="s">
        <v>1487</v>
      </c>
      <c r="H122" t="str">
        <f t="shared" si="2"/>
        <v>40HCE</v>
      </c>
      <c r="I122" t="str">
        <f t="shared" si="3"/>
        <v>NAM HẢI ĐÌNH VŨ</v>
      </c>
      <c r="J122" t="s">
        <v>282</v>
      </c>
      <c r="K122" t="s">
        <v>1486</v>
      </c>
    </row>
    <row r="123" spans="1:12">
      <c r="A123" t="s">
        <v>1491</v>
      </c>
      <c r="B123" t="s">
        <v>1483</v>
      </c>
      <c r="C123" t="s">
        <v>1498</v>
      </c>
      <c r="D123" t="s">
        <v>1484</v>
      </c>
      <c r="E123" t="s">
        <v>1413</v>
      </c>
      <c r="F123" t="s">
        <v>1488</v>
      </c>
      <c r="G123" t="s">
        <v>1487</v>
      </c>
      <c r="H123" t="str">
        <f t="shared" si="2"/>
        <v>40HCE</v>
      </c>
      <c r="I123" t="str">
        <f t="shared" si="3"/>
        <v>NAM HẢI ĐÌNH VŨ</v>
      </c>
      <c r="J123" t="s">
        <v>797</v>
      </c>
      <c r="K123" t="s">
        <v>1486</v>
      </c>
    </row>
    <row r="124" spans="1:12">
      <c r="A124" t="s">
        <v>1491</v>
      </c>
      <c r="B124" t="s">
        <v>1483</v>
      </c>
      <c r="C124" t="s">
        <v>1498</v>
      </c>
      <c r="D124" t="s">
        <v>1484</v>
      </c>
      <c r="E124" t="s">
        <v>1374</v>
      </c>
      <c r="F124" t="s">
        <v>1488</v>
      </c>
      <c r="G124" t="s">
        <v>1487</v>
      </c>
      <c r="H124" t="str">
        <f t="shared" si="2"/>
        <v>40HCE</v>
      </c>
      <c r="I124" t="str">
        <f t="shared" si="3"/>
        <v>NAM HẢI ĐÌNH VŨ</v>
      </c>
      <c r="J124" t="s">
        <v>1489</v>
      </c>
      <c r="K124" t="s">
        <v>1486</v>
      </c>
    </row>
    <row r="125" spans="1:12">
      <c r="A125" t="s">
        <v>1491</v>
      </c>
      <c r="B125" t="s">
        <v>1483</v>
      </c>
      <c r="C125" t="s">
        <v>1498</v>
      </c>
      <c r="D125" t="s">
        <v>1484</v>
      </c>
      <c r="E125" t="s">
        <v>1366</v>
      </c>
      <c r="F125" t="s">
        <v>1488</v>
      </c>
      <c r="G125" t="s">
        <v>1487</v>
      </c>
      <c r="H125" t="str">
        <f t="shared" si="2"/>
        <v>40HCE</v>
      </c>
      <c r="I125" t="str">
        <f t="shared" si="3"/>
        <v>NAM HẢI ĐÌNH VŨ</v>
      </c>
      <c r="J125" t="s">
        <v>279</v>
      </c>
      <c r="K125" t="s">
        <v>1486</v>
      </c>
    </row>
    <row r="126" spans="1:12">
      <c r="A126" t="s">
        <v>1491</v>
      </c>
      <c r="B126" t="s">
        <v>1483</v>
      </c>
      <c r="C126" t="s">
        <v>1498</v>
      </c>
      <c r="D126" t="s">
        <v>1484</v>
      </c>
      <c r="E126" t="s">
        <v>1360</v>
      </c>
      <c r="F126" t="s">
        <v>1488</v>
      </c>
      <c r="G126" t="s">
        <v>1487</v>
      </c>
      <c r="H126" t="str">
        <f t="shared" si="2"/>
        <v>40HCE</v>
      </c>
      <c r="I126" t="str">
        <f t="shared" si="3"/>
        <v>NAM HẢI ĐÌNH VŨ</v>
      </c>
      <c r="J126" t="s">
        <v>282</v>
      </c>
      <c r="K126" t="s">
        <v>1486</v>
      </c>
    </row>
    <row r="127" spans="1:12">
      <c r="A127" t="s">
        <v>56</v>
      </c>
      <c r="B127" t="s">
        <v>1483</v>
      </c>
      <c r="C127" t="s">
        <v>1498</v>
      </c>
      <c r="D127" t="s">
        <v>1499</v>
      </c>
      <c r="E127" t="s">
        <v>1379</v>
      </c>
      <c r="F127" t="s">
        <v>1488</v>
      </c>
      <c r="G127" t="s">
        <v>1487</v>
      </c>
      <c r="H127" t="str">
        <f t="shared" si="2"/>
        <v>40HCE</v>
      </c>
      <c r="I127" t="str">
        <f t="shared" si="3"/>
        <v>HATECO</v>
      </c>
      <c r="J127" t="s">
        <v>363</v>
      </c>
      <c r="K127" t="s">
        <v>1486</v>
      </c>
    </row>
    <row r="128" spans="1:12">
      <c r="A128" t="s">
        <v>56</v>
      </c>
      <c r="B128" t="s">
        <v>1483</v>
      </c>
      <c r="C128" t="s">
        <v>1498</v>
      </c>
      <c r="D128" t="s">
        <v>1499</v>
      </c>
      <c r="E128" t="s">
        <v>1354</v>
      </c>
      <c r="F128" t="s">
        <v>1488</v>
      </c>
      <c r="G128" t="s">
        <v>1487</v>
      </c>
      <c r="H128" t="str">
        <f t="shared" si="2"/>
        <v>40HCE</v>
      </c>
      <c r="I128" t="str">
        <f t="shared" si="3"/>
        <v>HATECO</v>
      </c>
      <c r="J128" t="s">
        <v>269</v>
      </c>
      <c r="K128" t="s">
        <v>1486</v>
      </c>
    </row>
    <row r="129" spans="1:11">
      <c r="A129" t="s">
        <v>56</v>
      </c>
      <c r="B129" t="s">
        <v>1483</v>
      </c>
      <c r="C129" t="s">
        <v>1498</v>
      </c>
      <c r="D129" t="s">
        <v>1499</v>
      </c>
      <c r="E129" t="s">
        <v>1452</v>
      </c>
      <c r="F129" t="s">
        <v>1488</v>
      </c>
      <c r="G129" t="s">
        <v>1487</v>
      </c>
      <c r="H129" t="str">
        <f t="shared" si="2"/>
        <v>40HCE</v>
      </c>
      <c r="I129" t="str">
        <f t="shared" si="3"/>
        <v>HATECO</v>
      </c>
      <c r="J129" t="s">
        <v>399</v>
      </c>
      <c r="K129" t="s">
        <v>1486</v>
      </c>
    </row>
    <row r="130" spans="1:11">
      <c r="A130" t="s">
        <v>56</v>
      </c>
      <c r="B130" t="s">
        <v>1483</v>
      </c>
      <c r="C130" t="s">
        <v>1498</v>
      </c>
      <c r="D130" t="s">
        <v>1499</v>
      </c>
      <c r="E130" t="s">
        <v>1375</v>
      </c>
      <c r="F130" t="s">
        <v>1488</v>
      </c>
      <c r="G130" t="s">
        <v>1487</v>
      </c>
      <c r="H130" t="str">
        <f t="shared" si="2"/>
        <v>40HCE</v>
      </c>
      <c r="I130" t="str">
        <f t="shared" si="3"/>
        <v>HATECO</v>
      </c>
      <c r="J130" t="s">
        <v>1490</v>
      </c>
      <c r="K130" t="s">
        <v>1486</v>
      </c>
    </row>
    <row r="131" spans="1:11">
      <c r="A131" t="s">
        <v>56</v>
      </c>
      <c r="B131" t="s">
        <v>1483</v>
      </c>
      <c r="C131" t="s">
        <v>1498</v>
      </c>
      <c r="D131" t="s">
        <v>1499</v>
      </c>
      <c r="E131" t="s">
        <v>1387</v>
      </c>
      <c r="F131" t="s">
        <v>1488</v>
      </c>
      <c r="G131" t="s">
        <v>1487</v>
      </c>
      <c r="H131" t="str">
        <f t="shared" si="2"/>
        <v>40HCE</v>
      </c>
      <c r="I131" t="str">
        <f t="shared" si="3"/>
        <v>HATECO</v>
      </c>
      <c r="J131" t="s">
        <v>399</v>
      </c>
      <c r="K131" t="s">
        <v>1486</v>
      </c>
    </row>
    <row r="132" spans="1:11">
      <c r="A132" t="s">
        <v>56</v>
      </c>
      <c r="B132" t="s">
        <v>1483</v>
      </c>
      <c r="C132" t="s">
        <v>1498</v>
      </c>
      <c r="D132" t="s">
        <v>1499</v>
      </c>
      <c r="E132" t="s">
        <v>1376</v>
      </c>
      <c r="F132" t="s">
        <v>1488</v>
      </c>
      <c r="G132" t="s">
        <v>1487</v>
      </c>
      <c r="H132" t="str">
        <f t="shared" ref="H132:H135" si="4">F132&amp;G132</f>
        <v>40HCE</v>
      </c>
      <c r="I132" t="str">
        <f t="shared" ref="I132:I135" si="5">A132</f>
        <v>HATECO</v>
      </c>
      <c r="J132" t="s">
        <v>1490</v>
      </c>
      <c r="K132" t="s">
        <v>1486</v>
      </c>
    </row>
    <row r="133" spans="1:11">
      <c r="A133" t="s">
        <v>56</v>
      </c>
      <c r="B133" t="s">
        <v>1483</v>
      </c>
      <c r="C133" t="s">
        <v>1498</v>
      </c>
      <c r="D133" t="s">
        <v>1499</v>
      </c>
      <c r="E133" t="s">
        <v>1388</v>
      </c>
      <c r="F133" t="s">
        <v>1488</v>
      </c>
      <c r="G133" t="s">
        <v>1487</v>
      </c>
      <c r="H133" t="str">
        <f t="shared" si="4"/>
        <v>40HCE</v>
      </c>
      <c r="I133" t="str">
        <f t="shared" si="5"/>
        <v>HATECO</v>
      </c>
      <c r="J133" t="s">
        <v>399</v>
      </c>
      <c r="K133" t="s">
        <v>1486</v>
      </c>
    </row>
    <row r="134" spans="1:11">
      <c r="A134" t="s">
        <v>56</v>
      </c>
      <c r="B134" t="s">
        <v>1483</v>
      </c>
      <c r="C134" t="s">
        <v>1498</v>
      </c>
      <c r="D134" t="s">
        <v>1499</v>
      </c>
      <c r="E134" t="s">
        <v>1378</v>
      </c>
      <c r="F134" t="s">
        <v>1488</v>
      </c>
      <c r="G134" t="s">
        <v>1487</v>
      </c>
      <c r="H134" t="str">
        <f t="shared" si="4"/>
        <v>40HCE</v>
      </c>
      <c r="I134" t="str">
        <f t="shared" si="5"/>
        <v>HATECO</v>
      </c>
      <c r="J134" t="s">
        <v>269</v>
      </c>
      <c r="K134" t="s">
        <v>1486</v>
      </c>
    </row>
    <row r="135" spans="1:11">
      <c r="A135" t="s">
        <v>56</v>
      </c>
      <c r="B135" t="s">
        <v>1483</v>
      </c>
      <c r="C135" t="s">
        <v>1498</v>
      </c>
      <c r="D135" t="s">
        <v>1499</v>
      </c>
      <c r="E135" t="s">
        <v>1377</v>
      </c>
      <c r="F135" t="s">
        <v>1488</v>
      </c>
      <c r="G135" t="s">
        <v>1487</v>
      </c>
      <c r="H135" t="str">
        <f t="shared" si="4"/>
        <v>40HCE</v>
      </c>
      <c r="I135" t="str">
        <f t="shared" si="5"/>
        <v>HATECO</v>
      </c>
      <c r="J135" t="s">
        <v>269</v>
      </c>
      <c r="K135" t="s">
        <v>1486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204"/>
  <sheetViews>
    <sheetView topLeftCell="A160" workbookViewId="0">
      <selection activeCell="G166" activeCellId="1" sqref="E4:E166 G4:G166"/>
    </sheetView>
  </sheetViews>
  <sheetFormatPr defaultColWidth="9" defaultRowHeight="15.75"/>
  <cols>
    <col min="1" max="1" width="71.5" bestFit="1" customWidth="1"/>
    <col min="2" max="2" width="18.75" style="102" customWidth="1"/>
    <col min="3" max="3" width="22.875" style="98" customWidth="1"/>
    <col min="5" max="5" width="8.375" style="103" customWidth="1"/>
    <col min="6" max="6" width="14" style="104" customWidth="1"/>
    <col min="7" max="7" width="13.125" customWidth="1"/>
  </cols>
  <sheetData>
    <row r="3" spans="1:7">
      <c r="A3" s="243" t="s">
        <v>103</v>
      </c>
      <c r="B3" s="105" t="s">
        <v>104</v>
      </c>
      <c r="C3" s="106" t="s">
        <v>105</v>
      </c>
      <c r="E3" s="104"/>
      <c r="G3" s="107"/>
    </row>
    <row r="4" spans="1:7">
      <c r="A4" s="108" t="s">
        <v>106</v>
      </c>
      <c r="B4" s="359">
        <v>42</v>
      </c>
      <c r="C4" s="109">
        <v>27504582</v>
      </c>
      <c r="E4" s="104">
        <v>42</v>
      </c>
      <c r="F4" s="104">
        <v>27504582</v>
      </c>
      <c r="G4" s="110">
        <f t="shared" ref="G4:G67" si="0">F4/E4</f>
        <v>654871</v>
      </c>
    </row>
    <row r="5" spans="1:7">
      <c r="A5" s="111" t="s">
        <v>107</v>
      </c>
      <c r="B5" s="360">
        <v>40</v>
      </c>
      <c r="C5" s="112">
        <v>26194840</v>
      </c>
      <c r="E5" s="104">
        <v>40</v>
      </c>
      <c r="F5" s="104">
        <v>26194840</v>
      </c>
      <c r="G5" s="110">
        <f t="shared" si="0"/>
        <v>654871</v>
      </c>
    </row>
    <row r="6" spans="1:7">
      <c r="A6" s="111" t="s">
        <v>108</v>
      </c>
      <c r="B6" s="360">
        <v>27</v>
      </c>
      <c r="C6" s="112">
        <v>17681517</v>
      </c>
      <c r="E6" s="104">
        <v>27</v>
      </c>
      <c r="F6" s="104">
        <v>17681517</v>
      </c>
      <c r="G6" s="110">
        <f t="shared" si="0"/>
        <v>654871</v>
      </c>
    </row>
    <row r="7" spans="1:7">
      <c r="A7" s="111" t="s">
        <v>109</v>
      </c>
      <c r="B7" s="360">
        <v>32</v>
      </c>
      <c r="C7" s="112">
        <v>20955872</v>
      </c>
      <c r="E7" s="104">
        <v>32</v>
      </c>
      <c r="F7" s="104">
        <v>20955872</v>
      </c>
      <c r="G7" s="110">
        <f t="shared" si="0"/>
        <v>654871</v>
      </c>
    </row>
    <row r="8" spans="1:7">
      <c r="A8" s="113" t="s">
        <v>110</v>
      </c>
      <c r="B8" s="360">
        <v>29</v>
      </c>
      <c r="C8" s="112">
        <v>18991259</v>
      </c>
      <c r="E8" s="104">
        <v>29</v>
      </c>
      <c r="F8" s="104">
        <v>18991259</v>
      </c>
      <c r="G8" s="110">
        <f t="shared" si="0"/>
        <v>654871</v>
      </c>
    </row>
    <row r="9" spans="1:7">
      <c r="A9" s="114" t="s">
        <v>111</v>
      </c>
      <c r="B9" s="360">
        <v>8</v>
      </c>
      <c r="C9" s="112">
        <v>5238968</v>
      </c>
      <c r="E9" s="104">
        <v>8</v>
      </c>
      <c r="F9" s="104">
        <v>5238968</v>
      </c>
      <c r="G9" s="110">
        <f t="shared" si="0"/>
        <v>654871</v>
      </c>
    </row>
    <row r="10" spans="1:7">
      <c r="A10" s="108" t="s">
        <v>112</v>
      </c>
      <c r="B10" s="360">
        <v>8</v>
      </c>
      <c r="C10" s="112">
        <v>5238968</v>
      </c>
      <c r="E10" s="104">
        <v>8</v>
      </c>
      <c r="F10" s="104">
        <v>5238968</v>
      </c>
      <c r="G10" s="110">
        <f t="shared" si="0"/>
        <v>654871</v>
      </c>
    </row>
    <row r="11" spans="1:7">
      <c r="A11" s="111" t="s">
        <v>113</v>
      </c>
      <c r="B11" s="360">
        <v>36</v>
      </c>
      <c r="C11" s="112">
        <v>23575356</v>
      </c>
      <c r="E11" s="104">
        <v>36</v>
      </c>
      <c r="F11" s="104">
        <v>23575356</v>
      </c>
      <c r="G11" s="110">
        <f t="shared" si="0"/>
        <v>654871</v>
      </c>
    </row>
    <row r="12" spans="1:7">
      <c r="A12" s="111" t="s">
        <v>114</v>
      </c>
      <c r="B12" s="360">
        <v>20</v>
      </c>
      <c r="C12" s="112">
        <v>13097420</v>
      </c>
      <c r="E12" s="104">
        <v>20</v>
      </c>
      <c r="F12" s="104">
        <v>13097420</v>
      </c>
      <c r="G12" s="110">
        <f t="shared" si="0"/>
        <v>654871</v>
      </c>
    </row>
    <row r="13" spans="1:7">
      <c r="A13" s="111" t="s">
        <v>115</v>
      </c>
      <c r="B13" s="360">
        <v>24</v>
      </c>
      <c r="C13" s="112">
        <v>15716904</v>
      </c>
      <c r="E13" s="104">
        <v>24</v>
      </c>
      <c r="F13" s="104">
        <v>15716904</v>
      </c>
      <c r="G13" s="110">
        <f t="shared" si="0"/>
        <v>654871</v>
      </c>
    </row>
    <row r="14" spans="1:7">
      <c r="A14" s="113" t="s">
        <v>116</v>
      </c>
      <c r="B14" s="360">
        <v>29</v>
      </c>
      <c r="C14" s="112">
        <v>18991259</v>
      </c>
      <c r="E14" s="104">
        <v>29</v>
      </c>
      <c r="F14" s="104">
        <v>18991259</v>
      </c>
      <c r="G14" s="110">
        <f t="shared" si="0"/>
        <v>654871</v>
      </c>
    </row>
    <row r="15" spans="1:7">
      <c r="A15" s="114" t="s">
        <v>1506</v>
      </c>
      <c r="B15" s="360">
        <v>3</v>
      </c>
      <c r="C15" s="112">
        <v>1964613</v>
      </c>
      <c r="E15" s="104">
        <v>3</v>
      </c>
      <c r="F15" s="104">
        <v>1964613</v>
      </c>
      <c r="G15" s="110">
        <f t="shared" si="0"/>
        <v>654871</v>
      </c>
    </row>
    <row r="16" spans="1:7">
      <c r="A16" s="114" t="s">
        <v>1524</v>
      </c>
      <c r="B16" s="360">
        <v>1</v>
      </c>
      <c r="C16" s="112">
        <v>654871</v>
      </c>
      <c r="E16" s="104">
        <v>1</v>
      </c>
      <c r="F16" s="104">
        <v>654871</v>
      </c>
      <c r="G16" s="110">
        <f t="shared" si="0"/>
        <v>654871</v>
      </c>
    </row>
    <row r="17" spans="1:7">
      <c r="A17" s="114" t="s">
        <v>1529</v>
      </c>
      <c r="B17" s="360">
        <v>12</v>
      </c>
      <c r="C17" s="112">
        <v>7858452</v>
      </c>
      <c r="E17" s="104">
        <v>12</v>
      </c>
      <c r="F17" s="104">
        <v>7858452</v>
      </c>
      <c r="G17" s="110">
        <f t="shared" si="0"/>
        <v>654871</v>
      </c>
    </row>
    <row r="18" spans="1:7">
      <c r="A18" s="114" t="s">
        <v>1519</v>
      </c>
      <c r="B18" s="360">
        <v>2</v>
      </c>
      <c r="C18" s="112">
        <v>1309742</v>
      </c>
      <c r="E18" s="104">
        <v>2</v>
      </c>
      <c r="F18" s="104">
        <v>1309742</v>
      </c>
      <c r="G18" s="110">
        <f t="shared" si="0"/>
        <v>654871</v>
      </c>
    </row>
    <row r="19" spans="1:7">
      <c r="A19" s="114" t="s">
        <v>117</v>
      </c>
      <c r="B19" s="360">
        <v>17</v>
      </c>
      <c r="C19" s="112">
        <v>11132807</v>
      </c>
      <c r="E19" s="104">
        <v>17</v>
      </c>
      <c r="F19" s="104">
        <v>11132807</v>
      </c>
      <c r="G19" s="110">
        <f t="shared" si="0"/>
        <v>654871</v>
      </c>
    </row>
    <row r="20" spans="1:7">
      <c r="A20" s="114" t="s">
        <v>1523</v>
      </c>
      <c r="B20" s="360">
        <v>1</v>
      </c>
      <c r="C20" s="112">
        <v>654871</v>
      </c>
      <c r="E20" s="104">
        <v>1</v>
      </c>
      <c r="F20" s="104">
        <v>654871</v>
      </c>
      <c r="G20" s="110">
        <f t="shared" si="0"/>
        <v>654871</v>
      </c>
    </row>
    <row r="21" spans="1:7">
      <c r="A21" s="114" t="s">
        <v>1522</v>
      </c>
      <c r="B21" s="360">
        <v>1</v>
      </c>
      <c r="C21" s="112">
        <v>654871</v>
      </c>
      <c r="E21" s="104">
        <v>1</v>
      </c>
      <c r="F21" s="104">
        <v>654871</v>
      </c>
      <c r="G21" s="110">
        <f t="shared" si="0"/>
        <v>654871</v>
      </c>
    </row>
    <row r="22" spans="1:7">
      <c r="A22" s="114" t="s">
        <v>1507</v>
      </c>
      <c r="B22" s="360">
        <v>14</v>
      </c>
      <c r="C22" s="112">
        <v>6358212</v>
      </c>
      <c r="E22" s="104">
        <v>14</v>
      </c>
      <c r="F22" s="104">
        <v>6358212</v>
      </c>
      <c r="G22" s="110">
        <f t="shared" si="0"/>
        <v>454158</v>
      </c>
    </row>
    <row r="23" spans="1:7">
      <c r="A23" s="114" t="s">
        <v>1528</v>
      </c>
      <c r="B23" s="360">
        <v>7</v>
      </c>
      <c r="C23" s="112">
        <v>3179106</v>
      </c>
      <c r="E23" s="104">
        <v>7</v>
      </c>
      <c r="F23" s="104">
        <v>3179106</v>
      </c>
      <c r="G23" s="110">
        <f t="shared" si="0"/>
        <v>454158</v>
      </c>
    </row>
    <row r="24" spans="1:7">
      <c r="A24" s="114" t="s">
        <v>1514</v>
      </c>
      <c r="B24" s="360">
        <v>4</v>
      </c>
      <c r="C24" s="112">
        <v>1816632</v>
      </c>
      <c r="E24" s="104">
        <v>4</v>
      </c>
      <c r="F24" s="104">
        <v>1816632</v>
      </c>
      <c r="G24" s="110">
        <f t="shared" si="0"/>
        <v>454158</v>
      </c>
    </row>
    <row r="25" spans="1:7">
      <c r="A25" s="114" t="s">
        <v>1505</v>
      </c>
      <c r="B25" s="360">
        <v>7</v>
      </c>
      <c r="C25" s="112">
        <v>3179106</v>
      </c>
      <c r="E25" s="104">
        <v>7</v>
      </c>
      <c r="F25" s="104">
        <v>3179106</v>
      </c>
      <c r="G25" s="110">
        <f t="shared" si="0"/>
        <v>454158</v>
      </c>
    </row>
    <row r="26" spans="1:7">
      <c r="A26" s="114" t="s">
        <v>1533</v>
      </c>
      <c r="B26" s="360">
        <v>6</v>
      </c>
      <c r="C26" s="112">
        <v>2724948</v>
      </c>
      <c r="E26" s="104">
        <v>6</v>
      </c>
      <c r="F26" s="104">
        <v>2724948</v>
      </c>
      <c r="G26" s="110">
        <f t="shared" si="0"/>
        <v>454158</v>
      </c>
    </row>
    <row r="27" spans="1:7">
      <c r="A27" s="114" t="s">
        <v>1527</v>
      </c>
      <c r="B27" s="360">
        <v>8</v>
      </c>
      <c r="C27" s="112">
        <v>3633264</v>
      </c>
      <c r="E27" s="104">
        <v>8</v>
      </c>
      <c r="F27" s="104">
        <v>3633264</v>
      </c>
      <c r="G27" s="110">
        <f t="shared" si="0"/>
        <v>454158</v>
      </c>
    </row>
    <row r="28" spans="1:7">
      <c r="A28" s="115" t="s">
        <v>118</v>
      </c>
      <c r="B28" s="360">
        <v>8</v>
      </c>
      <c r="C28" s="112">
        <v>3633264</v>
      </c>
      <c r="E28" s="104">
        <v>8</v>
      </c>
      <c r="F28" s="104">
        <v>3633264</v>
      </c>
      <c r="G28" s="110">
        <f t="shared" si="0"/>
        <v>454158</v>
      </c>
    </row>
    <row r="29" spans="1:7">
      <c r="A29" s="114" t="s">
        <v>1516</v>
      </c>
      <c r="B29" s="360">
        <v>10</v>
      </c>
      <c r="C29" s="112">
        <v>4541580</v>
      </c>
      <c r="E29" s="104">
        <v>10</v>
      </c>
      <c r="F29" s="104">
        <v>4541580</v>
      </c>
      <c r="G29" s="110">
        <f t="shared" si="0"/>
        <v>454158</v>
      </c>
    </row>
    <row r="30" spans="1:7">
      <c r="A30" s="114" t="s">
        <v>1520</v>
      </c>
      <c r="B30" s="360">
        <v>2</v>
      </c>
      <c r="C30" s="112">
        <v>908316</v>
      </c>
      <c r="E30" s="104">
        <v>2</v>
      </c>
      <c r="F30" s="104">
        <v>908316</v>
      </c>
      <c r="G30" s="110">
        <f t="shared" si="0"/>
        <v>454158</v>
      </c>
    </row>
    <row r="31" spans="1:7">
      <c r="A31" s="114" t="s">
        <v>1532</v>
      </c>
      <c r="B31" s="360">
        <v>6</v>
      </c>
      <c r="C31" s="112">
        <v>2724948</v>
      </c>
      <c r="E31" s="104">
        <v>6</v>
      </c>
      <c r="F31" s="104">
        <v>2724948</v>
      </c>
      <c r="G31" s="110">
        <f t="shared" si="0"/>
        <v>454158</v>
      </c>
    </row>
    <row r="32" spans="1:7">
      <c r="A32" s="114" t="s">
        <v>202</v>
      </c>
      <c r="B32" s="360">
        <v>8</v>
      </c>
      <c r="C32" s="112">
        <v>3633264</v>
      </c>
      <c r="E32" s="104">
        <v>8</v>
      </c>
      <c r="F32" s="104">
        <v>3633264</v>
      </c>
      <c r="G32" s="110">
        <f t="shared" si="0"/>
        <v>454158</v>
      </c>
    </row>
    <row r="33" spans="1:7">
      <c r="A33" s="114" t="s">
        <v>1525</v>
      </c>
      <c r="B33" s="360">
        <v>1</v>
      </c>
      <c r="C33" s="112">
        <v>454158</v>
      </c>
      <c r="E33" s="104">
        <v>1</v>
      </c>
      <c r="F33" s="104">
        <v>454158</v>
      </c>
      <c r="G33" s="110">
        <f t="shared" si="0"/>
        <v>454158</v>
      </c>
    </row>
    <row r="34" spans="1:7">
      <c r="A34" s="114" t="s">
        <v>1537</v>
      </c>
      <c r="B34" s="360">
        <v>5</v>
      </c>
      <c r="C34" s="112">
        <v>2270790</v>
      </c>
      <c r="E34" s="104">
        <v>5</v>
      </c>
      <c r="F34" s="104">
        <v>2270790</v>
      </c>
      <c r="G34" s="110">
        <f t="shared" si="0"/>
        <v>454158</v>
      </c>
    </row>
    <row r="35" spans="1:7">
      <c r="A35" s="108" t="s">
        <v>119</v>
      </c>
      <c r="B35" s="360">
        <v>14</v>
      </c>
      <c r="C35" s="112">
        <v>8068634</v>
      </c>
      <c r="E35" s="104">
        <v>14</v>
      </c>
      <c r="F35" s="104">
        <v>8068634</v>
      </c>
      <c r="G35" s="110">
        <f t="shared" si="0"/>
        <v>576331</v>
      </c>
    </row>
    <row r="36" spans="1:7">
      <c r="A36" s="111" t="s">
        <v>120</v>
      </c>
      <c r="B36" s="360">
        <v>12</v>
      </c>
      <c r="C36" s="112">
        <v>6915972</v>
      </c>
      <c r="E36" s="104">
        <v>12</v>
      </c>
      <c r="F36" s="104">
        <v>6915972</v>
      </c>
      <c r="G36" s="110">
        <f t="shared" si="0"/>
        <v>576331</v>
      </c>
    </row>
    <row r="37" spans="1:7">
      <c r="A37" s="111" t="s">
        <v>121</v>
      </c>
      <c r="B37" s="360">
        <v>8</v>
      </c>
      <c r="C37" s="112">
        <v>4610648</v>
      </c>
      <c r="E37" s="104">
        <v>8</v>
      </c>
      <c r="F37" s="104">
        <v>4610648</v>
      </c>
      <c r="G37" s="110">
        <f t="shared" si="0"/>
        <v>576331</v>
      </c>
    </row>
    <row r="38" spans="1:7">
      <c r="A38" s="111" t="s">
        <v>122</v>
      </c>
      <c r="B38" s="360">
        <v>7</v>
      </c>
      <c r="C38" s="112">
        <v>4034317</v>
      </c>
      <c r="E38" s="104">
        <v>7</v>
      </c>
      <c r="F38" s="104">
        <v>4034317</v>
      </c>
      <c r="G38" s="110">
        <f t="shared" si="0"/>
        <v>576331</v>
      </c>
    </row>
    <row r="39" spans="1:7">
      <c r="A39" s="111" t="s">
        <v>211</v>
      </c>
      <c r="B39" s="360">
        <v>6</v>
      </c>
      <c r="C39" s="112">
        <v>3457986</v>
      </c>
      <c r="E39" s="104">
        <v>6</v>
      </c>
      <c r="F39" s="104">
        <v>3457986</v>
      </c>
      <c r="G39" s="110">
        <f t="shared" si="0"/>
        <v>576331</v>
      </c>
    </row>
    <row r="40" spans="1:7">
      <c r="A40" s="111" t="s">
        <v>123</v>
      </c>
      <c r="B40" s="360">
        <v>20</v>
      </c>
      <c r="C40" s="112">
        <v>11526620</v>
      </c>
      <c r="E40" s="104">
        <v>20</v>
      </c>
      <c r="F40" s="104">
        <v>11526620</v>
      </c>
      <c r="G40" s="110">
        <f t="shared" si="0"/>
        <v>576331</v>
      </c>
    </row>
    <row r="41" spans="1:7">
      <c r="A41" s="111" t="s">
        <v>124</v>
      </c>
      <c r="B41" s="360">
        <v>8</v>
      </c>
      <c r="C41" s="112">
        <v>4610648</v>
      </c>
      <c r="E41" s="104">
        <v>8</v>
      </c>
      <c r="F41" s="104">
        <v>4610648</v>
      </c>
      <c r="G41" s="110">
        <f t="shared" si="0"/>
        <v>576331</v>
      </c>
    </row>
    <row r="42" spans="1:7">
      <c r="A42" s="111" t="s">
        <v>125</v>
      </c>
      <c r="B42" s="360">
        <v>8</v>
      </c>
      <c r="C42" s="112">
        <v>4610648</v>
      </c>
      <c r="E42" s="104">
        <v>8</v>
      </c>
      <c r="F42" s="104">
        <v>4610648</v>
      </c>
      <c r="G42" s="110">
        <f t="shared" si="0"/>
        <v>576331</v>
      </c>
    </row>
    <row r="43" spans="1:7">
      <c r="A43" s="113" t="s">
        <v>126</v>
      </c>
      <c r="B43" s="360">
        <v>8</v>
      </c>
      <c r="C43" s="112">
        <v>4610648</v>
      </c>
      <c r="E43" s="104">
        <v>8</v>
      </c>
      <c r="F43" s="104">
        <v>4610648</v>
      </c>
      <c r="G43" s="110">
        <f t="shared" si="0"/>
        <v>576331</v>
      </c>
    </row>
    <row r="44" spans="1:7">
      <c r="A44" s="114" t="s">
        <v>127</v>
      </c>
      <c r="B44" s="360">
        <v>10</v>
      </c>
      <c r="C44" s="112">
        <v>5763310</v>
      </c>
      <c r="E44" s="104">
        <v>10</v>
      </c>
      <c r="F44" s="104">
        <v>5763310</v>
      </c>
      <c r="G44" s="110">
        <f t="shared" si="0"/>
        <v>576331</v>
      </c>
    </row>
    <row r="45" spans="1:7">
      <c r="A45" s="114" t="s">
        <v>128</v>
      </c>
      <c r="B45" s="360">
        <v>1</v>
      </c>
      <c r="C45" s="112">
        <v>576331</v>
      </c>
      <c r="E45" s="104">
        <v>1</v>
      </c>
      <c r="F45" s="104">
        <v>576331</v>
      </c>
      <c r="G45" s="110">
        <f t="shared" si="0"/>
        <v>576331</v>
      </c>
    </row>
    <row r="46" spans="1:7">
      <c r="A46" s="115" t="s">
        <v>208</v>
      </c>
      <c r="B46" s="360">
        <v>2</v>
      </c>
      <c r="C46" s="112">
        <v>1152662</v>
      </c>
      <c r="E46" s="104">
        <v>2</v>
      </c>
      <c r="F46" s="104">
        <v>1152662</v>
      </c>
      <c r="G46" s="110">
        <f t="shared" si="0"/>
        <v>576331</v>
      </c>
    </row>
    <row r="47" spans="1:7">
      <c r="A47" s="114" t="s">
        <v>129</v>
      </c>
      <c r="B47" s="360">
        <v>6</v>
      </c>
      <c r="C47" s="112">
        <v>3457986</v>
      </c>
      <c r="E47" s="104">
        <v>6</v>
      </c>
      <c r="F47" s="104">
        <v>3457986</v>
      </c>
      <c r="G47" s="110">
        <f t="shared" si="0"/>
        <v>576331</v>
      </c>
    </row>
    <row r="48" spans="1:7">
      <c r="A48" s="114" t="s">
        <v>204</v>
      </c>
      <c r="B48" s="360">
        <v>1</v>
      </c>
      <c r="C48" s="112">
        <v>576331</v>
      </c>
      <c r="E48" s="104">
        <v>1</v>
      </c>
      <c r="F48" s="104">
        <v>576331</v>
      </c>
      <c r="G48" s="110">
        <f t="shared" si="0"/>
        <v>576331</v>
      </c>
    </row>
    <row r="49" spans="1:7">
      <c r="A49" s="114" t="s">
        <v>203</v>
      </c>
      <c r="B49" s="360">
        <v>1</v>
      </c>
      <c r="C49" s="112">
        <v>576331</v>
      </c>
      <c r="E49" s="104">
        <v>1</v>
      </c>
      <c r="F49" s="104">
        <v>576331</v>
      </c>
      <c r="G49" s="110">
        <f t="shared" si="0"/>
        <v>576331</v>
      </c>
    </row>
    <row r="50" spans="1:7">
      <c r="A50" s="114" t="s">
        <v>206</v>
      </c>
      <c r="B50" s="360">
        <v>4</v>
      </c>
      <c r="C50" s="112">
        <v>2305324</v>
      </c>
      <c r="E50" s="104">
        <v>4</v>
      </c>
      <c r="F50" s="104">
        <v>2305324</v>
      </c>
      <c r="G50" s="110">
        <f t="shared" si="0"/>
        <v>576331</v>
      </c>
    </row>
    <row r="51" spans="1:7">
      <c r="A51" s="115" t="s">
        <v>216</v>
      </c>
      <c r="B51" s="360">
        <v>5</v>
      </c>
      <c r="C51" s="112">
        <v>2968920</v>
      </c>
      <c r="E51" s="104">
        <v>5</v>
      </c>
      <c r="F51" s="104">
        <v>2968920</v>
      </c>
      <c r="G51" s="110">
        <f t="shared" si="0"/>
        <v>593784</v>
      </c>
    </row>
    <row r="52" spans="1:7">
      <c r="A52" s="114" t="s">
        <v>1536</v>
      </c>
      <c r="B52" s="360">
        <v>4</v>
      </c>
      <c r="C52" s="112">
        <v>2375136</v>
      </c>
      <c r="E52" s="104">
        <v>4</v>
      </c>
      <c r="F52" s="104">
        <v>2375136</v>
      </c>
      <c r="G52" s="110">
        <f t="shared" si="0"/>
        <v>593784</v>
      </c>
    </row>
    <row r="53" spans="1:7">
      <c r="A53" s="114" t="s">
        <v>1511</v>
      </c>
      <c r="B53" s="360">
        <v>6</v>
      </c>
      <c r="C53" s="112">
        <v>3457986</v>
      </c>
      <c r="E53" s="104">
        <v>6</v>
      </c>
      <c r="F53" s="104">
        <v>3457986</v>
      </c>
      <c r="G53" s="110">
        <f t="shared" si="0"/>
        <v>576331</v>
      </c>
    </row>
    <row r="54" spans="1:7">
      <c r="A54" s="114" t="s">
        <v>1509</v>
      </c>
      <c r="B54" s="360">
        <v>4</v>
      </c>
      <c r="C54" s="112">
        <v>2305324</v>
      </c>
      <c r="E54" s="104">
        <v>4</v>
      </c>
      <c r="F54" s="104">
        <v>2305324</v>
      </c>
      <c r="G54" s="110">
        <f t="shared" si="0"/>
        <v>576331</v>
      </c>
    </row>
    <row r="55" spans="1:7">
      <c r="A55" s="114" t="s">
        <v>1508</v>
      </c>
      <c r="B55" s="360">
        <v>8</v>
      </c>
      <c r="C55" s="112">
        <v>4610648</v>
      </c>
      <c r="E55" s="104">
        <v>8</v>
      </c>
      <c r="F55" s="104">
        <v>4610648</v>
      </c>
      <c r="G55" s="110">
        <f t="shared" si="0"/>
        <v>576331</v>
      </c>
    </row>
    <row r="56" spans="1:7">
      <c r="A56" s="114" t="s">
        <v>1535</v>
      </c>
      <c r="B56" s="360">
        <v>10</v>
      </c>
      <c r="C56" s="112">
        <v>5763310</v>
      </c>
      <c r="E56" s="104">
        <v>10</v>
      </c>
      <c r="F56" s="104">
        <v>5763310</v>
      </c>
      <c r="G56" s="110">
        <f t="shared" si="0"/>
        <v>576331</v>
      </c>
    </row>
    <row r="57" spans="1:7">
      <c r="A57" s="114" t="s">
        <v>1515</v>
      </c>
      <c r="B57" s="360">
        <v>4</v>
      </c>
      <c r="C57" s="112">
        <v>2305324</v>
      </c>
      <c r="E57" s="104">
        <v>4</v>
      </c>
      <c r="F57" s="104">
        <v>2305324</v>
      </c>
      <c r="G57" s="110">
        <f t="shared" si="0"/>
        <v>576331</v>
      </c>
    </row>
    <row r="58" spans="1:7">
      <c r="A58" s="114" t="s">
        <v>1534</v>
      </c>
      <c r="B58" s="360">
        <v>10</v>
      </c>
      <c r="C58" s="112">
        <v>5763310</v>
      </c>
      <c r="E58" s="104">
        <v>10</v>
      </c>
      <c r="F58" s="104">
        <v>5763310</v>
      </c>
      <c r="G58" s="110">
        <f t="shared" si="0"/>
        <v>576331</v>
      </c>
    </row>
    <row r="59" spans="1:7">
      <c r="A59" s="114" t="s">
        <v>1512</v>
      </c>
      <c r="B59" s="360">
        <v>6</v>
      </c>
      <c r="C59" s="112">
        <v>3457986</v>
      </c>
      <c r="E59" s="104">
        <v>6</v>
      </c>
      <c r="F59" s="104">
        <v>3457986</v>
      </c>
      <c r="G59" s="110">
        <f t="shared" si="0"/>
        <v>576331</v>
      </c>
    </row>
    <row r="60" spans="1:7">
      <c r="A60" s="114" t="s">
        <v>1513</v>
      </c>
      <c r="B60" s="360">
        <v>2</v>
      </c>
      <c r="C60" s="112">
        <v>1152662</v>
      </c>
      <c r="E60" s="104">
        <v>2</v>
      </c>
      <c r="F60" s="104">
        <v>1152662</v>
      </c>
      <c r="G60" s="110">
        <f t="shared" si="0"/>
        <v>576331</v>
      </c>
    </row>
    <row r="61" spans="1:7">
      <c r="A61" s="114" t="s">
        <v>1510</v>
      </c>
      <c r="B61" s="360">
        <v>1</v>
      </c>
      <c r="C61" s="112">
        <v>576331</v>
      </c>
      <c r="E61" s="104">
        <v>1</v>
      </c>
      <c r="F61" s="104">
        <v>576331</v>
      </c>
      <c r="G61" s="110">
        <f t="shared" si="0"/>
        <v>576331</v>
      </c>
    </row>
    <row r="62" spans="1:7">
      <c r="A62" s="114" t="s">
        <v>242</v>
      </c>
      <c r="B62" s="360">
        <v>5</v>
      </c>
      <c r="C62" s="112">
        <v>3405250</v>
      </c>
      <c r="E62" s="104">
        <v>5</v>
      </c>
      <c r="F62" s="104">
        <v>3405250</v>
      </c>
      <c r="G62" s="110">
        <f t="shared" si="0"/>
        <v>681050</v>
      </c>
    </row>
    <row r="63" spans="1:7">
      <c r="A63" s="114" t="s">
        <v>252</v>
      </c>
      <c r="B63" s="360">
        <v>11</v>
      </c>
      <c r="C63" s="112">
        <v>7491550</v>
      </c>
      <c r="E63" s="104">
        <v>11</v>
      </c>
      <c r="F63" s="104">
        <v>7491550</v>
      </c>
      <c r="G63" s="110">
        <f t="shared" si="0"/>
        <v>681050</v>
      </c>
    </row>
    <row r="64" spans="1:7">
      <c r="A64" s="114" t="s">
        <v>240</v>
      </c>
      <c r="B64" s="360">
        <v>32</v>
      </c>
      <c r="C64" s="112">
        <v>21793600</v>
      </c>
      <c r="E64" s="104">
        <v>32</v>
      </c>
      <c r="F64" s="104">
        <v>21793600</v>
      </c>
      <c r="G64" s="110">
        <f t="shared" si="0"/>
        <v>681050</v>
      </c>
    </row>
    <row r="65" spans="1:7">
      <c r="A65" s="114" t="s">
        <v>201</v>
      </c>
      <c r="B65" s="360">
        <v>12</v>
      </c>
      <c r="C65" s="112">
        <v>8172600</v>
      </c>
      <c r="E65" s="104">
        <v>12</v>
      </c>
      <c r="F65" s="104">
        <v>8172600</v>
      </c>
      <c r="G65" s="110">
        <f t="shared" si="0"/>
        <v>681050</v>
      </c>
    </row>
    <row r="66" spans="1:7">
      <c r="A66" s="114" t="s">
        <v>1564</v>
      </c>
      <c r="B66" s="360">
        <v>8</v>
      </c>
      <c r="C66" s="112">
        <v>5448400</v>
      </c>
      <c r="E66" s="104">
        <v>8</v>
      </c>
      <c r="F66" s="104">
        <v>5448400</v>
      </c>
      <c r="G66" s="110">
        <f t="shared" si="0"/>
        <v>681050</v>
      </c>
    </row>
    <row r="67" spans="1:7">
      <c r="A67" s="114" t="s">
        <v>1566</v>
      </c>
      <c r="B67" s="360">
        <v>9</v>
      </c>
      <c r="C67" s="112">
        <v>6129450</v>
      </c>
      <c r="E67" s="104">
        <v>9</v>
      </c>
      <c r="F67" s="104">
        <v>6129450</v>
      </c>
      <c r="G67" s="110">
        <f t="shared" si="0"/>
        <v>681050</v>
      </c>
    </row>
    <row r="68" spans="1:7">
      <c r="A68" s="114" t="s">
        <v>246</v>
      </c>
      <c r="B68" s="360">
        <v>14</v>
      </c>
      <c r="C68" s="112">
        <v>9534700</v>
      </c>
      <c r="E68" s="104">
        <v>14</v>
      </c>
      <c r="F68" s="104">
        <v>9534700</v>
      </c>
      <c r="G68" s="110">
        <f t="shared" ref="G68:G131" si="1">F68/E68</f>
        <v>681050</v>
      </c>
    </row>
    <row r="69" spans="1:7">
      <c r="A69" s="114" t="s">
        <v>239</v>
      </c>
      <c r="B69" s="360">
        <v>12</v>
      </c>
      <c r="C69" s="112">
        <v>8172600</v>
      </c>
      <c r="E69" s="104">
        <v>12</v>
      </c>
      <c r="F69" s="104">
        <v>8172600</v>
      </c>
      <c r="G69" s="110">
        <f t="shared" si="1"/>
        <v>681050</v>
      </c>
    </row>
    <row r="70" spans="1:7">
      <c r="A70" s="114" t="s">
        <v>256</v>
      </c>
      <c r="B70" s="360">
        <v>6</v>
      </c>
      <c r="C70" s="112">
        <v>4086300</v>
      </c>
      <c r="E70" s="104">
        <v>6</v>
      </c>
      <c r="F70" s="104">
        <v>4086300</v>
      </c>
      <c r="G70" s="110">
        <f t="shared" si="1"/>
        <v>681050</v>
      </c>
    </row>
    <row r="71" spans="1:7">
      <c r="A71" s="114" t="s">
        <v>255</v>
      </c>
      <c r="B71" s="360">
        <v>9</v>
      </c>
      <c r="C71" s="112">
        <v>6129450</v>
      </c>
      <c r="E71" s="104">
        <v>9</v>
      </c>
      <c r="F71" s="104">
        <v>6129450</v>
      </c>
      <c r="G71" s="110">
        <f t="shared" si="1"/>
        <v>681050</v>
      </c>
    </row>
    <row r="72" spans="1:7">
      <c r="A72" s="114" t="s">
        <v>243</v>
      </c>
      <c r="B72" s="360">
        <v>13</v>
      </c>
      <c r="C72" s="112">
        <v>8853650</v>
      </c>
      <c r="E72" s="104">
        <v>13</v>
      </c>
      <c r="F72" s="104">
        <v>8853650</v>
      </c>
      <c r="G72" s="110">
        <f t="shared" si="1"/>
        <v>681050</v>
      </c>
    </row>
    <row r="73" spans="1:7">
      <c r="A73" s="114" t="s">
        <v>244</v>
      </c>
      <c r="B73" s="360">
        <v>23</v>
      </c>
      <c r="C73" s="112">
        <v>15664150</v>
      </c>
      <c r="E73" s="104">
        <v>23</v>
      </c>
      <c r="F73" s="104">
        <v>15664150</v>
      </c>
      <c r="G73" s="110">
        <f t="shared" si="1"/>
        <v>681050</v>
      </c>
    </row>
    <row r="74" spans="1:7">
      <c r="A74" s="114" t="s">
        <v>1562</v>
      </c>
      <c r="B74" s="360">
        <v>11</v>
      </c>
      <c r="C74" s="112">
        <v>7491550</v>
      </c>
      <c r="E74" s="104">
        <v>11</v>
      </c>
      <c r="F74" s="104">
        <v>7491550</v>
      </c>
      <c r="G74" s="110">
        <f t="shared" si="1"/>
        <v>681050</v>
      </c>
    </row>
    <row r="75" spans="1:7">
      <c r="A75" s="114" t="s">
        <v>1568</v>
      </c>
      <c r="B75" s="360">
        <v>4</v>
      </c>
      <c r="C75" s="112">
        <v>2724200</v>
      </c>
      <c r="E75" s="104">
        <v>4</v>
      </c>
      <c r="F75" s="104">
        <v>2724200</v>
      </c>
      <c r="G75" s="110">
        <f t="shared" si="1"/>
        <v>681050</v>
      </c>
    </row>
    <row r="76" spans="1:7">
      <c r="A76" s="114" t="s">
        <v>199</v>
      </c>
      <c r="B76" s="360">
        <v>9</v>
      </c>
      <c r="C76" s="112">
        <v>6129450</v>
      </c>
      <c r="E76" s="104">
        <v>9</v>
      </c>
      <c r="F76" s="104">
        <v>6129450</v>
      </c>
      <c r="G76" s="110">
        <f t="shared" si="1"/>
        <v>681050</v>
      </c>
    </row>
    <row r="77" spans="1:7">
      <c r="A77" s="114" t="s">
        <v>253</v>
      </c>
      <c r="B77" s="360">
        <v>8</v>
      </c>
      <c r="C77" s="112">
        <v>5448400</v>
      </c>
      <c r="E77" s="104">
        <v>8</v>
      </c>
      <c r="F77" s="104">
        <v>5448400</v>
      </c>
      <c r="G77" s="110">
        <f t="shared" si="1"/>
        <v>681050</v>
      </c>
    </row>
    <row r="78" spans="1:7">
      <c r="A78" s="114" t="s">
        <v>254</v>
      </c>
      <c r="B78" s="360">
        <v>27</v>
      </c>
      <c r="C78" s="112">
        <v>18388350</v>
      </c>
      <c r="E78" s="104">
        <v>27</v>
      </c>
      <c r="F78" s="104">
        <v>18388350</v>
      </c>
      <c r="G78" s="110">
        <f t="shared" si="1"/>
        <v>681050</v>
      </c>
    </row>
    <row r="79" spans="1:7">
      <c r="A79" s="114" t="s">
        <v>200</v>
      </c>
      <c r="B79" s="360">
        <v>8</v>
      </c>
      <c r="C79" s="112">
        <v>5448400</v>
      </c>
      <c r="E79" s="104">
        <v>8</v>
      </c>
      <c r="F79" s="104">
        <v>5448400</v>
      </c>
      <c r="G79" s="110">
        <f t="shared" si="1"/>
        <v>681050</v>
      </c>
    </row>
    <row r="80" spans="1:7">
      <c r="A80" s="114" t="s">
        <v>248</v>
      </c>
      <c r="B80" s="360">
        <v>18</v>
      </c>
      <c r="C80" s="112">
        <v>12258900</v>
      </c>
      <c r="E80" s="104">
        <v>18</v>
      </c>
      <c r="F80" s="104">
        <v>12258900</v>
      </c>
      <c r="G80" s="110">
        <f t="shared" si="1"/>
        <v>681050</v>
      </c>
    </row>
    <row r="81" spans="1:7">
      <c r="A81" s="114" t="s">
        <v>1555</v>
      </c>
      <c r="B81" s="360">
        <v>2</v>
      </c>
      <c r="C81" s="112">
        <v>978130</v>
      </c>
      <c r="E81" s="104">
        <v>2</v>
      </c>
      <c r="F81" s="104">
        <v>978130</v>
      </c>
      <c r="G81" s="110">
        <f t="shared" si="1"/>
        <v>489065</v>
      </c>
    </row>
    <row r="82" spans="1:7">
      <c r="A82" s="114" t="s">
        <v>1567</v>
      </c>
      <c r="B82" s="360">
        <v>1</v>
      </c>
      <c r="C82" s="112">
        <v>489065</v>
      </c>
      <c r="E82" s="104">
        <v>1</v>
      </c>
      <c r="F82" s="104">
        <v>489065</v>
      </c>
      <c r="G82" s="110">
        <f t="shared" si="1"/>
        <v>489065</v>
      </c>
    </row>
    <row r="83" spans="1:7">
      <c r="A83" s="114" t="s">
        <v>247</v>
      </c>
      <c r="B83" s="360">
        <v>1</v>
      </c>
      <c r="C83" s="112">
        <v>602510</v>
      </c>
      <c r="E83" s="104">
        <v>1</v>
      </c>
      <c r="F83" s="104">
        <v>602510</v>
      </c>
      <c r="G83" s="110">
        <f t="shared" si="1"/>
        <v>602510</v>
      </c>
    </row>
    <row r="84" spans="1:7">
      <c r="A84" s="114" t="s">
        <v>233</v>
      </c>
      <c r="B84" s="360">
        <v>2</v>
      </c>
      <c r="C84" s="112">
        <v>1205020</v>
      </c>
      <c r="E84" s="104">
        <v>2</v>
      </c>
      <c r="F84" s="104">
        <v>1205020</v>
      </c>
      <c r="G84" s="110">
        <f t="shared" si="1"/>
        <v>602510</v>
      </c>
    </row>
    <row r="85" spans="1:7">
      <c r="A85" s="114" t="s">
        <v>231</v>
      </c>
      <c r="B85" s="360">
        <v>1</v>
      </c>
      <c r="C85" s="112">
        <v>602510</v>
      </c>
      <c r="E85" s="104">
        <v>1</v>
      </c>
      <c r="F85" s="104">
        <v>602510</v>
      </c>
      <c r="G85" s="110">
        <f t="shared" si="1"/>
        <v>602510</v>
      </c>
    </row>
    <row r="86" spans="1:7">
      <c r="A86" s="114" t="s">
        <v>237</v>
      </c>
      <c r="B86" s="360">
        <v>2</v>
      </c>
      <c r="C86" s="112">
        <v>1205020</v>
      </c>
      <c r="E86" s="104">
        <v>2</v>
      </c>
      <c r="F86" s="104">
        <v>1205020</v>
      </c>
      <c r="G86" s="110">
        <f t="shared" si="1"/>
        <v>602510</v>
      </c>
    </row>
    <row r="87" spans="1:7">
      <c r="A87" s="114" t="s">
        <v>251</v>
      </c>
      <c r="B87" s="360">
        <v>1</v>
      </c>
      <c r="C87" s="112">
        <v>602510</v>
      </c>
      <c r="E87" s="104">
        <v>1</v>
      </c>
      <c r="F87" s="104">
        <v>602510</v>
      </c>
      <c r="G87" s="110">
        <f t="shared" si="1"/>
        <v>602510</v>
      </c>
    </row>
    <row r="88" spans="1:7">
      <c r="A88" s="114" t="s">
        <v>236</v>
      </c>
      <c r="B88" s="360">
        <v>1</v>
      </c>
      <c r="C88" s="112">
        <v>602510</v>
      </c>
      <c r="E88" s="104">
        <v>1</v>
      </c>
      <c r="F88" s="104">
        <v>602510</v>
      </c>
      <c r="G88" s="110">
        <f t="shared" si="1"/>
        <v>602510</v>
      </c>
    </row>
    <row r="89" spans="1:7">
      <c r="A89" s="114" t="s">
        <v>232</v>
      </c>
      <c r="B89" s="360">
        <v>1</v>
      </c>
      <c r="C89" s="112">
        <v>602510</v>
      </c>
      <c r="E89" s="104">
        <v>1</v>
      </c>
      <c r="F89" s="104">
        <v>602510</v>
      </c>
      <c r="G89" s="110">
        <f t="shared" si="1"/>
        <v>602510</v>
      </c>
    </row>
    <row r="90" spans="1:7">
      <c r="A90" s="114" t="s">
        <v>241</v>
      </c>
      <c r="B90" s="360">
        <v>1</v>
      </c>
      <c r="C90" s="112">
        <v>602510</v>
      </c>
      <c r="E90" s="104">
        <v>1</v>
      </c>
      <c r="F90" s="104">
        <v>602510</v>
      </c>
      <c r="G90" s="110">
        <f t="shared" si="1"/>
        <v>602510</v>
      </c>
    </row>
    <row r="91" spans="1:7">
      <c r="A91" s="114" t="s">
        <v>234</v>
      </c>
      <c r="B91" s="360">
        <v>3</v>
      </c>
      <c r="C91" s="112">
        <v>1807530</v>
      </c>
      <c r="E91" s="104">
        <v>3</v>
      </c>
      <c r="F91" s="104">
        <v>1807530</v>
      </c>
      <c r="G91" s="110">
        <f t="shared" si="1"/>
        <v>602510</v>
      </c>
    </row>
    <row r="92" spans="1:7">
      <c r="A92" s="114" t="s">
        <v>245</v>
      </c>
      <c r="B92" s="360">
        <v>4</v>
      </c>
      <c r="C92" s="112">
        <v>2410040</v>
      </c>
      <c r="E92" s="104">
        <v>4</v>
      </c>
      <c r="F92" s="104">
        <v>2410040</v>
      </c>
      <c r="G92" s="110">
        <f t="shared" si="1"/>
        <v>602510</v>
      </c>
    </row>
    <row r="93" spans="1:7">
      <c r="A93" s="114" t="s">
        <v>250</v>
      </c>
      <c r="B93" s="360">
        <v>1</v>
      </c>
      <c r="C93" s="112">
        <v>602510</v>
      </c>
      <c r="E93" s="104">
        <v>1</v>
      </c>
      <c r="F93" s="104">
        <v>602510</v>
      </c>
      <c r="G93" s="110">
        <f t="shared" si="1"/>
        <v>602510</v>
      </c>
    </row>
    <row r="94" spans="1:7">
      <c r="A94" s="114" t="s">
        <v>238</v>
      </c>
      <c r="B94" s="360">
        <v>3</v>
      </c>
      <c r="C94" s="112">
        <v>1807530</v>
      </c>
      <c r="E94" s="104">
        <v>3</v>
      </c>
      <c r="F94" s="104">
        <v>1807530</v>
      </c>
      <c r="G94" s="110">
        <f t="shared" si="1"/>
        <v>602510</v>
      </c>
    </row>
    <row r="95" spans="1:7">
      <c r="A95" s="114" t="s">
        <v>235</v>
      </c>
      <c r="B95" s="360">
        <v>1</v>
      </c>
      <c r="C95" s="112">
        <v>602510</v>
      </c>
      <c r="E95" s="104">
        <v>1</v>
      </c>
      <c r="F95" s="104">
        <v>602510</v>
      </c>
      <c r="G95" s="110">
        <f t="shared" si="1"/>
        <v>602510</v>
      </c>
    </row>
    <row r="96" spans="1:7">
      <c r="A96" s="114" t="s">
        <v>249</v>
      </c>
      <c r="B96" s="360">
        <v>2</v>
      </c>
      <c r="C96" s="112">
        <v>1205020</v>
      </c>
      <c r="E96" s="104">
        <v>2</v>
      </c>
      <c r="F96" s="104">
        <v>1205020</v>
      </c>
      <c r="G96" s="110">
        <f t="shared" si="1"/>
        <v>602510</v>
      </c>
    </row>
    <row r="97" spans="1:7">
      <c r="A97" s="114" t="s">
        <v>1560</v>
      </c>
      <c r="B97" s="360">
        <v>2</v>
      </c>
      <c r="C97" s="112">
        <v>1205020</v>
      </c>
      <c r="E97" s="104">
        <v>2</v>
      </c>
      <c r="F97" s="104">
        <v>1205020</v>
      </c>
      <c r="G97" s="110">
        <f t="shared" si="1"/>
        <v>602510</v>
      </c>
    </row>
    <row r="98" spans="1:7">
      <c r="A98" s="114" t="s">
        <v>1563</v>
      </c>
      <c r="B98" s="360">
        <v>2</v>
      </c>
      <c r="C98" s="112">
        <v>1205020</v>
      </c>
      <c r="E98" s="104">
        <v>2</v>
      </c>
      <c r="F98" s="104">
        <v>1205020</v>
      </c>
      <c r="G98" s="110">
        <f t="shared" si="1"/>
        <v>602510</v>
      </c>
    </row>
    <row r="99" spans="1:7">
      <c r="A99" s="114" t="s">
        <v>1565</v>
      </c>
      <c r="B99" s="360">
        <v>2</v>
      </c>
      <c r="C99" s="112">
        <v>1205020</v>
      </c>
      <c r="E99" s="104">
        <v>2</v>
      </c>
      <c r="F99" s="104">
        <v>1205020</v>
      </c>
      <c r="G99" s="110">
        <f t="shared" si="1"/>
        <v>602510</v>
      </c>
    </row>
    <row r="100" spans="1:7">
      <c r="A100" s="114" t="s">
        <v>1556</v>
      </c>
      <c r="B100" s="360">
        <v>7</v>
      </c>
      <c r="C100" s="112">
        <v>4217570</v>
      </c>
      <c r="E100" s="104">
        <v>7</v>
      </c>
      <c r="F100" s="104">
        <v>4217570</v>
      </c>
      <c r="G100" s="110">
        <f t="shared" si="1"/>
        <v>602510</v>
      </c>
    </row>
    <row r="101" spans="1:7">
      <c r="A101" s="114" t="s">
        <v>1561</v>
      </c>
      <c r="B101" s="360">
        <v>1</v>
      </c>
      <c r="C101" s="112">
        <v>602510</v>
      </c>
      <c r="E101" s="104">
        <v>1</v>
      </c>
      <c r="F101" s="104">
        <v>602510</v>
      </c>
      <c r="G101" s="110">
        <f t="shared" si="1"/>
        <v>602510</v>
      </c>
    </row>
    <row r="102" spans="1:7">
      <c r="A102" s="114" t="s">
        <v>1557</v>
      </c>
      <c r="B102" s="360">
        <v>3</v>
      </c>
      <c r="C102" s="112">
        <v>1807530</v>
      </c>
      <c r="E102" s="104">
        <v>3</v>
      </c>
      <c r="F102" s="104">
        <v>1807530</v>
      </c>
      <c r="G102" s="110">
        <f t="shared" si="1"/>
        <v>602510</v>
      </c>
    </row>
    <row r="103" spans="1:7">
      <c r="A103" s="114" t="s">
        <v>1558</v>
      </c>
      <c r="B103" s="360">
        <v>2</v>
      </c>
      <c r="C103" s="112">
        <v>1205020</v>
      </c>
      <c r="E103" s="104">
        <v>2</v>
      </c>
      <c r="F103" s="104">
        <v>1205020</v>
      </c>
      <c r="G103" s="110">
        <f t="shared" si="1"/>
        <v>602510</v>
      </c>
    </row>
    <row r="104" spans="1:7">
      <c r="A104" s="114" t="s">
        <v>1559</v>
      </c>
      <c r="B104" s="360">
        <v>1</v>
      </c>
      <c r="C104" s="112">
        <v>602510</v>
      </c>
      <c r="E104" s="104">
        <v>1</v>
      </c>
      <c r="F104" s="104">
        <v>602510</v>
      </c>
      <c r="G104" s="110">
        <f t="shared" si="1"/>
        <v>602510</v>
      </c>
    </row>
    <row r="105" spans="1:7">
      <c r="A105" s="114" t="s">
        <v>130</v>
      </c>
      <c r="B105" s="360">
        <v>6</v>
      </c>
      <c r="C105" s="112">
        <v>6014400</v>
      </c>
      <c r="E105" s="104">
        <v>6</v>
      </c>
      <c r="F105" s="104">
        <v>6014400</v>
      </c>
      <c r="G105" s="110">
        <f t="shared" si="1"/>
        <v>1002400</v>
      </c>
    </row>
    <row r="106" spans="1:7">
      <c r="A106" s="114" t="s">
        <v>131</v>
      </c>
      <c r="B106" s="360">
        <v>3</v>
      </c>
      <c r="C106" s="112">
        <v>3007200</v>
      </c>
      <c r="E106" s="104">
        <v>3</v>
      </c>
      <c r="F106" s="104">
        <v>3007200</v>
      </c>
      <c r="G106" s="110">
        <f t="shared" si="1"/>
        <v>1002400</v>
      </c>
    </row>
    <row r="107" spans="1:7">
      <c r="A107" s="114" t="s">
        <v>132</v>
      </c>
      <c r="B107" s="360">
        <v>7</v>
      </c>
      <c r="C107" s="112">
        <v>7016800</v>
      </c>
      <c r="E107" s="104">
        <v>7</v>
      </c>
      <c r="F107" s="104">
        <v>7016800</v>
      </c>
      <c r="G107" s="110">
        <f t="shared" si="1"/>
        <v>1002400</v>
      </c>
    </row>
    <row r="108" spans="1:7">
      <c r="A108" s="114" t="s">
        <v>133</v>
      </c>
      <c r="B108" s="360">
        <v>3</v>
      </c>
      <c r="C108" s="112">
        <v>3007200</v>
      </c>
      <c r="E108" s="104">
        <v>3</v>
      </c>
      <c r="F108" s="104">
        <v>3007200</v>
      </c>
      <c r="G108" s="110">
        <f t="shared" si="1"/>
        <v>1002400</v>
      </c>
    </row>
    <row r="109" spans="1:7">
      <c r="A109" s="114" t="s">
        <v>134</v>
      </c>
      <c r="B109" s="360">
        <v>4</v>
      </c>
      <c r="C109" s="112">
        <v>4009600</v>
      </c>
      <c r="E109" s="104">
        <v>4</v>
      </c>
      <c r="F109" s="104">
        <v>4009600</v>
      </c>
      <c r="G109" s="110">
        <f t="shared" si="1"/>
        <v>1002400</v>
      </c>
    </row>
    <row r="110" spans="1:7">
      <c r="A110" s="114" t="s">
        <v>135</v>
      </c>
      <c r="B110" s="360">
        <v>5</v>
      </c>
      <c r="C110" s="112">
        <v>5012000</v>
      </c>
      <c r="E110" s="104">
        <v>5</v>
      </c>
      <c r="F110" s="104">
        <v>5012000</v>
      </c>
      <c r="G110" s="110">
        <f t="shared" si="1"/>
        <v>1002400</v>
      </c>
    </row>
    <row r="111" spans="1:7">
      <c r="A111" s="114" t="s">
        <v>136</v>
      </c>
      <c r="B111" s="360">
        <v>1</v>
      </c>
      <c r="C111" s="112">
        <v>1002400</v>
      </c>
      <c r="E111" s="104">
        <v>1</v>
      </c>
      <c r="F111" s="104">
        <v>1002400</v>
      </c>
      <c r="G111" s="110">
        <f t="shared" si="1"/>
        <v>1002400</v>
      </c>
    </row>
    <row r="112" spans="1:7">
      <c r="A112" s="114" t="s">
        <v>137</v>
      </c>
      <c r="B112" s="360">
        <v>6</v>
      </c>
      <c r="C112" s="112">
        <v>6014400</v>
      </c>
      <c r="E112" s="104">
        <v>6</v>
      </c>
      <c r="F112" s="104">
        <v>6014400</v>
      </c>
      <c r="G112" s="110">
        <f t="shared" si="1"/>
        <v>1002400</v>
      </c>
    </row>
    <row r="113" spans="1:7">
      <c r="A113" s="114" t="s">
        <v>138</v>
      </c>
      <c r="B113" s="360">
        <v>4</v>
      </c>
      <c r="C113" s="112">
        <v>4009600</v>
      </c>
      <c r="E113" s="104">
        <v>4</v>
      </c>
      <c r="F113" s="104">
        <v>4009600</v>
      </c>
      <c r="G113" s="110">
        <f t="shared" si="1"/>
        <v>1002400</v>
      </c>
    </row>
    <row r="114" spans="1:7">
      <c r="A114" s="114" t="s">
        <v>139</v>
      </c>
      <c r="B114" s="360">
        <v>4</v>
      </c>
      <c r="C114" s="112">
        <v>4009600</v>
      </c>
      <c r="E114" s="104">
        <v>4</v>
      </c>
      <c r="F114" s="104">
        <v>4009600</v>
      </c>
      <c r="G114" s="110">
        <f t="shared" si="1"/>
        <v>1002400</v>
      </c>
    </row>
    <row r="115" spans="1:7">
      <c r="A115" s="114" t="s">
        <v>140</v>
      </c>
      <c r="B115" s="360">
        <v>4</v>
      </c>
      <c r="C115" s="112">
        <v>4009600</v>
      </c>
      <c r="E115" s="104">
        <v>4</v>
      </c>
      <c r="F115" s="104">
        <v>4009600</v>
      </c>
      <c r="G115" s="110">
        <f t="shared" si="1"/>
        <v>1002400</v>
      </c>
    </row>
    <row r="116" spans="1:7">
      <c r="A116" s="114" t="s">
        <v>141</v>
      </c>
      <c r="B116" s="360">
        <v>12</v>
      </c>
      <c r="C116" s="112">
        <v>12028800</v>
      </c>
      <c r="E116" s="104">
        <v>12</v>
      </c>
      <c r="F116" s="104">
        <v>12028800</v>
      </c>
      <c r="G116" s="110">
        <f t="shared" si="1"/>
        <v>1002400</v>
      </c>
    </row>
    <row r="117" spans="1:7">
      <c r="A117" s="114" t="s">
        <v>1531</v>
      </c>
      <c r="B117" s="360">
        <v>5</v>
      </c>
      <c r="C117" s="112">
        <v>5012000</v>
      </c>
      <c r="E117" s="104">
        <v>5</v>
      </c>
      <c r="F117" s="104">
        <v>5012000</v>
      </c>
      <c r="G117" s="110">
        <f t="shared" si="1"/>
        <v>1002400</v>
      </c>
    </row>
    <row r="118" spans="1:7">
      <c r="A118" s="114" t="s">
        <v>142</v>
      </c>
      <c r="B118" s="360">
        <v>1</v>
      </c>
      <c r="C118" s="112">
        <v>1002400</v>
      </c>
      <c r="E118" s="104">
        <v>1</v>
      </c>
      <c r="F118" s="104">
        <v>1002400</v>
      </c>
      <c r="G118" s="110">
        <f t="shared" si="1"/>
        <v>1002400</v>
      </c>
    </row>
    <row r="119" spans="1:7">
      <c r="A119" s="114" t="s">
        <v>143</v>
      </c>
      <c r="B119" s="360">
        <v>4</v>
      </c>
      <c r="C119" s="112">
        <v>4009600</v>
      </c>
      <c r="E119" s="104">
        <v>4</v>
      </c>
      <c r="F119" s="104">
        <v>4009600</v>
      </c>
      <c r="G119" s="110">
        <f t="shared" si="1"/>
        <v>1002400</v>
      </c>
    </row>
    <row r="120" spans="1:7">
      <c r="A120" s="114" t="s">
        <v>144</v>
      </c>
      <c r="B120" s="360">
        <v>10</v>
      </c>
      <c r="C120" s="112">
        <v>10024000</v>
      </c>
      <c r="E120" s="104">
        <v>10</v>
      </c>
      <c r="F120" s="104">
        <v>10024000</v>
      </c>
      <c r="G120" s="110">
        <f t="shared" si="1"/>
        <v>1002400</v>
      </c>
    </row>
    <row r="121" spans="1:7">
      <c r="A121" s="114" t="s">
        <v>145</v>
      </c>
      <c r="B121" s="360">
        <v>10</v>
      </c>
      <c r="C121" s="112">
        <v>10024000</v>
      </c>
      <c r="E121" s="104">
        <v>10</v>
      </c>
      <c r="F121" s="104">
        <v>10024000</v>
      </c>
      <c r="G121" s="110">
        <f t="shared" si="1"/>
        <v>1002400</v>
      </c>
    </row>
    <row r="122" spans="1:7">
      <c r="A122" s="114" t="s">
        <v>146</v>
      </c>
      <c r="B122" s="360">
        <v>10</v>
      </c>
      <c r="C122" s="112">
        <v>10024000</v>
      </c>
      <c r="E122" s="104">
        <v>10</v>
      </c>
      <c r="F122" s="104">
        <v>10024000</v>
      </c>
      <c r="G122" s="110">
        <f t="shared" si="1"/>
        <v>1002400</v>
      </c>
    </row>
    <row r="123" spans="1:7">
      <c r="A123" s="114" t="s">
        <v>210</v>
      </c>
      <c r="B123" s="360">
        <v>4</v>
      </c>
      <c r="C123" s="112">
        <v>2340228</v>
      </c>
      <c r="E123" s="104">
        <v>4</v>
      </c>
      <c r="F123" s="104">
        <v>2340228</v>
      </c>
      <c r="G123" s="110">
        <f t="shared" si="1"/>
        <v>585057</v>
      </c>
    </row>
    <row r="124" spans="1:7">
      <c r="A124" s="114" t="s">
        <v>212</v>
      </c>
      <c r="B124" s="360">
        <v>2</v>
      </c>
      <c r="C124" s="112">
        <v>1170114</v>
      </c>
      <c r="E124" s="104">
        <v>2</v>
      </c>
      <c r="F124" s="104">
        <v>1170114</v>
      </c>
      <c r="G124" s="110">
        <f t="shared" si="1"/>
        <v>585057</v>
      </c>
    </row>
    <row r="125" spans="1:7">
      <c r="A125" s="114" t="s">
        <v>205</v>
      </c>
      <c r="B125" s="360">
        <v>4</v>
      </c>
      <c r="C125" s="112">
        <v>2340228</v>
      </c>
      <c r="E125" s="104">
        <v>4</v>
      </c>
      <c r="F125" s="104">
        <v>2340228</v>
      </c>
      <c r="G125" s="110">
        <f t="shared" si="1"/>
        <v>585057</v>
      </c>
    </row>
    <row r="126" spans="1:7">
      <c r="A126" s="114" t="s">
        <v>215</v>
      </c>
      <c r="B126" s="360">
        <v>4</v>
      </c>
      <c r="C126" s="112">
        <v>2340228</v>
      </c>
      <c r="E126" s="104">
        <v>4</v>
      </c>
      <c r="F126" s="104">
        <v>2340228</v>
      </c>
      <c r="G126" s="110">
        <f t="shared" si="1"/>
        <v>585057</v>
      </c>
    </row>
    <row r="127" spans="1:7">
      <c r="A127" s="114" t="s">
        <v>1517</v>
      </c>
      <c r="B127" s="360">
        <v>3</v>
      </c>
      <c r="C127" s="112">
        <v>1755171</v>
      </c>
      <c r="E127" s="104">
        <v>3</v>
      </c>
      <c r="F127" s="104">
        <v>1755171</v>
      </c>
      <c r="G127" s="110">
        <f t="shared" si="1"/>
        <v>585057</v>
      </c>
    </row>
    <row r="128" spans="1:7">
      <c r="A128" s="114" t="s">
        <v>214</v>
      </c>
      <c r="B128" s="360">
        <v>1</v>
      </c>
      <c r="C128" s="112">
        <v>585057</v>
      </c>
      <c r="E128" s="104">
        <v>1</v>
      </c>
      <c r="F128" s="104">
        <v>585057</v>
      </c>
      <c r="G128" s="110">
        <f t="shared" si="1"/>
        <v>585057</v>
      </c>
    </row>
    <row r="129" spans="1:7">
      <c r="A129" s="114" t="s">
        <v>217</v>
      </c>
      <c r="B129" s="360">
        <v>3</v>
      </c>
      <c r="C129" s="112">
        <v>1755171</v>
      </c>
      <c r="E129" s="104">
        <v>3</v>
      </c>
      <c r="F129" s="104">
        <v>1755171</v>
      </c>
      <c r="G129" s="110">
        <f t="shared" si="1"/>
        <v>585057</v>
      </c>
    </row>
    <row r="130" spans="1:7">
      <c r="A130" s="114" t="s">
        <v>207</v>
      </c>
      <c r="B130" s="360">
        <v>2</v>
      </c>
      <c r="C130" s="112">
        <v>1170114</v>
      </c>
      <c r="E130" s="104">
        <v>2</v>
      </c>
      <c r="F130" s="104">
        <v>1170114</v>
      </c>
      <c r="G130" s="110">
        <f t="shared" si="1"/>
        <v>585057</v>
      </c>
    </row>
    <row r="131" spans="1:7">
      <c r="A131" s="114" t="s">
        <v>1526</v>
      </c>
      <c r="B131" s="360">
        <v>1</v>
      </c>
      <c r="C131" s="112">
        <v>585057</v>
      </c>
      <c r="E131" s="104">
        <v>1</v>
      </c>
      <c r="F131" s="104">
        <v>585057</v>
      </c>
      <c r="G131" s="110">
        <f t="shared" si="1"/>
        <v>585057</v>
      </c>
    </row>
    <row r="132" spans="1:7">
      <c r="A132" s="114" t="s">
        <v>1530</v>
      </c>
      <c r="B132" s="360">
        <v>1</v>
      </c>
      <c r="C132" s="112">
        <v>585057</v>
      </c>
      <c r="E132" s="104">
        <v>1</v>
      </c>
      <c r="F132" s="104">
        <v>585057</v>
      </c>
      <c r="G132" s="110">
        <f t="shared" ref="G132:G177" si="2">F132/E132</f>
        <v>585057</v>
      </c>
    </row>
    <row r="133" spans="1:7">
      <c r="A133" s="114" t="s">
        <v>1518</v>
      </c>
      <c r="B133" s="360">
        <v>2</v>
      </c>
      <c r="C133" s="112">
        <v>1170114</v>
      </c>
      <c r="E133" s="104">
        <v>2</v>
      </c>
      <c r="F133" s="104">
        <v>1170114</v>
      </c>
      <c r="G133" s="110">
        <f t="shared" si="2"/>
        <v>585057</v>
      </c>
    </row>
    <row r="134" spans="1:7">
      <c r="A134" s="114" t="s">
        <v>213</v>
      </c>
      <c r="B134" s="360">
        <v>2</v>
      </c>
      <c r="C134" s="112">
        <v>1170114</v>
      </c>
      <c r="E134" s="104">
        <v>2</v>
      </c>
      <c r="F134" s="104">
        <v>1170114</v>
      </c>
      <c r="G134" s="110">
        <f t="shared" si="2"/>
        <v>585057</v>
      </c>
    </row>
    <row r="135" spans="1:7">
      <c r="A135" s="114" t="s">
        <v>209</v>
      </c>
      <c r="B135" s="360">
        <v>1</v>
      </c>
      <c r="C135" s="112">
        <v>585057</v>
      </c>
      <c r="E135" s="104">
        <v>1</v>
      </c>
      <c r="F135" s="104">
        <v>585057</v>
      </c>
      <c r="G135" s="110">
        <f t="shared" si="2"/>
        <v>585057</v>
      </c>
    </row>
    <row r="136" spans="1:7">
      <c r="A136" s="114" t="s">
        <v>1521</v>
      </c>
      <c r="B136" s="360">
        <v>1</v>
      </c>
      <c r="C136" s="112">
        <v>585057</v>
      </c>
      <c r="E136" s="104">
        <v>1</v>
      </c>
      <c r="F136" s="104">
        <v>585057</v>
      </c>
      <c r="G136" s="110">
        <f t="shared" si="2"/>
        <v>585057</v>
      </c>
    </row>
    <row r="137" spans="1:7">
      <c r="A137" s="114" t="s">
        <v>221</v>
      </c>
      <c r="B137" s="360">
        <v>10</v>
      </c>
      <c r="C137" s="112">
        <v>6286900</v>
      </c>
      <c r="E137" s="104">
        <v>10</v>
      </c>
      <c r="F137" s="104">
        <v>6286900</v>
      </c>
      <c r="G137" s="110">
        <f t="shared" si="2"/>
        <v>628690</v>
      </c>
    </row>
    <row r="138" spans="1:7">
      <c r="A138" s="114" t="s">
        <v>219</v>
      </c>
      <c r="B138" s="360">
        <v>5</v>
      </c>
      <c r="C138" s="112">
        <v>3143450</v>
      </c>
      <c r="E138" s="104">
        <v>5</v>
      </c>
      <c r="F138" s="104">
        <v>3143450</v>
      </c>
      <c r="G138" s="110">
        <f t="shared" si="2"/>
        <v>628690</v>
      </c>
    </row>
    <row r="139" spans="1:7">
      <c r="A139" s="114" t="s">
        <v>223</v>
      </c>
      <c r="B139" s="360">
        <v>4</v>
      </c>
      <c r="C139" s="112">
        <v>2514760</v>
      </c>
      <c r="E139" s="104">
        <v>4</v>
      </c>
      <c r="F139" s="104">
        <v>2514760</v>
      </c>
      <c r="G139" s="110">
        <f t="shared" si="2"/>
        <v>628690</v>
      </c>
    </row>
    <row r="140" spans="1:7">
      <c r="A140" s="114" t="s">
        <v>1540</v>
      </c>
      <c r="B140" s="360">
        <v>8</v>
      </c>
      <c r="C140" s="112">
        <v>5029520</v>
      </c>
      <c r="E140" s="104">
        <v>8</v>
      </c>
      <c r="F140" s="104">
        <v>5029520</v>
      </c>
      <c r="G140" s="110">
        <f t="shared" si="2"/>
        <v>628690</v>
      </c>
    </row>
    <row r="141" spans="1:7">
      <c r="A141" s="114" t="s">
        <v>1550</v>
      </c>
      <c r="B141" s="360">
        <v>1</v>
      </c>
      <c r="C141" s="112">
        <v>628690</v>
      </c>
      <c r="E141" s="104">
        <v>1</v>
      </c>
      <c r="F141" s="104">
        <v>628690</v>
      </c>
      <c r="G141" s="110">
        <f t="shared" si="2"/>
        <v>628690</v>
      </c>
    </row>
    <row r="142" spans="1:7">
      <c r="A142" s="114" t="s">
        <v>226</v>
      </c>
      <c r="B142" s="360">
        <v>4</v>
      </c>
      <c r="C142" s="112">
        <v>2514760</v>
      </c>
      <c r="E142" s="104">
        <v>4</v>
      </c>
      <c r="F142" s="104">
        <v>2514760</v>
      </c>
      <c r="G142" s="110">
        <f t="shared" si="2"/>
        <v>628690</v>
      </c>
    </row>
    <row r="143" spans="1:7">
      <c r="A143" s="114" t="s">
        <v>227</v>
      </c>
      <c r="B143" s="360">
        <v>5</v>
      </c>
      <c r="C143" s="112">
        <v>3143450</v>
      </c>
      <c r="E143" s="104">
        <v>5</v>
      </c>
      <c r="F143" s="104">
        <v>3143450</v>
      </c>
      <c r="G143" s="110">
        <f t="shared" si="2"/>
        <v>628690</v>
      </c>
    </row>
    <row r="144" spans="1:7">
      <c r="A144" s="114" t="s">
        <v>229</v>
      </c>
      <c r="B144" s="360">
        <v>2</v>
      </c>
      <c r="C144" s="112">
        <v>1257380</v>
      </c>
      <c r="E144" s="104">
        <v>2</v>
      </c>
      <c r="F144" s="104">
        <v>1257380</v>
      </c>
      <c r="G144" s="110">
        <f t="shared" si="2"/>
        <v>628690</v>
      </c>
    </row>
    <row r="145" spans="1:7">
      <c r="A145" s="114" t="s">
        <v>1542</v>
      </c>
      <c r="B145" s="360">
        <v>23</v>
      </c>
      <c r="C145" s="112">
        <v>14459870</v>
      </c>
      <c r="E145" s="104">
        <v>23</v>
      </c>
      <c r="F145" s="104">
        <v>14459870</v>
      </c>
      <c r="G145" s="110">
        <f t="shared" si="2"/>
        <v>628690</v>
      </c>
    </row>
    <row r="146" spans="1:7">
      <c r="A146" s="114" t="s">
        <v>1551</v>
      </c>
      <c r="B146" s="360">
        <v>1</v>
      </c>
      <c r="C146" s="112">
        <v>628690</v>
      </c>
      <c r="E146" s="104">
        <v>1</v>
      </c>
      <c r="F146" s="104">
        <v>628690</v>
      </c>
      <c r="G146" s="110">
        <f t="shared" si="2"/>
        <v>628690</v>
      </c>
    </row>
    <row r="147" spans="1:7">
      <c r="A147" s="114" t="s">
        <v>1546</v>
      </c>
      <c r="B147" s="360">
        <v>10</v>
      </c>
      <c r="C147" s="112">
        <v>6286900</v>
      </c>
      <c r="E147" s="104">
        <v>10</v>
      </c>
      <c r="F147" s="104">
        <v>6286900</v>
      </c>
      <c r="G147" s="110">
        <f t="shared" si="2"/>
        <v>628690</v>
      </c>
    </row>
    <row r="148" spans="1:7">
      <c r="A148" s="114" t="s">
        <v>230</v>
      </c>
      <c r="B148" s="360">
        <v>5</v>
      </c>
      <c r="C148" s="112">
        <v>3143450</v>
      </c>
      <c r="E148" s="104">
        <v>5</v>
      </c>
      <c r="F148" s="104">
        <v>3143450</v>
      </c>
      <c r="G148" s="110">
        <f t="shared" si="2"/>
        <v>628690</v>
      </c>
    </row>
    <row r="149" spans="1:7">
      <c r="A149" s="114" t="s">
        <v>222</v>
      </c>
      <c r="B149" s="360">
        <v>18</v>
      </c>
      <c r="C149" s="112">
        <v>11316420</v>
      </c>
      <c r="E149" s="104">
        <v>18</v>
      </c>
      <c r="F149" s="104">
        <v>11316420</v>
      </c>
      <c r="G149" s="110">
        <f t="shared" si="2"/>
        <v>628690</v>
      </c>
    </row>
    <row r="150" spans="1:7">
      <c r="A150" s="114" t="s">
        <v>1544</v>
      </c>
      <c r="B150" s="360">
        <v>4</v>
      </c>
      <c r="C150" s="112">
        <v>2514760</v>
      </c>
      <c r="E150" s="104">
        <v>4</v>
      </c>
      <c r="F150" s="104">
        <v>2514760</v>
      </c>
      <c r="G150" s="110">
        <f t="shared" si="2"/>
        <v>628690</v>
      </c>
    </row>
    <row r="151" spans="1:7">
      <c r="A151" s="114" t="s">
        <v>1552</v>
      </c>
      <c r="B151" s="360">
        <v>1</v>
      </c>
      <c r="C151" s="112">
        <v>628690</v>
      </c>
      <c r="E151" s="104">
        <v>1</v>
      </c>
      <c r="F151" s="104">
        <v>628690</v>
      </c>
      <c r="G151" s="110">
        <f t="shared" si="2"/>
        <v>628690</v>
      </c>
    </row>
    <row r="152" spans="1:7">
      <c r="A152" s="114" t="s">
        <v>1541</v>
      </c>
      <c r="B152" s="360">
        <v>2</v>
      </c>
      <c r="C152" s="112">
        <v>1257380</v>
      </c>
      <c r="E152" s="104">
        <v>2</v>
      </c>
      <c r="F152" s="104">
        <v>1257380</v>
      </c>
      <c r="G152" s="110">
        <f t="shared" si="2"/>
        <v>628690</v>
      </c>
    </row>
    <row r="153" spans="1:7">
      <c r="A153" s="114" t="s">
        <v>224</v>
      </c>
      <c r="B153" s="360">
        <v>5</v>
      </c>
      <c r="C153" s="112">
        <v>3143450</v>
      </c>
      <c r="E153" s="104">
        <v>5</v>
      </c>
      <c r="F153" s="104">
        <v>3143450</v>
      </c>
      <c r="G153" s="110">
        <f t="shared" si="2"/>
        <v>628690</v>
      </c>
    </row>
    <row r="154" spans="1:7">
      <c r="A154" s="114" t="s">
        <v>225</v>
      </c>
      <c r="B154" s="360">
        <v>13</v>
      </c>
      <c r="C154" s="112">
        <v>8172970</v>
      </c>
      <c r="E154" s="104">
        <v>13</v>
      </c>
      <c r="F154" s="104">
        <v>8172970</v>
      </c>
      <c r="G154" s="110">
        <f t="shared" si="2"/>
        <v>628690</v>
      </c>
    </row>
    <row r="155" spans="1:7">
      <c r="A155" s="114" t="s">
        <v>218</v>
      </c>
      <c r="B155" s="360">
        <v>10</v>
      </c>
      <c r="C155" s="112">
        <v>6286900</v>
      </c>
      <c r="E155" s="104">
        <v>10</v>
      </c>
      <c r="F155" s="104">
        <v>6286900</v>
      </c>
      <c r="G155" s="110">
        <f t="shared" si="2"/>
        <v>628690</v>
      </c>
    </row>
    <row r="156" spans="1:7">
      <c r="A156" s="114" t="s">
        <v>220</v>
      </c>
      <c r="B156" s="360">
        <v>8</v>
      </c>
      <c r="C156" s="112">
        <v>5029520</v>
      </c>
      <c r="E156" s="104">
        <v>8</v>
      </c>
      <c r="F156" s="104">
        <v>5029520</v>
      </c>
      <c r="G156" s="110">
        <f t="shared" si="2"/>
        <v>628690</v>
      </c>
    </row>
    <row r="157" spans="1:7">
      <c r="A157" s="114" t="s">
        <v>1545</v>
      </c>
      <c r="B157" s="360">
        <v>1</v>
      </c>
      <c r="C157" s="112">
        <v>480338</v>
      </c>
      <c r="E157" s="104">
        <v>1</v>
      </c>
      <c r="F157" s="104">
        <v>480338</v>
      </c>
      <c r="G157" s="110">
        <f t="shared" si="2"/>
        <v>480338</v>
      </c>
    </row>
    <row r="158" spans="1:7">
      <c r="A158" s="114" t="s">
        <v>1547</v>
      </c>
      <c r="B158" s="360">
        <v>1</v>
      </c>
      <c r="C158" s="112">
        <v>480338</v>
      </c>
      <c r="E158" s="104">
        <v>1</v>
      </c>
      <c r="F158" s="104">
        <v>480338</v>
      </c>
      <c r="G158" s="110">
        <f t="shared" si="2"/>
        <v>480338</v>
      </c>
    </row>
    <row r="159" spans="1:7">
      <c r="A159" s="114" t="s">
        <v>1549</v>
      </c>
      <c r="B159" s="360">
        <v>1</v>
      </c>
      <c r="C159" s="112">
        <v>480338</v>
      </c>
      <c r="E159" s="104">
        <v>1</v>
      </c>
      <c r="F159" s="104">
        <v>480338</v>
      </c>
      <c r="G159" s="110">
        <f t="shared" si="2"/>
        <v>480338</v>
      </c>
    </row>
    <row r="160" spans="1:7">
      <c r="A160" s="114" t="s">
        <v>228</v>
      </c>
      <c r="B160" s="360">
        <v>1</v>
      </c>
      <c r="C160" s="112">
        <v>576331</v>
      </c>
      <c r="E160" s="104">
        <v>1</v>
      </c>
      <c r="F160" s="104">
        <v>576331</v>
      </c>
      <c r="G160" s="110">
        <f t="shared" si="2"/>
        <v>576331</v>
      </c>
    </row>
    <row r="161" spans="1:7">
      <c r="A161" s="114" t="s">
        <v>1548</v>
      </c>
      <c r="B161" s="360">
        <v>1</v>
      </c>
      <c r="C161" s="112">
        <v>576331</v>
      </c>
      <c r="E161" s="104">
        <v>1</v>
      </c>
      <c r="F161" s="104">
        <v>576331</v>
      </c>
      <c r="G161" s="110">
        <f t="shared" si="2"/>
        <v>576331</v>
      </c>
    </row>
    <row r="162" spans="1:7">
      <c r="A162" s="114" t="s">
        <v>1538</v>
      </c>
      <c r="B162" s="360">
        <v>2</v>
      </c>
      <c r="C162" s="112">
        <v>1100302</v>
      </c>
      <c r="E162" s="104">
        <v>2</v>
      </c>
      <c r="F162" s="104">
        <v>1100302</v>
      </c>
      <c r="G162" s="110">
        <f t="shared" si="2"/>
        <v>550151</v>
      </c>
    </row>
    <row r="163" spans="1:7">
      <c r="A163" s="114" t="s">
        <v>1543</v>
      </c>
      <c r="B163" s="360">
        <v>1</v>
      </c>
      <c r="C163" s="112">
        <v>550151</v>
      </c>
      <c r="E163" s="104">
        <v>1</v>
      </c>
      <c r="F163" s="104">
        <v>550151</v>
      </c>
      <c r="G163" s="110">
        <f t="shared" si="2"/>
        <v>550151</v>
      </c>
    </row>
    <row r="164" spans="1:7">
      <c r="A164" s="114" t="s">
        <v>1539</v>
      </c>
      <c r="B164" s="360">
        <v>1</v>
      </c>
      <c r="C164" s="112">
        <v>550151</v>
      </c>
      <c r="E164" s="104">
        <v>1</v>
      </c>
      <c r="F164" s="104">
        <v>550151</v>
      </c>
      <c r="G164" s="110">
        <f t="shared" si="2"/>
        <v>550151</v>
      </c>
    </row>
    <row r="165" spans="1:7">
      <c r="A165" s="114" t="s">
        <v>1554</v>
      </c>
      <c r="B165" s="360">
        <v>4</v>
      </c>
      <c r="C165" s="112">
        <v>2200604</v>
      </c>
      <c r="E165" s="104">
        <v>4</v>
      </c>
      <c r="F165" s="104">
        <v>2200604</v>
      </c>
      <c r="G165" s="110">
        <f t="shared" si="2"/>
        <v>550151</v>
      </c>
    </row>
    <row r="166" spans="1:7">
      <c r="A166" s="114" t="s">
        <v>1553</v>
      </c>
      <c r="B166" s="360">
        <v>7</v>
      </c>
      <c r="C166" s="112">
        <v>3851057</v>
      </c>
      <c r="E166" s="104">
        <v>7</v>
      </c>
      <c r="F166" s="104">
        <v>3851057</v>
      </c>
      <c r="G166" s="110">
        <f t="shared" si="2"/>
        <v>550151</v>
      </c>
    </row>
    <row r="167" spans="1:7">
      <c r="A167" s="114" t="s">
        <v>147</v>
      </c>
      <c r="B167" s="360"/>
      <c r="C167" s="112"/>
      <c r="E167" s="104"/>
      <c r="G167" s="110"/>
    </row>
    <row r="168" spans="1:7">
      <c r="A168" s="115" t="s">
        <v>148</v>
      </c>
      <c r="B168" s="361">
        <v>1169</v>
      </c>
      <c r="C168" s="116">
        <v>764422896</v>
      </c>
      <c r="E168" s="104"/>
      <c r="G168" s="110"/>
    </row>
    <row r="169" spans="1:7">
      <c r="B169"/>
      <c r="C169"/>
      <c r="G169" s="110"/>
    </row>
    <row r="170" spans="1:7">
      <c r="B170"/>
      <c r="C170"/>
      <c r="G170" s="110"/>
    </row>
    <row r="171" spans="1:7">
      <c r="B171"/>
      <c r="C171"/>
      <c r="G171" s="110"/>
    </row>
    <row r="172" spans="1:7">
      <c r="B172"/>
      <c r="C172"/>
      <c r="G172" s="110"/>
    </row>
    <row r="173" spans="1:7">
      <c r="B173"/>
      <c r="C173"/>
      <c r="G173" s="110"/>
    </row>
    <row r="174" spans="1:7">
      <c r="B174"/>
      <c r="C174"/>
      <c r="G174" s="110"/>
    </row>
    <row r="175" spans="1:7">
      <c r="B175"/>
      <c r="C175"/>
      <c r="G175" s="110"/>
    </row>
    <row r="176" spans="1:7">
      <c r="B176"/>
      <c r="C176"/>
      <c r="G176" s="110"/>
    </row>
    <row r="177" spans="2:7">
      <c r="B177"/>
      <c r="C177"/>
      <c r="G177" s="110"/>
    </row>
    <row r="178" spans="2:7">
      <c r="B178"/>
      <c r="C178"/>
      <c r="G178" s="110"/>
    </row>
    <row r="179" spans="2:7">
      <c r="B179"/>
      <c r="C179"/>
      <c r="G179" s="110"/>
    </row>
    <row r="180" spans="2:7">
      <c r="B180"/>
      <c r="C180"/>
      <c r="G180" s="110"/>
    </row>
    <row r="181" spans="2:7">
      <c r="B181"/>
      <c r="C181"/>
      <c r="G181" s="110"/>
    </row>
    <row r="182" spans="2:7">
      <c r="B182"/>
      <c r="C182"/>
      <c r="G182" s="110"/>
    </row>
    <row r="183" spans="2:7">
      <c r="B183"/>
      <c r="C183"/>
      <c r="G183" s="110"/>
    </row>
    <row r="184" spans="2:7">
      <c r="B184"/>
      <c r="C184"/>
      <c r="G184" s="110"/>
    </row>
    <row r="185" spans="2:7">
      <c r="B185"/>
      <c r="C185"/>
      <c r="G185" s="110"/>
    </row>
    <row r="186" spans="2:7">
      <c r="B186"/>
      <c r="C186"/>
      <c r="G186" s="110"/>
    </row>
    <row r="187" spans="2:7">
      <c r="B187"/>
      <c r="C187"/>
      <c r="G187" s="110"/>
    </row>
    <row r="188" spans="2:7">
      <c r="B188"/>
      <c r="C188"/>
      <c r="G188" s="110"/>
    </row>
    <row r="189" spans="2:7">
      <c r="B189"/>
      <c r="C189"/>
      <c r="G189" s="110"/>
    </row>
    <row r="190" spans="2:7">
      <c r="B190"/>
      <c r="C190"/>
      <c r="G190" s="110"/>
    </row>
    <row r="191" spans="2:7">
      <c r="B191"/>
      <c r="C191"/>
      <c r="G191" s="110"/>
    </row>
    <row r="192" spans="2:7">
      <c r="B192"/>
      <c r="C192"/>
      <c r="G192" s="110"/>
    </row>
    <row r="193" spans="2:7">
      <c r="B193"/>
      <c r="C193"/>
      <c r="G193" s="110"/>
    </row>
    <row r="194" spans="2:7">
      <c r="B194"/>
      <c r="C194"/>
      <c r="G194" s="110"/>
    </row>
    <row r="195" spans="2:7">
      <c r="B195"/>
      <c r="C195"/>
      <c r="G195" s="110"/>
    </row>
    <row r="196" spans="2:7">
      <c r="B196"/>
      <c r="C196"/>
      <c r="G196" s="110"/>
    </row>
    <row r="197" spans="2:7">
      <c r="B197"/>
      <c r="C197"/>
      <c r="G197" s="110"/>
    </row>
    <row r="198" spans="2:7">
      <c r="B198"/>
      <c r="C198"/>
      <c r="G198" s="110"/>
    </row>
    <row r="199" spans="2:7">
      <c r="B199"/>
      <c r="C199"/>
      <c r="G199" s="110"/>
    </row>
    <row r="200" spans="2:7">
      <c r="B200"/>
      <c r="C200"/>
      <c r="G200" s="110"/>
    </row>
    <row r="201" spans="2:7">
      <c r="B201"/>
      <c r="C201"/>
      <c r="G201" s="110"/>
    </row>
    <row r="202" spans="2:7">
      <c r="B202"/>
      <c r="C202"/>
      <c r="G202" s="110"/>
    </row>
    <row r="203" spans="2:7">
      <c r="B203"/>
      <c r="C203"/>
    </row>
    <row r="204" spans="2:7">
      <c r="B204"/>
      <c r="C2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08"/>
  <sheetViews>
    <sheetView topLeftCell="A1193" workbookViewId="0">
      <selection activeCell="C1193" sqref="C1:C1048576"/>
    </sheetView>
  </sheetViews>
  <sheetFormatPr defaultColWidth="9" defaultRowHeight="15.75"/>
  <cols>
    <col min="1" max="1" width="80.75" customWidth="1"/>
    <col min="2" max="2" width="12.25" customWidth="1"/>
    <col min="3" max="3" width="11.375" style="98" customWidth="1"/>
  </cols>
  <sheetData>
    <row r="1" spans="1:4" s="97" customFormat="1">
      <c r="A1" s="97" t="s">
        <v>93</v>
      </c>
      <c r="B1" s="97" t="s">
        <v>86</v>
      </c>
      <c r="C1" s="99" t="s">
        <v>87</v>
      </c>
    </row>
    <row r="2" spans="1:4">
      <c r="A2" t="s">
        <v>1505</v>
      </c>
      <c r="B2">
        <v>1</v>
      </c>
      <c r="C2" s="98">
        <v>454158</v>
      </c>
      <c r="D2" s="100"/>
    </row>
    <row r="3" spans="1:4">
      <c r="A3" t="s">
        <v>1555</v>
      </c>
      <c r="B3">
        <v>1</v>
      </c>
      <c r="C3" s="98">
        <v>489065</v>
      </c>
      <c r="D3" s="100"/>
    </row>
    <row r="4" spans="1:4">
      <c r="A4" t="s">
        <v>133</v>
      </c>
      <c r="B4">
        <v>1</v>
      </c>
      <c r="C4" s="98">
        <v>1002400</v>
      </c>
      <c r="D4" s="100"/>
    </row>
    <row r="5" spans="1:4">
      <c r="A5" t="s">
        <v>137</v>
      </c>
      <c r="B5">
        <v>1</v>
      </c>
      <c r="C5" s="98">
        <v>1002400</v>
      </c>
      <c r="D5" s="100"/>
    </row>
    <row r="6" spans="1:4">
      <c r="A6" t="s">
        <v>137</v>
      </c>
      <c r="B6">
        <v>1</v>
      </c>
      <c r="C6" s="98">
        <v>1002400</v>
      </c>
      <c r="D6" s="100"/>
    </row>
    <row r="7" spans="1:4">
      <c r="A7" t="s">
        <v>138</v>
      </c>
      <c r="B7">
        <v>1</v>
      </c>
      <c r="C7" s="98">
        <v>1002400</v>
      </c>
      <c r="D7" s="100"/>
    </row>
    <row r="8" spans="1:4">
      <c r="A8" t="s">
        <v>1506</v>
      </c>
      <c r="B8">
        <v>1</v>
      </c>
      <c r="C8" s="98">
        <v>654871</v>
      </c>
      <c r="D8" s="100"/>
    </row>
    <row r="9" spans="1:4">
      <c r="A9" t="s">
        <v>244</v>
      </c>
      <c r="B9">
        <v>1</v>
      </c>
      <c r="C9" s="98">
        <v>681050</v>
      </c>
      <c r="D9" s="100"/>
    </row>
    <row r="10" spans="1:4">
      <c r="A10" t="s">
        <v>244</v>
      </c>
      <c r="B10">
        <v>1</v>
      </c>
      <c r="C10" s="98">
        <v>681050</v>
      </c>
      <c r="D10" s="100"/>
    </row>
    <row r="11" spans="1:4">
      <c r="A11" t="s">
        <v>244</v>
      </c>
      <c r="B11">
        <v>1</v>
      </c>
      <c r="C11" s="98">
        <v>681050</v>
      </c>
      <c r="D11" s="100"/>
    </row>
    <row r="12" spans="1:4">
      <c r="A12" t="s">
        <v>113</v>
      </c>
      <c r="B12">
        <v>1</v>
      </c>
      <c r="C12" s="98">
        <v>654871</v>
      </c>
      <c r="D12" s="100"/>
    </row>
    <row r="13" spans="1:4">
      <c r="A13" t="s">
        <v>113</v>
      </c>
      <c r="B13">
        <v>1</v>
      </c>
      <c r="C13" s="98">
        <v>654871</v>
      </c>
      <c r="D13" s="100"/>
    </row>
    <row r="14" spans="1:4">
      <c r="A14" t="s">
        <v>108</v>
      </c>
      <c r="B14">
        <v>1</v>
      </c>
      <c r="C14" s="98">
        <v>654871</v>
      </c>
      <c r="D14" s="100"/>
    </row>
    <row r="15" spans="1:4">
      <c r="A15" t="s">
        <v>108</v>
      </c>
      <c r="B15">
        <v>1</v>
      </c>
      <c r="C15" s="98">
        <v>654871</v>
      </c>
      <c r="D15" s="100"/>
    </row>
    <row r="16" spans="1:4">
      <c r="A16" t="s">
        <v>108</v>
      </c>
      <c r="B16">
        <v>1</v>
      </c>
      <c r="C16" s="98">
        <v>654871</v>
      </c>
      <c r="D16" s="100"/>
    </row>
    <row r="17" spans="1:4">
      <c r="A17" t="s">
        <v>108</v>
      </c>
      <c r="B17">
        <v>1</v>
      </c>
      <c r="C17" s="98">
        <v>654871</v>
      </c>
      <c r="D17" s="100"/>
    </row>
    <row r="18" spans="1:4">
      <c r="A18" t="s">
        <v>108</v>
      </c>
      <c r="B18">
        <v>1</v>
      </c>
      <c r="C18" s="98">
        <v>654871</v>
      </c>
      <c r="D18" s="100"/>
    </row>
    <row r="19" spans="1:4">
      <c r="A19" t="s">
        <v>108</v>
      </c>
      <c r="B19">
        <v>1</v>
      </c>
      <c r="C19" s="98">
        <v>654871</v>
      </c>
      <c r="D19" s="100"/>
    </row>
    <row r="20" spans="1:4">
      <c r="A20" t="s">
        <v>240</v>
      </c>
      <c r="B20">
        <v>1</v>
      </c>
      <c r="C20" s="98">
        <v>681050</v>
      </c>
      <c r="D20" s="100"/>
    </row>
    <row r="21" spans="1:4">
      <c r="A21" t="s">
        <v>240</v>
      </c>
      <c r="B21">
        <v>1</v>
      </c>
      <c r="C21" s="98">
        <v>681050</v>
      </c>
      <c r="D21" s="100"/>
    </row>
    <row r="22" spans="1:4">
      <c r="A22" t="s">
        <v>240</v>
      </c>
      <c r="B22">
        <v>1</v>
      </c>
      <c r="C22" s="98">
        <v>681050</v>
      </c>
      <c r="D22" s="100"/>
    </row>
    <row r="23" spans="1:4">
      <c r="A23" t="s">
        <v>240</v>
      </c>
      <c r="B23">
        <v>1</v>
      </c>
      <c r="C23" s="98">
        <v>681050</v>
      </c>
      <c r="D23" s="100"/>
    </row>
    <row r="24" spans="1:4">
      <c r="A24" t="s">
        <v>109</v>
      </c>
      <c r="B24">
        <v>1</v>
      </c>
      <c r="C24" s="98">
        <v>654871</v>
      </c>
      <c r="D24" s="100"/>
    </row>
    <row r="25" spans="1:4">
      <c r="A25" t="s">
        <v>109</v>
      </c>
      <c r="B25">
        <v>1</v>
      </c>
      <c r="C25" s="98">
        <v>654871</v>
      </c>
      <c r="D25" s="100"/>
    </row>
    <row r="26" spans="1:4">
      <c r="A26" t="s">
        <v>109</v>
      </c>
      <c r="B26">
        <v>1</v>
      </c>
      <c r="C26" s="98">
        <v>654871</v>
      </c>
      <c r="D26" s="100"/>
    </row>
    <row r="27" spans="1:4">
      <c r="A27" t="s">
        <v>109</v>
      </c>
      <c r="B27">
        <v>1</v>
      </c>
      <c r="C27" s="98">
        <v>654871</v>
      </c>
      <c r="D27" s="100"/>
    </row>
    <row r="28" spans="1:4">
      <c r="A28" t="s">
        <v>109</v>
      </c>
      <c r="B28">
        <v>1</v>
      </c>
      <c r="C28" s="98">
        <v>654871</v>
      </c>
      <c r="D28" s="100"/>
    </row>
    <row r="29" spans="1:4">
      <c r="A29" t="s">
        <v>109</v>
      </c>
      <c r="B29">
        <v>1</v>
      </c>
      <c r="C29" s="98">
        <v>654871</v>
      </c>
      <c r="D29" s="100"/>
    </row>
    <row r="30" spans="1:4">
      <c r="A30" t="s">
        <v>201</v>
      </c>
      <c r="B30">
        <v>1</v>
      </c>
      <c r="C30" s="98">
        <v>681050</v>
      </c>
      <c r="D30" s="100"/>
    </row>
    <row r="31" spans="1:4">
      <c r="A31" t="s">
        <v>201</v>
      </c>
      <c r="B31">
        <v>1</v>
      </c>
      <c r="C31" s="98">
        <v>681050</v>
      </c>
      <c r="D31" s="100"/>
    </row>
    <row r="32" spans="1:4">
      <c r="A32" t="s">
        <v>201</v>
      </c>
      <c r="B32">
        <v>1</v>
      </c>
      <c r="C32" s="98">
        <v>681050</v>
      </c>
      <c r="D32" s="100"/>
    </row>
    <row r="33" spans="1:4">
      <c r="A33" t="s">
        <v>201</v>
      </c>
      <c r="B33">
        <v>1</v>
      </c>
      <c r="C33" s="98">
        <v>681050</v>
      </c>
      <c r="D33" s="100"/>
    </row>
    <row r="34" spans="1:4">
      <c r="A34" t="s">
        <v>201</v>
      </c>
      <c r="B34">
        <v>1</v>
      </c>
      <c r="C34" s="98">
        <v>681050</v>
      </c>
      <c r="D34" s="100"/>
    </row>
    <row r="35" spans="1:4">
      <c r="A35" t="s">
        <v>1507</v>
      </c>
      <c r="B35">
        <v>1</v>
      </c>
      <c r="C35" s="98">
        <v>454158</v>
      </c>
      <c r="D35" s="100"/>
    </row>
    <row r="36" spans="1:4">
      <c r="A36" t="s">
        <v>1507</v>
      </c>
      <c r="B36">
        <v>1</v>
      </c>
      <c r="C36" s="98">
        <v>454158</v>
      </c>
      <c r="D36" s="100"/>
    </row>
    <row r="37" spans="1:4">
      <c r="A37" t="s">
        <v>1507</v>
      </c>
      <c r="B37">
        <v>1</v>
      </c>
      <c r="C37" s="98">
        <v>454158</v>
      </c>
      <c r="D37" s="100"/>
    </row>
    <row r="38" spans="1:4">
      <c r="A38" t="s">
        <v>1507</v>
      </c>
      <c r="B38">
        <v>1</v>
      </c>
      <c r="C38" s="98">
        <v>454158</v>
      </c>
      <c r="D38" s="100"/>
    </row>
    <row r="39" spans="1:4">
      <c r="A39" t="s">
        <v>106</v>
      </c>
      <c r="B39">
        <v>1</v>
      </c>
      <c r="C39" s="98">
        <v>654871</v>
      </c>
      <c r="D39" s="100"/>
    </row>
    <row r="40" spans="1:4">
      <c r="A40" t="s">
        <v>106</v>
      </c>
      <c r="B40">
        <v>1</v>
      </c>
      <c r="C40" s="98">
        <v>654871</v>
      </c>
      <c r="D40" s="100"/>
    </row>
    <row r="41" spans="1:4">
      <c r="A41" t="s">
        <v>106</v>
      </c>
      <c r="B41">
        <v>1</v>
      </c>
      <c r="C41" s="98">
        <v>654871</v>
      </c>
      <c r="D41" s="100"/>
    </row>
    <row r="42" spans="1:4">
      <c r="A42" t="s">
        <v>106</v>
      </c>
      <c r="B42">
        <v>1</v>
      </c>
      <c r="C42" s="98">
        <v>654871</v>
      </c>
      <c r="D42" s="100"/>
    </row>
    <row r="43" spans="1:4">
      <c r="A43" t="s">
        <v>106</v>
      </c>
      <c r="B43">
        <v>1</v>
      </c>
      <c r="C43" s="98">
        <v>654871</v>
      </c>
      <c r="D43" s="100"/>
    </row>
    <row r="44" spans="1:4">
      <c r="A44" t="s">
        <v>106</v>
      </c>
      <c r="B44">
        <v>1</v>
      </c>
      <c r="C44" s="98">
        <v>654871</v>
      </c>
      <c r="D44" s="100"/>
    </row>
    <row r="45" spans="1:4">
      <c r="A45" t="s">
        <v>106</v>
      </c>
      <c r="B45">
        <v>1</v>
      </c>
      <c r="C45" s="98">
        <v>654871</v>
      </c>
      <c r="D45" s="100"/>
    </row>
    <row r="46" spans="1:4">
      <c r="A46" t="s">
        <v>106</v>
      </c>
      <c r="B46">
        <v>1</v>
      </c>
      <c r="C46" s="98">
        <v>654871</v>
      </c>
      <c r="D46" s="100"/>
    </row>
    <row r="47" spans="1:4">
      <c r="A47" t="s">
        <v>242</v>
      </c>
      <c r="B47">
        <v>1</v>
      </c>
      <c r="C47" s="98">
        <v>681050</v>
      </c>
      <c r="D47" s="100"/>
    </row>
    <row r="48" spans="1:4">
      <c r="A48" t="s">
        <v>130</v>
      </c>
      <c r="B48">
        <v>1</v>
      </c>
      <c r="C48" s="98">
        <v>1002400</v>
      </c>
      <c r="D48" s="100"/>
    </row>
    <row r="49" spans="1:4">
      <c r="A49" t="s">
        <v>1508</v>
      </c>
      <c r="B49">
        <v>1</v>
      </c>
      <c r="C49" s="98">
        <v>576331</v>
      </c>
      <c r="D49" s="100"/>
    </row>
    <row r="50" spans="1:4">
      <c r="A50" t="s">
        <v>1508</v>
      </c>
      <c r="B50">
        <v>1</v>
      </c>
      <c r="C50" s="98">
        <v>576331</v>
      </c>
      <c r="D50" s="100"/>
    </row>
    <row r="51" spans="1:4">
      <c r="A51" t="s">
        <v>1508</v>
      </c>
      <c r="B51">
        <v>1</v>
      </c>
      <c r="C51" s="98">
        <v>576331</v>
      </c>
      <c r="D51" s="100"/>
    </row>
    <row r="52" spans="1:4">
      <c r="A52" t="s">
        <v>1508</v>
      </c>
      <c r="B52">
        <v>1</v>
      </c>
      <c r="C52" s="98">
        <v>576331</v>
      </c>
      <c r="D52" s="100"/>
    </row>
    <row r="53" spans="1:4">
      <c r="A53" t="s">
        <v>1538</v>
      </c>
      <c r="B53">
        <v>1</v>
      </c>
      <c r="C53" s="98">
        <v>550151</v>
      </c>
      <c r="D53" s="100"/>
    </row>
    <row r="54" spans="1:4">
      <c r="A54" t="s">
        <v>1538</v>
      </c>
      <c r="B54">
        <v>1</v>
      </c>
      <c r="C54" s="98">
        <v>550151</v>
      </c>
      <c r="D54" s="100"/>
    </row>
    <row r="55" spans="1:4">
      <c r="A55" t="s">
        <v>201</v>
      </c>
      <c r="B55">
        <v>1</v>
      </c>
      <c r="C55" s="98">
        <v>681050</v>
      </c>
      <c r="D55" s="100"/>
    </row>
    <row r="56" spans="1:4">
      <c r="A56" t="s">
        <v>140</v>
      </c>
      <c r="B56">
        <v>1</v>
      </c>
      <c r="C56" s="98">
        <v>1002400</v>
      </c>
      <c r="D56" s="100"/>
    </row>
    <row r="57" spans="1:4">
      <c r="A57" t="s">
        <v>140</v>
      </c>
      <c r="B57">
        <v>1</v>
      </c>
      <c r="C57" s="98">
        <v>1002400</v>
      </c>
      <c r="D57" s="100"/>
    </row>
    <row r="58" spans="1:4">
      <c r="A58" t="s">
        <v>1556</v>
      </c>
      <c r="B58">
        <v>1</v>
      </c>
      <c r="C58" s="98">
        <v>602510</v>
      </c>
      <c r="D58" s="100"/>
    </row>
    <row r="59" spans="1:4">
      <c r="A59" t="s">
        <v>1556</v>
      </c>
      <c r="B59">
        <v>1</v>
      </c>
      <c r="C59" s="98">
        <v>602510</v>
      </c>
      <c r="D59" s="100"/>
    </row>
    <row r="60" spans="1:4">
      <c r="A60" t="s">
        <v>1556</v>
      </c>
      <c r="B60">
        <v>1</v>
      </c>
      <c r="C60" s="98">
        <v>602510</v>
      </c>
      <c r="D60" s="100"/>
    </row>
    <row r="61" spans="1:4">
      <c r="A61" t="s">
        <v>1556</v>
      </c>
      <c r="B61">
        <v>1</v>
      </c>
      <c r="C61" s="98">
        <v>602510</v>
      </c>
      <c r="D61" s="100"/>
    </row>
    <row r="62" spans="1:4">
      <c r="A62" t="s">
        <v>244</v>
      </c>
      <c r="B62">
        <v>1</v>
      </c>
      <c r="C62" s="98">
        <v>681050</v>
      </c>
      <c r="D62" s="100"/>
    </row>
    <row r="63" spans="1:4">
      <c r="A63" t="s">
        <v>244</v>
      </c>
      <c r="B63">
        <v>1</v>
      </c>
      <c r="C63" s="98">
        <v>681050</v>
      </c>
      <c r="D63" s="100"/>
    </row>
    <row r="64" spans="1:4">
      <c r="A64" t="s">
        <v>244</v>
      </c>
      <c r="B64">
        <v>1</v>
      </c>
      <c r="C64" s="98">
        <v>681050</v>
      </c>
      <c r="D64" s="100"/>
    </row>
    <row r="65" spans="1:4">
      <c r="A65" t="s">
        <v>144</v>
      </c>
      <c r="B65">
        <v>0.5</v>
      </c>
      <c r="C65" s="98">
        <v>501200</v>
      </c>
      <c r="D65" s="100"/>
    </row>
    <row r="66" spans="1:4">
      <c r="A66" t="s">
        <v>144</v>
      </c>
      <c r="B66">
        <v>0.5</v>
      </c>
      <c r="C66" s="98">
        <v>501200</v>
      </c>
      <c r="D66" s="100"/>
    </row>
    <row r="67" spans="1:4">
      <c r="A67" t="s">
        <v>144</v>
      </c>
      <c r="B67">
        <v>0.5</v>
      </c>
      <c r="C67" s="98">
        <v>501200</v>
      </c>
      <c r="D67" s="100"/>
    </row>
    <row r="68" spans="1:4">
      <c r="A68" t="s">
        <v>144</v>
      </c>
      <c r="B68">
        <v>0.5</v>
      </c>
      <c r="C68" s="98">
        <v>501200</v>
      </c>
      <c r="D68" s="100"/>
    </row>
    <row r="69" spans="1:4">
      <c r="A69" t="s">
        <v>1509</v>
      </c>
      <c r="B69">
        <v>1</v>
      </c>
      <c r="C69" s="98">
        <v>576331</v>
      </c>
      <c r="D69" s="100"/>
    </row>
    <row r="70" spans="1:4">
      <c r="A70" t="s">
        <v>1509</v>
      </c>
      <c r="B70">
        <v>1</v>
      </c>
      <c r="C70" s="98">
        <v>576331</v>
      </c>
      <c r="D70" s="100"/>
    </row>
    <row r="71" spans="1:4">
      <c r="A71" t="s">
        <v>1509</v>
      </c>
      <c r="B71">
        <v>1</v>
      </c>
      <c r="C71" s="98">
        <v>576331</v>
      </c>
      <c r="D71" s="100"/>
    </row>
    <row r="72" spans="1:4">
      <c r="A72" t="s">
        <v>1509</v>
      </c>
      <c r="B72">
        <v>1</v>
      </c>
      <c r="C72" s="98">
        <v>576331</v>
      </c>
      <c r="D72" s="100"/>
    </row>
    <row r="73" spans="1:4">
      <c r="A73" t="s">
        <v>240</v>
      </c>
      <c r="B73">
        <v>1</v>
      </c>
      <c r="C73" s="98">
        <v>681050</v>
      </c>
      <c r="D73" s="100"/>
    </row>
    <row r="74" spans="1:4">
      <c r="A74" t="s">
        <v>240</v>
      </c>
      <c r="B74">
        <v>1</v>
      </c>
      <c r="C74" s="98">
        <v>681050</v>
      </c>
      <c r="D74" s="100"/>
    </row>
    <row r="75" spans="1:4">
      <c r="A75" t="s">
        <v>240</v>
      </c>
      <c r="B75">
        <v>1</v>
      </c>
      <c r="C75" s="98">
        <v>681050</v>
      </c>
      <c r="D75" s="100"/>
    </row>
    <row r="76" spans="1:4">
      <c r="A76" t="s">
        <v>240</v>
      </c>
      <c r="B76">
        <v>1</v>
      </c>
      <c r="C76" s="98">
        <v>681050</v>
      </c>
      <c r="D76" s="100"/>
    </row>
    <row r="77" spans="1:4">
      <c r="A77" t="s">
        <v>240</v>
      </c>
      <c r="B77">
        <v>1</v>
      </c>
      <c r="C77" s="98">
        <v>681050</v>
      </c>
      <c r="D77" s="100"/>
    </row>
    <row r="78" spans="1:4">
      <c r="A78" t="s">
        <v>1557</v>
      </c>
      <c r="B78">
        <v>1</v>
      </c>
      <c r="C78" s="98">
        <v>602510</v>
      </c>
      <c r="D78" s="100"/>
    </row>
    <row r="79" spans="1:4">
      <c r="A79" t="s">
        <v>1510</v>
      </c>
      <c r="B79">
        <v>1</v>
      </c>
      <c r="C79" s="98">
        <v>576331</v>
      </c>
      <c r="D79" s="100"/>
    </row>
    <row r="80" spans="1:4">
      <c r="A80" t="s">
        <v>1557</v>
      </c>
      <c r="B80">
        <v>1</v>
      </c>
      <c r="C80" s="98">
        <v>602510</v>
      </c>
      <c r="D80" s="100"/>
    </row>
    <row r="81" spans="1:4">
      <c r="A81" t="s">
        <v>1557</v>
      </c>
      <c r="B81">
        <v>1</v>
      </c>
      <c r="C81" s="98">
        <v>602510</v>
      </c>
      <c r="D81" s="100"/>
    </row>
    <row r="82" spans="1:4">
      <c r="A82" t="s">
        <v>254</v>
      </c>
      <c r="B82">
        <v>1</v>
      </c>
      <c r="C82" s="98">
        <v>681050</v>
      </c>
      <c r="D82" s="100"/>
    </row>
    <row r="83" spans="1:4">
      <c r="A83" t="s">
        <v>254</v>
      </c>
      <c r="B83">
        <v>1</v>
      </c>
      <c r="C83" s="98">
        <v>681050</v>
      </c>
      <c r="D83" s="100"/>
    </row>
    <row r="84" spans="1:4">
      <c r="A84" t="s">
        <v>108</v>
      </c>
      <c r="B84">
        <v>1</v>
      </c>
      <c r="C84" s="98">
        <v>654871</v>
      </c>
      <c r="D84" s="100"/>
    </row>
    <row r="85" spans="1:4">
      <c r="A85" t="s">
        <v>108</v>
      </c>
      <c r="B85">
        <v>1</v>
      </c>
      <c r="C85" s="98">
        <v>654871</v>
      </c>
      <c r="D85" s="100"/>
    </row>
    <row r="86" spans="1:4">
      <c r="A86" t="s">
        <v>240</v>
      </c>
      <c r="B86">
        <v>1</v>
      </c>
      <c r="C86" s="98">
        <v>681050</v>
      </c>
      <c r="D86" s="100"/>
    </row>
    <row r="87" spans="1:4">
      <c r="A87" t="s">
        <v>240</v>
      </c>
      <c r="B87">
        <v>1</v>
      </c>
      <c r="C87" s="98">
        <v>681050</v>
      </c>
      <c r="D87" s="100"/>
    </row>
    <row r="88" spans="1:4">
      <c r="A88" t="s">
        <v>240</v>
      </c>
      <c r="B88">
        <v>1</v>
      </c>
      <c r="C88" s="98">
        <v>681050</v>
      </c>
      <c r="D88" s="100"/>
    </row>
    <row r="89" spans="1:4">
      <c r="A89" t="s">
        <v>1558</v>
      </c>
      <c r="B89">
        <v>1</v>
      </c>
      <c r="C89" s="98">
        <v>602510</v>
      </c>
      <c r="D89" s="100"/>
    </row>
    <row r="90" spans="1:4">
      <c r="A90" t="s">
        <v>1558</v>
      </c>
      <c r="B90">
        <v>1</v>
      </c>
      <c r="C90" s="98">
        <v>602510</v>
      </c>
      <c r="D90" s="100"/>
    </row>
    <row r="91" spans="1:4">
      <c r="A91" t="s">
        <v>200</v>
      </c>
      <c r="B91">
        <v>1</v>
      </c>
      <c r="C91" s="98">
        <v>681050</v>
      </c>
      <c r="D91" s="100"/>
    </row>
    <row r="92" spans="1:4">
      <c r="A92" t="s">
        <v>248</v>
      </c>
      <c r="B92">
        <v>1</v>
      </c>
      <c r="C92" s="98">
        <v>681050</v>
      </c>
      <c r="D92" s="100"/>
    </row>
    <row r="93" spans="1:4">
      <c r="A93" t="s">
        <v>248</v>
      </c>
      <c r="B93">
        <v>1</v>
      </c>
      <c r="C93" s="98">
        <v>681050</v>
      </c>
      <c r="D93" s="100"/>
    </row>
    <row r="94" spans="1:4">
      <c r="A94" t="s">
        <v>248</v>
      </c>
      <c r="B94">
        <v>1</v>
      </c>
      <c r="C94" s="98">
        <v>681050</v>
      </c>
      <c r="D94" s="100"/>
    </row>
    <row r="95" spans="1:4">
      <c r="A95" t="s">
        <v>248</v>
      </c>
      <c r="B95">
        <v>1</v>
      </c>
      <c r="C95" s="98">
        <v>681050</v>
      </c>
      <c r="D95" s="100"/>
    </row>
    <row r="96" spans="1:4">
      <c r="A96" t="s">
        <v>1559</v>
      </c>
      <c r="B96">
        <v>1</v>
      </c>
      <c r="C96" s="98">
        <v>602510</v>
      </c>
      <c r="D96" s="100"/>
    </row>
    <row r="97" spans="1:4">
      <c r="A97" t="s">
        <v>107</v>
      </c>
      <c r="B97">
        <v>1</v>
      </c>
      <c r="C97" s="98">
        <v>654871</v>
      </c>
      <c r="D97" s="100"/>
    </row>
    <row r="98" spans="1:4">
      <c r="A98" t="s">
        <v>107</v>
      </c>
      <c r="B98">
        <v>1</v>
      </c>
      <c r="C98" s="98">
        <v>654871</v>
      </c>
      <c r="D98" s="100"/>
    </row>
    <row r="99" spans="1:4">
      <c r="A99" t="s">
        <v>107</v>
      </c>
      <c r="B99">
        <v>1</v>
      </c>
      <c r="C99" s="98">
        <v>654871</v>
      </c>
      <c r="D99" s="100"/>
    </row>
    <row r="100" spans="1:4">
      <c r="A100" t="s">
        <v>107</v>
      </c>
      <c r="B100">
        <v>1</v>
      </c>
      <c r="C100" s="98">
        <v>654871</v>
      </c>
      <c r="D100" s="100"/>
    </row>
    <row r="101" spans="1:4">
      <c r="A101" t="s">
        <v>107</v>
      </c>
      <c r="B101">
        <v>1</v>
      </c>
      <c r="C101" s="98">
        <v>654871</v>
      </c>
      <c r="D101" s="100"/>
    </row>
    <row r="102" spans="1:4">
      <c r="A102" t="s">
        <v>107</v>
      </c>
      <c r="B102">
        <v>1</v>
      </c>
      <c r="C102" s="98">
        <v>654871</v>
      </c>
      <c r="D102" s="100"/>
    </row>
    <row r="103" spans="1:4">
      <c r="A103" t="s">
        <v>252</v>
      </c>
      <c r="B103">
        <v>1</v>
      </c>
      <c r="C103" s="98">
        <v>681050</v>
      </c>
      <c r="D103" s="100"/>
    </row>
    <row r="104" spans="1:4">
      <c r="A104" t="s">
        <v>1556</v>
      </c>
      <c r="B104">
        <v>1</v>
      </c>
      <c r="C104" s="98">
        <v>602510</v>
      </c>
      <c r="D104" s="100"/>
    </row>
    <row r="105" spans="1:4">
      <c r="A105" t="s">
        <v>1556</v>
      </c>
      <c r="B105">
        <v>1</v>
      </c>
      <c r="C105" s="98">
        <v>602510</v>
      </c>
      <c r="D105" s="100"/>
    </row>
    <row r="106" spans="1:4">
      <c r="A106" t="s">
        <v>1556</v>
      </c>
      <c r="B106">
        <v>1</v>
      </c>
      <c r="C106" s="98">
        <v>602510</v>
      </c>
      <c r="D106" s="100"/>
    </row>
    <row r="107" spans="1:4">
      <c r="A107" t="s">
        <v>244</v>
      </c>
      <c r="B107">
        <v>1</v>
      </c>
      <c r="C107" s="98">
        <v>681050</v>
      </c>
      <c r="D107" s="100"/>
    </row>
    <row r="108" spans="1:4">
      <c r="A108" t="s">
        <v>244</v>
      </c>
      <c r="B108">
        <v>1</v>
      </c>
      <c r="C108" s="98">
        <v>681050</v>
      </c>
      <c r="D108" s="100"/>
    </row>
    <row r="109" spans="1:4">
      <c r="A109" t="s">
        <v>1511</v>
      </c>
      <c r="B109">
        <v>1</v>
      </c>
      <c r="C109" s="98">
        <v>576331</v>
      </c>
      <c r="D109" s="100"/>
    </row>
    <row r="110" spans="1:4">
      <c r="A110" t="s">
        <v>1511</v>
      </c>
      <c r="B110">
        <v>1</v>
      </c>
      <c r="C110" s="98">
        <v>576331</v>
      </c>
      <c r="D110" s="100"/>
    </row>
    <row r="111" spans="1:4">
      <c r="A111" t="s">
        <v>1511</v>
      </c>
      <c r="B111">
        <v>1</v>
      </c>
      <c r="C111" s="98">
        <v>576331</v>
      </c>
      <c r="D111" s="100"/>
    </row>
    <row r="112" spans="1:4">
      <c r="A112" t="s">
        <v>1511</v>
      </c>
      <c r="B112">
        <v>1</v>
      </c>
      <c r="C112" s="98">
        <v>576331</v>
      </c>
      <c r="D112" s="100"/>
    </row>
    <row r="113" spans="1:4">
      <c r="A113" t="s">
        <v>1511</v>
      </c>
      <c r="B113">
        <v>1</v>
      </c>
      <c r="C113" s="98">
        <v>576331</v>
      </c>
      <c r="D113" s="100"/>
    </row>
    <row r="114" spans="1:4">
      <c r="A114" t="s">
        <v>1511</v>
      </c>
      <c r="B114">
        <v>1</v>
      </c>
      <c r="C114" s="98">
        <v>576331</v>
      </c>
      <c r="D114" s="100"/>
    </row>
    <row r="115" spans="1:4">
      <c r="A115" t="s">
        <v>1560</v>
      </c>
      <c r="B115">
        <v>1</v>
      </c>
      <c r="C115" s="98">
        <v>602510</v>
      </c>
      <c r="D115" s="100"/>
    </row>
    <row r="116" spans="1:4">
      <c r="A116" t="s">
        <v>1560</v>
      </c>
      <c r="B116">
        <v>1</v>
      </c>
      <c r="C116" s="98">
        <v>602510</v>
      </c>
      <c r="D116" s="100"/>
    </row>
    <row r="117" spans="1:4">
      <c r="A117" t="s">
        <v>106</v>
      </c>
      <c r="B117">
        <v>1</v>
      </c>
      <c r="C117" s="98">
        <v>654871</v>
      </c>
      <c r="D117" s="100"/>
    </row>
    <row r="118" spans="1:4">
      <c r="A118" t="s">
        <v>106</v>
      </c>
      <c r="B118">
        <v>1</v>
      </c>
      <c r="C118" s="98">
        <v>654871</v>
      </c>
      <c r="D118" s="100"/>
    </row>
    <row r="119" spans="1:4">
      <c r="A119" t="s">
        <v>106</v>
      </c>
      <c r="B119">
        <v>1</v>
      </c>
      <c r="C119" s="98">
        <v>654871</v>
      </c>
      <c r="D119" s="100"/>
    </row>
    <row r="120" spans="1:4">
      <c r="A120" t="s">
        <v>106</v>
      </c>
      <c r="B120">
        <v>1</v>
      </c>
      <c r="C120" s="98">
        <v>654871</v>
      </c>
      <c r="D120" s="100"/>
    </row>
    <row r="121" spans="1:4">
      <c r="A121" t="s">
        <v>242</v>
      </c>
      <c r="B121">
        <v>1</v>
      </c>
      <c r="C121" s="98">
        <v>681050</v>
      </c>
      <c r="D121" s="100"/>
    </row>
    <row r="122" spans="1:4">
      <c r="A122" t="s">
        <v>114</v>
      </c>
      <c r="B122">
        <v>1</v>
      </c>
      <c r="C122" s="98">
        <v>654871</v>
      </c>
      <c r="D122" s="100"/>
    </row>
    <row r="123" spans="1:4">
      <c r="A123" t="s">
        <v>114</v>
      </c>
      <c r="B123">
        <v>1</v>
      </c>
      <c r="C123" s="98">
        <v>654871</v>
      </c>
      <c r="D123" s="100"/>
    </row>
    <row r="124" spans="1:4">
      <c r="A124" t="s">
        <v>1539</v>
      </c>
      <c r="B124">
        <v>1</v>
      </c>
      <c r="C124" s="98">
        <v>550151</v>
      </c>
      <c r="D124" s="100"/>
    </row>
    <row r="125" spans="1:4">
      <c r="A125" t="s">
        <v>114</v>
      </c>
      <c r="B125">
        <v>1</v>
      </c>
      <c r="C125" s="98">
        <v>654871</v>
      </c>
      <c r="D125" s="100"/>
    </row>
    <row r="126" spans="1:4">
      <c r="A126" t="s">
        <v>114</v>
      </c>
      <c r="B126">
        <v>1</v>
      </c>
      <c r="C126" s="98">
        <v>654871</v>
      </c>
      <c r="D126" s="100"/>
    </row>
    <row r="127" spans="1:4">
      <c r="A127" t="s">
        <v>114</v>
      </c>
      <c r="B127">
        <v>1</v>
      </c>
      <c r="C127" s="98">
        <v>654871</v>
      </c>
      <c r="D127" s="100"/>
    </row>
    <row r="128" spans="1:4">
      <c r="A128" t="s">
        <v>114</v>
      </c>
      <c r="B128">
        <v>1</v>
      </c>
      <c r="C128" s="98">
        <v>654871</v>
      </c>
      <c r="D128" s="100"/>
    </row>
    <row r="129" spans="1:4">
      <c r="A129" t="s">
        <v>1561</v>
      </c>
      <c r="B129">
        <v>1</v>
      </c>
      <c r="C129" s="98">
        <v>602510</v>
      </c>
      <c r="D129" s="100"/>
    </row>
    <row r="130" spans="1:4">
      <c r="A130" t="s">
        <v>1562</v>
      </c>
      <c r="B130">
        <v>1</v>
      </c>
      <c r="C130" s="98">
        <v>681050</v>
      </c>
      <c r="D130" s="100"/>
    </row>
    <row r="131" spans="1:4">
      <c r="A131" t="s">
        <v>1562</v>
      </c>
      <c r="B131">
        <v>1</v>
      </c>
      <c r="C131" s="98">
        <v>681050</v>
      </c>
      <c r="D131" s="100"/>
    </row>
    <row r="132" spans="1:4">
      <c r="A132" t="s">
        <v>1562</v>
      </c>
      <c r="B132">
        <v>1</v>
      </c>
      <c r="C132" s="98">
        <v>681050</v>
      </c>
      <c r="D132" s="100"/>
    </row>
    <row r="133" spans="1:4">
      <c r="A133" t="s">
        <v>141</v>
      </c>
      <c r="B133">
        <v>1</v>
      </c>
      <c r="C133" s="98">
        <v>1002400</v>
      </c>
      <c r="D133" s="100"/>
    </row>
    <row r="134" spans="1:4">
      <c r="A134" t="s">
        <v>141</v>
      </c>
      <c r="B134">
        <v>1</v>
      </c>
      <c r="C134" s="98">
        <v>1002400</v>
      </c>
      <c r="D134" s="100"/>
    </row>
    <row r="135" spans="1:4">
      <c r="A135" t="s">
        <v>221</v>
      </c>
      <c r="B135">
        <v>1</v>
      </c>
      <c r="C135" s="98">
        <v>628690</v>
      </c>
      <c r="D135" s="100"/>
    </row>
    <row r="136" spans="1:4">
      <c r="A136" t="s">
        <v>119</v>
      </c>
      <c r="B136">
        <v>1</v>
      </c>
      <c r="C136" s="98">
        <v>576331</v>
      </c>
      <c r="D136" s="100"/>
    </row>
    <row r="137" spans="1:4">
      <c r="A137" t="s">
        <v>119</v>
      </c>
      <c r="B137">
        <v>1</v>
      </c>
      <c r="C137" s="98">
        <v>576331</v>
      </c>
      <c r="D137" s="100"/>
    </row>
    <row r="138" spans="1:4">
      <c r="A138" t="s">
        <v>119</v>
      </c>
      <c r="B138">
        <v>1</v>
      </c>
      <c r="C138" s="98">
        <v>576331</v>
      </c>
      <c r="D138" s="100"/>
    </row>
    <row r="139" spans="1:4">
      <c r="A139" t="s">
        <v>119</v>
      </c>
      <c r="B139">
        <v>1</v>
      </c>
      <c r="C139" s="98">
        <v>576331</v>
      </c>
      <c r="D139" s="100"/>
    </row>
    <row r="140" spans="1:4">
      <c r="A140" t="s">
        <v>119</v>
      </c>
      <c r="B140">
        <v>1</v>
      </c>
      <c r="C140" s="98">
        <v>576331</v>
      </c>
      <c r="D140" s="100"/>
    </row>
    <row r="141" spans="1:4">
      <c r="A141" t="s">
        <v>119</v>
      </c>
      <c r="B141">
        <v>1</v>
      </c>
      <c r="C141" s="98">
        <v>576331</v>
      </c>
      <c r="D141" s="100"/>
    </row>
    <row r="142" spans="1:4">
      <c r="A142" t="s">
        <v>125</v>
      </c>
      <c r="B142">
        <v>1</v>
      </c>
      <c r="C142" s="98">
        <v>576331</v>
      </c>
      <c r="D142" s="100"/>
    </row>
    <row r="143" spans="1:4">
      <c r="A143" t="s">
        <v>125</v>
      </c>
      <c r="B143">
        <v>1</v>
      </c>
      <c r="C143" s="98">
        <v>576331</v>
      </c>
      <c r="D143" s="100"/>
    </row>
    <row r="144" spans="1:4">
      <c r="A144" t="s">
        <v>115</v>
      </c>
      <c r="B144">
        <v>1</v>
      </c>
      <c r="C144" s="98">
        <v>654871</v>
      </c>
      <c r="D144" s="100"/>
    </row>
    <row r="145" spans="1:4">
      <c r="A145" t="s">
        <v>115</v>
      </c>
      <c r="B145">
        <v>1</v>
      </c>
      <c r="C145" s="98">
        <v>654871</v>
      </c>
      <c r="D145" s="100"/>
    </row>
    <row r="146" spans="1:4">
      <c r="A146" t="s">
        <v>115</v>
      </c>
      <c r="B146">
        <v>1</v>
      </c>
      <c r="C146" s="98">
        <v>654871</v>
      </c>
      <c r="D146" s="100"/>
    </row>
    <row r="147" spans="1:4">
      <c r="A147" t="s">
        <v>115</v>
      </c>
      <c r="B147">
        <v>1</v>
      </c>
      <c r="C147" s="98">
        <v>654871</v>
      </c>
      <c r="D147" s="100"/>
    </row>
    <row r="148" spans="1:4">
      <c r="A148" t="s">
        <v>255</v>
      </c>
      <c r="B148">
        <v>1</v>
      </c>
      <c r="C148" s="98">
        <v>681050</v>
      </c>
      <c r="D148" s="100"/>
    </row>
    <row r="149" spans="1:4">
      <c r="A149" t="s">
        <v>138</v>
      </c>
      <c r="B149">
        <v>1</v>
      </c>
      <c r="C149" s="98">
        <v>1002400</v>
      </c>
      <c r="D149" s="100"/>
    </row>
    <row r="150" spans="1:4">
      <c r="A150" t="s">
        <v>138</v>
      </c>
      <c r="B150">
        <v>1</v>
      </c>
      <c r="C150" s="98">
        <v>1002400</v>
      </c>
      <c r="D150" s="100"/>
    </row>
    <row r="151" spans="1:4">
      <c r="A151" t="s">
        <v>1512</v>
      </c>
      <c r="B151">
        <v>1</v>
      </c>
      <c r="C151" s="98">
        <v>576331</v>
      </c>
      <c r="D151" s="100"/>
    </row>
    <row r="152" spans="1:4">
      <c r="A152" t="s">
        <v>1512</v>
      </c>
      <c r="B152">
        <v>1</v>
      </c>
      <c r="C152" s="98">
        <v>576331</v>
      </c>
      <c r="D152" s="100"/>
    </row>
    <row r="153" spans="1:4">
      <c r="A153" t="s">
        <v>1512</v>
      </c>
      <c r="B153">
        <v>1</v>
      </c>
      <c r="C153" s="98">
        <v>576331</v>
      </c>
      <c r="D153" s="100"/>
    </row>
    <row r="154" spans="1:4">
      <c r="A154" t="s">
        <v>1512</v>
      </c>
      <c r="B154">
        <v>1</v>
      </c>
      <c r="C154" s="98">
        <v>576331</v>
      </c>
      <c r="D154" s="100"/>
    </row>
    <row r="155" spans="1:4">
      <c r="A155" t="s">
        <v>1512</v>
      </c>
      <c r="B155">
        <v>1</v>
      </c>
      <c r="C155" s="98">
        <v>576331</v>
      </c>
      <c r="D155" s="100"/>
    </row>
    <row r="156" spans="1:4">
      <c r="A156" t="s">
        <v>1512</v>
      </c>
      <c r="B156">
        <v>1</v>
      </c>
      <c r="C156" s="98">
        <v>576331</v>
      </c>
      <c r="D156" s="100"/>
    </row>
    <row r="157" spans="1:4">
      <c r="A157" t="s">
        <v>1563</v>
      </c>
      <c r="B157">
        <v>1</v>
      </c>
      <c r="C157" s="98">
        <v>602510</v>
      </c>
      <c r="D157" s="100"/>
    </row>
    <row r="158" spans="1:4">
      <c r="A158" t="s">
        <v>1563</v>
      </c>
      <c r="B158">
        <v>1</v>
      </c>
      <c r="C158" s="98">
        <v>602510</v>
      </c>
      <c r="D158" s="100"/>
    </row>
    <row r="159" spans="1:4">
      <c r="A159" t="s">
        <v>115</v>
      </c>
      <c r="B159">
        <v>1</v>
      </c>
      <c r="C159" s="98">
        <v>654871</v>
      </c>
      <c r="D159" s="100"/>
    </row>
    <row r="160" spans="1:4">
      <c r="A160" t="s">
        <v>115</v>
      </c>
      <c r="B160">
        <v>1</v>
      </c>
      <c r="C160" s="98">
        <v>654871</v>
      </c>
      <c r="D160" s="100"/>
    </row>
    <row r="161" spans="1:4">
      <c r="A161" t="s">
        <v>115</v>
      </c>
      <c r="B161">
        <v>1</v>
      </c>
      <c r="C161" s="98">
        <v>654871</v>
      </c>
      <c r="D161" s="100"/>
    </row>
    <row r="162" spans="1:4">
      <c r="A162" t="s">
        <v>115</v>
      </c>
      <c r="B162">
        <v>1</v>
      </c>
      <c r="C162" s="98">
        <v>654871</v>
      </c>
      <c r="D162" s="100"/>
    </row>
    <row r="163" spans="1:4">
      <c r="A163" t="s">
        <v>255</v>
      </c>
      <c r="B163">
        <v>1</v>
      </c>
      <c r="C163" s="98">
        <v>681050</v>
      </c>
      <c r="D163" s="100"/>
    </row>
    <row r="164" spans="1:4">
      <c r="A164" t="s">
        <v>109</v>
      </c>
      <c r="B164">
        <v>1</v>
      </c>
      <c r="C164" s="98">
        <v>654871</v>
      </c>
      <c r="D164" s="100"/>
    </row>
    <row r="165" spans="1:4">
      <c r="A165" t="s">
        <v>109</v>
      </c>
      <c r="B165">
        <v>1</v>
      </c>
      <c r="C165" s="98">
        <v>654871</v>
      </c>
      <c r="D165" s="100"/>
    </row>
    <row r="166" spans="1:4">
      <c r="A166" t="s">
        <v>109</v>
      </c>
      <c r="B166">
        <v>1</v>
      </c>
      <c r="C166" s="98">
        <v>654871</v>
      </c>
      <c r="D166" s="100"/>
    </row>
    <row r="167" spans="1:4">
      <c r="A167" t="s">
        <v>109</v>
      </c>
      <c r="B167">
        <v>1</v>
      </c>
      <c r="C167" s="98">
        <v>654871</v>
      </c>
      <c r="D167" s="100"/>
    </row>
    <row r="168" spans="1:4">
      <c r="A168" t="s">
        <v>110</v>
      </c>
      <c r="B168">
        <v>1</v>
      </c>
      <c r="C168" s="98">
        <v>654871</v>
      </c>
      <c r="D168" s="100"/>
    </row>
    <row r="169" spans="1:4">
      <c r="A169" t="s">
        <v>110</v>
      </c>
      <c r="B169">
        <v>1</v>
      </c>
      <c r="C169" s="98">
        <v>654871</v>
      </c>
      <c r="D169" s="100"/>
    </row>
    <row r="170" spans="1:4">
      <c r="A170" t="s">
        <v>110</v>
      </c>
      <c r="B170">
        <v>1</v>
      </c>
      <c r="C170" s="98">
        <v>654871</v>
      </c>
      <c r="D170" s="100"/>
    </row>
    <row r="171" spans="1:4">
      <c r="A171" t="s">
        <v>110</v>
      </c>
      <c r="B171">
        <v>1</v>
      </c>
      <c r="C171" s="98">
        <v>654871</v>
      </c>
      <c r="D171" s="100"/>
    </row>
    <row r="172" spans="1:4">
      <c r="A172" t="s">
        <v>110</v>
      </c>
      <c r="B172">
        <v>1</v>
      </c>
      <c r="C172" s="98">
        <v>654871</v>
      </c>
      <c r="D172" s="100"/>
    </row>
    <row r="173" spans="1:4">
      <c r="A173" t="s">
        <v>110</v>
      </c>
      <c r="B173">
        <v>1</v>
      </c>
      <c r="C173" s="98">
        <v>654871</v>
      </c>
      <c r="D173" s="100"/>
    </row>
    <row r="174" spans="1:4">
      <c r="A174" t="s">
        <v>110</v>
      </c>
      <c r="B174">
        <v>1</v>
      </c>
      <c r="C174" s="98">
        <v>654871</v>
      </c>
      <c r="D174" s="100"/>
    </row>
    <row r="175" spans="1:4">
      <c r="A175" t="s">
        <v>110</v>
      </c>
      <c r="B175">
        <v>1</v>
      </c>
      <c r="C175" s="98">
        <v>654871</v>
      </c>
      <c r="D175" s="100"/>
    </row>
    <row r="176" spans="1:4">
      <c r="A176" t="s">
        <v>1564</v>
      </c>
      <c r="B176">
        <v>1</v>
      </c>
      <c r="C176" s="98">
        <v>681050</v>
      </c>
      <c r="D176" s="100"/>
    </row>
    <row r="177" spans="1:4">
      <c r="A177" t="s">
        <v>110</v>
      </c>
      <c r="B177">
        <v>1</v>
      </c>
      <c r="C177" s="98">
        <v>654871</v>
      </c>
      <c r="D177" s="100"/>
    </row>
    <row r="178" spans="1:4">
      <c r="A178" t="s">
        <v>110</v>
      </c>
      <c r="B178">
        <v>1</v>
      </c>
      <c r="C178" s="98">
        <v>654871</v>
      </c>
      <c r="D178" s="100"/>
    </row>
    <row r="179" spans="1:4">
      <c r="A179" t="s">
        <v>110</v>
      </c>
      <c r="B179">
        <v>1</v>
      </c>
      <c r="C179" s="98">
        <v>654871</v>
      </c>
      <c r="D179" s="100"/>
    </row>
    <row r="180" spans="1:4">
      <c r="A180" t="s">
        <v>110</v>
      </c>
      <c r="B180">
        <v>1</v>
      </c>
      <c r="C180" s="98">
        <v>654871</v>
      </c>
      <c r="D180" s="100"/>
    </row>
    <row r="181" spans="1:4">
      <c r="A181" t="s">
        <v>1564</v>
      </c>
      <c r="B181">
        <v>1</v>
      </c>
      <c r="C181" s="98">
        <v>681050</v>
      </c>
      <c r="D181" s="100"/>
    </row>
    <row r="182" spans="1:4">
      <c r="A182" t="s">
        <v>226</v>
      </c>
      <c r="B182">
        <v>1</v>
      </c>
      <c r="C182" s="98">
        <v>628690</v>
      </c>
      <c r="D182" s="100"/>
    </row>
    <row r="183" spans="1:4">
      <c r="A183" t="s">
        <v>226</v>
      </c>
      <c r="B183">
        <v>1</v>
      </c>
      <c r="C183" s="98">
        <v>628690</v>
      </c>
      <c r="D183" s="100"/>
    </row>
    <row r="184" spans="1:4">
      <c r="A184" t="s">
        <v>110</v>
      </c>
      <c r="B184">
        <v>1</v>
      </c>
      <c r="C184" s="98">
        <v>654871</v>
      </c>
      <c r="D184" s="100"/>
    </row>
    <row r="185" spans="1:4">
      <c r="A185" t="s">
        <v>110</v>
      </c>
      <c r="B185">
        <v>1</v>
      </c>
      <c r="C185" s="98">
        <v>654871</v>
      </c>
      <c r="D185" s="100"/>
    </row>
    <row r="186" spans="1:4">
      <c r="A186" t="s">
        <v>211</v>
      </c>
      <c r="B186">
        <v>1</v>
      </c>
      <c r="C186" s="98">
        <v>576331</v>
      </c>
      <c r="D186" s="100"/>
    </row>
    <row r="187" spans="1:4">
      <c r="A187" t="s">
        <v>211</v>
      </c>
      <c r="B187">
        <v>1</v>
      </c>
      <c r="C187" s="98">
        <v>576331</v>
      </c>
      <c r="D187" s="100"/>
    </row>
    <row r="188" spans="1:4">
      <c r="A188" t="s">
        <v>113</v>
      </c>
      <c r="B188">
        <v>1</v>
      </c>
      <c r="C188" s="98">
        <v>654871</v>
      </c>
      <c r="D188" s="100"/>
    </row>
    <row r="189" spans="1:4">
      <c r="A189" t="s">
        <v>113</v>
      </c>
      <c r="B189">
        <v>1</v>
      </c>
      <c r="C189" s="98">
        <v>654871</v>
      </c>
      <c r="D189" s="100"/>
    </row>
    <row r="190" spans="1:4">
      <c r="A190" t="s">
        <v>121</v>
      </c>
      <c r="B190">
        <v>1</v>
      </c>
      <c r="C190" s="98">
        <v>576331</v>
      </c>
      <c r="D190" s="100"/>
    </row>
    <row r="191" spans="1:4">
      <c r="A191" t="s">
        <v>121</v>
      </c>
      <c r="B191">
        <v>1</v>
      </c>
      <c r="C191" s="98">
        <v>576331</v>
      </c>
      <c r="D191" s="100"/>
    </row>
    <row r="192" spans="1:4">
      <c r="A192" t="s">
        <v>108</v>
      </c>
      <c r="B192">
        <v>1</v>
      </c>
      <c r="C192" s="98">
        <v>654871</v>
      </c>
      <c r="D192" s="100"/>
    </row>
    <row r="193" spans="1:4">
      <c r="A193" t="s">
        <v>108</v>
      </c>
      <c r="B193">
        <v>1</v>
      </c>
      <c r="C193" s="98">
        <v>654871</v>
      </c>
      <c r="D193" s="100"/>
    </row>
    <row r="194" spans="1:4">
      <c r="A194" t="s">
        <v>108</v>
      </c>
      <c r="B194">
        <v>1</v>
      </c>
      <c r="C194" s="98">
        <v>654871</v>
      </c>
      <c r="D194" s="100"/>
    </row>
    <row r="195" spans="1:4">
      <c r="A195" t="s">
        <v>240</v>
      </c>
      <c r="B195">
        <v>1</v>
      </c>
      <c r="C195" s="98">
        <v>681050</v>
      </c>
      <c r="D195" s="100"/>
    </row>
    <row r="196" spans="1:4">
      <c r="A196" t="s">
        <v>240</v>
      </c>
      <c r="B196">
        <v>1</v>
      </c>
      <c r="C196" s="98">
        <v>681050</v>
      </c>
      <c r="D196" s="100"/>
    </row>
    <row r="197" spans="1:4">
      <c r="A197" t="s">
        <v>240</v>
      </c>
      <c r="B197">
        <v>1</v>
      </c>
      <c r="C197" s="98">
        <v>681050</v>
      </c>
      <c r="D197" s="100"/>
    </row>
    <row r="198" spans="1:4">
      <c r="A198" t="s">
        <v>235</v>
      </c>
      <c r="B198">
        <v>1</v>
      </c>
      <c r="C198" s="98">
        <v>602510</v>
      </c>
      <c r="D198" s="100"/>
    </row>
    <row r="199" spans="1:4">
      <c r="A199" t="s">
        <v>200</v>
      </c>
      <c r="B199">
        <v>1</v>
      </c>
      <c r="C199" s="98">
        <v>681050</v>
      </c>
      <c r="D199" s="100"/>
    </row>
    <row r="200" spans="1:4">
      <c r="A200" t="s">
        <v>114</v>
      </c>
      <c r="B200">
        <v>1</v>
      </c>
      <c r="C200" s="98">
        <v>654871</v>
      </c>
      <c r="D200" s="100"/>
    </row>
    <row r="201" spans="1:4">
      <c r="A201" t="s">
        <v>114</v>
      </c>
      <c r="B201">
        <v>1</v>
      </c>
      <c r="C201" s="98">
        <v>654871</v>
      </c>
      <c r="D201" s="100"/>
    </row>
    <row r="202" spans="1:4">
      <c r="A202" t="s">
        <v>116</v>
      </c>
      <c r="B202">
        <v>1</v>
      </c>
      <c r="C202" s="98">
        <v>654871</v>
      </c>
      <c r="D202" s="100"/>
    </row>
    <row r="203" spans="1:4">
      <c r="A203" t="s">
        <v>116</v>
      </c>
      <c r="B203">
        <v>1</v>
      </c>
      <c r="C203" s="98">
        <v>654871</v>
      </c>
      <c r="D203" s="100"/>
    </row>
    <row r="204" spans="1:4">
      <c r="A204" t="s">
        <v>116</v>
      </c>
      <c r="B204">
        <v>1</v>
      </c>
      <c r="C204" s="98">
        <v>654871</v>
      </c>
      <c r="D204" s="100"/>
    </row>
    <row r="205" spans="1:4">
      <c r="A205" t="s">
        <v>116</v>
      </c>
      <c r="B205">
        <v>1</v>
      </c>
      <c r="C205" s="98">
        <v>654871</v>
      </c>
      <c r="D205" s="100"/>
    </row>
    <row r="206" spans="1:4">
      <c r="A206" t="s">
        <v>243</v>
      </c>
      <c r="B206">
        <v>1</v>
      </c>
      <c r="C206" s="98">
        <v>681050</v>
      </c>
      <c r="D206" s="100"/>
    </row>
    <row r="207" spans="1:4">
      <c r="A207" t="s">
        <v>243</v>
      </c>
      <c r="B207">
        <v>1</v>
      </c>
      <c r="C207" s="98">
        <v>681050</v>
      </c>
      <c r="D207" s="100"/>
    </row>
    <row r="208" spans="1:4">
      <c r="A208" t="s">
        <v>1513</v>
      </c>
      <c r="B208">
        <v>1</v>
      </c>
      <c r="C208" s="98">
        <v>576331</v>
      </c>
      <c r="D208" s="100"/>
    </row>
    <row r="209" spans="1:4">
      <c r="A209" t="s">
        <v>1513</v>
      </c>
      <c r="B209">
        <v>1</v>
      </c>
      <c r="C209" s="98">
        <v>576331</v>
      </c>
      <c r="D209" s="100"/>
    </row>
    <row r="210" spans="1:4">
      <c r="A210" t="s">
        <v>1565</v>
      </c>
      <c r="B210">
        <v>1</v>
      </c>
      <c r="C210" s="98">
        <v>602510</v>
      </c>
      <c r="D210" s="100"/>
    </row>
    <row r="211" spans="1:4">
      <c r="A211" t="s">
        <v>1565</v>
      </c>
      <c r="B211">
        <v>1</v>
      </c>
      <c r="C211" s="98">
        <v>602510</v>
      </c>
      <c r="D211" s="100"/>
    </row>
    <row r="212" spans="1:4">
      <c r="A212" t="s">
        <v>243</v>
      </c>
      <c r="B212">
        <v>1</v>
      </c>
      <c r="C212" s="98">
        <v>681050</v>
      </c>
      <c r="D212" s="100"/>
    </row>
    <row r="213" spans="1:4">
      <c r="A213" t="s">
        <v>116</v>
      </c>
      <c r="B213">
        <v>1</v>
      </c>
      <c r="C213" s="98">
        <v>654871</v>
      </c>
      <c r="D213" s="100"/>
    </row>
    <row r="214" spans="1:4">
      <c r="A214" t="s">
        <v>116</v>
      </c>
      <c r="B214">
        <v>1</v>
      </c>
      <c r="C214" s="98">
        <v>654871</v>
      </c>
      <c r="D214" s="100"/>
    </row>
    <row r="215" spans="1:4">
      <c r="A215" t="s">
        <v>120</v>
      </c>
      <c r="B215">
        <v>1</v>
      </c>
      <c r="C215" s="98">
        <v>576331</v>
      </c>
      <c r="D215" s="100"/>
    </row>
    <row r="216" spans="1:4">
      <c r="A216" t="s">
        <v>120</v>
      </c>
      <c r="B216">
        <v>1</v>
      </c>
      <c r="C216" s="98">
        <v>576331</v>
      </c>
      <c r="D216" s="100"/>
    </row>
    <row r="217" spans="1:4">
      <c r="A217" t="s">
        <v>245</v>
      </c>
      <c r="B217">
        <v>1</v>
      </c>
      <c r="C217" s="98">
        <v>602510</v>
      </c>
      <c r="D217" s="100"/>
    </row>
    <row r="218" spans="1:4">
      <c r="A218" t="s">
        <v>244</v>
      </c>
      <c r="B218">
        <v>1</v>
      </c>
      <c r="C218" s="98">
        <v>681050</v>
      </c>
      <c r="D218" s="100"/>
    </row>
    <row r="219" spans="1:4">
      <c r="A219" t="s">
        <v>225</v>
      </c>
      <c r="B219">
        <v>1</v>
      </c>
      <c r="C219" s="98">
        <v>628690</v>
      </c>
      <c r="D219" s="100"/>
    </row>
    <row r="220" spans="1:4">
      <c r="A220" t="s">
        <v>225</v>
      </c>
      <c r="B220">
        <v>1</v>
      </c>
      <c r="C220" s="98">
        <v>628690</v>
      </c>
      <c r="D220" s="100"/>
    </row>
    <row r="221" spans="1:4">
      <c r="A221" t="s">
        <v>254</v>
      </c>
      <c r="B221">
        <v>1</v>
      </c>
      <c r="C221" s="98">
        <v>681050</v>
      </c>
      <c r="D221" s="100"/>
    </row>
    <row r="222" spans="1:4">
      <c r="A222" t="s">
        <v>238</v>
      </c>
      <c r="B222">
        <v>1</v>
      </c>
      <c r="C222" s="98">
        <v>602510</v>
      </c>
      <c r="D222" s="100"/>
    </row>
    <row r="223" spans="1:4">
      <c r="A223" t="s">
        <v>1514</v>
      </c>
      <c r="B223">
        <v>1</v>
      </c>
      <c r="C223" s="98">
        <v>454158</v>
      </c>
      <c r="D223" s="100"/>
    </row>
    <row r="224" spans="1:4">
      <c r="A224" t="s">
        <v>1514</v>
      </c>
      <c r="B224">
        <v>1</v>
      </c>
      <c r="C224" s="98">
        <v>454158</v>
      </c>
      <c r="D224" s="100"/>
    </row>
    <row r="225" spans="1:4">
      <c r="A225" t="s">
        <v>222</v>
      </c>
      <c r="B225">
        <v>0.5</v>
      </c>
      <c r="C225" s="98">
        <v>314345</v>
      </c>
      <c r="D225" s="100"/>
    </row>
    <row r="226" spans="1:4">
      <c r="A226" t="s">
        <v>222</v>
      </c>
      <c r="B226">
        <v>0.5</v>
      </c>
      <c r="C226" s="98">
        <v>314345</v>
      </c>
      <c r="D226" s="100"/>
    </row>
    <row r="227" spans="1:4">
      <c r="A227" t="s">
        <v>222</v>
      </c>
      <c r="B227">
        <v>0.5</v>
      </c>
      <c r="C227" s="98">
        <v>314345</v>
      </c>
      <c r="D227" s="100"/>
    </row>
    <row r="228" spans="1:4">
      <c r="A228" t="s">
        <v>222</v>
      </c>
      <c r="B228">
        <v>0.5</v>
      </c>
      <c r="C228" s="98">
        <v>314345</v>
      </c>
      <c r="D228" s="100"/>
    </row>
    <row r="229" spans="1:4">
      <c r="A229" t="s">
        <v>222</v>
      </c>
      <c r="B229">
        <v>0.5</v>
      </c>
      <c r="C229" s="98">
        <v>314345</v>
      </c>
      <c r="D229" s="100"/>
    </row>
    <row r="230" spans="1:4">
      <c r="A230" t="s">
        <v>222</v>
      </c>
      <c r="B230">
        <v>0.5</v>
      </c>
      <c r="C230" s="98">
        <v>314345</v>
      </c>
      <c r="D230" s="100"/>
    </row>
    <row r="231" spans="1:4">
      <c r="A231" t="s">
        <v>250</v>
      </c>
      <c r="B231">
        <v>1</v>
      </c>
      <c r="C231" s="98">
        <v>602510</v>
      </c>
      <c r="D231" s="100"/>
    </row>
    <row r="232" spans="1:4">
      <c r="A232" t="s">
        <v>249</v>
      </c>
      <c r="B232">
        <v>1</v>
      </c>
      <c r="C232" s="98">
        <v>602510</v>
      </c>
      <c r="D232" s="100"/>
    </row>
    <row r="233" spans="1:4">
      <c r="A233" t="s">
        <v>256</v>
      </c>
      <c r="B233">
        <v>1</v>
      </c>
      <c r="C233" s="98">
        <v>681050</v>
      </c>
      <c r="D233" s="100"/>
    </row>
    <row r="234" spans="1:4">
      <c r="A234" t="s">
        <v>256</v>
      </c>
      <c r="B234">
        <v>1</v>
      </c>
      <c r="C234" s="98">
        <v>681050</v>
      </c>
      <c r="D234" s="100"/>
    </row>
    <row r="235" spans="1:4">
      <c r="A235" t="s">
        <v>256</v>
      </c>
      <c r="B235">
        <v>1</v>
      </c>
      <c r="C235" s="98">
        <v>681050</v>
      </c>
      <c r="D235" s="100"/>
    </row>
    <row r="236" spans="1:4">
      <c r="A236" t="s">
        <v>107</v>
      </c>
      <c r="B236">
        <v>1</v>
      </c>
      <c r="C236" s="98">
        <v>654871</v>
      </c>
      <c r="D236" s="100"/>
    </row>
    <row r="237" spans="1:4">
      <c r="A237" t="s">
        <v>107</v>
      </c>
      <c r="B237">
        <v>1</v>
      </c>
      <c r="C237" s="98">
        <v>654871</v>
      </c>
      <c r="D237" s="100"/>
    </row>
    <row r="238" spans="1:4">
      <c r="A238" t="s">
        <v>107</v>
      </c>
      <c r="B238">
        <v>1</v>
      </c>
      <c r="C238" s="98">
        <v>654871</v>
      </c>
      <c r="D238" s="100"/>
    </row>
    <row r="239" spans="1:4">
      <c r="A239" t="s">
        <v>107</v>
      </c>
      <c r="B239">
        <v>1</v>
      </c>
      <c r="C239" s="98">
        <v>654871</v>
      </c>
      <c r="D239" s="100"/>
    </row>
    <row r="240" spans="1:4">
      <c r="A240" t="s">
        <v>108</v>
      </c>
      <c r="B240">
        <v>1</v>
      </c>
      <c r="C240" s="98">
        <v>654871</v>
      </c>
      <c r="D240" s="100"/>
    </row>
    <row r="241" spans="1:4">
      <c r="A241" t="s">
        <v>108</v>
      </c>
      <c r="B241">
        <v>1</v>
      </c>
      <c r="C241" s="98">
        <v>654871</v>
      </c>
      <c r="D241" s="100"/>
    </row>
    <row r="242" spans="1:4">
      <c r="A242" t="s">
        <v>240</v>
      </c>
      <c r="B242">
        <v>1</v>
      </c>
      <c r="C242" s="98">
        <v>681050</v>
      </c>
      <c r="D242" s="100"/>
    </row>
    <row r="243" spans="1:4">
      <c r="A243" t="s">
        <v>240</v>
      </c>
      <c r="B243">
        <v>1</v>
      </c>
      <c r="C243" s="98">
        <v>681050</v>
      </c>
      <c r="D243" s="100"/>
    </row>
    <row r="244" spans="1:4">
      <c r="A244" t="s">
        <v>254</v>
      </c>
      <c r="B244">
        <v>1</v>
      </c>
      <c r="C244" s="98">
        <v>681050</v>
      </c>
      <c r="D244" s="100"/>
    </row>
    <row r="245" spans="1:4">
      <c r="A245" t="s">
        <v>254</v>
      </c>
      <c r="B245">
        <v>1</v>
      </c>
      <c r="C245" s="98">
        <v>681050</v>
      </c>
      <c r="D245" s="100"/>
    </row>
    <row r="246" spans="1:4">
      <c r="A246" t="s">
        <v>254</v>
      </c>
      <c r="B246">
        <v>1</v>
      </c>
      <c r="C246" s="98">
        <v>681050</v>
      </c>
      <c r="D246" s="100"/>
    </row>
    <row r="247" spans="1:4">
      <c r="A247" t="s">
        <v>254</v>
      </c>
      <c r="B247">
        <v>1</v>
      </c>
      <c r="C247" s="98">
        <v>681050</v>
      </c>
      <c r="D247" s="100"/>
    </row>
    <row r="248" spans="1:4">
      <c r="A248" t="s">
        <v>254</v>
      </c>
      <c r="B248">
        <v>1</v>
      </c>
      <c r="C248" s="98">
        <v>681050</v>
      </c>
      <c r="D248" s="100"/>
    </row>
    <row r="249" spans="1:4">
      <c r="A249" t="s">
        <v>113</v>
      </c>
      <c r="B249">
        <v>1</v>
      </c>
      <c r="C249" s="98">
        <v>654871</v>
      </c>
      <c r="D249" s="100"/>
    </row>
    <row r="250" spans="1:4">
      <c r="A250" t="s">
        <v>113</v>
      </c>
      <c r="B250">
        <v>1</v>
      </c>
      <c r="C250" s="98">
        <v>654871</v>
      </c>
      <c r="D250" s="100"/>
    </row>
    <row r="251" spans="1:4">
      <c r="A251" t="s">
        <v>113</v>
      </c>
      <c r="B251">
        <v>1</v>
      </c>
      <c r="C251" s="98">
        <v>654871</v>
      </c>
      <c r="D251" s="100"/>
    </row>
    <row r="252" spans="1:4">
      <c r="A252" t="s">
        <v>113</v>
      </c>
      <c r="B252">
        <v>1</v>
      </c>
      <c r="C252" s="98">
        <v>654871</v>
      </c>
      <c r="D252" s="100"/>
    </row>
    <row r="253" spans="1:4">
      <c r="A253" t="s">
        <v>239</v>
      </c>
      <c r="B253">
        <v>1</v>
      </c>
      <c r="C253" s="98">
        <v>681050</v>
      </c>
      <c r="D253" s="100"/>
    </row>
    <row r="254" spans="1:4">
      <c r="A254" t="s">
        <v>239</v>
      </c>
      <c r="B254">
        <v>1</v>
      </c>
      <c r="C254" s="98">
        <v>681050</v>
      </c>
      <c r="D254" s="100"/>
    </row>
    <row r="255" spans="1:4">
      <c r="A255" t="s">
        <v>200</v>
      </c>
      <c r="B255">
        <v>1</v>
      </c>
      <c r="C255" s="98">
        <v>681050</v>
      </c>
      <c r="D255" s="100"/>
    </row>
    <row r="256" spans="1:4">
      <c r="A256" t="s">
        <v>200</v>
      </c>
      <c r="B256">
        <v>1</v>
      </c>
      <c r="C256" s="98">
        <v>681050</v>
      </c>
      <c r="D256" s="100"/>
    </row>
    <row r="257" spans="1:4">
      <c r="A257" t="s">
        <v>1564</v>
      </c>
      <c r="B257">
        <v>1</v>
      </c>
      <c r="C257" s="98">
        <v>681050</v>
      </c>
      <c r="D257" s="100"/>
    </row>
    <row r="258" spans="1:4">
      <c r="A258" t="s">
        <v>110</v>
      </c>
      <c r="B258">
        <v>1</v>
      </c>
      <c r="C258" s="98">
        <v>654871</v>
      </c>
      <c r="D258" s="100"/>
    </row>
    <row r="259" spans="1:4">
      <c r="A259" t="s">
        <v>110</v>
      </c>
      <c r="B259">
        <v>1</v>
      </c>
      <c r="C259" s="98">
        <v>654871</v>
      </c>
      <c r="D259" s="100"/>
    </row>
    <row r="260" spans="1:4">
      <c r="A260" t="s">
        <v>110</v>
      </c>
      <c r="B260">
        <v>1</v>
      </c>
      <c r="C260" s="98">
        <v>654871</v>
      </c>
      <c r="D260" s="100"/>
    </row>
    <row r="261" spans="1:4">
      <c r="A261" t="s">
        <v>110</v>
      </c>
      <c r="B261">
        <v>1</v>
      </c>
      <c r="C261" s="98">
        <v>654871</v>
      </c>
      <c r="D261" s="100"/>
    </row>
    <row r="262" spans="1:4">
      <c r="A262" t="s">
        <v>1540</v>
      </c>
      <c r="B262">
        <v>0.5</v>
      </c>
      <c r="C262" s="98">
        <v>314345</v>
      </c>
      <c r="D262" s="100"/>
    </row>
    <row r="263" spans="1:4">
      <c r="A263" t="s">
        <v>1540</v>
      </c>
      <c r="B263">
        <v>0.5</v>
      </c>
      <c r="C263" s="98">
        <v>314345</v>
      </c>
      <c r="D263" s="100"/>
    </row>
    <row r="264" spans="1:4">
      <c r="A264" t="s">
        <v>1505</v>
      </c>
      <c r="B264">
        <v>1</v>
      </c>
      <c r="C264" s="98">
        <v>454158</v>
      </c>
      <c r="D264" s="100"/>
    </row>
    <row r="265" spans="1:4">
      <c r="A265" t="s">
        <v>1505</v>
      </c>
      <c r="B265">
        <v>1</v>
      </c>
      <c r="C265" s="98">
        <v>454158</v>
      </c>
      <c r="D265" s="100"/>
    </row>
    <row r="266" spans="1:4">
      <c r="A266" t="s">
        <v>1505</v>
      </c>
      <c r="B266">
        <v>1</v>
      </c>
      <c r="C266" s="98">
        <v>454158</v>
      </c>
      <c r="D266" s="100"/>
    </row>
    <row r="267" spans="1:4">
      <c r="A267" t="s">
        <v>1505</v>
      </c>
      <c r="B267">
        <v>1</v>
      </c>
      <c r="C267" s="98">
        <v>454158</v>
      </c>
      <c r="D267" s="100"/>
    </row>
    <row r="268" spans="1:4">
      <c r="A268" t="s">
        <v>109</v>
      </c>
      <c r="B268">
        <v>1</v>
      </c>
      <c r="C268" s="98">
        <v>654871</v>
      </c>
      <c r="D268" s="100"/>
    </row>
    <row r="269" spans="1:4">
      <c r="A269" t="s">
        <v>109</v>
      </c>
      <c r="B269">
        <v>1</v>
      </c>
      <c r="C269" s="98">
        <v>654871</v>
      </c>
      <c r="D269" s="100"/>
    </row>
    <row r="270" spans="1:4">
      <c r="A270" t="s">
        <v>225</v>
      </c>
      <c r="B270">
        <v>1</v>
      </c>
      <c r="C270" s="98">
        <v>628690</v>
      </c>
      <c r="D270" s="100"/>
    </row>
    <row r="271" spans="1:4">
      <c r="A271" t="s">
        <v>225</v>
      </c>
      <c r="B271">
        <v>1</v>
      </c>
      <c r="C271" s="98">
        <v>628690</v>
      </c>
      <c r="D271" s="100"/>
    </row>
    <row r="272" spans="1:4">
      <c r="A272" t="s">
        <v>199</v>
      </c>
      <c r="B272">
        <v>1</v>
      </c>
      <c r="C272" s="98">
        <v>681050</v>
      </c>
      <c r="D272" s="100"/>
    </row>
    <row r="273" spans="1:4">
      <c r="A273" t="s">
        <v>199</v>
      </c>
      <c r="B273">
        <v>1</v>
      </c>
      <c r="C273" s="98">
        <v>681050</v>
      </c>
      <c r="D273" s="100"/>
    </row>
    <row r="274" spans="1:4">
      <c r="A274" t="s">
        <v>1541</v>
      </c>
      <c r="B274">
        <v>1</v>
      </c>
      <c r="C274" s="98">
        <v>628690</v>
      </c>
      <c r="D274" s="100"/>
    </row>
    <row r="275" spans="1:4">
      <c r="A275" t="s">
        <v>1541</v>
      </c>
      <c r="B275">
        <v>1</v>
      </c>
      <c r="C275" s="98">
        <v>628690</v>
      </c>
      <c r="D275" s="100"/>
    </row>
    <row r="276" spans="1:4">
      <c r="A276" t="s">
        <v>223</v>
      </c>
      <c r="B276">
        <v>1</v>
      </c>
      <c r="C276" s="98">
        <v>628690</v>
      </c>
      <c r="D276" s="100"/>
    </row>
    <row r="277" spans="1:4">
      <c r="A277" t="s">
        <v>1542</v>
      </c>
      <c r="B277">
        <v>1</v>
      </c>
      <c r="C277" s="98">
        <v>628690</v>
      </c>
      <c r="D277" s="100"/>
    </row>
    <row r="278" spans="1:4">
      <c r="A278" t="s">
        <v>1542</v>
      </c>
      <c r="B278">
        <v>1</v>
      </c>
      <c r="C278" s="98">
        <v>628690</v>
      </c>
      <c r="D278" s="100"/>
    </row>
    <row r="279" spans="1:4">
      <c r="A279" t="s">
        <v>1542</v>
      </c>
      <c r="B279">
        <v>1</v>
      </c>
      <c r="C279" s="98">
        <v>628690</v>
      </c>
      <c r="D279" s="100"/>
    </row>
    <row r="280" spans="1:4">
      <c r="A280" t="s">
        <v>1542</v>
      </c>
      <c r="B280">
        <v>1</v>
      </c>
      <c r="C280" s="98">
        <v>628690</v>
      </c>
      <c r="D280" s="100"/>
    </row>
    <row r="281" spans="1:4">
      <c r="A281" t="s">
        <v>221</v>
      </c>
      <c r="B281">
        <v>1</v>
      </c>
      <c r="C281" s="98">
        <v>628690</v>
      </c>
      <c r="D281" s="100"/>
    </row>
    <row r="282" spans="1:4">
      <c r="A282" t="s">
        <v>221</v>
      </c>
      <c r="B282">
        <v>1</v>
      </c>
      <c r="C282" s="98">
        <v>628690</v>
      </c>
      <c r="D282" s="100"/>
    </row>
    <row r="283" spans="1:4">
      <c r="A283" t="s">
        <v>221</v>
      </c>
      <c r="B283">
        <v>1</v>
      </c>
      <c r="C283" s="98">
        <v>628690</v>
      </c>
      <c r="D283" s="100"/>
    </row>
    <row r="284" spans="1:4">
      <c r="A284" t="s">
        <v>221</v>
      </c>
      <c r="B284">
        <v>1</v>
      </c>
      <c r="C284" s="98">
        <v>628690</v>
      </c>
      <c r="D284" s="100"/>
    </row>
    <row r="285" spans="1:4">
      <c r="A285" t="s">
        <v>221</v>
      </c>
      <c r="B285">
        <v>1</v>
      </c>
      <c r="C285" s="98">
        <v>628690</v>
      </c>
      <c r="D285" s="100"/>
    </row>
    <row r="286" spans="1:4">
      <c r="A286" t="s">
        <v>1542</v>
      </c>
      <c r="B286">
        <v>1</v>
      </c>
      <c r="C286" s="98">
        <v>628690</v>
      </c>
      <c r="D286" s="100"/>
    </row>
    <row r="287" spans="1:4">
      <c r="A287" t="s">
        <v>1542</v>
      </c>
      <c r="B287">
        <v>1</v>
      </c>
      <c r="C287" s="98">
        <v>628690</v>
      </c>
      <c r="D287" s="100"/>
    </row>
    <row r="288" spans="1:4">
      <c r="A288" t="s">
        <v>1542</v>
      </c>
      <c r="B288">
        <v>1</v>
      </c>
      <c r="C288" s="98">
        <v>628690</v>
      </c>
      <c r="D288" s="100"/>
    </row>
    <row r="289" spans="1:4">
      <c r="A289" t="s">
        <v>1542</v>
      </c>
      <c r="B289">
        <v>1</v>
      </c>
      <c r="C289" s="98">
        <v>628690</v>
      </c>
      <c r="D289" s="100"/>
    </row>
    <row r="290" spans="1:4">
      <c r="A290" t="s">
        <v>218</v>
      </c>
      <c r="B290">
        <v>1</v>
      </c>
      <c r="C290" s="98">
        <v>628690</v>
      </c>
      <c r="D290" s="100"/>
    </row>
    <row r="291" spans="1:4">
      <c r="A291" t="s">
        <v>218</v>
      </c>
      <c r="B291">
        <v>1</v>
      </c>
      <c r="C291" s="98">
        <v>628690</v>
      </c>
      <c r="D291" s="100"/>
    </row>
    <row r="292" spans="1:4">
      <c r="A292" t="s">
        <v>218</v>
      </c>
      <c r="B292">
        <v>1</v>
      </c>
      <c r="C292" s="98">
        <v>628690</v>
      </c>
      <c r="D292" s="100"/>
    </row>
    <row r="293" spans="1:4">
      <c r="A293" t="s">
        <v>218</v>
      </c>
      <c r="B293">
        <v>1</v>
      </c>
      <c r="C293" s="98">
        <v>628690</v>
      </c>
      <c r="D293" s="100"/>
    </row>
    <row r="294" spans="1:4">
      <c r="A294" t="s">
        <v>1566</v>
      </c>
      <c r="B294">
        <v>1</v>
      </c>
      <c r="C294" s="98">
        <v>681050</v>
      </c>
      <c r="D294" s="100"/>
    </row>
    <row r="295" spans="1:4">
      <c r="A295" t="s">
        <v>1566</v>
      </c>
      <c r="B295">
        <v>1</v>
      </c>
      <c r="C295" s="98">
        <v>681050</v>
      </c>
      <c r="D295" s="100"/>
    </row>
    <row r="296" spans="1:4">
      <c r="A296" t="s">
        <v>1566</v>
      </c>
      <c r="B296">
        <v>1</v>
      </c>
      <c r="C296" s="98">
        <v>681050</v>
      </c>
      <c r="D296" s="100"/>
    </row>
    <row r="297" spans="1:4">
      <c r="A297" t="s">
        <v>1566</v>
      </c>
      <c r="B297">
        <v>1</v>
      </c>
      <c r="C297" s="98">
        <v>681050</v>
      </c>
      <c r="D297" s="100"/>
    </row>
    <row r="298" spans="1:4">
      <c r="A298" t="s">
        <v>111</v>
      </c>
      <c r="B298">
        <v>1</v>
      </c>
      <c r="C298" s="98">
        <v>654871</v>
      </c>
      <c r="D298" s="100"/>
    </row>
    <row r="299" spans="1:4">
      <c r="A299" t="s">
        <v>111</v>
      </c>
      <c r="B299">
        <v>1</v>
      </c>
      <c r="C299" s="98">
        <v>654871</v>
      </c>
      <c r="D299" s="100"/>
    </row>
    <row r="300" spans="1:4">
      <c r="A300" t="s">
        <v>111</v>
      </c>
      <c r="B300">
        <v>1</v>
      </c>
      <c r="C300" s="98">
        <v>654871</v>
      </c>
      <c r="D300" s="100"/>
    </row>
    <row r="301" spans="1:4">
      <c r="A301" t="s">
        <v>111</v>
      </c>
      <c r="B301">
        <v>1</v>
      </c>
      <c r="C301" s="98">
        <v>654871</v>
      </c>
      <c r="D301" s="100"/>
    </row>
    <row r="302" spans="1:4">
      <c r="A302" t="s">
        <v>111</v>
      </c>
      <c r="B302">
        <v>1</v>
      </c>
      <c r="C302" s="98">
        <v>654871</v>
      </c>
      <c r="D302" s="100"/>
    </row>
    <row r="303" spans="1:4">
      <c r="A303" t="s">
        <v>111</v>
      </c>
      <c r="B303">
        <v>1</v>
      </c>
      <c r="C303" s="98">
        <v>654871</v>
      </c>
      <c r="D303" s="100"/>
    </row>
    <row r="304" spans="1:4">
      <c r="A304" t="s">
        <v>1515</v>
      </c>
      <c r="B304">
        <v>1</v>
      </c>
      <c r="C304" s="98">
        <v>576331</v>
      </c>
      <c r="D304" s="100"/>
    </row>
    <row r="305" spans="1:4">
      <c r="A305" t="s">
        <v>1515</v>
      </c>
      <c r="B305">
        <v>1</v>
      </c>
      <c r="C305" s="98">
        <v>576331</v>
      </c>
      <c r="D305" s="100"/>
    </row>
    <row r="306" spans="1:4">
      <c r="A306" t="s">
        <v>1515</v>
      </c>
      <c r="B306">
        <v>1</v>
      </c>
      <c r="C306" s="98">
        <v>576331</v>
      </c>
      <c r="D306" s="100"/>
    </row>
    <row r="307" spans="1:4">
      <c r="A307" t="s">
        <v>1515</v>
      </c>
      <c r="B307">
        <v>1</v>
      </c>
      <c r="C307" s="98">
        <v>576331</v>
      </c>
      <c r="D307" s="100"/>
    </row>
    <row r="308" spans="1:4">
      <c r="A308" t="s">
        <v>1543</v>
      </c>
      <c r="B308">
        <v>1</v>
      </c>
      <c r="C308" s="98">
        <v>550151</v>
      </c>
      <c r="D308" s="100"/>
    </row>
    <row r="309" spans="1:4">
      <c r="A309" t="s">
        <v>111</v>
      </c>
      <c r="B309">
        <v>1</v>
      </c>
      <c r="C309" s="98">
        <v>654871</v>
      </c>
      <c r="D309" s="100"/>
    </row>
    <row r="310" spans="1:4">
      <c r="A310" t="s">
        <v>111</v>
      </c>
      <c r="B310">
        <v>1</v>
      </c>
      <c r="C310" s="98">
        <v>654871</v>
      </c>
      <c r="D310" s="100"/>
    </row>
    <row r="311" spans="1:4">
      <c r="A311" t="s">
        <v>1566</v>
      </c>
      <c r="B311">
        <v>1</v>
      </c>
      <c r="C311" s="98">
        <v>681050</v>
      </c>
      <c r="D311" s="100"/>
    </row>
    <row r="312" spans="1:4">
      <c r="A312" t="s">
        <v>1566</v>
      </c>
      <c r="B312">
        <v>1</v>
      </c>
      <c r="C312" s="98">
        <v>681050</v>
      </c>
      <c r="D312" s="100"/>
    </row>
    <row r="313" spans="1:4">
      <c r="A313" t="s">
        <v>1566</v>
      </c>
      <c r="B313">
        <v>1</v>
      </c>
      <c r="C313" s="98">
        <v>681050</v>
      </c>
      <c r="D313" s="100"/>
    </row>
    <row r="314" spans="1:4">
      <c r="A314" t="s">
        <v>222</v>
      </c>
      <c r="B314">
        <v>1</v>
      </c>
      <c r="C314" s="98">
        <v>628690</v>
      </c>
      <c r="D314" s="100"/>
    </row>
    <row r="315" spans="1:4">
      <c r="A315" t="s">
        <v>222</v>
      </c>
      <c r="B315">
        <v>1</v>
      </c>
      <c r="C315" s="98">
        <v>628690</v>
      </c>
      <c r="D315" s="100"/>
    </row>
    <row r="316" spans="1:4">
      <c r="A316" t="s">
        <v>121</v>
      </c>
      <c r="B316">
        <v>1</v>
      </c>
      <c r="C316" s="98">
        <v>576331</v>
      </c>
      <c r="D316" s="100"/>
    </row>
    <row r="317" spans="1:4">
      <c r="A317" t="s">
        <v>121</v>
      </c>
      <c r="B317">
        <v>1</v>
      </c>
      <c r="C317" s="98">
        <v>576331</v>
      </c>
      <c r="D317" s="100"/>
    </row>
    <row r="318" spans="1:4">
      <c r="A318" t="s">
        <v>121</v>
      </c>
      <c r="B318">
        <v>1</v>
      </c>
      <c r="C318" s="98">
        <v>576331</v>
      </c>
      <c r="D318" s="100"/>
    </row>
    <row r="319" spans="1:4">
      <c r="A319" t="s">
        <v>121</v>
      </c>
      <c r="B319">
        <v>1</v>
      </c>
      <c r="C319" s="98">
        <v>576331</v>
      </c>
      <c r="D319" s="100"/>
    </row>
    <row r="320" spans="1:4">
      <c r="A320" t="s">
        <v>240</v>
      </c>
      <c r="B320">
        <v>1</v>
      </c>
      <c r="C320" s="98">
        <v>681050</v>
      </c>
      <c r="D320" s="100"/>
    </row>
    <row r="321" spans="1:4">
      <c r="A321" t="s">
        <v>223</v>
      </c>
      <c r="B321">
        <v>0.5</v>
      </c>
      <c r="C321" s="98">
        <v>314345</v>
      </c>
      <c r="D321" s="100"/>
    </row>
    <row r="322" spans="1:4">
      <c r="A322" t="s">
        <v>223</v>
      </c>
      <c r="B322">
        <v>0.5</v>
      </c>
      <c r="C322" s="98">
        <v>314345</v>
      </c>
      <c r="D322" s="100"/>
    </row>
    <row r="323" spans="1:4">
      <c r="A323" t="s">
        <v>245</v>
      </c>
      <c r="B323">
        <v>1</v>
      </c>
      <c r="C323" s="98">
        <v>602510</v>
      </c>
      <c r="D323" s="100"/>
    </row>
    <row r="324" spans="1:4">
      <c r="A324" t="s">
        <v>128</v>
      </c>
      <c r="B324">
        <v>1</v>
      </c>
      <c r="C324" s="98">
        <v>576331</v>
      </c>
      <c r="D324" s="100"/>
    </row>
    <row r="325" spans="1:4">
      <c r="A325" t="s">
        <v>244</v>
      </c>
      <c r="B325">
        <v>1</v>
      </c>
      <c r="C325" s="98">
        <v>681050</v>
      </c>
      <c r="D325" s="100"/>
    </row>
    <row r="326" spans="1:4">
      <c r="A326" t="s">
        <v>256</v>
      </c>
      <c r="B326">
        <v>1</v>
      </c>
      <c r="C326" s="98">
        <v>681050</v>
      </c>
      <c r="D326" s="100"/>
    </row>
    <row r="327" spans="1:4">
      <c r="A327" t="s">
        <v>114</v>
      </c>
      <c r="B327">
        <v>1</v>
      </c>
      <c r="C327" s="98">
        <v>654871</v>
      </c>
      <c r="D327" s="100"/>
    </row>
    <row r="328" spans="1:4">
      <c r="A328" t="s">
        <v>114</v>
      </c>
      <c r="B328">
        <v>1</v>
      </c>
      <c r="C328" s="98">
        <v>654871</v>
      </c>
      <c r="D328" s="100"/>
    </row>
    <row r="329" spans="1:4">
      <c r="A329" t="s">
        <v>125</v>
      </c>
      <c r="B329">
        <v>1</v>
      </c>
      <c r="C329" s="98">
        <v>576331</v>
      </c>
      <c r="D329" s="100"/>
    </row>
    <row r="330" spans="1:4">
      <c r="A330" t="s">
        <v>125</v>
      </c>
      <c r="B330">
        <v>1</v>
      </c>
      <c r="C330" s="98">
        <v>576331</v>
      </c>
      <c r="D330" s="100"/>
    </row>
    <row r="331" spans="1:4">
      <c r="A331" t="s">
        <v>125</v>
      </c>
      <c r="B331">
        <v>1</v>
      </c>
      <c r="C331" s="98">
        <v>576331</v>
      </c>
      <c r="D331" s="100"/>
    </row>
    <row r="332" spans="1:4">
      <c r="A332" t="s">
        <v>125</v>
      </c>
      <c r="B332">
        <v>1</v>
      </c>
      <c r="C332" s="98">
        <v>576331</v>
      </c>
      <c r="D332" s="100"/>
    </row>
    <row r="333" spans="1:4">
      <c r="A333" t="s">
        <v>125</v>
      </c>
      <c r="B333">
        <v>1</v>
      </c>
      <c r="C333" s="98">
        <v>576331</v>
      </c>
      <c r="D333" s="100"/>
    </row>
    <row r="334" spans="1:4">
      <c r="A334" t="s">
        <v>125</v>
      </c>
      <c r="B334">
        <v>1</v>
      </c>
      <c r="C334" s="98">
        <v>576331</v>
      </c>
      <c r="D334" s="100"/>
    </row>
    <row r="335" spans="1:4">
      <c r="A335" t="s">
        <v>219</v>
      </c>
      <c r="B335">
        <v>1</v>
      </c>
      <c r="C335" s="98">
        <v>628690</v>
      </c>
      <c r="D335" s="100"/>
    </row>
    <row r="336" spans="1:4">
      <c r="A336" t="s">
        <v>252</v>
      </c>
      <c r="B336">
        <v>1</v>
      </c>
      <c r="C336" s="98">
        <v>681050</v>
      </c>
      <c r="D336" s="100"/>
    </row>
    <row r="337" spans="1:4">
      <c r="A337" t="s">
        <v>120</v>
      </c>
      <c r="B337">
        <v>1</v>
      </c>
      <c r="C337" s="98">
        <v>576331</v>
      </c>
      <c r="D337" s="100"/>
    </row>
    <row r="338" spans="1:4">
      <c r="A338" t="s">
        <v>120</v>
      </c>
      <c r="B338">
        <v>1</v>
      </c>
      <c r="C338" s="98">
        <v>576331</v>
      </c>
      <c r="D338" s="100"/>
    </row>
    <row r="339" spans="1:4">
      <c r="A339" t="s">
        <v>120</v>
      </c>
      <c r="B339">
        <v>1</v>
      </c>
      <c r="C339" s="98">
        <v>576331</v>
      </c>
      <c r="D339" s="100"/>
    </row>
    <row r="340" spans="1:4">
      <c r="A340" t="s">
        <v>120</v>
      </c>
      <c r="B340">
        <v>1</v>
      </c>
      <c r="C340" s="98">
        <v>576331</v>
      </c>
      <c r="D340" s="100"/>
    </row>
    <row r="341" spans="1:4">
      <c r="A341" t="s">
        <v>120</v>
      </c>
      <c r="B341">
        <v>1</v>
      </c>
      <c r="C341" s="98">
        <v>576331</v>
      </c>
      <c r="D341" s="100"/>
    </row>
    <row r="342" spans="1:4">
      <c r="A342" t="s">
        <v>120</v>
      </c>
      <c r="B342">
        <v>1</v>
      </c>
      <c r="C342" s="98">
        <v>576331</v>
      </c>
      <c r="D342" s="100"/>
    </row>
    <row r="343" spans="1:4">
      <c r="A343" t="s">
        <v>106</v>
      </c>
      <c r="B343">
        <v>1</v>
      </c>
      <c r="C343" s="98">
        <v>654871</v>
      </c>
      <c r="D343" s="100"/>
    </row>
    <row r="344" spans="1:4">
      <c r="A344" t="s">
        <v>106</v>
      </c>
      <c r="B344">
        <v>1</v>
      </c>
      <c r="C344" s="98">
        <v>654871</v>
      </c>
      <c r="D344" s="100"/>
    </row>
    <row r="345" spans="1:4">
      <c r="A345" t="s">
        <v>106</v>
      </c>
      <c r="B345">
        <v>1</v>
      </c>
      <c r="C345" s="98">
        <v>654871</v>
      </c>
      <c r="D345" s="100"/>
    </row>
    <row r="346" spans="1:4">
      <c r="A346" t="s">
        <v>106</v>
      </c>
      <c r="B346">
        <v>1</v>
      </c>
      <c r="C346" s="98">
        <v>654871</v>
      </c>
      <c r="D346" s="100"/>
    </row>
    <row r="347" spans="1:4">
      <c r="A347" t="s">
        <v>106</v>
      </c>
      <c r="B347">
        <v>1</v>
      </c>
      <c r="C347" s="98">
        <v>654871</v>
      </c>
      <c r="D347" s="100"/>
    </row>
    <row r="348" spans="1:4">
      <c r="A348" t="s">
        <v>106</v>
      </c>
      <c r="B348">
        <v>1</v>
      </c>
      <c r="C348" s="98">
        <v>654871</v>
      </c>
      <c r="D348" s="100"/>
    </row>
    <row r="349" spans="1:4">
      <c r="A349" t="s">
        <v>242</v>
      </c>
      <c r="B349">
        <v>1</v>
      </c>
      <c r="C349" s="98">
        <v>681050</v>
      </c>
      <c r="D349" s="100"/>
    </row>
    <row r="350" spans="1:4">
      <c r="A350" t="s">
        <v>254</v>
      </c>
      <c r="B350">
        <v>1</v>
      </c>
      <c r="C350" s="98">
        <v>681050</v>
      </c>
      <c r="D350" s="100"/>
    </row>
    <row r="351" spans="1:4">
      <c r="A351" t="s">
        <v>254</v>
      </c>
      <c r="B351">
        <v>1</v>
      </c>
      <c r="C351" s="98">
        <v>681050</v>
      </c>
      <c r="D351" s="100"/>
    </row>
    <row r="352" spans="1:4">
      <c r="A352" t="s">
        <v>225</v>
      </c>
      <c r="B352">
        <v>0.5</v>
      </c>
      <c r="C352" s="98">
        <v>314345</v>
      </c>
      <c r="D352" s="100"/>
    </row>
    <row r="353" spans="1:4">
      <c r="A353" t="s">
        <v>225</v>
      </c>
      <c r="B353">
        <v>0.5</v>
      </c>
      <c r="C353" s="98">
        <v>314345</v>
      </c>
      <c r="D353" s="100"/>
    </row>
    <row r="354" spans="1:4">
      <c r="A354" t="s">
        <v>204</v>
      </c>
      <c r="B354">
        <v>1</v>
      </c>
      <c r="C354" s="98">
        <v>576331</v>
      </c>
      <c r="D354" s="100"/>
    </row>
    <row r="355" spans="1:4">
      <c r="A355" t="s">
        <v>109</v>
      </c>
      <c r="B355">
        <v>1</v>
      </c>
      <c r="C355" s="98">
        <v>654871</v>
      </c>
      <c r="D355" s="100"/>
    </row>
    <row r="356" spans="1:4">
      <c r="A356" t="s">
        <v>109</v>
      </c>
      <c r="B356">
        <v>1</v>
      </c>
      <c r="C356" s="98">
        <v>654871</v>
      </c>
      <c r="D356" s="100"/>
    </row>
    <row r="357" spans="1:4">
      <c r="A357" t="s">
        <v>109</v>
      </c>
      <c r="B357">
        <v>1</v>
      </c>
      <c r="C357" s="98">
        <v>654871</v>
      </c>
      <c r="D357" s="100"/>
    </row>
    <row r="358" spans="1:4">
      <c r="A358" t="s">
        <v>109</v>
      </c>
      <c r="B358">
        <v>1</v>
      </c>
      <c r="C358" s="98">
        <v>654871</v>
      </c>
      <c r="D358" s="100"/>
    </row>
    <row r="359" spans="1:4">
      <c r="A359" t="s">
        <v>109</v>
      </c>
      <c r="B359">
        <v>1</v>
      </c>
      <c r="C359" s="98">
        <v>654871</v>
      </c>
      <c r="D359" s="100"/>
    </row>
    <row r="360" spans="1:4">
      <c r="A360" t="s">
        <v>109</v>
      </c>
      <c r="B360">
        <v>1</v>
      </c>
      <c r="C360" s="98">
        <v>654871</v>
      </c>
      <c r="D360" s="100"/>
    </row>
    <row r="361" spans="1:4">
      <c r="A361" t="s">
        <v>113</v>
      </c>
      <c r="B361">
        <v>1</v>
      </c>
      <c r="C361" s="98">
        <v>654871</v>
      </c>
      <c r="D361" s="100"/>
    </row>
    <row r="362" spans="1:4">
      <c r="A362" t="s">
        <v>113</v>
      </c>
      <c r="B362">
        <v>1</v>
      </c>
      <c r="C362" s="98">
        <v>654871</v>
      </c>
      <c r="D362" s="100"/>
    </row>
    <row r="363" spans="1:4">
      <c r="A363" t="s">
        <v>113</v>
      </c>
      <c r="B363">
        <v>1</v>
      </c>
      <c r="C363" s="98">
        <v>654871</v>
      </c>
      <c r="D363" s="100"/>
    </row>
    <row r="364" spans="1:4">
      <c r="A364" t="s">
        <v>113</v>
      </c>
      <c r="B364">
        <v>1</v>
      </c>
      <c r="C364" s="98">
        <v>654871</v>
      </c>
      <c r="D364" s="100"/>
    </row>
    <row r="365" spans="1:4">
      <c r="A365" t="s">
        <v>113</v>
      </c>
      <c r="B365">
        <v>1</v>
      </c>
      <c r="C365" s="98">
        <v>654871</v>
      </c>
      <c r="D365" s="100"/>
    </row>
    <row r="366" spans="1:4">
      <c r="A366" t="s">
        <v>113</v>
      </c>
      <c r="B366">
        <v>1</v>
      </c>
      <c r="C366" s="98">
        <v>654871</v>
      </c>
      <c r="D366" s="100"/>
    </row>
    <row r="367" spans="1:4">
      <c r="A367" t="s">
        <v>1542</v>
      </c>
      <c r="B367">
        <v>0.5</v>
      </c>
      <c r="C367" s="98">
        <v>314345</v>
      </c>
      <c r="D367" s="100"/>
    </row>
    <row r="368" spans="1:4">
      <c r="A368" t="s">
        <v>1542</v>
      </c>
      <c r="B368">
        <v>0.5</v>
      </c>
      <c r="C368" s="98">
        <v>314345</v>
      </c>
      <c r="D368" s="100"/>
    </row>
    <row r="369" spans="1:4">
      <c r="A369" t="s">
        <v>124</v>
      </c>
      <c r="B369">
        <v>1</v>
      </c>
      <c r="C369" s="98">
        <v>576331</v>
      </c>
      <c r="D369" s="100"/>
    </row>
    <row r="370" spans="1:4">
      <c r="A370" t="s">
        <v>124</v>
      </c>
      <c r="B370">
        <v>1</v>
      </c>
      <c r="C370" s="98">
        <v>576331</v>
      </c>
      <c r="D370" s="100"/>
    </row>
    <row r="371" spans="1:4">
      <c r="A371" t="s">
        <v>124</v>
      </c>
      <c r="B371">
        <v>1</v>
      </c>
      <c r="C371" s="98">
        <v>576331</v>
      </c>
      <c r="D371" s="100"/>
    </row>
    <row r="372" spans="1:4">
      <c r="A372" t="s">
        <v>124</v>
      </c>
      <c r="B372">
        <v>1</v>
      </c>
      <c r="C372" s="98">
        <v>576331</v>
      </c>
      <c r="D372" s="100"/>
    </row>
    <row r="373" spans="1:4">
      <c r="A373" t="s">
        <v>124</v>
      </c>
      <c r="B373">
        <v>1</v>
      </c>
      <c r="C373" s="98">
        <v>576331</v>
      </c>
      <c r="D373" s="100"/>
    </row>
    <row r="374" spans="1:4">
      <c r="A374" t="s">
        <v>124</v>
      </c>
      <c r="B374">
        <v>1</v>
      </c>
      <c r="C374" s="98">
        <v>576331</v>
      </c>
      <c r="D374" s="100"/>
    </row>
    <row r="375" spans="1:4">
      <c r="A375" t="s">
        <v>1562</v>
      </c>
      <c r="B375">
        <v>1</v>
      </c>
      <c r="C375" s="98">
        <v>681050</v>
      </c>
      <c r="D375" s="100"/>
    </row>
    <row r="376" spans="1:4">
      <c r="A376" t="s">
        <v>1544</v>
      </c>
      <c r="B376">
        <v>0.5</v>
      </c>
      <c r="C376" s="98">
        <v>314345</v>
      </c>
      <c r="D376" s="100"/>
    </row>
    <row r="377" spans="1:4">
      <c r="A377" t="s">
        <v>1544</v>
      </c>
      <c r="B377">
        <v>0.5</v>
      </c>
      <c r="C377" s="98">
        <v>314345</v>
      </c>
      <c r="D377" s="100"/>
    </row>
    <row r="378" spans="1:4">
      <c r="A378" t="s">
        <v>208</v>
      </c>
      <c r="B378">
        <v>1</v>
      </c>
      <c r="C378" s="98">
        <v>576331</v>
      </c>
      <c r="D378" s="100"/>
    </row>
    <row r="379" spans="1:4">
      <c r="A379" t="s">
        <v>208</v>
      </c>
      <c r="B379">
        <v>1</v>
      </c>
      <c r="C379" s="98">
        <v>576331</v>
      </c>
      <c r="D379" s="100"/>
    </row>
    <row r="380" spans="1:4">
      <c r="A380" t="s">
        <v>199</v>
      </c>
      <c r="B380">
        <v>1</v>
      </c>
      <c r="C380" s="98">
        <v>681050</v>
      </c>
      <c r="D380" s="100"/>
    </row>
    <row r="381" spans="1:4">
      <c r="A381" t="s">
        <v>199</v>
      </c>
      <c r="B381">
        <v>1</v>
      </c>
      <c r="C381" s="98">
        <v>681050</v>
      </c>
      <c r="D381" s="100"/>
    </row>
    <row r="382" spans="1:4">
      <c r="A382" t="s">
        <v>200</v>
      </c>
      <c r="B382">
        <v>1</v>
      </c>
      <c r="C382" s="98">
        <v>681050</v>
      </c>
      <c r="D382" s="100"/>
    </row>
    <row r="383" spans="1:4">
      <c r="A383" t="s">
        <v>200</v>
      </c>
      <c r="B383">
        <v>1</v>
      </c>
      <c r="C383" s="98">
        <v>681050</v>
      </c>
      <c r="D383" s="100"/>
    </row>
    <row r="384" spans="1:4">
      <c r="A384" t="s">
        <v>203</v>
      </c>
      <c r="B384">
        <v>1</v>
      </c>
      <c r="C384" s="98">
        <v>576331</v>
      </c>
      <c r="D384" s="100"/>
    </row>
    <row r="385" spans="1:4">
      <c r="A385" t="s">
        <v>206</v>
      </c>
      <c r="B385">
        <v>1</v>
      </c>
      <c r="C385" s="98">
        <v>576331</v>
      </c>
      <c r="D385" s="100"/>
    </row>
    <row r="386" spans="1:4">
      <c r="A386" t="s">
        <v>206</v>
      </c>
      <c r="B386">
        <v>1</v>
      </c>
      <c r="C386" s="98">
        <v>576331</v>
      </c>
      <c r="D386" s="100"/>
    </row>
    <row r="387" spans="1:4">
      <c r="A387" t="s">
        <v>206</v>
      </c>
      <c r="B387">
        <v>1</v>
      </c>
      <c r="C387" s="98">
        <v>576331</v>
      </c>
      <c r="D387" s="100"/>
    </row>
    <row r="388" spans="1:4">
      <c r="A388" t="s">
        <v>206</v>
      </c>
      <c r="B388">
        <v>1</v>
      </c>
      <c r="C388" s="98">
        <v>576331</v>
      </c>
      <c r="D388" s="100"/>
    </row>
    <row r="389" spans="1:4">
      <c r="A389" t="s">
        <v>249</v>
      </c>
      <c r="B389">
        <v>1</v>
      </c>
      <c r="C389" s="98">
        <v>602510</v>
      </c>
      <c r="D389" s="100"/>
    </row>
    <row r="390" spans="1:4">
      <c r="A390" t="s">
        <v>220</v>
      </c>
      <c r="B390">
        <v>1</v>
      </c>
      <c r="C390" s="98">
        <v>628690</v>
      </c>
      <c r="D390" s="100"/>
    </row>
    <row r="391" spans="1:4">
      <c r="A391" t="s">
        <v>220</v>
      </c>
      <c r="B391">
        <v>1</v>
      </c>
      <c r="C391" s="98">
        <v>628690</v>
      </c>
      <c r="D391" s="100"/>
    </row>
    <row r="392" spans="1:4">
      <c r="A392" t="s">
        <v>220</v>
      </c>
      <c r="B392">
        <v>1</v>
      </c>
      <c r="C392" s="98">
        <v>628690</v>
      </c>
      <c r="D392" s="100"/>
    </row>
    <row r="393" spans="1:4">
      <c r="A393" t="s">
        <v>220</v>
      </c>
      <c r="B393">
        <v>1</v>
      </c>
      <c r="C393" s="98">
        <v>628690</v>
      </c>
      <c r="D393" s="100"/>
    </row>
    <row r="394" spans="1:4">
      <c r="A394" t="s">
        <v>248</v>
      </c>
      <c r="B394">
        <v>1</v>
      </c>
      <c r="C394" s="98">
        <v>681050</v>
      </c>
      <c r="D394" s="100"/>
    </row>
    <row r="395" spans="1:4">
      <c r="A395" t="s">
        <v>248</v>
      </c>
      <c r="B395">
        <v>1</v>
      </c>
      <c r="C395" s="98">
        <v>681050</v>
      </c>
      <c r="D395" s="100"/>
    </row>
    <row r="396" spans="1:4">
      <c r="A396" t="s">
        <v>248</v>
      </c>
      <c r="B396">
        <v>1</v>
      </c>
      <c r="C396" s="98">
        <v>681050</v>
      </c>
      <c r="D396" s="100"/>
    </row>
    <row r="397" spans="1:4">
      <c r="A397" t="s">
        <v>248</v>
      </c>
      <c r="B397">
        <v>1</v>
      </c>
      <c r="C397" s="98">
        <v>681050</v>
      </c>
      <c r="D397" s="100"/>
    </row>
    <row r="398" spans="1:4">
      <c r="A398" t="s">
        <v>119</v>
      </c>
      <c r="B398">
        <v>1</v>
      </c>
      <c r="C398" s="98">
        <v>576331</v>
      </c>
      <c r="D398" s="100"/>
    </row>
    <row r="399" spans="1:4">
      <c r="A399" t="s">
        <v>119</v>
      </c>
      <c r="B399">
        <v>1</v>
      </c>
      <c r="C399" s="98">
        <v>576331</v>
      </c>
      <c r="D399" s="100"/>
    </row>
    <row r="400" spans="1:4">
      <c r="A400" t="s">
        <v>119</v>
      </c>
      <c r="B400">
        <v>1</v>
      </c>
      <c r="C400" s="98">
        <v>576331</v>
      </c>
      <c r="D400" s="100"/>
    </row>
    <row r="401" spans="1:4">
      <c r="A401" t="s">
        <v>119</v>
      </c>
      <c r="B401">
        <v>1</v>
      </c>
      <c r="C401" s="98">
        <v>576331</v>
      </c>
      <c r="D401" s="100"/>
    </row>
    <row r="402" spans="1:4">
      <c r="A402" t="s">
        <v>119</v>
      </c>
      <c r="B402">
        <v>1</v>
      </c>
      <c r="C402" s="98">
        <v>576331</v>
      </c>
      <c r="D402" s="100"/>
    </row>
    <row r="403" spans="1:4">
      <c r="A403" t="s">
        <v>119</v>
      </c>
      <c r="B403">
        <v>1</v>
      </c>
      <c r="C403" s="98">
        <v>576331</v>
      </c>
      <c r="D403" s="100"/>
    </row>
    <row r="404" spans="1:4">
      <c r="A404" t="s">
        <v>247</v>
      </c>
      <c r="B404">
        <v>1</v>
      </c>
      <c r="C404" s="98">
        <v>602510</v>
      </c>
      <c r="D404" s="100"/>
    </row>
    <row r="405" spans="1:4">
      <c r="A405" t="s">
        <v>110</v>
      </c>
      <c r="B405">
        <v>1</v>
      </c>
      <c r="C405" s="98">
        <v>654871</v>
      </c>
      <c r="D405" s="100"/>
    </row>
    <row r="406" spans="1:4">
      <c r="A406" t="s">
        <v>110</v>
      </c>
      <c r="B406">
        <v>1</v>
      </c>
      <c r="C406" s="98">
        <v>654871</v>
      </c>
      <c r="D406" s="100"/>
    </row>
    <row r="407" spans="1:4">
      <c r="A407" t="s">
        <v>110</v>
      </c>
      <c r="B407">
        <v>1</v>
      </c>
      <c r="C407" s="98">
        <v>654871</v>
      </c>
      <c r="D407" s="100"/>
    </row>
    <row r="408" spans="1:4">
      <c r="A408" t="s">
        <v>110</v>
      </c>
      <c r="B408">
        <v>1</v>
      </c>
      <c r="C408" s="98">
        <v>654871</v>
      </c>
      <c r="D408" s="100"/>
    </row>
    <row r="409" spans="1:4">
      <c r="A409" t="s">
        <v>110</v>
      </c>
      <c r="B409">
        <v>1</v>
      </c>
      <c r="C409" s="98">
        <v>654871</v>
      </c>
      <c r="D409" s="100"/>
    </row>
    <row r="410" spans="1:4">
      <c r="A410" t="s">
        <v>110</v>
      </c>
      <c r="B410">
        <v>1</v>
      </c>
      <c r="C410" s="98">
        <v>654871</v>
      </c>
      <c r="D410" s="100"/>
    </row>
    <row r="411" spans="1:4">
      <c r="A411" t="s">
        <v>1564</v>
      </c>
      <c r="B411">
        <v>1</v>
      </c>
      <c r="C411" s="98">
        <v>681050</v>
      </c>
      <c r="D411" s="100"/>
    </row>
    <row r="412" spans="1:4">
      <c r="A412" t="s">
        <v>226</v>
      </c>
      <c r="B412">
        <v>1</v>
      </c>
      <c r="C412" s="98">
        <v>628690</v>
      </c>
      <c r="D412" s="100"/>
    </row>
    <row r="413" spans="1:4">
      <c r="A413" t="s">
        <v>211</v>
      </c>
      <c r="B413">
        <v>1</v>
      </c>
      <c r="C413" s="98">
        <v>576331</v>
      </c>
      <c r="D413" s="100"/>
    </row>
    <row r="414" spans="1:4">
      <c r="A414" t="s">
        <v>211</v>
      </c>
      <c r="B414">
        <v>1</v>
      </c>
      <c r="C414" s="98">
        <v>576331</v>
      </c>
      <c r="D414" s="100"/>
    </row>
    <row r="415" spans="1:4">
      <c r="A415" t="s">
        <v>211</v>
      </c>
      <c r="B415">
        <v>1</v>
      </c>
      <c r="C415" s="98">
        <v>576331</v>
      </c>
      <c r="D415" s="100"/>
    </row>
    <row r="416" spans="1:4">
      <c r="A416" t="s">
        <v>211</v>
      </c>
      <c r="B416">
        <v>1</v>
      </c>
      <c r="C416" s="98">
        <v>576331</v>
      </c>
      <c r="D416" s="100"/>
    </row>
    <row r="417" spans="1:4">
      <c r="A417" t="s">
        <v>251</v>
      </c>
      <c r="B417">
        <v>1</v>
      </c>
      <c r="C417" s="98">
        <v>602510</v>
      </c>
      <c r="D417" s="100"/>
    </row>
    <row r="418" spans="1:4">
      <c r="A418" t="s">
        <v>243</v>
      </c>
      <c r="B418">
        <v>1</v>
      </c>
      <c r="C418" s="98">
        <v>681050</v>
      </c>
      <c r="D418" s="100"/>
    </row>
    <row r="419" spans="1:4">
      <c r="A419" t="s">
        <v>127</v>
      </c>
      <c r="B419">
        <v>1</v>
      </c>
      <c r="C419" s="98">
        <v>576331</v>
      </c>
      <c r="D419" s="100"/>
    </row>
    <row r="420" spans="1:4">
      <c r="A420" t="s">
        <v>127</v>
      </c>
      <c r="B420">
        <v>1</v>
      </c>
      <c r="C420" s="98">
        <v>576331</v>
      </c>
      <c r="D420" s="100"/>
    </row>
    <row r="421" spans="1:4">
      <c r="A421" t="s">
        <v>127</v>
      </c>
      <c r="B421">
        <v>1</v>
      </c>
      <c r="C421" s="98">
        <v>576331</v>
      </c>
      <c r="D421" s="100"/>
    </row>
    <row r="422" spans="1:4">
      <c r="A422" t="s">
        <v>127</v>
      </c>
      <c r="B422">
        <v>1</v>
      </c>
      <c r="C422" s="98">
        <v>576331</v>
      </c>
      <c r="D422" s="100"/>
    </row>
    <row r="423" spans="1:4">
      <c r="A423" t="s">
        <v>127</v>
      </c>
      <c r="B423">
        <v>1</v>
      </c>
      <c r="C423" s="98">
        <v>576331</v>
      </c>
      <c r="D423" s="100"/>
    </row>
    <row r="424" spans="1:4">
      <c r="A424" t="s">
        <v>127</v>
      </c>
      <c r="B424">
        <v>1</v>
      </c>
      <c r="C424" s="98">
        <v>576331</v>
      </c>
      <c r="D424" s="100"/>
    </row>
    <row r="425" spans="1:4">
      <c r="A425" t="s">
        <v>234</v>
      </c>
      <c r="B425">
        <v>1</v>
      </c>
      <c r="C425" s="98">
        <v>602510</v>
      </c>
      <c r="D425" s="100"/>
    </row>
    <row r="426" spans="1:4">
      <c r="A426" t="s">
        <v>234</v>
      </c>
      <c r="B426">
        <v>1</v>
      </c>
      <c r="C426" s="98">
        <v>602510</v>
      </c>
      <c r="D426" s="100"/>
    </row>
    <row r="427" spans="1:4">
      <c r="A427" t="s">
        <v>234</v>
      </c>
      <c r="B427">
        <v>1</v>
      </c>
      <c r="C427" s="98">
        <v>602510</v>
      </c>
      <c r="D427" s="100"/>
    </row>
    <row r="428" spans="1:4">
      <c r="A428" t="s">
        <v>230</v>
      </c>
      <c r="B428">
        <v>1</v>
      </c>
      <c r="C428" s="98">
        <v>628690</v>
      </c>
      <c r="D428" s="100"/>
    </row>
    <row r="429" spans="1:4">
      <c r="A429" t="s">
        <v>230</v>
      </c>
      <c r="B429">
        <v>1</v>
      </c>
      <c r="C429" s="98">
        <v>628690</v>
      </c>
      <c r="D429" s="100"/>
    </row>
    <row r="430" spans="1:4">
      <c r="A430" t="s">
        <v>243</v>
      </c>
      <c r="B430">
        <v>1</v>
      </c>
      <c r="C430" s="98">
        <v>681050</v>
      </c>
      <c r="D430" s="100"/>
    </row>
    <row r="431" spans="1:4">
      <c r="A431" t="s">
        <v>243</v>
      </c>
      <c r="B431">
        <v>1</v>
      </c>
      <c r="C431" s="98">
        <v>681050</v>
      </c>
      <c r="D431" s="100"/>
    </row>
    <row r="432" spans="1:4">
      <c r="A432" t="s">
        <v>243</v>
      </c>
      <c r="B432">
        <v>1</v>
      </c>
      <c r="C432" s="98">
        <v>681050</v>
      </c>
      <c r="D432" s="100"/>
    </row>
    <row r="433" spans="1:4">
      <c r="A433" t="s">
        <v>122</v>
      </c>
      <c r="B433">
        <v>1</v>
      </c>
      <c r="C433" s="98">
        <v>576331</v>
      </c>
      <c r="D433" s="100"/>
    </row>
    <row r="434" spans="1:4">
      <c r="A434" t="s">
        <v>122</v>
      </c>
      <c r="B434">
        <v>1</v>
      </c>
      <c r="C434" s="98">
        <v>576331</v>
      </c>
      <c r="D434" s="100"/>
    </row>
    <row r="435" spans="1:4">
      <c r="A435" t="s">
        <v>122</v>
      </c>
      <c r="B435">
        <v>1</v>
      </c>
      <c r="C435" s="98">
        <v>576331</v>
      </c>
      <c r="D435" s="100"/>
    </row>
    <row r="436" spans="1:4">
      <c r="A436" t="s">
        <v>122</v>
      </c>
      <c r="B436">
        <v>1</v>
      </c>
      <c r="C436" s="98">
        <v>576331</v>
      </c>
      <c r="D436" s="100"/>
    </row>
    <row r="437" spans="1:4">
      <c r="A437" t="s">
        <v>237</v>
      </c>
      <c r="B437">
        <v>1</v>
      </c>
      <c r="C437" s="98">
        <v>602510</v>
      </c>
      <c r="D437" s="100"/>
    </row>
    <row r="438" spans="1:4">
      <c r="A438" t="s">
        <v>237</v>
      </c>
      <c r="B438">
        <v>1</v>
      </c>
      <c r="C438" s="98">
        <v>602510</v>
      </c>
      <c r="D438" s="100"/>
    </row>
    <row r="439" spans="1:4">
      <c r="A439" t="s">
        <v>1540</v>
      </c>
      <c r="B439">
        <v>1</v>
      </c>
      <c r="C439" s="98">
        <v>628690</v>
      </c>
      <c r="D439" s="100"/>
    </row>
    <row r="440" spans="1:4">
      <c r="A440" t="s">
        <v>233</v>
      </c>
      <c r="B440">
        <v>1</v>
      </c>
      <c r="C440" s="98">
        <v>602510</v>
      </c>
      <c r="D440" s="100"/>
    </row>
    <row r="441" spans="1:4">
      <c r="A441" t="s">
        <v>120</v>
      </c>
      <c r="B441">
        <v>1</v>
      </c>
      <c r="C441" s="98">
        <v>576331</v>
      </c>
      <c r="D441" s="100"/>
    </row>
    <row r="442" spans="1:4">
      <c r="A442" t="s">
        <v>120</v>
      </c>
      <c r="B442">
        <v>1</v>
      </c>
      <c r="C442" s="98">
        <v>576331</v>
      </c>
      <c r="D442" s="100"/>
    </row>
    <row r="443" spans="1:4">
      <c r="A443" t="s">
        <v>233</v>
      </c>
      <c r="B443">
        <v>1</v>
      </c>
      <c r="C443" s="98">
        <v>602510</v>
      </c>
      <c r="D443" s="100"/>
    </row>
    <row r="444" spans="1:4">
      <c r="A444" t="s">
        <v>252</v>
      </c>
      <c r="B444">
        <v>1</v>
      </c>
      <c r="C444" s="98">
        <v>681050</v>
      </c>
      <c r="D444" s="100"/>
    </row>
    <row r="445" spans="1:4">
      <c r="A445" t="s">
        <v>252</v>
      </c>
      <c r="B445">
        <v>1</v>
      </c>
      <c r="C445" s="98">
        <v>681050</v>
      </c>
      <c r="D445" s="100"/>
    </row>
    <row r="446" spans="1:4">
      <c r="A446" t="s">
        <v>252</v>
      </c>
      <c r="B446">
        <v>1</v>
      </c>
      <c r="C446" s="98">
        <v>681050</v>
      </c>
      <c r="D446" s="100"/>
    </row>
    <row r="447" spans="1:4">
      <c r="A447" t="s">
        <v>252</v>
      </c>
      <c r="B447">
        <v>1</v>
      </c>
      <c r="C447" s="98">
        <v>681050</v>
      </c>
      <c r="D447" s="100"/>
    </row>
    <row r="448" spans="1:4">
      <c r="A448" t="s">
        <v>219</v>
      </c>
      <c r="B448">
        <v>1</v>
      </c>
      <c r="C448" s="98">
        <v>628690</v>
      </c>
      <c r="D448" s="100"/>
    </row>
    <row r="449" spans="1:4">
      <c r="A449" t="s">
        <v>219</v>
      </c>
      <c r="B449">
        <v>1</v>
      </c>
      <c r="C449" s="98">
        <v>628690</v>
      </c>
      <c r="D449" s="100"/>
    </row>
    <row r="450" spans="1:4">
      <c r="A450" t="s">
        <v>222</v>
      </c>
      <c r="B450">
        <v>1</v>
      </c>
      <c r="C450" s="98">
        <v>628690</v>
      </c>
      <c r="D450" s="100"/>
    </row>
    <row r="451" spans="1:4">
      <c r="A451" t="s">
        <v>222</v>
      </c>
      <c r="B451">
        <v>1</v>
      </c>
      <c r="C451" s="98">
        <v>628690</v>
      </c>
      <c r="D451" s="100"/>
    </row>
    <row r="452" spans="1:4">
      <c r="A452" t="s">
        <v>244</v>
      </c>
      <c r="B452">
        <v>1</v>
      </c>
      <c r="C452" s="98">
        <v>681050</v>
      </c>
      <c r="D452" s="100"/>
    </row>
    <row r="453" spans="1:4">
      <c r="A453" t="s">
        <v>244</v>
      </c>
      <c r="B453">
        <v>1</v>
      </c>
      <c r="C453" s="98">
        <v>681050</v>
      </c>
      <c r="D453" s="100"/>
    </row>
    <row r="454" spans="1:4">
      <c r="A454" t="s">
        <v>244</v>
      </c>
      <c r="B454">
        <v>1</v>
      </c>
      <c r="C454" s="98">
        <v>681050</v>
      </c>
      <c r="D454" s="100"/>
    </row>
    <row r="455" spans="1:4">
      <c r="A455" t="s">
        <v>244</v>
      </c>
      <c r="B455">
        <v>1</v>
      </c>
      <c r="C455" s="98">
        <v>681050</v>
      </c>
      <c r="D455" s="100"/>
    </row>
    <row r="456" spans="1:4">
      <c r="A456" t="s">
        <v>244</v>
      </c>
      <c r="B456">
        <v>1</v>
      </c>
      <c r="C456" s="98">
        <v>681050</v>
      </c>
      <c r="D456" s="100"/>
    </row>
    <row r="457" spans="1:4">
      <c r="A457" t="s">
        <v>222</v>
      </c>
      <c r="B457">
        <v>1</v>
      </c>
      <c r="C457" s="98">
        <v>628690</v>
      </c>
      <c r="D457" s="100"/>
    </row>
    <row r="458" spans="1:4">
      <c r="A458" t="s">
        <v>245</v>
      </c>
      <c r="B458">
        <v>1</v>
      </c>
      <c r="C458" s="98">
        <v>602510</v>
      </c>
      <c r="D458" s="100"/>
    </row>
    <row r="459" spans="1:4">
      <c r="A459" t="s">
        <v>245</v>
      </c>
      <c r="B459">
        <v>1</v>
      </c>
      <c r="C459" s="98">
        <v>602510</v>
      </c>
      <c r="D459" s="100"/>
    </row>
    <row r="460" spans="1:4">
      <c r="A460" t="s">
        <v>254</v>
      </c>
      <c r="B460">
        <v>1</v>
      </c>
      <c r="C460" s="98">
        <v>681050</v>
      </c>
      <c r="D460" s="100"/>
    </row>
    <row r="461" spans="1:4">
      <c r="A461" t="s">
        <v>254</v>
      </c>
      <c r="B461">
        <v>1</v>
      </c>
      <c r="C461" s="98">
        <v>681050</v>
      </c>
      <c r="D461" s="100"/>
    </row>
    <row r="462" spans="1:4">
      <c r="A462" t="s">
        <v>225</v>
      </c>
      <c r="B462">
        <v>1</v>
      </c>
      <c r="C462" s="98">
        <v>628690</v>
      </c>
      <c r="D462" s="100"/>
    </row>
    <row r="463" spans="1:4">
      <c r="A463" t="s">
        <v>225</v>
      </c>
      <c r="B463">
        <v>1</v>
      </c>
      <c r="C463" s="98">
        <v>628690</v>
      </c>
      <c r="D463" s="100"/>
    </row>
    <row r="464" spans="1:4">
      <c r="A464" t="s">
        <v>254</v>
      </c>
      <c r="B464">
        <v>1</v>
      </c>
      <c r="C464" s="98">
        <v>681050</v>
      </c>
      <c r="D464" s="100"/>
    </row>
    <row r="465" spans="1:4">
      <c r="A465" t="s">
        <v>254</v>
      </c>
      <c r="B465">
        <v>1</v>
      </c>
      <c r="C465" s="98">
        <v>681050</v>
      </c>
      <c r="D465" s="100"/>
    </row>
    <row r="466" spans="1:4">
      <c r="A466" t="s">
        <v>254</v>
      </c>
      <c r="B466">
        <v>1</v>
      </c>
      <c r="C466" s="98">
        <v>681050</v>
      </c>
      <c r="D466" s="100"/>
    </row>
    <row r="467" spans="1:4">
      <c r="A467" t="s">
        <v>238</v>
      </c>
      <c r="B467">
        <v>1</v>
      </c>
      <c r="C467" s="98">
        <v>602510</v>
      </c>
      <c r="D467" s="100"/>
    </row>
    <row r="468" spans="1:4">
      <c r="A468" t="s">
        <v>238</v>
      </c>
      <c r="B468">
        <v>1</v>
      </c>
      <c r="C468" s="98">
        <v>602510</v>
      </c>
      <c r="D468" s="100"/>
    </row>
    <row r="469" spans="1:4">
      <c r="A469" t="s">
        <v>1542</v>
      </c>
      <c r="B469">
        <v>1</v>
      </c>
      <c r="C469" s="98">
        <v>628690</v>
      </c>
      <c r="D469" s="100"/>
    </row>
    <row r="470" spans="1:4">
      <c r="A470" t="s">
        <v>1542</v>
      </c>
      <c r="B470">
        <v>1</v>
      </c>
      <c r="C470" s="98">
        <v>628690</v>
      </c>
      <c r="D470" s="100"/>
    </row>
    <row r="471" spans="1:4">
      <c r="A471" t="s">
        <v>232</v>
      </c>
      <c r="B471">
        <v>1</v>
      </c>
      <c r="C471" s="98">
        <v>602510</v>
      </c>
      <c r="D471" s="100"/>
    </row>
    <row r="472" spans="1:4">
      <c r="A472" t="s">
        <v>239</v>
      </c>
      <c r="B472">
        <v>1</v>
      </c>
      <c r="C472" s="98">
        <v>681050</v>
      </c>
      <c r="D472" s="100"/>
    </row>
    <row r="473" spans="1:4">
      <c r="A473" t="s">
        <v>239</v>
      </c>
      <c r="B473">
        <v>1</v>
      </c>
      <c r="C473" s="98">
        <v>681050</v>
      </c>
      <c r="D473" s="100"/>
    </row>
    <row r="474" spans="1:4">
      <c r="A474" t="s">
        <v>1507</v>
      </c>
      <c r="B474">
        <v>1</v>
      </c>
      <c r="C474" s="98">
        <v>454158</v>
      </c>
      <c r="D474" s="100"/>
    </row>
    <row r="475" spans="1:4">
      <c r="A475" t="s">
        <v>1507</v>
      </c>
      <c r="B475">
        <v>1</v>
      </c>
      <c r="C475" s="98">
        <v>454158</v>
      </c>
      <c r="D475" s="100"/>
    </row>
    <row r="476" spans="1:4">
      <c r="A476" t="s">
        <v>1507</v>
      </c>
      <c r="B476">
        <v>1</v>
      </c>
      <c r="C476" s="98">
        <v>454158</v>
      </c>
      <c r="D476" s="100"/>
    </row>
    <row r="477" spans="1:4">
      <c r="A477" t="s">
        <v>1507</v>
      </c>
      <c r="B477">
        <v>1</v>
      </c>
      <c r="C477" s="98">
        <v>454158</v>
      </c>
      <c r="D477" s="100"/>
    </row>
    <row r="478" spans="1:4">
      <c r="A478" t="s">
        <v>1545</v>
      </c>
      <c r="B478">
        <v>0.5</v>
      </c>
      <c r="C478" s="98">
        <v>240169</v>
      </c>
      <c r="D478" s="100"/>
    </row>
    <row r="479" spans="1:4">
      <c r="A479" t="s">
        <v>1545</v>
      </c>
      <c r="B479">
        <v>0.5</v>
      </c>
      <c r="C479" s="98">
        <v>240169</v>
      </c>
      <c r="D479" s="100"/>
    </row>
    <row r="480" spans="1:4">
      <c r="A480" t="s">
        <v>246</v>
      </c>
      <c r="B480">
        <v>1</v>
      </c>
      <c r="C480" s="98">
        <v>681050</v>
      </c>
      <c r="D480" s="100"/>
    </row>
    <row r="481" spans="1:4">
      <c r="A481" t="s">
        <v>246</v>
      </c>
      <c r="B481">
        <v>1</v>
      </c>
      <c r="C481" s="98">
        <v>681050</v>
      </c>
      <c r="D481" s="100"/>
    </row>
    <row r="482" spans="1:4">
      <c r="A482" t="s">
        <v>246</v>
      </c>
      <c r="B482">
        <v>1</v>
      </c>
      <c r="C482" s="98">
        <v>681050</v>
      </c>
      <c r="D482" s="100"/>
    </row>
    <row r="483" spans="1:4">
      <c r="A483" t="s">
        <v>246</v>
      </c>
      <c r="B483">
        <v>1</v>
      </c>
      <c r="C483" s="98">
        <v>681050</v>
      </c>
      <c r="D483" s="100"/>
    </row>
    <row r="484" spans="1:4">
      <c r="A484" t="s">
        <v>229</v>
      </c>
      <c r="B484">
        <v>1</v>
      </c>
      <c r="C484" s="98">
        <v>628690</v>
      </c>
      <c r="D484" s="100"/>
    </row>
    <row r="485" spans="1:4">
      <c r="A485" t="s">
        <v>123</v>
      </c>
      <c r="B485">
        <v>1</v>
      </c>
      <c r="C485" s="98">
        <v>576331</v>
      </c>
      <c r="D485" s="100"/>
    </row>
    <row r="486" spans="1:4">
      <c r="A486" t="s">
        <v>123</v>
      </c>
      <c r="B486">
        <v>1</v>
      </c>
      <c r="C486" s="98">
        <v>576331</v>
      </c>
      <c r="D486" s="100"/>
    </row>
    <row r="487" spans="1:4">
      <c r="A487" t="s">
        <v>123</v>
      </c>
      <c r="B487">
        <v>1</v>
      </c>
      <c r="C487" s="98">
        <v>576331</v>
      </c>
      <c r="D487" s="100"/>
    </row>
    <row r="488" spans="1:4">
      <c r="A488" t="s">
        <v>123</v>
      </c>
      <c r="B488">
        <v>1</v>
      </c>
      <c r="C488" s="98">
        <v>576331</v>
      </c>
      <c r="D488" s="100"/>
    </row>
    <row r="489" spans="1:4">
      <c r="A489" t="s">
        <v>246</v>
      </c>
      <c r="B489">
        <v>1</v>
      </c>
      <c r="C489" s="98">
        <v>681050</v>
      </c>
      <c r="D489" s="100"/>
    </row>
    <row r="490" spans="1:4">
      <c r="A490" t="s">
        <v>121</v>
      </c>
      <c r="B490">
        <v>1</v>
      </c>
      <c r="C490" s="98">
        <v>576331</v>
      </c>
      <c r="D490" s="100"/>
    </row>
    <row r="491" spans="1:4">
      <c r="A491" t="s">
        <v>121</v>
      </c>
      <c r="B491">
        <v>1</v>
      </c>
      <c r="C491" s="98">
        <v>576331</v>
      </c>
      <c r="D491" s="100"/>
    </row>
    <row r="492" spans="1:4">
      <c r="A492" t="s">
        <v>231</v>
      </c>
      <c r="B492">
        <v>1</v>
      </c>
      <c r="C492" s="98">
        <v>602510</v>
      </c>
      <c r="D492" s="100"/>
    </row>
    <row r="493" spans="1:4">
      <c r="A493" t="s">
        <v>240</v>
      </c>
      <c r="B493">
        <v>1</v>
      </c>
      <c r="C493" s="98">
        <v>681050</v>
      </c>
      <c r="D493" s="100"/>
    </row>
    <row r="494" spans="1:4">
      <c r="A494" t="s">
        <v>218</v>
      </c>
      <c r="B494">
        <v>0.5</v>
      </c>
      <c r="C494" s="98">
        <v>314345</v>
      </c>
      <c r="D494" s="100"/>
    </row>
    <row r="495" spans="1:4">
      <c r="A495" t="s">
        <v>218</v>
      </c>
      <c r="B495">
        <v>0.5</v>
      </c>
      <c r="C495" s="98">
        <v>314345</v>
      </c>
      <c r="D495" s="100"/>
    </row>
    <row r="496" spans="1:4">
      <c r="A496" t="s">
        <v>218</v>
      </c>
      <c r="B496">
        <v>1</v>
      </c>
      <c r="C496" s="98">
        <v>628690</v>
      </c>
      <c r="D496" s="100"/>
    </row>
    <row r="497" spans="1:4">
      <c r="A497" t="s">
        <v>218</v>
      </c>
      <c r="B497">
        <v>1</v>
      </c>
      <c r="C497" s="98">
        <v>628690</v>
      </c>
      <c r="D497" s="100"/>
    </row>
    <row r="498" spans="1:4">
      <c r="A498" t="s">
        <v>218</v>
      </c>
      <c r="B498">
        <v>1</v>
      </c>
      <c r="C498" s="98">
        <v>628690</v>
      </c>
      <c r="D498" s="100"/>
    </row>
    <row r="499" spans="1:4">
      <c r="A499" t="s">
        <v>109</v>
      </c>
      <c r="B499">
        <v>1</v>
      </c>
      <c r="C499" s="98">
        <v>654871</v>
      </c>
      <c r="D499" s="100"/>
    </row>
    <row r="500" spans="1:4">
      <c r="A500" t="s">
        <v>109</v>
      </c>
      <c r="B500">
        <v>1</v>
      </c>
      <c r="C500" s="98">
        <v>654871</v>
      </c>
      <c r="D500" s="100"/>
    </row>
    <row r="501" spans="1:4">
      <c r="A501" t="s">
        <v>1540</v>
      </c>
      <c r="B501">
        <v>0.5</v>
      </c>
      <c r="C501" s="98">
        <v>314345</v>
      </c>
      <c r="D501" s="100"/>
    </row>
    <row r="502" spans="1:4">
      <c r="A502" t="s">
        <v>1540</v>
      </c>
      <c r="B502">
        <v>0.5</v>
      </c>
      <c r="C502" s="98">
        <v>314345</v>
      </c>
      <c r="D502" s="100"/>
    </row>
    <row r="503" spans="1:4">
      <c r="A503" t="s">
        <v>1540</v>
      </c>
      <c r="B503">
        <v>0.5</v>
      </c>
      <c r="C503" s="98">
        <v>314345</v>
      </c>
      <c r="D503" s="100"/>
    </row>
    <row r="504" spans="1:4">
      <c r="A504" t="s">
        <v>1540</v>
      </c>
      <c r="B504">
        <v>0.5</v>
      </c>
      <c r="C504" s="98">
        <v>314345</v>
      </c>
      <c r="D504" s="100"/>
    </row>
    <row r="505" spans="1:4">
      <c r="A505" t="s">
        <v>1540</v>
      </c>
      <c r="B505">
        <v>0.5</v>
      </c>
      <c r="C505" s="98">
        <v>314345</v>
      </c>
      <c r="D505" s="100"/>
    </row>
    <row r="506" spans="1:4">
      <c r="A506" t="s">
        <v>1540</v>
      </c>
      <c r="B506">
        <v>0.5</v>
      </c>
      <c r="C506" s="98">
        <v>314345</v>
      </c>
      <c r="D506" s="100"/>
    </row>
    <row r="507" spans="1:4">
      <c r="A507" t="s">
        <v>201</v>
      </c>
      <c r="B507">
        <v>1</v>
      </c>
      <c r="C507" s="98">
        <v>681050</v>
      </c>
      <c r="D507" s="100"/>
    </row>
    <row r="508" spans="1:4">
      <c r="A508" t="s">
        <v>201</v>
      </c>
      <c r="B508">
        <v>1</v>
      </c>
      <c r="C508" s="98">
        <v>681050</v>
      </c>
      <c r="D508" s="100"/>
    </row>
    <row r="509" spans="1:4">
      <c r="A509" t="s">
        <v>115</v>
      </c>
      <c r="B509">
        <v>1</v>
      </c>
      <c r="C509" s="98">
        <v>654871</v>
      </c>
      <c r="D509" s="100"/>
    </row>
    <row r="510" spans="1:4">
      <c r="A510" t="s">
        <v>115</v>
      </c>
      <c r="B510">
        <v>1</v>
      </c>
      <c r="C510" s="98">
        <v>654871</v>
      </c>
      <c r="D510" s="100"/>
    </row>
    <row r="511" spans="1:4">
      <c r="A511" t="s">
        <v>115</v>
      </c>
      <c r="B511">
        <v>1</v>
      </c>
      <c r="C511" s="98">
        <v>654871</v>
      </c>
      <c r="D511" s="100"/>
    </row>
    <row r="512" spans="1:4">
      <c r="A512" t="s">
        <v>115</v>
      </c>
      <c r="B512">
        <v>1</v>
      </c>
      <c r="C512" s="98">
        <v>654871</v>
      </c>
      <c r="D512" s="100"/>
    </row>
    <row r="513" spans="1:4">
      <c r="A513" t="s">
        <v>1546</v>
      </c>
      <c r="B513">
        <v>1</v>
      </c>
      <c r="C513" s="98">
        <v>628690</v>
      </c>
      <c r="D513" s="100"/>
    </row>
    <row r="514" spans="1:4">
      <c r="A514" t="s">
        <v>1546</v>
      </c>
      <c r="B514">
        <v>1</v>
      </c>
      <c r="C514" s="98">
        <v>628690</v>
      </c>
      <c r="D514" s="100"/>
    </row>
    <row r="515" spans="1:4">
      <c r="A515" t="s">
        <v>126</v>
      </c>
      <c r="B515">
        <v>1</v>
      </c>
      <c r="C515" s="98">
        <v>576331</v>
      </c>
      <c r="D515" s="100"/>
    </row>
    <row r="516" spans="1:4">
      <c r="A516" t="s">
        <v>126</v>
      </c>
      <c r="B516">
        <v>1</v>
      </c>
      <c r="C516" s="98">
        <v>576331</v>
      </c>
      <c r="D516" s="100"/>
    </row>
    <row r="517" spans="1:4">
      <c r="A517" t="s">
        <v>241</v>
      </c>
      <c r="B517">
        <v>1</v>
      </c>
      <c r="C517" s="98">
        <v>602510</v>
      </c>
      <c r="D517" s="100"/>
    </row>
    <row r="518" spans="1:4">
      <c r="A518" t="s">
        <v>126</v>
      </c>
      <c r="B518">
        <v>1</v>
      </c>
      <c r="C518" s="98">
        <v>576331</v>
      </c>
      <c r="D518" s="100"/>
    </row>
    <row r="519" spans="1:4">
      <c r="A519" t="s">
        <v>126</v>
      </c>
      <c r="B519">
        <v>1</v>
      </c>
      <c r="C519" s="98">
        <v>576331</v>
      </c>
      <c r="D519" s="100"/>
    </row>
    <row r="520" spans="1:4">
      <c r="A520" t="s">
        <v>126</v>
      </c>
      <c r="B520">
        <v>1</v>
      </c>
      <c r="C520" s="98">
        <v>576331</v>
      </c>
      <c r="D520" s="100"/>
    </row>
    <row r="521" spans="1:4">
      <c r="A521" t="s">
        <v>126</v>
      </c>
      <c r="B521">
        <v>1</v>
      </c>
      <c r="C521" s="98">
        <v>576331</v>
      </c>
      <c r="D521" s="100"/>
    </row>
    <row r="522" spans="1:4">
      <c r="A522" t="s">
        <v>126</v>
      </c>
      <c r="B522">
        <v>1</v>
      </c>
      <c r="C522" s="98">
        <v>576331</v>
      </c>
      <c r="D522" s="100"/>
    </row>
    <row r="523" spans="1:4">
      <c r="A523" t="s">
        <v>126</v>
      </c>
      <c r="B523">
        <v>1</v>
      </c>
      <c r="C523" s="98">
        <v>576331</v>
      </c>
      <c r="D523" s="100"/>
    </row>
    <row r="524" spans="1:4">
      <c r="A524" t="s">
        <v>205</v>
      </c>
      <c r="B524">
        <v>1</v>
      </c>
      <c r="C524" s="98">
        <v>585057</v>
      </c>
      <c r="D524" s="100"/>
    </row>
    <row r="525" spans="1:4">
      <c r="A525" t="s">
        <v>1516</v>
      </c>
      <c r="B525">
        <v>1</v>
      </c>
      <c r="C525" s="98">
        <v>454158</v>
      </c>
      <c r="D525" s="100"/>
    </row>
    <row r="526" spans="1:4">
      <c r="A526" t="s">
        <v>1516</v>
      </c>
      <c r="B526">
        <v>1</v>
      </c>
      <c r="C526" s="98">
        <v>454158</v>
      </c>
      <c r="D526" s="100"/>
    </row>
    <row r="527" spans="1:4">
      <c r="A527" t="s">
        <v>1516</v>
      </c>
      <c r="B527">
        <v>1</v>
      </c>
      <c r="C527" s="98">
        <v>454158</v>
      </c>
      <c r="D527" s="100"/>
    </row>
    <row r="528" spans="1:4">
      <c r="A528" t="s">
        <v>1516</v>
      </c>
      <c r="B528">
        <v>1</v>
      </c>
      <c r="C528" s="98">
        <v>454158</v>
      </c>
      <c r="D528" s="100"/>
    </row>
    <row r="529" spans="1:4">
      <c r="A529" t="s">
        <v>228</v>
      </c>
      <c r="B529">
        <v>0.5</v>
      </c>
      <c r="C529" s="98">
        <v>288165.5</v>
      </c>
      <c r="D529" s="100"/>
    </row>
    <row r="530" spans="1:4">
      <c r="A530" t="s">
        <v>228</v>
      </c>
      <c r="B530">
        <v>0.5</v>
      </c>
      <c r="C530" s="98">
        <v>288165.5</v>
      </c>
      <c r="D530" s="100"/>
    </row>
    <row r="531" spans="1:4">
      <c r="A531" t="s">
        <v>1547</v>
      </c>
      <c r="B531">
        <v>0.5</v>
      </c>
      <c r="C531" s="98">
        <v>240169</v>
      </c>
      <c r="D531" s="100"/>
    </row>
    <row r="532" spans="1:4">
      <c r="A532" t="s">
        <v>1547</v>
      </c>
      <c r="B532">
        <v>0.5</v>
      </c>
      <c r="C532" s="98">
        <v>240169</v>
      </c>
      <c r="D532" s="100"/>
    </row>
    <row r="533" spans="1:4">
      <c r="A533" t="s">
        <v>143</v>
      </c>
      <c r="B533">
        <v>1</v>
      </c>
      <c r="C533" s="98">
        <v>1002400</v>
      </c>
      <c r="D533" s="100"/>
    </row>
    <row r="534" spans="1:4">
      <c r="A534" t="s">
        <v>143</v>
      </c>
      <c r="B534">
        <v>1</v>
      </c>
      <c r="C534" s="98">
        <v>1002400</v>
      </c>
      <c r="D534" s="100"/>
    </row>
    <row r="535" spans="1:4">
      <c r="A535" t="s">
        <v>143</v>
      </c>
      <c r="B535">
        <v>1</v>
      </c>
      <c r="C535" s="98">
        <v>1002400</v>
      </c>
      <c r="D535" s="100"/>
    </row>
    <row r="536" spans="1:4">
      <c r="A536" t="s">
        <v>143</v>
      </c>
      <c r="B536">
        <v>1</v>
      </c>
      <c r="C536" s="98">
        <v>1002400</v>
      </c>
      <c r="D536" s="100"/>
    </row>
    <row r="537" spans="1:4">
      <c r="A537" t="s">
        <v>117</v>
      </c>
      <c r="B537">
        <v>1</v>
      </c>
      <c r="C537" s="98">
        <v>654871</v>
      </c>
      <c r="D537" s="100"/>
    </row>
    <row r="538" spans="1:4">
      <c r="A538" t="s">
        <v>117</v>
      </c>
      <c r="B538">
        <v>1</v>
      </c>
      <c r="C538" s="98">
        <v>654871</v>
      </c>
      <c r="D538" s="100"/>
    </row>
    <row r="539" spans="1:4">
      <c r="A539" t="s">
        <v>117</v>
      </c>
      <c r="B539">
        <v>1</v>
      </c>
      <c r="C539" s="98">
        <v>654871</v>
      </c>
      <c r="D539" s="100"/>
    </row>
    <row r="540" spans="1:4">
      <c r="A540" t="s">
        <v>117</v>
      </c>
      <c r="B540">
        <v>1</v>
      </c>
      <c r="C540" s="98">
        <v>654871</v>
      </c>
      <c r="D540" s="100"/>
    </row>
    <row r="541" spans="1:4">
      <c r="A541" t="s">
        <v>117</v>
      </c>
      <c r="B541">
        <v>1</v>
      </c>
      <c r="C541" s="98">
        <v>654871</v>
      </c>
      <c r="D541" s="100"/>
    </row>
    <row r="542" spans="1:4">
      <c r="A542" t="s">
        <v>117</v>
      </c>
      <c r="B542">
        <v>1</v>
      </c>
      <c r="C542" s="98">
        <v>654871</v>
      </c>
      <c r="D542" s="100"/>
    </row>
    <row r="543" spans="1:4">
      <c r="A543" t="s">
        <v>253</v>
      </c>
      <c r="B543">
        <v>1</v>
      </c>
      <c r="C543" s="98">
        <v>681050</v>
      </c>
      <c r="D543" s="100"/>
    </row>
    <row r="544" spans="1:4">
      <c r="A544" t="s">
        <v>117</v>
      </c>
      <c r="B544">
        <v>1</v>
      </c>
      <c r="C544" s="98">
        <v>654871</v>
      </c>
      <c r="D544" s="100"/>
    </row>
    <row r="545" spans="1:4">
      <c r="A545" t="s">
        <v>117</v>
      </c>
      <c r="B545">
        <v>1</v>
      </c>
      <c r="C545" s="98">
        <v>654871</v>
      </c>
      <c r="D545" s="100"/>
    </row>
    <row r="546" spans="1:4">
      <c r="A546" t="s">
        <v>117</v>
      </c>
      <c r="B546">
        <v>1</v>
      </c>
      <c r="C546" s="98">
        <v>654871</v>
      </c>
      <c r="D546" s="100"/>
    </row>
    <row r="547" spans="1:4">
      <c r="A547" t="s">
        <v>117</v>
      </c>
      <c r="B547">
        <v>1</v>
      </c>
      <c r="C547" s="98">
        <v>654871</v>
      </c>
      <c r="D547" s="100"/>
    </row>
    <row r="548" spans="1:4">
      <c r="A548" t="s">
        <v>253</v>
      </c>
      <c r="B548">
        <v>1</v>
      </c>
      <c r="C548" s="98">
        <v>681050</v>
      </c>
      <c r="D548" s="100"/>
    </row>
    <row r="549" spans="1:4">
      <c r="A549" t="s">
        <v>129</v>
      </c>
      <c r="B549">
        <v>1</v>
      </c>
      <c r="C549" s="98">
        <v>576331</v>
      </c>
      <c r="D549" s="100"/>
    </row>
    <row r="550" spans="1:4">
      <c r="A550" t="s">
        <v>129</v>
      </c>
      <c r="B550">
        <v>1</v>
      </c>
      <c r="C550" s="98">
        <v>576331</v>
      </c>
      <c r="D550" s="100"/>
    </row>
    <row r="551" spans="1:4">
      <c r="A551" t="s">
        <v>129</v>
      </c>
      <c r="B551">
        <v>1</v>
      </c>
      <c r="C551" s="98">
        <v>576331</v>
      </c>
      <c r="D551" s="100"/>
    </row>
    <row r="552" spans="1:4">
      <c r="A552" t="s">
        <v>129</v>
      </c>
      <c r="B552">
        <v>1</v>
      </c>
      <c r="C552" s="98">
        <v>576331</v>
      </c>
      <c r="D552" s="100"/>
    </row>
    <row r="553" spans="1:4">
      <c r="A553" t="s">
        <v>117</v>
      </c>
      <c r="B553">
        <v>1</v>
      </c>
      <c r="C553" s="98">
        <v>654871</v>
      </c>
      <c r="D553" s="100"/>
    </row>
    <row r="554" spans="1:4">
      <c r="A554" t="s">
        <v>117</v>
      </c>
      <c r="B554">
        <v>1</v>
      </c>
      <c r="C554" s="98">
        <v>654871</v>
      </c>
      <c r="D554" s="100"/>
    </row>
    <row r="555" spans="1:4">
      <c r="A555" t="s">
        <v>117</v>
      </c>
      <c r="B555">
        <v>1</v>
      </c>
      <c r="C555" s="98">
        <v>654871</v>
      </c>
      <c r="D555" s="100"/>
    </row>
    <row r="556" spans="1:4">
      <c r="A556" t="s">
        <v>117</v>
      </c>
      <c r="B556">
        <v>1</v>
      </c>
      <c r="C556" s="98">
        <v>654871</v>
      </c>
      <c r="D556" s="100"/>
    </row>
    <row r="557" spans="1:4">
      <c r="A557" t="s">
        <v>253</v>
      </c>
      <c r="B557">
        <v>1</v>
      </c>
      <c r="C557" s="98">
        <v>681050</v>
      </c>
      <c r="D557" s="100"/>
    </row>
    <row r="558" spans="1:4">
      <c r="A558" t="s">
        <v>253</v>
      </c>
      <c r="B558">
        <v>1</v>
      </c>
      <c r="C558" s="98">
        <v>681050</v>
      </c>
      <c r="D558" s="100"/>
    </row>
    <row r="559" spans="1:4">
      <c r="A559" t="s">
        <v>253</v>
      </c>
      <c r="B559">
        <v>1</v>
      </c>
      <c r="C559" s="98">
        <v>681050</v>
      </c>
      <c r="D559" s="100"/>
    </row>
    <row r="560" spans="1:4">
      <c r="A560" t="s">
        <v>129</v>
      </c>
      <c r="B560">
        <v>1</v>
      </c>
      <c r="C560" s="98">
        <v>576331</v>
      </c>
      <c r="D560" s="100"/>
    </row>
    <row r="561" spans="1:4">
      <c r="A561" t="s">
        <v>129</v>
      </c>
      <c r="B561">
        <v>1</v>
      </c>
      <c r="C561" s="98">
        <v>576331</v>
      </c>
      <c r="D561" s="100"/>
    </row>
    <row r="562" spans="1:4">
      <c r="A562" t="s">
        <v>1517</v>
      </c>
      <c r="B562">
        <v>1</v>
      </c>
      <c r="C562" s="98">
        <v>585057</v>
      </c>
      <c r="D562" s="100"/>
    </row>
    <row r="563" spans="1:4">
      <c r="A563" t="s">
        <v>1517</v>
      </c>
      <c r="B563">
        <v>1</v>
      </c>
      <c r="C563" s="98">
        <v>585057</v>
      </c>
      <c r="D563" s="100"/>
    </row>
    <row r="564" spans="1:4">
      <c r="A564" t="s">
        <v>122</v>
      </c>
      <c r="B564">
        <v>1</v>
      </c>
      <c r="C564" s="98">
        <v>576331</v>
      </c>
      <c r="D564" s="100"/>
    </row>
    <row r="565" spans="1:4">
      <c r="A565" t="s">
        <v>122</v>
      </c>
      <c r="B565">
        <v>1</v>
      </c>
      <c r="C565" s="98">
        <v>576331</v>
      </c>
      <c r="D565" s="100"/>
    </row>
    <row r="566" spans="1:4">
      <c r="A566" t="s">
        <v>122</v>
      </c>
      <c r="B566">
        <v>1</v>
      </c>
      <c r="C566" s="98">
        <v>576331</v>
      </c>
      <c r="D566" s="100"/>
    </row>
    <row r="567" spans="1:4">
      <c r="A567" t="s">
        <v>209</v>
      </c>
      <c r="B567">
        <v>1</v>
      </c>
      <c r="C567" s="98">
        <v>585057</v>
      </c>
      <c r="D567" s="100"/>
    </row>
    <row r="568" spans="1:4">
      <c r="A568" t="s">
        <v>212</v>
      </c>
      <c r="B568">
        <v>1</v>
      </c>
      <c r="C568" s="98">
        <v>585057</v>
      </c>
      <c r="D568" s="100"/>
    </row>
    <row r="569" spans="1:4">
      <c r="A569" t="s">
        <v>119</v>
      </c>
      <c r="B569">
        <v>1</v>
      </c>
      <c r="C569" s="98">
        <v>576331</v>
      </c>
      <c r="D569" s="100"/>
    </row>
    <row r="570" spans="1:4">
      <c r="A570" t="s">
        <v>119</v>
      </c>
      <c r="B570">
        <v>1</v>
      </c>
      <c r="C570" s="98">
        <v>576331</v>
      </c>
      <c r="D570" s="100"/>
    </row>
    <row r="571" spans="1:4">
      <c r="A571" t="s">
        <v>106</v>
      </c>
      <c r="B571">
        <v>1</v>
      </c>
      <c r="C571" s="98">
        <v>654871</v>
      </c>
      <c r="D571" s="100"/>
    </row>
    <row r="572" spans="1:4">
      <c r="A572" t="s">
        <v>106</v>
      </c>
      <c r="B572">
        <v>1</v>
      </c>
      <c r="C572" s="98">
        <v>654871</v>
      </c>
      <c r="D572" s="100"/>
    </row>
    <row r="573" spans="1:4">
      <c r="A573" t="s">
        <v>107</v>
      </c>
      <c r="B573">
        <v>1</v>
      </c>
      <c r="C573" s="98">
        <v>654871</v>
      </c>
      <c r="D573" s="100"/>
    </row>
    <row r="574" spans="1:4">
      <c r="A574" t="s">
        <v>107</v>
      </c>
      <c r="B574">
        <v>1</v>
      </c>
      <c r="C574" s="98">
        <v>654871</v>
      </c>
      <c r="D574" s="100"/>
    </row>
    <row r="575" spans="1:4">
      <c r="A575" t="s">
        <v>107</v>
      </c>
      <c r="B575">
        <v>1</v>
      </c>
      <c r="C575" s="98">
        <v>654871</v>
      </c>
      <c r="D575" s="100"/>
    </row>
    <row r="576" spans="1:4">
      <c r="A576" t="s">
        <v>107</v>
      </c>
      <c r="B576">
        <v>1</v>
      </c>
      <c r="C576" s="98">
        <v>654871</v>
      </c>
      <c r="D576" s="100"/>
    </row>
    <row r="577" spans="1:4">
      <c r="A577" t="s">
        <v>107</v>
      </c>
      <c r="B577">
        <v>1</v>
      </c>
      <c r="C577" s="98">
        <v>654871</v>
      </c>
      <c r="D577" s="100"/>
    </row>
    <row r="578" spans="1:4">
      <c r="A578" t="s">
        <v>107</v>
      </c>
      <c r="B578">
        <v>1</v>
      </c>
      <c r="C578" s="98">
        <v>654871</v>
      </c>
      <c r="D578" s="100"/>
    </row>
    <row r="579" spans="1:4">
      <c r="A579" t="s">
        <v>107</v>
      </c>
      <c r="B579">
        <v>1</v>
      </c>
      <c r="C579" s="98">
        <v>654871</v>
      </c>
      <c r="D579" s="100"/>
    </row>
    <row r="580" spans="1:4">
      <c r="A580" t="s">
        <v>107</v>
      </c>
      <c r="B580">
        <v>1</v>
      </c>
      <c r="C580" s="98">
        <v>654871</v>
      </c>
      <c r="D580" s="100"/>
    </row>
    <row r="581" spans="1:4">
      <c r="A581" t="s">
        <v>107</v>
      </c>
      <c r="B581">
        <v>1</v>
      </c>
      <c r="C581" s="98">
        <v>654871</v>
      </c>
      <c r="D581" s="100"/>
    </row>
    <row r="582" spans="1:4">
      <c r="A582" t="s">
        <v>107</v>
      </c>
      <c r="B582">
        <v>1</v>
      </c>
      <c r="C582" s="98">
        <v>654871</v>
      </c>
      <c r="D582" s="100"/>
    </row>
    <row r="583" spans="1:4">
      <c r="A583" t="s">
        <v>252</v>
      </c>
      <c r="B583">
        <v>1</v>
      </c>
      <c r="C583" s="98">
        <v>681050</v>
      </c>
      <c r="D583" s="100"/>
    </row>
    <row r="584" spans="1:4">
      <c r="A584" t="s">
        <v>252</v>
      </c>
      <c r="B584">
        <v>1</v>
      </c>
      <c r="C584" s="98">
        <v>681050</v>
      </c>
      <c r="D584" s="100"/>
    </row>
    <row r="585" spans="1:4">
      <c r="A585" t="s">
        <v>120</v>
      </c>
      <c r="B585">
        <v>1</v>
      </c>
      <c r="C585" s="98">
        <v>576331</v>
      </c>
      <c r="D585" s="100"/>
    </row>
    <row r="586" spans="1:4">
      <c r="A586" t="s">
        <v>120</v>
      </c>
      <c r="B586">
        <v>1</v>
      </c>
      <c r="C586" s="98">
        <v>576331</v>
      </c>
      <c r="D586" s="100"/>
    </row>
    <row r="587" spans="1:4">
      <c r="A587" t="s">
        <v>212</v>
      </c>
      <c r="B587">
        <v>1</v>
      </c>
      <c r="C587" s="98">
        <v>585057</v>
      </c>
      <c r="D587" s="100"/>
    </row>
    <row r="588" spans="1:4">
      <c r="A588" t="s">
        <v>109</v>
      </c>
      <c r="B588">
        <v>1</v>
      </c>
      <c r="C588" s="98">
        <v>654871</v>
      </c>
      <c r="D588" s="100"/>
    </row>
    <row r="589" spans="1:4">
      <c r="A589" t="s">
        <v>109</v>
      </c>
      <c r="B589">
        <v>1</v>
      </c>
      <c r="C589" s="98">
        <v>654871</v>
      </c>
      <c r="D589" s="100"/>
    </row>
    <row r="590" spans="1:4">
      <c r="A590" t="s">
        <v>201</v>
      </c>
      <c r="B590">
        <v>1</v>
      </c>
      <c r="C590" s="98">
        <v>681050</v>
      </c>
      <c r="D590" s="100"/>
    </row>
    <row r="591" spans="1:4">
      <c r="A591" t="s">
        <v>1505</v>
      </c>
      <c r="B591">
        <v>1</v>
      </c>
      <c r="C591" s="98">
        <v>454158</v>
      </c>
      <c r="D591" s="100"/>
    </row>
    <row r="592" spans="1:4">
      <c r="A592" t="s">
        <v>1505</v>
      </c>
      <c r="B592">
        <v>1</v>
      </c>
      <c r="C592" s="98">
        <v>454158</v>
      </c>
      <c r="D592" s="100"/>
    </row>
    <row r="593" spans="1:4">
      <c r="A593" t="s">
        <v>1548</v>
      </c>
      <c r="B593">
        <v>0.5</v>
      </c>
      <c r="C593" s="98">
        <v>288165.5</v>
      </c>
      <c r="D593" s="100"/>
    </row>
    <row r="594" spans="1:4">
      <c r="A594" t="s">
        <v>1548</v>
      </c>
      <c r="B594">
        <v>0.5</v>
      </c>
      <c r="C594" s="98">
        <v>288165.5</v>
      </c>
      <c r="D594" s="100"/>
    </row>
    <row r="595" spans="1:4">
      <c r="A595" t="s">
        <v>1518</v>
      </c>
      <c r="B595">
        <v>1</v>
      </c>
      <c r="C595" s="98">
        <v>585057</v>
      </c>
      <c r="D595" s="100"/>
    </row>
    <row r="596" spans="1:4">
      <c r="A596" t="s">
        <v>1518</v>
      </c>
      <c r="B596">
        <v>1</v>
      </c>
      <c r="C596" s="98">
        <v>585057</v>
      </c>
      <c r="D596" s="100"/>
    </row>
    <row r="597" spans="1:4">
      <c r="A597" t="s">
        <v>1519</v>
      </c>
      <c r="B597">
        <v>1</v>
      </c>
      <c r="C597" s="98">
        <v>654871</v>
      </c>
      <c r="D597" s="100"/>
    </row>
    <row r="598" spans="1:4">
      <c r="A598" t="s">
        <v>1519</v>
      </c>
      <c r="B598">
        <v>1</v>
      </c>
      <c r="C598" s="98">
        <v>654871</v>
      </c>
      <c r="D598" s="100"/>
    </row>
    <row r="599" spans="1:4">
      <c r="A599" t="s">
        <v>199</v>
      </c>
      <c r="B599">
        <v>1</v>
      </c>
      <c r="C599" s="98">
        <v>681050</v>
      </c>
      <c r="D599" s="100"/>
    </row>
    <row r="600" spans="1:4">
      <c r="A600" t="s">
        <v>199</v>
      </c>
      <c r="B600">
        <v>1</v>
      </c>
      <c r="C600" s="98">
        <v>681050</v>
      </c>
      <c r="D600" s="100"/>
    </row>
    <row r="601" spans="1:4">
      <c r="A601" t="s">
        <v>108</v>
      </c>
      <c r="B601">
        <v>1</v>
      </c>
      <c r="C601" s="98">
        <v>654871</v>
      </c>
      <c r="D601" s="100"/>
    </row>
    <row r="602" spans="1:4">
      <c r="A602" t="s">
        <v>108</v>
      </c>
      <c r="B602">
        <v>1</v>
      </c>
      <c r="C602" s="98">
        <v>654871</v>
      </c>
      <c r="D602" s="100"/>
    </row>
    <row r="603" spans="1:4">
      <c r="A603" t="s">
        <v>108</v>
      </c>
      <c r="B603">
        <v>1</v>
      </c>
      <c r="C603" s="98">
        <v>654871</v>
      </c>
      <c r="D603" s="100"/>
    </row>
    <row r="604" spans="1:4">
      <c r="A604" t="s">
        <v>108</v>
      </c>
      <c r="B604">
        <v>1</v>
      </c>
      <c r="C604" s="98">
        <v>654871</v>
      </c>
      <c r="D604" s="100"/>
    </row>
    <row r="605" spans="1:4">
      <c r="A605" t="s">
        <v>108</v>
      </c>
      <c r="B605">
        <v>1</v>
      </c>
      <c r="C605" s="98">
        <v>654871</v>
      </c>
      <c r="D605" s="100"/>
    </row>
    <row r="606" spans="1:4">
      <c r="A606" t="s">
        <v>108</v>
      </c>
      <c r="B606">
        <v>1</v>
      </c>
      <c r="C606" s="98">
        <v>654871</v>
      </c>
      <c r="D606" s="100"/>
    </row>
    <row r="607" spans="1:4">
      <c r="A607" t="s">
        <v>240</v>
      </c>
      <c r="B607">
        <v>1</v>
      </c>
      <c r="C607" s="98">
        <v>681050</v>
      </c>
      <c r="D607" s="100"/>
    </row>
    <row r="608" spans="1:4">
      <c r="A608" t="s">
        <v>240</v>
      </c>
      <c r="B608">
        <v>1</v>
      </c>
      <c r="C608" s="98">
        <v>681050</v>
      </c>
      <c r="D608" s="100"/>
    </row>
    <row r="609" spans="1:4">
      <c r="A609" t="s">
        <v>240</v>
      </c>
      <c r="B609">
        <v>1</v>
      </c>
      <c r="C609" s="98">
        <v>681050</v>
      </c>
      <c r="D609" s="100"/>
    </row>
    <row r="610" spans="1:4">
      <c r="A610" t="s">
        <v>205</v>
      </c>
      <c r="B610">
        <v>1</v>
      </c>
      <c r="C610" s="98">
        <v>585057</v>
      </c>
      <c r="D610" s="100"/>
    </row>
    <row r="611" spans="1:4">
      <c r="A611" t="s">
        <v>1514</v>
      </c>
      <c r="B611">
        <v>1</v>
      </c>
      <c r="C611" s="98">
        <v>454158</v>
      </c>
      <c r="D611" s="100"/>
    </row>
    <row r="612" spans="1:4">
      <c r="A612" t="s">
        <v>1514</v>
      </c>
      <c r="B612">
        <v>1</v>
      </c>
      <c r="C612" s="98">
        <v>454158</v>
      </c>
      <c r="D612" s="100"/>
    </row>
    <row r="613" spans="1:4">
      <c r="A613" t="s">
        <v>113</v>
      </c>
      <c r="B613">
        <v>1</v>
      </c>
      <c r="C613" s="98">
        <v>654871</v>
      </c>
      <c r="D613" s="100"/>
    </row>
    <row r="614" spans="1:4">
      <c r="A614" t="s">
        <v>113</v>
      </c>
      <c r="B614">
        <v>1</v>
      </c>
      <c r="C614" s="98">
        <v>654871</v>
      </c>
      <c r="D614" s="100"/>
    </row>
    <row r="615" spans="1:4">
      <c r="A615" t="s">
        <v>113</v>
      </c>
      <c r="B615">
        <v>1</v>
      </c>
      <c r="C615" s="98">
        <v>654871</v>
      </c>
      <c r="D615" s="100"/>
    </row>
    <row r="616" spans="1:4">
      <c r="A616" t="s">
        <v>113</v>
      </c>
      <c r="B616">
        <v>1</v>
      </c>
      <c r="C616" s="98">
        <v>654871</v>
      </c>
      <c r="D616" s="100"/>
    </row>
    <row r="617" spans="1:4">
      <c r="A617" t="s">
        <v>113</v>
      </c>
      <c r="B617">
        <v>1</v>
      </c>
      <c r="C617" s="98">
        <v>654871</v>
      </c>
      <c r="D617" s="100"/>
    </row>
    <row r="618" spans="1:4">
      <c r="A618" t="s">
        <v>113</v>
      </c>
      <c r="B618">
        <v>1</v>
      </c>
      <c r="C618" s="98">
        <v>654871</v>
      </c>
      <c r="D618" s="100"/>
    </row>
    <row r="619" spans="1:4">
      <c r="A619" t="s">
        <v>113</v>
      </c>
      <c r="B619">
        <v>1</v>
      </c>
      <c r="C619" s="98">
        <v>654871</v>
      </c>
      <c r="D619" s="100"/>
    </row>
    <row r="620" spans="1:4">
      <c r="A620" t="s">
        <v>113</v>
      </c>
      <c r="B620">
        <v>1</v>
      </c>
      <c r="C620" s="98">
        <v>654871</v>
      </c>
      <c r="D620" s="100"/>
    </row>
    <row r="621" spans="1:4">
      <c r="A621" t="s">
        <v>113</v>
      </c>
      <c r="B621">
        <v>1</v>
      </c>
      <c r="C621" s="98">
        <v>654871</v>
      </c>
      <c r="D621" s="100"/>
    </row>
    <row r="622" spans="1:4">
      <c r="A622" t="s">
        <v>113</v>
      </c>
      <c r="B622">
        <v>1</v>
      </c>
      <c r="C622" s="98">
        <v>654871</v>
      </c>
      <c r="D622" s="100"/>
    </row>
    <row r="623" spans="1:4">
      <c r="A623" t="s">
        <v>239</v>
      </c>
      <c r="B623">
        <v>1</v>
      </c>
      <c r="C623" s="98">
        <v>681050</v>
      </c>
      <c r="D623" s="100"/>
    </row>
    <row r="624" spans="1:4">
      <c r="A624" t="s">
        <v>239</v>
      </c>
      <c r="B624">
        <v>1</v>
      </c>
      <c r="C624" s="98">
        <v>681050</v>
      </c>
      <c r="D624" s="100"/>
    </row>
    <row r="625" spans="1:4">
      <c r="A625" t="s">
        <v>239</v>
      </c>
      <c r="B625">
        <v>1</v>
      </c>
      <c r="C625" s="98">
        <v>681050</v>
      </c>
      <c r="D625" s="100"/>
    </row>
    <row r="626" spans="1:4">
      <c r="A626" t="s">
        <v>124</v>
      </c>
      <c r="B626">
        <v>1</v>
      </c>
      <c r="C626" s="98">
        <v>576331</v>
      </c>
      <c r="D626" s="100"/>
    </row>
    <row r="627" spans="1:4">
      <c r="A627" t="s">
        <v>124</v>
      </c>
      <c r="B627">
        <v>1</v>
      </c>
      <c r="C627" s="98">
        <v>576331</v>
      </c>
      <c r="D627" s="100"/>
    </row>
    <row r="628" spans="1:4">
      <c r="A628" t="s">
        <v>215</v>
      </c>
      <c r="B628">
        <v>1</v>
      </c>
      <c r="C628" s="98">
        <v>585057</v>
      </c>
      <c r="D628" s="100"/>
    </row>
    <row r="629" spans="1:4">
      <c r="A629" t="s">
        <v>215</v>
      </c>
      <c r="B629">
        <v>1</v>
      </c>
      <c r="C629" s="98">
        <v>585057</v>
      </c>
      <c r="D629" s="100"/>
    </row>
    <row r="630" spans="1:4">
      <c r="A630" t="s">
        <v>1516</v>
      </c>
      <c r="B630">
        <v>1</v>
      </c>
      <c r="C630" s="98">
        <v>454158</v>
      </c>
      <c r="D630" s="100"/>
    </row>
    <row r="631" spans="1:4">
      <c r="A631" s="101" t="s">
        <v>1516</v>
      </c>
      <c r="B631">
        <v>1</v>
      </c>
      <c r="C631" s="98">
        <v>454158</v>
      </c>
      <c r="D631" s="100"/>
    </row>
    <row r="632" spans="1:4">
      <c r="A632" s="101" t="s">
        <v>1517</v>
      </c>
      <c r="B632">
        <v>1</v>
      </c>
      <c r="C632" s="98">
        <v>585057</v>
      </c>
      <c r="D632" s="100"/>
    </row>
    <row r="633" spans="1:4">
      <c r="A633" s="101" t="s">
        <v>1520</v>
      </c>
      <c r="B633">
        <v>1</v>
      </c>
      <c r="C633" s="98">
        <v>454158</v>
      </c>
      <c r="D633" s="100"/>
    </row>
    <row r="634" spans="1:4">
      <c r="A634" s="101" t="s">
        <v>1520</v>
      </c>
      <c r="B634">
        <v>1</v>
      </c>
      <c r="C634" s="98">
        <v>454158</v>
      </c>
      <c r="D634" s="100"/>
    </row>
    <row r="635" spans="1:4">
      <c r="A635" s="101" t="s">
        <v>114</v>
      </c>
      <c r="B635">
        <v>1</v>
      </c>
      <c r="C635" s="98">
        <v>654871</v>
      </c>
      <c r="D635" s="100"/>
    </row>
    <row r="636" spans="1:4">
      <c r="A636" s="101" t="s">
        <v>114</v>
      </c>
      <c r="B636">
        <v>1</v>
      </c>
      <c r="C636" s="98">
        <v>654871</v>
      </c>
      <c r="D636" s="100"/>
    </row>
    <row r="637" spans="1:4">
      <c r="A637" t="s">
        <v>114</v>
      </c>
      <c r="B637">
        <v>1</v>
      </c>
      <c r="C637" s="98">
        <v>654871</v>
      </c>
      <c r="D637" s="100"/>
    </row>
    <row r="638" spans="1:4">
      <c r="A638" t="s">
        <v>114</v>
      </c>
      <c r="B638">
        <v>1</v>
      </c>
      <c r="C638" s="98">
        <v>654871</v>
      </c>
      <c r="D638" s="100"/>
    </row>
    <row r="639" spans="1:4">
      <c r="A639" t="s">
        <v>114</v>
      </c>
      <c r="B639">
        <v>1</v>
      </c>
      <c r="C639" s="98">
        <v>654871</v>
      </c>
      <c r="D639" s="100"/>
    </row>
    <row r="640" spans="1:4">
      <c r="A640" t="s">
        <v>114</v>
      </c>
      <c r="B640">
        <v>1</v>
      </c>
      <c r="C640" s="98">
        <v>654871</v>
      </c>
      <c r="D640" s="100"/>
    </row>
    <row r="641" spans="1:4">
      <c r="A641" t="s">
        <v>256</v>
      </c>
      <c r="B641">
        <v>1</v>
      </c>
      <c r="C641" s="98">
        <v>681050</v>
      </c>
      <c r="D641" s="100"/>
    </row>
    <row r="642" spans="1:4">
      <c r="A642" t="s">
        <v>207</v>
      </c>
      <c r="B642">
        <v>1</v>
      </c>
      <c r="C642" s="98">
        <v>585057</v>
      </c>
      <c r="D642" s="100"/>
    </row>
    <row r="643" spans="1:4">
      <c r="A643" t="s">
        <v>207</v>
      </c>
      <c r="B643">
        <v>1</v>
      </c>
      <c r="C643" s="98">
        <v>585057</v>
      </c>
      <c r="D643" s="100"/>
    </row>
    <row r="644" spans="1:4">
      <c r="A644" t="s">
        <v>1506</v>
      </c>
      <c r="B644">
        <v>1</v>
      </c>
      <c r="C644" s="98">
        <v>654871</v>
      </c>
      <c r="D644" s="100"/>
    </row>
    <row r="645" spans="1:4">
      <c r="A645" t="s">
        <v>244</v>
      </c>
      <c r="B645">
        <v>1</v>
      </c>
      <c r="C645" s="98">
        <v>681050</v>
      </c>
      <c r="D645" s="100"/>
    </row>
    <row r="646" spans="1:4">
      <c r="A646" t="s">
        <v>244</v>
      </c>
      <c r="B646">
        <v>1</v>
      </c>
      <c r="C646" s="98">
        <v>681050</v>
      </c>
      <c r="D646" s="100"/>
    </row>
    <row r="647" spans="1:4">
      <c r="A647" t="s">
        <v>1544</v>
      </c>
      <c r="B647">
        <v>1</v>
      </c>
      <c r="C647" s="98">
        <v>628690</v>
      </c>
      <c r="D647" s="100"/>
    </row>
    <row r="648" spans="1:4">
      <c r="A648" t="s">
        <v>1562</v>
      </c>
      <c r="B648">
        <v>1</v>
      </c>
      <c r="C648" s="98">
        <v>681050</v>
      </c>
      <c r="D648" s="100"/>
    </row>
    <row r="649" spans="1:4">
      <c r="A649" t="s">
        <v>1562</v>
      </c>
      <c r="B649">
        <v>1</v>
      </c>
      <c r="C649" s="98">
        <v>681050</v>
      </c>
      <c r="D649" s="100"/>
    </row>
    <row r="650" spans="1:4">
      <c r="A650" t="s">
        <v>116</v>
      </c>
      <c r="B650">
        <v>1</v>
      </c>
      <c r="C650" s="98">
        <v>654871</v>
      </c>
      <c r="D650" s="100"/>
    </row>
    <row r="651" spans="1:4">
      <c r="A651" t="s">
        <v>116</v>
      </c>
      <c r="B651">
        <v>1</v>
      </c>
      <c r="C651" s="98">
        <v>654871</v>
      </c>
      <c r="D651" s="100"/>
    </row>
    <row r="652" spans="1:4">
      <c r="A652" t="s">
        <v>116</v>
      </c>
      <c r="B652">
        <v>1</v>
      </c>
      <c r="C652" s="98">
        <v>654871</v>
      </c>
      <c r="D652" s="100"/>
    </row>
    <row r="653" spans="1:4">
      <c r="A653" t="s">
        <v>116</v>
      </c>
      <c r="B653">
        <v>1</v>
      </c>
      <c r="C653" s="98">
        <v>654871</v>
      </c>
      <c r="D653" s="100"/>
    </row>
    <row r="654" spans="1:4">
      <c r="A654" t="s">
        <v>116</v>
      </c>
      <c r="B654">
        <v>1</v>
      </c>
      <c r="C654" s="98">
        <v>654871</v>
      </c>
      <c r="D654" s="100"/>
    </row>
    <row r="655" spans="1:4">
      <c r="A655" t="s">
        <v>116</v>
      </c>
      <c r="B655">
        <v>1</v>
      </c>
      <c r="C655" s="98">
        <v>654871</v>
      </c>
      <c r="D655" s="100"/>
    </row>
    <row r="656" spans="1:4">
      <c r="A656" t="s">
        <v>243</v>
      </c>
      <c r="B656">
        <v>1</v>
      </c>
      <c r="C656" s="98">
        <v>681050</v>
      </c>
      <c r="D656" s="100"/>
    </row>
    <row r="657" spans="1:4">
      <c r="A657" t="s">
        <v>243</v>
      </c>
      <c r="B657">
        <v>1</v>
      </c>
      <c r="C657" s="98">
        <v>681050</v>
      </c>
      <c r="D657" s="100"/>
    </row>
    <row r="658" spans="1:4">
      <c r="A658" t="s">
        <v>243</v>
      </c>
      <c r="B658">
        <v>1</v>
      </c>
      <c r="C658" s="98">
        <v>681050</v>
      </c>
      <c r="D658" s="100"/>
    </row>
    <row r="659" spans="1:4">
      <c r="A659" t="s">
        <v>217</v>
      </c>
      <c r="B659">
        <v>1</v>
      </c>
      <c r="C659" s="98">
        <v>585057</v>
      </c>
      <c r="D659" s="100"/>
    </row>
    <row r="660" spans="1:4">
      <c r="A660" t="s">
        <v>217</v>
      </c>
      <c r="B660">
        <v>1</v>
      </c>
      <c r="C660" s="98">
        <v>585057</v>
      </c>
      <c r="D660" s="100"/>
    </row>
    <row r="661" spans="1:4">
      <c r="A661" t="s">
        <v>202</v>
      </c>
      <c r="B661">
        <v>1</v>
      </c>
      <c r="C661" s="98">
        <v>454158</v>
      </c>
      <c r="D661" s="100"/>
    </row>
    <row r="662" spans="1:4">
      <c r="A662" t="s">
        <v>202</v>
      </c>
      <c r="B662">
        <v>1</v>
      </c>
      <c r="C662" s="98">
        <v>454158</v>
      </c>
      <c r="D662" s="100"/>
    </row>
    <row r="663" spans="1:4">
      <c r="A663" t="s">
        <v>202</v>
      </c>
      <c r="B663">
        <v>1</v>
      </c>
      <c r="C663" s="98">
        <v>454158</v>
      </c>
      <c r="D663" s="100"/>
    </row>
    <row r="664" spans="1:4">
      <c r="A664" t="s">
        <v>202</v>
      </c>
      <c r="B664">
        <v>1</v>
      </c>
      <c r="C664" s="98">
        <v>454158</v>
      </c>
      <c r="D664" s="100"/>
    </row>
    <row r="665" spans="1:4">
      <c r="A665" t="s">
        <v>210</v>
      </c>
      <c r="B665">
        <v>1</v>
      </c>
      <c r="C665" s="98">
        <v>585057</v>
      </c>
      <c r="D665" s="100"/>
    </row>
    <row r="666" spans="1:4">
      <c r="A666" t="s">
        <v>210</v>
      </c>
      <c r="B666">
        <v>1</v>
      </c>
      <c r="C666" s="98">
        <v>585057</v>
      </c>
      <c r="D666" s="100"/>
    </row>
    <row r="667" spans="1:4">
      <c r="A667" t="s">
        <v>242</v>
      </c>
      <c r="B667">
        <v>1</v>
      </c>
      <c r="C667" s="98">
        <v>681050</v>
      </c>
      <c r="D667" s="100"/>
    </row>
    <row r="668" spans="1:4">
      <c r="A668" t="s">
        <v>106</v>
      </c>
      <c r="B668">
        <v>1</v>
      </c>
      <c r="C668" s="98">
        <v>654871</v>
      </c>
      <c r="D668" s="100"/>
    </row>
    <row r="669" spans="1:4">
      <c r="A669" t="s">
        <v>106</v>
      </c>
      <c r="B669">
        <v>1</v>
      </c>
      <c r="C669" s="98">
        <v>654871</v>
      </c>
      <c r="D669" s="100"/>
    </row>
    <row r="670" spans="1:4">
      <c r="A670" t="s">
        <v>106</v>
      </c>
      <c r="B670">
        <v>1</v>
      </c>
      <c r="C670" s="98">
        <v>654871</v>
      </c>
    </row>
    <row r="671" spans="1:4">
      <c r="A671" t="s">
        <v>106</v>
      </c>
      <c r="B671">
        <v>1</v>
      </c>
      <c r="C671" s="98">
        <v>654871</v>
      </c>
    </row>
    <row r="672" spans="1:4">
      <c r="A672" t="s">
        <v>106</v>
      </c>
      <c r="B672">
        <v>1</v>
      </c>
      <c r="C672" s="98">
        <v>654871</v>
      </c>
    </row>
    <row r="673" spans="1:3">
      <c r="A673" t="s">
        <v>106</v>
      </c>
      <c r="B673">
        <v>1</v>
      </c>
      <c r="C673" s="98">
        <v>654871</v>
      </c>
    </row>
    <row r="674" spans="1:3">
      <c r="A674" t="s">
        <v>106</v>
      </c>
      <c r="B674">
        <v>1</v>
      </c>
      <c r="C674" s="98">
        <v>654871</v>
      </c>
    </row>
    <row r="675" spans="1:3">
      <c r="A675" t="s">
        <v>106</v>
      </c>
      <c r="B675">
        <v>1</v>
      </c>
      <c r="C675" s="98">
        <v>654871</v>
      </c>
    </row>
    <row r="676" spans="1:3">
      <c r="A676" t="s">
        <v>106</v>
      </c>
      <c r="B676">
        <v>1</v>
      </c>
      <c r="C676" s="98">
        <v>654871</v>
      </c>
    </row>
    <row r="677" spans="1:3">
      <c r="A677" t="s">
        <v>106</v>
      </c>
      <c r="B677">
        <v>1</v>
      </c>
      <c r="C677" s="98">
        <v>654871</v>
      </c>
    </row>
    <row r="678" spans="1:3">
      <c r="A678" t="s">
        <v>106</v>
      </c>
      <c r="B678">
        <v>1</v>
      </c>
      <c r="C678" s="98">
        <v>654871</v>
      </c>
    </row>
    <row r="679" spans="1:3">
      <c r="A679" t="s">
        <v>106</v>
      </c>
      <c r="B679">
        <v>1</v>
      </c>
      <c r="C679" s="98">
        <v>654871</v>
      </c>
    </row>
    <row r="680" spans="1:3">
      <c r="A680" t="s">
        <v>106</v>
      </c>
      <c r="B680">
        <v>1</v>
      </c>
      <c r="C680" s="98">
        <v>654871</v>
      </c>
    </row>
    <row r="681" spans="1:3">
      <c r="A681" t="s">
        <v>106</v>
      </c>
      <c r="B681">
        <v>1</v>
      </c>
      <c r="C681" s="98">
        <v>654871</v>
      </c>
    </row>
    <row r="682" spans="1:3">
      <c r="A682" t="s">
        <v>106</v>
      </c>
      <c r="B682">
        <v>1</v>
      </c>
      <c r="C682" s="98">
        <v>654871</v>
      </c>
    </row>
    <row r="683" spans="1:3">
      <c r="A683" t="s">
        <v>106</v>
      </c>
      <c r="B683">
        <v>1</v>
      </c>
      <c r="C683" s="98">
        <v>654871</v>
      </c>
    </row>
    <row r="684" spans="1:3">
      <c r="A684" t="s">
        <v>106</v>
      </c>
      <c r="B684">
        <v>1</v>
      </c>
      <c r="C684" s="98">
        <v>654871</v>
      </c>
    </row>
    <row r="685" spans="1:3">
      <c r="A685" t="s">
        <v>106</v>
      </c>
      <c r="B685">
        <v>1</v>
      </c>
      <c r="C685" s="98">
        <v>654871</v>
      </c>
    </row>
    <row r="686" spans="1:3">
      <c r="A686" t="s">
        <v>248</v>
      </c>
      <c r="B686">
        <v>1</v>
      </c>
      <c r="C686" s="98">
        <v>681050</v>
      </c>
    </row>
    <row r="687" spans="1:3">
      <c r="A687" t="s">
        <v>248</v>
      </c>
      <c r="B687">
        <v>1</v>
      </c>
      <c r="C687" s="98">
        <v>681050</v>
      </c>
    </row>
    <row r="688" spans="1:3">
      <c r="A688" t="s">
        <v>1549</v>
      </c>
      <c r="B688">
        <v>0.5</v>
      </c>
      <c r="C688" s="98">
        <v>240169</v>
      </c>
    </row>
    <row r="689" spans="1:3">
      <c r="A689" t="s">
        <v>1549</v>
      </c>
      <c r="B689">
        <v>0.5</v>
      </c>
      <c r="C689" s="98">
        <v>240169</v>
      </c>
    </row>
    <row r="690" spans="1:3">
      <c r="A690" t="s">
        <v>1521</v>
      </c>
      <c r="B690">
        <v>0.5</v>
      </c>
      <c r="C690" s="98">
        <v>292528.5</v>
      </c>
    </row>
    <row r="691" spans="1:3">
      <c r="A691" t="s">
        <v>1521</v>
      </c>
      <c r="B691">
        <v>0.5</v>
      </c>
      <c r="C691" s="98">
        <v>292528.5</v>
      </c>
    </row>
    <row r="692" spans="1:3">
      <c r="A692" t="s">
        <v>1522</v>
      </c>
      <c r="B692">
        <v>1</v>
      </c>
      <c r="C692" s="98">
        <v>654871</v>
      </c>
    </row>
    <row r="693" spans="1:3">
      <c r="A693" t="s">
        <v>248</v>
      </c>
      <c r="B693">
        <v>1</v>
      </c>
      <c r="C693" s="98">
        <v>681050</v>
      </c>
    </row>
    <row r="694" spans="1:3">
      <c r="A694" t="s">
        <v>248</v>
      </c>
      <c r="B694">
        <v>1</v>
      </c>
      <c r="C694" s="98">
        <v>681050</v>
      </c>
    </row>
    <row r="695" spans="1:3">
      <c r="A695" t="s">
        <v>248</v>
      </c>
      <c r="B695">
        <v>1</v>
      </c>
      <c r="C695" s="98">
        <v>681050</v>
      </c>
    </row>
    <row r="696" spans="1:3">
      <c r="A696" t="s">
        <v>248</v>
      </c>
      <c r="B696">
        <v>1</v>
      </c>
      <c r="C696" s="98">
        <v>681050</v>
      </c>
    </row>
    <row r="697" spans="1:3">
      <c r="A697" t="s">
        <v>108</v>
      </c>
      <c r="B697">
        <v>1</v>
      </c>
      <c r="C697" s="98">
        <v>654871</v>
      </c>
    </row>
    <row r="698" spans="1:3">
      <c r="A698" t="s">
        <v>108</v>
      </c>
      <c r="B698">
        <v>1</v>
      </c>
      <c r="C698" s="98">
        <v>654871</v>
      </c>
    </row>
    <row r="699" spans="1:3">
      <c r="A699" t="s">
        <v>108</v>
      </c>
      <c r="B699">
        <v>1</v>
      </c>
      <c r="C699" s="98">
        <v>654871</v>
      </c>
    </row>
    <row r="700" spans="1:3">
      <c r="A700" t="s">
        <v>108</v>
      </c>
      <c r="B700">
        <v>1</v>
      </c>
      <c r="C700" s="98">
        <v>654871</v>
      </c>
    </row>
    <row r="701" spans="1:3">
      <c r="A701" t="s">
        <v>113</v>
      </c>
      <c r="B701">
        <v>1</v>
      </c>
      <c r="C701" s="98">
        <v>654871</v>
      </c>
    </row>
    <row r="702" spans="1:3">
      <c r="A702" t="s">
        <v>113</v>
      </c>
      <c r="B702">
        <v>1</v>
      </c>
      <c r="C702" s="98">
        <v>654871</v>
      </c>
    </row>
    <row r="703" spans="1:3">
      <c r="A703" t="s">
        <v>113</v>
      </c>
      <c r="B703">
        <v>1</v>
      </c>
      <c r="C703" s="98">
        <v>654871</v>
      </c>
    </row>
    <row r="704" spans="1:3">
      <c r="A704" t="s">
        <v>113</v>
      </c>
      <c r="B704">
        <v>1</v>
      </c>
      <c r="C704" s="98">
        <v>654871</v>
      </c>
    </row>
    <row r="705" spans="1:3">
      <c r="A705" t="s">
        <v>113</v>
      </c>
      <c r="B705">
        <v>1</v>
      </c>
      <c r="C705" s="98">
        <v>654871</v>
      </c>
    </row>
    <row r="706" spans="1:3">
      <c r="A706" t="s">
        <v>113</v>
      </c>
      <c r="B706">
        <v>1</v>
      </c>
      <c r="C706" s="98">
        <v>654871</v>
      </c>
    </row>
    <row r="707" spans="1:3">
      <c r="A707" t="s">
        <v>114</v>
      </c>
      <c r="B707">
        <v>1</v>
      </c>
      <c r="C707" s="98">
        <v>654871</v>
      </c>
    </row>
    <row r="708" spans="1:3">
      <c r="A708" t="s">
        <v>114</v>
      </c>
      <c r="B708">
        <v>1</v>
      </c>
      <c r="C708" s="98">
        <v>654871</v>
      </c>
    </row>
    <row r="709" spans="1:3">
      <c r="A709" t="s">
        <v>1523</v>
      </c>
      <c r="B709">
        <v>1</v>
      </c>
      <c r="C709" s="98">
        <v>654871</v>
      </c>
    </row>
    <row r="710" spans="1:3">
      <c r="A710" t="s">
        <v>254</v>
      </c>
      <c r="B710">
        <v>1</v>
      </c>
      <c r="C710" s="98">
        <v>681050</v>
      </c>
    </row>
    <row r="711" spans="1:3">
      <c r="A711" t="s">
        <v>254</v>
      </c>
      <c r="B711">
        <v>1</v>
      </c>
      <c r="C711" s="98">
        <v>681050</v>
      </c>
    </row>
    <row r="712" spans="1:3">
      <c r="A712" t="s">
        <v>254</v>
      </c>
      <c r="B712">
        <v>1</v>
      </c>
      <c r="C712" s="98">
        <v>681050</v>
      </c>
    </row>
    <row r="713" spans="1:3">
      <c r="A713" t="s">
        <v>254</v>
      </c>
      <c r="B713">
        <v>1</v>
      </c>
      <c r="C713" s="98">
        <v>681050</v>
      </c>
    </row>
    <row r="714" spans="1:3">
      <c r="A714" t="s">
        <v>254</v>
      </c>
      <c r="B714">
        <v>1</v>
      </c>
      <c r="C714" s="98">
        <v>681050</v>
      </c>
    </row>
    <row r="715" spans="1:3">
      <c r="A715" t="s">
        <v>254</v>
      </c>
      <c r="B715">
        <v>1</v>
      </c>
      <c r="C715" s="98">
        <v>681050</v>
      </c>
    </row>
    <row r="716" spans="1:3">
      <c r="A716" t="s">
        <v>254</v>
      </c>
      <c r="B716">
        <v>1</v>
      </c>
      <c r="C716" s="98">
        <v>681050</v>
      </c>
    </row>
    <row r="717" spans="1:3">
      <c r="A717" t="s">
        <v>254</v>
      </c>
      <c r="B717">
        <v>1</v>
      </c>
      <c r="C717" s="98">
        <v>681050</v>
      </c>
    </row>
    <row r="718" spans="1:3">
      <c r="A718" t="s">
        <v>254</v>
      </c>
      <c r="B718">
        <v>1</v>
      </c>
      <c r="C718" s="98">
        <v>681050</v>
      </c>
    </row>
    <row r="719" spans="1:3">
      <c r="A719" t="s">
        <v>244</v>
      </c>
      <c r="B719">
        <v>1</v>
      </c>
      <c r="C719" s="98">
        <v>681050</v>
      </c>
    </row>
    <row r="720" spans="1:3">
      <c r="A720" t="s">
        <v>244</v>
      </c>
      <c r="B720">
        <v>1</v>
      </c>
      <c r="C720" s="98">
        <v>681050</v>
      </c>
    </row>
    <row r="721" spans="1:3">
      <c r="A721" t="s">
        <v>244</v>
      </c>
      <c r="B721">
        <v>1</v>
      </c>
      <c r="C721" s="98">
        <v>681050</v>
      </c>
    </row>
    <row r="722" spans="1:3">
      <c r="A722" t="s">
        <v>246</v>
      </c>
      <c r="B722">
        <v>1</v>
      </c>
      <c r="C722" s="98">
        <v>681050</v>
      </c>
    </row>
    <row r="723" spans="1:3">
      <c r="A723" t="s">
        <v>246</v>
      </c>
      <c r="B723">
        <v>1</v>
      </c>
      <c r="C723" s="98">
        <v>681050</v>
      </c>
    </row>
    <row r="724" spans="1:3">
      <c r="A724" t="s">
        <v>116</v>
      </c>
      <c r="B724">
        <v>1</v>
      </c>
      <c r="C724" s="98">
        <v>654871</v>
      </c>
    </row>
    <row r="725" spans="1:3">
      <c r="A725" t="s">
        <v>116</v>
      </c>
      <c r="B725">
        <v>1</v>
      </c>
      <c r="C725" s="98">
        <v>654871</v>
      </c>
    </row>
    <row r="726" spans="1:3">
      <c r="A726" t="s">
        <v>116</v>
      </c>
      <c r="B726">
        <v>1</v>
      </c>
      <c r="C726" s="98">
        <v>654871</v>
      </c>
    </row>
    <row r="727" spans="1:3">
      <c r="A727" t="s">
        <v>116</v>
      </c>
      <c r="B727">
        <v>1</v>
      </c>
      <c r="C727" s="98">
        <v>654871</v>
      </c>
    </row>
    <row r="728" spans="1:3">
      <c r="A728" t="s">
        <v>116</v>
      </c>
      <c r="B728">
        <v>1</v>
      </c>
      <c r="C728" s="98">
        <v>654871</v>
      </c>
    </row>
    <row r="729" spans="1:3">
      <c r="A729" t="s">
        <v>116</v>
      </c>
      <c r="B729">
        <v>1</v>
      </c>
      <c r="C729" s="98">
        <v>654871</v>
      </c>
    </row>
    <row r="730" spans="1:3">
      <c r="A730" t="s">
        <v>116</v>
      </c>
      <c r="B730">
        <v>1</v>
      </c>
      <c r="C730" s="98">
        <v>654871</v>
      </c>
    </row>
    <row r="731" spans="1:3">
      <c r="A731" t="s">
        <v>116</v>
      </c>
      <c r="B731">
        <v>1</v>
      </c>
      <c r="C731" s="98">
        <v>654871</v>
      </c>
    </row>
    <row r="732" spans="1:3">
      <c r="A732" t="s">
        <v>115</v>
      </c>
      <c r="B732">
        <v>1</v>
      </c>
      <c r="C732" s="98">
        <v>654871</v>
      </c>
    </row>
    <row r="733" spans="1:3">
      <c r="A733" t="s">
        <v>115</v>
      </c>
      <c r="B733">
        <v>1</v>
      </c>
      <c r="C733" s="98">
        <v>654871</v>
      </c>
    </row>
    <row r="734" spans="1:3">
      <c r="A734" t="s">
        <v>115</v>
      </c>
      <c r="B734">
        <v>1</v>
      </c>
      <c r="C734" s="98">
        <v>654871</v>
      </c>
    </row>
    <row r="735" spans="1:3">
      <c r="A735" t="s">
        <v>115</v>
      </c>
      <c r="B735">
        <v>1</v>
      </c>
      <c r="C735" s="98">
        <v>654871</v>
      </c>
    </row>
    <row r="736" spans="1:3">
      <c r="A736" t="s">
        <v>255</v>
      </c>
      <c r="B736">
        <v>1</v>
      </c>
      <c r="C736" s="98">
        <v>681050</v>
      </c>
    </row>
    <row r="737" spans="1:3">
      <c r="A737" t="s">
        <v>255</v>
      </c>
      <c r="B737">
        <v>1</v>
      </c>
      <c r="C737" s="98">
        <v>681050</v>
      </c>
    </row>
    <row r="738" spans="1:3">
      <c r="A738" t="s">
        <v>115</v>
      </c>
      <c r="B738">
        <v>1</v>
      </c>
      <c r="C738" s="98">
        <v>654871</v>
      </c>
    </row>
    <row r="739" spans="1:3">
      <c r="A739" t="s">
        <v>115</v>
      </c>
      <c r="B739">
        <v>1</v>
      </c>
      <c r="C739" s="98">
        <v>654871</v>
      </c>
    </row>
    <row r="740" spans="1:3">
      <c r="A740" t="s">
        <v>115</v>
      </c>
      <c r="B740">
        <v>1</v>
      </c>
      <c r="C740" s="98">
        <v>654871</v>
      </c>
    </row>
    <row r="741" spans="1:3">
      <c r="A741" t="s">
        <v>115</v>
      </c>
      <c r="B741">
        <v>1</v>
      </c>
      <c r="C741" s="98">
        <v>654871</v>
      </c>
    </row>
    <row r="742" spans="1:3">
      <c r="A742" t="s">
        <v>214</v>
      </c>
      <c r="B742">
        <v>1</v>
      </c>
      <c r="C742" s="98">
        <v>585057</v>
      </c>
    </row>
    <row r="743" spans="1:3">
      <c r="A743" t="s">
        <v>199</v>
      </c>
      <c r="B743">
        <v>1</v>
      </c>
      <c r="C743" s="98">
        <v>681050</v>
      </c>
    </row>
    <row r="744" spans="1:3">
      <c r="A744" t="s">
        <v>199</v>
      </c>
      <c r="B744">
        <v>1</v>
      </c>
      <c r="C744" s="98">
        <v>681050</v>
      </c>
    </row>
    <row r="745" spans="1:3">
      <c r="A745" t="s">
        <v>199</v>
      </c>
      <c r="B745">
        <v>1</v>
      </c>
      <c r="C745" s="98">
        <v>681050</v>
      </c>
    </row>
    <row r="746" spans="1:3">
      <c r="A746" t="s">
        <v>107</v>
      </c>
      <c r="B746">
        <v>1</v>
      </c>
      <c r="C746" s="98">
        <v>654871</v>
      </c>
    </row>
    <row r="747" spans="1:3">
      <c r="A747" t="s">
        <v>107</v>
      </c>
      <c r="B747">
        <v>1</v>
      </c>
      <c r="C747" s="98">
        <v>654871</v>
      </c>
    </row>
    <row r="748" spans="1:3">
      <c r="A748" t="s">
        <v>107</v>
      </c>
      <c r="B748">
        <v>1</v>
      </c>
      <c r="C748" s="98">
        <v>654871</v>
      </c>
    </row>
    <row r="749" spans="1:3">
      <c r="A749" t="s">
        <v>107</v>
      </c>
      <c r="B749">
        <v>1</v>
      </c>
      <c r="C749" s="98">
        <v>654871</v>
      </c>
    </row>
    <row r="750" spans="1:3">
      <c r="A750" t="s">
        <v>107</v>
      </c>
      <c r="B750">
        <v>1</v>
      </c>
      <c r="C750" s="98">
        <v>654871</v>
      </c>
    </row>
    <row r="751" spans="1:3">
      <c r="A751" t="s">
        <v>107</v>
      </c>
      <c r="B751">
        <v>1</v>
      </c>
      <c r="C751" s="98">
        <v>654871</v>
      </c>
    </row>
    <row r="752" spans="1:3">
      <c r="A752" t="s">
        <v>107</v>
      </c>
      <c r="B752">
        <v>1</v>
      </c>
      <c r="C752" s="98">
        <v>654871</v>
      </c>
    </row>
    <row r="753" spans="1:3">
      <c r="A753" t="s">
        <v>107</v>
      </c>
      <c r="B753">
        <v>1</v>
      </c>
      <c r="C753" s="98">
        <v>654871</v>
      </c>
    </row>
    <row r="754" spans="1:3">
      <c r="A754" t="s">
        <v>109</v>
      </c>
      <c r="B754">
        <v>1</v>
      </c>
      <c r="C754" s="98">
        <v>654871</v>
      </c>
    </row>
    <row r="755" spans="1:3">
      <c r="A755" t="s">
        <v>109</v>
      </c>
      <c r="B755">
        <v>1</v>
      </c>
      <c r="C755" s="98">
        <v>654871</v>
      </c>
    </row>
    <row r="756" spans="1:3">
      <c r="A756" t="s">
        <v>109</v>
      </c>
      <c r="B756">
        <v>1</v>
      </c>
      <c r="C756" s="98">
        <v>654871</v>
      </c>
    </row>
    <row r="757" spans="1:3">
      <c r="A757" t="s">
        <v>109</v>
      </c>
      <c r="B757">
        <v>1</v>
      </c>
      <c r="C757" s="98">
        <v>654871</v>
      </c>
    </row>
    <row r="758" spans="1:3">
      <c r="A758" t="s">
        <v>1524</v>
      </c>
      <c r="B758">
        <v>1</v>
      </c>
      <c r="C758" s="98">
        <v>654871</v>
      </c>
    </row>
    <row r="759" spans="1:3">
      <c r="A759" t="s">
        <v>1562</v>
      </c>
      <c r="B759">
        <v>1</v>
      </c>
      <c r="C759" s="98">
        <v>681050</v>
      </c>
    </row>
    <row r="760" spans="1:3">
      <c r="A760" t="s">
        <v>1525</v>
      </c>
      <c r="B760">
        <v>1</v>
      </c>
      <c r="C760" s="98">
        <v>454158</v>
      </c>
    </row>
    <row r="761" spans="1:3">
      <c r="A761" t="s">
        <v>1526</v>
      </c>
      <c r="B761">
        <v>1</v>
      </c>
      <c r="C761" s="98">
        <v>585057</v>
      </c>
    </row>
    <row r="762" spans="1:3">
      <c r="A762" t="s">
        <v>1562</v>
      </c>
      <c r="B762">
        <v>1</v>
      </c>
      <c r="C762" s="98">
        <v>681050</v>
      </c>
    </row>
    <row r="763" spans="1:3">
      <c r="A763" t="s">
        <v>1562</v>
      </c>
      <c r="B763">
        <v>1</v>
      </c>
      <c r="C763" s="98">
        <v>681050</v>
      </c>
    </row>
    <row r="764" spans="1:3">
      <c r="A764" t="s">
        <v>240</v>
      </c>
      <c r="B764">
        <v>1</v>
      </c>
      <c r="C764" s="98">
        <v>681050</v>
      </c>
    </row>
    <row r="765" spans="1:3">
      <c r="A765" t="s">
        <v>240</v>
      </c>
      <c r="B765">
        <v>1</v>
      </c>
      <c r="C765" s="98">
        <v>681050</v>
      </c>
    </row>
    <row r="766" spans="1:3">
      <c r="A766" t="s">
        <v>240</v>
      </c>
      <c r="B766">
        <v>1</v>
      </c>
      <c r="C766" s="98">
        <v>681050</v>
      </c>
    </row>
    <row r="767" spans="1:3">
      <c r="A767" t="s">
        <v>240</v>
      </c>
      <c r="B767">
        <v>1</v>
      </c>
      <c r="C767" s="98">
        <v>681050</v>
      </c>
    </row>
    <row r="768" spans="1:3">
      <c r="A768" t="s">
        <v>220</v>
      </c>
      <c r="B768">
        <v>1</v>
      </c>
      <c r="C768" s="98">
        <v>628690</v>
      </c>
    </row>
    <row r="769" spans="1:3">
      <c r="A769" t="s">
        <v>220</v>
      </c>
      <c r="B769">
        <v>1</v>
      </c>
      <c r="C769" s="98">
        <v>628690</v>
      </c>
    </row>
    <row r="770" spans="1:3">
      <c r="A770" t="s">
        <v>248</v>
      </c>
      <c r="B770">
        <v>1</v>
      </c>
      <c r="C770" s="98">
        <v>681050</v>
      </c>
    </row>
    <row r="771" spans="1:3">
      <c r="A771" t="s">
        <v>248</v>
      </c>
      <c r="B771">
        <v>1</v>
      </c>
      <c r="C771" s="98">
        <v>681050</v>
      </c>
    </row>
    <row r="772" spans="1:3">
      <c r="A772" t="s">
        <v>248</v>
      </c>
      <c r="B772">
        <v>1</v>
      </c>
      <c r="C772" s="98">
        <v>681050</v>
      </c>
    </row>
    <row r="773" spans="1:3">
      <c r="A773" t="s">
        <v>248</v>
      </c>
      <c r="B773">
        <v>1</v>
      </c>
      <c r="C773" s="98">
        <v>681050</v>
      </c>
    </row>
    <row r="774" spans="1:3">
      <c r="A774" t="s">
        <v>146</v>
      </c>
      <c r="B774">
        <v>1</v>
      </c>
      <c r="C774" s="98">
        <v>1002400</v>
      </c>
    </row>
    <row r="775" spans="1:3">
      <c r="A775" t="s">
        <v>146</v>
      </c>
      <c r="B775">
        <v>1</v>
      </c>
      <c r="C775" s="98">
        <v>1002400</v>
      </c>
    </row>
    <row r="776" spans="1:3">
      <c r="A776" t="s">
        <v>146</v>
      </c>
      <c r="B776">
        <v>1</v>
      </c>
      <c r="C776" s="98">
        <v>1002400</v>
      </c>
    </row>
    <row r="777" spans="1:3">
      <c r="A777" t="s">
        <v>146</v>
      </c>
      <c r="B777">
        <v>1</v>
      </c>
      <c r="C777" s="98">
        <v>1002400</v>
      </c>
    </row>
    <row r="778" spans="1:3">
      <c r="A778" t="s">
        <v>146</v>
      </c>
      <c r="B778">
        <v>1</v>
      </c>
      <c r="C778" s="98">
        <v>1002400</v>
      </c>
    </row>
    <row r="779" spans="1:3">
      <c r="A779" t="s">
        <v>1542</v>
      </c>
      <c r="B779">
        <v>1</v>
      </c>
      <c r="C779" s="98">
        <v>628690</v>
      </c>
    </row>
    <row r="780" spans="1:3">
      <c r="A780" t="s">
        <v>113</v>
      </c>
      <c r="B780">
        <v>1</v>
      </c>
      <c r="C780" s="98">
        <v>654871</v>
      </c>
    </row>
    <row r="781" spans="1:3">
      <c r="A781" t="s">
        <v>113</v>
      </c>
      <c r="B781">
        <v>1</v>
      </c>
      <c r="C781" s="98">
        <v>654871</v>
      </c>
    </row>
    <row r="782" spans="1:3">
      <c r="A782" t="s">
        <v>239</v>
      </c>
      <c r="B782">
        <v>1</v>
      </c>
      <c r="C782" s="98">
        <v>681050</v>
      </c>
    </row>
    <row r="783" spans="1:3">
      <c r="A783" t="s">
        <v>239</v>
      </c>
      <c r="B783">
        <v>1</v>
      </c>
      <c r="C783" s="98">
        <v>681050</v>
      </c>
    </row>
    <row r="784" spans="1:3">
      <c r="A784" t="s">
        <v>136</v>
      </c>
      <c r="B784">
        <v>1</v>
      </c>
      <c r="C784" s="98">
        <v>1002400</v>
      </c>
    </row>
    <row r="785" spans="1:3">
      <c r="A785" t="s">
        <v>1516</v>
      </c>
      <c r="B785">
        <v>1</v>
      </c>
      <c r="C785" s="98">
        <v>454158</v>
      </c>
    </row>
    <row r="786" spans="1:3">
      <c r="A786" t="s">
        <v>1516</v>
      </c>
      <c r="B786">
        <v>1</v>
      </c>
      <c r="C786" s="98">
        <v>454158</v>
      </c>
    </row>
    <row r="787" spans="1:3">
      <c r="A787" t="s">
        <v>1516</v>
      </c>
      <c r="B787">
        <v>1</v>
      </c>
      <c r="C787" s="98">
        <v>454158</v>
      </c>
    </row>
    <row r="788" spans="1:3">
      <c r="A788" t="s">
        <v>1516</v>
      </c>
      <c r="B788">
        <v>1</v>
      </c>
      <c r="C788" s="98">
        <v>454158</v>
      </c>
    </row>
    <row r="789" spans="1:3">
      <c r="A789" t="s">
        <v>1542</v>
      </c>
      <c r="B789">
        <v>0.5</v>
      </c>
      <c r="C789" s="98">
        <v>314345</v>
      </c>
    </row>
    <row r="790" spans="1:3">
      <c r="A790" t="s">
        <v>1542</v>
      </c>
      <c r="B790">
        <v>0.5</v>
      </c>
      <c r="C790" s="98">
        <v>314345</v>
      </c>
    </row>
    <row r="791" spans="1:3">
      <c r="A791" t="s">
        <v>226</v>
      </c>
      <c r="B791">
        <v>1</v>
      </c>
      <c r="C791" s="98">
        <v>628690</v>
      </c>
    </row>
    <row r="792" spans="1:3">
      <c r="A792" t="s">
        <v>110</v>
      </c>
      <c r="B792">
        <v>1</v>
      </c>
      <c r="C792" s="98">
        <v>654871</v>
      </c>
    </row>
    <row r="793" spans="1:3">
      <c r="A793" t="s">
        <v>110</v>
      </c>
      <c r="B793">
        <v>1</v>
      </c>
      <c r="C793" s="98">
        <v>654871</v>
      </c>
    </row>
    <row r="794" spans="1:3">
      <c r="A794" t="s">
        <v>1564</v>
      </c>
      <c r="B794">
        <v>1</v>
      </c>
      <c r="C794" s="98">
        <v>681050</v>
      </c>
    </row>
    <row r="795" spans="1:3">
      <c r="A795" t="s">
        <v>110</v>
      </c>
      <c r="B795">
        <v>1</v>
      </c>
      <c r="C795" s="98">
        <v>654871</v>
      </c>
    </row>
    <row r="796" spans="1:3">
      <c r="A796" t="s">
        <v>1564</v>
      </c>
      <c r="B796">
        <v>1</v>
      </c>
      <c r="C796" s="98">
        <v>681050</v>
      </c>
    </row>
    <row r="797" spans="1:3">
      <c r="A797" t="s">
        <v>1527</v>
      </c>
      <c r="B797">
        <v>1</v>
      </c>
      <c r="C797" s="98">
        <v>454158</v>
      </c>
    </row>
    <row r="798" spans="1:3">
      <c r="A798" t="s">
        <v>1527</v>
      </c>
      <c r="B798">
        <v>1</v>
      </c>
      <c r="C798" s="98">
        <v>454158</v>
      </c>
    </row>
    <row r="799" spans="1:3">
      <c r="A799" t="s">
        <v>135</v>
      </c>
      <c r="B799">
        <v>1</v>
      </c>
      <c r="C799" s="98">
        <v>1002400</v>
      </c>
    </row>
    <row r="800" spans="1:3">
      <c r="A800" t="s">
        <v>135</v>
      </c>
      <c r="B800">
        <v>1</v>
      </c>
      <c r="C800" s="98">
        <v>1002400</v>
      </c>
    </row>
    <row r="801" spans="1:3">
      <c r="A801" t="s">
        <v>135</v>
      </c>
      <c r="B801">
        <v>1</v>
      </c>
      <c r="C801" s="98">
        <v>1002400</v>
      </c>
    </row>
    <row r="802" spans="1:3">
      <c r="A802" t="s">
        <v>135</v>
      </c>
      <c r="B802">
        <v>1</v>
      </c>
      <c r="C802" s="98">
        <v>1002400</v>
      </c>
    </row>
    <row r="803" spans="1:3">
      <c r="A803" t="s">
        <v>135</v>
      </c>
      <c r="B803">
        <v>1</v>
      </c>
      <c r="C803" s="98">
        <v>1002400</v>
      </c>
    </row>
    <row r="804" spans="1:3">
      <c r="A804" t="s">
        <v>132</v>
      </c>
      <c r="B804">
        <v>1</v>
      </c>
      <c r="C804" s="98">
        <v>1002400</v>
      </c>
    </row>
    <row r="805" spans="1:3">
      <c r="A805" t="s">
        <v>132</v>
      </c>
      <c r="B805">
        <v>1</v>
      </c>
      <c r="C805" s="98">
        <v>1002400</v>
      </c>
    </row>
    <row r="806" spans="1:3">
      <c r="A806" t="s">
        <v>132</v>
      </c>
      <c r="B806">
        <v>1</v>
      </c>
      <c r="C806" s="98">
        <v>1002400</v>
      </c>
    </row>
    <row r="807" spans="1:3">
      <c r="A807" t="s">
        <v>132</v>
      </c>
      <c r="B807">
        <v>1</v>
      </c>
      <c r="C807" s="98">
        <v>1002400</v>
      </c>
    </row>
    <row r="808" spans="1:3">
      <c r="A808" t="s">
        <v>132</v>
      </c>
      <c r="B808">
        <v>1</v>
      </c>
      <c r="C808" s="98">
        <v>1002400</v>
      </c>
    </row>
    <row r="809" spans="1:3">
      <c r="A809" t="s">
        <v>1528</v>
      </c>
      <c r="B809">
        <v>1</v>
      </c>
      <c r="C809" s="98">
        <v>454158</v>
      </c>
    </row>
    <row r="810" spans="1:3">
      <c r="A810" t="s">
        <v>131</v>
      </c>
      <c r="B810">
        <v>1</v>
      </c>
      <c r="C810" s="98">
        <v>1002400</v>
      </c>
    </row>
    <row r="811" spans="1:3">
      <c r="A811" t="s">
        <v>131</v>
      </c>
      <c r="B811">
        <v>1</v>
      </c>
      <c r="C811" s="98">
        <v>1002400</v>
      </c>
    </row>
    <row r="812" spans="1:3">
      <c r="A812" t="s">
        <v>131</v>
      </c>
      <c r="B812">
        <v>1</v>
      </c>
      <c r="C812" s="98">
        <v>1002400</v>
      </c>
    </row>
    <row r="813" spans="1:3">
      <c r="A813" t="s">
        <v>230</v>
      </c>
      <c r="B813">
        <v>1</v>
      </c>
      <c r="C813" s="98">
        <v>628690</v>
      </c>
    </row>
    <row r="814" spans="1:3">
      <c r="A814" t="s">
        <v>116</v>
      </c>
      <c r="B814">
        <v>1</v>
      </c>
      <c r="C814" s="98">
        <v>654871</v>
      </c>
    </row>
    <row r="815" spans="1:3">
      <c r="A815" t="s">
        <v>116</v>
      </c>
      <c r="B815">
        <v>1</v>
      </c>
      <c r="C815" s="98">
        <v>654871</v>
      </c>
    </row>
    <row r="816" spans="1:3">
      <c r="A816" t="s">
        <v>116</v>
      </c>
      <c r="B816">
        <v>1</v>
      </c>
      <c r="C816" s="98">
        <v>654871</v>
      </c>
    </row>
    <row r="817" spans="1:3">
      <c r="A817" t="s">
        <v>116</v>
      </c>
      <c r="B817">
        <v>1</v>
      </c>
      <c r="C817" s="98">
        <v>654871</v>
      </c>
    </row>
    <row r="818" spans="1:3">
      <c r="A818" t="s">
        <v>139</v>
      </c>
      <c r="B818">
        <v>1</v>
      </c>
      <c r="C818" s="98">
        <v>1002400</v>
      </c>
    </row>
    <row r="819" spans="1:3">
      <c r="A819" t="s">
        <v>139</v>
      </c>
      <c r="B819">
        <v>1</v>
      </c>
      <c r="C819" s="98">
        <v>1002400</v>
      </c>
    </row>
    <row r="820" spans="1:3">
      <c r="A820" t="s">
        <v>139</v>
      </c>
      <c r="B820">
        <v>1</v>
      </c>
      <c r="C820" s="98">
        <v>1002400</v>
      </c>
    </row>
    <row r="821" spans="1:3">
      <c r="A821" t="s">
        <v>139</v>
      </c>
      <c r="B821">
        <v>1</v>
      </c>
      <c r="C821" s="98">
        <v>1002400</v>
      </c>
    </row>
    <row r="822" spans="1:3">
      <c r="A822" t="s">
        <v>202</v>
      </c>
      <c r="B822">
        <v>1</v>
      </c>
      <c r="C822" s="98">
        <v>454158</v>
      </c>
    </row>
    <row r="823" spans="1:3">
      <c r="A823" t="s">
        <v>202</v>
      </c>
      <c r="B823">
        <v>1</v>
      </c>
      <c r="C823" s="98">
        <v>454158</v>
      </c>
    </row>
    <row r="824" spans="1:3">
      <c r="A824" t="s">
        <v>202</v>
      </c>
      <c r="B824">
        <v>1</v>
      </c>
      <c r="C824" s="98">
        <v>454158</v>
      </c>
    </row>
    <row r="825" spans="1:3">
      <c r="A825" t="s">
        <v>202</v>
      </c>
      <c r="B825">
        <v>1</v>
      </c>
      <c r="C825" s="98">
        <v>454158</v>
      </c>
    </row>
    <row r="826" spans="1:3">
      <c r="A826" t="s">
        <v>218</v>
      </c>
      <c r="B826">
        <v>1</v>
      </c>
      <c r="C826" s="98">
        <v>628690</v>
      </c>
    </row>
    <row r="827" spans="1:3">
      <c r="A827" t="s">
        <v>218</v>
      </c>
      <c r="B827">
        <v>1</v>
      </c>
      <c r="C827" s="98">
        <v>628690</v>
      </c>
    </row>
    <row r="828" spans="1:3">
      <c r="A828" t="s">
        <v>200</v>
      </c>
      <c r="B828">
        <v>1</v>
      </c>
      <c r="C828" s="98">
        <v>681050</v>
      </c>
    </row>
    <row r="829" spans="1:3">
      <c r="A829" t="s">
        <v>200</v>
      </c>
      <c r="B829">
        <v>1</v>
      </c>
      <c r="C829" s="98">
        <v>681050</v>
      </c>
    </row>
    <row r="830" spans="1:3">
      <c r="A830" t="s">
        <v>145</v>
      </c>
      <c r="B830">
        <v>1</v>
      </c>
      <c r="C830" s="98">
        <v>1002400</v>
      </c>
    </row>
    <row r="831" spans="1:3">
      <c r="A831" t="s">
        <v>145</v>
      </c>
      <c r="B831">
        <v>1</v>
      </c>
      <c r="C831" s="98">
        <v>1002400</v>
      </c>
    </row>
    <row r="832" spans="1:3">
      <c r="A832" t="s">
        <v>145</v>
      </c>
      <c r="B832">
        <v>1</v>
      </c>
      <c r="C832" s="98">
        <v>1002400</v>
      </c>
    </row>
    <row r="833" spans="1:3">
      <c r="A833" t="s">
        <v>145</v>
      </c>
      <c r="B833">
        <v>1</v>
      </c>
      <c r="C833" s="98">
        <v>1002400</v>
      </c>
    </row>
    <row r="834" spans="1:3">
      <c r="A834" t="s">
        <v>145</v>
      </c>
      <c r="B834">
        <v>1</v>
      </c>
      <c r="C834" s="98">
        <v>1002400</v>
      </c>
    </row>
    <row r="835" spans="1:3">
      <c r="A835" t="s">
        <v>142</v>
      </c>
      <c r="B835">
        <v>1</v>
      </c>
      <c r="C835" s="98">
        <v>1002400</v>
      </c>
    </row>
    <row r="836" spans="1:3">
      <c r="A836" t="s">
        <v>114</v>
      </c>
      <c r="B836">
        <v>1</v>
      </c>
      <c r="C836" s="98">
        <v>654871</v>
      </c>
    </row>
    <row r="837" spans="1:3">
      <c r="A837" t="s">
        <v>114</v>
      </c>
      <c r="B837">
        <v>1</v>
      </c>
      <c r="C837" s="98">
        <v>654871</v>
      </c>
    </row>
    <row r="838" spans="1:3">
      <c r="A838" t="s">
        <v>137</v>
      </c>
      <c r="B838">
        <v>1</v>
      </c>
      <c r="C838" s="98">
        <v>1002400</v>
      </c>
    </row>
    <row r="839" spans="1:3">
      <c r="A839" t="s">
        <v>221</v>
      </c>
      <c r="B839">
        <v>1</v>
      </c>
      <c r="C839" s="98">
        <v>628690</v>
      </c>
    </row>
    <row r="840" spans="1:3">
      <c r="A840" t="s">
        <v>106</v>
      </c>
      <c r="B840">
        <v>1</v>
      </c>
      <c r="C840" s="98">
        <v>654871</v>
      </c>
    </row>
    <row r="841" spans="1:3">
      <c r="A841" t="s">
        <v>106</v>
      </c>
      <c r="B841">
        <v>1</v>
      </c>
      <c r="C841" s="98">
        <v>654871</v>
      </c>
    </row>
    <row r="842" spans="1:3">
      <c r="A842" t="s">
        <v>106</v>
      </c>
      <c r="B842">
        <v>1</v>
      </c>
      <c r="C842" s="98">
        <v>654871</v>
      </c>
    </row>
    <row r="843" spans="1:3">
      <c r="A843" t="s">
        <v>106</v>
      </c>
      <c r="B843">
        <v>1</v>
      </c>
      <c r="C843" s="98">
        <v>654871</v>
      </c>
    </row>
    <row r="844" spans="1:3">
      <c r="A844" t="s">
        <v>242</v>
      </c>
      <c r="B844">
        <v>1</v>
      </c>
      <c r="C844" s="98">
        <v>681050</v>
      </c>
    </row>
    <row r="845" spans="1:3">
      <c r="A845" t="s">
        <v>1507</v>
      </c>
      <c r="B845">
        <v>1</v>
      </c>
      <c r="C845" s="98">
        <v>454158</v>
      </c>
    </row>
    <row r="846" spans="1:3">
      <c r="A846" t="s">
        <v>1507</v>
      </c>
      <c r="B846">
        <v>1</v>
      </c>
      <c r="C846" s="98">
        <v>454158</v>
      </c>
    </row>
    <row r="847" spans="1:3">
      <c r="A847" t="s">
        <v>130</v>
      </c>
      <c r="B847">
        <v>1</v>
      </c>
      <c r="C847" s="98">
        <v>1002400</v>
      </c>
    </row>
    <row r="848" spans="1:3">
      <c r="A848" t="s">
        <v>130</v>
      </c>
      <c r="B848">
        <v>1</v>
      </c>
      <c r="C848" s="98">
        <v>1002400</v>
      </c>
    </row>
    <row r="849" spans="1:3">
      <c r="A849" t="s">
        <v>130</v>
      </c>
      <c r="B849">
        <v>1</v>
      </c>
      <c r="C849" s="98">
        <v>1002400</v>
      </c>
    </row>
    <row r="850" spans="1:3">
      <c r="A850" t="s">
        <v>130</v>
      </c>
      <c r="B850">
        <v>1</v>
      </c>
      <c r="C850" s="98">
        <v>1002400</v>
      </c>
    </row>
    <row r="851" spans="1:3">
      <c r="A851" t="s">
        <v>130</v>
      </c>
      <c r="B851">
        <v>1</v>
      </c>
      <c r="C851" s="98">
        <v>1002400</v>
      </c>
    </row>
    <row r="852" spans="1:3">
      <c r="A852" t="s">
        <v>1566</v>
      </c>
      <c r="B852">
        <v>1</v>
      </c>
      <c r="C852" s="98">
        <v>681050</v>
      </c>
    </row>
    <row r="853" spans="1:3">
      <c r="A853" t="s">
        <v>1550</v>
      </c>
      <c r="B853">
        <v>1</v>
      </c>
      <c r="C853" s="98">
        <v>628690</v>
      </c>
    </row>
    <row r="854" spans="1:3">
      <c r="A854" t="s">
        <v>225</v>
      </c>
      <c r="B854">
        <v>1</v>
      </c>
      <c r="C854" s="98">
        <v>628690</v>
      </c>
    </row>
    <row r="855" spans="1:3">
      <c r="A855" t="s">
        <v>225</v>
      </c>
      <c r="B855">
        <v>1</v>
      </c>
      <c r="C855" s="98">
        <v>628690</v>
      </c>
    </row>
    <row r="856" spans="1:3">
      <c r="A856" t="s">
        <v>254</v>
      </c>
      <c r="B856">
        <v>1</v>
      </c>
      <c r="C856" s="98">
        <v>681050</v>
      </c>
    </row>
    <row r="857" spans="1:3">
      <c r="A857" t="s">
        <v>254</v>
      </c>
      <c r="B857">
        <v>1</v>
      </c>
      <c r="C857" s="98">
        <v>681050</v>
      </c>
    </row>
    <row r="858" spans="1:3">
      <c r="A858" t="s">
        <v>254</v>
      </c>
      <c r="B858">
        <v>1</v>
      </c>
      <c r="C858" s="98">
        <v>681050</v>
      </c>
    </row>
    <row r="859" spans="1:3">
      <c r="A859" t="s">
        <v>225</v>
      </c>
      <c r="B859">
        <v>0.5</v>
      </c>
      <c r="C859" s="98">
        <v>314345</v>
      </c>
    </row>
    <row r="860" spans="1:3">
      <c r="A860" t="s">
        <v>225</v>
      </c>
      <c r="B860">
        <v>0.5</v>
      </c>
      <c r="C860" s="98">
        <v>314345</v>
      </c>
    </row>
    <row r="861" spans="1:3">
      <c r="A861" t="s">
        <v>225</v>
      </c>
      <c r="B861">
        <v>0.5</v>
      </c>
      <c r="C861" s="98">
        <v>314345</v>
      </c>
    </row>
    <row r="862" spans="1:3">
      <c r="A862" t="s">
        <v>225</v>
      </c>
      <c r="B862">
        <v>0.5</v>
      </c>
      <c r="C862" s="98">
        <v>314345</v>
      </c>
    </row>
    <row r="863" spans="1:3">
      <c r="A863" t="s">
        <v>144</v>
      </c>
      <c r="B863">
        <v>1</v>
      </c>
      <c r="C863" s="98">
        <v>1002400</v>
      </c>
    </row>
    <row r="864" spans="1:3">
      <c r="A864" t="s">
        <v>144</v>
      </c>
      <c r="B864">
        <v>1</v>
      </c>
      <c r="C864" s="98">
        <v>1002400</v>
      </c>
    </row>
    <row r="865" spans="1:3">
      <c r="A865" t="s">
        <v>144</v>
      </c>
      <c r="B865">
        <v>1</v>
      </c>
      <c r="C865" s="98">
        <v>1002400</v>
      </c>
    </row>
    <row r="866" spans="1:3">
      <c r="A866" t="s">
        <v>144</v>
      </c>
      <c r="B866">
        <v>1</v>
      </c>
      <c r="C866" s="98">
        <v>1002400</v>
      </c>
    </row>
    <row r="867" spans="1:3">
      <c r="A867" t="s">
        <v>144</v>
      </c>
      <c r="B867">
        <v>1</v>
      </c>
      <c r="C867" s="98">
        <v>1002400</v>
      </c>
    </row>
    <row r="868" spans="1:3">
      <c r="A868" t="s">
        <v>246</v>
      </c>
      <c r="B868">
        <v>1</v>
      </c>
      <c r="C868" s="98">
        <v>681050</v>
      </c>
    </row>
    <row r="869" spans="1:3">
      <c r="A869" t="s">
        <v>246</v>
      </c>
      <c r="B869">
        <v>1</v>
      </c>
      <c r="C869" s="98">
        <v>681050</v>
      </c>
    </row>
    <row r="870" spans="1:3">
      <c r="A870" t="s">
        <v>246</v>
      </c>
      <c r="B870">
        <v>1</v>
      </c>
      <c r="C870" s="98">
        <v>681050</v>
      </c>
    </row>
    <row r="871" spans="1:3">
      <c r="A871" t="s">
        <v>246</v>
      </c>
      <c r="B871">
        <v>1</v>
      </c>
      <c r="C871" s="98">
        <v>681050</v>
      </c>
    </row>
    <row r="872" spans="1:3">
      <c r="A872" t="s">
        <v>118</v>
      </c>
      <c r="B872">
        <v>1</v>
      </c>
      <c r="C872" s="98">
        <v>454158</v>
      </c>
    </row>
    <row r="873" spans="1:3">
      <c r="A873" t="s">
        <v>118</v>
      </c>
      <c r="B873">
        <v>1</v>
      </c>
      <c r="C873" s="98">
        <v>454158</v>
      </c>
    </row>
    <row r="874" spans="1:3">
      <c r="A874" t="s">
        <v>1567</v>
      </c>
      <c r="B874">
        <v>1</v>
      </c>
      <c r="C874" s="98">
        <v>489065</v>
      </c>
    </row>
    <row r="875" spans="1:3">
      <c r="A875" t="s">
        <v>229</v>
      </c>
      <c r="B875">
        <v>0.5</v>
      </c>
      <c r="C875" s="98">
        <v>314345</v>
      </c>
    </row>
    <row r="876" spans="1:3">
      <c r="A876" t="s">
        <v>229</v>
      </c>
      <c r="B876">
        <v>0.5</v>
      </c>
      <c r="C876" s="98">
        <v>314345</v>
      </c>
    </row>
    <row r="877" spans="1:3">
      <c r="A877" t="s">
        <v>118</v>
      </c>
      <c r="B877">
        <v>1</v>
      </c>
      <c r="C877" s="98">
        <v>454158</v>
      </c>
    </row>
    <row r="878" spans="1:3">
      <c r="A878" t="s">
        <v>118</v>
      </c>
      <c r="B878">
        <v>1</v>
      </c>
      <c r="C878" s="98">
        <v>454158</v>
      </c>
    </row>
    <row r="879" spans="1:3">
      <c r="A879" t="s">
        <v>118</v>
      </c>
      <c r="B879">
        <v>1</v>
      </c>
      <c r="C879" s="98">
        <v>454158</v>
      </c>
    </row>
    <row r="880" spans="1:3">
      <c r="A880" t="s">
        <v>118</v>
      </c>
      <c r="B880">
        <v>1</v>
      </c>
      <c r="C880" s="98">
        <v>454158</v>
      </c>
    </row>
    <row r="881" spans="1:3">
      <c r="A881" t="s">
        <v>118</v>
      </c>
      <c r="B881">
        <v>1</v>
      </c>
      <c r="C881" s="98">
        <v>454158</v>
      </c>
    </row>
    <row r="882" spans="1:3">
      <c r="A882" t="s">
        <v>118</v>
      </c>
      <c r="B882">
        <v>1</v>
      </c>
      <c r="C882" s="98">
        <v>454158</v>
      </c>
    </row>
    <row r="883" spans="1:3">
      <c r="A883" t="s">
        <v>1542</v>
      </c>
      <c r="B883">
        <v>1</v>
      </c>
      <c r="C883" s="98">
        <v>628690</v>
      </c>
    </row>
    <row r="884" spans="1:3">
      <c r="A884" t="s">
        <v>222</v>
      </c>
      <c r="B884">
        <v>1</v>
      </c>
      <c r="C884" s="98">
        <v>628690</v>
      </c>
    </row>
    <row r="885" spans="1:3">
      <c r="A885" t="s">
        <v>1506</v>
      </c>
      <c r="B885">
        <v>1</v>
      </c>
      <c r="C885" s="98">
        <v>654871</v>
      </c>
    </row>
    <row r="886" spans="1:3">
      <c r="A886" t="s">
        <v>244</v>
      </c>
      <c r="B886">
        <v>1</v>
      </c>
      <c r="C886" s="98">
        <v>681050</v>
      </c>
    </row>
    <row r="887" spans="1:3">
      <c r="A887" t="s">
        <v>244</v>
      </c>
      <c r="B887">
        <v>1</v>
      </c>
      <c r="C887" s="98">
        <v>681050</v>
      </c>
    </row>
    <row r="888" spans="1:3">
      <c r="A888" t="s">
        <v>109</v>
      </c>
      <c r="B888">
        <v>1</v>
      </c>
      <c r="C888" s="98">
        <v>654871</v>
      </c>
    </row>
    <row r="889" spans="1:3">
      <c r="A889" t="s">
        <v>109</v>
      </c>
      <c r="B889">
        <v>1</v>
      </c>
      <c r="C889" s="98">
        <v>654871</v>
      </c>
    </row>
    <row r="890" spans="1:3">
      <c r="A890" t="s">
        <v>109</v>
      </c>
      <c r="B890">
        <v>1</v>
      </c>
      <c r="C890" s="98">
        <v>654871</v>
      </c>
    </row>
    <row r="891" spans="1:3">
      <c r="A891" t="s">
        <v>109</v>
      </c>
      <c r="B891">
        <v>1</v>
      </c>
      <c r="C891" s="98">
        <v>654871</v>
      </c>
    </row>
    <row r="892" spans="1:3">
      <c r="A892" t="s">
        <v>201</v>
      </c>
      <c r="B892">
        <v>1</v>
      </c>
      <c r="C892" s="98">
        <v>681050</v>
      </c>
    </row>
    <row r="893" spans="1:3">
      <c r="A893" t="s">
        <v>133</v>
      </c>
      <c r="B893">
        <v>1</v>
      </c>
      <c r="C893" s="98">
        <v>1002400</v>
      </c>
    </row>
    <row r="894" spans="1:3">
      <c r="A894" t="s">
        <v>133</v>
      </c>
      <c r="B894">
        <v>1</v>
      </c>
      <c r="C894" s="98">
        <v>1002400</v>
      </c>
    </row>
    <row r="895" spans="1:3">
      <c r="A895" t="s">
        <v>1555</v>
      </c>
      <c r="B895">
        <v>1</v>
      </c>
      <c r="C895" s="98">
        <v>489065</v>
      </c>
    </row>
    <row r="896" spans="1:3">
      <c r="A896" t="s">
        <v>1551</v>
      </c>
      <c r="B896">
        <v>0.5</v>
      </c>
      <c r="C896" s="98">
        <v>314345</v>
      </c>
    </row>
    <row r="897" spans="1:3">
      <c r="A897" t="s">
        <v>1551</v>
      </c>
      <c r="B897">
        <v>0.5</v>
      </c>
      <c r="C897" s="98">
        <v>314345</v>
      </c>
    </row>
    <row r="898" spans="1:3">
      <c r="A898" t="s">
        <v>221</v>
      </c>
      <c r="B898">
        <v>0.5</v>
      </c>
      <c r="C898" s="98">
        <v>314345</v>
      </c>
    </row>
    <row r="899" spans="1:3">
      <c r="A899" t="s">
        <v>221</v>
      </c>
      <c r="B899">
        <v>0.5</v>
      </c>
      <c r="C899" s="98">
        <v>314345</v>
      </c>
    </row>
    <row r="900" spans="1:3">
      <c r="A900" t="s">
        <v>1529</v>
      </c>
      <c r="B900">
        <v>1</v>
      </c>
      <c r="C900" s="98">
        <v>654871</v>
      </c>
    </row>
    <row r="901" spans="1:3">
      <c r="A901" t="s">
        <v>1529</v>
      </c>
      <c r="B901">
        <v>1</v>
      </c>
      <c r="C901" s="98">
        <v>654871</v>
      </c>
    </row>
    <row r="902" spans="1:3">
      <c r="A902" t="s">
        <v>1529</v>
      </c>
      <c r="B902">
        <v>1</v>
      </c>
      <c r="C902" s="98">
        <v>654871</v>
      </c>
    </row>
    <row r="903" spans="1:3">
      <c r="A903" t="s">
        <v>1529</v>
      </c>
      <c r="B903">
        <v>1</v>
      </c>
      <c r="C903" s="98">
        <v>654871</v>
      </c>
    </row>
    <row r="904" spans="1:3">
      <c r="A904" t="s">
        <v>1568</v>
      </c>
      <c r="B904">
        <v>1</v>
      </c>
      <c r="C904" s="98">
        <v>681050</v>
      </c>
    </row>
    <row r="905" spans="1:3">
      <c r="A905" t="s">
        <v>1568</v>
      </c>
      <c r="B905">
        <v>1</v>
      </c>
      <c r="C905" s="98">
        <v>681050</v>
      </c>
    </row>
    <row r="906" spans="1:3">
      <c r="A906" t="s">
        <v>1530</v>
      </c>
      <c r="B906">
        <v>1</v>
      </c>
      <c r="C906" s="98">
        <v>585057</v>
      </c>
    </row>
    <row r="907" spans="1:3">
      <c r="A907" t="s">
        <v>1529</v>
      </c>
      <c r="B907">
        <v>1</v>
      </c>
      <c r="C907" s="98">
        <v>654871</v>
      </c>
    </row>
    <row r="908" spans="1:3">
      <c r="A908" t="s">
        <v>1529</v>
      </c>
      <c r="B908">
        <v>1</v>
      </c>
      <c r="C908" s="98">
        <v>654871</v>
      </c>
    </row>
    <row r="909" spans="1:3">
      <c r="A909" t="s">
        <v>1529</v>
      </c>
      <c r="B909">
        <v>1</v>
      </c>
      <c r="C909" s="98">
        <v>654871</v>
      </c>
    </row>
    <row r="910" spans="1:3">
      <c r="A910" t="s">
        <v>1529</v>
      </c>
      <c r="B910">
        <v>1</v>
      </c>
      <c r="C910" s="98">
        <v>654871</v>
      </c>
    </row>
    <row r="911" spans="1:3">
      <c r="A911" t="s">
        <v>1529</v>
      </c>
      <c r="B911">
        <v>1</v>
      </c>
      <c r="C911" s="98">
        <v>654871</v>
      </c>
    </row>
    <row r="912" spans="1:3">
      <c r="A912" t="s">
        <v>1529</v>
      </c>
      <c r="B912">
        <v>1</v>
      </c>
      <c r="C912" s="98">
        <v>654871</v>
      </c>
    </row>
    <row r="913" spans="1:3">
      <c r="A913" t="s">
        <v>1552</v>
      </c>
      <c r="B913">
        <v>1</v>
      </c>
      <c r="C913" s="98">
        <v>628690</v>
      </c>
    </row>
    <row r="914" spans="1:3">
      <c r="A914" t="s">
        <v>1529</v>
      </c>
      <c r="B914">
        <v>1</v>
      </c>
      <c r="C914" s="98">
        <v>654871</v>
      </c>
    </row>
    <row r="915" spans="1:3">
      <c r="A915" t="s">
        <v>1529</v>
      </c>
      <c r="B915">
        <v>1</v>
      </c>
      <c r="C915" s="98">
        <v>654871</v>
      </c>
    </row>
    <row r="916" spans="1:3">
      <c r="A916" t="s">
        <v>1568</v>
      </c>
      <c r="B916">
        <v>1</v>
      </c>
      <c r="C916" s="98">
        <v>681050</v>
      </c>
    </row>
    <row r="917" spans="1:3">
      <c r="A917" t="s">
        <v>1568</v>
      </c>
      <c r="B917">
        <v>1</v>
      </c>
      <c r="C917" s="98">
        <v>681050</v>
      </c>
    </row>
    <row r="918" spans="1:3">
      <c r="A918" t="s">
        <v>1531</v>
      </c>
      <c r="B918">
        <v>1</v>
      </c>
      <c r="C918" s="98">
        <v>1002400</v>
      </c>
    </row>
    <row r="919" spans="1:3">
      <c r="A919" t="s">
        <v>1531</v>
      </c>
      <c r="B919">
        <v>1</v>
      </c>
      <c r="C919" s="98">
        <v>1002400</v>
      </c>
    </row>
    <row r="920" spans="1:3">
      <c r="A920" t="s">
        <v>1531</v>
      </c>
      <c r="B920">
        <v>1</v>
      </c>
      <c r="C920" s="98">
        <v>1002400</v>
      </c>
    </row>
    <row r="921" spans="1:3">
      <c r="A921" t="s">
        <v>1531</v>
      </c>
      <c r="B921">
        <v>1</v>
      </c>
      <c r="C921" s="98">
        <v>1002400</v>
      </c>
    </row>
    <row r="922" spans="1:3">
      <c r="A922" t="s">
        <v>1531</v>
      </c>
      <c r="B922">
        <v>1</v>
      </c>
      <c r="C922" s="98">
        <v>1002400</v>
      </c>
    </row>
    <row r="923" spans="1:3">
      <c r="A923" t="s">
        <v>224</v>
      </c>
      <c r="B923">
        <v>1</v>
      </c>
      <c r="C923" s="98">
        <v>628690</v>
      </c>
    </row>
    <row r="924" spans="1:3">
      <c r="A924" t="s">
        <v>225</v>
      </c>
      <c r="B924">
        <v>1</v>
      </c>
      <c r="C924" s="98">
        <v>628690</v>
      </c>
    </row>
    <row r="925" spans="1:3">
      <c r="A925" t="s">
        <v>145</v>
      </c>
      <c r="B925">
        <v>1</v>
      </c>
      <c r="C925" s="98">
        <v>1002400</v>
      </c>
    </row>
    <row r="926" spans="1:3">
      <c r="A926" t="s">
        <v>145</v>
      </c>
      <c r="B926">
        <v>1</v>
      </c>
      <c r="C926" s="98">
        <v>1002400</v>
      </c>
    </row>
    <row r="927" spans="1:3">
      <c r="A927" t="s">
        <v>1546</v>
      </c>
      <c r="B927">
        <v>1</v>
      </c>
      <c r="C927" s="98">
        <v>628690</v>
      </c>
    </row>
    <row r="928" spans="1:3">
      <c r="A928" t="s">
        <v>255</v>
      </c>
      <c r="B928">
        <v>1</v>
      </c>
      <c r="C928" s="98">
        <v>681050</v>
      </c>
    </row>
    <row r="929" spans="1:3">
      <c r="A929" t="s">
        <v>1532</v>
      </c>
      <c r="B929">
        <v>1</v>
      </c>
      <c r="C929" s="98">
        <v>454158</v>
      </c>
    </row>
    <row r="930" spans="1:3">
      <c r="A930" t="s">
        <v>1532</v>
      </c>
      <c r="B930">
        <v>1</v>
      </c>
      <c r="C930" s="98">
        <v>454158</v>
      </c>
    </row>
    <row r="931" spans="1:3">
      <c r="A931" t="s">
        <v>1532</v>
      </c>
      <c r="B931">
        <v>1</v>
      </c>
      <c r="C931" s="98">
        <v>454158</v>
      </c>
    </row>
    <row r="932" spans="1:3">
      <c r="A932" t="s">
        <v>1532</v>
      </c>
      <c r="B932">
        <v>1</v>
      </c>
      <c r="C932" s="98">
        <v>454158</v>
      </c>
    </row>
    <row r="933" spans="1:3">
      <c r="A933" t="s">
        <v>138</v>
      </c>
      <c r="B933">
        <v>1</v>
      </c>
      <c r="C933" s="98">
        <v>1002400</v>
      </c>
    </row>
    <row r="934" spans="1:3">
      <c r="A934" t="s">
        <v>1546</v>
      </c>
      <c r="B934">
        <v>0.5</v>
      </c>
      <c r="C934" s="98">
        <v>314345</v>
      </c>
    </row>
    <row r="935" spans="1:3">
      <c r="A935" t="s">
        <v>1546</v>
      </c>
      <c r="B935">
        <v>0.5</v>
      </c>
      <c r="C935" s="98">
        <v>314345</v>
      </c>
    </row>
    <row r="936" spans="1:3">
      <c r="A936" t="s">
        <v>144</v>
      </c>
      <c r="B936">
        <v>1</v>
      </c>
      <c r="C936" s="98">
        <v>1002400</v>
      </c>
    </row>
    <row r="937" spans="1:3">
      <c r="A937" t="s">
        <v>144</v>
      </c>
      <c r="B937">
        <v>1</v>
      </c>
      <c r="C937" s="98">
        <v>1002400</v>
      </c>
    </row>
    <row r="938" spans="1:3">
      <c r="A938" t="s">
        <v>144</v>
      </c>
      <c r="B938">
        <v>1</v>
      </c>
      <c r="C938" s="98">
        <v>1002400</v>
      </c>
    </row>
    <row r="939" spans="1:3">
      <c r="A939" t="s">
        <v>225</v>
      </c>
      <c r="B939">
        <v>0.5</v>
      </c>
      <c r="C939" s="98">
        <v>314345</v>
      </c>
    </row>
    <row r="940" spans="1:3">
      <c r="A940" t="s">
        <v>225</v>
      </c>
      <c r="B940">
        <v>0.5</v>
      </c>
      <c r="C940" s="98">
        <v>314345</v>
      </c>
    </row>
    <row r="941" spans="1:3">
      <c r="A941" t="s">
        <v>240</v>
      </c>
      <c r="B941">
        <v>1</v>
      </c>
      <c r="C941" s="98">
        <v>681050</v>
      </c>
    </row>
    <row r="942" spans="1:3">
      <c r="A942" t="s">
        <v>108</v>
      </c>
      <c r="B942">
        <v>1</v>
      </c>
      <c r="C942" s="98">
        <v>654871</v>
      </c>
    </row>
    <row r="943" spans="1:3">
      <c r="A943" t="s">
        <v>108</v>
      </c>
      <c r="B943">
        <v>1</v>
      </c>
      <c r="C943" s="98">
        <v>654871</v>
      </c>
    </row>
    <row r="944" spans="1:3">
      <c r="A944" t="s">
        <v>145</v>
      </c>
      <c r="B944">
        <v>1</v>
      </c>
      <c r="C944" s="98">
        <v>1002400</v>
      </c>
    </row>
    <row r="945" spans="1:3">
      <c r="A945" t="s">
        <v>145</v>
      </c>
      <c r="B945">
        <v>1</v>
      </c>
      <c r="C945" s="98">
        <v>1002400</v>
      </c>
    </row>
    <row r="946" spans="1:3">
      <c r="A946" t="s">
        <v>145</v>
      </c>
      <c r="B946">
        <v>1</v>
      </c>
      <c r="C946" s="98">
        <v>1002400</v>
      </c>
    </row>
    <row r="947" spans="1:3">
      <c r="A947" t="s">
        <v>239</v>
      </c>
      <c r="B947">
        <v>1</v>
      </c>
      <c r="C947" s="98">
        <v>681050</v>
      </c>
    </row>
    <row r="948" spans="1:3">
      <c r="A948" t="s">
        <v>113</v>
      </c>
      <c r="B948">
        <v>1</v>
      </c>
      <c r="C948" s="98">
        <v>654871</v>
      </c>
    </row>
    <row r="949" spans="1:3">
      <c r="A949" t="s">
        <v>113</v>
      </c>
      <c r="B949">
        <v>1</v>
      </c>
      <c r="C949" s="98">
        <v>654871</v>
      </c>
    </row>
    <row r="950" spans="1:3">
      <c r="A950" t="s">
        <v>256</v>
      </c>
      <c r="B950">
        <v>1</v>
      </c>
      <c r="C950" s="98">
        <v>681050</v>
      </c>
    </row>
    <row r="951" spans="1:3">
      <c r="A951" t="s">
        <v>146</v>
      </c>
      <c r="B951">
        <v>1</v>
      </c>
      <c r="C951" s="98">
        <v>1002400</v>
      </c>
    </row>
    <row r="952" spans="1:3">
      <c r="A952" t="s">
        <v>146</v>
      </c>
      <c r="B952">
        <v>1</v>
      </c>
      <c r="C952" s="98">
        <v>1002400</v>
      </c>
    </row>
    <row r="953" spans="1:3">
      <c r="A953" t="s">
        <v>146</v>
      </c>
      <c r="B953">
        <v>1</v>
      </c>
      <c r="C953" s="98">
        <v>1002400</v>
      </c>
    </row>
    <row r="954" spans="1:3">
      <c r="A954" t="s">
        <v>146</v>
      </c>
      <c r="B954">
        <v>1</v>
      </c>
      <c r="C954" s="98">
        <v>1002400</v>
      </c>
    </row>
    <row r="955" spans="1:3">
      <c r="A955" t="s">
        <v>244</v>
      </c>
      <c r="B955">
        <v>1</v>
      </c>
      <c r="C955" s="98">
        <v>681050</v>
      </c>
    </row>
    <row r="956" spans="1:3">
      <c r="A956" t="s">
        <v>107</v>
      </c>
      <c r="B956">
        <v>1</v>
      </c>
      <c r="C956" s="98">
        <v>654871</v>
      </c>
    </row>
    <row r="957" spans="1:3">
      <c r="A957" t="s">
        <v>107</v>
      </c>
      <c r="B957">
        <v>1</v>
      </c>
      <c r="C957" s="98">
        <v>654871</v>
      </c>
    </row>
    <row r="958" spans="1:3">
      <c r="A958" t="s">
        <v>1542</v>
      </c>
      <c r="B958">
        <v>1</v>
      </c>
      <c r="C958" s="98">
        <v>628690</v>
      </c>
    </row>
    <row r="959" spans="1:3">
      <c r="A959" t="s">
        <v>1542</v>
      </c>
      <c r="B959">
        <v>1</v>
      </c>
      <c r="C959" s="98">
        <v>628690</v>
      </c>
    </row>
    <row r="960" spans="1:3">
      <c r="A960" t="s">
        <v>1542</v>
      </c>
      <c r="B960">
        <v>1</v>
      </c>
      <c r="C960" s="98">
        <v>628690</v>
      </c>
    </row>
    <row r="961" spans="1:3">
      <c r="A961" t="s">
        <v>1542</v>
      </c>
      <c r="B961">
        <v>1</v>
      </c>
      <c r="C961" s="98">
        <v>628690</v>
      </c>
    </row>
    <row r="962" spans="1:3">
      <c r="A962" t="s">
        <v>1542</v>
      </c>
      <c r="B962">
        <v>1</v>
      </c>
      <c r="C962" s="98">
        <v>628690</v>
      </c>
    </row>
    <row r="963" spans="1:3">
      <c r="A963" t="s">
        <v>1542</v>
      </c>
      <c r="B963">
        <v>1</v>
      </c>
      <c r="C963" s="98">
        <v>628690</v>
      </c>
    </row>
    <row r="964" spans="1:3">
      <c r="A964" t="s">
        <v>1542</v>
      </c>
      <c r="B964">
        <v>1</v>
      </c>
      <c r="C964" s="98">
        <v>628690</v>
      </c>
    </row>
    <row r="965" spans="1:3">
      <c r="A965" t="s">
        <v>201</v>
      </c>
      <c r="B965">
        <v>1</v>
      </c>
      <c r="C965" s="98">
        <v>681050</v>
      </c>
    </row>
    <row r="966" spans="1:3">
      <c r="A966" t="s">
        <v>1540</v>
      </c>
      <c r="B966">
        <v>1</v>
      </c>
      <c r="C966" s="98">
        <v>628690</v>
      </c>
    </row>
    <row r="967" spans="1:3">
      <c r="A967" t="s">
        <v>1540</v>
      </c>
      <c r="B967">
        <v>1</v>
      </c>
      <c r="C967" s="98">
        <v>628690</v>
      </c>
    </row>
    <row r="968" spans="1:3">
      <c r="A968" t="s">
        <v>222</v>
      </c>
      <c r="B968">
        <v>1</v>
      </c>
      <c r="C968" s="98">
        <v>628690</v>
      </c>
    </row>
    <row r="969" spans="1:3">
      <c r="A969" t="s">
        <v>222</v>
      </c>
      <c r="B969">
        <v>1</v>
      </c>
      <c r="C969" s="98">
        <v>628690</v>
      </c>
    </row>
    <row r="970" spans="1:3">
      <c r="A970" t="s">
        <v>222</v>
      </c>
      <c r="B970">
        <v>1</v>
      </c>
      <c r="C970" s="98">
        <v>628690</v>
      </c>
    </row>
    <row r="971" spans="1:3">
      <c r="A971" t="s">
        <v>222</v>
      </c>
      <c r="B971">
        <v>1</v>
      </c>
      <c r="C971" s="98">
        <v>628690</v>
      </c>
    </row>
    <row r="972" spans="1:3">
      <c r="A972" t="s">
        <v>222</v>
      </c>
      <c r="B972">
        <v>1</v>
      </c>
      <c r="C972" s="98">
        <v>628690</v>
      </c>
    </row>
    <row r="973" spans="1:3">
      <c r="A973" t="s">
        <v>222</v>
      </c>
      <c r="B973">
        <v>1</v>
      </c>
      <c r="C973" s="98">
        <v>628690</v>
      </c>
    </row>
    <row r="974" spans="1:3">
      <c r="A974" t="s">
        <v>222</v>
      </c>
      <c r="B974">
        <v>1</v>
      </c>
      <c r="C974" s="98">
        <v>628690</v>
      </c>
    </row>
    <row r="975" spans="1:3">
      <c r="A975" t="s">
        <v>222</v>
      </c>
      <c r="B975">
        <v>1</v>
      </c>
      <c r="C975" s="98">
        <v>628690</v>
      </c>
    </row>
    <row r="976" spans="1:3">
      <c r="A976" t="s">
        <v>222</v>
      </c>
      <c r="B976">
        <v>1</v>
      </c>
      <c r="C976" s="98">
        <v>628690</v>
      </c>
    </row>
    <row r="977" spans="1:3">
      <c r="A977" t="s">
        <v>116</v>
      </c>
      <c r="B977">
        <v>1</v>
      </c>
      <c r="C977" s="98">
        <v>654871</v>
      </c>
    </row>
    <row r="978" spans="1:3">
      <c r="A978" t="s">
        <v>230</v>
      </c>
      <c r="B978">
        <v>1</v>
      </c>
      <c r="C978" s="98">
        <v>628690</v>
      </c>
    </row>
    <row r="979" spans="1:3">
      <c r="A979" t="s">
        <v>1533</v>
      </c>
      <c r="B979">
        <v>1</v>
      </c>
      <c r="C979" s="98">
        <v>454158</v>
      </c>
    </row>
    <row r="980" spans="1:3">
      <c r="A980" t="s">
        <v>1533</v>
      </c>
      <c r="B980">
        <v>1</v>
      </c>
      <c r="C980" s="98">
        <v>454158</v>
      </c>
    </row>
    <row r="981" spans="1:3">
      <c r="A981" t="s">
        <v>134</v>
      </c>
      <c r="B981">
        <v>1</v>
      </c>
      <c r="C981" s="98">
        <v>1002400</v>
      </c>
    </row>
    <row r="982" spans="1:3">
      <c r="A982" t="s">
        <v>134</v>
      </c>
      <c r="B982">
        <v>1</v>
      </c>
      <c r="C982" s="98">
        <v>1002400</v>
      </c>
    </row>
    <row r="983" spans="1:3">
      <c r="A983" t="s">
        <v>134</v>
      </c>
      <c r="B983">
        <v>1</v>
      </c>
      <c r="C983" s="98">
        <v>1002400</v>
      </c>
    </row>
    <row r="984" spans="1:3">
      <c r="A984" t="s">
        <v>134</v>
      </c>
      <c r="B984">
        <v>1</v>
      </c>
      <c r="C984" s="98">
        <v>1002400</v>
      </c>
    </row>
    <row r="985" spans="1:3">
      <c r="A985" t="s">
        <v>1566</v>
      </c>
      <c r="B985">
        <v>1</v>
      </c>
      <c r="C985" s="98">
        <v>681050</v>
      </c>
    </row>
    <row r="986" spans="1:3">
      <c r="A986" t="s">
        <v>227</v>
      </c>
      <c r="B986">
        <v>1</v>
      </c>
      <c r="C986" s="98">
        <v>628690</v>
      </c>
    </row>
    <row r="987" spans="1:3">
      <c r="A987" t="s">
        <v>227</v>
      </c>
      <c r="B987">
        <v>1</v>
      </c>
      <c r="C987" s="98">
        <v>628690</v>
      </c>
    </row>
    <row r="988" spans="1:3">
      <c r="A988" t="s">
        <v>227</v>
      </c>
      <c r="B988">
        <v>1</v>
      </c>
      <c r="C988" s="98">
        <v>628690</v>
      </c>
    </row>
    <row r="989" spans="1:3">
      <c r="A989" t="s">
        <v>227</v>
      </c>
      <c r="B989">
        <v>1</v>
      </c>
      <c r="C989" s="98">
        <v>628690</v>
      </c>
    </row>
    <row r="990" spans="1:3">
      <c r="A990" t="s">
        <v>227</v>
      </c>
      <c r="B990">
        <v>1</v>
      </c>
      <c r="C990" s="98">
        <v>628690</v>
      </c>
    </row>
    <row r="991" spans="1:3">
      <c r="A991" t="s">
        <v>141</v>
      </c>
      <c r="B991">
        <v>1</v>
      </c>
      <c r="C991" s="98">
        <v>1002400</v>
      </c>
    </row>
    <row r="992" spans="1:3">
      <c r="A992" t="s">
        <v>141</v>
      </c>
      <c r="B992">
        <v>1</v>
      </c>
      <c r="C992" s="98">
        <v>1002400</v>
      </c>
    </row>
    <row r="993" spans="1:3">
      <c r="A993" t="s">
        <v>141</v>
      </c>
      <c r="B993">
        <v>1</v>
      </c>
      <c r="C993" s="98">
        <v>1002400</v>
      </c>
    </row>
    <row r="994" spans="1:3">
      <c r="A994" t="s">
        <v>141</v>
      </c>
      <c r="B994">
        <v>1</v>
      </c>
      <c r="C994" s="98">
        <v>1002400</v>
      </c>
    </row>
    <row r="995" spans="1:3">
      <c r="A995" t="s">
        <v>1544</v>
      </c>
      <c r="B995">
        <v>1</v>
      </c>
      <c r="C995" s="98">
        <v>628690</v>
      </c>
    </row>
    <row r="996" spans="1:3">
      <c r="A996" t="s">
        <v>1562</v>
      </c>
      <c r="B996">
        <v>1</v>
      </c>
      <c r="C996" s="98">
        <v>681050</v>
      </c>
    </row>
    <row r="997" spans="1:3">
      <c r="A997" t="s">
        <v>1562</v>
      </c>
      <c r="B997">
        <v>1</v>
      </c>
      <c r="C997" s="98">
        <v>681050</v>
      </c>
    </row>
    <row r="998" spans="1:3">
      <c r="A998" t="s">
        <v>1544</v>
      </c>
      <c r="B998">
        <v>0.5</v>
      </c>
      <c r="C998" s="98">
        <v>314345</v>
      </c>
    </row>
    <row r="999" spans="1:3">
      <c r="A999" t="s">
        <v>1544</v>
      </c>
      <c r="B999">
        <v>0.5</v>
      </c>
      <c r="C999" s="98">
        <v>314345</v>
      </c>
    </row>
    <row r="1000" spans="1:3">
      <c r="A1000" t="s">
        <v>141</v>
      </c>
      <c r="B1000">
        <v>1</v>
      </c>
      <c r="C1000" s="98">
        <v>1002400</v>
      </c>
    </row>
    <row r="1001" spans="1:3">
      <c r="A1001" t="s">
        <v>141</v>
      </c>
      <c r="B1001">
        <v>1</v>
      </c>
      <c r="C1001" s="98">
        <v>1002400</v>
      </c>
    </row>
    <row r="1002" spans="1:3">
      <c r="A1002" t="s">
        <v>141</v>
      </c>
      <c r="B1002">
        <v>1</v>
      </c>
      <c r="C1002" s="98">
        <v>1002400</v>
      </c>
    </row>
    <row r="1003" spans="1:3">
      <c r="A1003" t="s">
        <v>108</v>
      </c>
      <c r="B1003">
        <v>1</v>
      </c>
      <c r="C1003" s="98">
        <v>654871</v>
      </c>
    </row>
    <row r="1004" spans="1:3">
      <c r="A1004" t="s">
        <v>108</v>
      </c>
      <c r="B1004">
        <v>1</v>
      </c>
      <c r="C1004" s="98">
        <v>654871</v>
      </c>
    </row>
    <row r="1005" spans="1:3">
      <c r="A1005" t="s">
        <v>240</v>
      </c>
      <c r="B1005">
        <v>1</v>
      </c>
      <c r="C1005" s="98">
        <v>681050</v>
      </c>
    </row>
    <row r="1006" spans="1:3">
      <c r="A1006" t="s">
        <v>240</v>
      </c>
      <c r="B1006">
        <v>1</v>
      </c>
      <c r="C1006" s="98">
        <v>681050</v>
      </c>
    </row>
    <row r="1007" spans="1:3">
      <c r="A1007" t="s">
        <v>240</v>
      </c>
      <c r="B1007">
        <v>1</v>
      </c>
      <c r="C1007" s="98">
        <v>681050</v>
      </c>
    </row>
    <row r="1008" spans="1:3">
      <c r="A1008" t="s">
        <v>240</v>
      </c>
      <c r="B1008">
        <v>1</v>
      </c>
      <c r="C1008" s="98">
        <v>681050</v>
      </c>
    </row>
    <row r="1009" spans="1:3">
      <c r="A1009" t="s">
        <v>240</v>
      </c>
      <c r="B1009">
        <v>1</v>
      </c>
      <c r="C1009" s="98">
        <v>681050</v>
      </c>
    </row>
    <row r="1010" spans="1:3">
      <c r="A1010" t="s">
        <v>115</v>
      </c>
      <c r="B1010">
        <v>1</v>
      </c>
      <c r="C1010" s="98">
        <v>654871</v>
      </c>
    </row>
    <row r="1011" spans="1:3">
      <c r="A1011" t="s">
        <v>115</v>
      </c>
      <c r="B1011">
        <v>1</v>
      </c>
      <c r="C1011" s="98">
        <v>654871</v>
      </c>
    </row>
    <row r="1012" spans="1:3">
      <c r="A1012" t="s">
        <v>132</v>
      </c>
      <c r="B1012">
        <v>1</v>
      </c>
      <c r="C1012" s="98">
        <v>1002400</v>
      </c>
    </row>
    <row r="1013" spans="1:3">
      <c r="A1013" t="s">
        <v>132</v>
      </c>
      <c r="B1013">
        <v>1</v>
      </c>
      <c r="C1013" s="98">
        <v>1002400</v>
      </c>
    </row>
    <row r="1014" spans="1:3">
      <c r="A1014" t="s">
        <v>107</v>
      </c>
      <c r="B1014">
        <v>1</v>
      </c>
      <c r="C1014" s="98">
        <v>654871</v>
      </c>
    </row>
    <row r="1015" spans="1:3">
      <c r="A1015" t="s">
        <v>107</v>
      </c>
      <c r="B1015">
        <v>1</v>
      </c>
      <c r="C1015" s="98">
        <v>654871</v>
      </c>
    </row>
    <row r="1016" spans="1:3">
      <c r="A1016" t="s">
        <v>107</v>
      </c>
      <c r="B1016">
        <v>1</v>
      </c>
      <c r="C1016" s="98">
        <v>654871</v>
      </c>
    </row>
    <row r="1017" spans="1:3">
      <c r="A1017" t="s">
        <v>107</v>
      </c>
      <c r="B1017">
        <v>1</v>
      </c>
      <c r="C1017" s="98">
        <v>654871</v>
      </c>
    </row>
    <row r="1018" spans="1:3">
      <c r="A1018" t="s">
        <v>107</v>
      </c>
      <c r="B1018">
        <v>1</v>
      </c>
      <c r="C1018" s="98">
        <v>654871</v>
      </c>
    </row>
    <row r="1019" spans="1:3">
      <c r="A1019" t="s">
        <v>107</v>
      </c>
      <c r="B1019">
        <v>1</v>
      </c>
      <c r="C1019" s="98">
        <v>654871</v>
      </c>
    </row>
    <row r="1020" spans="1:3">
      <c r="A1020" t="s">
        <v>107</v>
      </c>
      <c r="B1020">
        <v>1</v>
      </c>
      <c r="C1020" s="98">
        <v>654871</v>
      </c>
    </row>
    <row r="1021" spans="1:3">
      <c r="A1021" t="s">
        <v>107</v>
      </c>
      <c r="B1021">
        <v>1</v>
      </c>
      <c r="C1021" s="98">
        <v>654871</v>
      </c>
    </row>
    <row r="1022" spans="1:3">
      <c r="A1022" t="s">
        <v>1534</v>
      </c>
      <c r="B1022">
        <v>1</v>
      </c>
      <c r="C1022" s="98">
        <v>576331</v>
      </c>
    </row>
    <row r="1023" spans="1:3">
      <c r="A1023" t="s">
        <v>1534</v>
      </c>
      <c r="B1023">
        <v>1</v>
      </c>
      <c r="C1023" s="98">
        <v>576331</v>
      </c>
    </row>
    <row r="1024" spans="1:3">
      <c r="A1024" t="s">
        <v>1534</v>
      </c>
      <c r="B1024">
        <v>1</v>
      </c>
      <c r="C1024" s="98">
        <v>576331</v>
      </c>
    </row>
    <row r="1025" spans="1:3">
      <c r="A1025" t="s">
        <v>1534</v>
      </c>
      <c r="B1025">
        <v>1</v>
      </c>
      <c r="C1025" s="98">
        <v>576331</v>
      </c>
    </row>
    <row r="1026" spans="1:3">
      <c r="A1026" t="s">
        <v>1534</v>
      </c>
      <c r="B1026">
        <v>1</v>
      </c>
      <c r="C1026" s="98">
        <v>576331</v>
      </c>
    </row>
    <row r="1027" spans="1:3">
      <c r="A1027" t="s">
        <v>1534</v>
      </c>
      <c r="B1027">
        <v>1</v>
      </c>
      <c r="C1027" s="98">
        <v>576331</v>
      </c>
    </row>
    <row r="1028" spans="1:3">
      <c r="A1028" t="s">
        <v>1534</v>
      </c>
      <c r="B1028">
        <v>1</v>
      </c>
      <c r="C1028" s="98">
        <v>576331</v>
      </c>
    </row>
    <row r="1029" spans="1:3">
      <c r="A1029" t="s">
        <v>1534</v>
      </c>
      <c r="B1029">
        <v>1</v>
      </c>
      <c r="C1029" s="98">
        <v>576331</v>
      </c>
    </row>
    <row r="1030" spans="1:3">
      <c r="A1030" t="s">
        <v>1534</v>
      </c>
      <c r="B1030">
        <v>1</v>
      </c>
      <c r="C1030" s="98">
        <v>576331</v>
      </c>
    </row>
    <row r="1031" spans="1:3">
      <c r="A1031" t="s">
        <v>1534</v>
      </c>
      <c r="B1031">
        <v>1</v>
      </c>
      <c r="C1031" s="98">
        <v>576331</v>
      </c>
    </row>
    <row r="1032" spans="1:3">
      <c r="A1032" t="s">
        <v>113</v>
      </c>
      <c r="B1032">
        <v>1</v>
      </c>
      <c r="C1032" s="98">
        <v>654871</v>
      </c>
    </row>
    <row r="1033" spans="1:3">
      <c r="A1033" t="s">
        <v>113</v>
      </c>
      <c r="B1033">
        <v>1</v>
      </c>
      <c r="C1033" s="98">
        <v>654871</v>
      </c>
    </row>
    <row r="1034" spans="1:3">
      <c r="A1034" t="s">
        <v>239</v>
      </c>
      <c r="B1034">
        <v>1</v>
      </c>
      <c r="C1034" s="98">
        <v>681050</v>
      </c>
    </row>
    <row r="1035" spans="1:3">
      <c r="A1035" t="s">
        <v>239</v>
      </c>
      <c r="B1035">
        <v>1</v>
      </c>
      <c r="C1035" s="98">
        <v>681050</v>
      </c>
    </row>
    <row r="1036" spans="1:3">
      <c r="A1036" t="s">
        <v>1507</v>
      </c>
      <c r="B1036">
        <v>1</v>
      </c>
      <c r="C1036" s="98">
        <v>454158</v>
      </c>
    </row>
    <row r="1037" spans="1:3">
      <c r="A1037" t="s">
        <v>1507</v>
      </c>
      <c r="B1037">
        <v>1</v>
      </c>
      <c r="C1037" s="98">
        <v>454158</v>
      </c>
    </row>
    <row r="1038" spans="1:3">
      <c r="A1038" t="s">
        <v>1507</v>
      </c>
      <c r="B1038">
        <v>1</v>
      </c>
      <c r="C1038" s="98">
        <v>454158</v>
      </c>
    </row>
    <row r="1039" spans="1:3">
      <c r="A1039" t="s">
        <v>1507</v>
      </c>
      <c r="B1039">
        <v>1</v>
      </c>
      <c r="C1039" s="98">
        <v>454158</v>
      </c>
    </row>
    <row r="1040" spans="1:3">
      <c r="A1040" t="s">
        <v>1535</v>
      </c>
      <c r="B1040">
        <v>1</v>
      </c>
      <c r="C1040" s="98">
        <v>576331</v>
      </c>
    </row>
    <row r="1041" spans="1:3">
      <c r="A1041" t="s">
        <v>1535</v>
      </c>
      <c r="B1041">
        <v>1</v>
      </c>
      <c r="C1041" s="98">
        <v>576331</v>
      </c>
    </row>
    <row r="1042" spans="1:3">
      <c r="A1042" t="s">
        <v>1535</v>
      </c>
      <c r="B1042">
        <v>1</v>
      </c>
      <c r="C1042" s="98">
        <v>576331</v>
      </c>
    </row>
    <row r="1043" spans="1:3">
      <c r="A1043" t="s">
        <v>1535</v>
      </c>
      <c r="B1043">
        <v>1</v>
      </c>
      <c r="C1043" s="98">
        <v>576331</v>
      </c>
    </row>
    <row r="1044" spans="1:3">
      <c r="A1044" t="s">
        <v>1535</v>
      </c>
      <c r="B1044">
        <v>1</v>
      </c>
      <c r="C1044" s="98">
        <v>576331</v>
      </c>
    </row>
    <row r="1045" spans="1:3">
      <c r="A1045" t="s">
        <v>1535</v>
      </c>
      <c r="B1045">
        <v>1</v>
      </c>
      <c r="C1045" s="98">
        <v>576331</v>
      </c>
    </row>
    <row r="1046" spans="1:3">
      <c r="A1046" t="s">
        <v>1535</v>
      </c>
      <c r="B1046">
        <v>1</v>
      </c>
      <c r="C1046" s="98">
        <v>576331</v>
      </c>
    </row>
    <row r="1047" spans="1:3">
      <c r="A1047" t="s">
        <v>1535</v>
      </c>
      <c r="B1047">
        <v>1</v>
      </c>
      <c r="C1047" s="98">
        <v>576331</v>
      </c>
    </row>
    <row r="1048" spans="1:3">
      <c r="A1048" t="s">
        <v>1535</v>
      </c>
      <c r="B1048">
        <v>1</v>
      </c>
      <c r="C1048" s="98">
        <v>576331</v>
      </c>
    </row>
    <row r="1049" spans="1:3">
      <c r="A1049" t="s">
        <v>1535</v>
      </c>
      <c r="B1049">
        <v>1</v>
      </c>
      <c r="C1049" s="98">
        <v>576331</v>
      </c>
    </row>
    <row r="1050" spans="1:3">
      <c r="A1050" t="s">
        <v>110</v>
      </c>
      <c r="B1050">
        <v>1</v>
      </c>
      <c r="C1050" s="98">
        <v>654871</v>
      </c>
    </row>
    <row r="1051" spans="1:3">
      <c r="A1051" t="s">
        <v>110</v>
      </c>
      <c r="B1051">
        <v>1</v>
      </c>
      <c r="C1051" s="98">
        <v>654871</v>
      </c>
    </row>
    <row r="1052" spans="1:3">
      <c r="A1052" t="s">
        <v>1564</v>
      </c>
      <c r="B1052">
        <v>1</v>
      </c>
      <c r="C1052" s="98">
        <v>681050</v>
      </c>
    </row>
    <row r="1053" spans="1:3">
      <c r="A1053" t="s">
        <v>1564</v>
      </c>
      <c r="B1053">
        <v>1</v>
      </c>
      <c r="C1053" s="98">
        <v>681050</v>
      </c>
    </row>
    <row r="1054" spans="1:3">
      <c r="A1054" t="s">
        <v>1527</v>
      </c>
      <c r="B1054">
        <v>1</v>
      </c>
      <c r="C1054" s="98">
        <v>454158</v>
      </c>
    </row>
    <row r="1055" spans="1:3">
      <c r="A1055" t="s">
        <v>1527</v>
      </c>
      <c r="B1055">
        <v>1</v>
      </c>
      <c r="C1055" s="98">
        <v>454158</v>
      </c>
    </row>
    <row r="1056" spans="1:3">
      <c r="A1056" t="s">
        <v>1527</v>
      </c>
      <c r="B1056">
        <v>1</v>
      </c>
      <c r="C1056" s="98">
        <v>454158</v>
      </c>
    </row>
    <row r="1057" spans="1:3">
      <c r="A1057" t="s">
        <v>1527</v>
      </c>
      <c r="B1057">
        <v>1</v>
      </c>
      <c r="C1057" s="98">
        <v>454158</v>
      </c>
    </row>
    <row r="1058" spans="1:3">
      <c r="A1058" t="s">
        <v>1527</v>
      </c>
      <c r="B1058">
        <v>1</v>
      </c>
      <c r="C1058" s="98">
        <v>454158</v>
      </c>
    </row>
    <row r="1059" spans="1:3">
      <c r="A1059" t="s">
        <v>1527</v>
      </c>
      <c r="B1059">
        <v>1</v>
      </c>
      <c r="C1059" s="98">
        <v>454158</v>
      </c>
    </row>
    <row r="1060" spans="1:3">
      <c r="A1060" t="s">
        <v>219</v>
      </c>
      <c r="B1060">
        <v>1</v>
      </c>
      <c r="C1060" s="98">
        <v>628690</v>
      </c>
    </row>
    <row r="1061" spans="1:3">
      <c r="A1061" t="s">
        <v>219</v>
      </c>
      <c r="B1061">
        <v>1</v>
      </c>
      <c r="C1061" s="98">
        <v>628690</v>
      </c>
    </row>
    <row r="1062" spans="1:3">
      <c r="A1062" t="s">
        <v>107</v>
      </c>
      <c r="B1062">
        <v>1</v>
      </c>
      <c r="C1062" s="98">
        <v>654871</v>
      </c>
    </row>
    <row r="1063" spans="1:3">
      <c r="A1063" t="s">
        <v>107</v>
      </c>
      <c r="B1063">
        <v>1</v>
      </c>
      <c r="C1063" s="98">
        <v>654871</v>
      </c>
    </row>
    <row r="1064" spans="1:3">
      <c r="A1064" t="s">
        <v>252</v>
      </c>
      <c r="B1064">
        <v>1</v>
      </c>
      <c r="C1064" s="98">
        <v>681050</v>
      </c>
    </row>
    <row r="1065" spans="1:3">
      <c r="A1065" t="s">
        <v>252</v>
      </c>
      <c r="B1065">
        <v>1</v>
      </c>
      <c r="C1065" s="98">
        <v>681050</v>
      </c>
    </row>
    <row r="1066" spans="1:3">
      <c r="A1066" t="s">
        <v>252</v>
      </c>
      <c r="B1066">
        <v>1</v>
      </c>
      <c r="C1066" s="98">
        <v>681050</v>
      </c>
    </row>
    <row r="1067" spans="1:3">
      <c r="A1067" t="s">
        <v>1528</v>
      </c>
      <c r="B1067">
        <v>1</v>
      </c>
      <c r="C1067" s="98">
        <v>454158</v>
      </c>
    </row>
    <row r="1068" spans="1:3">
      <c r="A1068" t="s">
        <v>1528</v>
      </c>
      <c r="B1068">
        <v>1</v>
      </c>
      <c r="C1068" s="98">
        <v>454158</v>
      </c>
    </row>
    <row r="1069" spans="1:3">
      <c r="A1069" t="s">
        <v>1528</v>
      </c>
      <c r="B1069">
        <v>1</v>
      </c>
      <c r="C1069" s="98">
        <v>454158</v>
      </c>
    </row>
    <row r="1070" spans="1:3">
      <c r="A1070" t="s">
        <v>1528</v>
      </c>
      <c r="B1070">
        <v>1</v>
      </c>
      <c r="C1070" s="98">
        <v>454158</v>
      </c>
    </row>
    <row r="1071" spans="1:3">
      <c r="A1071" t="s">
        <v>1528</v>
      </c>
      <c r="B1071">
        <v>1</v>
      </c>
      <c r="C1071" s="98">
        <v>454158</v>
      </c>
    </row>
    <row r="1072" spans="1:3">
      <c r="A1072" t="s">
        <v>1528</v>
      </c>
      <c r="B1072">
        <v>1</v>
      </c>
      <c r="C1072" s="98">
        <v>454158</v>
      </c>
    </row>
    <row r="1073" spans="1:3">
      <c r="A1073" t="s">
        <v>220</v>
      </c>
      <c r="B1073">
        <v>1</v>
      </c>
      <c r="C1073" s="98">
        <v>628690</v>
      </c>
    </row>
    <row r="1074" spans="1:3">
      <c r="A1074" t="s">
        <v>220</v>
      </c>
      <c r="B1074">
        <v>1</v>
      </c>
      <c r="C1074" s="98">
        <v>628690</v>
      </c>
    </row>
    <row r="1075" spans="1:3">
      <c r="A1075" t="s">
        <v>216</v>
      </c>
      <c r="B1075">
        <v>1</v>
      </c>
      <c r="C1075" s="98">
        <v>593784</v>
      </c>
    </row>
    <row r="1076" spans="1:3">
      <c r="A1076" t="s">
        <v>216</v>
      </c>
      <c r="B1076">
        <v>1</v>
      </c>
      <c r="C1076" s="98">
        <v>593784</v>
      </c>
    </row>
    <row r="1077" spans="1:3">
      <c r="A1077" t="s">
        <v>216</v>
      </c>
      <c r="B1077">
        <v>1</v>
      </c>
      <c r="C1077" s="98">
        <v>593784</v>
      </c>
    </row>
    <row r="1078" spans="1:3">
      <c r="A1078" t="s">
        <v>216</v>
      </c>
      <c r="B1078">
        <v>1</v>
      </c>
      <c r="C1078" s="98">
        <v>593784</v>
      </c>
    </row>
    <row r="1079" spans="1:3">
      <c r="A1079" t="s">
        <v>216</v>
      </c>
      <c r="B1079">
        <v>1</v>
      </c>
      <c r="C1079" s="98">
        <v>593784</v>
      </c>
    </row>
    <row r="1080" spans="1:3">
      <c r="A1080" t="s">
        <v>1508</v>
      </c>
      <c r="B1080">
        <v>1</v>
      </c>
      <c r="C1080" s="98">
        <v>576331</v>
      </c>
    </row>
    <row r="1081" spans="1:3">
      <c r="A1081" t="s">
        <v>1508</v>
      </c>
      <c r="B1081">
        <v>1</v>
      </c>
      <c r="C1081" s="98">
        <v>576331</v>
      </c>
    </row>
    <row r="1082" spans="1:3">
      <c r="A1082" t="s">
        <v>1508</v>
      </c>
      <c r="B1082">
        <v>1</v>
      </c>
      <c r="C1082" s="98">
        <v>576331</v>
      </c>
    </row>
    <row r="1083" spans="1:3">
      <c r="A1083" t="s">
        <v>1508</v>
      </c>
      <c r="B1083">
        <v>1</v>
      </c>
      <c r="C1083" s="98">
        <v>576331</v>
      </c>
    </row>
    <row r="1084" spans="1:3">
      <c r="A1084" t="s">
        <v>109</v>
      </c>
      <c r="B1084">
        <v>1</v>
      </c>
      <c r="C1084" s="98">
        <v>654871</v>
      </c>
    </row>
    <row r="1085" spans="1:3">
      <c r="A1085" t="s">
        <v>109</v>
      </c>
      <c r="B1085">
        <v>1</v>
      </c>
      <c r="C1085" s="98">
        <v>654871</v>
      </c>
    </row>
    <row r="1086" spans="1:3">
      <c r="A1086" t="s">
        <v>201</v>
      </c>
      <c r="B1086">
        <v>1</v>
      </c>
      <c r="C1086" s="98">
        <v>681050</v>
      </c>
    </row>
    <row r="1087" spans="1:3">
      <c r="A1087" t="s">
        <v>255</v>
      </c>
      <c r="B1087">
        <v>1</v>
      </c>
      <c r="C1087" s="98">
        <v>681050</v>
      </c>
    </row>
    <row r="1088" spans="1:3">
      <c r="A1088" t="s">
        <v>1546</v>
      </c>
      <c r="B1088">
        <v>1</v>
      </c>
      <c r="C1088" s="98">
        <v>628690</v>
      </c>
    </row>
    <row r="1089" spans="1:3">
      <c r="A1089" t="s">
        <v>1546</v>
      </c>
      <c r="B1089">
        <v>1</v>
      </c>
      <c r="C1089" s="98">
        <v>628690</v>
      </c>
    </row>
    <row r="1090" spans="1:3">
      <c r="A1090" t="s">
        <v>1546</v>
      </c>
      <c r="B1090">
        <v>1</v>
      </c>
      <c r="C1090" s="98">
        <v>628690</v>
      </c>
    </row>
    <row r="1091" spans="1:3">
      <c r="A1091" t="s">
        <v>1546</v>
      </c>
      <c r="B1091">
        <v>1</v>
      </c>
      <c r="C1091" s="98">
        <v>628690</v>
      </c>
    </row>
    <row r="1092" spans="1:3">
      <c r="A1092" t="s">
        <v>1546</v>
      </c>
      <c r="B1092">
        <v>1</v>
      </c>
      <c r="C1092" s="98">
        <v>628690</v>
      </c>
    </row>
    <row r="1093" spans="1:3">
      <c r="A1093" t="s">
        <v>115</v>
      </c>
      <c r="B1093">
        <v>1</v>
      </c>
      <c r="C1093" s="98">
        <v>654871</v>
      </c>
    </row>
    <row r="1094" spans="1:3">
      <c r="A1094" t="s">
        <v>115</v>
      </c>
      <c r="B1094">
        <v>1</v>
      </c>
      <c r="C1094" s="98">
        <v>654871</v>
      </c>
    </row>
    <row r="1095" spans="1:3">
      <c r="A1095" t="s">
        <v>255</v>
      </c>
      <c r="B1095">
        <v>1</v>
      </c>
      <c r="C1095" s="98">
        <v>681050</v>
      </c>
    </row>
    <row r="1096" spans="1:3">
      <c r="A1096" t="s">
        <v>255</v>
      </c>
      <c r="B1096">
        <v>1</v>
      </c>
      <c r="C1096" s="98">
        <v>681050</v>
      </c>
    </row>
    <row r="1097" spans="1:3">
      <c r="A1097" t="s">
        <v>255</v>
      </c>
      <c r="B1097">
        <v>1</v>
      </c>
      <c r="C1097" s="98">
        <v>681050</v>
      </c>
    </row>
    <row r="1098" spans="1:3">
      <c r="A1098" t="s">
        <v>1532</v>
      </c>
      <c r="B1098">
        <v>1</v>
      </c>
      <c r="C1098" s="98">
        <v>454158</v>
      </c>
    </row>
    <row r="1099" spans="1:3">
      <c r="A1099" t="s">
        <v>1532</v>
      </c>
      <c r="B1099">
        <v>1</v>
      </c>
      <c r="C1099" s="98">
        <v>454158</v>
      </c>
    </row>
    <row r="1100" spans="1:3">
      <c r="A1100" t="s">
        <v>1546</v>
      </c>
      <c r="B1100">
        <v>0.5</v>
      </c>
      <c r="C1100" s="98">
        <v>314345</v>
      </c>
    </row>
    <row r="1101" spans="1:3">
      <c r="A1101" t="s">
        <v>1546</v>
      </c>
      <c r="B1101">
        <v>0.5</v>
      </c>
      <c r="C1101" s="98">
        <v>314345</v>
      </c>
    </row>
    <row r="1102" spans="1:3">
      <c r="A1102" t="s">
        <v>1536</v>
      </c>
      <c r="B1102">
        <v>1</v>
      </c>
      <c r="C1102" s="98">
        <v>593784</v>
      </c>
    </row>
    <row r="1103" spans="1:3">
      <c r="A1103" t="s">
        <v>1536</v>
      </c>
      <c r="B1103">
        <v>1</v>
      </c>
      <c r="C1103" s="98">
        <v>593784</v>
      </c>
    </row>
    <row r="1104" spans="1:3">
      <c r="A1104" t="s">
        <v>1536</v>
      </c>
      <c r="B1104">
        <v>1</v>
      </c>
      <c r="C1104" s="98">
        <v>593784</v>
      </c>
    </row>
    <row r="1105" spans="1:3">
      <c r="A1105" t="s">
        <v>1536</v>
      </c>
      <c r="B1105">
        <v>1</v>
      </c>
      <c r="C1105" s="98">
        <v>593784</v>
      </c>
    </row>
    <row r="1106" spans="1:3">
      <c r="A1106" t="s">
        <v>116</v>
      </c>
      <c r="B1106">
        <v>1</v>
      </c>
      <c r="C1106" s="98">
        <v>654871</v>
      </c>
    </row>
    <row r="1107" spans="1:3">
      <c r="A1107" t="s">
        <v>116</v>
      </c>
      <c r="B1107">
        <v>1</v>
      </c>
      <c r="C1107" s="98">
        <v>654871</v>
      </c>
    </row>
    <row r="1108" spans="1:3">
      <c r="A1108" t="s">
        <v>116</v>
      </c>
      <c r="B1108">
        <v>1</v>
      </c>
      <c r="C1108" s="98">
        <v>654871</v>
      </c>
    </row>
    <row r="1109" spans="1:3">
      <c r="A1109" t="s">
        <v>116</v>
      </c>
      <c r="B1109">
        <v>1</v>
      </c>
      <c r="C1109" s="98">
        <v>654871</v>
      </c>
    </row>
    <row r="1110" spans="1:3">
      <c r="A1110" t="s">
        <v>243</v>
      </c>
      <c r="B1110">
        <v>1</v>
      </c>
      <c r="C1110" s="98">
        <v>681050</v>
      </c>
    </row>
    <row r="1111" spans="1:3">
      <c r="A1111" t="s">
        <v>243</v>
      </c>
      <c r="B1111">
        <v>1</v>
      </c>
      <c r="C1111" s="98">
        <v>681050</v>
      </c>
    </row>
    <row r="1112" spans="1:3">
      <c r="A1112" t="s">
        <v>243</v>
      </c>
      <c r="B1112">
        <v>1</v>
      </c>
      <c r="C1112" s="98">
        <v>681050</v>
      </c>
    </row>
    <row r="1113" spans="1:3">
      <c r="A1113" t="s">
        <v>137</v>
      </c>
      <c r="B1113">
        <v>1</v>
      </c>
      <c r="C1113" s="98">
        <v>1002400</v>
      </c>
    </row>
    <row r="1114" spans="1:3">
      <c r="A1114" t="s">
        <v>223</v>
      </c>
      <c r="B1114">
        <v>0.5</v>
      </c>
      <c r="C1114" s="98">
        <v>314345</v>
      </c>
    </row>
    <row r="1115" spans="1:3">
      <c r="A1115" t="s">
        <v>223</v>
      </c>
      <c r="B1115">
        <v>0.5</v>
      </c>
      <c r="C1115" s="98">
        <v>314345</v>
      </c>
    </row>
    <row r="1116" spans="1:3">
      <c r="A1116" t="s">
        <v>223</v>
      </c>
      <c r="B1116">
        <v>0.5</v>
      </c>
      <c r="C1116" s="98">
        <v>314345</v>
      </c>
    </row>
    <row r="1117" spans="1:3">
      <c r="A1117" t="s">
        <v>223</v>
      </c>
      <c r="B1117">
        <v>0.5</v>
      </c>
      <c r="C1117" s="98">
        <v>314345</v>
      </c>
    </row>
    <row r="1118" spans="1:3">
      <c r="A1118" t="s">
        <v>205</v>
      </c>
      <c r="B1118">
        <v>1</v>
      </c>
      <c r="C1118" s="98">
        <v>585057</v>
      </c>
    </row>
    <row r="1119" spans="1:3">
      <c r="A1119" t="s">
        <v>205</v>
      </c>
      <c r="B1119">
        <v>1</v>
      </c>
      <c r="C1119" s="98">
        <v>585057</v>
      </c>
    </row>
    <row r="1120" spans="1:3">
      <c r="A1120" t="s">
        <v>1542</v>
      </c>
      <c r="B1120">
        <v>0.5</v>
      </c>
      <c r="C1120" s="98">
        <v>314345</v>
      </c>
    </row>
    <row r="1121" spans="1:3">
      <c r="A1121" t="s">
        <v>1542</v>
      </c>
      <c r="B1121">
        <v>0.5</v>
      </c>
      <c r="C1121" s="98">
        <v>314345</v>
      </c>
    </row>
    <row r="1122" spans="1:3">
      <c r="A1122" t="s">
        <v>1542</v>
      </c>
      <c r="B1122">
        <v>0.5</v>
      </c>
      <c r="C1122" s="98">
        <v>314345</v>
      </c>
    </row>
    <row r="1123" spans="1:3">
      <c r="A1123" t="s">
        <v>1542</v>
      </c>
      <c r="B1123">
        <v>0.5</v>
      </c>
      <c r="C1123" s="98">
        <v>314345</v>
      </c>
    </row>
    <row r="1124" spans="1:3">
      <c r="A1124" t="s">
        <v>215</v>
      </c>
      <c r="B1124">
        <v>1</v>
      </c>
      <c r="C1124" s="98">
        <v>585057</v>
      </c>
    </row>
    <row r="1125" spans="1:3">
      <c r="A1125" t="s">
        <v>215</v>
      </c>
      <c r="B1125">
        <v>1</v>
      </c>
      <c r="C1125" s="98">
        <v>585057</v>
      </c>
    </row>
    <row r="1126" spans="1:3">
      <c r="A1126" t="s">
        <v>230</v>
      </c>
      <c r="B1126">
        <v>0.5</v>
      </c>
      <c r="C1126" s="98">
        <v>314345</v>
      </c>
    </row>
    <row r="1127" spans="1:3">
      <c r="A1127" t="s">
        <v>230</v>
      </c>
      <c r="B1127">
        <v>0.5</v>
      </c>
      <c r="C1127" s="98">
        <v>314345</v>
      </c>
    </row>
    <row r="1128" spans="1:3">
      <c r="A1128" t="s">
        <v>217</v>
      </c>
      <c r="B1128">
        <v>1</v>
      </c>
      <c r="C1128" s="98">
        <v>585057</v>
      </c>
    </row>
    <row r="1129" spans="1:3">
      <c r="A1129" t="s">
        <v>221</v>
      </c>
      <c r="B1129">
        <v>0.5</v>
      </c>
      <c r="C1129" s="98">
        <v>314345</v>
      </c>
    </row>
    <row r="1130" spans="1:3">
      <c r="A1130" t="s">
        <v>221</v>
      </c>
      <c r="B1130">
        <v>0.5</v>
      </c>
      <c r="C1130" s="98">
        <v>314345</v>
      </c>
    </row>
    <row r="1131" spans="1:3">
      <c r="A1131" t="s">
        <v>221</v>
      </c>
      <c r="B1131">
        <v>0.5</v>
      </c>
      <c r="C1131" s="98">
        <v>314345</v>
      </c>
    </row>
    <row r="1132" spans="1:3">
      <c r="A1132" t="s">
        <v>221</v>
      </c>
      <c r="B1132">
        <v>0.5</v>
      </c>
      <c r="C1132" s="98">
        <v>314345</v>
      </c>
    </row>
    <row r="1133" spans="1:3">
      <c r="A1133" t="s">
        <v>210</v>
      </c>
      <c r="B1133">
        <v>1</v>
      </c>
      <c r="C1133" s="98">
        <v>585057</v>
      </c>
    </row>
    <row r="1134" spans="1:3">
      <c r="A1134" t="s">
        <v>210</v>
      </c>
      <c r="B1134">
        <v>1</v>
      </c>
      <c r="C1134" s="98">
        <v>585057</v>
      </c>
    </row>
    <row r="1135" spans="1:3">
      <c r="A1135" t="s">
        <v>140</v>
      </c>
      <c r="B1135">
        <v>1</v>
      </c>
      <c r="C1135" s="98">
        <v>1002400</v>
      </c>
    </row>
    <row r="1136" spans="1:3">
      <c r="A1136" t="s">
        <v>140</v>
      </c>
      <c r="B1136">
        <v>1</v>
      </c>
      <c r="C1136" s="98">
        <v>1002400</v>
      </c>
    </row>
    <row r="1137" spans="1:3">
      <c r="A1137" t="s">
        <v>137</v>
      </c>
      <c r="B1137">
        <v>1</v>
      </c>
      <c r="C1137" s="98">
        <v>1002400</v>
      </c>
    </row>
    <row r="1138" spans="1:3">
      <c r="A1138" t="s">
        <v>137</v>
      </c>
      <c r="B1138">
        <v>1</v>
      </c>
      <c r="C1138" s="98">
        <v>1002400</v>
      </c>
    </row>
    <row r="1139" spans="1:3">
      <c r="A1139" t="s">
        <v>146</v>
      </c>
      <c r="B1139">
        <v>1</v>
      </c>
      <c r="C1139" s="98">
        <v>1002400</v>
      </c>
    </row>
    <row r="1140" spans="1:3">
      <c r="A1140" t="s">
        <v>1553</v>
      </c>
      <c r="B1140">
        <v>1</v>
      </c>
      <c r="C1140" s="98">
        <v>550151</v>
      </c>
    </row>
    <row r="1141" spans="1:3">
      <c r="A1141" t="s">
        <v>1553</v>
      </c>
      <c r="B1141">
        <v>1</v>
      </c>
      <c r="C1141" s="98">
        <v>550151</v>
      </c>
    </row>
    <row r="1142" spans="1:3">
      <c r="A1142" t="s">
        <v>1553</v>
      </c>
      <c r="B1142">
        <v>1</v>
      </c>
      <c r="C1142" s="98">
        <v>550151</v>
      </c>
    </row>
    <row r="1143" spans="1:3">
      <c r="A1143" t="s">
        <v>1553</v>
      </c>
      <c r="B1143">
        <v>1</v>
      </c>
      <c r="C1143" s="98">
        <v>550151</v>
      </c>
    </row>
    <row r="1144" spans="1:3">
      <c r="A1144" t="s">
        <v>1553</v>
      </c>
      <c r="B1144">
        <v>1</v>
      </c>
      <c r="C1144" s="98">
        <v>550151</v>
      </c>
    </row>
    <row r="1145" spans="1:3">
      <c r="A1145" t="s">
        <v>1553</v>
      </c>
      <c r="B1145">
        <v>1</v>
      </c>
      <c r="C1145" s="98">
        <v>550151</v>
      </c>
    </row>
    <row r="1146" spans="1:3">
      <c r="A1146" t="s">
        <v>1553</v>
      </c>
      <c r="B1146">
        <v>1</v>
      </c>
      <c r="C1146" s="98">
        <v>550151</v>
      </c>
    </row>
    <row r="1147" spans="1:3">
      <c r="A1147" t="s">
        <v>141</v>
      </c>
      <c r="B1147">
        <v>1</v>
      </c>
      <c r="C1147" s="98">
        <v>1002400</v>
      </c>
    </row>
    <row r="1148" spans="1:3">
      <c r="A1148" t="s">
        <v>141</v>
      </c>
      <c r="B1148">
        <v>1</v>
      </c>
      <c r="C1148" s="98">
        <v>1002400</v>
      </c>
    </row>
    <row r="1149" spans="1:3">
      <c r="A1149" t="s">
        <v>141</v>
      </c>
      <c r="B1149">
        <v>1</v>
      </c>
      <c r="C1149" s="98">
        <v>1002400</v>
      </c>
    </row>
    <row r="1150" spans="1:3">
      <c r="A1150" t="s">
        <v>127</v>
      </c>
      <c r="B1150">
        <v>1</v>
      </c>
      <c r="C1150" s="98">
        <v>576331</v>
      </c>
    </row>
    <row r="1151" spans="1:3">
      <c r="A1151" t="s">
        <v>127</v>
      </c>
      <c r="B1151">
        <v>1</v>
      </c>
      <c r="C1151" s="98">
        <v>576331</v>
      </c>
    </row>
    <row r="1152" spans="1:3">
      <c r="A1152" t="s">
        <v>127</v>
      </c>
      <c r="B1152">
        <v>1</v>
      </c>
      <c r="C1152" s="98">
        <v>576331</v>
      </c>
    </row>
    <row r="1153" spans="1:3">
      <c r="A1153" t="s">
        <v>127</v>
      </c>
      <c r="B1153">
        <v>1</v>
      </c>
      <c r="C1153" s="98">
        <v>576331</v>
      </c>
    </row>
    <row r="1154" spans="1:3">
      <c r="A1154" t="s">
        <v>1554</v>
      </c>
      <c r="B1154">
        <v>1</v>
      </c>
      <c r="C1154" s="98">
        <v>550151</v>
      </c>
    </row>
    <row r="1155" spans="1:3">
      <c r="A1155" t="s">
        <v>1554</v>
      </c>
      <c r="B1155">
        <v>1</v>
      </c>
      <c r="C1155" s="98">
        <v>550151</v>
      </c>
    </row>
    <row r="1156" spans="1:3">
      <c r="A1156" t="s">
        <v>1554</v>
      </c>
      <c r="B1156">
        <v>1</v>
      </c>
      <c r="C1156" s="98">
        <v>550151</v>
      </c>
    </row>
    <row r="1157" spans="1:3">
      <c r="A1157" t="s">
        <v>1554</v>
      </c>
      <c r="B1157">
        <v>1</v>
      </c>
      <c r="C1157" s="98">
        <v>550151</v>
      </c>
    </row>
    <row r="1158" spans="1:3">
      <c r="A1158" t="s">
        <v>224</v>
      </c>
      <c r="B1158">
        <v>1</v>
      </c>
      <c r="C1158" s="98">
        <v>628690</v>
      </c>
    </row>
    <row r="1159" spans="1:3">
      <c r="A1159" t="s">
        <v>224</v>
      </c>
      <c r="B1159">
        <v>1</v>
      </c>
      <c r="C1159" s="98">
        <v>628690</v>
      </c>
    </row>
    <row r="1160" spans="1:3">
      <c r="A1160" t="s">
        <v>224</v>
      </c>
      <c r="B1160">
        <v>1</v>
      </c>
      <c r="C1160" s="98">
        <v>628690</v>
      </c>
    </row>
    <row r="1161" spans="1:3">
      <c r="A1161" t="s">
        <v>117</v>
      </c>
      <c r="B1161">
        <v>1</v>
      </c>
      <c r="C1161" s="98">
        <v>654871</v>
      </c>
    </row>
    <row r="1162" spans="1:3">
      <c r="A1162" t="s">
        <v>117</v>
      </c>
      <c r="B1162">
        <v>1</v>
      </c>
      <c r="C1162" s="98">
        <v>654871</v>
      </c>
    </row>
    <row r="1163" spans="1:3">
      <c r="A1163" t="s">
        <v>253</v>
      </c>
      <c r="B1163">
        <v>1</v>
      </c>
      <c r="C1163" s="98">
        <v>681050</v>
      </c>
    </row>
    <row r="1164" spans="1:3">
      <c r="A1164" t="s">
        <v>117</v>
      </c>
      <c r="B1164">
        <v>1</v>
      </c>
      <c r="C1164" s="98">
        <v>654871</v>
      </c>
    </row>
    <row r="1165" spans="1:3">
      <c r="A1165" t="s">
        <v>253</v>
      </c>
      <c r="B1165">
        <v>1</v>
      </c>
      <c r="C1165" s="98">
        <v>681050</v>
      </c>
    </row>
    <row r="1166" spans="1:3">
      <c r="A1166" t="s">
        <v>253</v>
      </c>
      <c r="B1166">
        <v>1</v>
      </c>
      <c r="C1166" s="98">
        <v>681050</v>
      </c>
    </row>
    <row r="1167" spans="1:3">
      <c r="A1167" t="s">
        <v>1537</v>
      </c>
      <c r="B1167">
        <v>1</v>
      </c>
      <c r="C1167" s="98">
        <v>454158</v>
      </c>
    </row>
    <row r="1168" spans="1:3">
      <c r="A1168" t="s">
        <v>1537</v>
      </c>
      <c r="B1168">
        <v>1</v>
      </c>
      <c r="C1168" s="98">
        <v>454158</v>
      </c>
    </row>
    <row r="1169" spans="1:3">
      <c r="A1169" t="s">
        <v>1537</v>
      </c>
      <c r="B1169">
        <v>1</v>
      </c>
      <c r="C1169" s="98">
        <v>454158</v>
      </c>
    </row>
    <row r="1170" spans="1:3">
      <c r="A1170" t="s">
        <v>1537</v>
      </c>
      <c r="B1170">
        <v>1</v>
      </c>
      <c r="C1170" s="98">
        <v>454158</v>
      </c>
    </row>
    <row r="1171" spans="1:3">
      <c r="A1171" t="s">
        <v>1537</v>
      </c>
      <c r="B1171">
        <v>1</v>
      </c>
      <c r="C1171" s="98">
        <v>454158</v>
      </c>
    </row>
    <row r="1172" spans="1:3">
      <c r="A1172" t="s">
        <v>224</v>
      </c>
      <c r="B1172">
        <v>0.5</v>
      </c>
      <c r="C1172" s="98">
        <v>314345</v>
      </c>
    </row>
    <row r="1173" spans="1:3">
      <c r="A1173" t="s">
        <v>224</v>
      </c>
      <c r="B1173">
        <v>0.5</v>
      </c>
      <c r="C1173" s="98">
        <v>314345</v>
      </c>
    </row>
    <row r="1174" spans="1:3">
      <c r="A1174" t="s">
        <v>213</v>
      </c>
      <c r="B1174">
        <v>1</v>
      </c>
      <c r="C1174" s="98">
        <v>585057</v>
      </c>
    </row>
    <row r="1175" spans="1:3">
      <c r="A1175" t="s">
        <v>213</v>
      </c>
      <c r="B1175">
        <v>1</v>
      </c>
      <c r="C1175" s="98">
        <v>585057</v>
      </c>
    </row>
    <row r="1176" spans="1:3">
      <c r="A1176" t="s">
        <v>246</v>
      </c>
      <c r="B1176">
        <v>1</v>
      </c>
      <c r="C1176" s="98">
        <v>681050</v>
      </c>
    </row>
    <row r="1177" spans="1:3">
      <c r="A1177" t="s">
        <v>112</v>
      </c>
      <c r="B1177">
        <v>1</v>
      </c>
      <c r="C1177" s="98">
        <v>654871</v>
      </c>
    </row>
    <row r="1178" spans="1:3">
      <c r="A1178" t="s">
        <v>112</v>
      </c>
      <c r="B1178">
        <v>1</v>
      </c>
      <c r="C1178" s="98">
        <v>654871</v>
      </c>
    </row>
    <row r="1179" spans="1:3">
      <c r="A1179" t="s">
        <v>123</v>
      </c>
      <c r="B1179">
        <v>1</v>
      </c>
      <c r="C1179" s="98">
        <v>576331</v>
      </c>
    </row>
    <row r="1180" spans="1:3">
      <c r="A1180" t="s">
        <v>123</v>
      </c>
      <c r="B1180">
        <v>1</v>
      </c>
      <c r="C1180" s="98">
        <v>576331</v>
      </c>
    </row>
    <row r="1181" spans="1:3">
      <c r="A1181" t="s">
        <v>123</v>
      </c>
      <c r="B1181">
        <v>1</v>
      </c>
      <c r="C1181" s="98">
        <v>576331</v>
      </c>
    </row>
    <row r="1182" spans="1:3">
      <c r="A1182" t="s">
        <v>123</v>
      </c>
      <c r="B1182">
        <v>1</v>
      </c>
      <c r="C1182" s="98">
        <v>576331</v>
      </c>
    </row>
    <row r="1183" spans="1:3">
      <c r="A1183" t="s">
        <v>123</v>
      </c>
      <c r="B1183">
        <v>1</v>
      </c>
      <c r="C1183" s="98">
        <v>576331</v>
      </c>
    </row>
    <row r="1184" spans="1:3">
      <c r="A1184" t="s">
        <v>123</v>
      </c>
      <c r="B1184">
        <v>1</v>
      </c>
      <c r="C1184" s="98">
        <v>576331</v>
      </c>
    </row>
    <row r="1185" spans="1:3">
      <c r="A1185" t="s">
        <v>123</v>
      </c>
      <c r="B1185">
        <v>1</v>
      </c>
      <c r="C1185" s="98">
        <v>576331</v>
      </c>
    </row>
    <row r="1186" spans="1:3">
      <c r="A1186" t="s">
        <v>123</v>
      </c>
      <c r="B1186">
        <v>1</v>
      </c>
      <c r="C1186" s="98">
        <v>576331</v>
      </c>
    </row>
    <row r="1187" spans="1:3">
      <c r="A1187" t="s">
        <v>236</v>
      </c>
      <c r="B1187">
        <v>1</v>
      </c>
      <c r="C1187" s="98">
        <v>602510</v>
      </c>
    </row>
    <row r="1188" spans="1:3">
      <c r="A1188" t="s">
        <v>112</v>
      </c>
      <c r="B1188">
        <v>1</v>
      </c>
      <c r="C1188" s="98">
        <v>654871</v>
      </c>
    </row>
    <row r="1189" spans="1:3">
      <c r="A1189" t="s">
        <v>112</v>
      </c>
      <c r="B1189">
        <v>1</v>
      </c>
      <c r="C1189" s="98">
        <v>654871</v>
      </c>
    </row>
    <row r="1190" spans="1:3">
      <c r="A1190" t="s">
        <v>112</v>
      </c>
      <c r="B1190">
        <v>1</v>
      </c>
      <c r="C1190" s="98">
        <v>654871</v>
      </c>
    </row>
    <row r="1191" spans="1:3">
      <c r="A1191" t="s">
        <v>112</v>
      </c>
      <c r="B1191">
        <v>1</v>
      </c>
      <c r="C1191" s="98">
        <v>654871</v>
      </c>
    </row>
    <row r="1192" spans="1:3">
      <c r="A1192" t="s">
        <v>112</v>
      </c>
      <c r="B1192">
        <v>1</v>
      </c>
      <c r="C1192" s="98">
        <v>654871</v>
      </c>
    </row>
    <row r="1193" spans="1:3">
      <c r="A1193" t="s">
        <v>112</v>
      </c>
      <c r="B1193">
        <v>1</v>
      </c>
      <c r="C1193" s="98">
        <v>654871</v>
      </c>
    </row>
    <row r="1194" spans="1:3">
      <c r="A1194" t="s">
        <v>246</v>
      </c>
      <c r="B1194">
        <v>1</v>
      </c>
      <c r="C1194" s="98">
        <v>681050</v>
      </c>
    </row>
    <row r="1195" spans="1:3">
      <c r="A1195" t="s">
        <v>246</v>
      </c>
      <c r="B1195">
        <v>1</v>
      </c>
      <c r="C1195" s="98">
        <v>681050</v>
      </c>
    </row>
    <row r="1196" spans="1:3">
      <c r="A1196" t="s">
        <v>1533</v>
      </c>
      <c r="B1196">
        <v>1</v>
      </c>
      <c r="C1196" s="98">
        <v>454158</v>
      </c>
    </row>
    <row r="1197" spans="1:3">
      <c r="A1197" t="s">
        <v>1533</v>
      </c>
      <c r="B1197">
        <v>1</v>
      </c>
      <c r="C1197" s="98">
        <v>454158</v>
      </c>
    </row>
    <row r="1198" spans="1:3">
      <c r="A1198" t="s">
        <v>1533</v>
      </c>
      <c r="B1198">
        <v>1</v>
      </c>
      <c r="C1198" s="98">
        <v>454158</v>
      </c>
    </row>
    <row r="1199" spans="1:3">
      <c r="A1199" t="s">
        <v>1533</v>
      </c>
      <c r="B1199">
        <v>1</v>
      </c>
      <c r="C1199" s="98">
        <v>454158</v>
      </c>
    </row>
    <row r="1200" spans="1:3">
      <c r="A1200" t="s">
        <v>123</v>
      </c>
      <c r="B1200">
        <v>1</v>
      </c>
      <c r="C1200" s="98">
        <v>576331</v>
      </c>
    </row>
    <row r="1201" spans="1:3">
      <c r="A1201" t="s">
        <v>123</v>
      </c>
      <c r="B1201">
        <v>1</v>
      </c>
      <c r="C1201" s="98">
        <v>576331</v>
      </c>
    </row>
    <row r="1202" spans="1:3">
      <c r="A1202" t="s">
        <v>123</v>
      </c>
      <c r="B1202">
        <v>1</v>
      </c>
      <c r="C1202" s="98">
        <v>576331</v>
      </c>
    </row>
    <row r="1203" spans="1:3">
      <c r="A1203" t="s">
        <v>123</v>
      </c>
      <c r="B1203">
        <v>1</v>
      </c>
      <c r="C1203" s="98">
        <v>576331</v>
      </c>
    </row>
    <row r="1204" spans="1:3">
      <c r="A1204" t="s">
        <v>123</v>
      </c>
      <c r="B1204">
        <v>1</v>
      </c>
      <c r="C1204" s="98">
        <v>576331</v>
      </c>
    </row>
    <row r="1205" spans="1:3">
      <c r="A1205" t="s">
        <v>123</v>
      </c>
      <c r="B1205">
        <v>1</v>
      </c>
      <c r="C1205" s="98">
        <v>576331</v>
      </c>
    </row>
    <row r="1206" spans="1:3">
      <c r="A1206" t="s">
        <v>123</v>
      </c>
      <c r="B1206">
        <v>1</v>
      </c>
      <c r="C1206" s="98">
        <v>576331</v>
      </c>
    </row>
    <row r="1207" spans="1:3">
      <c r="A1207" t="s">
        <v>123</v>
      </c>
      <c r="B1207">
        <v>1</v>
      </c>
      <c r="C1207" s="98">
        <v>576331</v>
      </c>
    </row>
    <row r="1208" spans="1:3">
      <c r="A1208" t="s">
        <v>1540</v>
      </c>
      <c r="B1208">
        <v>1</v>
      </c>
      <c r="C1208" s="98">
        <v>628690</v>
      </c>
    </row>
  </sheetData>
  <autoFilter ref="A1:D108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47"/>
  <sheetViews>
    <sheetView topLeftCell="C7" zoomScale="85" zoomScaleNormal="85" workbookViewId="0">
      <selection activeCell="AJ42" sqref="AJ42:AL43"/>
    </sheetView>
  </sheetViews>
  <sheetFormatPr defaultColWidth="8.125" defaultRowHeight="15"/>
  <cols>
    <col min="1" max="1" width="4.625" style="37" customWidth="1"/>
    <col min="2" max="2" width="11.625" style="37" customWidth="1"/>
    <col min="3" max="3" width="36.5" style="37" customWidth="1"/>
    <col min="4" max="4" width="13.75" style="37" hidden="1" customWidth="1"/>
    <col min="5" max="6" width="10.375" style="37" hidden="1" customWidth="1"/>
    <col min="7" max="12" width="11.75" style="37" hidden="1" customWidth="1"/>
    <col min="13" max="13" width="12.5" style="37" hidden="1" customWidth="1"/>
    <col min="14" max="14" width="8.875" style="38" hidden="1" customWidth="1"/>
    <col min="15" max="15" width="10.5" style="38" hidden="1" customWidth="1"/>
    <col min="16" max="17" width="11.75" style="38" hidden="1" customWidth="1"/>
    <col min="18" max="19" width="8.125" style="38" hidden="1" customWidth="1"/>
    <col min="20" max="22" width="8.125" style="39" hidden="1" customWidth="1"/>
    <col min="23" max="25" width="9.75" style="37" customWidth="1"/>
    <col min="26" max="28" width="11.125" style="40" hidden="1" customWidth="1"/>
    <col min="29" max="31" width="8.125" style="41" hidden="1" customWidth="1"/>
    <col min="32" max="32" width="8.125" style="42" hidden="1" customWidth="1"/>
    <col min="33" max="35" width="9.375" style="43" bestFit="1" customWidth="1"/>
    <col min="36" max="38" width="11.5" style="269" bestFit="1" customWidth="1"/>
    <col min="39" max="16384" width="8.125" style="37"/>
  </cols>
  <sheetData>
    <row r="1" spans="1:38" ht="46.5" customHeight="1">
      <c r="Q1" s="44"/>
      <c r="R1" s="45"/>
      <c r="S1" s="46"/>
      <c r="T1" s="47"/>
      <c r="U1" s="47"/>
      <c r="V1" s="47"/>
    </row>
    <row r="2" spans="1:38" ht="37.5" customHeight="1">
      <c r="A2" s="342" t="s">
        <v>149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Q2" s="343" t="s">
        <v>150</v>
      </c>
      <c r="R2" s="344"/>
      <c r="S2" s="345"/>
      <c r="T2" s="48"/>
      <c r="U2" s="48"/>
      <c r="V2" s="48"/>
      <c r="Z2" s="49"/>
      <c r="AA2" s="49"/>
      <c r="AB2" s="49"/>
    </row>
    <row r="3" spans="1:38">
      <c r="Q3" s="50"/>
      <c r="R3" s="51"/>
      <c r="S3" s="52"/>
      <c r="T3" s="53"/>
      <c r="U3" s="53"/>
      <c r="V3" s="53"/>
    </row>
    <row r="4" spans="1:38">
      <c r="A4" s="54" t="s">
        <v>151</v>
      </c>
      <c r="D4" s="55">
        <f>D7*1.12</f>
        <v>201824.00000000003</v>
      </c>
      <c r="Q4" s="50"/>
      <c r="R4" s="51"/>
      <c r="S4" s="52"/>
      <c r="T4" s="53"/>
      <c r="U4" s="53"/>
      <c r="V4" s="53"/>
    </row>
    <row r="5" spans="1:38" ht="42.75" customHeight="1">
      <c r="A5" s="319" t="s">
        <v>7</v>
      </c>
      <c r="B5" s="323" t="s">
        <v>152</v>
      </c>
      <c r="C5" s="324"/>
      <c r="D5" s="327" t="s">
        <v>153</v>
      </c>
      <c r="E5" s="328"/>
      <c r="F5" s="329"/>
      <c r="G5" s="330" t="s">
        <v>154</v>
      </c>
      <c r="H5" s="331"/>
      <c r="I5" s="332"/>
      <c r="J5" s="330" t="s">
        <v>155</v>
      </c>
      <c r="K5" s="331"/>
      <c r="L5" s="332"/>
      <c r="M5" s="321" t="s">
        <v>14</v>
      </c>
      <c r="N5" s="346" t="s">
        <v>156</v>
      </c>
      <c r="O5" s="346"/>
      <c r="P5" s="346"/>
      <c r="Q5" s="347" t="s">
        <v>157</v>
      </c>
      <c r="R5" s="348"/>
      <c r="S5" s="349"/>
      <c r="T5" s="350" t="s">
        <v>158</v>
      </c>
      <c r="U5" s="350"/>
      <c r="V5" s="350"/>
      <c r="W5" s="351" t="s">
        <v>159</v>
      </c>
      <c r="X5" s="352"/>
      <c r="Y5" s="353"/>
      <c r="Z5" s="354" t="s">
        <v>160</v>
      </c>
      <c r="AA5" s="354"/>
      <c r="AB5" s="354"/>
      <c r="AC5" s="355" t="s">
        <v>161</v>
      </c>
      <c r="AD5" s="355"/>
      <c r="AE5" s="355"/>
      <c r="AF5" s="355"/>
      <c r="AG5" s="356" t="s">
        <v>162</v>
      </c>
      <c r="AH5" s="357"/>
      <c r="AI5" s="358"/>
      <c r="AJ5" s="339" t="s">
        <v>259</v>
      </c>
      <c r="AK5" s="340"/>
      <c r="AL5" s="341"/>
    </row>
    <row r="6" spans="1:38" ht="42.75" customHeight="1">
      <c r="A6" s="320"/>
      <c r="B6" s="325"/>
      <c r="C6" s="326"/>
      <c r="D6" s="57" t="s">
        <v>16</v>
      </c>
      <c r="E6" s="57" t="s">
        <v>55</v>
      </c>
      <c r="F6" s="57" t="s">
        <v>163</v>
      </c>
      <c r="G6" s="58" t="s">
        <v>16</v>
      </c>
      <c r="H6" s="58" t="s">
        <v>55</v>
      </c>
      <c r="I6" s="58" t="s">
        <v>163</v>
      </c>
      <c r="J6" s="58" t="s">
        <v>16</v>
      </c>
      <c r="K6" s="58" t="s">
        <v>55</v>
      </c>
      <c r="L6" s="58" t="s">
        <v>163</v>
      </c>
      <c r="M6" s="322"/>
      <c r="N6" s="59" t="s">
        <v>16</v>
      </c>
      <c r="O6" s="59" t="s">
        <v>55</v>
      </c>
      <c r="P6" s="60" t="s">
        <v>163</v>
      </c>
      <c r="Q6" s="61" t="s">
        <v>16</v>
      </c>
      <c r="R6" s="61" t="s">
        <v>55</v>
      </c>
      <c r="S6" s="61" t="s">
        <v>163</v>
      </c>
      <c r="T6" s="62" t="s">
        <v>16</v>
      </c>
      <c r="U6" s="62" t="s">
        <v>55</v>
      </c>
      <c r="V6" s="62" t="s">
        <v>163</v>
      </c>
      <c r="W6" s="63" t="s">
        <v>16</v>
      </c>
      <c r="X6" s="63" t="s">
        <v>55</v>
      </c>
      <c r="Y6" s="63" t="s">
        <v>163</v>
      </c>
      <c r="Z6" s="64" t="s">
        <v>16</v>
      </c>
      <c r="AA6" s="64" t="s">
        <v>55</v>
      </c>
      <c r="AB6" s="64" t="s">
        <v>163</v>
      </c>
      <c r="AC6" s="56" t="s">
        <v>16</v>
      </c>
      <c r="AD6" s="56" t="s">
        <v>55</v>
      </c>
      <c r="AE6" s="56" t="s">
        <v>163</v>
      </c>
      <c r="AF6" s="65" t="s">
        <v>164</v>
      </c>
      <c r="AG6" s="66" t="s">
        <v>16</v>
      </c>
      <c r="AH6" s="66" t="s">
        <v>55</v>
      </c>
      <c r="AI6" s="66" t="s">
        <v>163</v>
      </c>
      <c r="AJ6" s="270" t="s">
        <v>16</v>
      </c>
      <c r="AK6" s="270" t="s">
        <v>55</v>
      </c>
      <c r="AL6" s="270" t="s">
        <v>163</v>
      </c>
    </row>
    <row r="7" spans="1:38" ht="26.25" customHeight="1">
      <c r="A7" s="67">
        <v>1</v>
      </c>
      <c r="B7" s="317" t="s">
        <v>165</v>
      </c>
      <c r="C7" s="318"/>
      <c r="D7" s="68">
        <v>180200</v>
      </c>
      <c r="E7" s="68">
        <v>190800</v>
      </c>
      <c r="F7" s="68">
        <v>212000</v>
      </c>
      <c r="G7" s="69">
        <f t="shared" ref="G7:G19" si="0">D7*1.15</f>
        <v>207229.99999999997</v>
      </c>
      <c r="H7" s="69">
        <f t="shared" ref="H7:H19" si="1">E7*1.15</f>
        <v>219419.99999999997</v>
      </c>
      <c r="I7" s="69">
        <f t="shared" ref="I7:I19" si="2">F7*1.15</f>
        <v>243799.99999999997</v>
      </c>
      <c r="J7" s="69">
        <f t="shared" ref="J7:L13" si="3">D7*1.15</f>
        <v>207229.99999999997</v>
      </c>
      <c r="K7" s="69">
        <f t="shared" si="3"/>
        <v>219419.99999999997</v>
      </c>
      <c r="L7" s="69">
        <f t="shared" si="3"/>
        <v>243799.99999999997</v>
      </c>
      <c r="M7" s="69" t="s">
        <v>166</v>
      </c>
      <c r="N7" s="70">
        <f t="shared" ref="N7:N20" si="4">+J7+80000</f>
        <v>287230</v>
      </c>
      <c r="O7" s="70">
        <f t="shared" ref="O7:O20" si="5">+K7+80000</f>
        <v>299420</v>
      </c>
      <c r="P7" s="71">
        <f t="shared" ref="P7:P20" si="6">+L7+80000</f>
        <v>323800</v>
      </c>
      <c r="Q7" s="72">
        <f t="shared" ref="Q7:Q20" si="7">N7+60000</f>
        <v>347230</v>
      </c>
      <c r="R7" s="72">
        <f t="shared" ref="R7:R20" si="8">O7+60000</f>
        <v>359420</v>
      </c>
      <c r="S7" s="72">
        <f t="shared" ref="S7:S20" si="9">P7+60000</f>
        <v>383800</v>
      </c>
      <c r="T7" s="73">
        <f t="shared" ref="T7:T20" si="10">+J7*112%</f>
        <v>232097.59999999998</v>
      </c>
      <c r="U7" s="73">
        <f t="shared" ref="U7:U20" si="11">+K7*112%</f>
        <v>245750.39999999999</v>
      </c>
      <c r="V7" s="73">
        <f t="shared" ref="V7:V20" si="12">+L7*112%</f>
        <v>273056</v>
      </c>
      <c r="W7" s="74">
        <f t="shared" ref="W7:W19" si="13">ROUND(T7+140000,0)</f>
        <v>372098</v>
      </c>
      <c r="X7" s="74">
        <f t="shared" ref="X7:X19" si="14">ROUND(U7+140000,0)</f>
        <v>385750</v>
      </c>
      <c r="Y7" s="74">
        <f t="shared" ref="Y7:Y19" si="15">ROUND(V7+140000,0)</f>
        <v>413056</v>
      </c>
      <c r="Z7" s="75">
        <f t="shared" ref="Z7:Z19" si="16">W7-140000</f>
        <v>232098</v>
      </c>
      <c r="AA7" s="75">
        <f t="shared" ref="AA7:AA19" si="17">X7-140000</f>
        <v>245750</v>
      </c>
      <c r="AB7" s="75">
        <f t="shared" ref="AB7:AB19" si="18">Y7-140000</f>
        <v>273056</v>
      </c>
      <c r="AC7" s="76">
        <f>ROUND((Z7*35%*'[1]Giá dầu'!$E$20)+Z7,0)</f>
        <v>263979</v>
      </c>
      <c r="AD7" s="76">
        <f>ROUND((AA7*35%*'[1]Giá dầu'!$E$20)+AA7,0)</f>
        <v>279506</v>
      </c>
      <c r="AE7" s="76">
        <f>ROUND((AB7*35%*'[1]Giá dầu'!$E$20)+AB7,0)</f>
        <v>310563</v>
      </c>
      <c r="AF7" s="77">
        <f t="shared" ref="AF7:AF19" si="19">(AC7-Z7)/Z7</f>
        <v>0.13736008065558514</v>
      </c>
      <c r="AG7" s="78">
        <f t="shared" ref="AG7:AG19" si="20">AC7+140000</f>
        <v>403979</v>
      </c>
      <c r="AH7" s="78">
        <f t="shared" ref="AH7:AH19" si="21">AD7+140000</f>
        <v>419506</v>
      </c>
      <c r="AI7" s="78">
        <f t="shared" ref="AI7:AI19" si="22">AE7+140000</f>
        <v>450563</v>
      </c>
      <c r="AJ7" s="268">
        <v>436705</v>
      </c>
      <c r="AK7" s="268">
        <v>454158</v>
      </c>
      <c r="AL7" s="268">
        <v>489065</v>
      </c>
    </row>
    <row r="8" spans="1:38" ht="26.25" customHeight="1">
      <c r="A8" s="67">
        <v>2</v>
      </c>
      <c r="B8" s="335" t="s">
        <v>167</v>
      </c>
      <c r="C8" s="336"/>
      <c r="D8" s="68">
        <v>249100</v>
      </c>
      <c r="E8" s="68">
        <v>265000</v>
      </c>
      <c r="F8" s="68">
        <v>280900</v>
      </c>
      <c r="G8" s="69">
        <f t="shared" si="0"/>
        <v>286465</v>
      </c>
      <c r="H8" s="69">
        <f t="shared" si="1"/>
        <v>304750</v>
      </c>
      <c r="I8" s="69">
        <f t="shared" si="2"/>
        <v>323035</v>
      </c>
      <c r="J8" s="69">
        <f t="shared" si="3"/>
        <v>286465</v>
      </c>
      <c r="K8" s="69">
        <f t="shared" si="3"/>
        <v>304750</v>
      </c>
      <c r="L8" s="69">
        <f t="shared" si="3"/>
        <v>323035</v>
      </c>
      <c r="M8" s="69" t="s">
        <v>166</v>
      </c>
      <c r="N8" s="70">
        <f t="shared" si="4"/>
        <v>366465</v>
      </c>
      <c r="O8" s="70">
        <f t="shared" si="5"/>
        <v>384750</v>
      </c>
      <c r="P8" s="71">
        <f t="shared" si="6"/>
        <v>403035</v>
      </c>
      <c r="Q8" s="72">
        <f t="shared" si="7"/>
        <v>426465</v>
      </c>
      <c r="R8" s="72">
        <f t="shared" si="8"/>
        <v>444750</v>
      </c>
      <c r="S8" s="72">
        <f t="shared" si="9"/>
        <v>463035</v>
      </c>
      <c r="T8" s="79">
        <f t="shared" si="10"/>
        <v>320840.80000000005</v>
      </c>
      <c r="U8" s="79">
        <f t="shared" si="11"/>
        <v>341320.00000000006</v>
      </c>
      <c r="V8" s="79">
        <f t="shared" si="12"/>
        <v>361799.2</v>
      </c>
      <c r="W8" s="74">
        <f t="shared" si="13"/>
        <v>460841</v>
      </c>
      <c r="X8" s="74">
        <f t="shared" si="14"/>
        <v>481320</v>
      </c>
      <c r="Y8" s="74">
        <f t="shared" si="15"/>
        <v>501799</v>
      </c>
      <c r="Z8" s="75">
        <f t="shared" si="16"/>
        <v>320841</v>
      </c>
      <c r="AA8" s="75">
        <f t="shared" si="17"/>
        <v>341320</v>
      </c>
      <c r="AB8" s="75">
        <f t="shared" si="18"/>
        <v>361799</v>
      </c>
      <c r="AC8" s="76">
        <f>ROUND((Z8*35%*'[1]Giá dầu'!$E$20)+Z8,0)</f>
        <v>364912</v>
      </c>
      <c r="AD8" s="76">
        <f>ROUND((AA8*35%*'[1]Giá dầu'!$E$20)+AA8,0)</f>
        <v>388204</v>
      </c>
      <c r="AE8" s="76">
        <f>ROUND((AB8*35%*'[1]Giá dầu'!$E$20)+AB8,0)</f>
        <v>411496</v>
      </c>
      <c r="AF8" s="77">
        <f t="shared" si="19"/>
        <v>0.13736087345445253</v>
      </c>
      <c r="AG8" s="78">
        <f t="shared" si="20"/>
        <v>504912</v>
      </c>
      <c r="AH8" s="78">
        <f t="shared" si="21"/>
        <v>528204</v>
      </c>
      <c r="AI8" s="78">
        <f t="shared" si="22"/>
        <v>551496</v>
      </c>
      <c r="AJ8" s="268">
        <v>550151</v>
      </c>
      <c r="AK8" s="268">
        <v>576331</v>
      </c>
      <c r="AL8" s="268">
        <v>602510</v>
      </c>
    </row>
    <row r="9" spans="1:38" ht="26.25" customHeight="1">
      <c r="A9" s="67">
        <v>3</v>
      </c>
      <c r="B9" s="337" t="s">
        <v>168</v>
      </c>
      <c r="C9" s="338"/>
      <c r="D9" s="68">
        <v>265000</v>
      </c>
      <c r="E9" s="68">
        <v>275600</v>
      </c>
      <c r="F9" s="68">
        <v>296800</v>
      </c>
      <c r="G9" s="69">
        <f t="shared" si="0"/>
        <v>304750</v>
      </c>
      <c r="H9" s="69">
        <f t="shared" si="1"/>
        <v>316940</v>
      </c>
      <c r="I9" s="69">
        <f t="shared" si="2"/>
        <v>341320</v>
      </c>
      <c r="J9" s="69">
        <f t="shared" si="3"/>
        <v>304750</v>
      </c>
      <c r="K9" s="69">
        <f t="shared" si="3"/>
        <v>316940</v>
      </c>
      <c r="L9" s="69">
        <f t="shared" si="3"/>
        <v>341320</v>
      </c>
      <c r="M9" s="69" t="s">
        <v>166</v>
      </c>
      <c r="N9" s="70">
        <f t="shared" si="4"/>
        <v>384750</v>
      </c>
      <c r="O9" s="70">
        <f t="shared" si="5"/>
        <v>396940</v>
      </c>
      <c r="P9" s="71">
        <f t="shared" si="6"/>
        <v>421320</v>
      </c>
      <c r="Q9" s="72">
        <f t="shared" si="7"/>
        <v>444750</v>
      </c>
      <c r="R9" s="72">
        <f t="shared" si="8"/>
        <v>456940</v>
      </c>
      <c r="S9" s="72">
        <f t="shared" si="9"/>
        <v>481320</v>
      </c>
      <c r="T9" s="79">
        <f t="shared" si="10"/>
        <v>341320.00000000006</v>
      </c>
      <c r="U9" s="79">
        <f t="shared" si="11"/>
        <v>354972.80000000005</v>
      </c>
      <c r="V9" s="79">
        <f t="shared" si="12"/>
        <v>382278.40000000002</v>
      </c>
      <c r="W9" s="74">
        <f t="shared" si="13"/>
        <v>481320</v>
      </c>
      <c r="X9" s="74">
        <f t="shared" si="14"/>
        <v>494973</v>
      </c>
      <c r="Y9" s="74">
        <f t="shared" si="15"/>
        <v>522278</v>
      </c>
      <c r="Z9" s="75">
        <f t="shared" si="16"/>
        <v>341320</v>
      </c>
      <c r="AA9" s="75">
        <f t="shared" si="17"/>
        <v>354973</v>
      </c>
      <c r="AB9" s="75">
        <f t="shared" si="18"/>
        <v>382278</v>
      </c>
      <c r="AC9" s="76">
        <f>ROUND((Z9*35%*'[1]Giá dầu'!$E$20)+Z9,0)</f>
        <v>388204</v>
      </c>
      <c r="AD9" s="76">
        <f>ROUND((AA9*35%*'[1]Giá dầu'!$E$20)+AA9,0)</f>
        <v>403732</v>
      </c>
      <c r="AE9" s="76">
        <f>ROUND((AB9*35%*'[1]Giá dầu'!$E$20)+AB9,0)</f>
        <v>434788</v>
      </c>
      <c r="AF9" s="77">
        <f t="shared" si="19"/>
        <v>0.13736083440759406</v>
      </c>
      <c r="AG9" s="78">
        <f t="shared" si="20"/>
        <v>528204</v>
      </c>
      <c r="AH9" s="78">
        <f t="shared" si="21"/>
        <v>543732</v>
      </c>
      <c r="AI9" s="78">
        <f t="shared" si="22"/>
        <v>574788</v>
      </c>
      <c r="AJ9" s="268">
        <v>576331</v>
      </c>
      <c r="AK9" s="268">
        <v>593784</v>
      </c>
      <c r="AL9" s="268">
        <v>628690</v>
      </c>
    </row>
    <row r="10" spans="1:38" ht="26.25" customHeight="1">
      <c r="A10" s="67">
        <v>4</v>
      </c>
      <c r="B10" s="317" t="s">
        <v>169</v>
      </c>
      <c r="C10" s="318"/>
      <c r="D10" s="68">
        <v>275600</v>
      </c>
      <c r="E10" s="68">
        <v>286200</v>
      </c>
      <c r="F10" s="68">
        <v>307400</v>
      </c>
      <c r="G10" s="69">
        <f t="shared" si="0"/>
        <v>316940</v>
      </c>
      <c r="H10" s="69">
        <f t="shared" si="1"/>
        <v>329130</v>
      </c>
      <c r="I10" s="69">
        <f t="shared" si="2"/>
        <v>353510</v>
      </c>
      <c r="J10" s="69">
        <f t="shared" si="3"/>
        <v>316940</v>
      </c>
      <c r="K10" s="69">
        <f t="shared" si="3"/>
        <v>329130</v>
      </c>
      <c r="L10" s="69">
        <f t="shared" si="3"/>
        <v>353510</v>
      </c>
      <c r="M10" s="69" t="s">
        <v>166</v>
      </c>
      <c r="N10" s="70">
        <f t="shared" si="4"/>
        <v>396940</v>
      </c>
      <c r="O10" s="70">
        <f t="shared" si="5"/>
        <v>409130</v>
      </c>
      <c r="P10" s="71">
        <f t="shared" si="6"/>
        <v>433510</v>
      </c>
      <c r="Q10" s="72">
        <f t="shared" si="7"/>
        <v>456940</v>
      </c>
      <c r="R10" s="72">
        <f t="shared" si="8"/>
        <v>469130</v>
      </c>
      <c r="S10" s="72">
        <f t="shared" si="9"/>
        <v>493510</v>
      </c>
      <c r="T10" s="79">
        <f t="shared" si="10"/>
        <v>354972.80000000005</v>
      </c>
      <c r="U10" s="79">
        <f t="shared" si="11"/>
        <v>368625.60000000003</v>
      </c>
      <c r="V10" s="79">
        <f t="shared" si="12"/>
        <v>395931.2</v>
      </c>
      <c r="W10" s="74">
        <f t="shared" si="13"/>
        <v>494973</v>
      </c>
      <c r="X10" s="74">
        <f t="shared" si="14"/>
        <v>508626</v>
      </c>
      <c r="Y10" s="74">
        <f t="shared" si="15"/>
        <v>535931</v>
      </c>
      <c r="Z10" s="75">
        <f t="shared" si="16"/>
        <v>354973</v>
      </c>
      <c r="AA10" s="75">
        <f t="shared" si="17"/>
        <v>368626</v>
      </c>
      <c r="AB10" s="75">
        <f t="shared" si="18"/>
        <v>395931</v>
      </c>
      <c r="AC10" s="76">
        <f>ROUND((Z10*35%*'[1]Giá dầu'!$E$20)+Z10,0)</f>
        <v>403732</v>
      </c>
      <c r="AD10" s="76">
        <f>ROUND((AA10*35%*'[1]Giá dầu'!$E$20)+AA10,0)</f>
        <v>419261</v>
      </c>
      <c r="AE10" s="76">
        <f>ROUND((AB10*35%*'[1]Giá dầu'!$E$20)+AB10,0)</f>
        <v>450316</v>
      </c>
      <c r="AF10" s="77">
        <f t="shared" si="19"/>
        <v>0.13735974285368183</v>
      </c>
      <c r="AG10" s="78">
        <f t="shared" si="20"/>
        <v>543732</v>
      </c>
      <c r="AH10" s="78">
        <f t="shared" si="21"/>
        <v>559261</v>
      </c>
      <c r="AI10" s="78">
        <f t="shared" si="22"/>
        <v>590316</v>
      </c>
      <c r="AJ10" s="268">
        <v>593784</v>
      </c>
      <c r="AK10" s="268">
        <v>611238</v>
      </c>
      <c r="AL10" s="268">
        <v>646143</v>
      </c>
    </row>
    <row r="11" spans="1:38" ht="26.25" customHeight="1">
      <c r="A11" s="67">
        <v>5</v>
      </c>
      <c r="B11" s="317" t="s">
        <v>170</v>
      </c>
      <c r="C11" s="318"/>
      <c r="D11" s="68">
        <v>291500</v>
      </c>
      <c r="E11" s="68">
        <v>296800</v>
      </c>
      <c r="F11" s="68">
        <v>318000</v>
      </c>
      <c r="G11" s="69">
        <f t="shared" si="0"/>
        <v>335225</v>
      </c>
      <c r="H11" s="69">
        <f t="shared" si="1"/>
        <v>341320</v>
      </c>
      <c r="I11" s="69">
        <f t="shared" si="2"/>
        <v>365700</v>
      </c>
      <c r="J11" s="69">
        <f t="shared" si="3"/>
        <v>335225</v>
      </c>
      <c r="K11" s="69">
        <f t="shared" si="3"/>
        <v>341320</v>
      </c>
      <c r="L11" s="69">
        <f t="shared" si="3"/>
        <v>365700</v>
      </c>
      <c r="M11" s="69" t="s">
        <v>166</v>
      </c>
      <c r="N11" s="70">
        <f t="shared" si="4"/>
        <v>415225</v>
      </c>
      <c r="O11" s="70">
        <f t="shared" si="5"/>
        <v>421320</v>
      </c>
      <c r="P11" s="71">
        <f t="shared" si="6"/>
        <v>445700</v>
      </c>
      <c r="Q11" s="72">
        <f t="shared" si="7"/>
        <v>475225</v>
      </c>
      <c r="R11" s="72">
        <f t="shared" si="8"/>
        <v>481320</v>
      </c>
      <c r="S11" s="72">
        <f t="shared" si="9"/>
        <v>505700</v>
      </c>
      <c r="T11" s="79">
        <f t="shared" si="10"/>
        <v>375452.00000000006</v>
      </c>
      <c r="U11" s="79">
        <f t="shared" si="11"/>
        <v>382278.40000000002</v>
      </c>
      <c r="V11" s="79">
        <f t="shared" si="12"/>
        <v>409584.00000000006</v>
      </c>
      <c r="W11" s="74">
        <f t="shared" si="13"/>
        <v>515452</v>
      </c>
      <c r="X11" s="74">
        <f t="shared" si="14"/>
        <v>522278</v>
      </c>
      <c r="Y11" s="74">
        <f t="shared" si="15"/>
        <v>549584</v>
      </c>
      <c r="Z11" s="75">
        <f t="shared" si="16"/>
        <v>375452</v>
      </c>
      <c r="AA11" s="75">
        <f t="shared" si="17"/>
        <v>382278</v>
      </c>
      <c r="AB11" s="75">
        <f t="shared" si="18"/>
        <v>409584</v>
      </c>
      <c r="AC11" s="76">
        <f>ROUND((Z11*35%*'[1]Giá dầu'!$E$20)+Z11,0)</f>
        <v>427024</v>
      </c>
      <c r="AD11" s="76">
        <f>ROUND((AA11*35%*'[1]Giá dầu'!$E$20)+AA11,0)</f>
        <v>434788</v>
      </c>
      <c r="AE11" s="76">
        <f>ROUND((AB11*35%*'[1]Giá dầu'!$E$20)+AB11,0)</f>
        <v>465845</v>
      </c>
      <c r="AF11" s="77">
        <f t="shared" si="19"/>
        <v>0.13735976902506844</v>
      </c>
      <c r="AG11" s="78">
        <f t="shared" si="20"/>
        <v>567024</v>
      </c>
      <c r="AH11" s="78">
        <f t="shared" si="21"/>
        <v>574788</v>
      </c>
      <c r="AI11" s="78">
        <f t="shared" si="22"/>
        <v>605845</v>
      </c>
      <c r="AJ11" s="268">
        <v>619964</v>
      </c>
      <c r="AK11" s="268">
        <v>628690</v>
      </c>
      <c r="AL11" s="268">
        <v>663597</v>
      </c>
    </row>
    <row r="12" spans="1:38" ht="26.25" customHeight="1">
      <c r="A12" s="67">
        <v>6</v>
      </c>
      <c r="B12" s="317" t="s">
        <v>171</v>
      </c>
      <c r="C12" s="318"/>
      <c r="D12" s="68">
        <v>296800</v>
      </c>
      <c r="E12" s="68">
        <v>312700</v>
      </c>
      <c r="F12" s="68">
        <v>328600</v>
      </c>
      <c r="G12" s="69">
        <f t="shared" si="0"/>
        <v>341320</v>
      </c>
      <c r="H12" s="69">
        <f t="shared" si="1"/>
        <v>359605</v>
      </c>
      <c r="I12" s="69">
        <f t="shared" si="2"/>
        <v>377889.99999999994</v>
      </c>
      <c r="J12" s="69">
        <f t="shared" si="3"/>
        <v>341320</v>
      </c>
      <c r="K12" s="69">
        <f t="shared" si="3"/>
        <v>359605</v>
      </c>
      <c r="L12" s="69">
        <f t="shared" si="3"/>
        <v>377889.99999999994</v>
      </c>
      <c r="M12" s="69" t="s">
        <v>166</v>
      </c>
      <c r="N12" s="80">
        <f t="shared" si="4"/>
        <v>421320</v>
      </c>
      <c r="O12" s="80">
        <f t="shared" si="5"/>
        <v>439605</v>
      </c>
      <c r="P12" s="81">
        <f t="shared" si="6"/>
        <v>457889.99999999994</v>
      </c>
      <c r="Q12" s="72">
        <f t="shared" si="7"/>
        <v>481320</v>
      </c>
      <c r="R12" s="72">
        <f t="shared" si="8"/>
        <v>499605</v>
      </c>
      <c r="S12" s="72">
        <f t="shared" si="9"/>
        <v>517889.99999999994</v>
      </c>
      <c r="T12" s="79">
        <f t="shared" si="10"/>
        <v>382278.40000000002</v>
      </c>
      <c r="U12" s="79">
        <f t="shared" si="11"/>
        <v>402757.60000000003</v>
      </c>
      <c r="V12" s="79">
        <f t="shared" si="12"/>
        <v>423236.8</v>
      </c>
      <c r="W12" s="74">
        <f t="shared" si="13"/>
        <v>522278</v>
      </c>
      <c r="X12" s="74">
        <f t="shared" si="14"/>
        <v>542758</v>
      </c>
      <c r="Y12" s="74">
        <f t="shared" si="15"/>
        <v>563237</v>
      </c>
      <c r="Z12" s="75">
        <f t="shared" si="16"/>
        <v>382278</v>
      </c>
      <c r="AA12" s="75">
        <f t="shared" si="17"/>
        <v>402758</v>
      </c>
      <c r="AB12" s="75">
        <f t="shared" si="18"/>
        <v>423237</v>
      </c>
      <c r="AC12" s="76">
        <f>ROUND((Z12*35%*'[1]Giá dầu'!$E$20)+Z12,0)</f>
        <v>434788</v>
      </c>
      <c r="AD12" s="76">
        <f>ROUND((AA12*35%*'[1]Giá dầu'!$E$20)+AA12,0)</f>
        <v>458081</v>
      </c>
      <c r="AE12" s="76">
        <f>ROUND((AB12*35%*'[1]Giá dầu'!$E$20)+AB12,0)</f>
        <v>481373</v>
      </c>
      <c r="AF12" s="77">
        <f t="shared" si="19"/>
        <v>0.1373607688645436</v>
      </c>
      <c r="AG12" s="78">
        <f t="shared" si="20"/>
        <v>574788</v>
      </c>
      <c r="AH12" s="78">
        <f t="shared" si="21"/>
        <v>598081</v>
      </c>
      <c r="AI12" s="78">
        <f t="shared" si="22"/>
        <v>621373</v>
      </c>
      <c r="AJ12" s="268">
        <v>628690</v>
      </c>
      <c r="AK12" s="268">
        <v>654871</v>
      </c>
      <c r="AL12" s="268">
        <v>681050</v>
      </c>
    </row>
    <row r="13" spans="1:38" ht="26.25" customHeight="1">
      <c r="A13" s="67">
        <v>7</v>
      </c>
      <c r="B13" s="317" t="s">
        <v>172</v>
      </c>
      <c r="C13" s="318"/>
      <c r="D13" s="68">
        <v>344500</v>
      </c>
      <c r="E13" s="68">
        <v>360400</v>
      </c>
      <c r="F13" s="68">
        <v>376300</v>
      </c>
      <c r="G13" s="69">
        <f t="shared" si="0"/>
        <v>396174.99999999994</v>
      </c>
      <c r="H13" s="69">
        <f t="shared" si="1"/>
        <v>414459.99999999994</v>
      </c>
      <c r="I13" s="69">
        <f t="shared" si="2"/>
        <v>432744.99999999994</v>
      </c>
      <c r="J13" s="69">
        <f t="shared" si="3"/>
        <v>396174.99999999994</v>
      </c>
      <c r="K13" s="69">
        <f t="shared" si="3"/>
        <v>414459.99999999994</v>
      </c>
      <c r="L13" s="69">
        <f t="shared" si="3"/>
        <v>432744.99999999994</v>
      </c>
      <c r="M13" s="69" t="s">
        <v>166</v>
      </c>
      <c r="N13" s="70">
        <f t="shared" si="4"/>
        <v>476174.99999999994</v>
      </c>
      <c r="O13" s="70">
        <f t="shared" si="5"/>
        <v>494459.99999999994</v>
      </c>
      <c r="P13" s="71">
        <f t="shared" si="6"/>
        <v>512744.99999999994</v>
      </c>
      <c r="Q13" s="72">
        <f t="shared" si="7"/>
        <v>536175</v>
      </c>
      <c r="R13" s="72">
        <f t="shared" si="8"/>
        <v>554460</v>
      </c>
      <c r="S13" s="72">
        <f t="shared" si="9"/>
        <v>572745</v>
      </c>
      <c r="T13" s="79">
        <f t="shared" si="10"/>
        <v>443716</v>
      </c>
      <c r="U13" s="79">
        <f t="shared" si="11"/>
        <v>464195.19999999995</v>
      </c>
      <c r="V13" s="79">
        <f t="shared" si="12"/>
        <v>484674.39999999997</v>
      </c>
      <c r="W13" s="74">
        <f t="shared" si="13"/>
        <v>583716</v>
      </c>
      <c r="X13" s="74">
        <f t="shared" si="14"/>
        <v>604195</v>
      </c>
      <c r="Y13" s="74">
        <f t="shared" si="15"/>
        <v>624674</v>
      </c>
      <c r="Z13" s="75">
        <f t="shared" si="16"/>
        <v>443716</v>
      </c>
      <c r="AA13" s="75">
        <f t="shared" si="17"/>
        <v>464195</v>
      </c>
      <c r="AB13" s="75">
        <f t="shared" si="18"/>
        <v>484674</v>
      </c>
      <c r="AC13" s="76">
        <f>ROUND((Z13*35%*'[1]Giá dầu'!$E$20)+Z13,0)</f>
        <v>504665</v>
      </c>
      <c r="AD13" s="76">
        <f>ROUND((AA13*35%*'[1]Giá dầu'!$E$20)+AA13,0)</f>
        <v>527957</v>
      </c>
      <c r="AE13" s="76">
        <f>ROUND((AB13*35%*'[1]Giá dầu'!$E$20)+AB13,0)</f>
        <v>551249</v>
      </c>
      <c r="AF13" s="77">
        <f t="shared" si="19"/>
        <v>0.13736038366883321</v>
      </c>
      <c r="AG13" s="78">
        <f t="shared" si="20"/>
        <v>644665</v>
      </c>
      <c r="AH13" s="78">
        <f t="shared" si="21"/>
        <v>667957</v>
      </c>
      <c r="AI13" s="78">
        <f t="shared" si="22"/>
        <v>691249</v>
      </c>
      <c r="AJ13" s="268">
        <v>707230</v>
      </c>
      <c r="AK13" s="268">
        <v>733409</v>
      </c>
      <c r="AL13" s="268">
        <v>759589</v>
      </c>
    </row>
    <row r="14" spans="1:38" ht="26.25" customHeight="1">
      <c r="A14" s="67">
        <v>8</v>
      </c>
      <c r="B14" s="333" t="s">
        <v>173</v>
      </c>
      <c r="C14" s="334"/>
      <c r="D14" s="68">
        <v>381600</v>
      </c>
      <c r="E14" s="68">
        <v>397500</v>
      </c>
      <c r="F14" s="68">
        <v>413400</v>
      </c>
      <c r="G14" s="69">
        <f t="shared" si="0"/>
        <v>438839.99999999994</v>
      </c>
      <c r="H14" s="69">
        <f t="shared" si="1"/>
        <v>457124.99999999994</v>
      </c>
      <c r="I14" s="69">
        <f t="shared" si="2"/>
        <v>475409.99999999994</v>
      </c>
      <c r="J14" s="69">
        <f t="shared" ref="J14:L19" si="23">D14*1.1</f>
        <v>419760.00000000006</v>
      </c>
      <c r="K14" s="69">
        <f t="shared" si="23"/>
        <v>437250.00000000006</v>
      </c>
      <c r="L14" s="69">
        <f t="shared" si="23"/>
        <v>454740.00000000006</v>
      </c>
      <c r="M14" s="69" t="s">
        <v>174</v>
      </c>
      <c r="N14" s="70">
        <f t="shared" si="4"/>
        <v>499760.00000000006</v>
      </c>
      <c r="O14" s="70">
        <f t="shared" si="5"/>
        <v>517250.00000000006</v>
      </c>
      <c r="P14" s="71">
        <f t="shared" si="6"/>
        <v>534740</v>
      </c>
      <c r="Q14" s="72">
        <f t="shared" si="7"/>
        <v>559760</v>
      </c>
      <c r="R14" s="72">
        <f t="shared" si="8"/>
        <v>577250</v>
      </c>
      <c r="S14" s="72">
        <f t="shared" si="9"/>
        <v>594740</v>
      </c>
      <c r="T14" s="79">
        <f t="shared" si="10"/>
        <v>470131.20000000013</v>
      </c>
      <c r="U14" s="79">
        <f t="shared" si="11"/>
        <v>489720.00000000012</v>
      </c>
      <c r="V14" s="79">
        <f t="shared" si="12"/>
        <v>509308.8000000001</v>
      </c>
      <c r="W14" s="74">
        <f t="shared" si="13"/>
        <v>610131</v>
      </c>
      <c r="X14" s="74">
        <f t="shared" si="14"/>
        <v>629720</v>
      </c>
      <c r="Y14" s="74">
        <f t="shared" si="15"/>
        <v>649309</v>
      </c>
      <c r="Z14" s="75">
        <f t="shared" si="16"/>
        <v>470131</v>
      </c>
      <c r="AA14" s="75">
        <f t="shared" si="17"/>
        <v>489720</v>
      </c>
      <c r="AB14" s="75">
        <f t="shared" si="18"/>
        <v>509309</v>
      </c>
      <c r="AC14" s="76">
        <f>ROUND((Z14*35%*'[1]Giá dầu'!$E$20)+Z14,0)</f>
        <v>534709</v>
      </c>
      <c r="AD14" s="76">
        <f>ROUND((AA14*35%*'[1]Giá dầu'!$E$20)+AA14,0)</f>
        <v>556988</v>
      </c>
      <c r="AE14" s="76">
        <f>ROUND((AB14*35%*'[1]Giá dầu'!$E$20)+AB14,0)</f>
        <v>579268</v>
      </c>
      <c r="AF14" s="77">
        <f t="shared" si="19"/>
        <v>0.13736171407543854</v>
      </c>
      <c r="AG14" s="78">
        <f t="shared" si="20"/>
        <v>674709</v>
      </c>
      <c r="AH14" s="78">
        <f t="shared" si="21"/>
        <v>696988</v>
      </c>
      <c r="AI14" s="78">
        <f t="shared" si="22"/>
        <v>719268</v>
      </c>
      <c r="AJ14" s="268">
        <v>740998</v>
      </c>
      <c r="AK14" s="268">
        <v>766040</v>
      </c>
      <c r="AL14" s="268">
        <v>791082</v>
      </c>
    </row>
    <row r="15" spans="1:38" ht="26.25" customHeight="1">
      <c r="A15" s="67">
        <v>9</v>
      </c>
      <c r="B15" s="333" t="s">
        <v>175</v>
      </c>
      <c r="C15" s="334"/>
      <c r="D15" s="68">
        <v>455800</v>
      </c>
      <c r="E15" s="68">
        <v>471700</v>
      </c>
      <c r="F15" s="68">
        <v>487600</v>
      </c>
      <c r="G15" s="69">
        <f t="shared" si="0"/>
        <v>524169.99999999994</v>
      </c>
      <c r="H15" s="69">
        <f t="shared" si="1"/>
        <v>542455</v>
      </c>
      <c r="I15" s="69">
        <f t="shared" si="2"/>
        <v>560740</v>
      </c>
      <c r="J15" s="69">
        <f t="shared" si="23"/>
        <v>501380.00000000006</v>
      </c>
      <c r="K15" s="69">
        <f t="shared" si="23"/>
        <v>518870.00000000006</v>
      </c>
      <c r="L15" s="69">
        <f t="shared" si="23"/>
        <v>536360</v>
      </c>
      <c r="M15" s="69" t="s">
        <v>174</v>
      </c>
      <c r="N15" s="70">
        <f t="shared" si="4"/>
        <v>581380</v>
      </c>
      <c r="O15" s="70">
        <f t="shared" si="5"/>
        <v>598870</v>
      </c>
      <c r="P15" s="71">
        <f t="shared" si="6"/>
        <v>616360</v>
      </c>
      <c r="Q15" s="72">
        <f t="shared" si="7"/>
        <v>641380</v>
      </c>
      <c r="R15" s="72">
        <f t="shared" si="8"/>
        <v>658870</v>
      </c>
      <c r="S15" s="72">
        <f t="shared" si="9"/>
        <v>676360</v>
      </c>
      <c r="T15" s="79">
        <f t="shared" si="10"/>
        <v>561545.60000000009</v>
      </c>
      <c r="U15" s="79">
        <f t="shared" si="11"/>
        <v>581134.40000000014</v>
      </c>
      <c r="V15" s="79">
        <f t="shared" si="12"/>
        <v>600723.20000000007</v>
      </c>
      <c r="W15" s="74">
        <f t="shared" si="13"/>
        <v>701546</v>
      </c>
      <c r="X15" s="74">
        <f t="shared" si="14"/>
        <v>721134</v>
      </c>
      <c r="Y15" s="74">
        <f t="shared" si="15"/>
        <v>740723</v>
      </c>
      <c r="Z15" s="75">
        <f t="shared" si="16"/>
        <v>561546</v>
      </c>
      <c r="AA15" s="75">
        <f t="shared" si="17"/>
        <v>581134</v>
      </c>
      <c r="AB15" s="75">
        <f t="shared" si="18"/>
        <v>600723</v>
      </c>
      <c r="AC15" s="76">
        <f>ROUND((Z15*35%*'[1]Giá dầu'!$E$20)+Z15,0)</f>
        <v>638681</v>
      </c>
      <c r="AD15" s="76">
        <f>ROUND((AA15*35%*'[1]Giá dầu'!$E$20)+AA15,0)</f>
        <v>660959</v>
      </c>
      <c r="AE15" s="76">
        <f>ROUND((AB15*35%*'[1]Giá dầu'!$E$20)+AB15,0)</f>
        <v>683239</v>
      </c>
      <c r="AF15" s="77">
        <f t="shared" si="19"/>
        <v>0.1373618545942808</v>
      </c>
      <c r="AG15" s="78">
        <f t="shared" si="20"/>
        <v>778681</v>
      </c>
      <c r="AH15" s="78">
        <f t="shared" si="21"/>
        <v>800959</v>
      </c>
      <c r="AI15" s="78">
        <f t="shared" si="22"/>
        <v>823239</v>
      </c>
      <c r="AJ15" s="268">
        <v>857859</v>
      </c>
      <c r="AK15" s="268">
        <v>882900</v>
      </c>
      <c r="AL15" s="268">
        <v>907942</v>
      </c>
    </row>
    <row r="16" spans="1:38" ht="26.25" customHeight="1">
      <c r="A16" s="67">
        <v>10</v>
      </c>
      <c r="B16" s="333" t="s">
        <v>176</v>
      </c>
      <c r="C16" s="334"/>
      <c r="D16" s="68">
        <v>275600</v>
      </c>
      <c r="E16" s="68">
        <v>291500</v>
      </c>
      <c r="F16" s="68">
        <v>307400</v>
      </c>
      <c r="G16" s="69">
        <f t="shared" si="0"/>
        <v>316940</v>
      </c>
      <c r="H16" s="69">
        <f t="shared" si="1"/>
        <v>335225</v>
      </c>
      <c r="I16" s="69">
        <f t="shared" si="2"/>
        <v>353510</v>
      </c>
      <c r="J16" s="69">
        <f t="shared" si="23"/>
        <v>303160</v>
      </c>
      <c r="K16" s="69">
        <f t="shared" si="23"/>
        <v>320650</v>
      </c>
      <c r="L16" s="69">
        <f t="shared" si="23"/>
        <v>338140</v>
      </c>
      <c r="M16" s="69" t="s">
        <v>174</v>
      </c>
      <c r="N16" s="70">
        <f t="shared" si="4"/>
        <v>383160</v>
      </c>
      <c r="O16" s="70">
        <f t="shared" si="5"/>
        <v>400650</v>
      </c>
      <c r="P16" s="71">
        <f t="shared" si="6"/>
        <v>418140</v>
      </c>
      <c r="Q16" s="72">
        <f t="shared" si="7"/>
        <v>443160</v>
      </c>
      <c r="R16" s="72">
        <f t="shared" si="8"/>
        <v>460650</v>
      </c>
      <c r="S16" s="72">
        <f t="shared" si="9"/>
        <v>478140</v>
      </c>
      <c r="T16" s="79">
        <f t="shared" si="10"/>
        <v>339539.20000000001</v>
      </c>
      <c r="U16" s="79">
        <f t="shared" si="11"/>
        <v>359128.00000000006</v>
      </c>
      <c r="V16" s="79">
        <f t="shared" si="12"/>
        <v>378716.80000000005</v>
      </c>
      <c r="W16" s="74">
        <f t="shared" si="13"/>
        <v>479539</v>
      </c>
      <c r="X16" s="74">
        <f t="shared" si="14"/>
        <v>499128</v>
      </c>
      <c r="Y16" s="74">
        <f t="shared" si="15"/>
        <v>518717</v>
      </c>
      <c r="Z16" s="75">
        <f t="shared" si="16"/>
        <v>339539</v>
      </c>
      <c r="AA16" s="75">
        <f t="shared" si="17"/>
        <v>359128</v>
      </c>
      <c r="AB16" s="75">
        <f t="shared" si="18"/>
        <v>378717</v>
      </c>
      <c r="AC16" s="76">
        <f>ROUND((Z16*35%*'[1]Giá dầu'!$E$20)+Z16,0)</f>
        <v>386178</v>
      </c>
      <c r="AD16" s="76">
        <f>ROUND((AA16*35%*'[1]Giá dầu'!$E$20)+AA16,0)</f>
        <v>408458</v>
      </c>
      <c r="AE16" s="76">
        <f>ROUND((AB16*35%*'[1]Giá dầu'!$E$20)+AB16,0)</f>
        <v>430738</v>
      </c>
      <c r="AF16" s="77">
        <f t="shared" si="19"/>
        <v>0.13735977310412059</v>
      </c>
      <c r="AG16" s="78">
        <f t="shared" si="20"/>
        <v>526178</v>
      </c>
      <c r="AH16" s="78">
        <f t="shared" si="21"/>
        <v>548458</v>
      </c>
      <c r="AI16" s="78">
        <f t="shared" si="22"/>
        <v>570738</v>
      </c>
      <c r="AJ16" s="268">
        <v>574054</v>
      </c>
      <c r="AK16" s="268">
        <v>599096</v>
      </c>
      <c r="AL16" s="268">
        <v>624138</v>
      </c>
    </row>
    <row r="17" spans="1:38" ht="26.25" customHeight="1">
      <c r="A17" s="67">
        <v>11</v>
      </c>
      <c r="B17" s="333" t="s">
        <v>177</v>
      </c>
      <c r="C17" s="334"/>
      <c r="D17" s="68">
        <v>275600</v>
      </c>
      <c r="E17" s="68">
        <v>291500</v>
      </c>
      <c r="F17" s="68">
        <v>307400</v>
      </c>
      <c r="G17" s="69">
        <f t="shared" si="0"/>
        <v>316940</v>
      </c>
      <c r="H17" s="69">
        <f t="shared" si="1"/>
        <v>335225</v>
      </c>
      <c r="I17" s="69">
        <f t="shared" si="2"/>
        <v>353510</v>
      </c>
      <c r="J17" s="69">
        <f t="shared" si="23"/>
        <v>303160</v>
      </c>
      <c r="K17" s="69">
        <f t="shared" si="23"/>
        <v>320650</v>
      </c>
      <c r="L17" s="69">
        <f t="shared" si="23"/>
        <v>338140</v>
      </c>
      <c r="M17" s="69" t="s">
        <v>174</v>
      </c>
      <c r="N17" s="70">
        <f t="shared" si="4"/>
        <v>383160</v>
      </c>
      <c r="O17" s="70">
        <f t="shared" si="5"/>
        <v>400650</v>
      </c>
      <c r="P17" s="71">
        <f t="shared" si="6"/>
        <v>418140</v>
      </c>
      <c r="Q17" s="72">
        <f t="shared" si="7"/>
        <v>443160</v>
      </c>
      <c r="R17" s="72">
        <f t="shared" si="8"/>
        <v>460650</v>
      </c>
      <c r="S17" s="72">
        <f t="shared" si="9"/>
        <v>478140</v>
      </c>
      <c r="T17" s="79">
        <f t="shared" si="10"/>
        <v>339539.20000000001</v>
      </c>
      <c r="U17" s="79">
        <f t="shared" si="11"/>
        <v>359128.00000000006</v>
      </c>
      <c r="V17" s="79">
        <f t="shared" si="12"/>
        <v>378716.80000000005</v>
      </c>
      <c r="W17" s="74">
        <f t="shared" si="13"/>
        <v>479539</v>
      </c>
      <c r="X17" s="74">
        <f t="shared" si="14"/>
        <v>499128</v>
      </c>
      <c r="Y17" s="74">
        <f t="shared" si="15"/>
        <v>518717</v>
      </c>
      <c r="Z17" s="75">
        <f t="shared" si="16"/>
        <v>339539</v>
      </c>
      <c r="AA17" s="75">
        <f t="shared" si="17"/>
        <v>359128</v>
      </c>
      <c r="AB17" s="75">
        <f t="shared" si="18"/>
        <v>378717</v>
      </c>
      <c r="AC17" s="76">
        <f>ROUND((Z17*35%*'[1]Giá dầu'!$E$20)+Z17,0)</f>
        <v>386178</v>
      </c>
      <c r="AD17" s="76">
        <f>ROUND((AA17*35%*'[1]Giá dầu'!$E$20)+AA17,0)</f>
        <v>408458</v>
      </c>
      <c r="AE17" s="76">
        <f>ROUND((AB17*35%*'[1]Giá dầu'!$E$20)+AB17,0)</f>
        <v>430738</v>
      </c>
      <c r="AF17" s="77">
        <f t="shared" si="19"/>
        <v>0.13735977310412059</v>
      </c>
      <c r="AG17" s="78">
        <f t="shared" si="20"/>
        <v>526178</v>
      </c>
      <c r="AH17" s="78">
        <f t="shared" si="21"/>
        <v>548458</v>
      </c>
      <c r="AI17" s="78">
        <f t="shared" si="22"/>
        <v>570738</v>
      </c>
      <c r="AJ17" s="268">
        <v>574054</v>
      </c>
      <c r="AK17" s="268">
        <v>599096</v>
      </c>
      <c r="AL17" s="268">
        <v>624138</v>
      </c>
    </row>
    <row r="18" spans="1:38" ht="26.25" customHeight="1">
      <c r="A18" s="67">
        <v>12</v>
      </c>
      <c r="B18" s="333" t="s">
        <v>178</v>
      </c>
      <c r="C18" s="334"/>
      <c r="D18" s="68">
        <v>408100</v>
      </c>
      <c r="E18" s="68">
        <v>424000</v>
      </c>
      <c r="F18" s="68">
        <v>439900</v>
      </c>
      <c r="G18" s="69">
        <f t="shared" si="0"/>
        <v>469314.99999999994</v>
      </c>
      <c r="H18" s="69">
        <f t="shared" si="1"/>
        <v>487599.99999999994</v>
      </c>
      <c r="I18" s="69">
        <f t="shared" si="2"/>
        <v>505884.99999999994</v>
      </c>
      <c r="J18" s="69">
        <f t="shared" si="23"/>
        <v>448910.00000000006</v>
      </c>
      <c r="K18" s="69">
        <f t="shared" si="23"/>
        <v>466400.00000000006</v>
      </c>
      <c r="L18" s="69">
        <f t="shared" si="23"/>
        <v>483890.00000000006</v>
      </c>
      <c r="M18" s="69" t="s">
        <v>174</v>
      </c>
      <c r="N18" s="70">
        <f t="shared" si="4"/>
        <v>528910</v>
      </c>
      <c r="O18" s="70">
        <f t="shared" si="5"/>
        <v>546400</v>
      </c>
      <c r="P18" s="71">
        <f t="shared" si="6"/>
        <v>563890</v>
      </c>
      <c r="Q18" s="72">
        <f t="shared" si="7"/>
        <v>588910</v>
      </c>
      <c r="R18" s="72">
        <f t="shared" si="8"/>
        <v>606400</v>
      </c>
      <c r="S18" s="72">
        <f t="shared" si="9"/>
        <v>623890</v>
      </c>
      <c r="T18" s="79">
        <f t="shared" si="10"/>
        <v>502779.20000000013</v>
      </c>
      <c r="U18" s="79">
        <f t="shared" si="11"/>
        <v>522368.00000000012</v>
      </c>
      <c r="V18" s="79">
        <f t="shared" si="12"/>
        <v>541956.80000000016</v>
      </c>
      <c r="W18" s="74">
        <f t="shared" si="13"/>
        <v>642779</v>
      </c>
      <c r="X18" s="74">
        <f t="shared" si="14"/>
        <v>662368</v>
      </c>
      <c r="Y18" s="74">
        <f t="shared" si="15"/>
        <v>681957</v>
      </c>
      <c r="Z18" s="75">
        <f t="shared" si="16"/>
        <v>502779</v>
      </c>
      <c r="AA18" s="75">
        <f t="shared" si="17"/>
        <v>522368</v>
      </c>
      <c r="AB18" s="75">
        <f t="shared" si="18"/>
        <v>541957</v>
      </c>
      <c r="AC18" s="76">
        <f>ROUND((Z18*35%*'[1]Giá dầu'!$E$20)+Z18,0)</f>
        <v>571841</v>
      </c>
      <c r="AD18" s="76">
        <f>ROUND((AA18*35%*'[1]Giá dầu'!$E$20)+AA18,0)</f>
        <v>594121</v>
      </c>
      <c r="AE18" s="76">
        <f>ROUND((AB18*35%*'[1]Giá dầu'!$E$20)+AB18,0)</f>
        <v>616401</v>
      </c>
      <c r="AF18" s="77">
        <f t="shared" si="19"/>
        <v>0.13736055006275122</v>
      </c>
      <c r="AG18" s="78">
        <f t="shared" si="20"/>
        <v>711841</v>
      </c>
      <c r="AH18" s="78">
        <f t="shared" si="21"/>
        <v>734121</v>
      </c>
      <c r="AI18" s="78">
        <f t="shared" si="22"/>
        <v>756401</v>
      </c>
      <c r="AJ18" s="268">
        <v>782734</v>
      </c>
      <c r="AK18" s="268">
        <v>807776</v>
      </c>
      <c r="AL18" s="268">
        <v>832818</v>
      </c>
    </row>
    <row r="19" spans="1:38" ht="26.25" customHeight="1">
      <c r="A19" s="67">
        <v>13</v>
      </c>
      <c r="B19" s="333" t="s">
        <v>179</v>
      </c>
      <c r="C19" s="334"/>
      <c r="D19" s="68">
        <v>249100</v>
      </c>
      <c r="E19" s="68">
        <v>265000</v>
      </c>
      <c r="F19" s="68">
        <v>280900</v>
      </c>
      <c r="G19" s="69">
        <f t="shared" si="0"/>
        <v>286465</v>
      </c>
      <c r="H19" s="69">
        <f t="shared" si="1"/>
        <v>304750</v>
      </c>
      <c r="I19" s="69">
        <f t="shared" si="2"/>
        <v>323035</v>
      </c>
      <c r="J19" s="69">
        <f t="shared" si="23"/>
        <v>274010</v>
      </c>
      <c r="K19" s="69">
        <f t="shared" si="23"/>
        <v>291500</v>
      </c>
      <c r="L19" s="69">
        <f t="shared" si="23"/>
        <v>308990</v>
      </c>
      <c r="M19" s="69" t="s">
        <v>174</v>
      </c>
      <c r="N19" s="70">
        <f t="shared" si="4"/>
        <v>354010</v>
      </c>
      <c r="O19" s="70">
        <f t="shared" si="5"/>
        <v>371500</v>
      </c>
      <c r="P19" s="71">
        <f t="shared" si="6"/>
        <v>388990</v>
      </c>
      <c r="Q19" s="72">
        <f t="shared" si="7"/>
        <v>414010</v>
      </c>
      <c r="R19" s="72">
        <f t="shared" si="8"/>
        <v>431500</v>
      </c>
      <c r="S19" s="72">
        <f t="shared" si="9"/>
        <v>448990</v>
      </c>
      <c r="T19" s="79">
        <f t="shared" si="10"/>
        <v>306891.2</v>
      </c>
      <c r="U19" s="79">
        <f t="shared" si="11"/>
        <v>326480.00000000006</v>
      </c>
      <c r="V19" s="79">
        <f t="shared" si="12"/>
        <v>346068.80000000005</v>
      </c>
      <c r="W19" s="74">
        <f t="shared" si="13"/>
        <v>446891</v>
      </c>
      <c r="X19" s="74">
        <f t="shared" si="14"/>
        <v>466480</v>
      </c>
      <c r="Y19" s="74">
        <f t="shared" si="15"/>
        <v>486069</v>
      </c>
      <c r="Z19" s="75">
        <f t="shared" si="16"/>
        <v>306891</v>
      </c>
      <c r="AA19" s="75">
        <f t="shared" si="17"/>
        <v>326480</v>
      </c>
      <c r="AB19" s="75">
        <f t="shared" si="18"/>
        <v>346069</v>
      </c>
      <c r="AC19" s="76">
        <f>ROUND((Z19*35%*'[1]Giá dầu'!$E$20)+Z19,0)</f>
        <v>349046</v>
      </c>
      <c r="AD19" s="76">
        <f>ROUND((AA19*35%*'[1]Giá dầu'!$E$20)+AA19,0)</f>
        <v>371326</v>
      </c>
      <c r="AE19" s="76">
        <f>ROUND((AB19*35%*'[1]Giá dầu'!$E$20)+AB19,0)</f>
        <v>393605</v>
      </c>
      <c r="AF19" s="77">
        <f t="shared" si="19"/>
        <v>0.13736147361766882</v>
      </c>
      <c r="AG19" s="78">
        <f t="shared" si="20"/>
        <v>489046</v>
      </c>
      <c r="AH19" s="78">
        <f t="shared" si="21"/>
        <v>511326</v>
      </c>
      <c r="AI19" s="78">
        <f t="shared" si="22"/>
        <v>533605</v>
      </c>
      <c r="AJ19" s="268">
        <v>532318</v>
      </c>
      <c r="AK19" s="268">
        <v>557360</v>
      </c>
      <c r="AL19" s="268">
        <v>582402</v>
      </c>
    </row>
    <row r="20" spans="1:38" ht="26.25" customHeight="1">
      <c r="A20" s="67">
        <v>14</v>
      </c>
      <c r="B20" s="333" t="s">
        <v>180</v>
      </c>
      <c r="C20" s="334"/>
      <c r="D20" s="68"/>
      <c r="E20" s="68"/>
      <c r="F20" s="68"/>
      <c r="G20" s="69"/>
      <c r="H20" s="69"/>
      <c r="I20" s="69"/>
      <c r="J20" s="69">
        <f>D20*1.15</f>
        <v>0</v>
      </c>
      <c r="K20" s="69">
        <f>E20*1.15</f>
        <v>0</v>
      </c>
      <c r="L20" s="69">
        <f>F20*1.15</f>
        <v>0</v>
      </c>
      <c r="M20" s="69" t="s">
        <v>181</v>
      </c>
      <c r="N20" s="70">
        <f t="shared" si="4"/>
        <v>80000</v>
      </c>
      <c r="O20" s="70">
        <f t="shared" si="5"/>
        <v>80000</v>
      </c>
      <c r="P20" s="71">
        <f t="shared" si="6"/>
        <v>80000</v>
      </c>
      <c r="Q20" s="72">
        <f t="shared" si="7"/>
        <v>140000</v>
      </c>
      <c r="R20" s="72">
        <f t="shared" si="8"/>
        <v>140000</v>
      </c>
      <c r="S20" s="72">
        <f t="shared" si="9"/>
        <v>140000</v>
      </c>
      <c r="T20" s="79">
        <f t="shared" si="10"/>
        <v>0</v>
      </c>
      <c r="U20" s="79">
        <f t="shared" si="11"/>
        <v>0</v>
      </c>
      <c r="V20" s="79">
        <f t="shared" si="12"/>
        <v>0</v>
      </c>
      <c r="W20" s="82"/>
      <c r="X20" s="82"/>
      <c r="Y20" s="82"/>
      <c r="Z20" s="75"/>
      <c r="AA20" s="75"/>
      <c r="AB20" s="75"/>
      <c r="AC20" s="76"/>
      <c r="AD20" s="76"/>
      <c r="AE20" s="76"/>
      <c r="AF20" s="83"/>
      <c r="AG20" s="78"/>
      <c r="AH20" s="78"/>
      <c r="AI20" s="78"/>
      <c r="AJ20" s="268"/>
      <c r="AK20" s="268"/>
      <c r="AL20" s="268"/>
    </row>
    <row r="21" spans="1:38" ht="26.25" customHeight="1">
      <c r="Q21" s="84"/>
      <c r="R21" s="85"/>
      <c r="S21" s="86"/>
      <c r="T21" s="79"/>
      <c r="U21" s="79"/>
      <c r="V21" s="79"/>
      <c r="W21" s="82"/>
      <c r="X21" s="82"/>
      <c r="Y21" s="82"/>
      <c r="Z21" s="87"/>
      <c r="AA21" s="87"/>
      <c r="AB21" s="87"/>
      <c r="AD21" s="88"/>
      <c r="AH21" s="89"/>
      <c r="AJ21" s="120"/>
      <c r="AK21" s="120"/>
      <c r="AL21" s="120"/>
    </row>
    <row r="22" spans="1:38" ht="26.25" customHeight="1">
      <c r="A22" s="54" t="s">
        <v>182</v>
      </c>
      <c r="Q22" s="84"/>
      <c r="R22" s="85"/>
      <c r="S22" s="86"/>
      <c r="T22" s="79"/>
      <c r="U22" s="79"/>
      <c r="V22" s="79"/>
      <c r="W22" s="82"/>
      <c r="X22" s="82"/>
      <c r="Y22" s="82"/>
      <c r="Z22" s="87"/>
      <c r="AA22" s="87"/>
      <c r="AB22" s="87"/>
      <c r="AD22" s="88"/>
      <c r="AH22" s="89"/>
      <c r="AJ22" s="120"/>
      <c r="AK22" s="120"/>
      <c r="AL22" s="120"/>
    </row>
    <row r="23" spans="1:38" ht="42.75" customHeight="1">
      <c r="A23" s="319" t="s">
        <v>7</v>
      </c>
      <c r="B23" s="323" t="s">
        <v>152</v>
      </c>
      <c r="C23" s="324"/>
      <c r="D23" s="327" t="s">
        <v>183</v>
      </c>
      <c r="E23" s="328"/>
      <c r="F23" s="329"/>
      <c r="G23" s="330" t="s">
        <v>154</v>
      </c>
      <c r="H23" s="331"/>
      <c r="I23" s="332"/>
      <c r="J23" s="330" t="s">
        <v>155</v>
      </c>
      <c r="K23" s="331"/>
      <c r="L23" s="332"/>
      <c r="M23" s="321" t="s">
        <v>14</v>
      </c>
      <c r="Q23" s="84"/>
      <c r="R23" s="85"/>
      <c r="S23" s="86"/>
      <c r="T23" s="79"/>
      <c r="U23" s="79"/>
      <c r="V23" s="79"/>
      <c r="W23" s="82"/>
      <c r="X23" s="82"/>
      <c r="Y23" s="82"/>
      <c r="Z23" s="87"/>
      <c r="AA23" s="87"/>
      <c r="AB23" s="87"/>
      <c r="AD23" s="88"/>
      <c r="AH23" s="89"/>
      <c r="AJ23" s="120"/>
      <c r="AK23" s="120"/>
      <c r="AL23" s="120"/>
    </row>
    <row r="24" spans="1:38" ht="42.75" customHeight="1">
      <c r="A24" s="320"/>
      <c r="B24" s="325"/>
      <c r="C24" s="326"/>
      <c r="D24" s="57" t="s">
        <v>16</v>
      </c>
      <c r="E24" s="57" t="s">
        <v>55</v>
      </c>
      <c r="F24" s="57" t="s">
        <v>163</v>
      </c>
      <c r="G24" s="58" t="s">
        <v>16</v>
      </c>
      <c r="H24" s="58" t="s">
        <v>55</v>
      </c>
      <c r="I24" s="58" t="s">
        <v>163</v>
      </c>
      <c r="J24" s="58" t="s">
        <v>16</v>
      </c>
      <c r="K24" s="58" t="s">
        <v>55</v>
      </c>
      <c r="L24" s="58" t="s">
        <v>163</v>
      </c>
      <c r="M24" s="322"/>
      <c r="Q24" s="61" t="s">
        <v>16</v>
      </c>
      <c r="R24" s="61" t="s">
        <v>55</v>
      </c>
      <c r="S24" s="61" t="s">
        <v>163</v>
      </c>
      <c r="T24" s="79" t="s">
        <v>16</v>
      </c>
      <c r="U24" s="79" t="s">
        <v>55</v>
      </c>
      <c r="V24" s="79" t="s">
        <v>163</v>
      </c>
      <c r="W24" s="63" t="s">
        <v>16</v>
      </c>
      <c r="X24" s="63" t="s">
        <v>55</v>
      </c>
      <c r="Y24" s="63" t="s">
        <v>163</v>
      </c>
      <c r="Z24" s="64" t="s">
        <v>16</v>
      </c>
      <c r="AA24" s="64" t="s">
        <v>55</v>
      </c>
      <c r="AB24" s="64" t="s">
        <v>163</v>
      </c>
      <c r="AC24" s="90" t="s">
        <v>16</v>
      </c>
      <c r="AD24" s="90" t="s">
        <v>55</v>
      </c>
      <c r="AE24" s="90" t="s">
        <v>163</v>
      </c>
      <c r="AF24" s="65" t="s">
        <v>164</v>
      </c>
      <c r="AG24" s="66" t="s">
        <v>16</v>
      </c>
      <c r="AH24" s="66" t="s">
        <v>55</v>
      </c>
      <c r="AI24" s="66" t="s">
        <v>163</v>
      </c>
      <c r="AJ24" s="270" t="s">
        <v>16</v>
      </c>
      <c r="AK24" s="270" t="s">
        <v>55</v>
      </c>
      <c r="AL24" s="270" t="s">
        <v>163</v>
      </c>
    </row>
    <row r="25" spans="1:38" ht="26.25" customHeight="1">
      <c r="A25" s="67">
        <v>1</v>
      </c>
      <c r="B25" s="317" t="s">
        <v>165</v>
      </c>
      <c r="C25" s="318"/>
      <c r="D25" s="68">
        <v>260000</v>
      </c>
      <c r="E25" s="68">
        <v>212000</v>
      </c>
      <c r="F25" s="68">
        <v>233200</v>
      </c>
      <c r="G25" s="69">
        <f t="shared" ref="G25:G38" si="24">D25*1.15</f>
        <v>299000</v>
      </c>
      <c r="H25" s="69">
        <f t="shared" ref="H25:H38" si="25">E25*1.15</f>
        <v>243799.99999999997</v>
      </c>
      <c r="I25" s="69">
        <f t="shared" ref="I25:I38" si="26">F25*1.15</f>
        <v>268180</v>
      </c>
      <c r="J25" s="69">
        <f t="shared" ref="J25:L31" si="27">D25*1.15</f>
        <v>299000</v>
      </c>
      <c r="K25" s="69">
        <f t="shared" si="27"/>
        <v>243799.99999999997</v>
      </c>
      <c r="L25" s="69">
        <f t="shared" si="27"/>
        <v>268180</v>
      </c>
      <c r="M25" s="69" t="s">
        <v>166</v>
      </c>
      <c r="N25" s="70">
        <f t="shared" ref="N25:N38" si="28">+J25+80000</f>
        <v>379000</v>
      </c>
      <c r="O25" s="70">
        <f t="shared" ref="O25:O38" si="29">+K25+80000</f>
        <v>323800</v>
      </c>
      <c r="P25" s="71">
        <f t="shared" ref="P25:P38" si="30">+L25+80000</f>
        <v>348180</v>
      </c>
      <c r="Q25" s="72">
        <f t="shared" ref="Q25:Q38" si="31">N25+60000</f>
        <v>439000</v>
      </c>
      <c r="R25" s="72">
        <f t="shared" ref="R25:R38" si="32">O25+60000</f>
        <v>383800</v>
      </c>
      <c r="S25" s="72">
        <f t="shared" ref="S25:S38" si="33">P25+60000</f>
        <v>408180</v>
      </c>
      <c r="T25" s="79">
        <f t="shared" ref="T25:T38" si="34">+J25*112%</f>
        <v>334880.00000000006</v>
      </c>
      <c r="U25" s="79">
        <f t="shared" ref="U25:U38" si="35">+K25*112%</f>
        <v>273056</v>
      </c>
      <c r="V25" s="79">
        <f t="shared" ref="V25:V38" si="36">+L25*112%</f>
        <v>300361.60000000003</v>
      </c>
      <c r="W25" s="91">
        <f t="shared" ref="W25:W38" si="37">ROUND(T25+140000,0)</f>
        <v>474880</v>
      </c>
      <c r="X25" s="91">
        <f t="shared" ref="X25:X38" si="38">ROUND(U25+140000,0)</f>
        <v>413056</v>
      </c>
      <c r="Y25" s="91">
        <f t="shared" ref="Y25:Y38" si="39">ROUND(V25+140000,0)</f>
        <v>440362</v>
      </c>
      <c r="Z25" s="75">
        <f t="shared" ref="Z25:Z38" si="40">W25-140000</f>
        <v>334880</v>
      </c>
      <c r="AA25" s="75">
        <f t="shared" ref="AA25:AA38" si="41">X25-140000</f>
        <v>273056</v>
      </c>
      <c r="AB25" s="75">
        <f t="shared" ref="AB25:AB38" si="42">Y25-140000</f>
        <v>300362</v>
      </c>
      <c r="AC25" s="76">
        <f>ROUND((Z25*35%*'[1]Giá dầu'!$E$20)+Z25,0)</f>
        <v>380879</v>
      </c>
      <c r="AD25" s="76">
        <f>ROUND((AA25*35%*'[1]Giá dầu'!$E$20)+AA25,0)</f>
        <v>310563</v>
      </c>
      <c r="AE25" s="76">
        <f>ROUND((AB25*35%*'[1]Giá dầu'!$E$20)+AB25,0)</f>
        <v>341620</v>
      </c>
      <c r="AF25" s="77">
        <f t="shared" ref="AF25:AF38" si="43">(AC25-Z25)/Z25</f>
        <v>0.13735965121834687</v>
      </c>
      <c r="AG25" s="78">
        <f t="shared" ref="AG25:AG37" si="44">AC25+140000</f>
        <v>520879</v>
      </c>
      <c r="AH25" s="78">
        <f t="shared" ref="AH25:AH37" si="45">AD25+140000</f>
        <v>450563</v>
      </c>
      <c r="AI25" s="78">
        <f t="shared" ref="AI25:AI37" si="46">AE25+140000</f>
        <v>481620</v>
      </c>
      <c r="AJ25" s="268">
        <v>568098</v>
      </c>
      <c r="AK25" s="268">
        <v>489065</v>
      </c>
      <c r="AL25" s="268">
        <v>523972</v>
      </c>
    </row>
    <row r="26" spans="1:38" ht="25.9" customHeight="1">
      <c r="A26" s="67">
        <v>2</v>
      </c>
      <c r="B26" s="317" t="s">
        <v>167</v>
      </c>
      <c r="C26" s="318"/>
      <c r="D26" s="68">
        <v>270300</v>
      </c>
      <c r="E26" s="68">
        <v>286200</v>
      </c>
      <c r="F26" s="68">
        <v>302100</v>
      </c>
      <c r="G26" s="69">
        <f t="shared" si="24"/>
        <v>310845</v>
      </c>
      <c r="H26" s="69">
        <f t="shared" si="25"/>
        <v>329130</v>
      </c>
      <c r="I26" s="69">
        <f t="shared" si="26"/>
        <v>347415</v>
      </c>
      <c r="J26" s="69">
        <f t="shared" si="27"/>
        <v>310845</v>
      </c>
      <c r="K26" s="69">
        <f t="shared" si="27"/>
        <v>329130</v>
      </c>
      <c r="L26" s="69">
        <f t="shared" si="27"/>
        <v>347415</v>
      </c>
      <c r="M26" s="69" t="s">
        <v>166</v>
      </c>
      <c r="N26" s="70">
        <f t="shared" si="28"/>
        <v>390845</v>
      </c>
      <c r="O26" s="70">
        <f t="shared" si="29"/>
        <v>409130</v>
      </c>
      <c r="P26" s="71">
        <f t="shared" si="30"/>
        <v>427415</v>
      </c>
      <c r="Q26" s="72">
        <f t="shared" si="31"/>
        <v>450845</v>
      </c>
      <c r="R26" s="72">
        <f t="shared" si="32"/>
        <v>469130</v>
      </c>
      <c r="S26" s="72">
        <f t="shared" si="33"/>
        <v>487415</v>
      </c>
      <c r="T26" s="79">
        <f t="shared" si="34"/>
        <v>348146.4</v>
      </c>
      <c r="U26" s="79">
        <f t="shared" si="35"/>
        <v>368625.60000000003</v>
      </c>
      <c r="V26" s="79">
        <f t="shared" si="36"/>
        <v>389104.80000000005</v>
      </c>
      <c r="W26" s="91">
        <f t="shared" si="37"/>
        <v>488146</v>
      </c>
      <c r="X26" s="91">
        <f t="shared" si="38"/>
        <v>508626</v>
      </c>
      <c r="Y26" s="91">
        <f t="shared" si="39"/>
        <v>529105</v>
      </c>
      <c r="Z26" s="75">
        <f t="shared" si="40"/>
        <v>348146</v>
      </c>
      <c r="AA26" s="75">
        <f t="shared" si="41"/>
        <v>368626</v>
      </c>
      <c r="AB26" s="75">
        <f t="shared" si="42"/>
        <v>389105</v>
      </c>
      <c r="AC26" s="76">
        <f>ROUND((Z26*35%*'[1]Giá dầu'!$E$20)+Z26,0)</f>
        <v>395968</v>
      </c>
      <c r="AD26" s="76">
        <f>ROUND((AA26*35%*'[1]Giá dầu'!$E$20)+AA26,0)</f>
        <v>419261</v>
      </c>
      <c r="AE26" s="76">
        <f>ROUND((AB26*35%*'[1]Giá dầu'!$E$20)+AB26,0)</f>
        <v>442553</v>
      </c>
      <c r="AF26" s="77">
        <f t="shared" si="43"/>
        <v>0.1373619113820064</v>
      </c>
      <c r="AG26" s="78">
        <f t="shared" si="44"/>
        <v>535968</v>
      </c>
      <c r="AH26" s="78">
        <f t="shared" si="45"/>
        <v>559261</v>
      </c>
      <c r="AI26" s="78">
        <f t="shared" si="46"/>
        <v>582553</v>
      </c>
      <c r="AJ26" s="268">
        <v>585057</v>
      </c>
      <c r="AK26" s="268">
        <v>611238</v>
      </c>
      <c r="AL26" s="268">
        <v>637417</v>
      </c>
    </row>
    <row r="27" spans="1:38" ht="26.25" customHeight="1">
      <c r="A27" s="67">
        <v>3</v>
      </c>
      <c r="B27" s="317" t="s">
        <v>168</v>
      </c>
      <c r="C27" s="318"/>
      <c r="D27" s="68">
        <v>286200</v>
      </c>
      <c r="E27" s="68">
        <v>296800</v>
      </c>
      <c r="F27" s="68">
        <v>318000</v>
      </c>
      <c r="G27" s="69">
        <f t="shared" si="24"/>
        <v>329130</v>
      </c>
      <c r="H27" s="69">
        <f t="shared" si="25"/>
        <v>341320</v>
      </c>
      <c r="I27" s="69">
        <f t="shared" si="26"/>
        <v>365700</v>
      </c>
      <c r="J27" s="69">
        <f t="shared" si="27"/>
        <v>329130</v>
      </c>
      <c r="K27" s="69">
        <f t="shared" si="27"/>
        <v>341320</v>
      </c>
      <c r="L27" s="69">
        <f t="shared" si="27"/>
        <v>365700</v>
      </c>
      <c r="M27" s="69" t="s">
        <v>166</v>
      </c>
      <c r="N27" s="70">
        <f t="shared" si="28"/>
        <v>409130</v>
      </c>
      <c r="O27" s="70">
        <f t="shared" si="29"/>
        <v>421320</v>
      </c>
      <c r="P27" s="71">
        <f t="shared" si="30"/>
        <v>445700</v>
      </c>
      <c r="Q27" s="72">
        <f t="shared" si="31"/>
        <v>469130</v>
      </c>
      <c r="R27" s="72">
        <f t="shared" si="32"/>
        <v>481320</v>
      </c>
      <c r="S27" s="72">
        <f t="shared" si="33"/>
        <v>505700</v>
      </c>
      <c r="T27" s="79">
        <f t="shared" si="34"/>
        <v>368625.60000000003</v>
      </c>
      <c r="U27" s="79">
        <f t="shared" si="35"/>
        <v>382278.40000000002</v>
      </c>
      <c r="V27" s="79">
        <f t="shared" si="36"/>
        <v>409584.00000000006</v>
      </c>
      <c r="W27" s="91">
        <f t="shared" si="37"/>
        <v>508626</v>
      </c>
      <c r="X27" s="91">
        <f t="shared" si="38"/>
        <v>522278</v>
      </c>
      <c r="Y27" s="91">
        <f t="shared" si="39"/>
        <v>549584</v>
      </c>
      <c r="Z27" s="75">
        <f t="shared" si="40"/>
        <v>368626</v>
      </c>
      <c r="AA27" s="75">
        <f t="shared" si="41"/>
        <v>382278</v>
      </c>
      <c r="AB27" s="75">
        <f t="shared" si="42"/>
        <v>409584</v>
      </c>
      <c r="AC27" s="76">
        <f>ROUND((Z27*35%*'[1]Giá dầu'!$E$20)+Z27,0)</f>
        <v>419261</v>
      </c>
      <c r="AD27" s="76">
        <f>ROUND((AA27*35%*'[1]Giá dầu'!$E$20)+AA27,0)</f>
        <v>434788</v>
      </c>
      <c r="AE27" s="76">
        <f>ROUND((AB27*35%*'[1]Giá dầu'!$E$20)+AB27,0)</f>
        <v>465845</v>
      </c>
      <c r="AF27" s="77">
        <f t="shared" si="43"/>
        <v>0.13736144493334707</v>
      </c>
      <c r="AG27" s="78">
        <f t="shared" si="44"/>
        <v>559261</v>
      </c>
      <c r="AH27" s="78">
        <f t="shared" si="45"/>
        <v>574788</v>
      </c>
      <c r="AI27" s="78">
        <f t="shared" si="46"/>
        <v>605845</v>
      </c>
      <c r="AJ27" s="268">
        <v>611238</v>
      </c>
      <c r="AK27" s="268">
        <v>628690</v>
      </c>
      <c r="AL27" s="268">
        <v>663597</v>
      </c>
    </row>
    <row r="28" spans="1:38" ht="26.25" customHeight="1">
      <c r="A28" s="67">
        <v>4</v>
      </c>
      <c r="B28" s="317" t="s">
        <v>169</v>
      </c>
      <c r="C28" s="318"/>
      <c r="D28" s="68">
        <v>296800</v>
      </c>
      <c r="E28" s="68">
        <v>307400</v>
      </c>
      <c r="F28" s="68">
        <v>328600</v>
      </c>
      <c r="G28" s="69">
        <f t="shared" si="24"/>
        <v>341320</v>
      </c>
      <c r="H28" s="69">
        <f t="shared" si="25"/>
        <v>353510</v>
      </c>
      <c r="I28" s="69">
        <f t="shared" si="26"/>
        <v>377889.99999999994</v>
      </c>
      <c r="J28" s="69">
        <f t="shared" si="27"/>
        <v>341320</v>
      </c>
      <c r="K28" s="69">
        <f t="shared" si="27"/>
        <v>353510</v>
      </c>
      <c r="L28" s="69">
        <f t="shared" si="27"/>
        <v>377889.99999999994</v>
      </c>
      <c r="M28" s="69" t="s">
        <v>166</v>
      </c>
      <c r="N28" s="70">
        <f t="shared" si="28"/>
        <v>421320</v>
      </c>
      <c r="O28" s="70">
        <f t="shared" si="29"/>
        <v>433510</v>
      </c>
      <c r="P28" s="71">
        <f t="shared" si="30"/>
        <v>457889.99999999994</v>
      </c>
      <c r="Q28" s="72">
        <f t="shared" si="31"/>
        <v>481320</v>
      </c>
      <c r="R28" s="72">
        <f t="shared" si="32"/>
        <v>493510</v>
      </c>
      <c r="S28" s="72">
        <f t="shared" si="33"/>
        <v>517889.99999999994</v>
      </c>
      <c r="T28" s="79">
        <f t="shared" si="34"/>
        <v>382278.40000000002</v>
      </c>
      <c r="U28" s="79">
        <f t="shared" si="35"/>
        <v>395931.2</v>
      </c>
      <c r="V28" s="79">
        <f t="shared" si="36"/>
        <v>423236.8</v>
      </c>
      <c r="W28" s="91">
        <f t="shared" si="37"/>
        <v>522278</v>
      </c>
      <c r="X28" s="91">
        <f t="shared" si="38"/>
        <v>535931</v>
      </c>
      <c r="Y28" s="91">
        <f t="shared" si="39"/>
        <v>563237</v>
      </c>
      <c r="Z28" s="75">
        <f t="shared" si="40"/>
        <v>382278</v>
      </c>
      <c r="AA28" s="75">
        <f t="shared" si="41"/>
        <v>395931</v>
      </c>
      <c r="AB28" s="75">
        <f t="shared" si="42"/>
        <v>423237</v>
      </c>
      <c r="AC28" s="76">
        <f>ROUND((Z28*35%*'[1]Giá dầu'!$E$20)+Z28,0)</f>
        <v>434788</v>
      </c>
      <c r="AD28" s="76">
        <f>ROUND((AA28*35%*'[1]Giá dầu'!$E$20)+AA28,0)</f>
        <v>450316</v>
      </c>
      <c r="AE28" s="76">
        <f>ROUND((AB28*35%*'[1]Giá dầu'!$E$20)+AB28,0)</f>
        <v>481373</v>
      </c>
      <c r="AF28" s="77">
        <f t="shared" si="43"/>
        <v>0.1373607688645436</v>
      </c>
      <c r="AG28" s="78">
        <f t="shared" si="44"/>
        <v>574788</v>
      </c>
      <c r="AH28" s="78">
        <f t="shared" si="45"/>
        <v>590316</v>
      </c>
      <c r="AI28" s="78">
        <f t="shared" si="46"/>
        <v>621373</v>
      </c>
      <c r="AJ28" s="268">
        <v>628690</v>
      </c>
      <c r="AK28" s="268">
        <v>646143</v>
      </c>
      <c r="AL28" s="268">
        <v>681050</v>
      </c>
    </row>
    <row r="29" spans="1:38" ht="26.25" customHeight="1">
      <c r="A29" s="67">
        <v>5</v>
      </c>
      <c r="B29" s="317" t="s">
        <v>170</v>
      </c>
      <c r="C29" s="318"/>
      <c r="D29" s="68">
        <v>312700</v>
      </c>
      <c r="E29" s="68">
        <v>318000</v>
      </c>
      <c r="F29" s="68">
        <v>339200</v>
      </c>
      <c r="G29" s="69">
        <f t="shared" si="24"/>
        <v>359605</v>
      </c>
      <c r="H29" s="69">
        <f t="shared" si="25"/>
        <v>365700</v>
      </c>
      <c r="I29" s="69">
        <f t="shared" si="26"/>
        <v>390079.99999999994</v>
      </c>
      <c r="J29" s="69">
        <f t="shared" si="27"/>
        <v>359605</v>
      </c>
      <c r="K29" s="69">
        <f t="shared" si="27"/>
        <v>365700</v>
      </c>
      <c r="L29" s="69">
        <f t="shared" si="27"/>
        <v>390079.99999999994</v>
      </c>
      <c r="M29" s="69" t="s">
        <v>166</v>
      </c>
      <c r="N29" s="70">
        <f t="shared" si="28"/>
        <v>439605</v>
      </c>
      <c r="O29" s="70">
        <f t="shared" si="29"/>
        <v>445700</v>
      </c>
      <c r="P29" s="71">
        <f t="shared" si="30"/>
        <v>470079.99999999994</v>
      </c>
      <c r="Q29" s="72">
        <f t="shared" si="31"/>
        <v>499605</v>
      </c>
      <c r="R29" s="72">
        <f t="shared" si="32"/>
        <v>505700</v>
      </c>
      <c r="S29" s="72">
        <f t="shared" si="33"/>
        <v>530080</v>
      </c>
      <c r="T29" s="79">
        <f t="shared" si="34"/>
        <v>402757.60000000003</v>
      </c>
      <c r="U29" s="79">
        <f t="shared" si="35"/>
        <v>409584.00000000006</v>
      </c>
      <c r="V29" s="79">
        <f t="shared" si="36"/>
        <v>436889.59999999998</v>
      </c>
      <c r="W29" s="91">
        <f t="shared" si="37"/>
        <v>542758</v>
      </c>
      <c r="X29" s="91">
        <f t="shared" si="38"/>
        <v>549584</v>
      </c>
      <c r="Y29" s="91">
        <f t="shared" si="39"/>
        <v>576890</v>
      </c>
      <c r="Z29" s="75">
        <f t="shared" si="40"/>
        <v>402758</v>
      </c>
      <c r="AA29" s="75">
        <f t="shared" si="41"/>
        <v>409584</v>
      </c>
      <c r="AB29" s="75">
        <f t="shared" si="42"/>
        <v>436890</v>
      </c>
      <c r="AC29" s="76">
        <f>ROUND((Z29*35%*'[1]Giá dầu'!$E$20)+Z29,0)</f>
        <v>458081</v>
      </c>
      <c r="AD29" s="76">
        <f>ROUND((AA29*35%*'[1]Giá dầu'!$E$20)+AA29,0)</f>
        <v>465845</v>
      </c>
      <c r="AE29" s="76">
        <f>ROUND((AB29*35%*'[1]Giá dầu'!$E$20)+AB29,0)</f>
        <v>496902</v>
      </c>
      <c r="AF29" s="77">
        <f t="shared" si="43"/>
        <v>0.1373604000417124</v>
      </c>
      <c r="AG29" s="78">
        <f t="shared" si="44"/>
        <v>598081</v>
      </c>
      <c r="AH29" s="78">
        <f t="shared" si="45"/>
        <v>605845</v>
      </c>
      <c r="AI29" s="78">
        <f t="shared" si="46"/>
        <v>636902</v>
      </c>
      <c r="AJ29" s="268">
        <v>654871</v>
      </c>
      <c r="AK29" s="268">
        <v>663597</v>
      </c>
      <c r="AL29" s="268">
        <v>698504</v>
      </c>
    </row>
    <row r="30" spans="1:38" ht="26.25" customHeight="1">
      <c r="A30" s="67">
        <v>6</v>
      </c>
      <c r="B30" s="317" t="s">
        <v>171</v>
      </c>
      <c r="C30" s="318"/>
      <c r="D30" s="68">
        <v>318000</v>
      </c>
      <c r="E30" s="68">
        <v>333900</v>
      </c>
      <c r="F30" s="68">
        <v>349800</v>
      </c>
      <c r="G30" s="69">
        <f t="shared" si="24"/>
        <v>365700</v>
      </c>
      <c r="H30" s="69">
        <f t="shared" si="25"/>
        <v>383984.99999999994</v>
      </c>
      <c r="I30" s="69">
        <f t="shared" si="26"/>
        <v>402269.99999999994</v>
      </c>
      <c r="J30" s="69">
        <f t="shared" si="27"/>
        <v>365700</v>
      </c>
      <c r="K30" s="69">
        <f t="shared" si="27"/>
        <v>383984.99999999994</v>
      </c>
      <c r="L30" s="69">
        <f t="shared" si="27"/>
        <v>402269.99999999994</v>
      </c>
      <c r="M30" s="69" t="s">
        <v>166</v>
      </c>
      <c r="N30" s="92">
        <f t="shared" si="28"/>
        <v>445700</v>
      </c>
      <c r="O30" s="92">
        <f t="shared" si="29"/>
        <v>463984.99999999994</v>
      </c>
      <c r="P30" s="93">
        <f t="shared" si="30"/>
        <v>482269.99999999994</v>
      </c>
      <c r="Q30" s="94">
        <f t="shared" si="31"/>
        <v>505700</v>
      </c>
      <c r="R30" s="94">
        <f t="shared" si="32"/>
        <v>523984.99999999994</v>
      </c>
      <c r="S30" s="94">
        <f t="shared" si="33"/>
        <v>542270</v>
      </c>
      <c r="T30" s="79">
        <f t="shared" si="34"/>
        <v>409584.00000000006</v>
      </c>
      <c r="U30" s="79">
        <f t="shared" si="35"/>
        <v>430063.19999999995</v>
      </c>
      <c r="V30" s="79">
        <f t="shared" si="36"/>
        <v>450542.39999999997</v>
      </c>
      <c r="W30" s="91">
        <f t="shared" si="37"/>
        <v>549584</v>
      </c>
      <c r="X30" s="91">
        <f t="shared" si="38"/>
        <v>570063</v>
      </c>
      <c r="Y30" s="91">
        <f t="shared" si="39"/>
        <v>590542</v>
      </c>
      <c r="Z30" s="75">
        <f t="shared" si="40"/>
        <v>409584</v>
      </c>
      <c r="AA30" s="75">
        <f t="shared" si="41"/>
        <v>430063</v>
      </c>
      <c r="AB30" s="75">
        <f t="shared" si="42"/>
        <v>450542</v>
      </c>
      <c r="AC30" s="76">
        <f>ROUND((Z30*35%*'[1]Giá dầu'!$E$20)+Z30,0)</f>
        <v>465845</v>
      </c>
      <c r="AD30" s="76">
        <f>ROUND((AA30*35%*'[1]Giá dầu'!$E$20)+AA30,0)</f>
        <v>489137</v>
      </c>
      <c r="AE30" s="76">
        <f>ROUND((AB30*35%*'[1]Giá dầu'!$E$20)+AB30,0)</f>
        <v>512429</v>
      </c>
      <c r="AF30" s="77">
        <f t="shared" si="43"/>
        <v>0.13736132270791829</v>
      </c>
      <c r="AG30" s="78">
        <f t="shared" si="44"/>
        <v>605845</v>
      </c>
      <c r="AH30" s="78">
        <f t="shared" si="45"/>
        <v>629137</v>
      </c>
      <c r="AI30" s="78">
        <f t="shared" si="46"/>
        <v>652429</v>
      </c>
      <c r="AJ30" s="268">
        <v>663597</v>
      </c>
      <c r="AK30" s="268">
        <v>689776</v>
      </c>
      <c r="AL30" s="268">
        <v>715956</v>
      </c>
    </row>
    <row r="31" spans="1:38" ht="26.25" customHeight="1">
      <c r="A31" s="67">
        <v>7</v>
      </c>
      <c r="B31" s="317" t="s">
        <v>172</v>
      </c>
      <c r="C31" s="318"/>
      <c r="D31" s="68">
        <v>365700</v>
      </c>
      <c r="E31" s="68">
        <v>381600</v>
      </c>
      <c r="F31" s="68">
        <v>397500</v>
      </c>
      <c r="G31" s="69">
        <f t="shared" si="24"/>
        <v>420554.99999999994</v>
      </c>
      <c r="H31" s="69">
        <f t="shared" si="25"/>
        <v>438839.99999999994</v>
      </c>
      <c r="I31" s="69">
        <f t="shared" si="26"/>
        <v>457124.99999999994</v>
      </c>
      <c r="J31" s="69">
        <f t="shared" si="27"/>
        <v>420554.99999999994</v>
      </c>
      <c r="K31" s="69">
        <f t="shared" si="27"/>
        <v>438839.99999999994</v>
      </c>
      <c r="L31" s="69">
        <f t="shared" si="27"/>
        <v>457124.99999999994</v>
      </c>
      <c r="M31" s="69" t="s">
        <v>166</v>
      </c>
      <c r="N31" s="70">
        <f t="shared" si="28"/>
        <v>500554.99999999994</v>
      </c>
      <c r="O31" s="70">
        <f t="shared" si="29"/>
        <v>518839.99999999994</v>
      </c>
      <c r="P31" s="71">
        <f t="shared" si="30"/>
        <v>537125</v>
      </c>
      <c r="Q31" s="72">
        <f t="shared" si="31"/>
        <v>560555</v>
      </c>
      <c r="R31" s="72">
        <f t="shared" si="32"/>
        <v>578840</v>
      </c>
      <c r="S31" s="72">
        <f t="shared" si="33"/>
        <v>597125</v>
      </c>
      <c r="T31" s="79">
        <f t="shared" si="34"/>
        <v>471021.6</v>
      </c>
      <c r="U31" s="79">
        <f t="shared" si="35"/>
        <v>491500.79999999999</v>
      </c>
      <c r="V31" s="79">
        <f t="shared" si="36"/>
        <v>511980</v>
      </c>
      <c r="W31" s="91">
        <f t="shared" si="37"/>
        <v>611022</v>
      </c>
      <c r="X31" s="91">
        <f t="shared" si="38"/>
        <v>631501</v>
      </c>
      <c r="Y31" s="91">
        <f t="shared" si="39"/>
        <v>651980</v>
      </c>
      <c r="Z31" s="75">
        <f t="shared" si="40"/>
        <v>471022</v>
      </c>
      <c r="AA31" s="75">
        <f t="shared" si="41"/>
        <v>491501</v>
      </c>
      <c r="AB31" s="75">
        <f t="shared" si="42"/>
        <v>511980</v>
      </c>
      <c r="AC31" s="76">
        <f>ROUND((Z31*35%*'[1]Giá dầu'!$E$20)+Z31,0)</f>
        <v>535722</v>
      </c>
      <c r="AD31" s="76">
        <f>ROUND((AA31*35%*'[1]Giá dầu'!$E$20)+AA31,0)</f>
        <v>559014</v>
      </c>
      <c r="AE31" s="76">
        <f>ROUND((AB31*35%*'[1]Giá dầu'!$E$20)+AB31,0)</f>
        <v>582306</v>
      </c>
      <c r="AF31" s="77">
        <f t="shared" si="43"/>
        <v>0.137360887601853</v>
      </c>
      <c r="AG31" s="78">
        <f t="shared" si="44"/>
        <v>675722</v>
      </c>
      <c r="AH31" s="78">
        <f t="shared" si="45"/>
        <v>699014</v>
      </c>
      <c r="AI31" s="78">
        <f t="shared" si="46"/>
        <v>722306</v>
      </c>
      <c r="AJ31" s="268">
        <v>742137</v>
      </c>
      <c r="AK31" s="268">
        <v>768316</v>
      </c>
      <c r="AL31" s="268">
        <v>794496</v>
      </c>
    </row>
    <row r="32" spans="1:38" ht="26.25" customHeight="1">
      <c r="A32" s="67">
        <v>8</v>
      </c>
      <c r="B32" s="333" t="s">
        <v>173</v>
      </c>
      <c r="C32" s="334"/>
      <c r="D32" s="68">
        <v>402800</v>
      </c>
      <c r="E32" s="68">
        <v>418700</v>
      </c>
      <c r="F32" s="68">
        <v>434600</v>
      </c>
      <c r="G32" s="69">
        <f t="shared" si="24"/>
        <v>463219.99999999994</v>
      </c>
      <c r="H32" s="69">
        <f t="shared" si="25"/>
        <v>481504.99999999994</v>
      </c>
      <c r="I32" s="69">
        <f t="shared" si="26"/>
        <v>499789.99999999994</v>
      </c>
      <c r="J32" s="69">
        <f t="shared" ref="J32:L38" si="47">D32*1.1</f>
        <v>443080.00000000006</v>
      </c>
      <c r="K32" s="69">
        <f t="shared" si="47"/>
        <v>460570.00000000006</v>
      </c>
      <c r="L32" s="69">
        <f t="shared" si="47"/>
        <v>478060.00000000006</v>
      </c>
      <c r="M32" s="69" t="s">
        <v>174</v>
      </c>
      <c r="N32" s="70">
        <f t="shared" si="28"/>
        <v>523080.00000000006</v>
      </c>
      <c r="O32" s="70">
        <f t="shared" si="29"/>
        <v>540570</v>
      </c>
      <c r="P32" s="71">
        <f t="shared" si="30"/>
        <v>558060</v>
      </c>
      <c r="Q32" s="72">
        <f t="shared" si="31"/>
        <v>583080</v>
      </c>
      <c r="R32" s="72">
        <f t="shared" si="32"/>
        <v>600570</v>
      </c>
      <c r="S32" s="72">
        <f t="shared" si="33"/>
        <v>618060</v>
      </c>
      <c r="T32" s="79">
        <f t="shared" si="34"/>
        <v>496249.60000000009</v>
      </c>
      <c r="U32" s="79">
        <f t="shared" si="35"/>
        <v>515838.40000000014</v>
      </c>
      <c r="V32" s="79">
        <f t="shared" si="36"/>
        <v>535427.20000000007</v>
      </c>
      <c r="W32" s="91">
        <f t="shared" si="37"/>
        <v>636250</v>
      </c>
      <c r="X32" s="91">
        <f t="shared" si="38"/>
        <v>655838</v>
      </c>
      <c r="Y32" s="91">
        <f t="shared" si="39"/>
        <v>675427</v>
      </c>
      <c r="Z32" s="75">
        <f t="shared" si="40"/>
        <v>496250</v>
      </c>
      <c r="AA32" s="75">
        <f t="shared" si="41"/>
        <v>515838</v>
      </c>
      <c r="AB32" s="75">
        <f t="shared" si="42"/>
        <v>535427</v>
      </c>
      <c r="AC32" s="76">
        <f>ROUND((Z32*35%*'[1]Giá dầu'!$E$20)+Z32,0)</f>
        <v>564415</v>
      </c>
      <c r="AD32" s="76">
        <f>ROUND((AA32*35%*'[1]Giá dầu'!$E$20)+AA32,0)</f>
        <v>586694</v>
      </c>
      <c r="AE32" s="76">
        <f>ROUND((AB32*35%*'[1]Giá dầu'!$E$20)+AB32,0)</f>
        <v>608974</v>
      </c>
      <c r="AF32" s="77">
        <f t="shared" si="43"/>
        <v>0.13736020151133502</v>
      </c>
      <c r="AG32" s="78">
        <f t="shared" si="44"/>
        <v>704415</v>
      </c>
      <c r="AH32" s="78">
        <f t="shared" si="45"/>
        <v>726694</v>
      </c>
      <c r="AI32" s="78">
        <f t="shared" si="46"/>
        <v>748974</v>
      </c>
      <c r="AJ32" s="268">
        <v>774387</v>
      </c>
      <c r="AK32" s="268">
        <v>799428</v>
      </c>
      <c r="AL32" s="268">
        <v>824470</v>
      </c>
    </row>
    <row r="33" spans="1:42" ht="26.25" customHeight="1">
      <c r="A33" s="67">
        <v>9</v>
      </c>
      <c r="B33" s="333" t="s">
        <v>175</v>
      </c>
      <c r="C33" s="334"/>
      <c r="D33" s="68">
        <v>477000</v>
      </c>
      <c r="E33" s="68">
        <v>492900</v>
      </c>
      <c r="F33" s="68">
        <v>508800</v>
      </c>
      <c r="G33" s="69">
        <f t="shared" si="24"/>
        <v>548550</v>
      </c>
      <c r="H33" s="69">
        <f t="shared" si="25"/>
        <v>566835</v>
      </c>
      <c r="I33" s="69">
        <f t="shared" si="26"/>
        <v>585120</v>
      </c>
      <c r="J33" s="69">
        <f t="shared" si="47"/>
        <v>524700</v>
      </c>
      <c r="K33" s="69">
        <f t="shared" si="47"/>
        <v>542190</v>
      </c>
      <c r="L33" s="69">
        <f t="shared" si="47"/>
        <v>559680</v>
      </c>
      <c r="M33" s="69" t="s">
        <v>174</v>
      </c>
      <c r="N33" s="70">
        <f t="shared" si="28"/>
        <v>604700</v>
      </c>
      <c r="O33" s="70">
        <f t="shared" si="29"/>
        <v>622190</v>
      </c>
      <c r="P33" s="71">
        <f t="shared" si="30"/>
        <v>639680</v>
      </c>
      <c r="Q33" s="72">
        <f t="shared" si="31"/>
        <v>664700</v>
      </c>
      <c r="R33" s="72">
        <f t="shared" si="32"/>
        <v>682190</v>
      </c>
      <c r="S33" s="72">
        <f t="shared" si="33"/>
        <v>699680</v>
      </c>
      <c r="T33" s="79">
        <f t="shared" si="34"/>
        <v>587664</v>
      </c>
      <c r="U33" s="79">
        <f t="shared" si="35"/>
        <v>607252.80000000005</v>
      </c>
      <c r="V33" s="79">
        <f t="shared" si="36"/>
        <v>626841.60000000009</v>
      </c>
      <c r="W33" s="91">
        <f t="shared" si="37"/>
        <v>727664</v>
      </c>
      <c r="X33" s="91">
        <f t="shared" si="38"/>
        <v>747253</v>
      </c>
      <c r="Y33" s="91">
        <f t="shared" si="39"/>
        <v>766842</v>
      </c>
      <c r="Z33" s="75">
        <f t="shared" si="40"/>
        <v>587664</v>
      </c>
      <c r="AA33" s="75">
        <f t="shared" si="41"/>
        <v>607253</v>
      </c>
      <c r="AB33" s="75">
        <f t="shared" si="42"/>
        <v>626842</v>
      </c>
      <c r="AC33" s="76">
        <f>ROUND((Z33*35%*'[1]Giá dầu'!$E$20)+Z33,0)</f>
        <v>668386</v>
      </c>
      <c r="AD33" s="76">
        <f>ROUND((AA33*35%*'[1]Giá dầu'!$E$20)+AA33,0)</f>
        <v>690666</v>
      </c>
      <c r="AE33" s="76">
        <f>ROUND((AB33*35%*'[1]Giá dầu'!$E$20)+AB33,0)</f>
        <v>712946</v>
      </c>
      <c r="AF33" s="77">
        <f t="shared" si="43"/>
        <v>0.137360804813635</v>
      </c>
      <c r="AG33" s="78">
        <f t="shared" si="44"/>
        <v>808386</v>
      </c>
      <c r="AH33" s="78">
        <f t="shared" si="45"/>
        <v>830666</v>
      </c>
      <c r="AI33" s="78">
        <f t="shared" si="46"/>
        <v>852946</v>
      </c>
      <c r="AJ33" s="268">
        <v>891248</v>
      </c>
      <c r="AK33" s="268">
        <v>916289</v>
      </c>
      <c r="AL33" s="268">
        <v>941331</v>
      </c>
    </row>
    <row r="34" spans="1:42" ht="26.25" customHeight="1">
      <c r="A34" s="67">
        <v>10</v>
      </c>
      <c r="B34" s="333" t="s">
        <v>176</v>
      </c>
      <c r="C34" s="334"/>
      <c r="D34" s="68">
        <v>296800</v>
      </c>
      <c r="E34" s="68">
        <v>312700</v>
      </c>
      <c r="F34" s="68">
        <v>328600</v>
      </c>
      <c r="G34" s="69">
        <f t="shared" si="24"/>
        <v>341320</v>
      </c>
      <c r="H34" s="69">
        <f t="shared" si="25"/>
        <v>359605</v>
      </c>
      <c r="I34" s="69">
        <f t="shared" si="26"/>
        <v>377889.99999999994</v>
      </c>
      <c r="J34" s="69">
        <f t="shared" si="47"/>
        <v>326480</v>
      </c>
      <c r="K34" s="69">
        <f t="shared" si="47"/>
        <v>343970</v>
      </c>
      <c r="L34" s="69">
        <f t="shared" si="47"/>
        <v>361460.00000000006</v>
      </c>
      <c r="M34" s="69" t="s">
        <v>174</v>
      </c>
      <c r="N34" s="70">
        <f t="shared" si="28"/>
        <v>406480</v>
      </c>
      <c r="O34" s="70">
        <f t="shared" si="29"/>
        <v>423970</v>
      </c>
      <c r="P34" s="71">
        <f t="shared" si="30"/>
        <v>441460.00000000006</v>
      </c>
      <c r="Q34" s="72">
        <f t="shared" si="31"/>
        <v>466480</v>
      </c>
      <c r="R34" s="72">
        <f t="shared" si="32"/>
        <v>483970</v>
      </c>
      <c r="S34" s="72">
        <f t="shared" si="33"/>
        <v>501460.00000000006</v>
      </c>
      <c r="T34" s="79">
        <f t="shared" si="34"/>
        <v>365657.60000000003</v>
      </c>
      <c r="U34" s="79">
        <f t="shared" si="35"/>
        <v>385246.4</v>
      </c>
      <c r="V34" s="79">
        <f t="shared" si="36"/>
        <v>404835.20000000013</v>
      </c>
      <c r="W34" s="91">
        <f t="shared" si="37"/>
        <v>505658</v>
      </c>
      <c r="X34" s="91">
        <f t="shared" si="38"/>
        <v>525246</v>
      </c>
      <c r="Y34" s="91">
        <f t="shared" si="39"/>
        <v>544835</v>
      </c>
      <c r="Z34" s="75">
        <f t="shared" si="40"/>
        <v>365658</v>
      </c>
      <c r="AA34" s="75">
        <f t="shared" si="41"/>
        <v>385246</v>
      </c>
      <c r="AB34" s="75">
        <f t="shared" si="42"/>
        <v>404835</v>
      </c>
      <c r="AC34" s="76">
        <f>ROUND((Z34*35%*'[1]Giá dầu'!$E$20)+Z34,0)</f>
        <v>415885</v>
      </c>
      <c r="AD34" s="76">
        <f>ROUND((AA34*35%*'[1]Giá dầu'!$E$20)+AA34,0)</f>
        <v>438164</v>
      </c>
      <c r="AE34" s="76">
        <f>ROUND((AB34*35%*'[1]Giá dầu'!$E$20)+AB34,0)</f>
        <v>460444</v>
      </c>
      <c r="AF34" s="77">
        <f t="shared" si="43"/>
        <v>0.13736059377888629</v>
      </c>
      <c r="AG34" s="78">
        <f t="shared" si="44"/>
        <v>555885</v>
      </c>
      <c r="AH34" s="78">
        <f t="shared" si="45"/>
        <v>578164</v>
      </c>
      <c r="AI34" s="78">
        <f t="shared" si="46"/>
        <v>600444</v>
      </c>
      <c r="AJ34" s="268">
        <v>607443</v>
      </c>
      <c r="AK34" s="268">
        <v>632484</v>
      </c>
      <c r="AL34" s="268">
        <v>657526</v>
      </c>
    </row>
    <row r="35" spans="1:42" ht="26.25" customHeight="1">
      <c r="A35" s="67">
        <v>11</v>
      </c>
      <c r="B35" s="333" t="s">
        <v>177</v>
      </c>
      <c r="C35" s="334"/>
      <c r="D35" s="68">
        <v>296800</v>
      </c>
      <c r="E35" s="68">
        <v>312700</v>
      </c>
      <c r="F35" s="68">
        <v>328600</v>
      </c>
      <c r="G35" s="69">
        <f t="shared" si="24"/>
        <v>341320</v>
      </c>
      <c r="H35" s="69">
        <f t="shared" si="25"/>
        <v>359605</v>
      </c>
      <c r="I35" s="69">
        <f t="shared" si="26"/>
        <v>377889.99999999994</v>
      </c>
      <c r="J35" s="69">
        <f t="shared" si="47"/>
        <v>326480</v>
      </c>
      <c r="K35" s="69">
        <f t="shared" si="47"/>
        <v>343970</v>
      </c>
      <c r="L35" s="69">
        <f t="shared" si="47"/>
        <v>361460.00000000006</v>
      </c>
      <c r="M35" s="69" t="s">
        <v>174</v>
      </c>
      <c r="N35" s="70">
        <f t="shared" si="28"/>
        <v>406480</v>
      </c>
      <c r="O35" s="70">
        <f t="shared" si="29"/>
        <v>423970</v>
      </c>
      <c r="P35" s="71">
        <f t="shared" si="30"/>
        <v>441460.00000000006</v>
      </c>
      <c r="Q35" s="72">
        <f t="shared" si="31"/>
        <v>466480</v>
      </c>
      <c r="R35" s="72">
        <f t="shared" si="32"/>
        <v>483970</v>
      </c>
      <c r="S35" s="72">
        <f t="shared" si="33"/>
        <v>501460.00000000006</v>
      </c>
      <c r="T35" s="79">
        <f t="shared" si="34"/>
        <v>365657.60000000003</v>
      </c>
      <c r="U35" s="79">
        <f t="shared" si="35"/>
        <v>385246.4</v>
      </c>
      <c r="V35" s="79">
        <f t="shared" si="36"/>
        <v>404835.20000000013</v>
      </c>
      <c r="W35" s="91">
        <f t="shared" si="37"/>
        <v>505658</v>
      </c>
      <c r="X35" s="91">
        <f t="shared" si="38"/>
        <v>525246</v>
      </c>
      <c r="Y35" s="91">
        <f t="shared" si="39"/>
        <v>544835</v>
      </c>
      <c r="Z35" s="75">
        <f t="shared" si="40"/>
        <v>365658</v>
      </c>
      <c r="AA35" s="75">
        <f t="shared" si="41"/>
        <v>385246</v>
      </c>
      <c r="AB35" s="75">
        <f t="shared" si="42"/>
        <v>404835</v>
      </c>
      <c r="AC35" s="76">
        <f>ROUND((Z35*35%*'[1]Giá dầu'!$E$20)+Z35,0)</f>
        <v>415885</v>
      </c>
      <c r="AD35" s="76">
        <f>ROUND((AA35*35%*'[1]Giá dầu'!$E$20)+AA35,0)</f>
        <v>438164</v>
      </c>
      <c r="AE35" s="76">
        <f>ROUND((AB35*35%*'[1]Giá dầu'!$E$20)+AB35,0)</f>
        <v>460444</v>
      </c>
      <c r="AF35" s="77">
        <f t="shared" si="43"/>
        <v>0.13736059377888629</v>
      </c>
      <c r="AG35" s="78">
        <f t="shared" si="44"/>
        <v>555885</v>
      </c>
      <c r="AH35" s="78">
        <f t="shared" si="45"/>
        <v>578164</v>
      </c>
      <c r="AI35" s="78">
        <f t="shared" si="46"/>
        <v>600444</v>
      </c>
      <c r="AJ35" s="268">
        <v>607443</v>
      </c>
      <c r="AK35" s="268">
        <v>632484</v>
      </c>
      <c r="AL35" s="268">
        <v>657526</v>
      </c>
    </row>
    <row r="36" spans="1:42" ht="26.25" customHeight="1">
      <c r="A36" s="67">
        <v>12</v>
      </c>
      <c r="B36" s="333" t="s">
        <v>178</v>
      </c>
      <c r="C36" s="334"/>
      <c r="D36" s="68">
        <v>429300</v>
      </c>
      <c r="E36" s="68">
        <v>445200</v>
      </c>
      <c r="F36" s="68">
        <v>461100</v>
      </c>
      <c r="G36" s="69">
        <f t="shared" si="24"/>
        <v>493694.99999999994</v>
      </c>
      <c r="H36" s="69">
        <f t="shared" si="25"/>
        <v>511979.99999999994</v>
      </c>
      <c r="I36" s="69">
        <f t="shared" si="26"/>
        <v>530265</v>
      </c>
      <c r="J36" s="69">
        <f t="shared" si="47"/>
        <v>472230.00000000006</v>
      </c>
      <c r="K36" s="69">
        <f t="shared" si="47"/>
        <v>489720.00000000006</v>
      </c>
      <c r="L36" s="69">
        <f t="shared" si="47"/>
        <v>507210.00000000006</v>
      </c>
      <c r="M36" s="69" t="s">
        <v>174</v>
      </c>
      <c r="N36" s="70">
        <f t="shared" si="28"/>
        <v>552230</v>
      </c>
      <c r="O36" s="70">
        <f t="shared" si="29"/>
        <v>569720</v>
      </c>
      <c r="P36" s="71">
        <f t="shared" si="30"/>
        <v>587210</v>
      </c>
      <c r="Q36" s="72">
        <f t="shared" si="31"/>
        <v>612230</v>
      </c>
      <c r="R36" s="72">
        <f t="shared" si="32"/>
        <v>629720</v>
      </c>
      <c r="S36" s="72">
        <f t="shared" si="33"/>
        <v>647210</v>
      </c>
      <c r="T36" s="79">
        <f t="shared" si="34"/>
        <v>528897.60000000009</v>
      </c>
      <c r="U36" s="79">
        <f t="shared" si="35"/>
        <v>548486.40000000014</v>
      </c>
      <c r="V36" s="79">
        <f t="shared" si="36"/>
        <v>568075.20000000007</v>
      </c>
      <c r="W36" s="91">
        <f t="shared" si="37"/>
        <v>668898</v>
      </c>
      <c r="X36" s="91">
        <f t="shared" si="38"/>
        <v>688486</v>
      </c>
      <c r="Y36" s="91">
        <f t="shared" si="39"/>
        <v>708075</v>
      </c>
      <c r="Z36" s="75">
        <f t="shared" si="40"/>
        <v>528898</v>
      </c>
      <c r="AA36" s="75">
        <f t="shared" si="41"/>
        <v>548486</v>
      </c>
      <c r="AB36" s="75">
        <f t="shared" si="42"/>
        <v>568075</v>
      </c>
      <c r="AC36" s="76">
        <f>ROUND((Z36*35%*'[1]Giá dầu'!$E$20)+Z36,0)</f>
        <v>601548</v>
      </c>
      <c r="AD36" s="76">
        <f>ROUND((AA36*35%*'[1]Giá dầu'!$E$20)+AA36,0)</f>
        <v>623827</v>
      </c>
      <c r="AE36" s="76">
        <f>ROUND((AB36*35%*'[1]Giá dầu'!$E$20)+AB36,0)</f>
        <v>646106</v>
      </c>
      <c r="AF36" s="77">
        <f t="shared" si="43"/>
        <v>0.1373610790738479</v>
      </c>
      <c r="AG36" s="78">
        <f t="shared" si="44"/>
        <v>741548</v>
      </c>
      <c r="AH36" s="78">
        <f t="shared" si="45"/>
        <v>763827</v>
      </c>
      <c r="AI36" s="78">
        <f t="shared" si="46"/>
        <v>786106</v>
      </c>
      <c r="AJ36" s="268">
        <v>816123</v>
      </c>
      <c r="AK36" s="268">
        <v>841164</v>
      </c>
      <c r="AL36" s="268">
        <v>866206</v>
      </c>
    </row>
    <row r="37" spans="1:42" ht="26.25" customHeight="1">
      <c r="A37" s="67">
        <v>13</v>
      </c>
      <c r="B37" s="333" t="s">
        <v>179</v>
      </c>
      <c r="C37" s="334"/>
      <c r="D37" s="68">
        <v>270300</v>
      </c>
      <c r="E37" s="68">
        <v>286200</v>
      </c>
      <c r="F37" s="68">
        <v>302100</v>
      </c>
      <c r="G37" s="69">
        <f t="shared" si="24"/>
        <v>310845</v>
      </c>
      <c r="H37" s="69">
        <f t="shared" si="25"/>
        <v>329130</v>
      </c>
      <c r="I37" s="69">
        <f t="shared" si="26"/>
        <v>347415</v>
      </c>
      <c r="J37" s="69">
        <f t="shared" si="47"/>
        <v>297330</v>
      </c>
      <c r="K37" s="69">
        <f t="shared" si="47"/>
        <v>314820</v>
      </c>
      <c r="L37" s="69">
        <f t="shared" si="47"/>
        <v>332310</v>
      </c>
      <c r="M37" s="69" t="s">
        <v>174</v>
      </c>
      <c r="N37" s="70">
        <f t="shared" si="28"/>
        <v>377330</v>
      </c>
      <c r="O37" s="70">
        <f t="shared" si="29"/>
        <v>394820</v>
      </c>
      <c r="P37" s="71">
        <f t="shared" si="30"/>
        <v>412310</v>
      </c>
      <c r="Q37" s="72">
        <f t="shared" si="31"/>
        <v>437330</v>
      </c>
      <c r="R37" s="72">
        <f t="shared" si="32"/>
        <v>454820</v>
      </c>
      <c r="S37" s="72">
        <f t="shared" si="33"/>
        <v>472310</v>
      </c>
      <c r="T37" s="79">
        <f t="shared" si="34"/>
        <v>333009.60000000003</v>
      </c>
      <c r="U37" s="79">
        <f t="shared" si="35"/>
        <v>352598.4</v>
      </c>
      <c r="V37" s="79">
        <f t="shared" si="36"/>
        <v>372187.2</v>
      </c>
      <c r="W37" s="91">
        <f t="shared" si="37"/>
        <v>473010</v>
      </c>
      <c r="X37" s="91">
        <f t="shared" si="38"/>
        <v>492598</v>
      </c>
      <c r="Y37" s="91">
        <f t="shared" si="39"/>
        <v>512187</v>
      </c>
      <c r="Z37" s="75">
        <f t="shared" si="40"/>
        <v>333010</v>
      </c>
      <c r="AA37" s="75">
        <f t="shared" si="41"/>
        <v>352598</v>
      </c>
      <c r="AB37" s="75">
        <f t="shared" si="42"/>
        <v>372187</v>
      </c>
      <c r="AC37" s="76">
        <f>ROUND((Z37*35%*'[1]Giá dầu'!$E$20)+Z37,0)</f>
        <v>378753</v>
      </c>
      <c r="AD37" s="76">
        <f>ROUND((AA37*35%*'[1]Giá dầu'!$E$20)+AA37,0)</f>
        <v>401031</v>
      </c>
      <c r="AE37" s="76">
        <f>ROUND((AB37*35%*'[1]Giá dầu'!$E$20)+AB37,0)</f>
        <v>423311</v>
      </c>
      <c r="AF37" s="77">
        <f t="shared" si="43"/>
        <v>0.13736224137413292</v>
      </c>
      <c r="AG37" s="78">
        <f t="shared" si="44"/>
        <v>518753</v>
      </c>
      <c r="AH37" s="78">
        <f t="shared" si="45"/>
        <v>541031</v>
      </c>
      <c r="AI37" s="78">
        <f t="shared" si="46"/>
        <v>563311</v>
      </c>
      <c r="AJ37" s="268">
        <v>565707</v>
      </c>
      <c r="AK37" s="268">
        <v>590748</v>
      </c>
      <c r="AL37" s="268">
        <v>615790</v>
      </c>
    </row>
    <row r="38" spans="1:42" ht="26.25" customHeight="1">
      <c r="A38" s="67">
        <v>14</v>
      </c>
      <c r="B38" s="317" t="s">
        <v>180</v>
      </c>
      <c r="C38" s="318"/>
      <c r="D38" s="68">
        <v>700000</v>
      </c>
      <c r="E38" s="68">
        <v>740000</v>
      </c>
      <c r="F38" s="68">
        <v>780000</v>
      </c>
      <c r="G38" s="69">
        <f t="shared" si="24"/>
        <v>804999.99999999988</v>
      </c>
      <c r="H38" s="69">
        <f t="shared" si="25"/>
        <v>850999.99999999988</v>
      </c>
      <c r="I38" s="69">
        <f t="shared" si="26"/>
        <v>896999.99999999988</v>
      </c>
      <c r="J38" s="69">
        <f t="shared" si="47"/>
        <v>770000.00000000012</v>
      </c>
      <c r="K38" s="69">
        <f t="shared" si="47"/>
        <v>814000.00000000012</v>
      </c>
      <c r="L38" s="69">
        <f t="shared" si="47"/>
        <v>858000.00000000012</v>
      </c>
      <c r="M38" s="69" t="s">
        <v>181</v>
      </c>
      <c r="N38" s="70">
        <f t="shared" si="28"/>
        <v>850000.00000000012</v>
      </c>
      <c r="O38" s="70">
        <f t="shared" si="29"/>
        <v>894000.00000000012</v>
      </c>
      <c r="P38" s="71">
        <f t="shared" si="30"/>
        <v>938000.00000000012</v>
      </c>
      <c r="Q38" s="72">
        <f t="shared" si="31"/>
        <v>910000.00000000012</v>
      </c>
      <c r="R38" s="72">
        <f t="shared" si="32"/>
        <v>954000.00000000012</v>
      </c>
      <c r="S38" s="72">
        <f t="shared" si="33"/>
        <v>998000.00000000012</v>
      </c>
      <c r="T38" s="79">
        <f t="shared" si="34"/>
        <v>862400.00000000023</v>
      </c>
      <c r="U38" s="79">
        <f t="shared" si="35"/>
        <v>911680.00000000023</v>
      </c>
      <c r="V38" s="79">
        <f t="shared" si="36"/>
        <v>960960.00000000023</v>
      </c>
      <c r="W38" s="91">
        <f t="shared" si="37"/>
        <v>1002400</v>
      </c>
      <c r="X38" s="91">
        <f t="shared" si="38"/>
        <v>1051680</v>
      </c>
      <c r="Y38" s="91">
        <f t="shared" si="39"/>
        <v>1100960</v>
      </c>
      <c r="Z38" s="75">
        <f t="shared" si="40"/>
        <v>862400</v>
      </c>
      <c r="AA38" s="75">
        <f t="shared" si="41"/>
        <v>911680</v>
      </c>
      <c r="AB38" s="75">
        <f t="shared" si="42"/>
        <v>960960</v>
      </c>
      <c r="AC38" s="76">
        <f>ROUND((Z38*35%*'[1]Giá dầu'!$E$20)+Z38,0)</f>
        <v>980860</v>
      </c>
      <c r="AD38" s="76">
        <f>ROUND((AA38*35%*'[1]Giá dầu'!$E$20)+AA38,0)</f>
        <v>1036909</v>
      </c>
      <c r="AE38" s="76">
        <f>ROUND((AB38*35%*'[1]Giá dầu'!$E$20)+AB38,0)</f>
        <v>1092958</v>
      </c>
      <c r="AF38" s="77">
        <f t="shared" si="43"/>
        <v>0.13736085343228199</v>
      </c>
      <c r="AG38" s="82" t="s">
        <v>257</v>
      </c>
      <c r="AH38" s="82" t="s">
        <v>257</v>
      </c>
      <c r="AI38" s="82" t="s">
        <v>257</v>
      </c>
      <c r="AJ38" s="271">
        <v>1002400</v>
      </c>
      <c r="AK38" s="271">
        <v>1051680</v>
      </c>
      <c r="AL38" s="271">
        <v>1100960</v>
      </c>
    </row>
    <row r="39" spans="1:42" ht="26.25" customHeight="1">
      <c r="A39" s="54" t="s">
        <v>184</v>
      </c>
      <c r="Q39" s="84"/>
      <c r="R39" s="85"/>
      <c r="S39" s="86"/>
      <c r="T39" s="79"/>
      <c r="U39" s="79"/>
      <c r="V39" s="79"/>
      <c r="W39" s="82"/>
      <c r="X39" s="82"/>
      <c r="Y39" s="82"/>
      <c r="Z39" s="87"/>
      <c r="AA39" s="87"/>
      <c r="AB39" s="87"/>
      <c r="AJ39" s="120"/>
      <c r="AK39" s="120"/>
      <c r="AL39" s="120"/>
    </row>
    <row r="40" spans="1:42" ht="42.75" customHeight="1">
      <c r="A40" s="319" t="s">
        <v>7</v>
      </c>
      <c r="B40" s="323" t="s">
        <v>152</v>
      </c>
      <c r="C40" s="324"/>
      <c r="D40" s="327" t="s">
        <v>183</v>
      </c>
      <c r="E40" s="328"/>
      <c r="F40" s="329"/>
      <c r="G40" s="330" t="s">
        <v>154</v>
      </c>
      <c r="H40" s="331"/>
      <c r="I40" s="332"/>
      <c r="J40" s="330" t="s">
        <v>155</v>
      </c>
      <c r="K40" s="331"/>
      <c r="L40" s="332"/>
      <c r="M40" s="321" t="s">
        <v>14</v>
      </c>
      <c r="Q40" s="84"/>
      <c r="R40" s="85"/>
      <c r="S40" s="86"/>
      <c r="T40" s="79"/>
      <c r="U40" s="79"/>
      <c r="V40" s="79"/>
      <c r="W40" s="82"/>
      <c r="X40" s="82"/>
      <c r="Y40" s="82"/>
      <c r="Z40" s="87"/>
      <c r="AA40" s="87"/>
      <c r="AB40" s="87"/>
      <c r="AJ40" s="120"/>
      <c r="AK40" s="120"/>
      <c r="AL40" s="120"/>
    </row>
    <row r="41" spans="1:42" ht="42.75" customHeight="1">
      <c r="A41" s="320"/>
      <c r="B41" s="325"/>
      <c r="C41" s="326"/>
      <c r="D41" s="57" t="s">
        <v>16</v>
      </c>
      <c r="E41" s="57" t="s">
        <v>55</v>
      </c>
      <c r="F41" s="57" t="s">
        <v>163</v>
      </c>
      <c r="G41" s="58" t="s">
        <v>16</v>
      </c>
      <c r="H41" s="58" t="s">
        <v>55</v>
      </c>
      <c r="I41" s="58" t="s">
        <v>163</v>
      </c>
      <c r="J41" s="58" t="s">
        <v>16</v>
      </c>
      <c r="K41" s="58" t="s">
        <v>55</v>
      </c>
      <c r="L41" s="58" t="s">
        <v>163</v>
      </c>
      <c r="M41" s="322"/>
      <c r="Q41" s="61" t="s">
        <v>16</v>
      </c>
      <c r="R41" s="61" t="s">
        <v>55</v>
      </c>
      <c r="S41" s="61" t="s">
        <v>163</v>
      </c>
      <c r="T41" s="79" t="s">
        <v>16</v>
      </c>
      <c r="U41" s="79" t="s">
        <v>55</v>
      </c>
      <c r="V41" s="79" t="s">
        <v>163</v>
      </c>
      <c r="W41" s="63" t="s">
        <v>16</v>
      </c>
      <c r="X41" s="63" t="s">
        <v>55</v>
      </c>
      <c r="Y41" s="63" t="s">
        <v>163</v>
      </c>
      <c r="Z41" s="64" t="s">
        <v>16</v>
      </c>
      <c r="AA41" s="64" t="s">
        <v>55</v>
      </c>
      <c r="AB41" s="64" t="s">
        <v>163</v>
      </c>
      <c r="AC41" s="90" t="s">
        <v>16</v>
      </c>
      <c r="AD41" s="90" t="s">
        <v>55</v>
      </c>
      <c r="AE41" s="90" t="s">
        <v>163</v>
      </c>
      <c r="AF41" s="65" t="s">
        <v>164</v>
      </c>
      <c r="AG41" s="66" t="s">
        <v>16</v>
      </c>
      <c r="AH41" s="66" t="s">
        <v>55</v>
      </c>
      <c r="AI41" s="66" t="s">
        <v>163</v>
      </c>
      <c r="AJ41" s="270" t="s">
        <v>16</v>
      </c>
      <c r="AK41" s="270" t="s">
        <v>55</v>
      </c>
      <c r="AL41" s="270" t="s">
        <v>163</v>
      </c>
    </row>
    <row r="42" spans="1:42" ht="26.25" customHeight="1">
      <c r="A42" s="67">
        <v>1</v>
      </c>
      <c r="B42" s="317" t="s">
        <v>185</v>
      </c>
      <c r="C42" s="318"/>
      <c r="D42" s="68">
        <v>196100</v>
      </c>
      <c r="E42" s="68">
        <v>190800</v>
      </c>
      <c r="F42" s="68">
        <v>212000</v>
      </c>
      <c r="G42" s="69">
        <f t="shared" ref="G42:I43" si="48">D42*1.15</f>
        <v>225514.99999999997</v>
      </c>
      <c r="H42" s="69">
        <f t="shared" si="48"/>
        <v>219419.99999999997</v>
      </c>
      <c r="I42" s="69">
        <f t="shared" si="48"/>
        <v>243799.99999999997</v>
      </c>
      <c r="J42" s="69">
        <f t="shared" ref="J42:L43" si="49">D42*1.15</f>
        <v>225514.99999999997</v>
      </c>
      <c r="K42" s="69">
        <f t="shared" si="49"/>
        <v>219419.99999999997</v>
      </c>
      <c r="L42" s="69">
        <f t="shared" si="49"/>
        <v>243799.99999999997</v>
      </c>
      <c r="M42" s="69" t="s">
        <v>166</v>
      </c>
      <c r="N42" s="70">
        <f t="shared" ref="N42:P43" si="50">+J42+80000</f>
        <v>305515</v>
      </c>
      <c r="O42" s="70">
        <f t="shared" si="50"/>
        <v>299420</v>
      </c>
      <c r="P42" s="71">
        <f t="shared" si="50"/>
        <v>323800</v>
      </c>
      <c r="Q42" s="72">
        <f t="shared" ref="Q42:S43" si="51">N42+60000</f>
        <v>365515</v>
      </c>
      <c r="R42" s="72">
        <f t="shared" si="51"/>
        <v>359420</v>
      </c>
      <c r="S42" s="72">
        <f t="shared" si="51"/>
        <v>383800</v>
      </c>
      <c r="T42" s="79">
        <f t="shared" ref="T42:V43" si="52">+J42*112%</f>
        <v>252576.8</v>
      </c>
      <c r="U42" s="79">
        <f t="shared" si="52"/>
        <v>245750.39999999999</v>
      </c>
      <c r="V42" s="79">
        <f t="shared" si="52"/>
        <v>273056</v>
      </c>
      <c r="W42" s="91">
        <f t="shared" ref="W42:Y43" si="53">ROUND(T42+140000,0)</f>
        <v>392577</v>
      </c>
      <c r="X42" s="91">
        <f t="shared" si="53"/>
        <v>385750</v>
      </c>
      <c r="Y42" s="91">
        <f t="shared" si="53"/>
        <v>413056</v>
      </c>
      <c r="Z42" s="75">
        <f t="shared" ref="Z42:AB43" si="54">W42-140000</f>
        <v>252577</v>
      </c>
      <c r="AA42" s="75">
        <f t="shared" si="54"/>
        <v>245750</v>
      </c>
      <c r="AB42" s="75">
        <f t="shared" si="54"/>
        <v>273056</v>
      </c>
      <c r="AC42" s="76">
        <f>ROUND((Z42*35%*'[1]Giá dầu'!$E$20)+Z42,0)</f>
        <v>287271</v>
      </c>
      <c r="AD42" s="76">
        <f>ROUND((AA42*35%*'[1]Giá dầu'!$E$20)+AA42,0)</f>
        <v>279506</v>
      </c>
      <c r="AE42" s="76">
        <f>ROUND((AB42*35%*'[1]Giá dầu'!$E$20)+AB42,0)</f>
        <v>310563</v>
      </c>
      <c r="AF42" s="77">
        <f>(AC42-Z42)/Z42</f>
        <v>0.13736009216991255</v>
      </c>
      <c r="AG42" s="78">
        <f t="shared" ref="AG42:AI43" si="55">AC42+140000</f>
        <v>427271</v>
      </c>
      <c r="AH42" s="78">
        <f t="shared" si="55"/>
        <v>419506</v>
      </c>
      <c r="AI42" s="78">
        <f t="shared" si="55"/>
        <v>450563</v>
      </c>
      <c r="AJ42" s="268">
        <v>462885</v>
      </c>
      <c r="AK42" s="268">
        <v>454158</v>
      </c>
      <c r="AL42" s="268">
        <v>489065</v>
      </c>
    </row>
    <row r="43" spans="1:42" ht="26.25" customHeight="1">
      <c r="A43" s="67">
        <v>2</v>
      </c>
      <c r="B43" s="317" t="s">
        <v>186</v>
      </c>
      <c r="C43" s="318"/>
      <c r="D43" s="68">
        <v>206700</v>
      </c>
      <c r="E43" s="68">
        <v>201400</v>
      </c>
      <c r="F43" s="68">
        <v>222600</v>
      </c>
      <c r="G43" s="69">
        <f t="shared" si="48"/>
        <v>237704.99999999997</v>
      </c>
      <c r="H43" s="69">
        <f t="shared" si="48"/>
        <v>231609.99999999997</v>
      </c>
      <c r="I43" s="69">
        <f t="shared" si="48"/>
        <v>255989.99999999997</v>
      </c>
      <c r="J43" s="69">
        <f t="shared" si="49"/>
        <v>237704.99999999997</v>
      </c>
      <c r="K43" s="69">
        <f t="shared" si="49"/>
        <v>231609.99999999997</v>
      </c>
      <c r="L43" s="69">
        <f t="shared" si="49"/>
        <v>255989.99999999997</v>
      </c>
      <c r="M43" s="69" t="s">
        <v>166</v>
      </c>
      <c r="N43" s="80">
        <f t="shared" si="50"/>
        <v>317705</v>
      </c>
      <c r="O43" s="80">
        <f t="shared" si="50"/>
        <v>311610</v>
      </c>
      <c r="P43" s="81">
        <f t="shared" si="50"/>
        <v>335990</v>
      </c>
      <c r="Q43" s="72">
        <f t="shared" si="51"/>
        <v>377705</v>
      </c>
      <c r="R43" s="72">
        <f t="shared" si="51"/>
        <v>371610</v>
      </c>
      <c r="S43" s="72">
        <f t="shared" si="51"/>
        <v>395990</v>
      </c>
      <c r="T43" s="79">
        <f t="shared" si="52"/>
        <v>266229.59999999998</v>
      </c>
      <c r="U43" s="79">
        <f t="shared" si="52"/>
        <v>259403.19999999998</v>
      </c>
      <c r="V43" s="79">
        <f t="shared" si="52"/>
        <v>286708.8</v>
      </c>
      <c r="W43" s="91">
        <f t="shared" si="53"/>
        <v>406230</v>
      </c>
      <c r="X43" s="91">
        <f t="shared" si="53"/>
        <v>399403</v>
      </c>
      <c r="Y43" s="91">
        <f t="shared" si="53"/>
        <v>426709</v>
      </c>
      <c r="Z43" s="75">
        <f t="shared" si="54"/>
        <v>266230</v>
      </c>
      <c r="AA43" s="75">
        <f t="shared" si="54"/>
        <v>259403</v>
      </c>
      <c r="AB43" s="75">
        <f t="shared" si="54"/>
        <v>286709</v>
      </c>
      <c r="AC43" s="76">
        <f>ROUND((Z43*35%*'[1]Giá dầu'!$E$20)+Z43,0)</f>
        <v>302800</v>
      </c>
      <c r="AD43" s="76">
        <f>ROUND((AA43*35%*'[1]Giá dầu'!$E$20)+AA43,0)</f>
        <v>295035</v>
      </c>
      <c r="AE43" s="76">
        <f>ROUND((AB43*35%*'[1]Giá dầu'!$E$20)+AB43,0)</f>
        <v>326092</v>
      </c>
      <c r="AF43" s="77">
        <f>(AC43-Z43)/Z43</f>
        <v>0.13736243098073095</v>
      </c>
      <c r="AG43" s="78">
        <f t="shared" si="55"/>
        <v>442800</v>
      </c>
      <c r="AH43" s="78">
        <f t="shared" si="55"/>
        <v>435035</v>
      </c>
      <c r="AI43" s="78">
        <f t="shared" si="55"/>
        <v>466092</v>
      </c>
      <c r="AJ43" s="268">
        <v>480338</v>
      </c>
      <c r="AK43" s="268">
        <v>471611</v>
      </c>
      <c r="AL43" s="268">
        <v>506518</v>
      </c>
      <c r="AN43" s="37">
        <v>471815</v>
      </c>
      <c r="AO43" s="37">
        <v>506744</v>
      </c>
      <c r="AP43" s="37">
        <v>480548</v>
      </c>
    </row>
    <row r="45" spans="1:42">
      <c r="O45" s="95"/>
      <c r="P45" s="95"/>
      <c r="R45" s="95"/>
      <c r="S45" s="95"/>
      <c r="Z45" s="96"/>
      <c r="AA45" s="96"/>
      <c r="AB45" s="96"/>
      <c r="AN45" s="37">
        <v>471815</v>
      </c>
    </row>
    <row r="46" spans="1:42">
      <c r="AN46" s="37">
        <v>506744</v>
      </c>
    </row>
    <row r="47" spans="1:42">
      <c r="AN47" s="37">
        <v>480548</v>
      </c>
    </row>
  </sheetData>
  <mergeCells count="58">
    <mergeCell ref="AJ5:AL5"/>
    <mergeCell ref="A2:M2"/>
    <mergeCell ref="Q2:S2"/>
    <mergeCell ref="D5:F5"/>
    <mergeCell ref="G5:I5"/>
    <mergeCell ref="J5:L5"/>
    <mergeCell ref="N5:P5"/>
    <mergeCell ref="Q5:S5"/>
    <mergeCell ref="T5:V5"/>
    <mergeCell ref="W5:Y5"/>
    <mergeCell ref="Z5:AB5"/>
    <mergeCell ref="AC5:AF5"/>
    <mergeCell ref="AG5:AI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D23:F23"/>
    <mergeCell ref="G23:I23"/>
    <mergeCell ref="J23:L23"/>
    <mergeCell ref="B25:C25"/>
    <mergeCell ref="B26:C26"/>
    <mergeCell ref="B27:C27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43:C43"/>
    <mergeCell ref="A5:A6"/>
    <mergeCell ref="A23:A24"/>
    <mergeCell ref="A40:A41"/>
    <mergeCell ref="M5:M6"/>
    <mergeCell ref="M23:M24"/>
    <mergeCell ref="M40:M41"/>
    <mergeCell ref="B5:C6"/>
    <mergeCell ref="B23:C24"/>
    <mergeCell ref="B40:C41"/>
    <mergeCell ref="B38:C38"/>
    <mergeCell ref="D40:F40"/>
    <mergeCell ref="G40:I40"/>
    <mergeCell ref="J40:L40"/>
    <mergeCell ref="B42:C42"/>
    <mergeCell ref="B33:C33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workbookViewId="0"/>
  </sheetViews>
  <sheetFormatPr defaultColWidth="9" defaultRowHeight="15.75"/>
  <sheetData>
    <row r="1" spans="1:14" ht="16.5">
      <c r="A1" s="1" t="s">
        <v>187</v>
      </c>
      <c r="B1" s="1"/>
      <c r="C1" s="2">
        <f>'BKTT T4.26'!K58</f>
        <v>825576728</v>
      </c>
      <c r="D1" s="3"/>
      <c r="E1" s="4"/>
      <c r="F1" s="1"/>
      <c r="G1" s="5" t="s">
        <v>188</v>
      </c>
      <c r="H1" s="1"/>
      <c r="I1" s="1"/>
      <c r="J1" s="1"/>
      <c r="K1" s="1"/>
      <c r="L1" s="1"/>
      <c r="M1" s="1"/>
      <c r="N1" s="1"/>
    </row>
    <row r="2" spans="1:14">
      <c r="A2" s="6"/>
      <c r="B2" s="7">
        <f>C1+10^12</f>
        <v>1000825576728</v>
      </c>
      <c r="C2" s="8">
        <v>1</v>
      </c>
      <c r="D2" s="8">
        <v>2</v>
      </c>
      <c r="E2" s="8">
        <v>3</v>
      </c>
      <c r="F2" s="9">
        <v>4</v>
      </c>
      <c r="G2" s="9">
        <v>5</v>
      </c>
      <c r="H2" s="9">
        <v>6</v>
      </c>
      <c r="I2" s="10">
        <v>7</v>
      </c>
      <c r="J2" s="10">
        <v>8</v>
      </c>
      <c r="K2" s="10">
        <v>9</v>
      </c>
      <c r="L2" s="11">
        <v>10</v>
      </c>
      <c r="M2" s="11">
        <v>11</v>
      </c>
      <c r="N2" s="12">
        <v>12</v>
      </c>
    </row>
    <row r="3" spans="1:14">
      <c r="A3" s="13" t="s">
        <v>189</v>
      </c>
      <c r="B3" s="14"/>
      <c r="C3" s="15">
        <f>VALUE(MID(B2,C2+1,1))</f>
        <v>0</v>
      </c>
      <c r="D3" s="15">
        <f>VALUE(MID(B2,D2+1,1))</f>
        <v>0</v>
      </c>
      <c r="E3" s="15">
        <f>VALUE(MID(B2,E2+1,1))</f>
        <v>0</v>
      </c>
      <c r="F3" s="16">
        <f>VALUE(MID(B2,F2+1,1))</f>
        <v>8</v>
      </c>
      <c r="G3" s="16">
        <f>VALUE(MID(B2,G2+1,1))</f>
        <v>2</v>
      </c>
      <c r="H3" s="16">
        <f>VALUE(MID(B2,H2+1,1))</f>
        <v>5</v>
      </c>
      <c r="I3" s="17">
        <f>VALUE(MID(B2,I2+1,1))</f>
        <v>5</v>
      </c>
      <c r="J3" s="17">
        <f>VALUE(MID(B2,J2+1,1))</f>
        <v>7</v>
      </c>
      <c r="K3" s="17">
        <f>VALUE(MID(B2,K2+1,1))</f>
        <v>6</v>
      </c>
      <c r="L3" s="18">
        <f>VALUE(MID(B2,L2+1,1))</f>
        <v>7</v>
      </c>
      <c r="M3" s="18">
        <f>VALUE(MID(B2,M2+1,1))</f>
        <v>2</v>
      </c>
      <c r="N3" s="19">
        <f>VALUE(MID(B2,N2+1,1))</f>
        <v>8</v>
      </c>
    </row>
    <row r="4" spans="1:14">
      <c r="A4" s="20" t="s">
        <v>190</v>
      </c>
      <c r="B4" s="21"/>
      <c r="C4" s="22"/>
      <c r="D4" s="22" t="s">
        <v>191</v>
      </c>
      <c r="E4" s="22" t="s">
        <v>192</v>
      </c>
      <c r="F4" s="22"/>
      <c r="G4" s="22" t="s">
        <v>191</v>
      </c>
      <c r="H4" s="22" t="s">
        <v>193</v>
      </c>
      <c r="I4" s="22"/>
      <c r="J4" s="22" t="s">
        <v>191</v>
      </c>
      <c r="K4" s="22" t="s">
        <v>194</v>
      </c>
      <c r="L4" s="22"/>
      <c r="M4" s="22" t="s">
        <v>191</v>
      </c>
      <c r="N4" s="22" t="s">
        <v>195</v>
      </c>
    </row>
    <row r="5" spans="1:14">
      <c r="A5" s="23" t="s">
        <v>196</v>
      </c>
      <c r="B5" s="24"/>
      <c r="C5" s="25" t="str">
        <f>IF(C3=0,"",CHOOSE(C3,"một","hai","ba","bốn","năm","sáu","bảy","tám","chín")&amp;" trăm")</f>
        <v/>
      </c>
      <c r="D5" s="26" t="str">
        <f>IF(SUM(C3:D3)=0,"",IF(AND(D3=0,E3=0),"",IF(AND(D3=0,E3&lt;&gt;0),D4,CHOOSE(D3,"mười","hai mươi","ba mươi","bốn mươi","năm mươi","sáu mươi","bảy mươi","tám mươi","chín mươi"))))</f>
        <v/>
      </c>
      <c r="E5" s="26" t="str">
        <f>IF(SUM(C3:E3)=0,"",IF(AND(SUM(C3:D3)&gt;0,E3=0)," "&amp;E4,CHOOSE(E3,IF(D3&gt;0,"một","mốt"),"hai","ba","bốn",IF(D3&gt;0,"lăm","năm"),"sáu","bảy","tám","chín")&amp;" "&amp;E4))</f>
        <v/>
      </c>
      <c r="F5" s="26" t="str">
        <f>IF(SUM(C3:F3)=0,"",IF(SUM(F3:H3)=0,"",IF(F3=0,"không trăm",CHOOSE(F3,"một","hai","ba","bốn","năm","sáu","bảy","tám","chín")&amp;" trăm")))</f>
        <v>tám trăm</v>
      </c>
      <c r="G5" s="26" t="str">
        <f>IF(SUM(C3:G3)=0,"",IF(AND(G3=0,H3=0),"",IF(AND(G3=0,H3&lt;&gt;0),G4,CHOOSE(G3,"mười","hai mươi","ba mươi","bốn mươi","năm mươi","sáu mươi","bảy mươi","tám mươi","chín mươi"))))</f>
        <v>hai mươi</v>
      </c>
      <c r="H5" s="26" t="str">
        <f>IF(SUM(F3:H3)=0,"",IF(AND(SUM(C3:G3)&gt;0,H3=0)," "&amp;H4,CHOOSE(H3,IF(G3&gt;0,"mốt","mốt"),"hai","ba","bốn",IF(G3&gt;0,"lăm","năm"),"sáu","bảy","tám","chín")&amp;" "&amp;H4))</f>
        <v>lăm  triệu</v>
      </c>
      <c r="I5" s="26" t="str">
        <f>IF(SUM(C3:I3)=0,"",IF(SUM(I3:K3)=0,"",IF(I3=0,"không trăm",CHOOSE(I3,"một","hai","ba","bốn","năm","sáu","bảy","tám","chín")&amp;" trăm")))</f>
        <v>năm trăm</v>
      </c>
      <c r="J5" s="26" t="str">
        <f>IF(SUM(C3:J3)=0,"",IF(AND(J3=0,K3=0),"",IF(AND(J3=0,K3&lt;&gt;0),J4,CHOOSE(J3,"mười","hai mươi","ba mươi","bốn mươi","năm mươi","sáu mươi","bảy mươi","tám mươi","chín mươi"))))</f>
        <v>bảy mươi</v>
      </c>
      <c r="K5" s="26" t="str">
        <f>IF(SUM(I3:K3)=0,"",IF(AND(SUM(C3:J3)&gt;0,K3=0)," "&amp;K4,CHOOSE(K3,IF(J3&gt;0,"một","mốt"),"hai","ba","bốn",IF(J3&gt;0,"lăm","năm"),"sáu","bảy","tám","chín")&amp;" "&amp;K4))</f>
        <v>sáu nghìn</v>
      </c>
      <c r="L5" s="26" t="str">
        <f>IF(SUM(C3:L3)=0,"",IF(SUM(L3:N3)=0,"",IF(L3=0,"không trăm",CHOOSE(L3,"một","hai","ba","bốn","năm","sáu","bảy","tám","chín")&amp;" trăm")))</f>
        <v>bảy trăm</v>
      </c>
      <c r="M5" s="26" t="str">
        <f>IF(SUM(C3:M3)=0,"",IF(AND(M3=0,N3=0),"",IF(AND(M3=0,N3&lt;&gt;0),M4,CHOOSE(M3,"mười","hai mươi","ba mươi","bốn mươi","năm mươi","sáu mươi","bảy mươi","tám mươi","chín mươi"))))</f>
        <v>hai mươi</v>
      </c>
      <c r="N5" s="27" t="str">
        <f>IF(SUM(C3:N3)=0,"Không "&amp;N4,IF(AND(SUM(C3:K3)&gt;0,SUM(L3:N3)=0)," "&amp;N4&amp;" chẵn",IF(N3=0," "&amp;N4,CHOOSE(N3,IF(M3&gt;0,"một","mốt"),"hai","ba","bốn",IF(M3&gt;0,"lăm","năm"),"sáu","bảy","tám","chín")&amp;" "&amp;N4)))&amp;"./."</f>
        <v>tám đồng./.</v>
      </c>
    </row>
    <row r="6" spans="1:14">
      <c r="A6" s="28" t="s">
        <v>197</v>
      </c>
      <c r="B6" s="29"/>
      <c r="C6" s="30" t="str">
        <f>IF(C5="","",IF(COUNTIF(B5,"")=C2,UPPER(LEFT(C5,1))&amp;RIGHT(C5,LEN(C5)-1),C5))</f>
        <v/>
      </c>
      <c r="D6" s="31" t="str">
        <f>IF(D5="","",IF(COUNTIF(B5:C5,"")=D2,UPPER(LEFT(D5,1))&amp;RIGHT(D5,LEN(D5)-1),D5))</f>
        <v/>
      </c>
      <c r="E6" s="31" t="str">
        <f>IF(E5="","",IF(COUNTIF(B5:D5,"")=E2,UPPER(LEFT(E5,1))&amp;RIGHT(E5,LEN(E5)-1),E5))</f>
        <v/>
      </c>
      <c r="F6" s="31" t="str">
        <f>IF(F5="","",IF(COUNTIF(B5:E5,"")=F2,UPPER(LEFT(F5,1))&amp;RIGHT(F5,LEN(F5)-1),F5))</f>
        <v>Tám trăm</v>
      </c>
      <c r="G6" s="31" t="str">
        <f>IF(G5="","",IF(COUNTIF(B5:F5,"")=G2,UPPER(LEFT(G5,1))&amp;RIGHT(G5,LEN(G5)-1),G5))</f>
        <v>hai mươi</v>
      </c>
      <c r="H6" s="31" t="str">
        <f>IF(H5="","",IF(COUNTIF(B5:G5,"")=H2,UPPER(LEFT(H5,1))&amp;RIGHT(H5,LEN(H5)-1),H5))</f>
        <v>lăm  triệu</v>
      </c>
      <c r="I6" s="31" t="str">
        <f>IF(I5="","",IF(COUNTIF(B5:H5,"")=I2,UPPER(LEFT(I5,1))&amp;RIGHT(I5,LEN(I5)-1),I5))</f>
        <v>năm trăm</v>
      </c>
      <c r="J6" s="31" t="str">
        <f>IF(J5="","",IF(COUNTIF(B5:I5,"")=J2,UPPER(LEFT(J5,1))&amp;RIGHT(J5,LEN(J5)-1),J5))</f>
        <v>bảy mươi</v>
      </c>
      <c r="K6" s="31" t="str">
        <f>IF(K5="","",IF(COUNTIF(B5:J5,"")=K2,UPPER(LEFT(K5,1))&amp;RIGHT(K5,LEN(K5)-1),K5))</f>
        <v>sáu nghìn</v>
      </c>
      <c r="L6" s="31" t="str">
        <f>IF(L5="","",IF(COUNTIF(B5:K5,"")=L2,UPPER(LEFT(L5,1))&amp;RIGHT(L5,LEN(L5)-1),L5))</f>
        <v>bảy trăm</v>
      </c>
      <c r="M6" s="31" t="str">
        <f>IF(M5="","",IF(COUNTIF(B5:L5,"")=M2,UPPER(LEFT(M5,1))&amp;RIGHT(M5,LEN(M5)-1),M5))</f>
        <v>hai mươi</v>
      </c>
      <c r="N6" s="32" t="str">
        <f>IF(N5="","",IF(COUNTIF(B5:M5,"")=N2,UPPER(LEFT(N5,1))&amp;RIGHT(N5,LEN(N5)-1),N5))</f>
        <v>tám đồng./.</v>
      </c>
    </row>
    <row r="7" spans="1:14" ht="16.5">
      <c r="A7" s="33" t="s">
        <v>198</v>
      </c>
      <c r="B7" s="34" t="str">
        <f>TRIM(C6&amp;" "&amp;D6&amp;" "&amp;E6&amp;" "&amp;F6&amp;" "&amp;G6&amp;" "&amp;H6&amp;" "&amp;I6&amp;" "&amp;J6&amp;" "&amp;K6&amp;" "&amp;L6&amp;" "&amp;M6&amp;" "&amp;N6)</f>
        <v>Tám trăm hai mươi lăm triệu năm trăm bảy mươi sáu nghìn bảy trăm hai mươi tám đồng./.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BKTT T4.26</vt:lpstr>
      <vt:lpstr>SL T4.26</vt:lpstr>
      <vt:lpstr>Sheet1</vt:lpstr>
      <vt:lpstr>Sheet4</vt:lpstr>
      <vt:lpstr>HĐơn</vt:lpstr>
      <vt:lpstr>Trucking (HD)</vt:lpstr>
      <vt:lpstr>Sheet2</vt:lpstr>
      <vt:lpstr>'BKTT T4.26'!Print_Area</vt:lpstr>
      <vt:lpstr>'SL T4.26'!Print_Area</vt:lpstr>
      <vt:lpstr>'BKTT T4.26'!Print_Titles</vt:lpstr>
      <vt:lpstr>'SL T4.26'!Print_Titles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2026-04-01T03:19:28Z</cp:lastPrinted>
  <dcterms:created xsi:type="dcterms:W3CDTF">2023-06-13T10:41:00Z</dcterms:created>
  <dcterms:modified xsi:type="dcterms:W3CDTF">2026-04-28T07:47:28Z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1033-12.1.0.25830</vt:lpwstr>
  </property>
  <property fmtid="{D5CDD505-2E9C-101B-9397-08002B2CF9AE}" pid="3" name="ICV">
    <vt:lpwstr>072F1F8029AB4E97AB5D21FC11BD151A_13</vt:lpwstr>
  </property>
  <property fmtid="{D5CDD505-2E9C-101B-9397-08002B2CF9AE}" pid="4" name="CalculationRule">
    <vt:i4>0</vt:i4>
  </property>
</Properties>
</file>