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F:\BẢNG KÊ_2026\"/>
    </mc:Choice>
  </mc:AlternateContent>
  <xr:revisionPtr revIDLastSave="0" documentId="13_ncr:1_{27E0C2D3-FFC5-4C06-93EF-A66446C2BA8D}" xr6:coauthVersionLast="47" xr6:coauthVersionMax="47" xr10:uidLastSave="{00000000-0000-0000-0000-000000000000}"/>
  <bookViews>
    <workbookView xWindow="11205" yWindow="210" windowWidth="18000" windowHeight="14895" xr2:uid="{00000000-000D-0000-FFFF-FFFF00000000}"/>
  </bookViews>
  <sheets>
    <sheet name="T5" sheetId="16" r:id="rId1"/>
    <sheet name="T4" sheetId="15" r:id="rId2"/>
    <sheet name="t3" sheetId="14" r:id="rId3"/>
    <sheet name="T2" sheetId="13" r:id="rId4"/>
    <sheet name="t1" sheetId="12" r:id="rId5"/>
    <sheet name="T12" sheetId="10" r:id="rId6"/>
  </sheets>
  <externalReferences>
    <externalReference r:id="rId7"/>
    <externalReference r:id="rId8"/>
  </externalReferences>
  <definedNames>
    <definedName name="_xlnm._FilterDatabase" localSheetId="4" hidden="1">'t1'!$A$10:$V$358</definedName>
    <definedName name="_xlnm._FilterDatabase" localSheetId="5" hidden="1">'T12'!$A$10:$V$388</definedName>
    <definedName name="_xlnm._FilterDatabase" localSheetId="3" hidden="1">'T2'!$A$10:$U$132</definedName>
    <definedName name="_xlnm._FilterDatabase" localSheetId="2" hidden="1">'t3'!$A$9:$U$393</definedName>
    <definedName name="_xlnm._FilterDatabase" localSheetId="1" hidden="1">'T4'!$A$9:$W$205</definedName>
    <definedName name="_xlnm._FilterDatabase" localSheetId="0" hidden="1">'T5'!$A$9:$W$205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1" i="16" l="1"/>
  <c r="N200" i="16"/>
  <c r="V200" i="16" s="1"/>
  <c r="N199" i="16"/>
  <c r="V199" i="16" s="1"/>
  <c r="N198" i="16"/>
  <c r="V198" i="16" s="1"/>
  <c r="N197" i="16"/>
  <c r="V197" i="16" s="1"/>
  <c r="N196" i="16"/>
  <c r="V196" i="16" s="1"/>
  <c r="N195" i="16"/>
  <c r="V195" i="16" s="1"/>
  <c r="N194" i="16"/>
  <c r="V194" i="16" s="1"/>
  <c r="N193" i="16"/>
  <c r="V193" i="16" s="1"/>
  <c r="N192" i="16"/>
  <c r="V192" i="16" s="1"/>
  <c r="N191" i="16"/>
  <c r="V191" i="16" s="1"/>
  <c r="N190" i="16"/>
  <c r="V190" i="16" s="1"/>
  <c r="N189" i="16"/>
  <c r="V189" i="16" s="1"/>
  <c r="N188" i="16"/>
  <c r="V188" i="16" s="1"/>
  <c r="N187" i="16"/>
  <c r="V187" i="16" s="1"/>
  <c r="N186" i="16"/>
  <c r="V186" i="16" s="1"/>
  <c r="N185" i="16"/>
  <c r="V185" i="16" s="1"/>
  <c r="N184" i="16"/>
  <c r="V184" i="16" s="1"/>
  <c r="N183" i="16"/>
  <c r="V183" i="16" s="1"/>
  <c r="N182" i="16"/>
  <c r="V182" i="16" s="1"/>
  <c r="N181" i="16"/>
  <c r="V181" i="16" s="1"/>
  <c r="N180" i="16"/>
  <c r="V180" i="16" s="1"/>
  <c r="N179" i="16"/>
  <c r="V179" i="16" s="1"/>
  <c r="N178" i="16"/>
  <c r="V178" i="16" s="1"/>
  <c r="N177" i="16"/>
  <c r="V177" i="16" s="1"/>
  <c r="N176" i="16"/>
  <c r="V176" i="16" s="1"/>
  <c r="N175" i="16"/>
  <c r="V175" i="16" s="1"/>
  <c r="N174" i="16"/>
  <c r="V174" i="16" s="1"/>
  <c r="N173" i="16"/>
  <c r="V173" i="16" s="1"/>
  <c r="N172" i="16"/>
  <c r="V172" i="16" s="1"/>
  <c r="N171" i="16"/>
  <c r="V171" i="16" s="1"/>
  <c r="N170" i="16"/>
  <c r="V170" i="16" s="1"/>
  <c r="N169" i="16"/>
  <c r="V169" i="16" s="1"/>
  <c r="N168" i="16"/>
  <c r="V168" i="16" s="1"/>
  <c r="N167" i="16"/>
  <c r="V167" i="16" s="1"/>
  <c r="N166" i="16"/>
  <c r="V166" i="16" s="1"/>
  <c r="N165" i="16"/>
  <c r="V165" i="16" s="1"/>
  <c r="N164" i="16"/>
  <c r="V164" i="16" s="1"/>
  <c r="N163" i="16"/>
  <c r="V163" i="16" s="1"/>
  <c r="N162" i="16"/>
  <c r="V162" i="16" s="1"/>
  <c r="N161" i="16"/>
  <c r="V161" i="16" s="1"/>
  <c r="N160" i="16"/>
  <c r="V160" i="16" s="1"/>
  <c r="N159" i="16"/>
  <c r="V159" i="16" s="1"/>
  <c r="N158" i="16"/>
  <c r="V158" i="16" s="1"/>
  <c r="N157" i="16"/>
  <c r="V157" i="16" s="1"/>
  <c r="N156" i="16"/>
  <c r="V156" i="16" s="1"/>
  <c r="N155" i="16"/>
  <c r="V155" i="16" s="1"/>
  <c r="N154" i="16"/>
  <c r="V154" i="16" s="1"/>
  <c r="N153" i="16"/>
  <c r="V153" i="16" s="1"/>
  <c r="N152" i="16"/>
  <c r="V152" i="16" s="1"/>
  <c r="N151" i="16"/>
  <c r="V151" i="16" s="1"/>
  <c r="N150" i="16"/>
  <c r="V150" i="16" s="1"/>
  <c r="N149" i="16"/>
  <c r="V149" i="16" s="1"/>
  <c r="N148" i="16"/>
  <c r="V148" i="16" s="1"/>
  <c r="N147" i="16"/>
  <c r="V147" i="16" s="1"/>
  <c r="N146" i="16"/>
  <c r="V146" i="16" s="1"/>
  <c r="N145" i="16"/>
  <c r="V145" i="16" s="1"/>
  <c r="N144" i="16"/>
  <c r="V144" i="16" s="1"/>
  <c r="N143" i="16"/>
  <c r="V143" i="16" s="1"/>
  <c r="N142" i="16"/>
  <c r="V142" i="16" s="1"/>
  <c r="N141" i="16"/>
  <c r="V141" i="16" s="1"/>
  <c r="N140" i="16"/>
  <c r="V140" i="16" s="1"/>
  <c r="N139" i="16"/>
  <c r="V139" i="16" s="1"/>
  <c r="N138" i="16"/>
  <c r="V138" i="16" s="1"/>
  <c r="N137" i="16"/>
  <c r="V137" i="16" s="1"/>
  <c r="N136" i="16"/>
  <c r="V136" i="16" s="1"/>
  <c r="N135" i="16"/>
  <c r="V135" i="16" s="1"/>
  <c r="N134" i="16"/>
  <c r="V134" i="16" s="1"/>
  <c r="N133" i="16"/>
  <c r="V133" i="16" s="1"/>
  <c r="N132" i="16"/>
  <c r="V132" i="16" s="1"/>
  <c r="N131" i="16"/>
  <c r="V131" i="16" s="1"/>
  <c r="N130" i="16"/>
  <c r="V130" i="16" s="1"/>
  <c r="N129" i="16"/>
  <c r="V129" i="16" s="1"/>
  <c r="N128" i="16"/>
  <c r="V128" i="16" s="1"/>
  <c r="N127" i="16"/>
  <c r="V127" i="16" s="1"/>
  <c r="N126" i="16"/>
  <c r="V126" i="16" s="1"/>
  <c r="N125" i="16"/>
  <c r="V125" i="16" s="1"/>
  <c r="N124" i="16"/>
  <c r="V124" i="16" s="1"/>
  <c r="N123" i="16"/>
  <c r="V123" i="16" s="1"/>
  <c r="N122" i="16"/>
  <c r="V122" i="16" s="1"/>
  <c r="N121" i="16"/>
  <c r="V121" i="16" s="1"/>
  <c r="N120" i="16"/>
  <c r="V120" i="16" s="1"/>
  <c r="N119" i="16"/>
  <c r="V119" i="16" s="1"/>
  <c r="N118" i="16"/>
  <c r="V118" i="16" s="1"/>
  <c r="N117" i="16"/>
  <c r="V117" i="16" s="1"/>
  <c r="N116" i="16"/>
  <c r="V116" i="16" s="1"/>
  <c r="N115" i="16"/>
  <c r="V115" i="16" s="1"/>
  <c r="N114" i="16"/>
  <c r="V114" i="16" s="1"/>
  <c r="N113" i="16"/>
  <c r="V113" i="16" s="1"/>
  <c r="N112" i="16"/>
  <c r="V112" i="16" s="1"/>
  <c r="N111" i="16"/>
  <c r="V111" i="16" s="1"/>
  <c r="N110" i="16"/>
  <c r="V110" i="16" s="1"/>
  <c r="N109" i="16"/>
  <c r="V109" i="16" s="1"/>
  <c r="N108" i="16"/>
  <c r="V108" i="16" s="1"/>
  <c r="N107" i="16"/>
  <c r="V107" i="16" s="1"/>
  <c r="N106" i="16"/>
  <c r="V106" i="16" s="1"/>
  <c r="N105" i="16"/>
  <c r="V105" i="16" s="1"/>
  <c r="N104" i="16"/>
  <c r="V104" i="16" s="1"/>
  <c r="N103" i="16"/>
  <c r="V103" i="16" s="1"/>
  <c r="N102" i="16"/>
  <c r="V102" i="16" s="1"/>
  <c r="N101" i="16"/>
  <c r="V101" i="16" s="1"/>
  <c r="N100" i="16"/>
  <c r="V100" i="16" s="1"/>
  <c r="N99" i="16"/>
  <c r="V99" i="16" s="1"/>
  <c r="N98" i="16"/>
  <c r="V98" i="16" s="1"/>
  <c r="N97" i="16"/>
  <c r="V97" i="16" s="1"/>
  <c r="N96" i="16"/>
  <c r="V96" i="16" s="1"/>
  <c r="N95" i="16"/>
  <c r="V95" i="16" s="1"/>
  <c r="N94" i="16"/>
  <c r="V94" i="16" s="1"/>
  <c r="N93" i="16"/>
  <c r="V93" i="16" s="1"/>
  <c r="N92" i="16"/>
  <c r="V92" i="16" s="1"/>
  <c r="N91" i="16"/>
  <c r="V91" i="16" s="1"/>
  <c r="N90" i="16"/>
  <c r="V90" i="16" s="1"/>
  <c r="N89" i="16"/>
  <c r="V89" i="16" s="1"/>
  <c r="N88" i="16"/>
  <c r="V88" i="16" s="1"/>
  <c r="N87" i="16"/>
  <c r="V87" i="16" s="1"/>
  <c r="N86" i="16"/>
  <c r="V86" i="16" s="1"/>
  <c r="N85" i="16"/>
  <c r="V85" i="16" s="1"/>
  <c r="N84" i="16"/>
  <c r="V84" i="16" s="1"/>
  <c r="N83" i="16"/>
  <c r="V83" i="16" s="1"/>
  <c r="N82" i="16"/>
  <c r="V82" i="16" s="1"/>
  <c r="N81" i="16"/>
  <c r="V81" i="16" s="1"/>
  <c r="N80" i="16"/>
  <c r="V80" i="16" s="1"/>
  <c r="N79" i="16"/>
  <c r="V79" i="16" s="1"/>
  <c r="N78" i="16"/>
  <c r="V78" i="16" s="1"/>
  <c r="N77" i="16"/>
  <c r="V77" i="16" s="1"/>
  <c r="N76" i="16"/>
  <c r="V76" i="16" s="1"/>
  <c r="N75" i="16"/>
  <c r="V75" i="16" s="1"/>
  <c r="N74" i="16"/>
  <c r="V74" i="16" s="1"/>
  <c r="N73" i="16"/>
  <c r="V73" i="16" s="1"/>
  <c r="N72" i="16"/>
  <c r="V72" i="16" s="1"/>
  <c r="N71" i="16"/>
  <c r="V71" i="16" s="1"/>
  <c r="N70" i="16"/>
  <c r="V70" i="16" s="1"/>
  <c r="N69" i="16"/>
  <c r="V69" i="16" s="1"/>
  <c r="N68" i="16"/>
  <c r="V68" i="16" s="1"/>
  <c r="N67" i="16"/>
  <c r="V67" i="16" s="1"/>
  <c r="N66" i="16"/>
  <c r="V66" i="16" s="1"/>
  <c r="N65" i="16"/>
  <c r="V65" i="16" s="1"/>
  <c r="N64" i="16"/>
  <c r="V64" i="16" s="1"/>
  <c r="N63" i="16"/>
  <c r="V63" i="16" s="1"/>
  <c r="N62" i="16"/>
  <c r="V62" i="16" s="1"/>
  <c r="N61" i="16"/>
  <c r="V61" i="16" s="1"/>
  <c r="N60" i="16"/>
  <c r="V60" i="16" s="1"/>
  <c r="N59" i="16"/>
  <c r="V59" i="16" s="1"/>
  <c r="N58" i="16"/>
  <c r="V58" i="16" s="1"/>
  <c r="N57" i="16"/>
  <c r="V57" i="16" s="1"/>
  <c r="N56" i="16"/>
  <c r="V56" i="16" s="1"/>
  <c r="N55" i="16"/>
  <c r="V55" i="16" s="1"/>
  <c r="N54" i="16"/>
  <c r="V54" i="16" s="1"/>
  <c r="N53" i="16"/>
  <c r="V53" i="16" s="1"/>
  <c r="N52" i="16"/>
  <c r="V52" i="16" s="1"/>
  <c r="N51" i="16"/>
  <c r="V51" i="16" s="1"/>
  <c r="N50" i="16"/>
  <c r="V50" i="16" s="1"/>
  <c r="N49" i="16"/>
  <c r="V49" i="16" s="1"/>
  <c r="N48" i="16"/>
  <c r="V48" i="16" s="1"/>
  <c r="N47" i="16"/>
  <c r="V47" i="16" s="1"/>
  <c r="N46" i="16"/>
  <c r="V46" i="16" s="1"/>
  <c r="N45" i="16"/>
  <c r="V45" i="16" s="1"/>
  <c r="N44" i="16"/>
  <c r="V44" i="16" s="1"/>
  <c r="N43" i="16"/>
  <c r="V43" i="16" s="1"/>
  <c r="N42" i="16"/>
  <c r="V42" i="16" s="1"/>
  <c r="N41" i="16"/>
  <c r="V41" i="16" s="1"/>
  <c r="N40" i="16"/>
  <c r="V40" i="16" s="1"/>
  <c r="N39" i="16"/>
  <c r="V39" i="16" s="1"/>
  <c r="N38" i="16"/>
  <c r="V38" i="16" s="1"/>
  <c r="N37" i="16"/>
  <c r="V37" i="16" s="1"/>
  <c r="N36" i="16"/>
  <c r="V36" i="16" s="1"/>
  <c r="N35" i="16"/>
  <c r="V35" i="16" s="1"/>
  <c r="N34" i="16"/>
  <c r="V34" i="16" s="1"/>
  <c r="N33" i="16"/>
  <c r="V33" i="16" s="1"/>
  <c r="N32" i="16"/>
  <c r="V32" i="16" s="1"/>
  <c r="N31" i="16"/>
  <c r="V31" i="16" s="1"/>
  <c r="N30" i="16"/>
  <c r="V30" i="16" s="1"/>
  <c r="N29" i="16"/>
  <c r="V29" i="16" s="1"/>
  <c r="N28" i="16"/>
  <c r="V28" i="16" s="1"/>
  <c r="N27" i="16"/>
  <c r="V27" i="16" s="1"/>
  <c r="N26" i="16"/>
  <c r="V26" i="16" s="1"/>
  <c r="N25" i="16"/>
  <c r="V25" i="16" s="1"/>
  <c r="N24" i="16"/>
  <c r="V24" i="16" s="1"/>
  <c r="N23" i="16"/>
  <c r="V23" i="16" s="1"/>
  <c r="N22" i="16"/>
  <c r="V22" i="16" s="1"/>
  <c r="N21" i="16"/>
  <c r="V21" i="16" s="1"/>
  <c r="N20" i="16"/>
  <c r="V20" i="16" s="1"/>
  <c r="N19" i="16"/>
  <c r="V19" i="16" s="1"/>
  <c r="N18" i="16"/>
  <c r="V18" i="16" s="1"/>
  <c r="N17" i="16"/>
  <c r="V17" i="16" s="1"/>
  <c r="N16" i="16"/>
  <c r="V16" i="16" s="1"/>
  <c r="N15" i="16"/>
  <c r="V15" i="16" s="1"/>
  <c r="N14" i="16"/>
  <c r="V14" i="16" s="1"/>
  <c r="N13" i="16"/>
  <c r="V13" i="16" s="1"/>
  <c r="N12" i="16"/>
  <c r="V12" i="16" s="1"/>
  <c r="N11" i="16"/>
  <c r="V11" i="16" s="1"/>
  <c r="N10" i="16"/>
  <c r="V10" i="16" s="1"/>
  <c r="N187" i="15"/>
  <c r="V187" i="15" s="1"/>
  <c r="N188" i="15"/>
  <c r="V188" i="15" s="1"/>
  <c r="N189" i="15"/>
  <c r="V189" i="15" s="1"/>
  <c r="N190" i="15"/>
  <c r="V190" i="15" s="1"/>
  <c r="N191" i="15"/>
  <c r="V191" i="15" s="1"/>
  <c r="N192" i="15"/>
  <c r="V192" i="15" s="1"/>
  <c r="N186" i="15"/>
  <c r="V186" i="15" s="1"/>
  <c r="G201" i="15"/>
  <c r="N200" i="15"/>
  <c r="V200" i="15" s="1"/>
  <c r="N199" i="15"/>
  <c r="V199" i="15" s="1"/>
  <c r="N198" i="15"/>
  <c r="V198" i="15" s="1"/>
  <c r="N197" i="15"/>
  <c r="V197" i="15" s="1"/>
  <c r="N196" i="15"/>
  <c r="V196" i="15" s="1"/>
  <c r="N195" i="15"/>
  <c r="V195" i="15" s="1"/>
  <c r="N194" i="15"/>
  <c r="V194" i="15" s="1"/>
  <c r="N193" i="15"/>
  <c r="V193" i="15" s="1"/>
  <c r="N185" i="15"/>
  <c r="V185" i="15" s="1"/>
  <c r="N184" i="15"/>
  <c r="V184" i="15" s="1"/>
  <c r="N183" i="15"/>
  <c r="V183" i="15" s="1"/>
  <c r="N182" i="15"/>
  <c r="V182" i="15" s="1"/>
  <c r="N181" i="15"/>
  <c r="V181" i="15" s="1"/>
  <c r="N180" i="15"/>
  <c r="V180" i="15" s="1"/>
  <c r="N179" i="15"/>
  <c r="V179" i="15" s="1"/>
  <c r="N178" i="15"/>
  <c r="V178" i="15" s="1"/>
  <c r="N177" i="15"/>
  <c r="V177" i="15" s="1"/>
  <c r="N176" i="15"/>
  <c r="V176" i="15" s="1"/>
  <c r="N175" i="15"/>
  <c r="V175" i="15" s="1"/>
  <c r="N174" i="15"/>
  <c r="V174" i="15" s="1"/>
  <c r="N173" i="15"/>
  <c r="V173" i="15" s="1"/>
  <c r="N172" i="15"/>
  <c r="V172" i="15" s="1"/>
  <c r="N171" i="15"/>
  <c r="V171" i="15" s="1"/>
  <c r="N170" i="15"/>
  <c r="V170" i="15" s="1"/>
  <c r="N169" i="15"/>
  <c r="V169" i="15" s="1"/>
  <c r="N168" i="15"/>
  <c r="V168" i="15" s="1"/>
  <c r="N167" i="15"/>
  <c r="V167" i="15" s="1"/>
  <c r="N166" i="15"/>
  <c r="V166" i="15" s="1"/>
  <c r="N165" i="15"/>
  <c r="V165" i="15" s="1"/>
  <c r="N164" i="15"/>
  <c r="V164" i="15" s="1"/>
  <c r="N163" i="15"/>
  <c r="V163" i="15" s="1"/>
  <c r="N162" i="15"/>
  <c r="V162" i="15" s="1"/>
  <c r="N161" i="15"/>
  <c r="V161" i="15" s="1"/>
  <c r="N160" i="15"/>
  <c r="V160" i="15" s="1"/>
  <c r="N159" i="15"/>
  <c r="V159" i="15" s="1"/>
  <c r="N158" i="15"/>
  <c r="V158" i="15" s="1"/>
  <c r="N157" i="15"/>
  <c r="V157" i="15" s="1"/>
  <c r="N156" i="15"/>
  <c r="V156" i="15" s="1"/>
  <c r="N155" i="15"/>
  <c r="V155" i="15" s="1"/>
  <c r="N154" i="15"/>
  <c r="V154" i="15" s="1"/>
  <c r="N153" i="15"/>
  <c r="V153" i="15" s="1"/>
  <c r="N152" i="15"/>
  <c r="V152" i="15" s="1"/>
  <c r="N151" i="15"/>
  <c r="V151" i="15" s="1"/>
  <c r="N150" i="15"/>
  <c r="V150" i="15" s="1"/>
  <c r="N149" i="15"/>
  <c r="V149" i="15" s="1"/>
  <c r="N148" i="15"/>
  <c r="V148" i="15" s="1"/>
  <c r="N147" i="15"/>
  <c r="V147" i="15" s="1"/>
  <c r="N146" i="15"/>
  <c r="V146" i="15" s="1"/>
  <c r="N145" i="15"/>
  <c r="V145" i="15" s="1"/>
  <c r="N144" i="15"/>
  <c r="V144" i="15" s="1"/>
  <c r="N143" i="15"/>
  <c r="V143" i="15" s="1"/>
  <c r="N142" i="15"/>
  <c r="V142" i="15" s="1"/>
  <c r="N141" i="15"/>
  <c r="V141" i="15" s="1"/>
  <c r="N140" i="15"/>
  <c r="V140" i="15" s="1"/>
  <c r="N139" i="15"/>
  <c r="V139" i="15" s="1"/>
  <c r="N138" i="15"/>
  <c r="V138" i="15" s="1"/>
  <c r="N137" i="15"/>
  <c r="V137" i="15" s="1"/>
  <c r="N136" i="15"/>
  <c r="V136" i="15" s="1"/>
  <c r="N135" i="15"/>
  <c r="V135" i="15" s="1"/>
  <c r="N134" i="15"/>
  <c r="V134" i="15" s="1"/>
  <c r="N133" i="15"/>
  <c r="V133" i="15" s="1"/>
  <c r="N132" i="15"/>
  <c r="V132" i="15" s="1"/>
  <c r="N131" i="15"/>
  <c r="V131" i="15" s="1"/>
  <c r="N130" i="15"/>
  <c r="V130" i="15" s="1"/>
  <c r="N129" i="15"/>
  <c r="V129" i="15" s="1"/>
  <c r="N128" i="15"/>
  <c r="V128" i="15" s="1"/>
  <c r="N127" i="15"/>
  <c r="V127" i="15" s="1"/>
  <c r="N126" i="15"/>
  <c r="V126" i="15" s="1"/>
  <c r="N125" i="15"/>
  <c r="V125" i="15" s="1"/>
  <c r="N124" i="15"/>
  <c r="V124" i="15" s="1"/>
  <c r="N123" i="15"/>
  <c r="V123" i="15" s="1"/>
  <c r="N122" i="15"/>
  <c r="V122" i="15" s="1"/>
  <c r="N121" i="15"/>
  <c r="V121" i="15" s="1"/>
  <c r="N120" i="15"/>
  <c r="V120" i="15" s="1"/>
  <c r="N119" i="15"/>
  <c r="V119" i="15" s="1"/>
  <c r="N118" i="15"/>
  <c r="V118" i="15" s="1"/>
  <c r="N117" i="15"/>
  <c r="V117" i="15" s="1"/>
  <c r="N116" i="15"/>
  <c r="V116" i="15" s="1"/>
  <c r="N115" i="15"/>
  <c r="V115" i="15" s="1"/>
  <c r="N114" i="15"/>
  <c r="V114" i="15" s="1"/>
  <c r="N113" i="15"/>
  <c r="V113" i="15" s="1"/>
  <c r="N112" i="15"/>
  <c r="V112" i="15" s="1"/>
  <c r="N111" i="15"/>
  <c r="V111" i="15" s="1"/>
  <c r="N110" i="15"/>
  <c r="V110" i="15" s="1"/>
  <c r="N109" i="15"/>
  <c r="V109" i="15" s="1"/>
  <c r="N108" i="15"/>
  <c r="V108" i="15" s="1"/>
  <c r="N107" i="15"/>
  <c r="V107" i="15" s="1"/>
  <c r="N106" i="15"/>
  <c r="V106" i="15" s="1"/>
  <c r="N105" i="15"/>
  <c r="V105" i="15" s="1"/>
  <c r="N104" i="15"/>
  <c r="V104" i="15" s="1"/>
  <c r="N103" i="15"/>
  <c r="V103" i="15" s="1"/>
  <c r="N102" i="15"/>
  <c r="V102" i="15" s="1"/>
  <c r="N101" i="15"/>
  <c r="V101" i="15" s="1"/>
  <c r="N100" i="15"/>
  <c r="V100" i="15" s="1"/>
  <c r="N99" i="15"/>
  <c r="V99" i="15" s="1"/>
  <c r="N98" i="15"/>
  <c r="V98" i="15" s="1"/>
  <c r="N97" i="15"/>
  <c r="V97" i="15" s="1"/>
  <c r="N96" i="15"/>
  <c r="V96" i="15" s="1"/>
  <c r="N95" i="15"/>
  <c r="V95" i="15" s="1"/>
  <c r="N94" i="15"/>
  <c r="V94" i="15" s="1"/>
  <c r="N93" i="15"/>
  <c r="V93" i="15" s="1"/>
  <c r="N92" i="15"/>
  <c r="V92" i="15" s="1"/>
  <c r="N91" i="15"/>
  <c r="V91" i="15" s="1"/>
  <c r="N90" i="15"/>
  <c r="V90" i="15" s="1"/>
  <c r="N89" i="15"/>
  <c r="V89" i="15" s="1"/>
  <c r="N88" i="15"/>
  <c r="V88" i="15" s="1"/>
  <c r="N87" i="15"/>
  <c r="V87" i="15" s="1"/>
  <c r="N86" i="15"/>
  <c r="V86" i="15" s="1"/>
  <c r="N85" i="15"/>
  <c r="V85" i="15" s="1"/>
  <c r="N84" i="15"/>
  <c r="V84" i="15" s="1"/>
  <c r="N83" i="15"/>
  <c r="V83" i="15" s="1"/>
  <c r="N82" i="15"/>
  <c r="V82" i="15" s="1"/>
  <c r="N81" i="15"/>
  <c r="V81" i="15" s="1"/>
  <c r="N80" i="15"/>
  <c r="V80" i="15" s="1"/>
  <c r="N79" i="15"/>
  <c r="V79" i="15" s="1"/>
  <c r="N78" i="15"/>
  <c r="V78" i="15" s="1"/>
  <c r="N77" i="15"/>
  <c r="V77" i="15" s="1"/>
  <c r="N76" i="15"/>
  <c r="V76" i="15" s="1"/>
  <c r="N75" i="15"/>
  <c r="V75" i="15" s="1"/>
  <c r="N74" i="15"/>
  <c r="V74" i="15" s="1"/>
  <c r="N73" i="15"/>
  <c r="V73" i="15" s="1"/>
  <c r="N72" i="15"/>
  <c r="V72" i="15" s="1"/>
  <c r="N71" i="15"/>
  <c r="V71" i="15" s="1"/>
  <c r="N70" i="15"/>
  <c r="V70" i="15" s="1"/>
  <c r="N69" i="15"/>
  <c r="V69" i="15" s="1"/>
  <c r="N68" i="15"/>
  <c r="V68" i="15" s="1"/>
  <c r="N67" i="15"/>
  <c r="V67" i="15" s="1"/>
  <c r="N66" i="15"/>
  <c r="V66" i="15" s="1"/>
  <c r="N65" i="15"/>
  <c r="V65" i="15" s="1"/>
  <c r="N64" i="15"/>
  <c r="V64" i="15" s="1"/>
  <c r="N63" i="15"/>
  <c r="V63" i="15" s="1"/>
  <c r="N62" i="15"/>
  <c r="V62" i="15" s="1"/>
  <c r="N61" i="15"/>
  <c r="V61" i="15" s="1"/>
  <c r="N60" i="15"/>
  <c r="V60" i="15" s="1"/>
  <c r="N59" i="15"/>
  <c r="V59" i="15" s="1"/>
  <c r="N58" i="15"/>
  <c r="V58" i="15" s="1"/>
  <c r="N57" i="15"/>
  <c r="V57" i="15" s="1"/>
  <c r="N56" i="15"/>
  <c r="V56" i="15" s="1"/>
  <c r="N55" i="15"/>
  <c r="V55" i="15" s="1"/>
  <c r="N54" i="15"/>
  <c r="V54" i="15" s="1"/>
  <c r="N53" i="15"/>
  <c r="V53" i="15" s="1"/>
  <c r="N52" i="15"/>
  <c r="V52" i="15" s="1"/>
  <c r="N51" i="15"/>
  <c r="V51" i="15" s="1"/>
  <c r="N50" i="15"/>
  <c r="V50" i="15" s="1"/>
  <c r="N49" i="15"/>
  <c r="V49" i="15" s="1"/>
  <c r="N48" i="15"/>
  <c r="V48" i="15" s="1"/>
  <c r="N47" i="15"/>
  <c r="V47" i="15" s="1"/>
  <c r="N46" i="15"/>
  <c r="V46" i="15" s="1"/>
  <c r="N45" i="15"/>
  <c r="V45" i="15" s="1"/>
  <c r="N44" i="15"/>
  <c r="V44" i="15" s="1"/>
  <c r="N43" i="15"/>
  <c r="V43" i="15" s="1"/>
  <c r="N42" i="15"/>
  <c r="V42" i="15" s="1"/>
  <c r="N41" i="15"/>
  <c r="V41" i="15" s="1"/>
  <c r="N40" i="15"/>
  <c r="V40" i="15" s="1"/>
  <c r="N39" i="15"/>
  <c r="V39" i="15" s="1"/>
  <c r="N38" i="15"/>
  <c r="V38" i="15" s="1"/>
  <c r="N37" i="15"/>
  <c r="V37" i="15" s="1"/>
  <c r="N36" i="15"/>
  <c r="V36" i="15" s="1"/>
  <c r="N35" i="15"/>
  <c r="V35" i="15" s="1"/>
  <c r="N34" i="15"/>
  <c r="V34" i="15" s="1"/>
  <c r="N33" i="15"/>
  <c r="V33" i="15" s="1"/>
  <c r="N32" i="15"/>
  <c r="V32" i="15" s="1"/>
  <c r="N31" i="15"/>
  <c r="V31" i="15" s="1"/>
  <c r="N30" i="15"/>
  <c r="V30" i="15" s="1"/>
  <c r="N29" i="15"/>
  <c r="V29" i="15" s="1"/>
  <c r="N28" i="15"/>
  <c r="V28" i="15" s="1"/>
  <c r="N27" i="15"/>
  <c r="V27" i="15" s="1"/>
  <c r="N26" i="15"/>
  <c r="V26" i="15" s="1"/>
  <c r="N25" i="15"/>
  <c r="V25" i="15" s="1"/>
  <c r="N24" i="15"/>
  <c r="V24" i="15" s="1"/>
  <c r="N23" i="15"/>
  <c r="V23" i="15" s="1"/>
  <c r="N22" i="15"/>
  <c r="V22" i="15" s="1"/>
  <c r="N21" i="15"/>
  <c r="V21" i="15" s="1"/>
  <c r="N20" i="15"/>
  <c r="V20" i="15" s="1"/>
  <c r="N19" i="15"/>
  <c r="V19" i="15" s="1"/>
  <c r="N18" i="15"/>
  <c r="V18" i="15" s="1"/>
  <c r="N17" i="15"/>
  <c r="V17" i="15" s="1"/>
  <c r="N16" i="15"/>
  <c r="V16" i="15" s="1"/>
  <c r="N15" i="15"/>
  <c r="V15" i="15" s="1"/>
  <c r="N14" i="15"/>
  <c r="V14" i="15" s="1"/>
  <c r="N13" i="15"/>
  <c r="V13" i="15" s="1"/>
  <c r="N12" i="15"/>
  <c r="V12" i="15" s="1"/>
  <c r="N11" i="15"/>
  <c r="V11" i="15" s="1"/>
  <c r="N10" i="15"/>
  <c r="V10" i="15" s="1"/>
  <c r="T388" i="14"/>
  <c r="L385" i="14"/>
  <c r="T385" i="14" s="1"/>
  <c r="L376" i="14"/>
  <c r="T376" i="14" s="1"/>
  <c r="L375" i="14"/>
  <c r="T375" i="14" s="1"/>
  <c r="L374" i="14"/>
  <c r="T374" i="14" s="1"/>
  <c r="L359" i="14"/>
  <c r="T359" i="14" s="1"/>
  <c r="L358" i="14"/>
  <c r="T358" i="14" s="1"/>
  <c r="L357" i="14"/>
  <c r="T357" i="14" s="1"/>
  <c r="L356" i="14"/>
  <c r="T356" i="14" s="1"/>
  <c r="L355" i="14"/>
  <c r="T355" i="14" s="1"/>
  <c r="L354" i="14"/>
  <c r="T354" i="14" s="1"/>
  <c r="L353" i="14"/>
  <c r="T353" i="14" s="1"/>
  <c r="L352" i="14"/>
  <c r="T352" i="14" s="1"/>
  <c r="L351" i="14"/>
  <c r="T351" i="14" s="1"/>
  <c r="L344" i="14"/>
  <c r="T344" i="14" s="1"/>
  <c r="L343" i="14"/>
  <c r="T343" i="14" s="1"/>
  <c r="L342" i="14"/>
  <c r="T342" i="14" s="1"/>
  <c r="L341" i="14"/>
  <c r="T341" i="14" s="1"/>
  <c r="L340" i="14"/>
  <c r="T340" i="14" s="1"/>
  <c r="L339" i="14"/>
  <c r="T339" i="14" s="1"/>
  <c r="L338" i="14"/>
  <c r="T338" i="14" s="1"/>
  <c r="L337" i="14"/>
  <c r="T337" i="14" s="1"/>
  <c r="L326" i="14"/>
  <c r="T326" i="14" s="1"/>
  <c r="L325" i="14"/>
  <c r="T325" i="14" s="1"/>
  <c r="L322" i="14"/>
  <c r="T322" i="14" s="1"/>
  <c r="L321" i="14"/>
  <c r="T321" i="14" s="1"/>
  <c r="L320" i="14"/>
  <c r="T320" i="14" s="1"/>
  <c r="L319" i="14"/>
  <c r="T319" i="14" s="1"/>
  <c r="L318" i="14"/>
  <c r="T318" i="14" s="1"/>
  <c r="L317" i="14"/>
  <c r="T317" i="14" s="1"/>
  <c r="L316" i="14"/>
  <c r="T316" i="14" s="1"/>
  <c r="L315" i="14"/>
  <c r="T315" i="14" s="1"/>
  <c r="L314" i="14"/>
  <c r="T314" i="14" s="1"/>
  <c r="L313" i="14"/>
  <c r="T313" i="14" s="1"/>
  <c r="L312" i="14"/>
  <c r="T312" i="14" s="1"/>
  <c r="L311" i="14"/>
  <c r="T311" i="14" s="1"/>
  <c r="L310" i="14"/>
  <c r="T310" i="14" s="1"/>
  <c r="L309" i="14"/>
  <c r="T309" i="14" s="1"/>
  <c r="L308" i="14"/>
  <c r="T308" i="14" s="1"/>
  <c r="L307" i="14"/>
  <c r="T307" i="14" s="1"/>
  <c r="L306" i="14"/>
  <c r="T306" i="14" s="1"/>
  <c r="L305" i="14"/>
  <c r="T305" i="14" s="1"/>
  <c r="L304" i="14"/>
  <c r="T304" i="14" s="1"/>
  <c r="L303" i="14"/>
  <c r="T303" i="14" s="1"/>
  <c r="L302" i="14"/>
  <c r="T302" i="14" s="1"/>
  <c r="L301" i="14"/>
  <c r="T301" i="14" s="1"/>
  <c r="L300" i="14"/>
  <c r="T300" i="14" s="1"/>
  <c r="L293" i="14"/>
  <c r="T293" i="14" s="1"/>
  <c r="L292" i="14"/>
  <c r="T292" i="14" s="1"/>
  <c r="L291" i="14"/>
  <c r="T291" i="14" s="1"/>
  <c r="L290" i="14"/>
  <c r="T290" i="14" s="1"/>
  <c r="L289" i="14"/>
  <c r="T289" i="14" s="1"/>
  <c r="L288" i="14"/>
  <c r="T288" i="14" s="1"/>
  <c r="L287" i="14"/>
  <c r="T287" i="14" s="1"/>
  <c r="L286" i="14"/>
  <c r="T286" i="14" s="1"/>
  <c r="L285" i="14"/>
  <c r="T285" i="14" s="1"/>
  <c r="L284" i="14"/>
  <c r="T284" i="14" s="1"/>
  <c r="L283" i="14"/>
  <c r="T283" i="14" s="1"/>
  <c r="L282" i="14"/>
  <c r="T282" i="14" s="1"/>
  <c r="L281" i="14"/>
  <c r="T281" i="14" s="1"/>
  <c r="L280" i="14"/>
  <c r="T280" i="14" s="1"/>
  <c r="L273" i="14"/>
  <c r="T273" i="14" s="1"/>
  <c r="L272" i="14"/>
  <c r="T272" i="14" s="1"/>
  <c r="L271" i="14"/>
  <c r="T271" i="14" s="1"/>
  <c r="L270" i="14"/>
  <c r="T270" i="14" s="1"/>
  <c r="L265" i="14"/>
  <c r="T265" i="14" s="1"/>
  <c r="L264" i="14"/>
  <c r="T264" i="14" s="1"/>
  <c r="L263" i="14"/>
  <c r="T263" i="14" s="1"/>
  <c r="L262" i="14"/>
  <c r="T262" i="14" s="1"/>
  <c r="L261" i="14"/>
  <c r="T261" i="14" s="1"/>
  <c r="L260" i="14"/>
  <c r="T260" i="14" s="1"/>
  <c r="L259" i="14"/>
  <c r="T259" i="14" s="1"/>
  <c r="L256" i="14"/>
  <c r="T256" i="14" s="1"/>
  <c r="L255" i="14"/>
  <c r="T255" i="14" s="1"/>
  <c r="L254" i="14"/>
  <c r="T254" i="14" s="1"/>
  <c r="L253" i="14"/>
  <c r="T253" i="14" s="1"/>
  <c r="L247" i="14"/>
  <c r="T247" i="14" s="1"/>
  <c r="L246" i="14"/>
  <c r="T246" i="14" s="1"/>
  <c r="L245" i="14"/>
  <c r="T245" i="14" s="1"/>
  <c r="L244" i="14"/>
  <c r="T244" i="14" s="1"/>
  <c r="L242" i="14"/>
  <c r="T242" i="14" s="1"/>
  <c r="L241" i="14"/>
  <c r="T241" i="14" s="1"/>
  <c r="L232" i="14"/>
  <c r="T232" i="14" s="1"/>
  <c r="L229" i="14"/>
  <c r="T229" i="14" s="1"/>
  <c r="L224" i="14"/>
  <c r="T224" i="14" s="1"/>
  <c r="L223" i="14"/>
  <c r="T223" i="14" s="1"/>
  <c r="L222" i="14"/>
  <c r="T222" i="14" s="1"/>
  <c r="L215" i="14"/>
  <c r="T215" i="14" s="1"/>
  <c r="L214" i="14"/>
  <c r="T214" i="14" s="1"/>
  <c r="L213" i="14"/>
  <c r="T213" i="14" s="1"/>
  <c r="L212" i="14"/>
  <c r="T212" i="14" s="1"/>
  <c r="L211" i="14"/>
  <c r="T211" i="14" s="1"/>
  <c r="L202" i="14"/>
  <c r="T202" i="14" s="1"/>
  <c r="L201" i="14"/>
  <c r="T201" i="14" s="1"/>
  <c r="L200" i="14"/>
  <c r="T200" i="14" s="1"/>
  <c r="L199" i="14"/>
  <c r="T199" i="14" s="1"/>
  <c r="L198" i="14"/>
  <c r="T198" i="14" s="1"/>
  <c r="L197" i="14"/>
  <c r="T197" i="14" s="1"/>
  <c r="L196" i="14"/>
  <c r="T196" i="14" s="1"/>
  <c r="L189" i="14"/>
  <c r="T189" i="14" s="1"/>
  <c r="L188" i="14"/>
  <c r="T188" i="14" s="1"/>
  <c r="L187" i="14"/>
  <c r="T187" i="14" s="1"/>
  <c r="L186" i="14"/>
  <c r="T186" i="14" s="1"/>
  <c r="L185" i="14"/>
  <c r="T185" i="14" s="1"/>
  <c r="L184" i="14"/>
  <c r="T184" i="14" s="1"/>
  <c r="L183" i="14"/>
  <c r="T183" i="14" s="1"/>
  <c r="L182" i="14"/>
  <c r="T182" i="14" s="1"/>
  <c r="L181" i="14"/>
  <c r="T181" i="14" s="1"/>
  <c r="L180" i="14"/>
  <c r="T180" i="14" s="1"/>
  <c r="L177" i="14"/>
  <c r="T177" i="14" s="1"/>
  <c r="L176" i="14"/>
  <c r="T176" i="14" s="1"/>
  <c r="L173" i="14"/>
  <c r="T173" i="14" s="1"/>
  <c r="L172" i="14"/>
  <c r="T172" i="14" s="1"/>
  <c r="L171" i="14"/>
  <c r="T171" i="14" s="1"/>
  <c r="L170" i="14"/>
  <c r="T170" i="14" s="1"/>
  <c r="L169" i="14"/>
  <c r="T169" i="14" s="1"/>
  <c r="L168" i="14"/>
  <c r="T168" i="14" s="1"/>
  <c r="L167" i="14"/>
  <c r="T167" i="14" s="1"/>
  <c r="L166" i="14"/>
  <c r="T166" i="14" s="1"/>
  <c r="L165" i="14"/>
  <c r="T165" i="14" s="1"/>
  <c r="L164" i="14"/>
  <c r="T164" i="14" s="1"/>
  <c r="L163" i="14"/>
  <c r="T163" i="14" s="1"/>
  <c r="L162" i="14"/>
  <c r="T162" i="14" s="1"/>
  <c r="L157" i="14"/>
  <c r="T157" i="14" s="1"/>
  <c r="L156" i="14"/>
  <c r="T156" i="14" s="1"/>
  <c r="L155" i="14"/>
  <c r="T155" i="14" s="1"/>
  <c r="L154" i="14"/>
  <c r="T154" i="14" s="1"/>
  <c r="L153" i="14"/>
  <c r="T153" i="14" s="1"/>
  <c r="L152" i="14"/>
  <c r="T152" i="14" s="1"/>
  <c r="L151" i="14"/>
  <c r="T151" i="14" s="1"/>
  <c r="L150" i="14"/>
  <c r="T150" i="14" s="1"/>
  <c r="L149" i="14"/>
  <c r="T149" i="14" s="1"/>
  <c r="L147" i="14"/>
  <c r="T147" i="14" s="1"/>
  <c r="L146" i="14"/>
  <c r="T146" i="14" s="1"/>
  <c r="L145" i="14"/>
  <c r="T145" i="14" s="1"/>
  <c r="L144" i="14"/>
  <c r="T144" i="14" s="1"/>
  <c r="L143" i="14"/>
  <c r="T143" i="14" s="1"/>
  <c r="L142" i="14"/>
  <c r="T142" i="14" s="1"/>
  <c r="L141" i="14"/>
  <c r="T141" i="14" s="1"/>
  <c r="L139" i="14"/>
  <c r="T139" i="14" s="1"/>
  <c r="L138" i="14"/>
  <c r="T138" i="14" s="1"/>
  <c r="L137" i="14"/>
  <c r="T137" i="14" s="1"/>
  <c r="L136" i="14"/>
  <c r="T136" i="14" s="1"/>
  <c r="L135" i="14"/>
  <c r="T135" i="14" s="1"/>
  <c r="L134" i="14"/>
  <c r="T134" i="14" s="1"/>
  <c r="L133" i="14"/>
  <c r="T133" i="14" s="1"/>
  <c r="L132" i="14"/>
  <c r="T132" i="14" s="1"/>
  <c r="L131" i="14"/>
  <c r="T131" i="14" s="1"/>
  <c r="L130" i="14"/>
  <c r="T130" i="14" s="1"/>
  <c r="L129" i="14"/>
  <c r="T129" i="14" s="1"/>
  <c r="L128" i="14"/>
  <c r="T128" i="14" s="1"/>
  <c r="L127" i="14"/>
  <c r="T127" i="14" s="1"/>
  <c r="L126" i="14"/>
  <c r="T126" i="14" s="1"/>
  <c r="L125" i="14"/>
  <c r="T125" i="14" s="1"/>
  <c r="L124" i="14"/>
  <c r="T124" i="14" s="1"/>
  <c r="L123" i="14"/>
  <c r="T123" i="14" s="1"/>
  <c r="L122" i="14"/>
  <c r="T122" i="14" s="1"/>
  <c r="L121" i="14"/>
  <c r="T121" i="14" s="1"/>
  <c r="L120" i="14"/>
  <c r="T120" i="14" s="1"/>
  <c r="L119" i="14"/>
  <c r="T119" i="14" s="1"/>
  <c r="L118" i="14"/>
  <c r="T118" i="14" s="1"/>
  <c r="L117" i="14"/>
  <c r="T117" i="14" s="1"/>
  <c r="L116" i="14"/>
  <c r="T116" i="14" s="1"/>
  <c r="L115" i="14"/>
  <c r="T115" i="14" s="1"/>
  <c r="L114" i="14"/>
  <c r="T114" i="14" s="1"/>
  <c r="L113" i="14"/>
  <c r="T113" i="14" s="1"/>
  <c r="L112" i="14"/>
  <c r="T112" i="14" s="1"/>
  <c r="L111" i="14"/>
  <c r="T111" i="14" s="1"/>
  <c r="L108" i="14"/>
  <c r="T108" i="14" s="1"/>
  <c r="L107" i="14"/>
  <c r="T107" i="14" s="1"/>
  <c r="L106" i="14"/>
  <c r="T106" i="14" s="1"/>
  <c r="L105" i="14"/>
  <c r="T105" i="14" s="1"/>
  <c r="L104" i="14"/>
  <c r="T104" i="14" s="1"/>
  <c r="L103" i="14"/>
  <c r="T103" i="14" s="1"/>
  <c r="L98" i="14"/>
  <c r="T98" i="14" s="1"/>
  <c r="L97" i="14"/>
  <c r="T97" i="14" s="1"/>
  <c r="L88" i="14"/>
  <c r="T88" i="14" s="1"/>
  <c r="L83" i="14"/>
  <c r="T83" i="14" s="1"/>
  <c r="L82" i="14"/>
  <c r="T82" i="14" s="1"/>
  <c r="L81" i="14"/>
  <c r="T81" i="14" s="1"/>
  <c r="L80" i="14"/>
  <c r="T80" i="14" s="1"/>
  <c r="L79" i="14"/>
  <c r="T79" i="14" s="1"/>
  <c r="L76" i="14"/>
  <c r="T76" i="14" s="1"/>
  <c r="L75" i="14"/>
  <c r="T75" i="14" s="1"/>
  <c r="L74" i="14"/>
  <c r="T74" i="14" s="1"/>
  <c r="L73" i="14"/>
  <c r="T73" i="14" s="1"/>
  <c r="L72" i="14"/>
  <c r="T72" i="14" s="1"/>
  <c r="L71" i="14"/>
  <c r="T71" i="14" s="1"/>
  <c r="L70" i="14"/>
  <c r="T70" i="14" s="1"/>
  <c r="L67" i="14"/>
  <c r="T67" i="14" s="1"/>
  <c r="L62" i="14"/>
  <c r="T62" i="14" s="1"/>
  <c r="L61" i="14"/>
  <c r="T61" i="14" s="1"/>
  <c r="L56" i="14"/>
  <c r="T56" i="14" s="1"/>
  <c r="L55" i="14"/>
  <c r="T55" i="14" s="1"/>
  <c r="L54" i="14"/>
  <c r="T54" i="14" s="1"/>
  <c r="L53" i="14"/>
  <c r="T53" i="14" s="1"/>
  <c r="L52" i="14"/>
  <c r="T52" i="14" s="1"/>
  <c r="L51" i="14"/>
  <c r="T51" i="14" s="1"/>
  <c r="L50" i="14"/>
  <c r="T50" i="14" s="1"/>
  <c r="L49" i="14"/>
  <c r="T49" i="14" s="1"/>
  <c r="L48" i="14"/>
  <c r="T48" i="14" s="1"/>
  <c r="L47" i="14"/>
  <c r="T47" i="14" s="1"/>
  <c r="L46" i="14"/>
  <c r="T46" i="14" s="1"/>
  <c r="L45" i="14"/>
  <c r="T45" i="14" s="1"/>
  <c r="L44" i="14"/>
  <c r="T44" i="14" s="1"/>
  <c r="L43" i="14"/>
  <c r="T43" i="14" s="1"/>
  <c r="L42" i="14"/>
  <c r="T42" i="14" s="1"/>
  <c r="L39" i="14"/>
  <c r="T39" i="14" s="1"/>
  <c r="L38" i="14"/>
  <c r="T38" i="14" s="1"/>
  <c r="L37" i="14"/>
  <c r="T37" i="14" s="1"/>
  <c r="L36" i="14"/>
  <c r="T36" i="14" s="1"/>
  <c r="L35" i="14"/>
  <c r="T35" i="14" s="1"/>
  <c r="L34" i="14"/>
  <c r="T34" i="14" s="1"/>
  <c r="L33" i="14"/>
  <c r="T33" i="14" s="1"/>
  <c r="L32" i="14"/>
  <c r="T32" i="14" s="1"/>
  <c r="L31" i="14"/>
  <c r="T31" i="14" s="1"/>
  <c r="L30" i="14"/>
  <c r="T30" i="14" s="1"/>
  <c r="L29" i="14"/>
  <c r="T29" i="14" s="1"/>
  <c r="L22" i="14"/>
  <c r="T22" i="14" s="1"/>
  <c r="L21" i="14"/>
  <c r="T21" i="14" s="1"/>
  <c r="L20" i="14"/>
  <c r="T20" i="14" s="1"/>
  <c r="L19" i="14"/>
  <c r="T19" i="14" s="1"/>
  <c r="L18" i="14"/>
  <c r="T18" i="14" s="1"/>
  <c r="L17" i="14"/>
  <c r="T17" i="14" s="1"/>
  <c r="L16" i="14"/>
  <c r="T16" i="14" s="1"/>
  <c r="L15" i="14"/>
  <c r="T15" i="14" s="1"/>
  <c r="L14" i="14"/>
  <c r="T14" i="14" s="1"/>
  <c r="L13" i="14"/>
  <c r="T13" i="14" s="1"/>
  <c r="L12" i="14"/>
  <c r="T12" i="14" s="1"/>
  <c r="L11" i="14"/>
  <c r="T11" i="14" s="1"/>
  <c r="L10" i="14"/>
  <c r="T10" i="14" s="1"/>
  <c r="L23" i="14"/>
  <c r="T23" i="14" s="1"/>
  <c r="L387" i="14"/>
  <c r="T387" i="14" s="1"/>
  <c r="L386" i="14"/>
  <c r="T386" i="14" s="1"/>
  <c r="L384" i="14"/>
  <c r="T384" i="14" s="1"/>
  <c r="L383" i="14"/>
  <c r="T383" i="14" s="1"/>
  <c r="L382" i="14"/>
  <c r="T382" i="14" s="1"/>
  <c r="L381" i="14"/>
  <c r="T381" i="14" s="1"/>
  <c r="L380" i="14"/>
  <c r="T380" i="14" s="1"/>
  <c r="L379" i="14"/>
  <c r="T379" i="14" s="1"/>
  <c r="L378" i="14"/>
  <c r="T378" i="14" s="1"/>
  <c r="L377" i="14"/>
  <c r="T377" i="14" s="1"/>
  <c r="L373" i="14"/>
  <c r="T373" i="14" s="1"/>
  <c r="L372" i="14"/>
  <c r="T372" i="14" s="1"/>
  <c r="L371" i="14"/>
  <c r="T371" i="14" s="1"/>
  <c r="L370" i="14"/>
  <c r="T370" i="14" s="1"/>
  <c r="L369" i="14"/>
  <c r="T369" i="14" s="1"/>
  <c r="L368" i="14"/>
  <c r="T368" i="14" s="1"/>
  <c r="L367" i="14"/>
  <c r="T367" i="14" s="1"/>
  <c r="L366" i="14"/>
  <c r="T366" i="14" s="1"/>
  <c r="L365" i="14"/>
  <c r="T365" i="14" s="1"/>
  <c r="L364" i="14"/>
  <c r="T364" i="14" s="1"/>
  <c r="L363" i="14"/>
  <c r="T363" i="14" s="1"/>
  <c r="L362" i="14"/>
  <c r="T362" i="14" s="1"/>
  <c r="L361" i="14"/>
  <c r="T361" i="14" s="1"/>
  <c r="L360" i="14"/>
  <c r="T360" i="14" s="1"/>
  <c r="L350" i="14"/>
  <c r="T350" i="14" s="1"/>
  <c r="L349" i="14"/>
  <c r="T349" i="14" s="1"/>
  <c r="L348" i="14"/>
  <c r="T348" i="14" s="1"/>
  <c r="L347" i="14"/>
  <c r="T347" i="14" s="1"/>
  <c r="L346" i="14"/>
  <c r="T346" i="14" s="1"/>
  <c r="L345" i="14"/>
  <c r="T345" i="14" s="1"/>
  <c r="L336" i="14"/>
  <c r="T336" i="14" s="1"/>
  <c r="L335" i="14"/>
  <c r="T335" i="14" s="1"/>
  <c r="L334" i="14"/>
  <c r="T334" i="14" s="1"/>
  <c r="L333" i="14"/>
  <c r="T333" i="14" s="1"/>
  <c r="L332" i="14"/>
  <c r="T332" i="14" s="1"/>
  <c r="L331" i="14"/>
  <c r="T331" i="14" s="1"/>
  <c r="L330" i="14"/>
  <c r="T330" i="14" s="1"/>
  <c r="L329" i="14"/>
  <c r="T329" i="14" s="1"/>
  <c r="L328" i="14"/>
  <c r="T328" i="14" s="1"/>
  <c r="L327" i="14"/>
  <c r="T327" i="14" s="1"/>
  <c r="L324" i="14"/>
  <c r="T324" i="14" s="1"/>
  <c r="L323" i="14"/>
  <c r="T323" i="14" s="1"/>
  <c r="L299" i="14"/>
  <c r="T299" i="14" s="1"/>
  <c r="L298" i="14"/>
  <c r="T298" i="14" s="1"/>
  <c r="L297" i="14"/>
  <c r="T297" i="14" s="1"/>
  <c r="L296" i="14"/>
  <c r="T296" i="14" s="1"/>
  <c r="L295" i="14"/>
  <c r="T295" i="14" s="1"/>
  <c r="L294" i="14"/>
  <c r="T294" i="14" s="1"/>
  <c r="L279" i="14"/>
  <c r="T279" i="14" s="1"/>
  <c r="L278" i="14"/>
  <c r="T278" i="14" s="1"/>
  <c r="L277" i="14"/>
  <c r="T277" i="14" s="1"/>
  <c r="L276" i="14"/>
  <c r="T276" i="14" s="1"/>
  <c r="L275" i="14"/>
  <c r="T275" i="14" s="1"/>
  <c r="L274" i="14"/>
  <c r="T274" i="14" s="1"/>
  <c r="L269" i="14"/>
  <c r="T269" i="14" s="1"/>
  <c r="L268" i="14"/>
  <c r="T268" i="14" s="1"/>
  <c r="L267" i="14"/>
  <c r="T267" i="14" s="1"/>
  <c r="L266" i="14"/>
  <c r="T266" i="14" s="1"/>
  <c r="L258" i="14"/>
  <c r="T258" i="14" s="1"/>
  <c r="L257" i="14"/>
  <c r="T257" i="14" s="1"/>
  <c r="L252" i="14"/>
  <c r="T252" i="14" s="1"/>
  <c r="L251" i="14"/>
  <c r="T251" i="14" s="1"/>
  <c r="L250" i="14"/>
  <c r="T250" i="14" s="1"/>
  <c r="L249" i="14"/>
  <c r="T249" i="14" s="1"/>
  <c r="L248" i="14"/>
  <c r="T248" i="14" s="1"/>
  <c r="L243" i="14"/>
  <c r="T243" i="14" s="1"/>
  <c r="L240" i="14"/>
  <c r="T240" i="14" s="1"/>
  <c r="L239" i="14"/>
  <c r="T239" i="14" s="1"/>
  <c r="L238" i="14"/>
  <c r="T238" i="14" s="1"/>
  <c r="L237" i="14"/>
  <c r="T237" i="14" s="1"/>
  <c r="L236" i="14"/>
  <c r="T236" i="14" s="1"/>
  <c r="L235" i="14"/>
  <c r="T235" i="14" s="1"/>
  <c r="L234" i="14"/>
  <c r="T234" i="14" s="1"/>
  <c r="L233" i="14"/>
  <c r="T233" i="14" s="1"/>
  <c r="L231" i="14"/>
  <c r="T231" i="14" s="1"/>
  <c r="L230" i="14"/>
  <c r="T230" i="14" s="1"/>
  <c r="L228" i="14"/>
  <c r="T228" i="14" s="1"/>
  <c r="L227" i="14"/>
  <c r="T227" i="14" s="1"/>
  <c r="L226" i="14"/>
  <c r="T226" i="14" s="1"/>
  <c r="L225" i="14"/>
  <c r="T225" i="14" s="1"/>
  <c r="L221" i="14"/>
  <c r="T221" i="14" s="1"/>
  <c r="L220" i="14"/>
  <c r="T220" i="14" s="1"/>
  <c r="L219" i="14"/>
  <c r="T219" i="14" s="1"/>
  <c r="L218" i="14"/>
  <c r="T218" i="14" s="1"/>
  <c r="L217" i="14"/>
  <c r="T217" i="14" s="1"/>
  <c r="L216" i="14"/>
  <c r="T216" i="14" s="1"/>
  <c r="L210" i="14"/>
  <c r="T210" i="14" s="1"/>
  <c r="L209" i="14"/>
  <c r="T209" i="14" s="1"/>
  <c r="L208" i="14"/>
  <c r="T208" i="14" s="1"/>
  <c r="L207" i="14"/>
  <c r="T207" i="14" s="1"/>
  <c r="L206" i="14"/>
  <c r="T206" i="14" s="1"/>
  <c r="L205" i="14"/>
  <c r="T205" i="14" s="1"/>
  <c r="L204" i="14"/>
  <c r="T204" i="14" s="1"/>
  <c r="L203" i="14"/>
  <c r="T203" i="14" s="1"/>
  <c r="L195" i="14"/>
  <c r="T195" i="14" s="1"/>
  <c r="L194" i="14"/>
  <c r="T194" i="14" s="1"/>
  <c r="L193" i="14"/>
  <c r="T193" i="14" s="1"/>
  <c r="L192" i="14"/>
  <c r="T192" i="14" s="1"/>
  <c r="L191" i="14"/>
  <c r="T191" i="14" s="1"/>
  <c r="L190" i="14"/>
  <c r="T190" i="14" s="1"/>
  <c r="L179" i="14"/>
  <c r="T179" i="14" s="1"/>
  <c r="L178" i="14"/>
  <c r="T178" i="14" s="1"/>
  <c r="L175" i="14"/>
  <c r="T175" i="14" s="1"/>
  <c r="L174" i="14"/>
  <c r="T174" i="14" s="1"/>
  <c r="L161" i="14"/>
  <c r="T161" i="14" s="1"/>
  <c r="L160" i="14"/>
  <c r="T160" i="14" s="1"/>
  <c r="L159" i="14"/>
  <c r="T159" i="14" s="1"/>
  <c r="L158" i="14"/>
  <c r="T158" i="14" s="1"/>
  <c r="L148" i="14"/>
  <c r="T148" i="14" s="1"/>
  <c r="L140" i="14"/>
  <c r="T140" i="14" s="1"/>
  <c r="L110" i="14"/>
  <c r="T110" i="14" s="1"/>
  <c r="L109" i="14"/>
  <c r="T109" i="14" s="1"/>
  <c r="L102" i="14"/>
  <c r="T102" i="14" s="1"/>
  <c r="L101" i="14"/>
  <c r="T101" i="14" s="1"/>
  <c r="L100" i="14"/>
  <c r="T100" i="14" s="1"/>
  <c r="L99" i="14"/>
  <c r="T99" i="14" s="1"/>
  <c r="L96" i="14"/>
  <c r="T96" i="14" s="1"/>
  <c r="L95" i="14"/>
  <c r="T95" i="14" s="1"/>
  <c r="L94" i="14"/>
  <c r="T94" i="14" s="1"/>
  <c r="L93" i="14"/>
  <c r="T93" i="14" s="1"/>
  <c r="L92" i="14"/>
  <c r="T92" i="14" s="1"/>
  <c r="L91" i="14"/>
  <c r="T91" i="14" s="1"/>
  <c r="L90" i="14"/>
  <c r="T90" i="14" s="1"/>
  <c r="L89" i="14"/>
  <c r="T89" i="14" s="1"/>
  <c r="L87" i="14"/>
  <c r="T87" i="14" s="1"/>
  <c r="L86" i="14"/>
  <c r="T86" i="14" s="1"/>
  <c r="L85" i="14"/>
  <c r="T85" i="14" s="1"/>
  <c r="L84" i="14"/>
  <c r="T84" i="14" s="1"/>
  <c r="L78" i="14"/>
  <c r="T78" i="14" s="1"/>
  <c r="L77" i="14"/>
  <c r="T77" i="14" s="1"/>
  <c r="L69" i="14"/>
  <c r="T69" i="14" s="1"/>
  <c r="L68" i="14"/>
  <c r="T68" i="14" s="1"/>
  <c r="L66" i="14"/>
  <c r="T66" i="14" s="1"/>
  <c r="L65" i="14"/>
  <c r="T65" i="14" s="1"/>
  <c r="L64" i="14"/>
  <c r="T64" i="14" s="1"/>
  <c r="L63" i="14"/>
  <c r="T63" i="14" s="1"/>
  <c r="L60" i="14"/>
  <c r="T60" i="14" s="1"/>
  <c r="L59" i="14"/>
  <c r="T59" i="14" s="1"/>
  <c r="L58" i="14"/>
  <c r="T58" i="14" s="1"/>
  <c r="L57" i="14"/>
  <c r="T57" i="14" s="1"/>
  <c r="L41" i="14"/>
  <c r="T41" i="14" s="1"/>
  <c r="L40" i="14"/>
  <c r="T40" i="14" s="1"/>
  <c r="L28" i="14"/>
  <c r="T28" i="14" s="1"/>
  <c r="L27" i="14"/>
  <c r="T27" i="14" s="1"/>
  <c r="L26" i="14"/>
  <c r="T26" i="14" s="1"/>
  <c r="L25" i="14"/>
  <c r="T25" i="14" s="1"/>
  <c r="L24" i="14"/>
  <c r="T24" i="14" s="1"/>
  <c r="G389" i="14" l="1"/>
  <c r="G131" i="13" l="1"/>
  <c r="G357" i="12" l="1"/>
  <c r="J98" i="12" l="1" a="1"/>
  <c r="J98" i="12" s="1"/>
  <c r="J95" i="12" a="1"/>
  <c r="J95" i="12" s="1"/>
  <c r="J64" i="12" a="1"/>
  <c r="J64" i="12" s="1"/>
  <c r="J63" i="12" a="1"/>
  <c r="J63" i="12" s="1"/>
  <c r="J55" i="12" a="1"/>
  <c r="J55" i="12" s="1"/>
  <c r="J54" i="12" a="1"/>
  <c r="J54" i="12" s="1"/>
  <c r="J53" i="12" a="1"/>
  <c r="J53" i="12" s="1"/>
  <c r="J52" i="12" a="1"/>
  <c r="J52" i="12" s="1"/>
  <c r="J51" i="12" a="1"/>
  <c r="J51" i="12" s="1"/>
  <c r="J50" i="12" a="1"/>
  <c r="J50" i="12" s="1"/>
  <c r="J49" i="12" a="1"/>
  <c r="J49" i="12" s="1"/>
  <c r="J48" i="12" a="1"/>
  <c r="J48" i="12" s="1"/>
  <c r="J47" i="12" a="1"/>
  <c r="J47" i="12" s="1"/>
  <c r="J46" i="12" a="1"/>
  <c r="J46" i="12" s="1"/>
  <c r="J45" i="12" a="1"/>
  <c r="J45" i="12" s="1"/>
  <c r="J44" i="12" a="1"/>
  <c r="J44" i="12" s="1"/>
  <c r="J43" i="12" a="1"/>
  <c r="J43" i="12" s="1"/>
  <c r="J42" i="12" a="1"/>
  <c r="J42" i="12" s="1"/>
  <c r="J41" i="12" a="1"/>
  <c r="J41" i="12" s="1"/>
  <c r="J40" i="12" a="1"/>
  <c r="J40" i="12" s="1"/>
  <c r="J39" i="12" a="1"/>
  <c r="J39" i="12" s="1"/>
  <c r="J38" i="12" a="1"/>
  <c r="J38" i="12" s="1"/>
  <c r="J37" i="12" a="1"/>
  <c r="J37" i="12" s="1"/>
  <c r="J36" i="12" a="1"/>
  <c r="J36" i="12" s="1"/>
  <c r="J35" i="12" a="1"/>
  <c r="J35" i="12" s="1"/>
  <c r="J34" i="12" a="1"/>
  <c r="J34" i="12" s="1"/>
  <c r="J33" i="12" a="1"/>
  <c r="J33" i="12" s="1"/>
  <c r="J32" i="12" a="1"/>
  <c r="J32" i="12" s="1"/>
  <c r="J31" i="12" a="1"/>
  <c r="J31" i="12" s="1"/>
  <c r="J30" i="12" a="1"/>
  <c r="J30" i="12" s="1"/>
  <c r="J29" i="12" a="1"/>
  <c r="J29" i="12" s="1"/>
  <c r="J28" i="12" a="1"/>
  <c r="J28" i="12" s="1"/>
  <c r="J27" i="12" a="1"/>
  <c r="J27" i="12" s="1"/>
  <c r="J26" i="12" a="1"/>
  <c r="J26" i="12" s="1"/>
  <c r="J25" i="12" a="1"/>
  <c r="J25" i="12" s="1"/>
  <c r="J24" i="12" a="1"/>
  <c r="J24" i="12" s="1"/>
  <c r="J23" i="12" a="1"/>
  <c r="J23" i="12" s="1"/>
  <c r="J22" i="12" a="1"/>
  <c r="J22" i="12" s="1"/>
  <c r="J21" i="12" a="1"/>
  <c r="J21" i="12" s="1"/>
  <c r="J20" i="12" a="1"/>
  <c r="J20" i="12" s="1"/>
  <c r="J19" i="12" a="1"/>
  <c r="J19" i="12" s="1"/>
  <c r="J18" i="12" a="1"/>
  <c r="J18" i="12" s="1"/>
  <c r="J17" i="12" a="1"/>
  <c r="J17" i="12" s="1"/>
  <c r="J16" i="12" a="1"/>
  <c r="J16" i="12" s="1"/>
  <c r="J15" i="12" a="1"/>
  <c r="J15" i="12" s="1"/>
  <c r="J14" i="12" a="1"/>
  <c r="J14" i="12" s="1"/>
  <c r="J13" i="12" a="1"/>
  <c r="J13" i="12" s="1"/>
  <c r="J12" i="12" a="1"/>
  <c r="J12" i="12" s="1"/>
  <c r="J11" i="12" a="1"/>
  <c r="J11" i="12" s="1"/>
  <c r="G387" i="10"/>
  <c r="I148" i="10" a="1"/>
  <c r="I148" i="10" s="1"/>
  <c r="I144" i="10" a="1"/>
  <c r="I144" i="10" s="1"/>
  <c r="I143" i="10" a="1"/>
  <c r="I143" i="10" s="1"/>
  <c r="I140" i="10" a="1"/>
  <c r="I140" i="10" s="1"/>
  <c r="I134" i="10" a="1"/>
  <c r="I134" i="10" s="1"/>
  <c r="I133" i="10" a="1"/>
  <c r="I133" i="10" s="1"/>
  <c r="I132" i="10" a="1"/>
  <c r="I132" i="10" s="1"/>
  <c r="I124" i="10" a="1"/>
  <c r="I124" i="10" s="1"/>
  <c r="I120" i="10" a="1"/>
  <c r="I120" i="10" s="1"/>
  <c r="I116" i="10" a="1"/>
  <c r="I116" i="10" s="1"/>
  <c r="I113" i="10" a="1"/>
  <c r="I113" i="10" s="1"/>
  <c r="I105" i="10" a="1"/>
  <c r="I105" i="10" s="1"/>
  <c r="I103" i="10" a="1"/>
  <c r="I103" i="10" s="1"/>
  <c r="I101" i="10" a="1"/>
  <c r="I101" i="10" s="1"/>
  <c r="I89" i="10" a="1"/>
  <c r="I89" i="10" s="1"/>
  <c r="I88" i="10" a="1"/>
  <c r="I88" i="10" s="1"/>
  <c r="I85" i="10" a="1"/>
  <c r="I85" i="10" s="1"/>
  <c r="I84" i="10" a="1"/>
  <c r="I84" i="10" s="1"/>
  <c r="I74" i="10" a="1"/>
  <c r="I74" i="10" s="1"/>
  <c r="I73" i="10" a="1"/>
  <c r="I73" i="10" s="1"/>
  <c r="I67" i="10" a="1"/>
  <c r="I67" i="10" s="1"/>
  <c r="I66" i="10" a="1"/>
  <c r="I66" i="10" s="1"/>
  <c r="J96" i="10" l="1" a="1"/>
  <c r="J96" i="10" s="1"/>
  <c r="J93" i="10" a="1"/>
  <c r="J93" i="10" s="1"/>
  <c r="J64" i="10" a="1"/>
  <c r="J64" i="10" s="1"/>
  <c r="J63" i="10" a="1"/>
  <c r="J63" i="10" s="1"/>
  <c r="J55" i="10" a="1"/>
  <c r="J55" i="10" s="1"/>
  <c r="J54" i="10" a="1"/>
  <c r="J54" i="10" s="1"/>
  <c r="J53" i="10" a="1"/>
  <c r="J53" i="10" s="1"/>
  <c r="J52" i="10" a="1"/>
  <c r="J52" i="10" s="1"/>
  <c r="J51" i="10" a="1"/>
  <c r="J51" i="10" s="1"/>
  <c r="J50" i="10" a="1"/>
  <c r="J50" i="10" s="1"/>
  <c r="J49" i="10" a="1"/>
  <c r="J49" i="10" s="1"/>
  <c r="J48" i="10" a="1"/>
  <c r="J48" i="10" s="1"/>
  <c r="J47" i="10" a="1"/>
  <c r="J47" i="10" s="1"/>
  <c r="J46" i="10" a="1"/>
  <c r="J46" i="10" s="1"/>
  <c r="J45" i="10" a="1"/>
  <c r="J45" i="10" s="1"/>
  <c r="J44" i="10" a="1"/>
  <c r="J44" i="10" s="1"/>
  <c r="J43" i="10" a="1"/>
  <c r="J43" i="10" s="1"/>
  <c r="J42" i="10" a="1"/>
  <c r="J42" i="10" s="1"/>
  <c r="J41" i="10" a="1"/>
  <c r="J41" i="10" s="1"/>
  <c r="J40" i="10" a="1"/>
  <c r="J40" i="10" s="1"/>
  <c r="J39" i="10" a="1"/>
  <c r="J39" i="10" s="1"/>
  <c r="J38" i="10" a="1"/>
  <c r="J38" i="10" s="1"/>
  <c r="J37" i="10" a="1"/>
  <c r="J37" i="10" s="1"/>
  <c r="J36" i="10" a="1"/>
  <c r="J36" i="10" s="1"/>
  <c r="J35" i="10" a="1"/>
  <c r="J35" i="10" s="1"/>
  <c r="J34" i="10" a="1"/>
  <c r="J34" i="10" s="1"/>
  <c r="J33" i="10" a="1"/>
  <c r="J33" i="10" s="1"/>
  <c r="J32" i="10" a="1"/>
  <c r="J32" i="10" s="1"/>
  <c r="J31" i="10" a="1"/>
  <c r="J31" i="10" s="1"/>
  <c r="J30" i="10" a="1"/>
  <c r="J30" i="10" s="1"/>
  <c r="J29" i="10" a="1"/>
  <c r="J29" i="10" s="1"/>
  <c r="J28" i="10" a="1"/>
  <c r="J28" i="10" s="1"/>
  <c r="J27" i="10" a="1"/>
  <c r="J27" i="10" s="1"/>
  <c r="J26" i="10" a="1"/>
  <c r="J26" i="10" s="1"/>
  <c r="J25" i="10" a="1"/>
  <c r="J25" i="10" s="1"/>
  <c r="J24" i="10" a="1"/>
  <c r="J24" i="10" s="1"/>
  <c r="J23" i="10" a="1"/>
  <c r="J23" i="10" s="1"/>
  <c r="J22" i="10" a="1"/>
  <c r="J22" i="10" s="1"/>
  <c r="J21" i="10" a="1"/>
  <c r="J21" i="10" s="1"/>
  <c r="J20" i="10" a="1"/>
  <c r="J20" i="10" s="1"/>
  <c r="J19" i="10" a="1"/>
  <c r="J19" i="10" s="1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J13" i="10" a="1"/>
  <c r="J13" i="10" s="1"/>
  <c r="J12" i="10" a="1"/>
  <c r="J12" i="10" s="1"/>
  <c r="J11" i="10" a="1"/>
  <c r="J1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<sst xmlns="http://schemas.openxmlformats.org/spreadsheetml/2006/main" count="8981" uniqueCount="1619">
  <si>
    <t>CÔNG TY TNHH TM TỔNG HỢP KHANG ĐỨC</t>
  </si>
  <si>
    <t>CỘNG HÒA XÃ HỘI CHỦ NGHĨA VIỆT NAM</t>
  </si>
  <si>
    <t>MST: 0202191727</t>
  </si>
  <si>
    <t>Độc lập - Tự do - Hạnh phúc</t>
  </si>
  <si>
    <t>BẢNG KÊ CHI TIẾT VẬN CHUYỂN</t>
  </si>
  <si>
    <t xml:space="preserve">Kính Gửi: </t>
  </si>
  <si>
    <t>STT</t>
  </si>
  <si>
    <t>DATE</t>
  </si>
  <si>
    <t>SỐ CONT</t>
  </si>
  <si>
    <t>LOẠI</t>
  </si>
  <si>
    <t>HÀNG/RỖNG</t>
  </si>
  <si>
    <t>TUYẾN ĐƯỜNG</t>
  </si>
  <si>
    <t>PHÍ DỊCH VỤ</t>
  </si>
  <si>
    <t>SỐ XE</t>
  </si>
  <si>
    <t>CƯỚC VT</t>
  </si>
  <si>
    <t>15H-12812</t>
  </si>
  <si>
    <t>15H-10026</t>
  </si>
  <si>
    <t xml:space="preserve">Tổng cộng </t>
  </si>
  <si>
    <t xml:space="preserve">Bằng chữ: </t>
  </si>
  <si>
    <t>15H-08081</t>
  </si>
  <si>
    <t>RỖNG</t>
  </si>
  <si>
    <t>15H-10258</t>
  </si>
  <si>
    <t>15H-07286</t>
  </si>
  <si>
    <t>15H-16832</t>
  </si>
  <si>
    <t>TWCU2126725</t>
  </si>
  <si>
    <t>15H-18651</t>
  </si>
  <si>
    <t>15H-17683</t>
  </si>
  <si>
    <t>BHCU5025448</t>
  </si>
  <si>
    <t>15H-18407</t>
  </si>
  <si>
    <t>15H-17916</t>
  </si>
  <si>
    <t>15H-19652</t>
  </si>
  <si>
    <t>BÃI JJ - NĐV</t>
  </si>
  <si>
    <t>TRHU8107524</t>
  </si>
  <si>
    <t>TWCU8234898</t>
  </si>
  <si>
    <t xml:space="preserve">BÃI JJ - NĐV </t>
  </si>
  <si>
    <t>15H-19390</t>
  </si>
  <si>
    <t>15H-06842</t>
  </si>
  <si>
    <t>Bảng kê kèm theo hóa đơn số …....    Ngày ... tháng ... năm 2026</t>
  </si>
  <si>
    <t>MSBU4094470</t>
  </si>
  <si>
    <t xml:space="preserve">NAM ĐÌNH VŨ - ICD NAM HẢI </t>
  </si>
  <si>
    <t>MSBU4020625</t>
  </si>
  <si>
    <t>MSBU4115166</t>
  </si>
  <si>
    <t>TRLU9453520</t>
  </si>
  <si>
    <t>MSDU4520572</t>
  </si>
  <si>
    <t>MSDU4753445</t>
  </si>
  <si>
    <t>MSDU4093887</t>
  </si>
  <si>
    <t>CLHU4776524</t>
  </si>
  <si>
    <t>MSDU4622018</t>
  </si>
  <si>
    <t>MSCU4583983</t>
  </si>
  <si>
    <t>MSDU4711347</t>
  </si>
  <si>
    <t>FSCU4776727</t>
  </si>
  <si>
    <t>TCLU9399034</t>
  </si>
  <si>
    <t>MSCU4435760</t>
  </si>
  <si>
    <t>MSDU4075097</t>
  </si>
  <si>
    <t>MSCU5730116</t>
  </si>
  <si>
    <t>MSDU4419171</t>
  </si>
  <si>
    <t>MSDU4227306</t>
  </si>
  <si>
    <t>CLHU4793753</t>
  </si>
  <si>
    <t>TCKU4654058</t>
  </si>
  <si>
    <t>CAIU4109882</t>
  </si>
  <si>
    <t>MSCU4834625</t>
  </si>
  <si>
    <t>MSDU4719950</t>
  </si>
  <si>
    <t>MSCU5602898</t>
  </si>
  <si>
    <t>MEDU4295474</t>
  </si>
  <si>
    <t>FSCU4940300</t>
  </si>
  <si>
    <t>MEDU4022818</t>
  </si>
  <si>
    <t>MEDU4068850</t>
  </si>
  <si>
    <t>MSDU4736751</t>
  </si>
  <si>
    <t>MEDU4125800</t>
  </si>
  <si>
    <t>FSCU4929214</t>
  </si>
  <si>
    <t>MSDU4307361</t>
  </si>
  <si>
    <t>MSBU4547257</t>
  </si>
  <si>
    <t>TWCU8197897</t>
  </si>
  <si>
    <t>TWCU8229171</t>
  </si>
  <si>
    <t>TWCU8160692</t>
  </si>
  <si>
    <t>BEAU6402093</t>
  </si>
  <si>
    <t>TWCU8181519</t>
  </si>
  <si>
    <t>TWCU8072117</t>
  </si>
  <si>
    <t>TIIU4814400</t>
  </si>
  <si>
    <t>MEDU4284280</t>
  </si>
  <si>
    <t>MSDU4241310</t>
  </si>
  <si>
    <t>MSCU4650823</t>
  </si>
  <si>
    <t>MEDU4016219</t>
  </si>
  <si>
    <t>FSCU4039951</t>
  </si>
  <si>
    <t>TTNU5241800</t>
  </si>
  <si>
    <t>MSDU4816570</t>
  </si>
  <si>
    <t>MSDU4370261</t>
  </si>
  <si>
    <t>MSDU4479988</t>
  </si>
  <si>
    <t>MSBU4068547</t>
  </si>
  <si>
    <t>MSDU4025162</t>
  </si>
  <si>
    <t>MSDU4345340</t>
  </si>
  <si>
    <t>TTNU5278625</t>
  </si>
  <si>
    <t>MSDU4742970</t>
  </si>
  <si>
    <t>TWCU8187760</t>
  </si>
  <si>
    <t>TWCU2160463</t>
  </si>
  <si>
    <t>UETU3004167</t>
  </si>
  <si>
    <t>TWCU2249057</t>
  </si>
  <si>
    <t>TWCU8168348</t>
  </si>
  <si>
    <t>TWCU8168693</t>
  </si>
  <si>
    <t>TWCU8195596</t>
  </si>
  <si>
    <t>TWCU8113113</t>
  </si>
  <si>
    <t>TWCU8148275</t>
  </si>
  <si>
    <t>TWCU8219614</t>
  </si>
  <si>
    <t>TWCU2189507</t>
  </si>
  <si>
    <t>CAAU2544701</t>
  </si>
  <si>
    <t>TGBU7186968</t>
  </si>
  <si>
    <t>TWCU8131020</t>
  </si>
  <si>
    <t>TWCU2239995</t>
  </si>
  <si>
    <t>TLLU3636245</t>
  </si>
  <si>
    <t>TWCU8275475</t>
  </si>
  <si>
    <t>TRHU8085410</t>
  </si>
  <si>
    <t>TWCU2119578</t>
  </si>
  <si>
    <t>TWCU2161731</t>
  </si>
  <si>
    <t>TWCU8052810</t>
  </si>
  <si>
    <t>TRHU4103963</t>
  </si>
  <si>
    <t>TWCU8259999</t>
  </si>
  <si>
    <t>TWCU8250857</t>
  </si>
  <si>
    <t>TRHU4100671</t>
  </si>
  <si>
    <t>TWCU2069306</t>
  </si>
  <si>
    <t>TWCU2179474</t>
  </si>
  <si>
    <t>TWCU2290106</t>
  </si>
  <si>
    <t>TWCU2134490</t>
  </si>
  <si>
    <t>TWCU8160748</t>
  </si>
  <si>
    <t>UETU5788670</t>
  </si>
  <si>
    <t>TRHU5782350</t>
  </si>
  <si>
    <t>TWCU8111086</t>
  </si>
  <si>
    <t>TWCU2108634</t>
  </si>
  <si>
    <t>TWCU2066312</t>
  </si>
  <si>
    <t>TWCU2150742</t>
  </si>
  <si>
    <t>TWCU2292916</t>
  </si>
  <si>
    <t>MSDU4477687</t>
  </si>
  <si>
    <t>MSCU4587000</t>
  </si>
  <si>
    <t>TWCU8257785</t>
  </si>
  <si>
    <t>MSCU5818510</t>
  </si>
  <si>
    <t>BEAU6411006</t>
  </si>
  <si>
    <t>TWCU8256243</t>
  </si>
  <si>
    <t>TWCU8056137</t>
  </si>
  <si>
    <t>TWCU8221606</t>
  </si>
  <si>
    <t>TWCU8108781</t>
  </si>
  <si>
    <t>HPCU4700688</t>
  </si>
  <si>
    <t>TWCU8256285</t>
  </si>
  <si>
    <t>TWCU8113052</t>
  </si>
  <si>
    <t>TXGU5672665</t>
  </si>
  <si>
    <t>TIIU5684765</t>
  </si>
  <si>
    <t>TWCU8270792</t>
  </si>
  <si>
    <t>HPCU4700590</t>
  </si>
  <si>
    <t>TWCU2172968</t>
  </si>
  <si>
    <t>BHCU3251127</t>
  </si>
  <si>
    <t>UETU3006560</t>
  </si>
  <si>
    <t>BHCU3248930</t>
  </si>
  <si>
    <t>TWCU8108842</t>
  </si>
  <si>
    <t>TRHU6717298</t>
  </si>
  <si>
    <t>TWCU8164661</t>
  </si>
  <si>
    <t>TWCU8151134</t>
  </si>
  <si>
    <t>TWCU8260639</t>
  </si>
  <si>
    <t>TRHU6734844</t>
  </si>
  <si>
    <t>TWCU8208841</t>
  </si>
  <si>
    <t>BEAU6408785</t>
  </si>
  <si>
    <t>UETU2924047</t>
  </si>
  <si>
    <t>TWCU2089302</t>
  </si>
  <si>
    <t>CAAU2535510</t>
  </si>
  <si>
    <t>UETU2414110</t>
  </si>
  <si>
    <t>TGBU3493708</t>
  </si>
  <si>
    <t>CAAU2543665</t>
  </si>
  <si>
    <t>TWCU8234521</t>
  </si>
  <si>
    <t>TWCU8108755</t>
  </si>
  <si>
    <t>TWCU8178773</t>
  </si>
  <si>
    <t>TXGU5560161</t>
  </si>
  <si>
    <t>TWCU8152887</t>
  </si>
  <si>
    <t>TXGU5560393</t>
  </si>
  <si>
    <t>TWCU8219363</t>
  </si>
  <si>
    <t>BHCU5029567</t>
  </si>
  <si>
    <t>UETU6539373</t>
  </si>
  <si>
    <t>BEAU6414480</t>
  </si>
  <si>
    <t>TRHU6953539</t>
  </si>
  <si>
    <t>TWCU8184800</t>
  </si>
  <si>
    <t>TWCU8189700</t>
  </si>
  <si>
    <t>CAAU2554490</t>
  </si>
  <si>
    <t>TWCU2163837</t>
  </si>
  <si>
    <t>TWCU2245703</t>
  </si>
  <si>
    <t>TWCU2235794</t>
  </si>
  <si>
    <t>TXGU5998158</t>
  </si>
  <si>
    <t>TWCU8251405</t>
  </si>
  <si>
    <t>UETU6540857</t>
  </si>
  <si>
    <t>TWCU2196316</t>
  </si>
  <si>
    <t>BHCU3210724</t>
  </si>
  <si>
    <t>TWCU2253231</t>
  </si>
  <si>
    <t>BMOU1664881</t>
  </si>
  <si>
    <t>TXGU5665497</t>
  </si>
  <si>
    <t>TIIU4816738</t>
  </si>
  <si>
    <t>TXGU5560238</t>
  </si>
  <si>
    <t>UETU5776576</t>
  </si>
  <si>
    <t>TRHU8096651</t>
  </si>
  <si>
    <t>TWCU2292834</t>
  </si>
  <si>
    <t>TWCU2179772</t>
  </si>
  <si>
    <t>TXGU6005008</t>
  </si>
  <si>
    <t>TWCU8111851</t>
  </si>
  <si>
    <t>TWCU8130126</t>
  </si>
  <si>
    <t>UETU5769514</t>
  </si>
  <si>
    <t>TWCU8217400</t>
  </si>
  <si>
    <t>TWCU8171758</t>
  </si>
  <si>
    <t>TXGU6004275</t>
  </si>
  <si>
    <t>TWCU8073200</t>
  </si>
  <si>
    <t>TWCU8052928</t>
  </si>
  <si>
    <t>HAHU5040360</t>
  </si>
  <si>
    <t>TWCU8091689</t>
  </si>
  <si>
    <t>HPCU4797367</t>
  </si>
  <si>
    <t>TRHU8087808</t>
  </si>
  <si>
    <t>TXGU5998409</t>
  </si>
  <si>
    <t>TWCU8099925</t>
  </si>
  <si>
    <t>UETU5711169</t>
  </si>
  <si>
    <t>FTAU1965142</t>
  </si>
  <si>
    <t>TWCU2155359</t>
  </si>
  <si>
    <t>TRHU7860791</t>
  </si>
  <si>
    <t>TWCU8129845</t>
  </si>
  <si>
    <t>TWCU8215537</t>
  </si>
  <si>
    <t>UETU5718353</t>
  </si>
  <si>
    <t>TIIU5312710</t>
  </si>
  <si>
    <t>TGBU6699457</t>
  </si>
  <si>
    <t>TWCU8095180</t>
  </si>
  <si>
    <t>TIIU5683120</t>
  </si>
  <si>
    <t>TXGU5563140</t>
  </si>
  <si>
    <t>UETU5777660</t>
  </si>
  <si>
    <t>TWCU8142699</t>
  </si>
  <si>
    <t>TXGU6009298</t>
  </si>
  <si>
    <t>TXGU5564552</t>
  </si>
  <si>
    <t>TWCU8126527</t>
  </si>
  <si>
    <t>TWCU8186085</t>
  </si>
  <si>
    <t>TWCU8208754</t>
  </si>
  <si>
    <t>TWCU2096560</t>
  </si>
  <si>
    <t>HAHU2057029</t>
  </si>
  <si>
    <t>UETU5717341</t>
  </si>
  <si>
    <t>UETU5605357</t>
  </si>
  <si>
    <t>TRHU6946967</t>
  </si>
  <si>
    <t>TWCU8158289</t>
  </si>
  <si>
    <t>UETU5781551</t>
  </si>
  <si>
    <t>TWCU8207716</t>
  </si>
  <si>
    <t>UETU5717233</t>
  </si>
  <si>
    <t>TIIU5686578</t>
  </si>
  <si>
    <t>UETU5824020</t>
  </si>
  <si>
    <t>CULU6167250</t>
  </si>
  <si>
    <t>TWCU8116513</t>
  </si>
  <si>
    <t>TWCU8148660</t>
  </si>
  <si>
    <t>CAAU2545842</t>
  </si>
  <si>
    <t>TWCU2071577</t>
  </si>
  <si>
    <t>TXGU7410704</t>
  </si>
  <si>
    <t>TRHU5785364</t>
  </si>
  <si>
    <t>TWCU2147184</t>
  </si>
  <si>
    <t>DFSU3185010</t>
  </si>
  <si>
    <t>TWCU2247497</t>
  </si>
  <si>
    <t>HAHU2048979</t>
  </si>
  <si>
    <t>TGBU7188430</t>
  </si>
  <si>
    <t>TIIU5724596</t>
  </si>
  <si>
    <t>TWCU8059590</t>
  </si>
  <si>
    <t>UETU5877930</t>
  </si>
  <si>
    <t>TWCU8073427</t>
  </si>
  <si>
    <t>TWCU8213874</t>
  </si>
  <si>
    <t>TIIU4637922</t>
  </si>
  <si>
    <t>TXGU6002694</t>
  </si>
  <si>
    <t>UETU5652786</t>
  </si>
  <si>
    <t>UETU5638350</t>
  </si>
  <si>
    <t>TWCU8152758</t>
  </si>
  <si>
    <t>BEAU6410859</t>
  </si>
  <si>
    <t>UETU5713095</t>
  </si>
  <si>
    <t>TIIU5197788</t>
  </si>
  <si>
    <t>TWCU2140003</t>
  </si>
  <si>
    <t>TWCU2101780</t>
  </si>
  <si>
    <t>15H-15291</t>
  </si>
  <si>
    <t>15H-17765</t>
  </si>
  <si>
    <t>Hải Phòng, ngày    tháng 1 năm 2026</t>
  </si>
  <si>
    <t>tàu New Jersey GMD</t>
  </si>
  <si>
    <t>TÀU</t>
  </si>
  <si>
    <t>CONSCIENCE 2551N</t>
  </si>
  <si>
    <t>GLORY SHANGHAI 2551N</t>
  </si>
  <si>
    <t>MILD JAZZ 2601</t>
  </si>
  <si>
    <t>JJ SUN 2552</t>
  </si>
  <si>
    <t>TWCU2208206</t>
  </si>
  <si>
    <t>CAAU2540753</t>
  </si>
  <si>
    <t>TIIU5304844</t>
  </si>
  <si>
    <t>TWCU8215413</t>
  </si>
  <si>
    <t>TWCU8182726</t>
  </si>
  <si>
    <t>TWCU8130337</t>
  </si>
  <si>
    <t>TWCU2264262</t>
  </si>
  <si>
    <t>TWCU2239172</t>
  </si>
  <si>
    <t>BHCU5026399</t>
  </si>
  <si>
    <t>FFAU1006726</t>
  </si>
  <si>
    <t>TXGU5564866</t>
  </si>
  <si>
    <t>TRLU9113962</t>
  </si>
  <si>
    <t>TWCU2093869</t>
  </si>
  <si>
    <t>TWCU2260143</t>
  </si>
  <si>
    <t>TWCU2154373</t>
  </si>
  <si>
    <t>TWCU8184550</t>
  </si>
  <si>
    <t>TWCU8198527</t>
  </si>
  <si>
    <t>TWCU8164070</t>
  </si>
  <si>
    <t>TWCU8235960</t>
  </si>
  <si>
    <t>TRHU6949729</t>
  </si>
  <si>
    <t xml:space="preserve">15H-18651 </t>
  </si>
  <si>
    <t>CAAU2540352</t>
  </si>
  <si>
    <t>TWCU2152540</t>
  </si>
  <si>
    <t>TWCU8158843</t>
  </si>
  <si>
    <t>TIIU4592160</t>
  </si>
  <si>
    <t>TWCU8086002</t>
  </si>
  <si>
    <t>TWCU2250910</t>
  </si>
  <si>
    <t>TWCU2140636</t>
  </si>
  <si>
    <t>TRHU4732225</t>
  </si>
  <si>
    <t>TWCU8092197</t>
  </si>
  <si>
    <t>TWCU2139039</t>
  </si>
  <si>
    <t>TWCU2103714</t>
  </si>
  <si>
    <t>TWCU2263651</t>
  </si>
  <si>
    <t>TWCU2106992</t>
  </si>
  <si>
    <t>TWCU8054601</t>
  </si>
  <si>
    <t>TWCU8197182</t>
  </si>
  <si>
    <t>TWCU8255144</t>
  </si>
  <si>
    <t>TWCU8136037</t>
  </si>
  <si>
    <t>TRHU6734309</t>
  </si>
  <si>
    <t>TWCU8269235</t>
  </si>
  <si>
    <t>FDCU0239720</t>
  </si>
  <si>
    <t>TRHU6954366</t>
  </si>
  <si>
    <t>CAAU7007032</t>
  </si>
  <si>
    <t>TIIU4636253</t>
  </si>
  <si>
    <t>UETU5638751</t>
  </si>
  <si>
    <t>TWCU8081973</t>
  </si>
  <si>
    <t>TRHU6729663</t>
  </si>
  <si>
    <t>BEAU6402508</t>
  </si>
  <si>
    <t>TWCU2099661</t>
  </si>
  <si>
    <t>TWCU2302212</t>
  </si>
  <si>
    <t>TWCU2307220</t>
  </si>
  <si>
    <t>TWCU2146640</t>
  </si>
  <si>
    <t>TIIU2323120</t>
  </si>
  <si>
    <t>TWCU2244440</t>
  </si>
  <si>
    <t>UETU2906573</t>
  </si>
  <si>
    <t>UETU3005712</t>
  </si>
  <si>
    <t>TWCU2137057</t>
  </si>
  <si>
    <t>CAAU2548522</t>
  </si>
  <si>
    <t xml:space="preserve">15H-17765 </t>
  </si>
  <si>
    <t>HACU4245407</t>
  </si>
  <si>
    <t>SEKU5572980</t>
  </si>
  <si>
    <t>BEAU4806959</t>
  </si>
  <si>
    <t>GAOU7630595</t>
  </si>
  <si>
    <t>TCLU9476423</t>
  </si>
  <si>
    <t>BMOU5403865</t>
  </si>
  <si>
    <t>SKHU6324314</t>
  </si>
  <si>
    <t>SKHU6310877</t>
  </si>
  <si>
    <t>HLHU8493363</t>
  </si>
  <si>
    <t>TRHU4871262</t>
  </si>
  <si>
    <t>SKHU6308782</t>
  </si>
  <si>
    <t>SKHU8920457</t>
  </si>
  <si>
    <t>SEKU6805731</t>
  </si>
  <si>
    <t>DRYU9873092</t>
  </si>
  <si>
    <t>HACU4242795</t>
  </si>
  <si>
    <t>SEKU5571080</t>
  </si>
  <si>
    <t>SKHU9825705</t>
  </si>
  <si>
    <t>SKHU6474736</t>
  </si>
  <si>
    <t>SKHU9319693</t>
  </si>
  <si>
    <t>SKHU6381295</t>
  </si>
  <si>
    <t>SKHU6309222</t>
  </si>
  <si>
    <t>SKHU6391523</t>
  </si>
  <si>
    <t>SKHU9818769</t>
  </si>
  <si>
    <t>TCNU8882683</t>
  </si>
  <si>
    <t>HACU2215738/HACU2242754</t>
  </si>
  <si>
    <t>HACU2214412/SEKU1464226</t>
  </si>
  <si>
    <t>CAAU6411939</t>
  </si>
  <si>
    <t>HACU2240659/SEGU3878431</t>
  </si>
  <si>
    <t>SKHU9205200</t>
  </si>
  <si>
    <t>SKHU8434100</t>
  </si>
  <si>
    <t>SKHU6531013</t>
  </si>
  <si>
    <t>SKHU6387333</t>
  </si>
  <si>
    <t>SKHU9556099</t>
  </si>
  <si>
    <t>CAIU4510998</t>
  </si>
  <si>
    <t>HACU4216564</t>
  </si>
  <si>
    <t>HACU4221658</t>
  </si>
  <si>
    <t>HACU2162880/HACU2246615</t>
  </si>
  <si>
    <t>HACU2160450/HACU2162577</t>
  </si>
  <si>
    <t>SKHU6310270</t>
  </si>
  <si>
    <t>SKHU6381530</t>
  </si>
  <si>
    <t>HLHU6423460</t>
  </si>
  <si>
    <t>SKHU9808333</t>
  </si>
  <si>
    <t>SKHU9311028</t>
  </si>
  <si>
    <t>HALU5641158</t>
  </si>
  <si>
    <t>HLHU8343208</t>
  </si>
  <si>
    <t>SKHU9503761</t>
  </si>
  <si>
    <t>SKHU8931662</t>
  </si>
  <si>
    <t>HALU5673751</t>
  </si>
  <si>
    <t>HLHU8432028</t>
  </si>
  <si>
    <t>HALU5686194</t>
  </si>
  <si>
    <t>TRHU6364159</t>
  </si>
  <si>
    <t>HLHHU8208208</t>
  </si>
  <si>
    <t>TWCU8030209</t>
  </si>
  <si>
    <t>TXGU7403449</t>
  </si>
  <si>
    <t>BEAU6406397</t>
  </si>
  <si>
    <t>TGBU7189458</t>
  </si>
  <si>
    <t>TXGU5335134</t>
  </si>
  <si>
    <t>BEAU6413694</t>
  </si>
  <si>
    <t>TRHU6732100</t>
  </si>
  <si>
    <t>TWCU8189870</t>
  </si>
  <si>
    <t>TXGU5997953</t>
  </si>
  <si>
    <t>TXGU5563279</t>
  </si>
  <si>
    <t>TXGU5683741</t>
  </si>
  <si>
    <t>TRHU6951665</t>
  </si>
  <si>
    <t>BHCU5026634</t>
  </si>
  <si>
    <t>TRHU4743404</t>
  </si>
  <si>
    <t>TRHU6732604</t>
  </si>
  <si>
    <t>TWCU8266431</t>
  </si>
  <si>
    <t>TRHU4735420</t>
  </si>
  <si>
    <t>TIIU5674999</t>
  </si>
  <si>
    <t>TWCU8283104</t>
  </si>
  <si>
    <t>TWCU8167090</t>
  </si>
  <si>
    <t xml:space="preserve">HẢI AN - PAN HẢI AN </t>
  </si>
  <si>
    <t>ICD TÂM CẢNG - GREENPORT</t>
  </si>
  <si>
    <t>PAN HẢI AN - HẢI AN</t>
  </si>
  <si>
    <t>TWCU8186995</t>
  </si>
  <si>
    <t>TWCU2149994</t>
  </si>
  <si>
    <t>TGBU3498696</t>
  </si>
  <si>
    <t>TWCU2101096</t>
  </si>
  <si>
    <t>TWCU2136174</t>
  </si>
  <si>
    <t>TRHU8090313</t>
  </si>
  <si>
    <t>TWCU8128807</t>
  </si>
  <si>
    <t>TWCU8137959</t>
  </si>
  <si>
    <t>TRHU6729597</t>
  </si>
  <si>
    <t>TWCU8201261</t>
  </si>
  <si>
    <t>TWCU8279906</t>
  </si>
  <si>
    <t>TWCU8157045</t>
  </si>
  <si>
    <t>TCKU7992790</t>
  </si>
  <si>
    <t>TIIU2316116</t>
  </si>
  <si>
    <t>TWCU2230067</t>
  </si>
  <si>
    <t>TWCU2104650</t>
  </si>
  <si>
    <t>TWCU1200052</t>
  </si>
  <si>
    <t>TWCU2287930</t>
  </si>
  <si>
    <t>TGBU3508198</t>
  </si>
  <si>
    <t>BHCU3251549</t>
  </si>
  <si>
    <t>TWCU2282013</t>
  </si>
  <si>
    <t>TWCU2255189</t>
  </si>
  <si>
    <t>TWCU2171318</t>
  </si>
  <si>
    <t>TWCU8115688</t>
  </si>
  <si>
    <t>FSCU8978496</t>
  </si>
  <si>
    <t>UETU5870427</t>
  </si>
  <si>
    <t>TXGU6128851</t>
  </si>
  <si>
    <t>BHCU5028827</t>
  </si>
  <si>
    <t>HAHU2047416</t>
  </si>
  <si>
    <t>TGBU34959146</t>
  </si>
  <si>
    <t>TWCU8055526</t>
  </si>
  <si>
    <t>TWCU2114766</t>
  </si>
  <si>
    <t>TWCU2191546</t>
  </si>
  <si>
    <t>CAAU2536012</t>
  </si>
  <si>
    <t>BMOU1663648</t>
  </si>
  <si>
    <t>TWCU8173468</t>
  </si>
  <si>
    <t>TIIU5677365</t>
  </si>
  <si>
    <t>FFAU1007147</t>
  </si>
  <si>
    <t>TWCU8081320</t>
  </si>
  <si>
    <t>TWCU2060320</t>
  </si>
  <si>
    <t>TLLU3644322</t>
  </si>
  <si>
    <t>TWCU2224444</t>
  </si>
  <si>
    <t>TWCU8096910</t>
  </si>
  <si>
    <t>CAAU2535232</t>
  </si>
  <si>
    <t>TWCU8063624</t>
  </si>
  <si>
    <t>TCNU4792370</t>
  </si>
  <si>
    <t>TIIU5763611</t>
  </si>
  <si>
    <t>TIIU4657889</t>
  </si>
  <si>
    <t>HAHU2051545</t>
  </si>
  <si>
    <t xml:space="preserve">BÃI JJ - PHÚC LỘC </t>
  </si>
  <si>
    <t>TWCU2303158</t>
  </si>
  <si>
    <t>TWCU8277143</t>
  </si>
  <si>
    <t>TWCU8258328</t>
  </si>
  <si>
    <t>TWCU8172184</t>
  </si>
  <si>
    <t>TWCU8168116</t>
  </si>
  <si>
    <t>TWCU8118060</t>
  </si>
  <si>
    <t>TWCU8177000</t>
  </si>
  <si>
    <t>TWCU8146462</t>
  </si>
  <si>
    <t>TWCU8261933</t>
  </si>
  <si>
    <t>TIIU4638852</t>
  </si>
  <si>
    <t>SELU4509390</t>
  </si>
  <si>
    <t xml:space="preserve">PAN - NAM HẢI ĐÌNH VŨ </t>
  </si>
  <si>
    <t>TWCU8062802</t>
  </si>
  <si>
    <t>TIIU4814864</t>
  </si>
  <si>
    <t>TWCU8281396</t>
  </si>
  <si>
    <t>SZLU9238590</t>
  </si>
  <si>
    <t xml:space="preserve">ICD TÂM CẢNG - HẢI AN </t>
  </si>
  <si>
    <t>FBIU5561851</t>
  </si>
  <si>
    <t>FBIU5375311</t>
  </si>
  <si>
    <t>SEGU9588110</t>
  </si>
  <si>
    <t>FSCU8194215</t>
  </si>
  <si>
    <t>HÀNG</t>
  </si>
  <si>
    <t>HẢI AN - NAM HẢI ĐV</t>
  </si>
  <si>
    <t>HACU4213903</t>
  </si>
  <si>
    <t>TCNU6159124</t>
  </si>
  <si>
    <t>TCNU4538134</t>
  </si>
  <si>
    <t>TWCU8101093</t>
  </si>
  <si>
    <t>TWCU8186932</t>
  </si>
  <si>
    <t>TWCU8284950</t>
  </si>
  <si>
    <t>TEMU8383067</t>
  </si>
  <si>
    <t>DFSU1707579</t>
  </si>
  <si>
    <t>HACU2243010</t>
  </si>
  <si>
    <t>TRHU1650102</t>
  </si>
  <si>
    <t>GLDU9912279</t>
  </si>
  <si>
    <t>SEGU3973552</t>
  </si>
  <si>
    <t>TCLU3376324</t>
  </si>
  <si>
    <t>DFSU1717999</t>
  </si>
  <si>
    <t>HACU2214069</t>
  </si>
  <si>
    <t>TCKU3825480</t>
  </si>
  <si>
    <t>TCLU3913721</t>
  </si>
  <si>
    <t>CAAU2135370</t>
  </si>
  <si>
    <t>TGCU0130092</t>
  </si>
  <si>
    <t>HAHU5027455</t>
  </si>
  <si>
    <t>TWCU8073957</t>
  </si>
  <si>
    <t>TWCU8108971</t>
  </si>
  <si>
    <t>TLLU3642398</t>
  </si>
  <si>
    <t>TWCU2241360</t>
  </si>
  <si>
    <t>TRHU2862507</t>
  </si>
  <si>
    <t>HACU2161544</t>
  </si>
  <si>
    <t>HACU4244247</t>
  </si>
  <si>
    <t>TCNU6403061</t>
  </si>
  <si>
    <t>HACU4242769</t>
  </si>
  <si>
    <t>TXGU7400671</t>
  </si>
  <si>
    <t>TWCU8088155</t>
  </si>
  <si>
    <t>TACU4003513</t>
  </si>
  <si>
    <t>PAN HẢI AN - NAM HẢI ĐÌNH VŨ</t>
  </si>
  <si>
    <t>TCNU7414142</t>
  </si>
  <si>
    <t>SZLU9368531</t>
  </si>
  <si>
    <t xml:space="preserve">TÂM CẢNG ICD - HẢI AN </t>
  </si>
  <si>
    <t>SEGU9717352</t>
  </si>
  <si>
    <t>SEKU9094468</t>
  </si>
  <si>
    <t>TINU8787170</t>
  </si>
  <si>
    <t>SEGU9591388</t>
  </si>
  <si>
    <t>TCKU3378438</t>
  </si>
  <si>
    <t>HACU2270744</t>
  </si>
  <si>
    <t>FCIU5643782</t>
  </si>
  <si>
    <t>TRHU2015858</t>
  </si>
  <si>
    <t>HACU2215276</t>
  </si>
  <si>
    <t>TRHU1591740</t>
  </si>
  <si>
    <t>BEAU5404711</t>
  </si>
  <si>
    <t>TCKU1651672</t>
  </si>
  <si>
    <t>SEGU3000674</t>
  </si>
  <si>
    <t>FBIU5562689</t>
  </si>
  <si>
    <t>HACU4181365</t>
  </si>
  <si>
    <t>SEKU6798000</t>
  </si>
  <si>
    <t>CAAU64110008</t>
  </si>
  <si>
    <t>BMOU9241504</t>
  </si>
  <si>
    <t>SEKU5574670</t>
  </si>
  <si>
    <t>FBIU5376030</t>
  </si>
  <si>
    <t>HACU4120184</t>
  </si>
  <si>
    <t>OIPU6143458</t>
  </si>
  <si>
    <t>BEAU5404867</t>
  </si>
  <si>
    <t>FBIU5376426</t>
  </si>
  <si>
    <t>HACU4212790</t>
  </si>
  <si>
    <t>TWCU8176512</t>
  </si>
  <si>
    <t>TWCU8060203</t>
  </si>
  <si>
    <t>FBIU5561614</t>
  </si>
  <si>
    <t>SEKU9033210</t>
  </si>
  <si>
    <t>SEGU9594242</t>
  </si>
  <si>
    <t>SEGU9912657</t>
  </si>
  <si>
    <t>SEGU9592445</t>
  </si>
  <si>
    <t>SEGU9719709</t>
  </si>
  <si>
    <t>15H-19284</t>
  </si>
  <si>
    <t xml:space="preserve">15H-16864 </t>
  </si>
  <si>
    <t>TWCU2198535</t>
  </si>
  <si>
    <t>TWCU2151219</t>
  </si>
  <si>
    <t>TWCU2328006</t>
  </si>
  <si>
    <t>CAAU2531094</t>
  </si>
  <si>
    <t>TWCU4066667</t>
  </si>
  <si>
    <t>TIIU4813404</t>
  </si>
  <si>
    <t>TWCU8169468</t>
  </si>
  <si>
    <t>TRHU4106936</t>
  </si>
  <si>
    <t>TWCU8060501</t>
  </si>
  <si>
    <t>TXGU5563290</t>
  </si>
  <si>
    <t>TIIU5777220</t>
  </si>
  <si>
    <t>SEGU6775360</t>
  </si>
  <si>
    <t>TXGU7404260</t>
  </si>
  <si>
    <t>TCNU3334603</t>
  </si>
  <si>
    <t>TIIU5683835</t>
  </si>
  <si>
    <t>TWCU8119359</t>
  </si>
  <si>
    <t>TWCU8100040</t>
  </si>
  <si>
    <t>TWCU8271783</t>
  </si>
  <si>
    <t>UETU5433290</t>
  </si>
  <si>
    <t>TWCU4082170</t>
  </si>
  <si>
    <t>UETU5775477</t>
  </si>
  <si>
    <t>BEAU6409734</t>
  </si>
  <si>
    <t>TXGU6008012</t>
  </si>
  <si>
    <t>TRHU8130083</t>
  </si>
  <si>
    <t>TWCU8047881</t>
  </si>
  <si>
    <t>TWCU8081227</t>
  </si>
  <si>
    <t>SEGU6784531</t>
  </si>
  <si>
    <t>TWCU8123810</t>
  </si>
  <si>
    <t>BHCU3223228</t>
  </si>
  <si>
    <t>TIIU2443050</t>
  </si>
  <si>
    <t>TWCU2278081</t>
  </si>
  <si>
    <t>TWCU2277608</t>
  </si>
  <si>
    <t>UETU3006010</t>
  </si>
  <si>
    <t>TWCU2116305</t>
  </si>
  <si>
    <t>UETU6448925</t>
  </si>
  <si>
    <t>SEGU5047118</t>
  </si>
  <si>
    <t>TWCU8181083</t>
  </si>
  <si>
    <t>TWCU2246000</t>
  </si>
  <si>
    <t>TWCU2303517</t>
  </si>
  <si>
    <t>TWCU2215843</t>
  </si>
  <si>
    <t>TWCU2299818</t>
  </si>
  <si>
    <t>DFSU3189144</t>
  </si>
  <si>
    <t>SGCU1931222</t>
  </si>
  <si>
    <t xml:space="preserve">GAL NĐV - TÂN VŨ </t>
  </si>
  <si>
    <t>NLLU9002807</t>
  </si>
  <si>
    <t>TWCU8216430</t>
  </si>
  <si>
    <t>AXEU2018572</t>
  </si>
  <si>
    <t>BMOU2031790</t>
  </si>
  <si>
    <t>15H-07321</t>
  </si>
  <si>
    <t>FSCU8926949</t>
  </si>
  <si>
    <t>TRHU5780629</t>
  </si>
  <si>
    <t>AXEU2021827</t>
  </si>
  <si>
    <t>AXEU2058662</t>
  </si>
  <si>
    <t>AXEU2051760</t>
  </si>
  <si>
    <t>AXEU2030182</t>
  </si>
  <si>
    <t>AXEU2051550</t>
  </si>
  <si>
    <t>AXEU2058180</t>
  </si>
  <si>
    <t>TWCU2278100</t>
  </si>
  <si>
    <t>TWCU2275842</t>
  </si>
  <si>
    <t>TWCU2247692</t>
  </si>
  <si>
    <t>TWCU2133874</t>
  </si>
  <si>
    <t>TWCU2232619</t>
  </si>
  <si>
    <t>TWCU8136398</t>
  </si>
  <si>
    <t>TWCU2175782</t>
  </si>
  <si>
    <t>TWCU2222518</t>
  </si>
  <si>
    <t>TWCU2118144</t>
  </si>
  <si>
    <t>TWCU2322100</t>
  </si>
  <si>
    <t>TWCU2315349</t>
  </si>
  <si>
    <t>TGBU3494793</t>
  </si>
  <si>
    <t>TWCU8271572</t>
  </si>
  <si>
    <t>UETU5598427</t>
  </si>
  <si>
    <t>TWCU2168654</t>
  </si>
  <si>
    <t>TIIU5684050</t>
  </si>
  <si>
    <t>TWCU8141497</t>
  </si>
  <si>
    <t>CAAU7009138</t>
  </si>
  <si>
    <t>GAOU7791558</t>
  </si>
  <si>
    <t>CAAU9090703</t>
  </si>
  <si>
    <t>HACU4244822</t>
  </si>
  <si>
    <t>GAOU7898280</t>
  </si>
  <si>
    <t>HACU4221961</t>
  </si>
  <si>
    <t>EITU1415155</t>
  </si>
  <si>
    <t>CAIU6017553</t>
  </si>
  <si>
    <t>HACU2243468</t>
  </si>
  <si>
    <t>HACU2161375</t>
  </si>
  <si>
    <t>HACU2240999</t>
  </si>
  <si>
    <t>TCLU2282473</t>
  </si>
  <si>
    <t>TCLU3352404</t>
  </si>
  <si>
    <t>FBIU5565749</t>
  </si>
  <si>
    <t>FSCU5870168</t>
  </si>
  <si>
    <t>SEGU9913289</t>
  </si>
  <si>
    <t>OTPU6142488</t>
  </si>
  <si>
    <t>BMOU9242049</t>
  </si>
  <si>
    <t>BMOU9239615</t>
  </si>
  <si>
    <t>FBIU5592826</t>
  </si>
  <si>
    <t>BMOU1671181</t>
  </si>
  <si>
    <t>TWCU2211010</t>
  </si>
  <si>
    <t>TWCU2281676</t>
  </si>
  <si>
    <t>UETU3005435</t>
  </si>
  <si>
    <t>TWCU2175740</t>
  </si>
  <si>
    <t>CAAU2542627</t>
  </si>
  <si>
    <t>SEGU6773959</t>
  </si>
  <si>
    <t>TIIU4635426</t>
  </si>
  <si>
    <t>TRHU8085071</t>
  </si>
  <si>
    <t>TXGU5561126</t>
  </si>
  <si>
    <t>TWCU8238471</t>
  </si>
  <si>
    <t>TWCU8105376</t>
  </si>
  <si>
    <t>TWCU8179804</t>
  </si>
  <si>
    <t>TGBU7063937</t>
  </si>
  <si>
    <t>TWCU8140696</t>
  </si>
  <si>
    <t>TWCU2329764</t>
  </si>
  <si>
    <t>TWCU2158569</t>
  </si>
  <si>
    <t>TWCU2098881</t>
  </si>
  <si>
    <t>TWCU2297142</t>
  </si>
  <si>
    <t>UETU2920484</t>
  </si>
  <si>
    <t>TWCU2328285</t>
  </si>
  <si>
    <t>DFSU7512105</t>
  </si>
  <si>
    <t>TWCU8258143</t>
  </si>
  <si>
    <t>TWCU8195003</t>
  </si>
  <si>
    <t>TWCU8228703</t>
  </si>
  <si>
    <t>TWCU2318918</t>
  </si>
  <si>
    <t>BEAU6411032</t>
  </si>
  <si>
    <t>HPCU4865034</t>
  </si>
  <si>
    <t>TWCU2159502</t>
  </si>
  <si>
    <t>TWCU8086960</t>
  </si>
  <si>
    <t>TWCU2299802</t>
  </si>
  <si>
    <t>TIIU2322968</t>
  </si>
  <si>
    <t>FSCU8118175</t>
  </si>
  <si>
    <t>TWCU8213597</t>
  </si>
  <si>
    <t>TGBU1056740</t>
  </si>
  <si>
    <t>TWCU2272078</t>
  </si>
  <si>
    <t>SEGU1399511</t>
  </si>
  <si>
    <t>TWCU2279025</t>
  </si>
  <si>
    <t>TWCU2255086</t>
  </si>
  <si>
    <t>UETU6452714</t>
  </si>
  <si>
    <t>TGBU5316065</t>
  </si>
  <si>
    <t>TGBU3490329</t>
  </si>
  <si>
    <t>BMOU1665189</t>
  </si>
  <si>
    <t>TWCU2299443</t>
  </si>
  <si>
    <t>TWCU2300138</t>
  </si>
  <si>
    <t>TWCU2281629</t>
  </si>
  <si>
    <t>TWCU2268458</t>
  </si>
  <si>
    <t>TWCU8129146</t>
  </si>
  <si>
    <t>TGBU7052634</t>
  </si>
  <si>
    <t>TXGU5558375</t>
  </si>
  <si>
    <t>TRHU4106915</t>
  </si>
  <si>
    <t>TXGU5677374</t>
  </si>
  <si>
    <t>TEMU8969438</t>
  </si>
  <si>
    <t>TWCU2309393</t>
  </si>
  <si>
    <t>TWCU2289511</t>
  </si>
  <si>
    <t>TWCU2271507</t>
  </si>
  <si>
    <t>TWCU2293810</t>
  </si>
  <si>
    <t>TWCU2086807</t>
  </si>
  <si>
    <t>TWCU2117981</t>
  </si>
  <si>
    <t>TWCU8285494</t>
  </si>
  <si>
    <t>TWCU8202524</t>
  </si>
  <si>
    <t>HPCU4698220</t>
  </si>
  <si>
    <t>TWCU8048194</t>
  </si>
  <si>
    <t>TRHU8089354</t>
  </si>
  <si>
    <t>GAL - TÂN VŨ</t>
  </si>
  <si>
    <t>TWCU2280366</t>
  </si>
  <si>
    <t>TGBU1054990</t>
  </si>
  <si>
    <t>TWCU2272041</t>
  </si>
  <si>
    <t>TXGU5563561</t>
  </si>
  <si>
    <t>UETU5775693</t>
  </si>
  <si>
    <t>FTAU1978915</t>
  </si>
  <si>
    <t>TRHU6958485</t>
  </si>
  <si>
    <t>TIIU2323460</t>
  </si>
  <si>
    <t>TWCU2246968</t>
  </si>
  <si>
    <t>TWCU8193660</t>
  </si>
  <si>
    <t>TRHU6958314</t>
  </si>
  <si>
    <t>DFSU1601360</t>
  </si>
  <si>
    <t>TWCU2167745</t>
  </si>
  <si>
    <t>DFSU3186079</t>
  </si>
  <si>
    <t>TWCU2133410</t>
  </si>
  <si>
    <t>TIIU5359699</t>
  </si>
  <si>
    <t>TWCU8242867</t>
  </si>
  <si>
    <t>TWCU8250097</t>
  </si>
  <si>
    <t>TXGU5672937</t>
  </si>
  <si>
    <t>TWCU8252335</t>
  </si>
  <si>
    <t>TWCU8128664</t>
  </si>
  <si>
    <t>TWCU2310711</t>
  </si>
  <si>
    <t>CAAU2553576</t>
  </si>
  <si>
    <t>TWCU2105830</t>
  </si>
  <si>
    <t>TWCU2240933</t>
  </si>
  <si>
    <t>TGBU1057460</t>
  </si>
  <si>
    <t>TWCU2263950</t>
  </si>
  <si>
    <t>BHCU3250347</t>
  </si>
  <si>
    <t>TWCU2100968</t>
  </si>
  <si>
    <t xml:space="preserve">15H-10026 </t>
  </si>
  <si>
    <t>CAIU8874088</t>
  </si>
  <si>
    <t>SELU4505970</t>
  </si>
  <si>
    <t>SELU4508351</t>
  </si>
  <si>
    <t>TIIU5693392</t>
  </si>
  <si>
    <t>TCNU2152939</t>
  </si>
  <si>
    <t>TWCU8074207</t>
  </si>
  <si>
    <t>TRHU5785132</t>
  </si>
  <si>
    <t>TWCU8218367</t>
  </si>
  <si>
    <t>TXGU7404609</t>
  </si>
  <si>
    <t>TWCU8122120</t>
  </si>
  <si>
    <t>DFSU7761582</t>
  </si>
  <si>
    <t>TWCU8187651</t>
  </si>
  <si>
    <t>TCNU3822505</t>
  </si>
  <si>
    <t>TWCU2182375</t>
  </si>
  <si>
    <t>TWCU2113327</t>
  </si>
  <si>
    <t>TWCU8174783</t>
  </si>
  <si>
    <t>TWCU8093608</t>
  </si>
  <si>
    <t>HPCU4867931</t>
  </si>
  <si>
    <t>TWCU8083282</t>
  </si>
  <si>
    <t>TWCU4067920</t>
  </si>
  <si>
    <t>BHCU5028529</t>
  </si>
  <si>
    <t>BEAU6404711</t>
  </si>
  <si>
    <t>FCIU7613196</t>
  </si>
  <si>
    <t>TWCU8238234</t>
  </si>
  <si>
    <t>TWCU8139355</t>
  </si>
  <si>
    <t>TWCU8199689</t>
  </si>
  <si>
    <t>FBLU0199678</t>
  </si>
  <si>
    <t>TWCU2152112</t>
  </si>
  <si>
    <t>TWCU2306898</t>
  </si>
  <si>
    <t>TGBU7187373</t>
  </si>
  <si>
    <t>TLLU4942846</t>
  </si>
  <si>
    <t>TXGU5677749</t>
  </si>
  <si>
    <t>TCKU7948061</t>
  </si>
  <si>
    <t>TWCU8115435</t>
  </si>
  <si>
    <t>TCNU3815595</t>
  </si>
  <si>
    <t>TCNU3582596</t>
  </si>
  <si>
    <t>TIIU5775778</t>
  </si>
  <si>
    <t>TWCU8134116</t>
  </si>
  <si>
    <t>TWCU8208939</t>
  </si>
  <si>
    <t>TWCU8207017</t>
  </si>
  <si>
    <t>24/01/2026</t>
  </si>
  <si>
    <t>TWCU2153459</t>
  </si>
  <si>
    <t>SEGU3656100</t>
  </si>
  <si>
    <t>TWCU2112423</t>
  </si>
  <si>
    <t>TWCU8091755</t>
  </si>
  <si>
    <t>UETU2937640</t>
  </si>
  <si>
    <t>TWCU8288298</t>
  </si>
  <si>
    <t>TWCU8191306</t>
  </si>
  <si>
    <t>TRHU6949945</t>
  </si>
  <si>
    <t>TWCU8163789</t>
  </si>
  <si>
    <t>TWCU2216129</t>
  </si>
  <si>
    <t>TWCU2284248</t>
  </si>
  <si>
    <t>TWCU2235454</t>
  </si>
  <si>
    <t>TWCU2225158</t>
  </si>
  <si>
    <t>TWCU2222077</t>
  </si>
  <si>
    <t>TWCU2102889</t>
  </si>
  <si>
    <t>TWCU8258082</t>
  </si>
  <si>
    <t>TIIU5682464</t>
  </si>
  <si>
    <t>TWCU4076182</t>
  </si>
  <si>
    <t>TWCU8098282</t>
  </si>
  <si>
    <t>TIIU5359615</t>
  </si>
  <si>
    <t>TWCU8172482</t>
  </si>
  <si>
    <t>TWCU8253060</t>
  </si>
  <si>
    <t>BEAU6402299</t>
  </si>
  <si>
    <t>TRHU6954807</t>
  </si>
  <si>
    <t>TXGU6006283</t>
  </si>
  <si>
    <t>TWCU4076840</t>
  </si>
  <si>
    <t>TWCU8185181</t>
  </si>
  <si>
    <t>TWCU8244999</t>
  </si>
  <si>
    <t>TWCU8243544</t>
  </si>
  <si>
    <t>TWCU8093892</t>
  </si>
  <si>
    <t>TWCU8183091</t>
  </si>
  <si>
    <t>FSCU7109559</t>
  </si>
  <si>
    <t>CAAU7010273</t>
  </si>
  <si>
    <t>TIIU5694505</t>
  </si>
  <si>
    <t>TWCU2186154</t>
  </si>
  <si>
    <t>TWCU2229620</t>
  </si>
  <si>
    <t>TWCU8050545</t>
  </si>
  <si>
    <t>TWCU8167948</t>
  </si>
  <si>
    <t>BHCU5026193</t>
  </si>
  <si>
    <t>TWCU8050397</t>
  </si>
  <si>
    <t>TXGU5558061</t>
  </si>
  <si>
    <t>TWCU8129866</t>
  </si>
  <si>
    <t>TWCU8174320</t>
  </si>
  <si>
    <t>TWCU8102340</t>
  </si>
  <si>
    <t>15H-18702</t>
  </si>
  <si>
    <t>TXGU5555967</t>
  </si>
  <si>
    <t>UETU5769134</t>
  </si>
  <si>
    <t>TWCU8268413</t>
  </si>
  <si>
    <t>TWCU8231570</t>
  </si>
  <si>
    <t>TWCU8125325</t>
  </si>
  <si>
    <t>TXGU5334499</t>
  </si>
  <si>
    <t>TXGU7388690</t>
  </si>
  <si>
    <t>TWCU8111363</t>
  </si>
  <si>
    <t>BEAU6414181</t>
  </si>
  <si>
    <t>TWCU8155438</t>
  </si>
  <si>
    <t>TWCU8120025</t>
  </si>
  <si>
    <t>UETU6429817</t>
  </si>
  <si>
    <t>TWCU8052620</t>
  </si>
  <si>
    <t>15H-16864</t>
  </si>
  <si>
    <t>TWCU8110644</t>
  </si>
  <si>
    <t>TWCU8278710</t>
  </si>
  <si>
    <t>TWCU8081633</t>
  </si>
  <si>
    <t>TWCU8266391</t>
  </si>
  <si>
    <t>UETU5682409</t>
  </si>
  <si>
    <t>TIIU4635792</t>
  </si>
  <si>
    <t>TWCU2288860</t>
  </si>
  <si>
    <t>FTAU1981565</t>
  </si>
  <si>
    <t>TXGU5663684</t>
  </si>
  <si>
    <t>TWCU8183682</t>
  </si>
  <si>
    <t>TXGU7404620</t>
  </si>
  <si>
    <t>TRHU6959460</t>
  </si>
  <si>
    <t>Hải Phòng, ngày    tháng 3 năm 2026</t>
  </si>
  <si>
    <t>TRHU7867836</t>
  </si>
  <si>
    <t>TWCU8087816</t>
  </si>
  <si>
    <t>TIIU5771833</t>
  </si>
  <si>
    <t>TWCU8115707</t>
  </si>
  <si>
    <t>TXGU5562610</t>
  </si>
  <si>
    <t>TIIU5680939</t>
  </si>
  <si>
    <t>TIIU5673987</t>
  </si>
  <si>
    <t>TWCU8067825</t>
  </si>
  <si>
    <t>UETU3002518</t>
  </si>
  <si>
    <t>TGBU3495758</t>
  </si>
  <si>
    <t>DẦU</t>
  </si>
  <si>
    <t>TWCU8223764</t>
  </si>
  <si>
    <t>JJ-NAM ĐÌNH VŨ</t>
  </si>
  <si>
    <t>TWCU2213521</t>
  </si>
  <si>
    <t>TWCU2318121</t>
  </si>
  <si>
    <t>TWCU2310460</t>
  </si>
  <si>
    <t>TWCU2130664</t>
  </si>
  <si>
    <t>TIIU5180240</t>
  </si>
  <si>
    <t>TWCU8091966</t>
  </si>
  <si>
    <t>TWCU2233852</t>
  </si>
  <si>
    <t>UETU3009662</t>
  </si>
  <si>
    <t>TWCU2094823</t>
  </si>
  <si>
    <t>TWCU2201599</t>
  </si>
  <si>
    <t>TWCU8106747</t>
  </si>
  <si>
    <t>TWCU8276471</t>
  </si>
  <si>
    <t>UETU5824165</t>
  </si>
  <si>
    <t>TWCU8259330</t>
  </si>
  <si>
    <t>TWCU8178393</t>
  </si>
  <si>
    <t>UETU6447533</t>
  </si>
  <si>
    <t>UETU5633615</t>
  </si>
  <si>
    <t>TWCU2236893</t>
  </si>
  <si>
    <t>FTAU1978290</t>
  </si>
  <si>
    <t>TWCU8279700</t>
  </si>
  <si>
    <t>TGBU5122250</t>
  </si>
  <si>
    <t>TXGU6001276</t>
  </si>
  <si>
    <t>FFAU1634785</t>
  </si>
  <si>
    <t>TRHU7852693</t>
  </si>
  <si>
    <t>BEAU6407027</t>
  </si>
  <si>
    <t>TWCU8080220</t>
  </si>
  <si>
    <t>TWCU8209766</t>
  </si>
  <si>
    <t>TWCU8084587</t>
  </si>
  <si>
    <t>TRHU8116362</t>
  </si>
  <si>
    <t>TWCU8081232</t>
  </si>
  <si>
    <t>TWCU8257070</t>
  </si>
  <si>
    <t>TXGU7404511</t>
  </si>
  <si>
    <t>TWCU8118516</t>
  </si>
  <si>
    <t>TWCU8032351</t>
  </si>
  <si>
    <t>TWCU8130764</t>
  </si>
  <si>
    <t>TWCU8146077</t>
  </si>
  <si>
    <t>TWCU2303348</t>
  </si>
  <si>
    <t>TWCU2106420</t>
  </si>
  <si>
    <t>TWCU8096119</t>
  </si>
  <si>
    <t>TIIU4814946</t>
  </si>
  <si>
    <t>CAIU4968682</t>
  </si>
  <si>
    <t>TIIU5683840</t>
  </si>
  <si>
    <t>TWCU8247766</t>
  </si>
  <si>
    <t>TCNU2473728</t>
  </si>
  <si>
    <t>TWCU8262879</t>
  </si>
  <si>
    <t>TRHU7846772</t>
  </si>
  <si>
    <t>TWCU8268481</t>
  </si>
  <si>
    <t>BHCU5027559</t>
  </si>
  <si>
    <t>TWCU8248459</t>
  </si>
  <si>
    <t>TWCU8065144</t>
  </si>
  <si>
    <t>TGBU6704450</t>
  </si>
  <si>
    <t>TGBU6696150</t>
  </si>
  <si>
    <t>TWCU8280213</t>
  </si>
  <si>
    <t>TXGU7388513</t>
  </si>
  <si>
    <t>UETU5788577</t>
  </si>
  <si>
    <t>TIIU4811696</t>
  </si>
  <si>
    <t>TWCU2304555</t>
  </si>
  <si>
    <t>UETU3001208</t>
  </si>
  <si>
    <t>TWCU8154982</t>
  </si>
  <si>
    <t>TWCU8225290</t>
  </si>
  <si>
    <t>TWCU8205396</t>
  </si>
  <si>
    <t>TRHU8097600</t>
  </si>
  <si>
    <t>TWCU8186207</t>
  </si>
  <si>
    <t>TWCU8210134</t>
  </si>
  <si>
    <t>TWCU2135096</t>
  </si>
  <si>
    <t>TRHU6958443</t>
  </si>
  <si>
    <t>TWCU8058119</t>
  </si>
  <si>
    <t>TEMU8694156</t>
  </si>
  <si>
    <t>TWCU8057914</t>
  </si>
  <si>
    <t>TWCU8092601</t>
  </si>
  <si>
    <t>TWCU8053396</t>
  </si>
  <si>
    <t>TCNU3283208</t>
  </si>
  <si>
    <t>TWCU2322672</t>
  </si>
  <si>
    <t>TIIU2314047</t>
  </si>
  <si>
    <t>TIIU2337253</t>
  </si>
  <si>
    <t>TWCU2321444</t>
  </si>
  <si>
    <t>TWCU2305063</t>
  </si>
  <si>
    <t>TWCU8094327</t>
  </si>
  <si>
    <t>TWCU2261710</t>
  </si>
  <si>
    <t>TWCU2210266</t>
  </si>
  <si>
    <t>TWCU2327967</t>
  </si>
  <si>
    <t>UETU3003448</t>
  </si>
  <si>
    <t>TWCU2202527</t>
  </si>
  <si>
    <t>TWCU2169096</t>
  </si>
  <si>
    <t>TGBU3506831</t>
  </si>
  <si>
    <t>TWCU2132712</t>
  </si>
  <si>
    <t>TWCU8141687</t>
  </si>
  <si>
    <t>TWCU8116880</t>
  </si>
  <si>
    <t>TWCU2150526</t>
  </si>
  <si>
    <t>TWCU2275930</t>
  </si>
  <si>
    <t>TWCU2102810</t>
  </si>
  <si>
    <t>TWCU2109564</t>
  </si>
  <si>
    <t>TWCU2293851</t>
  </si>
  <si>
    <t>TGBU3508032</t>
  </si>
  <si>
    <t>TXGU6009111</t>
  </si>
  <si>
    <t>TWCU8118331</t>
  </si>
  <si>
    <t>TWCU8165164</t>
  </si>
  <si>
    <t>TWCU8147793</t>
  </si>
  <si>
    <t>TWCU4073286</t>
  </si>
  <si>
    <t>SEGU6923576</t>
  </si>
  <si>
    <t>TWCU8114784</t>
  </si>
  <si>
    <t>TRHU4743908</t>
  </si>
  <si>
    <t>TWCU2101012</t>
  </si>
  <si>
    <t>TWCU2307678</t>
  </si>
  <si>
    <t>TWCU2160041</t>
  </si>
  <si>
    <t>TWCU2124867</t>
  </si>
  <si>
    <t>TWCU8099910</t>
  </si>
  <si>
    <t>TWCU8140700</t>
  </si>
  <si>
    <t>TIIU4814437</t>
  </si>
  <si>
    <t>TWCU8278134</t>
  </si>
  <si>
    <t>TWCU8102150</t>
  </si>
  <si>
    <t>TWCU8190887</t>
  </si>
  <si>
    <t>TWCU8242527</t>
  </si>
  <si>
    <t>TIIU5763400</t>
  </si>
  <si>
    <t>TWCU8115456</t>
  </si>
  <si>
    <t>TRHU6735265</t>
  </si>
  <si>
    <t>TGBU7834042</t>
  </si>
  <si>
    <t>TWCU8108544</t>
  </si>
  <si>
    <t>BEAU6409190</t>
  </si>
  <si>
    <t>TWCU8206725</t>
  </si>
  <si>
    <t>TWCU2264447</t>
  </si>
  <si>
    <t>TWCU2220428</t>
  </si>
  <si>
    <t>TWCU2195120</t>
  </si>
  <si>
    <t>TWCU2175334</t>
  </si>
  <si>
    <t>TWCU8239056</t>
  </si>
  <si>
    <t>TWCU8191923</t>
  </si>
  <si>
    <t>TCNU1043424</t>
  </si>
  <si>
    <t>FCIU5710833</t>
  </si>
  <si>
    <t>TWCU2252657</t>
  </si>
  <si>
    <t>TXGU5667020</t>
  </si>
  <si>
    <t>TWCU8167660</t>
  </si>
  <si>
    <t>TWCU2225950</t>
  </si>
  <si>
    <t>TGBU1051327</t>
  </si>
  <si>
    <t>TXGU6009169</t>
  </si>
  <si>
    <t>TIIU4587837</t>
  </si>
  <si>
    <t>FSCU7107392</t>
  </si>
  <si>
    <t>SEGU6671788</t>
  </si>
  <si>
    <t>UETU5430109</t>
  </si>
  <si>
    <t>BEAU5067560</t>
  </si>
  <si>
    <t>TRHU8104865</t>
  </si>
  <si>
    <t>TWCU8095853</t>
  </si>
  <si>
    <t>TRHU6728327</t>
  </si>
  <si>
    <t>TCNU3840005</t>
  </si>
  <si>
    <t>TWCU8075749</t>
  </si>
  <si>
    <t>CAIU7981604</t>
  </si>
  <si>
    <t>TWCU8209149</t>
  </si>
  <si>
    <t>TWCU2269578</t>
  </si>
  <si>
    <t>TWCU2140873</t>
  </si>
  <si>
    <t>TGBU3494258</t>
  </si>
  <si>
    <t>TWCU2159360</t>
  </si>
  <si>
    <t>TWCU2258911</t>
  </si>
  <si>
    <t>TGBU3493354</t>
  </si>
  <si>
    <t>TWCU2163312</t>
  </si>
  <si>
    <t>TWCU2181569</t>
  </si>
  <si>
    <t>UETU5779071</t>
  </si>
  <si>
    <t>TCKU7992721</t>
  </si>
  <si>
    <t>TWCU8065273</t>
  </si>
  <si>
    <t>TWCU8049550</t>
  </si>
  <si>
    <t>TWCU4068090</t>
  </si>
  <si>
    <t>TWCU2173223</t>
  </si>
  <si>
    <t>CAAU2531279</t>
  </si>
  <si>
    <t>TGBU1053124</t>
  </si>
  <si>
    <t>TWCU2218014</t>
  </si>
  <si>
    <t xml:space="preserve">15H-07321 </t>
  </si>
  <si>
    <t>TWCU8076977</t>
  </si>
  <si>
    <t>TXGU7392909</t>
  </si>
  <si>
    <t>TWCU8232160</t>
  </si>
  <si>
    <t>TXGU5555904</t>
  </si>
  <si>
    <t>TWCU8275747</t>
  </si>
  <si>
    <t>FBLU0176712</t>
  </si>
  <si>
    <t>TWCU8152845</t>
  </si>
  <si>
    <t>TWCU8050653</t>
  </si>
  <si>
    <t>TWCU8106583</t>
  </si>
  <si>
    <t>TWCU8162988</t>
  </si>
  <si>
    <t>TWCU4078396</t>
  </si>
  <si>
    <t>TWCU8136150</t>
  </si>
  <si>
    <t>TWCU8173025</t>
  </si>
  <si>
    <t>CAAU2538036</t>
  </si>
  <si>
    <t>TWCU2197288</t>
  </si>
  <si>
    <t>TWCU2260457</t>
  </si>
  <si>
    <t>TWCU2082890</t>
  </si>
  <si>
    <t>TWCU2222312</t>
  </si>
  <si>
    <t>HAHU2031169</t>
  </si>
  <si>
    <t>UETU5873025</t>
  </si>
  <si>
    <t>TWCU8040660</t>
  </si>
  <si>
    <t>TWCU8220256</t>
  </si>
  <si>
    <t>TRHU8098335</t>
  </si>
  <si>
    <t>TRHU8109825</t>
  </si>
  <si>
    <t>TWCU8186491</t>
  </si>
  <si>
    <t>TRHU6961236</t>
  </si>
  <si>
    <t>TWCU4075294</t>
  </si>
  <si>
    <t>TLLU4685394</t>
  </si>
  <si>
    <t>TRHU4743317</t>
  </si>
  <si>
    <t>TWCU8143519</t>
  </si>
  <si>
    <t>TGBU3497447</t>
  </si>
  <si>
    <t>TWCU2278414</t>
  </si>
  <si>
    <t>TWCU8067912</t>
  </si>
  <si>
    <t>TWCU8196334</t>
  </si>
  <si>
    <t>TWCU8102320</t>
  </si>
  <si>
    <t>TIIU5678361</t>
  </si>
  <si>
    <t>HAHU5031521</t>
  </si>
  <si>
    <t>TWCU4077928</t>
  </si>
  <si>
    <t>TWCU8141178</t>
  </si>
  <si>
    <t>TWCU4065300</t>
  </si>
  <si>
    <t>TWCU8248680</t>
  </si>
  <si>
    <t>UETU5637591</t>
  </si>
  <si>
    <t>TWCU8109197</t>
  </si>
  <si>
    <t>TXGU6008331</t>
  </si>
  <si>
    <t>TWCU8169046</t>
  </si>
  <si>
    <t>TIIU2322150</t>
  </si>
  <si>
    <t>TWCU2136786</t>
  </si>
  <si>
    <t>TRHU6731655</t>
  </si>
  <si>
    <t>TIIU5307740</t>
  </si>
  <si>
    <t>TWCU8091312</t>
  </si>
  <si>
    <t>TWCU2248976</t>
  </si>
  <si>
    <t>TGBU3498016</t>
  </si>
  <si>
    <t>TWCU2265485</t>
  </si>
  <si>
    <t>BHCU3223510</t>
  </si>
  <si>
    <t>FSCU8118302</t>
  </si>
  <si>
    <t>TWCU2308041</t>
  </si>
  <si>
    <t>DFSU3184991</t>
  </si>
  <si>
    <t>TXGU7410730</t>
  </si>
  <si>
    <t>TWCU2263076</t>
  </si>
  <si>
    <t>TWCU2205634</t>
  </si>
  <si>
    <t>BHCU3248735</t>
  </si>
  <si>
    <t>TWCU2115103</t>
  </si>
  <si>
    <t>TWCU2084846</t>
  </si>
  <si>
    <t>TWCU2202912</t>
  </si>
  <si>
    <t>TWCU2122247</t>
  </si>
  <si>
    <t>TWCU2313639</t>
  </si>
  <si>
    <t>TWCU4070760</t>
  </si>
  <si>
    <t>TXGU5559140</t>
  </si>
  <si>
    <t>DFOU2001432</t>
  </si>
  <si>
    <t>TRHU6960625</t>
  </si>
  <si>
    <t>TIIU5188507</t>
  </si>
  <si>
    <t>TWCU8192154</t>
  </si>
  <si>
    <t>TXGU6126252</t>
  </si>
  <si>
    <t>TWCU2135774</t>
  </si>
  <si>
    <t>TWCU2145284</t>
  </si>
  <si>
    <t>TWCU2120100</t>
  </si>
  <si>
    <t>TGBU3490925</t>
  </si>
  <si>
    <t>TWCU2278883</t>
  </si>
  <si>
    <t>TWCU8062649</t>
  </si>
  <si>
    <t>TWCU8154128</t>
  </si>
  <si>
    <t>FSCU8974660</t>
  </si>
  <si>
    <t>TWCU8250728</t>
  </si>
  <si>
    <t>TWCU2325440</t>
  </si>
  <si>
    <t>TWCU2221358</t>
  </si>
  <si>
    <t>FFAU1162523</t>
  </si>
  <si>
    <t>TWCU8104765</t>
  </si>
  <si>
    <t>CAIU7198559</t>
  </si>
  <si>
    <t>TWCU8168266</t>
  </si>
  <si>
    <t>TWCU8202669</t>
  </si>
  <si>
    <t>TWCU8165082</t>
  </si>
  <si>
    <t>TWCU8165713</t>
  </si>
  <si>
    <t>FTAU1980023</t>
  </si>
  <si>
    <t>TWCU2222122</t>
  </si>
  <si>
    <t>TWCU2244184</t>
  </si>
  <si>
    <t>TWCU2249571</t>
  </si>
  <si>
    <t>TWCU8282089</t>
  </si>
  <si>
    <t>TRHU8131876</t>
  </si>
  <si>
    <t>HPCU4868183</t>
  </si>
  <si>
    <t>FCIU7567871</t>
  </si>
  <si>
    <t>TWCU2200904</t>
  </si>
  <si>
    <t>UETU2923360</t>
  </si>
  <si>
    <t>TWCU2199927</t>
  </si>
  <si>
    <t>TWCU2315708</t>
  </si>
  <si>
    <t>TWCU2272150</t>
  </si>
  <si>
    <t>TWCU2139281</t>
  </si>
  <si>
    <t>FSCU7202785</t>
  </si>
  <si>
    <t>TWCU8134100</t>
  </si>
  <si>
    <t>TWCU8073788</t>
  </si>
  <si>
    <t>TWCU8061600</t>
  </si>
  <si>
    <t>TWCU4069434</t>
  </si>
  <si>
    <t>TWCU8230763</t>
  </si>
  <si>
    <t>TWCU8189633</t>
  </si>
  <si>
    <t>TWCU8119786</t>
  </si>
  <si>
    <t>TWCU8168100</t>
  </si>
  <si>
    <t>TWCU8066942</t>
  </si>
  <si>
    <t>TWCU8278366</t>
  </si>
  <si>
    <t>TWCU8074573</t>
  </si>
  <si>
    <t>TRHU6955275</t>
  </si>
  <si>
    <t>TWCU4074024</t>
  </si>
  <si>
    <t>HAHU2053430</t>
  </si>
  <si>
    <t>TWCU2090089</t>
  </si>
  <si>
    <t>TWCU2235285</t>
  </si>
  <si>
    <t>TWCU2242556</t>
  </si>
  <si>
    <t>TWCU2157536</t>
  </si>
  <si>
    <t>UETU2704844</t>
  </si>
  <si>
    <t>TRHU8090118</t>
  </si>
  <si>
    <t>TWCU8239668</t>
  </si>
  <si>
    <t>TWCU8228597</t>
  </si>
  <si>
    <t>TWCU8154848</t>
  </si>
  <si>
    <t>CAIU7911818</t>
  </si>
  <si>
    <t>TWCU4080156</t>
  </si>
  <si>
    <t>TCNU2589071</t>
  </si>
  <si>
    <t>UETU5653118</t>
  </si>
  <si>
    <t>TWCU8057262</t>
  </si>
  <si>
    <t>TWCU8083826</t>
  </si>
  <si>
    <t>TWCU8117130</t>
  </si>
  <si>
    <t>TWCU8081989</t>
  </si>
  <si>
    <t>TWCU4086447</t>
  </si>
  <si>
    <t>TXGU5564568</t>
  </si>
  <si>
    <t>UETU6443543</t>
  </si>
  <si>
    <t>TXGU7385514</t>
  </si>
  <si>
    <t>BEAU4439010</t>
  </si>
  <si>
    <t>TIIU5307680</t>
  </si>
  <si>
    <t>TGBU6700100</t>
  </si>
  <si>
    <t>TXGU6008970</t>
  </si>
  <si>
    <t>TWCU8150919</t>
  </si>
  <si>
    <t>TWCU8088263</t>
  </si>
  <si>
    <t>FBLU0131472</t>
  </si>
  <si>
    <t>TWCU2277995</t>
  </si>
  <si>
    <t>TIIU2335707</t>
  </si>
  <si>
    <t>UETU5430583</t>
  </si>
  <si>
    <t>TRHU6735049</t>
  </si>
  <si>
    <t>TWCU2137740</t>
  </si>
  <si>
    <t>TGBU3507669</t>
  </si>
  <si>
    <t>TWCU2201670</t>
  </si>
  <si>
    <t>UETU3008115</t>
  </si>
  <si>
    <t>CAAU2545375</t>
  </si>
  <si>
    <t>TWCU2312334</t>
  </si>
  <si>
    <t>DFSU3188683</t>
  </si>
  <si>
    <t>TWCU2322780</t>
  </si>
  <si>
    <t>UETU3002272</t>
  </si>
  <si>
    <t>TWCU2323410</t>
  </si>
  <si>
    <t>TLLU4104036</t>
  </si>
  <si>
    <t>TWCU8199708</t>
  </si>
  <si>
    <t>UETU5787781</t>
  </si>
  <si>
    <t>FFAU1000137</t>
  </si>
  <si>
    <t>CAAU7008580</t>
  </si>
  <si>
    <t>TWCU8070027</t>
  </si>
  <si>
    <t>BEAU4340393</t>
  </si>
  <si>
    <t>BEAU6409159</t>
  </si>
  <si>
    <t>TGBU3504947</t>
  </si>
  <si>
    <t>TWCU2209882</t>
  </si>
  <si>
    <t>TWCU2124960</t>
  </si>
  <si>
    <t>TWCU2207597</t>
  </si>
  <si>
    <t>TWCU2247516</t>
  </si>
  <si>
    <t>TWCU2219520</t>
  </si>
  <si>
    <t>UETU5780088</t>
  </si>
  <si>
    <t>TWCU4075099</t>
  </si>
  <si>
    <t>TWCU8159388</t>
  </si>
  <si>
    <t>TWCU8169848</t>
  </si>
  <si>
    <t>TWCU8180446</t>
  </si>
  <si>
    <t>TIIU4812901</t>
  </si>
  <si>
    <t>TWCU8203109</t>
  </si>
  <si>
    <t>TCNU3788674</t>
  </si>
  <si>
    <t>TWCU8243966</t>
  </si>
  <si>
    <t>TWCU2105574</t>
  </si>
  <si>
    <t>TWCU2161372</t>
  </si>
  <si>
    <t>BMOU1665738</t>
  </si>
  <si>
    <t>TWCU2255949</t>
  </si>
  <si>
    <t>TWCU2167956</t>
  </si>
  <si>
    <t>TWCU2141015</t>
  </si>
  <si>
    <t>TWCU2127357</t>
  </si>
  <si>
    <t>TWCU2293229</t>
  </si>
  <si>
    <t>TWCU2288243</t>
  </si>
  <si>
    <t>TWCU2146608</t>
  </si>
  <si>
    <t>TWCU2315333</t>
  </si>
  <si>
    <t>BMOU1670816</t>
  </si>
  <si>
    <t>TWCU2279004</t>
  </si>
  <si>
    <t>TWCU2300122</t>
  </si>
  <si>
    <t>TWCU8180765</t>
  </si>
  <si>
    <t>TWCU8207526</t>
  </si>
  <si>
    <t>UETU5782265</t>
  </si>
  <si>
    <t>TWCU2233106</t>
  </si>
  <si>
    <t>CAAU2540516</t>
  </si>
  <si>
    <t>TWCU2231546</t>
  </si>
  <si>
    <t>TWCU2264961</t>
  </si>
  <si>
    <t>TWCU2314131</t>
  </si>
  <si>
    <t>FBIU0002784</t>
  </si>
  <si>
    <t>TWCU2265356</t>
  </si>
  <si>
    <t>TWCU2113796</t>
  </si>
  <si>
    <t>TWCU8194286</t>
  </si>
  <si>
    <t>TWCU2240213</t>
  </si>
  <si>
    <t>TWCU2296980</t>
  </si>
  <si>
    <t>Cước vận chuyển vỏ container</t>
  </si>
  <si>
    <t>từ bãi JJ, Hải Phòng đến Nam Đình Vũ, Hải Phòng</t>
  </si>
  <si>
    <t>NDHH</t>
  </si>
  <si>
    <t>Số xe</t>
  </si>
  <si>
    <t>Loại</t>
  </si>
  <si>
    <t>ND</t>
  </si>
  <si>
    <t>UETU5643043</t>
  </si>
  <si>
    <t>TWCU8243056</t>
  </si>
  <si>
    <t>JJ - NAM ĐÌNH VŨ</t>
  </si>
  <si>
    <t>DFSU7648149</t>
  </si>
  <si>
    <t>BEAU6406632</t>
  </si>
  <si>
    <t>TWCU8081079</t>
  </si>
  <si>
    <t>UETU6442681</t>
  </si>
  <si>
    <t>TWCU8106222</t>
  </si>
  <si>
    <t>TWCU8185427</t>
  </si>
  <si>
    <t>TWCU8066222</t>
  </si>
  <si>
    <t>TWCU8085053</t>
  </si>
  <si>
    <t>UETU2919230</t>
  </si>
  <si>
    <t>UETU2758352</t>
  </si>
  <si>
    <t>UETU2908540</t>
  </si>
  <si>
    <t>TWCU21900998</t>
  </si>
  <si>
    <t>BEAU6413307</t>
  </si>
  <si>
    <t>DFSU7650341</t>
  </si>
  <si>
    <t>TWCU2157557</t>
  </si>
  <si>
    <t>TWCU2129956</t>
  </si>
  <si>
    <t>TRHU8132770</t>
  </si>
  <si>
    <t>TWCU8261682</t>
  </si>
  <si>
    <t>TWCU8157786</t>
  </si>
  <si>
    <t>TXGU5998522</t>
  </si>
  <si>
    <t>TWCU8060245</t>
  </si>
  <si>
    <t>TRHU4735498</t>
  </si>
  <si>
    <t>TWCU8162376</t>
  </si>
  <si>
    <t>UETU5642704</t>
  </si>
  <si>
    <t>TXGU5557888</t>
  </si>
  <si>
    <t>TWCU8146441</t>
  </si>
  <si>
    <t>TLLU4753734</t>
  </si>
  <si>
    <t>UETU5769690</t>
  </si>
  <si>
    <t>TWCU8139210</t>
  </si>
  <si>
    <t>CAIU7502825</t>
  </si>
  <si>
    <t>TXGU7388107</t>
  </si>
  <si>
    <t>TWCU8078671</t>
  </si>
  <si>
    <t>TWCU2238221</t>
  </si>
  <si>
    <t>UETU2912180</t>
  </si>
  <si>
    <t>TWCU8210108</t>
  </si>
  <si>
    <t>TIIU5681940</t>
  </si>
  <si>
    <t>TCKU6705030</t>
  </si>
  <si>
    <t>FDCU0031399</t>
  </si>
  <si>
    <t>TXGU5563330</t>
  </si>
  <si>
    <t>HPCU4866616</t>
  </si>
  <si>
    <t>TWCU8263900</t>
  </si>
  <si>
    <t>FFAU1113386</t>
  </si>
  <si>
    <t>TWCU8174588</t>
  </si>
  <si>
    <t>TCNU2318568</t>
  </si>
  <si>
    <t>TWCU8148038</t>
  </si>
  <si>
    <t>UETU5798174</t>
  </si>
  <si>
    <t>CAIU7437191</t>
  </si>
  <si>
    <t>TWCU8234286</t>
  </si>
  <si>
    <t>BEAU6401707</t>
  </si>
  <si>
    <t>BMOU6477380</t>
  </si>
  <si>
    <t>TWCU8234270</t>
  </si>
  <si>
    <t>TWCU8190906</t>
  </si>
  <si>
    <t>TIIU5726834</t>
  </si>
  <si>
    <t>TWCU8065268</t>
  </si>
  <si>
    <t>FTAU1973908</t>
  </si>
  <si>
    <t>TGBU3493009</t>
  </si>
  <si>
    <t>TWCU8065294</t>
  </si>
  <si>
    <t>TWCU8192616</t>
  </si>
  <si>
    <t>TWCU8258950</t>
  </si>
  <si>
    <t>FFAU1171335</t>
  </si>
  <si>
    <t>TWCU8047639</t>
  </si>
  <si>
    <t>TGBU3489903</t>
  </si>
  <si>
    <t>TRHU3813718</t>
  </si>
  <si>
    <t>TWCU2251558</t>
  </si>
  <si>
    <t>FTAU1980960</t>
  </si>
  <si>
    <t>CAAU2551640</t>
  </si>
  <si>
    <t>BMOU1648833</t>
  </si>
  <si>
    <t>TWCU2220958</t>
  </si>
  <si>
    <t>TWCU2188584</t>
  </si>
  <si>
    <t>TXGU6007910</t>
  </si>
  <si>
    <t>TWCU4084212</t>
  </si>
  <si>
    <t>CAAU5137628</t>
  </si>
  <si>
    <t>TXGU6128110</t>
  </si>
  <si>
    <t>TIIU5198758</t>
  </si>
  <si>
    <t>CAAU2550237</t>
  </si>
  <si>
    <t>TWCU2302676</t>
  </si>
  <si>
    <t>TWCU2295670</t>
  </si>
  <si>
    <t>FTAU1208719</t>
  </si>
  <si>
    <t>TWCU8263237</t>
  </si>
  <si>
    <t>BEAU6404521</t>
  </si>
  <si>
    <t>UETU5878813</t>
  </si>
  <si>
    <t>TWCU8087668</t>
  </si>
  <si>
    <t>TRHU6959049</t>
  </si>
  <si>
    <t>TWCU8274150</t>
  </si>
  <si>
    <t>TWCU2280880</t>
  </si>
  <si>
    <t>TIIU2331316</t>
  </si>
  <si>
    <t>UETU5638345</t>
  </si>
  <si>
    <t>TWCU8113638</t>
  </si>
  <si>
    <t>TXGU6002903</t>
  </si>
  <si>
    <t>TLLU4730744</t>
  </si>
  <si>
    <t>TWCU8160413</t>
  </si>
  <si>
    <t>HPCU4699458</t>
  </si>
  <si>
    <t>TWCU8158669</t>
  </si>
  <si>
    <t>TRHU6954812</t>
  </si>
  <si>
    <t>TWCU8052635</t>
  </si>
  <si>
    <t>TRHU5779968</t>
  </si>
  <si>
    <t>TWCU8127020</t>
  </si>
  <si>
    <t>TWCU8102886</t>
  </si>
  <si>
    <t>TXGU5558708</t>
  </si>
  <si>
    <t>TWCU2166435</t>
  </si>
  <si>
    <t>TLLU3636409</t>
  </si>
  <si>
    <t>TLLU4140901</t>
  </si>
  <si>
    <t>UETU5642068</t>
  </si>
  <si>
    <t>TIIU5777662</t>
  </si>
  <si>
    <t>TWCU8129038</t>
  </si>
  <si>
    <t>TIIU4734476</t>
  </si>
  <si>
    <t>TWCU8169658</t>
  </si>
  <si>
    <t>TWCU4087865</t>
  </si>
  <si>
    <t>UETU2713450</t>
  </si>
  <si>
    <t>UETU2917984</t>
  </si>
  <si>
    <t>TWCU8280830</t>
  </si>
  <si>
    <t>TWCU8090506</t>
  </si>
  <si>
    <t>TLLU4754690</t>
  </si>
  <si>
    <t>TWCU8141389</t>
  </si>
  <si>
    <t>TRHU6950545</t>
  </si>
  <si>
    <t>TRHU8091480</t>
  </si>
  <si>
    <t>UETU5788828</t>
  </si>
  <si>
    <t>TWCU8240709</t>
  </si>
  <si>
    <t>TWCU8234250</t>
  </si>
  <si>
    <t>TXGU5563788</t>
  </si>
  <si>
    <t>TWCU8156100</t>
  </si>
  <si>
    <t>TWCU2128820</t>
  </si>
  <si>
    <t>TWCU2328829</t>
  </si>
  <si>
    <t>15H-30937</t>
  </si>
  <si>
    <t>FCIU7602801</t>
  </si>
  <si>
    <t>TWCU8282598</t>
  </si>
  <si>
    <t>UETU5775353</t>
  </si>
  <si>
    <t>UETU6444637</t>
  </si>
  <si>
    <t>TWCU8186790</t>
  </si>
  <si>
    <t>TWCU8016330</t>
  </si>
  <si>
    <t>TWCU8144794</t>
  </si>
  <si>
    <t xml:space="preserve"> 15H-16832</t>
  </si>
  <si>
    <t>UETU5782389</t>
  </si>
  <si>
    <t>TWCU8262652</t>
  </si>
  <si>
    <t>TWCU8180045</t>
  </si>
  <si>
    <t>DFSU7653783</t>
  </si>
  <si>
    <t>TWCU8048825</t>
  </si>
  <si>
    <t>TWCU8209473</t>
  </si>
  <si>
    <t>TWCU8261954</t>
  </si>
  <si>
    <t>TWCU8087992</t>
  </si>
  <si>
    <t>TWCU2097838</t>
  </si>
  <si>
    <t>TWCU2217701</t>
  </si>
  <si>
    <t>BHCU3250521</t>
  </si>
  <si>
    <t>TWCU8079940</t>
  </si>
  <si>
    <t>TWCU8258610</t>
  </si>
  <si>
    <t>TGBU7055633</t>
  </si>
  <si>
    <t>UETU5787557</t>
  </si>
  <si>
    <t>TIIU5774154</t>
  </si>
  <si>
    <t>TWCU8117910</t>
  </si>
  <si>
    <t>TWCU8166509</t>
  </si>
  <si>
    <t>TWCU2205784</t>
  </si>
  <si>
    <t>TWCU2196234</t>
  </si>
  <si>
    <t>TWCU8064560</t>
  </si>
  <si>
    <t>UETU5784268</t>
  </si>
  <si>
    <t>UETU5426351</t>
  </si>
  <si>
    <t>TWCU8242553</t>
  </si>
  <si>
    <t>TXGU5677939</t>
  </si>
  <si>
    <t>TWCU2191870</t>
  </si>
  <si>
    <t>TIIU2308656</t>
  </si>
  <si>
    <t>TIIU2313816</t>
  </si>
  <si>
    <t>TWCU2326045</t>
  </si>
  <si>
    <t>TWCU4078246</t>
  </si>
  <si>
    <t>TWCU8214947</t>
  </si>
  <si>
    <t>TWCU8076196</t>
  </si>
  <si>
    <t>TWCU8129505</t>
  </si>
  <si>
    <t>TRHU6945261</t>
  </si>
  <si>
    <t>TWCU8062504</t>
  </si>
  <si>
    <t>15C-31156</t>
  </si>
  <si>
    <t>TWCU4067827</t>
  </si>
  <si>
    <t>UETU5779662</t>
  </si>
  <si>
    <t>TRHU6955871</t>
  </si>
  <si>
    <t>TWCU8201430</t>
  </si>
  <si>
    <t>TWCU8076961</t>
  </si>
  <si>
    <t>TWCU8135154</t>
  </si>
  <si>
    <t>TXGU7400753</t>
  </si>
  <si>
    <t>Hải Phòng, ngày    tháng 4 năm 2026</t>
  </si>
  <si>
    <t>TWCU8074803</t>
  </si>
  <si>
    <t>TLLU4114076</t>
  </si>
  <si>
    <t>BMOU6486801</t>
  </si>
  <si>
    <t>TWCU8073577</t>
  </si>
  <si>
    <t>TWCU8180019</t>
  </si>
  <si>
    <t>Hải Phòng, ngày    tháng 5 năm 2026</t>
  </si>
  <si>
    <t>TRHU6959769</t>
  </si>
  <si>
    <t>TWCU8125496</t>
  </si>
  <si>
    <t>TIIU5306600</t>
  </si>
  <si>
    <t>TRHU8093122</t>
  </si>
  <si>
    <t>TWCU8069730</t>
  </si>
  <si>
    <t>TRHU4743528</t>
  </si>
  <si>
    <t>TXGU6005163</t>
  </si>
  <si>
    <t>TWCU2212968</t>
  </si>
  <si>
    <t>TWCU2283787</t>
  </si>
  <si>
    <t>TWCU8048722</t>
  </si>
  <si>
    <t>BEAU6409312</t>
  </si>
  <si>
    <t>UETU5680685</t>
  </si>
  <si>
    <t>ECMU5571397</t>
  </si>
  <si>
    <t>NSSU0093023</t>
  </si>
  <si>
    <t>DYLU2146460</t>
  </si>
  <si>
    <t>NSSU0066687</t>
  </si>
  <si>
    <t>BEAU2180676</t>
  </si>
  <si>
    <t>FTAU2206433</t>
  </si>
  <si>
    <t>FTAU2488300</t>
  </si>
  <si>
    <t>NSSU0054048</t>
  </si>
  <si>
    <t>NSSU0107549</t>
  </si>
  <si>
    <t>NSSU7129869</t>
  </si>
  <si>
    <t>NSSU7120075</t>
  </si>
  <si>
    <t>SEKU6815832</t>
  </si>
  <si>
    <t>TWCU8245824</t>
  </si>
  <si>
    <t>TWCU8109638</t>
  </si>
  <si>
    <t>DFSU7664598</t>
  </si>
  <si>
    <t>TWCU8151860</t>
  </si>
  <si>
    <t>UETU5237614</t>
  </si>
  <si>
    <t>UETU6444447</t>
  </si>
  <si>
    <t>FBLU0218232</t>
  </si>
  <si>
    <t>TWCU2118479</t>
  </si>
  <si>
    <t>SEGU6784315</t>
  </si>
  <si>
    <t>UETU5679787</t>
  </si>
  <si>
    <t>TWCU2239969</t>
  </si>
  <si>
    <t>TWCU2302526</t>
  </si>
  <si>
    <t>SEKU1372990</t>
  </si>
  <si>
    <t>SEGU3245412</t>
  </si>
  <si>
    <t>NSSU0111153</t>
  </si>
  <si>
    <t>NSSU0136655</t>
  </si>
  <si>
    <t>SEGU3232293</t>
  </si>
  <si>
    <t>FCIU5321826</t>
  </si>
  <si>
    <t>FTAU2489267</t>
  </si>
  <si>
    <t>NSSU0137883</t>
  </si>
  <si>
    <t>NSSU7162471</t>
  </si>
  <si>
    <t>NSSU7127568</t>
  </si>
  <si>
    <t>NSSU7129909</t>
  </si>
  <si>
    <t>TEMU0470490</t>
  </si>
  <si>
    <t>BSIU3062554</t>
  </si>
  <si>
    <t>NSSU0174090</t>
  </si>
  <si>
    <t>FTAU2490083</t>
  </si>
  <si>
    <t>FTAU2491217</t>
  </si>
  <si>
    <t>NSSU0213140</t>
  </si>
  <si>
    <t>NSSU0199015</t>
  </si>
  <si>
    <t>FTAU2491027</t>
  </si>
  <si>
    <t>TWCU8274988</t>
  </si>
  <si>
    <t>UETU5429094</t>
  </si>
  <si>
    <t>TWCU8172414</t>
  </si>
  <si>
    <t>TXGU7402695</t>
  </si>
  <si>
    <t>TLLU4228791</t>
  </si>
  <si>
    <t>UETU5877102</t>
  </si>
  <si>
    <t>TWCU8087210</t>
  </si>
  <si>
    <t>TWCU8143680</t>
  </si>
  <si>
    <t>GCXU5078030</t>
  </si>
  <si>
    <t>TWCU8206746</t>
  </si>
  <si>
    <t>TWCU8277797</t>
  </si>
  <si>
    <t>TWCU8204527</t>
  </si>
  <si>
    <t>TXGU6004608</t>
  </si>
  <si>
    <t>UETU5661860</t>
  </si>
  <si>
    <t>TGBU7829745</t>
  </si>
  <si>
    <t>CAIU7668190</t>
  </si>
  <si>
    <t>TCNU3032481</t>
  </si>
  <si>
    <t>TRHU6945359</t>
  </si>
  <si>
    <t>TWCU8232262</t>
  </si>
  <si>
    <t>TWCU8152737</t>
  </si>
  <si>
    <t>TGBU3505748</t>
  </si>
  <si>
    <t>FTAU1198293</t>
  </si>
  <si>
    <t>TWCU2118041</t>
  </si>
  <si>
    <t>FTAU1979399</t>
  </si>
  <si>
    <t>FTAU1981328</t>
  </si>
  <si>
    <t>TWCU2291334</t>
  </si>
  <si>
    <t>TWCU2138768</t>
  </si>
  <si>
    <t>FCIU6661081</t>
  </si>
  <si>
    <t>TWCU8244793</t>
  </si>
  <si>
    <t>TWCU2115211</t>
  </si>
  <si>
    <t>TWCU2116985</t>
  </si>
  <si>
    <t>UETU5428837</t>
  </si>
  <si>
    <t>TGBU6696756</t>
  </si>
  <si>
    <t>TXGU6005137</t>
  </si>
  <si>
    <t>FFAU1138810</t>
  </si>
  <si>
    <t>TWCU8200990</t>
  </si>
  <si>
    <t>TIIU5307777</t>
  </si>
  <si>
    <t>UETU5311141</t>
  </si>
  <si>
    <t>TEMU8411220</t>
  </si>
  <si>
    <t>TCNU3576612</t>
  </si>
  <si>
    <t>HPCU4699170</t>
  </si>
  <si>
    <t>TWCU8141218</t>
  </si>
  <si>
    <t>TWCU8272711</t>
  </si>
  <si>
    <t>TIIU5743195</t>
  </si>
  <si>
    <t>TWCU8220195</t>
  </si>
  <si>
    <t>TWCU8274627</t>
  </si>
  <si>
    <t>FFAU1013875</t>
  </si>
  <si>
    <t>TWCU8198424</t>
  </si>
  <si>
    <t>TWCU8088237</t>
  </si>
  <si>
    <t>UETU5249240</t>
  </si>
  <si>
    <t>NSSU0100246</t>
  </si>
  <si>
    <t>NSSU0069520</t>
  </si>
  <si>
    <t>DYLU2127238</t>
  </si>
  <si>
    <t>NSSU0158206</t>
  </si>
  <si>
    <t>NSSU0156311</t>
  </si>
  <si>
    <t>SEKU1387011</t>
  </si>
  <si>
    <t>LYGU3120527</t>
  </si>
  <si>
    <t>NSSU0108695</t>
  </si>
  <si>
    <t>SEKU6790816</t>
  </si>
  <si>
    <t>NSSU7125797</t>
  </si>
  <si>
    <t>NSSU7167344</t>
  </si>
  <si>
    <t>SEGU2336729</t>
  </si>
  <si>
    <t>TLLU30338794</t>
  </si>
  <si>
    <t>NSSU0155320</t>
  </si>
  <si>
    <t>BMOU1390950</t>
  </si>
  <si>
    <t>SEGU3952879</t>
  </si>
  <si>
    <t>NSSU0192812</t>
  </si>
  <si>
    <t>FTAU2803700</t>
  </si>
  <si>
    <t>LYGU1622510</t>
  </si>
  <si>
    <t>FFAU7482099</t>
  </si>
  <si>
    <t>JJ - NĐV</t>
  </si>
  <si>
    <t>GLC - TÂN VŨ</t>
  </si>
  <si>
    <t>GNL - HẢI AN</t>
  </si>
  <si>
    <t xml:space="preserve"> JJ - NĐV</t>
  </si>
  <si>
    <t>15H-11338</t>
  </si>
  <si>
    <t>TWCU2211982</t>
  </si>
  <si>
    <t>JJ- NĐV</t>
  </si>
  <si>
    <t>TWCU2211365</t>
  </si>
  <si>
    <t>TRHU5780341</t>
  </si>
  <si>
    <t>TWCU8162632</t>
  </si>
  <si>
    <t>TWCU8086255</t>
  </si>
  <si>
    <t>FTAU1979824</t>
  </si>
  <si>
    <t>UETU3008239</t>
  </si>
  <si>
    <t>TWCU2148597</t>
  </si>
  <si>
    <t>TWCU2253680</t>
  </si>
  <si>
    <t>TIIU4657852</t>
  </si>
  <si>
    <t>TWCU4081152</t>
  </si>
  <si>
    <t>TIIU5357844</t>
  </si>
  <si>
    <t>TGBU3506718</t>
  </si>
  <si>
    <t>TWCU2300729</t>
  </si>
  <si>
    <t>TRHU5784856</t>
  </si>
  <si>
    <t>TWCU8133110</t>
  </si>
  <si>
    <t>HPCU4869092</t>
  </si>
  <si>
    <t>TWCU8047177</t>
  </si>
  <si>
    <t>CAAU7009544</t>
  </si>
  <si>
    <t>TWCU8057175</t>
  </si>
  <si>
    <t>TXGU6003160</t>
  </si>
  <si>
    <t>DFSU7575870</t>
  </si>
  <si>
    <t>CSNU8392720</t>
  </si>
  <si>
    <t>TRHU4910137</t>
  </si>
  <si>
    <t>OOLU9630923</t>
  </si>
  <si>
    <t>CBHU7071121</t>
  </si>
  <si>
    <t>TXGU6002689</t>
  </si>
  <si>
    <t>TXGU5563767</t>
  </si>
  <si>
    <t>TRHU5780300</t>
  </si>
  <si>
    <t>TRHU6952018</t>
  </si>
  <si>
    <t>SEKU4091804</t>
  </si>
  <si>
    <t>TWCU8131652</t>
  </si>
  <si>
    <t>JJ-NĐV</t>
  </si>
  <si>
    <t>BMOU6239550</t>
  </si>
  <si>
    <t>TGBU7837988</t>
  </si>
  <si>
    <t>TWCU2175756</t>
  </si>
  <si>
    <t>TWCU2324021</t>
  </si>
  <si>
    <t>TWCU2252847</t>
  </si>
  <si>
    <t>TWCU2099954</t>
  </si>
  <si>
    <t>BMOU6513466</t>
  </si>
  <si>
    <t>TWCU8217972</t>
  </si>
  <si>
    <t>TWCU8110773</t>
  </si>
  <si>
    <t>TWCU8099714</t>
  </si>
  <si>
    <t>BEAU5895210</t>
  </si>
  <si>
    <t>TWCU8091333</t>
  </si>
  <si>
    <t>TWCU4074195</t>
  </si>
  <si>
    <t>CAAU94137708</t>
  </si>
  <si>
    <t>SEKU4545450</t>
  </si>
  <si>
    <t>BEAU4345420</t>
  </si>
  <si>
    <t>TWCU8272408</t>
  </si>
  <si>
    <t>TWCU808616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</si>
</sst>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\ _₫_-;\-* #,##0\ _₫_-;_-* &quot;-&quot;??\ _₫_-;_-@_-"/>
    <numFmt numFmtId="166" formatCode="_(* #,##0_);_(* \(#,##0\);_(* &quot;-&quot;??_);_(@_)"/>
    <numFmt numFmtId="167" formatCode="&quot;$&quot;#,##0.00"/>
    <numFmt numFmtId="168" formatCode="#,##0\ _₫"/>
    <numFmt numFmtId="169" formatCode="[$-1010000]d/m/yyyy;@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VNI-Times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33CC"/>
      <name val="Times New Roman"/>
      <family val="1"/>
    </font>
    <font>
      <b/>
      <sz val="12"/>
      <color rgb="FF003366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Times New Roman"/>
      <family val="1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sz val="12"/>
      <color rgb="FFFF0000"/>
      <name val="Times New Roman"/>
      <family val="1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name val="Times New Roman"/>
      <family val="1"/>
      <scheme val="major"/>
    </font>
    <font>
      <sz val="12"/>
      <color rgb="FF101011"/>
      <name val="Times New Roman"/>
      <family val="1"/>
      <scheme val="maj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  <scheme val="major"/>
    </font>
    <font>
      <b/>
      <sz val="12"/>
      <name val="Times New Roman"/>
      <family val="1"/>
      <scheme val="major"/>
    </font>
    <font>
      <i/>
      <sz val="12"/>
      <color theme="1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2"/>
      <color rgb="FF081B3A"/>
      <name val="Times New Roman"/>
      <family val="1"/>
    </font>
    <font>
      <sz val="14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18" fillId="0" borderId="0"/>
    <xf numFmtId="43" fontId="1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</cellStyleXfs>
  <cellXfs count="239">
    <xf numFmtId="0" fontId="0" fillId="0" borderId="0" xfId="0"/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vertical="center"/>
    </xf>
    <xf numFmtId="0" fontId="4" fillId="2" borderId="0" xfId="0" applyFont="1" applyFill="1"/>
    <xf numFmtId="166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/>
    </xf>
    <xf numFmtId="166" fontId="4" fillId="2" borderId="0" xfId="1" applyNumberFormat="1" applyFont="1" applyFill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166" fontId="8" fillId="2" borderId="0" xfId="0" applyNumberFormat="1" applyFont="1" applyFill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3" fillId="2" borderId="0" xfId="0" applyFont="1" applyFill="1"/>
    <xf numFmtId="165" fontId="3" fillId="2" borderId="0" xfId="1" applyNumberFormat="1" applyFont="1" applyFill="1"/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0" fontId="10" fillId="2" borderId="0" xfId="0" applyFont="1" applyFill="1" applyAlignment="1">
      <alignment vertical="top" wrapText="1"/>
    </xf>
    <xf numFmtId="165" fontId="8" fillId="2" borderId="0" xfId="1" applyNumberFormat="1" applyFont="1" applyFill="1"/>
    <xf numFmtId="165" fontId="4" fillId="2" borderId="0" xfId="1" applyNumberFormat="1" applyFont="1" applyFill="1"/>
    <xf numFmtId="166" fontId="4" fillId="2" borderId="0" xfId="1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2" fillId="2" borderId="0" xfId="2" applyFont="1" applyFill="1" applyAlignment="1" applyProtection="1">
      <alignment horizontal="center"/>
      <protection hidden="1"/>
    </xf>
    <xf numFmtId="0" fontId="3" fillId="2" borderId="0" xfId="2" applyFont="1" applyFill="1" applyAlignment="1" applyProtection="1">
      <alignment horizontal="center"/>
      <protection hidden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2" applyFont="1" applyFill="1" applyProtection="1">
      <protection hidden="1"/>
    </xf>
    <xf numFmtId="0" fontId="13" fillId="2" borderId="0" xfId="2" applyFont="1" applyFill="1" applyProtection="1">
      <protection hidden="1"/>
    </xf>
    <xf numFmtId="0" fontId="3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167" fontId="5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0" fillId="2" borderId="0" xfId="0" applyFill="1"/>
    <xf numFmtId="14" fontId="14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68" fontId="14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168" fontId="14" fillId="2" borderId="3" xfId="1" applyNumberFormat="1" applyFont="1" applyFill="1" applyBorder="1" applyAlignment="1">
      <alignment horizontal="center" vertical="center"/>
    </xf>
    <xf numFmtId="14" fontId="15" fillId="3" borderId="3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/>
    </xf>
    <xf numFmtId="168" fontId="15" fillId="3" borderId="3" xfId="0" applyNumberFormat="1" applyFont="1" applyFill="1" applyBorder="1" applyAlignment="1">
      <alignment horizontal="center" vertical="center"/>
    </xf>
    <xf numFmtId="168" fontId="15" fillId="3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/>
    </xf>
    <xf numFmtId="0" fontId="14" fillId="2" borderId="3" xfId="0" quotePrefix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vertical="center"/>
    </xf>
    <xf numFmtId="166" fontId="4" fillId="2" borderId="3" xfId="1" applyNumberFormat="1" applyFont="1" applyFill="1" applyBorder="1" applyAlignment="1">
      <alignment vertical="center"/>
    </xf>
    <xf numFmtId="0" fontId="6" fillId="2" borderId="3" xfId="0" applyFont="1" applyFill="1" applyBorder="1"/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/>
    </xf>
    <xf numFmtId="0" fontId="8" fillId="2" borderId="3" xfId="0" applyFont="1" applyFill="1" applyBorder="1"/>
    <xf numFmtId="166" fontId="17" fillId="2" borderId="3" xfId="1" applyNumberFormat="1" applyFont="1" applyFill="1" applyBorder="1"/>
    <xf numFmtId="0" fontId="14" fillId="2" borderId="3" xfId="3" applyFont="1" applyFill="1" applyBorder="1" applyAlignment="1">
      <alignment horizontal="center" vertical="center" wrapText="1"/>
    </xf>
    <xf numFmtId="0" fontId="14" fillId="2" borderId="3" xfId="3" applyFont="1" applyFill="1" applyBorder="1" applyAlignment="1">
      <alignment horizontal="center" vertical="center"/>
    </xf>
    <xf numFmtId="14" fontId="14" fillId="2" borderId="3" xfId="3" applyNumberFormat="1" applyFont="1" applyFill="1" applyBorder="1" applyAlignment="1">
      <alignment horizontal="center"/>
    </xf>
    <xf numFmtId="0" fontId="14" fillId="2" borderId="3" xfId="3" applyFont="1" applyFill="1" applyBorder="1" applyAlignment="1">
      <alignment horizontal="center"/>
    </xf>
    <xf numFmtId="0" fontId="14" fillId="2" borderId="3" xfId="3" quotePrefix="1" applyFont="1" applyFill="1" applyBorder="1" applyAlignment="1">
      <alignment horizontal="center"/>
    </xf>
    <xf numFmtId="0" fontId="15" fillId="4" borderId="3" xfId="3" applyFont="1" applyFill="1" applyBorder="1" applyAlignment="1">
      <alignment horizontal="center"/>
    </xf>
    <xf numFmtId="0" fontId="14" fillId="3" borderId="3" xfId="3" applyFont="1" applyFill="1" applyBorder="1" applyAlignment="1">
      <alignment horizontal="center"/>
    </xf>
    <xf numFmtId="14" fontId="15" fillId="4" borderId="3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4" fillId="0" borderId="3" xfId="3" applyFont="1" applyBorder="1" applyAlignment="1">
      <alignment horizontal="center" wrapText="1"/>
    </xf>
    <xf numFmtId="0" fontId="14" fillId="2" borderId="3" xfId="3" applyFont="1" applyFill="1" applyBorder="1" applyAlignment="1">
      <alignment horizontal="center" wrapText="1"/>
    </xf>
    <xf numFmtId="0" fontId="14" fillId="2" borderId="3" xfId="1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wrapText="1"/>
    </xf>
    <xf numFmtId="0" fontId="14" fillId="2" borderId="2" xfId="3" applyFont="1" applyFill="1" applyBorder="1" applyAlignment="1">
      <alignment horizontal="center" vertical="center"/>
    </xf>
    <xf numFmtId="0" fontId="14" fillId="2" borderId="4" xfId="3" applyFont="1" applyFill="1" applyBorder="1" applyAlignment="1">
      <alignment horizontal="center"/>
    </xf>
    <xf numFmtId="0" fontId="14" fillId="2" borderId="3" xfId="8" applyFont="1" applyFill="1" applyBorder="1" applyAlignment="1">
      <alignment horizontal="center"/>
    </xf>
    <xf numFmtId="0" fontId="14" fillId="2" borderId="3" xfId="8" applyFont="1" applyFill="1" applyBorder="1" applyAlignment="1">
      <alignment horizontal="center" vertical="center"/>
    </xf>
    <xf numFmtId="168" fontId="14" fillId="2" borderId="3" xfId="8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3" fontId="14" fillId="2" borderId="3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/>
    </xf>
    <xf numFmtId="169" fontId="14" fillId="2" borderId="3" xfId="0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169" fontId="14" fillId="2" borderId="3" xfId="0" applyNumberFormat="1" applyFont="1" applyFill="1" applyBorder="1" applyAlignment="1">
      <alignment horizontal="center" vertical="center"/>
    </xf>
    <xf numFmtId="0" fontId="15" fillId="2" borderId="3" xfId="5" applyFont="1" applyFill="1" applyBorder="1" applyAlignment="1">
      <alignment horizontal="center"/>
    </xf>
    <xf numFmtId="0" fontId="15" fillId="3" borderId="3" xfId="5" applyFont="1" applyFill="1" applyBorder="1" applyAlignment="1">
      <alignment horizontal="center" vertical="center"/>
    </xf>
    <xf numFmtId="11" fontId="14" fillId="2" borderId="3" xfId="0" applyNumberFormat="1" applyFont="1" applyFill="1" applyBorder="1" applyAlignment="1">
      <alignment horizontal="center"/>
    </xf>
    <xf numFmtId="168" fontId="14" fillId="2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4" fontId="14" fillId="5" borderId="3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168" fontId="15" fillId="6" borderId="3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4" fillId="5" borderId="0" xfId="2" applyFont="1" applyFill="1" applyProtection="1">
      <protection hidden="1"/>
    </xf>
    <xf numFmtId="0" fontId="13" fillId="5" borderId="0" xfId="2" applyFont="1" applyFill="1" applyProtection="1">
      <protection hidden="1"/>
    </xf>
    <xf numFmtId="14" fontId="14" fillId="3" borderId="3" xfId="0" applyNumberFormat="1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14" fontId="14" fillId="7" borderId="3" xfId="0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168" fontId="14" fillId="8" borderId="3" xfId="0" applyNumberFormat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8" borderId="0" xfId="2" applyFont="1" applyFill="1" applyProtection="1">
      <protection hidden="1"/>
    </xf>
    <xf numFmtId="0" fontId="13" fillId="8" borderId="0" xfId="2" applyFont="1" applyFill="1" applyProtection="1">
      <protection hidden="1"/>
    </xf>
    <xf numFmtId="0" fontId="14" fillId="9" borderId="3" xfId="3" quotePrefix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168" fontId="14" fillId="2" borderId="3" xfId="9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168" fontId="4" fillId="2" borderId="3" xfId="0" applyNumberFormat="1" applyFont="1" applyFill="1" applyBorder="1" applyAlignment="1">
      <alignment horizontal="center" vertical="center" wrapText="1"/>
    </xf>
    <xf numFmtId="3" fontId="22" fillId="3" borderId="3" xfId="0" applyNumberFormat="1" applyFont="1" applyFill="1" applyBorder="1" applyAlignment="1">
      <alignment horizontal="center"/>
    </xf>
    <xf numFmtId="14" fontId="8" fillId="2" borderId="3" xfId="5" applyNumberFormat="1" applyFont="1" applyFill="1" applyBorder="1" applyAlignment="1">
      <alignment horizontal="center"/>
    </xf>
    <xf numFmtId="0" fontId="8" fillId="2" borderId="3" xfId="5" applyFont="1" applyFill="1" applyBorder="1" applyAlignment="1">
      <alignment horizontal="center"/>
    </xf>
    <xf numFmtId="14" fontId="8" fillId="2" borderId="3" xfId="0" applyNumberFormat="1" applyFont="1" applyFill="1" applyBorder="1" applyAlignment="1">
      <alignment horizontal="center"/>
    </xf>
    <xf numFmtId="0" fontId="8" fillId="2" borderId="3" xfId="0" quotePrefix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5" xfId="0" quotePrefix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14" fontId="14" fillId="10" borderId="3" xfId="0" applyNumberFormat="1" applyFont="1" applyFill="1" applyBorder="1" applyAlignment="1">
      <alignment horizontal="center"/>
    </xf>
    <xf numFmtId="0" fontId="14" fillId="10" borderId="3" xfId="0" quotePrefix="1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/>
    </xf>
    <xf numFmtId="168" fontId="14" fillId="10" borderId="3" xfId="0" applyNumberFormat="1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  <xf numFmtId="166" fontId="24" fillId="2" borderId="3" xfId="0" applyNumberFormat="1" applyFont="1" applyFill="1" applyBorder="1" applyAlignment="1">
      <alignment vertical="center"/>
    </xf>
    <xf numFmtId="166" fontId="20" fillId="2" borderId="3" xfId="1" applyNumberFormat="1" applyFont="1" applyFill="1" applyBorder="1" applyAlignment="1">
      <alignment vertical="center"/>
    </xf>
    <xf numFmtId="0" fontId="25" fillId="2" borderId="3" xfId="0" applyFont="1" applyFill="1" applyBorder="1"/>
    <xf numFmtId="0" fontId="25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/>
    </xf>
    <xf numFmtId="0" fontId="14" fillId="2" borderId="3" xfId="0" applyFont="1" applyFill="1" applyBorder="1"/>
    <xf numFmtId="166" fontId="26" fillId="2" borderId="3" xfId="1" applyNumberFormat="1" applyFont="1" applyFill="1" applyBorder="1"/>
    <xf numFmtId="166" fontId="14" fillId="2" borderId="0" xfId="0" applyNumberFormat="1" applyFont="1" applyFill="1"/>
    <xf numFmtId="0" fontId="15" fillId="2" borderId="3" xfId="0" applyFont="1" applyFill="1" applyBorder="1" applyAlignment="1">
      <alignment horizontal="center"/>
    </xf>
    <xf numFmtId="0" fontId="14" fillId="2" borderId="3" xfId="1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168" fontId="14" fillId="2" borderId="0" xfId="9" applyNumberFormat="1" applyFont="1" applyFill="1" applyBorder="1" applyAlignment="1">
      <alignment horizontal="center" vertical="center"/>
    </xf>
    <xf numFmtId="166" fontId="24" fillId="2" borderId="0" xfId="0" applyNumberFormat="1" applyFont="1" applyFill="1" applyAlignment="1">
      <alignment vertical="center"/>
    </xf>
    <xf numFmtId="168" fontId="14" fillId="9" borderId="3" xfId="9" applyNumberFormat="1" applyFont="1" applyFill="1" applyBorder="1" applyAlignment="1">
      <alignment horizontal="center" vertical="center"/>
    </xf>
    <xf numFmtId="168" fontId="14" fillId="12" borderId="3" xfId="9" applyNumberFormat="1" applyFont="1" applyFill="1" applyBorder="1" applyAlignment="1">
      <alignment horizontal="center" vertical="center"/>
    </xf>
    <xf numFmtId="3" fontId="15" fillId="13" borderId="6" xfId="0" applyNumberFormat="1" applyFont="1" applyFill="1" applyBorder="1" applyAlignment="1">
      <alignment horizontal="center"/>
    </xf>
    <xf numFmtId="3" fontId="22" fillId="3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68" fontId="14" fillId="2" borderId="6" xfId="9" applyNumberFormat="1" applyFont="1" applyFill="1" applyBorder="1" applyAlignment="1">
      <alignment horizontal="center" vertical="center"/>
    </xf>
    <xf numFmtId="168" fontId="14" fillId="2" borderId="6" xfId="0" applyNumberFormat="1" applyFont="1" applyFill="1" applyBorder="1" applyAlignment="1">
      <alignment horizontal="center"/>
    </xf>
    <xf numFmtId="166" fontId="24" fillId="2" borderId="6" xfId="0" applyNumberFormat="1" applyFont="1" applyFill="1" applyBorder="1" applyAlignment="1">
      <alignment vertical="center"/>
    </xf>
    <xf numFmtId="0" fontId="14" fillId="2" borderId="6" xfId="0" applyFont="1" applyFill="1" applyBorder="1"/>
    <xf numFmtId="166" fontId="4" fillId="2" borderId="3" xfId="1" applyNumberFormat="1" applyFont="1" applyFill="1" applyBorder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8" fillId="2" borderId="0" xfId="0" applyFont="1" applyFill="1"/>
    <xf numFmtId="0" fontId="14" fillId="2" borderId="7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3" fontId="15" fillId="3" borderId="8" xfId="0" applyNumberFormat="1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 wrapText="1"/>
    </xf>
    <xf numFmtId="14" fontId="14" fillId="2" borderId="2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vertical="top" wrapText="1"/>
    </xf>
    <xf numFmtId="3" fontId="8" fillId="2" borderId="0" xfId="0" applyNumberFormat="1" applyFont="1" applyFill="1"/>
    <xf numFmtId="3" fontId="4" fillId="2" borderId="0" xfId="0" applyNumberFormat="1" applyFont="1" applyFill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 wrapText="1"/>
    </xf>
    <xf numFmtId="3" fontId="8" fillId="2" borderId="6" xfId="0" applyNumberFormat="1" applyFont="1" applyFill="1" applyBorder="1" applyAlignment="1">
      <alignment horizontal="center" vertical="center"/>
    </xf>
    <xf numFmtId="3" fontId="4" fillId="2" borderId="0" xfId="0" applyNumberFormat="1" applyFont="1" applyFill="1"/>
    <xf numFmtId="3" fontId="18" fillId="2" borderId="0" xfId="0" applyNumberFormat="1" applyFont="1" applyFill="1"/>
    <xf numFmtId="0" fontId="8" fillId="0" borderId="3" xfId="0" applyFont="1" applyBorder="1" applyAlignment="1">
      <alignment horizontal="center"/>
    </xf>
    <xf numFmtId="3" fontId="22" fillId="0" borderId="6" xfId="0" applyNumberFormat="1" applyFont="1" applyBorder="1" applyAlignment="1">
      <alignment horizontal="center"/>
    </xf>
    <xf numFmtId="3" fontId="15" fillId="14" borderId="8" xfId="0" applyNumberFormat="1" applyFont="1" applyFill="1" applyBorder="1" applyAlignment="1">
      <alignment horizontal="center"/>
    </xf>
    <xf numFmtId="3" fontId="22" fillId="15" borderId="6" xfId="0" applyNumberFormat="1" applyFont="1" applyFill="1" applyBorder="1" applyAlignment="1">
      <alignment horizontal="center"/>
    </xf>
    <xf numFmtId="3" fontId="8" fillId="15" borderId="6" xfId="0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vertical="center"/>
    </xf>
    <xf numFmtId="166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 wrapText="1"/>
    </xf>
    <xf numFmtId="0" fontId="8" fillId="2" borderId="0" xfId="2" applyFont="1" applyFill="1" applyProtection="1">
      <protection hidden="1"/>
    </xf>
    <xf numFmtId="0" fontId="9" fillId="2" borderId="0" xfId="0" applyFont="1" applyFill="1" applyAlignment="1">
      <alignment horizontal="right"/>
    </xf>
    <xf numFmtId="167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4" fillId="0" borderId="5" xfId="0" applyFont="1" applyBorder="1" applyAlignment="1">
      <alignment horizontal="center" vertical="center"/>
    </xf>
    <xf numFmtId="166" fontId="23" fillId="2" borderId="0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166" fontId="20" fillId="2" borderId="0" xfId="1" applyNumberFormat="1" applyFont="1" applyFill="1" applyBorder="1" applyAlignment="1">
      <alignment vertical="center"/>
    </xf>
    <xf numFmtId="166" fontId="26" fillId="2" borderId="0" xfId="1" applyNumberFormat="1" applyFont="1" applyFill="1" applyBorder="1"/>
    <xf numFmtId="0" fontId="28" fillId="0" borderId="3" xfId="0" applyFont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wrapText="1"/>
    </xf>
    <xf numFmtId="3" fontId="22" fillId="6" borderId="6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166" fontId="23" fillId="2" borderId="3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3" fontId="3" fillId="2" borderId="0" xfId="0" applyNumberFormat="1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166" fontId="23" fillId="2" borderId="3" xfId="1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14" fontId="14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wrapText="1"/>
    </xf>
    <xf numFmtId="0" fontId="25" fillId="2" borderId="3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15" fillId="3" borderId="3" xfId="0" applyNumberFormat="1" applyFont="1" applyFill="1" applyBorder="1" applyAlignment="1">
      <alignment horizontal="center"/>
    </xf>
  </cellXfs>
  <cellStyles count="11">
    <cellStyle name="Comma" xfId="1" builtinId="3"/>
    <cellStyle name="Comma 2" xfId="9" xr:uid="{5FD7C681-A670-4ABD-BF5B-02F9A295A4BC}"/>
    <cellStyle name="Comma 3" xfId="6" xr:uid="{52781477-38EB-41F5-8717-7AB40045F5EE}"/>
    <cellStyle name="Comma 4" xfId="4" xr:uid="{3AF8A13E-FB1B-4CD3-B2BD-DC8D41BACCEB}"/>
    <cellStyle name="Normal" xfId="0" builtinId="0"/>
    <cellStyle name="Normal 2" xfId="7" xr:uid="{798C9F83-1AEB-4C8A-8E4D-8B2297E9472D}"/>
    <cellStyle name="Normal 3" xfId="8" xr:uid="{8888B946-B9A2-4050-92C9-4E3D53BA17CE}"/>
    <cellStyle name="Normal 4" xfId="5" xr:uid="{4E21A5C8-0BB3-4356-A17B-939643538730}"/>
    <cellStyle name="Normal 5" xfId="10" xr:uid="{CC8AD72D-7E7A-4434-9DAB-258C7C83A58E}"/>
    <cellStyle name="Normal 6" xfId="3" xr:uid="{EB9DEEB5-225C-462E-88E9-BAAAEACADE31}"/>
    <cellStyle name="Normal_DocSoUnicode" xfId="2" xr:uid="{00000000-0005-0000-0000-000002000000}"/>
  </cellStyles>
  <dxfs count="28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2026\TH&#193;NG%201\CHECK%20GMD\IMPORT%20LIST%20OF%20MV%20MSC%20NEW%20JERSEY%20III%20-%20HV551R%2031.12.xlsx" TargetMode="External"/><Relationship Id="rId1" Type="http://schemas.openxmlformats.org/officeDocument/2006/relationships/externalLinkPath" Target="file:///G:\My%20Drive\2026\TH&#193;NG%201\CHECK%20GMD\IMPORT%20LIST%20OF%20MV%20MSC%20NEW%20JERSEY%20III%20-%20HV551R%2031.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2025\TH&#193;NG%2012.25\CHECK%20SJJ\GLORY%20SHANGHAI%20V.2551SN%2030.12%20(PL).xlsx" TargetMode="External"/><Relationship Id="rId1" Type="http://schemas.openxmlformats.org/officeDocument/2006/relationships/externalLinkPath" Target="file:///G:\My%20Drive\2025\TH&#193;NG%2012.25\CHECK%20SJJ\GLORY%20SHANGHAI%20V.2551SN%2030.12%20(P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gatang"/>
      <sheetName val="Container List"/>
      <sheetName val="ROB"/>
      <sheetName val="Sheet4"/>
    </sheetNames>
    <sheetDataSet>
      <sheetData sheetId="0"/>
      <sheetData sheetId="1">
        <row r="18">
          <cell r="C18" t="str">
            <v>MSDU4816688</v>
          </cell>
          <cell r="G18">
            <v>4200</v>
          </cell>
        </row>
        <row r="19">
          <cell r="C19" t="str">
            <v>MSBU4019429</v>
          </cell>
          <cell r="G19">
            <v>4200</v>
          </cell>
        </row>
        <row r="20">
          <cell r="C20" t="str">
            <v>MSDU4331389</v>
          </cell>
          <cell r="G20">
            <v>4200</v>
          </cell>
        </row>
        <row r="21">
          <cell r="C21" t="str">
            <v>MSDU4270690</v>
          </cell>
          <cell r="G21">
            <v>4200</v>
          </cell>
        </row>
        <row r="22">
          <cell r="C22" t="str">
            <v>MSDU4507293</v>
          </cell>
          <cell r="G22">
            <v>4200</v>
          </cell>
        </row>
        <row r="23">
          <cell r="C23" t="str">
            <v>MSDU4723116</v>
          </cell>
          <cell r="G23">
            <v>4200</v>
          </cell>
        </row>
        <row r="24">
          <cell r="C24" t="str">
            <v>MEDU4151800</v>
          </cell>
          <cell r="G24">
            <v>4200</v>
          </cell>
        </row>
        <row r="25">
          <cell r="C25" t="str">
            <v>CLHU4518957</v>
          </cell>
          <cell r="G25">
            <v>4200</v>
          </cell>
        </row>
        <row r="26">
          <cell r="C26" t="str">
            <v>MSDU4501490</v>
          </cell>
          <cell r="G26">
            <v>4200</v>
          </cell>
        </row>
        <row r="27">
          <cell r="C27" t="str">
            <v>MSCU4490978</v>
          </cell>
          <cell r="G27">
            <v>4200</v>
          </cell>
        </row>
        <row r="28">
          <cell r="C28" t="str">
            <v>MSDU4008036</v>
          </cell>
          <cell r="G28">
            <v>4200</v>
          </cell>
        </row>
        <row r="29">
          <cell r="C29" t="str">
            <v>MSDU4711347</v>
          </cell>
          <cell r="G29">
            <v>4200</v>
          </cell>
        </row>
        <row r="30">
          <cell r="C30" t="str">
            <v>TCKU4514457</v>
          </cell>
          <cell r="G30">
            <v>4200</v>
          </cell>
        </row>
        <row r="31">
          <cell r="C31" t="str">
            <v>TTNU4701408</v>
          </cell>
          <cell r="G31">
            <v>4200</v>
          </cell>
        </row>
        <row r="32">
          <cell r="C32" t="str">
            <v>MSDU4068349</v>
          </cell>
          <cell r="G32">
            <v>4200</v>
          </cell>
        </row>
        <row r="33">
          <cell r="C33" t="str">
            <v>MSCU5989093</v>
          </cell>
          <cell r="G33">
            <v>4200</v>
          </cell>
        </row>
        <row r="34">
          <cell r="C34" t="str">
            <v>TCLU5386234</v>
          </cell>
          <cell r="G34">
            <v>4200</v>
          </cell>
        </row>
        <row r="35">
          <cell r="C35" t="str">
            <v>MSDU4152790</v>
          </cell>
          <cell r="G35">
            <v>4200</v>
          </cell>
        </row>
        <row r="36">
          <cell r="C36" t="str">
            <v>MSDU4284435</v>
          </cell>
          <cell r="G36">
            <v>4200</v>
          </cell>
        </row>
        <row r="37">
          <cell r="C37" t="str">
            <v>MSDU4690250</v>
          </cell>
          <cell r="G37">
            <v>4200</v>
          </cell>
        </row>
        <row r="38">
          <cell r="C38" t="str">
            <v>FCLU9416354</v>
          </cell>
          <cell r="G38">
            <v>4200</v>
          </cell>
        </row>
        <row r="39">
          <cell r="C39" t="str">
            <v>BSIU4072388</v>
          </cell>
          <cell r="G39">
            <v>4200</v>
          </cell>
        </row>
        <row r="40">
          <cell r="C40" t="str">
            <v>TGHU4447170</v>
          </cell>
          <cell r="G40">
            <v>4200</v>
          </cell>
        </row>
        <row r="41">
          <cell r="C41" t="str">
            <v>MSCU4834625</v>
          </cell>
          <cell r="G41">
            <v>4200</v>
          </cell>
        </row>
        <row r="42">
          <cell r="C42" t="str">
            <v>MSDU4359600</v>
          </cell>
          <cell r="G42">
            <v>4200</v>
          </cell>
        </row>
        <row r="43">
          <cell r="C43" t="str">
            <v>MSDU4126379</v>
          </cell>
          <cell r="G43">
            <v>4200</v>
          </cell>
        </row>
        <row r="44">
          <cell r="C44" t="str">
            <v>FSCU4929214</v>
          </cell>
          <cell r="G44">
            <v>4200</v>
          </cell>
        </row>
        <row r="45">
          <cell r="C45" t="str">
            <v>TRLU6381494</v>
          </cell>
          <cell r="G45">
            <v>4200</v>
          </cell>
        </row>
        <row r="46">
          <cell r="C46" t="str">
            <v>MEDU4295474</v>
          </cell>
          <cell r="G46">
            <v>4200</v>
          </cell>
        </row>
        <row r="47">
          <cell r="C47" t="str">
            <v>GLDU4059040</v>
          </cell>
          <cell r="G47">
            <v>4200</v>
          </cell>
        </row>
        <row r="48">
          <cell r="C48" t="str">
            <v>MSBU4094470</v>
          </cell>
          <cell r="G48">
            <v>4200</v>
          </cell>
        </row>
        <row r="49">
          <cell r="C49" t="str">
            <v>MSDU4594852</v>
          </cell>
          <cell r="G49">
            <v>4200</v>
          </cell>
        </row>
        <row r="50">
          <cell r="C50" t="str">
            <v>MSCU4435760</v>
          </cell>
          <cell r="G50">
            <v>4200</v>
          </cell>
        </row>
        <row r="51">
          <cell r="C51" t="str">
            <v>MSDU4029569</v>
          </cell>
          <cell r="G51">
            <v>4200</v>
          </cell>
        </row>
        <row r="52">
          <cell r="C52" t="str">
            <v>MEDU4324314</v>
          </cell>
          <cell r="G52">
            <v>4200</v>
          </cell>
        </row>
        <row r="53">
          <cell r="C53" t="str">
            <v>MSDU4544126</v>
          </cell>
          <cell r="G53">
            <v>4200</v>
          </cell>
        </row>
        <row r="54">
          <cell r="C54" t="str">
            <v>MSDU4107018</v>
          </cell>
          <cell r="G54">
            <v>4200</v>
          </cell>
        </row>
        <row r="55">
          <cell r="C55" t="str">
            <v>TTNU4287670</v>
          </cell>
          <cell r="G55">
            <v>4200</v>
          </cell>
        </row>
        <row r="56">
          <cell r="C56" t="str">
            <v>MSCU5705469</v>
          </cell>
          <cell r="G56">
            <v>4200</v>
          </cell>
        </row>
        <row r="57">
          <cell r="C57" t="str">
            <v>MSCU4650823</v>
          </cell>
          <cell r="G57">
            <v>4200</v>
          </cell>
        </row>
        <row r="58">
          <cell r="C58" t="str">
            <v>TCLU4443617</v>
          </cell>
          <cell r="G58">
            <v>4200</v>
          </cell>
        </row>
        <row r="59">
          <cell r="C59" t="str">
            <v>MSCU4870725</v>
          </cell>
          <cell r="G59">
            <v>4200</v>
          </cell>
        </row>
        <row r="60">
          <cell r="C60" t="str">
            <v>MSDU4235580</v>
          </cell>
          <cell r="G60">
            <v>4200</v>
          </cell>
        </row>
        <row r="61">
          <cell r="C61" t="str">
            <v>MSDU4138889</v>
          </cell>
          <cell r="G61">
            <v>4200</v>
          </cell>
        </row>
        <row r="62">
          <cell r="C62" t="str">
            <v>TTNU5888762</v>
          </cell>
          <cell r="G62">
            <v>4200</v>
          </cell>
        </row>
        <row r="63">
          <cell r="C63" t="str">
            <v>MSDU4640140</v>
          </cell>
          <cell r="G63">
            <v>4200</v>
          </cell>
        </row>
        <row r="64">
          <cell r="C64" t="str">
            <v>MSBU4087660</v>
          </cell>
          <cell r="G64">
            <v>4200</v>
          </cell>
        </row>
        <row r="65">
          <cell r="C65" t="str">
            <v>MSCU4583983</v>
          </cell>
          <cell r="G65">
            <v>4200</v>
          </cell>
        </row>
        <row r="66">
          <cell r="C66" t="str">
            <v>MEDU4068850</v>
          </cell>
          <cell r="G66">
            <v>4200</v>
          </cell>
        </row>
        <row r="67">
          <cell r="C67" t="str">
            <v>MSDU4446860</v>
          </cell>
          <cell r="G67">
            <v>4200</v>
          </cell>
        </row>
        <row r="68">
          <cell r="C68" t="str">
            <v>MSBU4514171</v>
          </cell>
          <cell r="G68">
            <v>4200</v>
          </cell>
        </row>
        <row r="69">
          <cell r="C69" t="str">
            <v>UESU4282148</v>
          </cell>
          <cell r="G69">
            <v>4200</v>
          </cell>
        </row>
        <row r="70">
          <cell r="C70" t="str">
            <v>MSCU5983372</v>
          </cell>
          <cell r="G70">
            <v>4200</v>
          </cell>
        </row>
        <row r="71">
          <cell r="C71" t="str">
            <v>FSCU4039951</v>
          </cell>
          <cell r="G71">
            <v>4200</v>
          </cell>
        </row>
        <row r="72">
          <cell r="C72" t="str">
            <v>TGHU4697673</v>
          </cell>
          <cell r="G72">
            <v>4200</v>
          </cell>
        </row>
        <row r="73">
          <cell r="C73" t="str">
            <v>MSBU4056361</v>
          </cell>
          <cell r="G73">
            <v>4200</v>
          </cell>
        </row>
        <row r="74">
          <cell r="C74" t="str">
            <v>MSDU4314150</v>
          </cell>
          <cell r="G74">
            <v>4200</v>
          </cell>
        </row>
        <row r="75">
          <cell r="C75" t="str">
            <v>MSBU4128712</v>
          </cell>
          <cell r="G75">
            <v>4200</v>
          </cell>
        </row>
        <row r="76">
          <cell r="C76" t="str">
            <v>MSCU5818510</v>
          </cell>
          <cell r="G76">
            <v>4200</v>
          </cell>
        </row>
        <row r="77">
          <cell r="C77" t="str">
            <v>MSBU4146980</v>
          </cell>
          <cell r="G77">
            <v>4200</v>
          </cell>
        </row>
        <row r="78">
          <cell r="C78" t="str">
            <v>FSCU4767617</v>
          </cell>
          <cell r="G78">
            <v>4200</v>
          </cell>
        </row>
        <row r="79">
          <cell r="C79" t="str">
            <v>FSCU4932579</v>
          </cell>
          <cell r="G79">
            <v>4200</v>
          </cell>
        </row>
        <row r="80">
          <cell r="C80" t="str">
            <v>CLHU4793753</v>
          </cell>
          <cell r="G80">
            <v>4200</v>
          </cell>
        </row>
        <row r="81">
          <cell r="C81" t="str">
            <v>TRLU9469721</v>
          </cell>
          <cell r="G81">
            <v>4200</v>
          </cell>
        </row>
        <row r="82">
          <cell r="C82" t="str">
            <v>MSCU5547466</v>
          </cell>
          <cell r="G82">
            <v>4200</v>
          </cell>
        </row>
        <row r="83">
          <cell r="C83" t="str">
            <v>MSDU4510595</v>
          </cell>
          <cell r="G83">
            <v>4200</v>
          </cell>
        </row>
        <row r="84">
          <cell r="C84" t="str">
            <v>CLHU4506895</v>
          </cell>
          <cell r="G84">
            <v>4200</v>
          </cell>
        </row>
        <row r="85">
          <cell r="C85" t="str">
            <v>MSBU4588050</v>
          </cell>
          <cell r="G85">
            <v>4200</v>
          </cell>
        </row>
        <row r="86">
          <cell r="C86" t="str">
            <v>MEDU4022818</v>
          </cell>
          <cell r="G86">
            <v>4200</v>
          </cell>
        </row>
        <row r="87">
          <cell r="C87" t="str">
            <v>MSBU4092100</v>
          </cell>
          <cell r="G87">
            <v>4200</v>
          </cell>
        </row>
        <row r="88">
          <cell r="C88" t="str">
            <v>MSDU4323315</v>
          </cell>
          <cell r="G88">
            <v>4200</v>
          </cell>
        </row>
        <row r="89">
          <cell r="C89" t="str">
            <v>MSCU5731220</v>
          </cell>
          <cell r="G89">
            <v>4200</v>
          </cell>
        </row>
        <row r="90">
          <cell r="C90" t="str">
            <v>FSCU4940300</v>
          </cell>
          <cell r="G90">
            <v>4200</v>
          </cell>
        </row>
        <row r="91">
          <cell r="C91" t="str">
            <v>TGHU4500362</v>
          </cell>
          <cell r="G91">
            <v>4200</v>
          </cell>
        </row>
        <row r="92">
          <cell r="C92" t="str">
            <v>MSDU4528655</v>
          </cell>
          <cell r="G92">
            <v>4200</v>
          </cell>
        </row>
        <row r="93">
          <cell r="C93" t="str">
            <v>MSDU4487828</v>
          </cell>
          <cell r="G93">
            <v>4200</v>
          </cell>
        </row>
        <row r="94">
          <cell r="C94" t="str">
            <v>MEDU4322651</v>
          </cell>
          <cell r="G94">
            <v>4200</v>
          </cell>
        </row>
        <row r="95">
          <cell r="C95" t="str">
            <v>MSBU4099173</v>
          </cell>
          <cell r="G95">
            <v>4200</v>
          </cell>
        </row>
        <row r="96">
          <cell r="C96" t="str">
            <v>CARU5744493</v>
          </cell>
          <cell r="G96">
            <v>4200</v>
          </cell>
        </row>
        <row r="97">
          <cell r="C97" t="str">
            <v>MSCU5602898</v>
          </cell>
          <cell r="G97">
            <v>4200</v>
          </cell>
        </row>
        <row r="98">
          <cell r="C98" t="str">
            <v>MSDU4511312</v>
          </cell>
          <cell r="G98">
            <v>4200</v>
          </cell>
        </row>
        <row r="99">
          <cell r="C99" t="str">
            <v>CLHU4776524</v>
          </cell>
          <cell r="G99">
            <v>4200</v>
          </cell>
        </row>
        <row r="100">
          <cell r="C100" t="str">
            <v>MSDU4176214</v>
          </cell>
          <cell r="G100">
            <v>4200</v>
          </cell>
        </row>
        <row r="101">
          <cell r="C101" t="str">
            <v>MSCU4393345</v>
          </cell>
          <cell r="G101">
            <v>4200</v>
          </cell>
        </row>
        <row r="102">
          <cell r="C102" t="str">
            <v>MSDU4085752</v>
          </cell>
          <cell r="G102">
            <v>4200</v>
          </cell>
        </row>
        <row r="103">
          <cell r="C103" t="str">
            <v>MSDU4060163</v>
          </cell>
          <cell r="G103">
            <v>4200</v>
          </cell>
        </row>
        <row r="104">
          <cell r="C104" t="str">
            <v>MSBU4122340</v>
          </cell>
          <cell r="G104">
            <v>4200</v>
          </cell>
        </row>
        <row r="105">
          <cell r="C105" t="str">
            <v>MSBU4085020</v>
          </cell>
          <cell r="G105">
            <v>4200</v>
          </cell>
        </row>
        <row r="106">
          <cell r="C106" t="str">
            <v>MSDU4307361</v>
          </cell>
          <cell r="G106">
            <v>4200</v>
          </cell>
        </row>
        <row r="107">
          <cell r="C107" t="str">
            <v>MSBU4020625</v>
          </cell>
          <cell r="G107">
            <v>4200</v>
          </cell>
        </row>
        <row r="108">
          <cell r="C108" t="str">
            <v>TTNU5675387</v>
          </cell>
          <cell r="G108">
            <v>4200</v>
          </cell>
        </row>
        <row r="109">
          <cell r="C109" t="str">
            <v>MEDU4016219</v>
          </cell>
          <cell r="G109">
            <v>4200</v>
          </cell>
        </row>
        <row r="110">
          <cell r="C110" t="str">
            <v>FSCU4715450</v>
          </cell>
          <cell r="G110">
            <v>4200</v>
          </cell>
        </row>
        <row r="111">
          <cell r="C111" t="str">
            <v>TTNU5414613</v>
          </cell>
          <cell r="G111">
            <v>4200</v>
          </cell>
        </row>
        <row r="112">
          <cell r="C112" t="str">
            <v>DFSU4246399</v>
          </cell>
          <cell r="G112">
            <v>4200</v>
          </cell>
        </row>
        <row r="113">
          <cell r="C113" t="str">
            <v>DFSU4277316</v>
          </cell>
          <cell r="G113">
            <v>4200</v>
          </cell>
        </row>
        <row r="114">
          <cell r="C114" t="str">
            <v>MEDU4033556</v>
          </cell>
          <cell r="G114">
            <v>4200</v>
          </cell>
        </row>
        <row r="115">
          <cell r="C115" t="str">
            <v>MSDU4736751</v>
          </cell>
          <cell r="G115">
            <v>4200</v>
          </cell>
        </row>
        <row r="116">
          <cell r="C116" t="str">
            <v>MSDU4370261</v>
          </cell>
          <cell r="G116">
            <v>4200</v>
          </cell>
        </row>
        <row r="117">
          <cell r="C117" t="str">
            <v>MSDU4592926</v>
          </cell>
          <cell r="G117">
            <v>4200</v>
          </cell>
        </row>
        <row r="118">
          <cell r="C118" t="str">
            <v>MSDU4241310</v>
          </cell>
          <cell r="G118">
            <v>4200</v>
          </cell>
        </row>
        <row r="119">
          <cell r="C119" t="str">
            <v>MSBU4597474</v>
          </cell>
          <cell r="G119">
            <v>4200</v>
          </cell>
        </row>
        <row r="120">
          <cell r="C120" t="str">
            <v>MSDU4548440</v>
          </cell>
          <cell r="G120">
            <v>4200</v>
          </cell>
        </row>
        <row r="121">
          <cell r="C121" t="str">
            <v>MSDU4719327</v>
          </cell>
          <cell r="G121">
            <v>4200</v>
          </cell>
        </row>
        <row r="122">
          <cell r="C122" t="str">
            <v>MSDU4193063</v>
          </cell>
          <cell r="G122">
            <v>4200</v>
          </cell>
        </row>
        <row r="123">
          <cell r="C123" t="str">
            <v>MSDU4572220</v>
          </cell>
          <cell r="G123">
            <v>4200</v>
          </cell>
        </row>
        <row r="124">
          <cell r="C124" t="str">
            <v>MSCU4585332</v>
          </cell>
          <cell r="G124">
            <v>4200</v>
          </cell>
        </row>
        <row r="125">
          <cell r="C125" t="str">
            <v>MSDU4064003</v>
          </cell>
          <cell r="G125">
            <v>4200</v>
          </cell>
        </row>
        <row r="126">
          <cell r="C126" t="str">
            <v>MSDU4605392</v>
          </cell>
          <cell r="G126">
            <v>4200</v>
          </cell>
        </row>
        <row r="127">
          <cell r="C127" t="str">
            <v>MSDU4211819</v>
          </cell>
          <cell r="G127">
            <v>4200</v>
          </cell>
        </row>
        <row r="128">
          <cell r="C128" t="str">
            <v>MSDU4061046</v>
          </cell>
          <cell r="G128">
            <v>4200</v>
          </cell>
        </row>
        <row r="129">
          <cell r="C129" t="str">
            <v>MEDU4116898</v>
          </cell>
          <cell r="G129">
            <v>4200</v>
          </cell>
        </row>
        <row r="130">
          <cell r="C130" t="str">
            <v>MEDU4170184</v>
          </cell>
          <cell r="G130">
            <v>4200</v>
          </cell>
        </row>
        <row r="131">
          <cell r="C131" t="str">
            <v>MSCU5550412</v>
          </cell>
          <cell r="G131">
            <v>4200</v>
          </cell>
        </row>
        <row r="132">
          <cell r="C132" t="str">
            <v>MSDU4719008</v>
          </cell>
          <cell r="G132">
            <v>4200</v>
          </cell>
        </row>
        <row r="133">
          <cell r="C133" t="str">
            <v>MEDU4204860</v>
          </cell>
          <cell r="G133">
            <v>4200</v>
          </cell>
        </row>
        <row r="134">
          <cell r="C134" t="str">
            <v>MSBU4590124</v>
          </cell>
          <cell r="G134">
            <v>4200</v>
          </cell>
        </row>
        <row r="135">
          <cell r="C135" t="str">
            <v>TTNU5278625</v>
          </cell>
          <cell r="G135">
            <v>4200</v>
          </cell>
        </row>
        <row r="136">
          <cell r="C136" t="str">
            <v>MSCU5737527</v>
          </cell>
          <cell r="G136">
            <v>4200</v>
          </cell>
        </row>
        <row r="137">
          <cell r="C137" t="str">
            <v>MSDU4520572</v>
          </cell>
          <cell r="G137">
            <v>4200</v>
          </cell>
        </row>
        <row r="138">
          <cell r="C138" t="str">
            <v>BMOU3093190</v>
          </cell>
          <cell r="G138">
            <v>4200</v>
          </cell>
        </row>
        <row r="139">
          <cell r="C139" t="str">
            <v>MEDU4214364</v>
          </cell>
          <cell r="G139">
            <v>4200</v>
          </cell>
        </row>
        <row r="140">
          <cell r="C140" t="str">
            <v>MSDU4335466</v>
          </cell>
          <cell r="G140">
            <v>4200</v>
          </cell>
        </row>
        <row r="141">
          <cell r="C141" t="str">
            <v>MSDU4109108</v>
          </cell>
          <cell r="G141">
            <v>4200</v>
          </cell>
        </row>
        <row r="142">
          <cell r="C142" t="str">
            <v>CAXU7307116</v>
          </cell>
          <cell r="G142">
            <v>4200</v>
          </cell>
        </row>
        <row r="143">
          <cell r="C143" t="str">
            <v>MSDU4646703</v>
          </cell>
          <cell r="G143">
            <v>4200</v>
          </cell>
        </row>
        <row r="144">
          <cell r="C144" t="str">
            <v>TRLU4844157</v>
          </cell>
          <cell r="G144">
            <v>4200</v>
          </cell>
        </row>
        <row r="145">
          <cell r="C145" t="str">
            <v>TTNU4558750</v>
          </cell>
          <cell r="G145">
            <v>4200</v>
          </cell>
        </row>
        <row r="146">
          <cell r="C146" t="str">
            <v>BSIU4037936</v>
          </cell>
          <cell r="G146">
            <v>4200</v>
          </cell>
        </row>
        <row r="147">
          <cell r="C147" t="str">
            <v>MSDU4009156</v>
          </cell>
          <cell r="G147">
            <v>4200</v>
          </cell>
        </row>
        <row r="148">
          <cell r="C148" t="str">
            <v>TTNU4435334</v>
          </cell>
          <cell r="G148">
            <v>4200</v>
          </cell>
        </row>
        <row r="149">
          <cell r="C149" t="str">
            <v>BMOU3007119</v>
          </cell>
          <cell r="G149">
            <v>4200</v>
          </cell>
        </row>
        <row r="150">
          <cell r="C150" t="str">
            <v>CAIU4102337</v>
          </cell>
          <cell r="G150">
            <v>4200</v>
          </cell>
        </row>
        <row r="151">
          <cell r="C151" t="str">
            <v>TTNU5345338</v>
          </cell>
          <cell r="G151">
            <v>4200</v>
          </cell>
        </row>
        <row r="152">
          <cell r="C152" t="str">
            <v>MSDU4816570</v>
          </cell>
          <cell r="G152">
            <v>4200</v>
          </cell>
        </row>
        <row r="153">
          <cell r="C153" t="str">
            <v>TTNU4092261</v>
          </cell>
          <cell r="G153">
            <v>4200</v>
          </cell>
        </row>
        <row r="154">
          <cell r="C154" t="str">
            <v>MSDU4672240</v>
          </cell>
          <cell r="G154">
            <v>4200</v>
          </cell>
        </row>
        <row r="155">
          <cell r="C155" t="str">
            <v>DRYU4027804</v>
          </cell>
          <cell r="G155">
            <v>4200</v>
          </cell>
        </row>
        <row r="156">
          <cell r="C156" t="str">
            <v>TCLU4042070</v>
          </cell>
          <cell r="G156">
            <v>4200</v>
          </cell>
        </row>
        <row r="157">
          <cell r="C157" t="str">
            <v>MSBU4008430</v>
          </cell>
          <cell r="G157">
            <v>4200</v>
          </cell>
        </row>
        <row r="158">
          <cell r="C158" t="str">
            <v>CAIU4143280</v>
          </cell>
          <cell r="G158">
            <v>4200</v>
          </cell>
        </row>
        <row r="159">
          <cell r="C159" t="str">
            <v>MSBU4594264</v>
          </cell>
          <cell r="G159">
            <v>4200</v>
          </cell>
        </row>
        <row r="160">
          <cell r="C160" t="str">
            <v>MSDU4290382</v>
          </cell>
          <cell r="G160">
            <v>4200</v>
          </cell>
        </row>
        <row r="161">
          <cell r="C161" t="str">
            <v>MSDU4077459</v>
          </cell>
          <cell r="G161">
            <v>4200</v>
          </cell>
        </row>
        <row r="162">
          <cell r="C162" t="str">
            <v>MSDU4312542</v>
          </cell>
          <cell r="G162">
            <v>4200</v>
          </cell>
        </row>
        <row r="163">
          <cell r="C163" t="str">
            <v>MSDU4227306</v>
          </cell>
          <cell r="G163">
            <v>4200</v>
          </cell>
        </row>
        <row r="164">
          <cell r="C164" t="str">
            <v>CAXU7224773</v>
          </cell>
          <cell r="G164">
            <v>4200</v>
          </cell>
        </row>
        <row r="165">
          <cell r="C165" t="str">
            <v>MEDU4125800</v>
          </cell>
          <cell r="G165">
            <v>4200</v>
          </cell>
        </row>
        <row r="166">
          <cell r="C166" t="str">
            <v>MEDU4141627</v>
          </cell>
          <cell r="G166">
            <v>4200</v>
          </cell>
        </row>
        <row r="167">
          <cell r="C167" t="str">
            <v>MSDU4038489</v>
          </cell>
          <cell r="G167">
            <v>4200</v>
          </cell>
        </row>
        <row r="168">
          <cell r="C168" t="str">
            <v>MSBU4068742</v>
          </cell>
          <cell r="G168">
            <v>4200</v>
          </cell>
        </row>
        <row r="169">
          <cell r="C169" t="str">
            <v>MSCU4396576</v>
          </cell>
          <cell r="G169">
            <v>4200</v>
          </cell>
        </row>
        <row r="170">
          <cell r="C170" t="str">
            <v>MSDU4375406</v>
          </cell>
          <cell r="G170">
            <v>4200</v>
          </cell>
        </row>
        <row r="171">
          <cell r="C171" t="str">
            <v>TCKU4654058</v>
          </cell>
          <cell r="G171">
            <v>4200</v>
          </cell>
        </row>
        <row r="172">
          <cell r="C172" t="str">
            <v>MSBU4547257</v>
          </cell>
          <cell r="G172">
            <v>4200</v>
          </cell>
        </row>
        <row r="173">
          <cell r="C173" t="str">
            <v>MEDU4291273</v>
          </cell>
          <cell r="G173">
            <v>4200</v>
          </cell>
        </row>
        <row r="174">
          <cell r="C174" t="str">
            <v>MEDU4114180</v>
          </cell>
          <cell r="G174">
            <v>4200</v>
          </cell>
        </row>
        <row r="175">
          <cell r="C175" t="str">
            <v>FSCU4776727</v>
          </cell>
          <cell r="G175">
            <v>4200</v>
          </cell>
        </row>
        <row r="176">
          <cell r="C176" t="str">
            <v>MSDU4753445</v>
          </cell>
          <cell r="G176">
            <v>4200</v>
          </cell>
        </row>
        <row r="177">
          <cell r="C177" t="str">
            <v>MSDU4149646</v>
          </cell>
          <cell r="G177">
            <v>4200</v>
          </cell>
        </row>
        <row r="178">
          <cell r="C178" t="str">
            <v>MSBU4039127</v>
          </cell>
          <cell r="G178">
            <v>4200</v>
          </cell>
        </row>
        <row r="179">
          <cell r="C179" t="str">
            <v>MEDU4146552</v>
          </cell>
          <cell r="G179">
            <v>4200</v>
          </cell>
        </row>
        <row r="180">
          <cell r="C180" t="str">
            <v>MSDU4531730</v>
          </cell>
          <cell r="G180">
            <v>4200</v>
          </cell>
        </row>
        <row r="181">
          <cell r="C181" t="str">
            <v>MSDU4033168</v>
          </cell>
          <cell r="G181">
            <v>4200</v>
          </cell>
        </row>
        <row r="182">
          <cell r="C182" t="str">
            <v>GLDU4088921</v>
          </cell>
          <cell r="G182">
            <v>4200</v>
          </cell>
        </row>
        <row r="183">
          <cell r="C183" t="str">
            <v>MSDU4093887</v>
          </cell>
          <cell r="G183">
            <v>4200</v>
          </cell>
        </row>
        <row r="184">
          <cell r="C184" t="str">
            <v>BSIU4048268</v>
          </cell>
          <cell r="G184">
            <v>4200</v>
          </cell>
        </row>
        <row r="185">
          <cell r="C185" t="str">
            <v>TCLU9399034</v>
          </cell>
          <cell r="G185">
            <v>4200</v>
          </cell>
        </row>
        <row r="186">
          <cell r="C186" t="str">
            <v>MSDU4331331</v>
          </cell>
          <cell r="G186">
            <v>4200</v>
          </cell>
        </row>
        <row r="187">
          <cell r="C187" t="str">
            <v>MSDU4537600</v>
          </cell>
          <cell r="G187">
            <v>4200</v>
          </cell>
        </row>
        <row r="188">
          <cell r="C188" t="str">
            <v>MSBU4032502</v>
          </cell>
          <cell r="G188">
            <v>4200</v>
          </cell>
        </row>
        <row r="189">
          <cell r="C189" t="str">
            <v>MSDU4299815</v>
          </cell>
          <cell r="G189">
            <v>4200</v>
          </cell>
        </row>
        <row r="190">
          <cell r="C190" t="str">
            <v>MSDU4350408</v>
          </cell>
          <cell r="G190">
            <v>4200</v>
          </cell>
        </row>
        <row r="191">
          <cell r="C191" t="str">
            <v>MEDU4284280</v>
          </cell>
          <cell r="G191">
            <v>4200</v>
          </cell>
        </row>
        <row r="192">
          <cell r="C192" t="str">
            <v>MSDU4622018</v>
          </cell>
          <cell r="G192">
            <v>4200</v>
          </cell>
        </row>
        <row r="193">
          <cell r="C193" t="str">
            <v>MSCU5982036</v>
          </cell>
          <cell r="G193">
            <v>4200</v>
          </cell>
        </row>
        <row r="194">
          <cell r="C194" t="str">
            <v>MSBU4162677</v>
          </cell>
          <cell r="G194">
            <v>4200</v>
          </cell>
        </row>
        <row r="195">
          <cell r="C195" t="str">
            <v>MSDU4345340</v>
          </cell>
          <cell r="G195">
            <v>4200</v>
          </cell>
        </row>
        <row r="196">
          <cell r="C196" t="str">
            <v>MSDU4800763</v>
          </cell>
          <cell r="G196">
            <v>4200</v>
          </cell>
        </row>
        <row r="197">
          <cell r="C197" t="str">
            <v>MSDU4286079</v>
          </cell>
          <cell r="G197">
            <v>4200</v>
          </cell>
        </row>
        <row r="198">
          <cell r="C198" t="str">
            <v>TGHU5097354</v>
          </cell>
          <cell r="G198">
            <v>4200</v>
          </cell>
        </row>
        <row r="199">
          <cell r="C199" t="str">
            <v>TRLU9453520</v>
          </cell>
          <cell r="G199">
            <v>4200</v>
          </cell>
        </row>
        <row r="200">
          <cell r="C200" t="str">
            <v>MSCU5873734</v>
          </cell>
          <cell r="G200">
            <v>4200</v>
          </cell>
        </row>
        <row r="201">
          <cell r="C201" t="str">
            <v>MSDU4542735</v>
          </cell>
          <cell r="G201">
            <v>4200</v>
          </cell>
        </row>
        <row r="202">
          <cell r="C202" t="str">
            <v>CLHU4587367</v>
          </cell>
          <cell r="G202">
            <v>4200</v>
          </cell>
        </row>
        <row r="203">
          <cell r="C203" t="str">
            <v>MSDU4329519</v>
          </cell>
          <cell r="G203">
            <v>4200</v>
          </cell>
        </row>
        <row r="204">
          <cell r="C204" t="str">
            <v>MSBU4582068</v>
          </cell>
          <cell r="G204">
            <v>4200</v>
          </cell>
        </row>
        <row r="205">
          <cell r="C205" t="str">
            <v>TCLU4062328</v>
          </cell>
          <cell r="G205">
            <v>4200</v>
          </cell>
        </row>
        <row r="206">
          <cell r="C206" t="str">
            <v>MSDU4259788</v>
          </cell>
          <cell r="G206">
            <v>4200</v>
          </cell>
        </row>
        <row r="207">
          <cell r="C207" t="str">
            <v>TTNU4909921</v>
          </cell>
          <cell r="G207">
            <v>4200</v>
          </cell>
        </row>
        <row r="208">
          <cell r="C208" t="str">
            <v>MSDU4590040</v>
          </cell>
          <cell r="G208">
            <v>4200</v>
          </cell>
        </row>
        <row r="209">
          <cell r="C209" t="str">
            <v>MSBU4634618</v>
          </cell>
          <cell r="G209">
            <v>4200</v>
          </cell>
        </row>
        <row r="210">
          <cell r="C210" t="str">
            <v>BMOU3082426</v>
          </cell>
          <cell r="G210">
            <v>4200</v>
          </cell>
        </row>
        <row r="211">
          <cell r="C211" t="str">
            <v>MSBU4146043</v>
          </cell>
          <cell r="G211">
            <v>4200</v>
          </cell>
        </row>
        <row r="212">
          <cell r="C212" t="str">
            <v>MSDU4454341</v>
          </cell>
          <cell r="G212">
            <v>4200</v>
          </cell>
        </row>
        <row r="213">
          <cell r="C213" t="str">
            <v>MSDU4287331</v>
          </cell>
          <cell r="G213">
            <v>4200</v>
          </cell>
        </row>
        <row r="214">
          <cell r="C214" t="str">
            <v>MSDU4025162</v>
          </cell>
          <cell r="G214">
            <v>4200</v>
          </cell>
        </row>
        <row r="215">
          <cell r="C215" t="str">
            <v>MSDU4419171</v>
          </cell>
          <cell r="G215">
            <v>4200</v>
          </cell>
        </row>
        <row r="216">
          <cell r="C216" t="str">
            <v>MEDU4315035</v>
          </cell>
          <cell r="G216">
            <v>4200</v>
          </cell>
        </row>
        <row r="217">
          <cell r="C217" t="str">
            <v>MEDU4164999</v>
          </cell>
          <cell r="G217">
            <v>4200</v>
          </cell>
        </row>
        <row r="218">
          <cell r="C218" t="str">
            <v>MSBU4037905</v>
          </cell>
          <cell r="G218">
            <v>4200</v>
          </cell>
        </row>
        <row r="219">
          <cell r="C219" t="str">
            <v>MSDU4619626</v>
          </cell>
          <cell r="G219">
            <v>4200</v>
          </cell>
        </row>
        <row r="220">
          <cell r="C220" t="str">
            <v>MEDU4017426</v>
          </cell>
          <cell r="G220">
            <v>4200</v>
          </cell>
        </row>
        <row r="221">
          <cell r="C221" t="str">
            <v>TTNU4700696</v>
          </cell>
          <cell r="G221">
            <v>4200</v>
          </cell>
        </row>
        <row r="222">
          <cell r="C222" t="str">
            <v>DFSU4296316</v>
          </cell>
          <cell r="G222">
            <v>4200</v>
          </cell>
        </row>
        <row r="223">
          <cell r="C223" t="str">
            <v>MSDU4012988</v>
          </cell>
          <cell r="G223">
            <v>4200</v>
          </cell>
        </row>
        <row r="224">
          <cell r="C224" t="str">
            <v>MSDU4075097</v>
          </cell>
          <cell r="G224">
            <v>4200</v>
          </cell>
        </row>
        <row r="225">
          <cell r="C225" t="str">
            <v>MSDU4719950</v>
          </cell>
          <cell r="G225">
            <v>4200</v>
          </cell>
        </row>
        <row r="226">
          <cell r="C226" t="str">
            <v>MSDU4367674</v>
          </cell>
          <cell r="G226">
            <v>4200</v>
          </cell>
        </row>
        <row r="227">
          <cell r="C227" t="str">
            <v>MSDU4677540</v>
          </cell>
          <cell r="G227">
            <v>4200</v>
          </cell>
        </row>
        <row r="228">
          <cell r="C228" t="str">
            <v>MSCU5588974</v>
          </cell>
          <cell r="G228">
            <v>4200</v>
          </cell>
        </row>
        <row r="229">
          <cell r="C229" t="str">
            <v>MSCU5523016</v>
          </cell>
          <cell r="G229">
            <v>4200</v>
          </cell>
        </row>
        <row r="230">
          <cell r="C230" t="str">
            <v>MSDU4479988</v>
          </cell>
          <cell r="G230">
            <v>4200</v>
          </cell>
        </row>
        <row r="231">
          <cell r="C231" t="str">
            <v>FSCU4086085</v>
          </cell>
          <cell r="G231">
            <v>4200</v>
          </cell>
        </row>
        <row r="232">
          <cell r="C232" t="str">
            <v>MSDU4723543</v>
          </cell>
          <cell r="G232">
            <v>4200</v>
          </cell>
        </row>
        <row r="233">
          <cell r="C233" t="str">
            <v>MSDU4665149</v>
          </cell>
          <cell r="G233">
            <v>4200</v>
          </cell>
        </row>
        <row r="234">
          <cell r="C234" t="str">
            <v>MSBU4115166</v>
          </cell>
          <cell r="G234">
            <v>4200</v>
          </cell>
        </row>
        <row r="235">
          <cell r="C235" t="str">
            <v>UESU4347465</v>
          </cell>
          <cell r="G235">
            <v>4200</v>
          </cell>
        </row>
        <row r="236">
          <cell r="C236" t="str">
            <v>MSDU4294515</v>
          </cell>
          <cell r="G236">
            <v>4200</v>
          </cell>
        </row>
        <row r="237">
          <cell r="C237" t="str">
            <v>MSDU4543156</v>
          </cell>
          <cell r="G237">
            <v>4200</v>
          </cell>
        </row>
        <row r="238">
          <cell r="C238" t="str">
            <v>TTNU5241800</v>
          </cell>
          <cell r="G238">
            <v>4200</v>
          </cell>
        </row>
        <row r="239">
          <cell r="C239" t="str">
            <v>GESU6671660</v>
          </cell>
          <cell r="G239">
            <v>4200</v>
          </cell>
        </row>
        <row r="240">
          <cell r="C240" t="str">
            <v>MSDU4638159</v>
          </cell>
          <cell r="G240">
            <v>4200</v>
          </cell>
        </row>
        <row r="241">
          <cell r="C241" t="str">
            <v>CAIU4109882</v>
          </cell>
          <cell r="G241">
            <v>4200</v>
          </cell>
        </row>
        <row r="242">
          <cell r="C242" t="str">
            <v>MSDU4264378</v>
          </cell>
          <cell r="G242">
            <v>4200</v>
          </cell>
        </row>
        <row r="243">
          <cell r="C243" t="str">
            <v>CARU5740965</v>
          </cell>
          <cell r="G243">
            <v>4200</v>
          </cell>
        </row>
        <row r="244">
          <cell r="C244" t="str">
            <v>MSDU4317483</v>
          </cell>
          <cell r="G244">
            <v>4200</v>
          </cell>
        </row>
        <row r="245">
          <cell r="C245" t="str">
            <v>TCLU4461626</v>
          </cell>
          <cell r="G245">
            <v>4200</v>
          </cell>
        </row>
        <row r="246">
          <cell r="C246" t="str">
            <v>TTNU5601070</v>
          </cell>
          <cell r="G246">
            <v>4200</v>
          </cell>
        </row>
        <row r="247">
          <cell r="C247" t="str">
            <v>MSBU4572049</v>
          </cell>
          <cell r="G247">
            <v>4200</v>
          </cell>
        </row>
        <row r="248">
          <cell r="C248" t="str">
            <v>MSCU4389113</v>
          </cell>
          <cell r="G248">
            <v>4200</v>
          </cell>
        </row>
        <row r="249">
          <cell r="C249" t="str">
            <v>MSDU4432126</v>
          </cell>
          <cell r="G249">
            <v>4200</v>
          </cell>
        </row>
        <row r="250">
          <cell r="C250" t="str">
            <v>MSBU4044777</v>
          </cell>
          <cell r="G250">
            <v>4200</v>
          </cell>
        </row>
        <row r="251">
          <cell r="C251" t="str">
            <v>DFSU4298670</v>
          </cell>
          <cell r="G251">
            <v>4200</v>
          </cell>
        </row>
        <row r="252">
          <cell r="C252" t="str">
            <v>MSDU4469110</v>
          </cell>
          <cell r="G252">
            <v>4200</v>
          </cell>
        </row>
        <row r="253">
          <cell r="C253" t="str">
            <v>MSDU4477687</v>
          </cell>
          <cell r="G253">
            <v>4200</v>
          </cell>
        </row>
        <row r="254">
          <cell r="C254" t="str">
            <v>MSDU4110710</v>
          </cell>
          <cell r="G254">
            <v>4200</v>
          </cell>
        </row>
        <row r="255">
          <cell r="C255" t="str">
            <v>MEDU4190370</v>
          </cell>
          <cell r="G255">
            <v>4200</v>
          </cell>
        </row>
        <row r="256">
          <cell r="C256" t="str">
            <v>MSDU4486246</v>
          </cell>
          <cell r="G256">
            <v>4200</v>
          </cell>
        </row>
        <row r="257">
          <cell r="C257" t="str">
            <v>MSDU4372346</v>
          </cell>
          <cell r="G257">
            <v>4200</v>
          </cell>
        </row>
        <row r="258">
          <cell r="C258" t="str">
            <v>MSDU4082943</v>
          </cell>
          <cell r="G258">
            <v>4200</v>
          </cell>
        </row>
        <row r="259">
          <cell r="C259" t="str">
            <v>MSBU4148386</v>
          </cell>
          <cell r="G259">
            <v>4200</v>
          </cell>
        </row>
        <row r="260">
          <cell r="C260" t="str">
            <v>TTNU5091300</v>
          </cell>
          <cell r="G260">
            <v>4200</v>
          </cell>
        </row>
        <row r="261">
          <cell r="C261" t="str">
            <v>MEDU4200144</v>
          </cell>
          <cell r="G261">
            <v>4200</v>
          </cell>
        </row>
        <row r="262">
          <cell r="C262" t="str">
            <v>MSDU4105680</v>
          </cell>
          <cell r="G262">
            <v>4200</v>
          </cell>
        </row>
        <row r="263">
          <cell r="C263" t="str">
            <v>MEDU4209096</v>
          </cell>
          <cell r="G263">
            <v>4200</v>
          </cell>
        </row>
        <row r="264">
          <cell r="C264" t="str">
            <v>MSDU4322242</v>
          </cell>
          <cell r="G264">
            <v>4200</v>
          </cell>
        </row>
        <row r="265">
          <cell r="C265" t="str">
            <v>MSBU4136997</v>
          </cell>
          <cell r="G265">
            <v>4200</v>
          </cell>
        </row>
        <row r="266">
          <cell r="C266" t="str">
            <v>MSDU4635988</v>
          </cell>
          <cell r="G266">
            <v>4200</v>
          </cell>
        </row>
        <row r="267">
          <cell r="C267" t="str">
            <v>MSDU4091143</v>
          </cell>
          <cell r="G267">
            <v>4200</v>
          </cell>
        </row>
        <row r="268">
          <cell r="C268" t="str">
            <v>MEDU4189847</v>
          </cell>
          <cell r="G268">
            <v>4200</v>
          </cell>
        </row>
        <row r="269">
          <cell r="C269" t="str">
            <v>MSDU4593630</v>
          </cell>
          <cell r="G269">
            <v>4200</v>
          </cell>
        </row>
        <row r="270">
          <cell r="C270" t="str">
            <v>BMOU3083886</v>
          </cell>
          <cell r="G270">
            <v>4200</v>
          </cell>
        </row>
        <row r="271">
          <cell r="C271" t="str">
            <v>MSDU4602259</v>
          </cell>
          <cell r="G271">
            <v>4200</v>
          </cell>
        </row>
        <row r="272">
          <cell r="C272" t="str">
            <v>MSDU4191625</v>
          </cell>
          <cell r="G272">
            <v>4200</v>
          </cell>
        </row>
        <row r="273">
          <cell r="C273" t="str">
            <v>MSCU4432164</v>
          </cell>
          <cell r="G273">
            <v>4200</v>
          </cell>
        </row>
        <row r="274">
          <cell r="C274" t="str">
            <v>TCLU4461837</v>
          </cell>
          <cell r="G274">
            <v>4200</v>
          </cell>
        </row>
        <row r="275">
          <cell r="C275" t="str">
            <v>MSCU4587000</v>
          </cell>
          <cell r="G275">
            <v>4200</v>
          </cell>
        </row>
        <row r="276">
          <cell r="C276" t="str">
            <v>MSDU4127605</v>
          </cell>
          <cell r="G276">
            <v>4200</v>
          </cell>
        </row>
        <row r="277">
          <cell r="C277" t="str">
            <v>MSDU4261466</v>
          </cell>
          <cell r="G277">
            <v>4200</v>
          </cell>
        </row>
        <row r="278">
          <cell r="C278" t="str">
            <v>MSCU4387070</v>
          </cell>
          <cell r="G278">
            <v>4200</v>
          </cell>
        </row>
        <row r="279">
          <cell r="C279" t="str">
            <v>TCKU4372943</v>
          </cell>
          <cell r="G279">
            <v>4200</v>
          </cell>
        </row>
        <row r="280">
          <cell r="C280" t="str">
            <v>MEDU4070312</v>
          </cell>
          <cell r="G280">
            <v>4200</v>
          </cell>
        </row>
        <row r="281">
          <cell r="C281" t="str">
            <v>BMOU3083340</v>
          </cell>
          <cell r="G281">
            <v>4200</v>
          </cell>
        </row>
        <row r="282">
          <cell r="C282" t="str">
            <v>BMOU3011150</v>
          </cell>
          <cell r="G282">
            <v>4200</v>
          </cell>
        </row>
        <row r="283">
          <cell r="C283" t="str">
            <v>MSBU4514567</v>
          </cell>
          <cell r="G283">
            <v>4200</v>
          </cell>
        </row>
        <row r="284">
          <cell r="C284" t="str">
            <v>TTNU4255266</v>
          </cell>
          <cell r="G284">
            <v>4200</v>
          </cell>
        </row>
        <row r="285">
          <cell r="C285" t="str">
            <v>MSBU4017832</v>
          </cell>
          <cell r="G285">
            <v>4200</v>
          </cell>
        </row>
        <row r="286">
          <cell r="C286" t="str">
            <v>MEDU4228455</v>
          </cell>
          <cell r="G286">
            <v>4200</v>
          </cell>
        </row>
        <row r="287">
          <cell r="C287" t="str">
            <v>MSDU4713740</v>
          </cell>
          <cell r="G287">
            <v>4200</v>
          </cell>
        </row>
        <row r="288">
          <cell r="C288" t="str">
            <v>MSDU4126194</v>
          </cell>
          <cell r="G288">
            <v>4200</v>
          </cell>
        </row>
        <row r="289">
          <cell r="C289" t="str">
            <v>MSDU4290438</v>
          </cell>
          <cell r="G289">
            <v>4200</v>
          </cell>
        </row>
        <row r="290">
          <cell r="C290" t="str">
            <v>MEDU4309979</v>
          </cell>
          <cell r="G290">
            <v>4200</v>
          </cell>
        </row>
        <row r="291">
          <cell r="C291" t="str">
            <v>MSDU4360936</v>
          </cell>
          <cell r="G291">
            <v>4200</v>
          </cell>
        </row>
        <row r="292">
          <cell r="C292" t="str">
            <v>MSCU4417391</v>
          </cell>
          <cell r="G292">
            <v>4200</v>
          </cell>
        </row>
        <row r="293">
          <cell r="C293" t="str">
            <v>MSBU4128543</v>
          </cell>
          <cell r="G293">
            <v>4200</v>
          </cell>
        </row>
        <row r="294">
          <cell r="C294" t="str">
            <v>TTNU5529485</v>
          </cell>
          <cell r="G294">
            <v>4200</v>
          </cell>
        </row>
        <row r="295">
          <cell r="C295" t="str">
            <v>MSDU4599999</v>
          </cell>
          <cell r="G295">
            <v>4200</v>
          </cell>
        </row>
        <row r="296">
          <cell r="C296" t="str">
            <v>MSDU4018245</v>
          </cell>
          <cell r="G296">
            <v>4200</v>
          </cell>
        </row>
        <row r="297">
          <cell r="C297" t="str">
            <v>MSDU4198390</v>
          </cell>
          <cell r="G297">
            <v>4200</v>
          </cell>
        </row>
        <row r="298">
          <cell r="C298" t="str">
            <v>MSCU5730116</v>
          </cell>
          <cell r="G298">
            <v>4200</v>
          </cell>
        </row>
        <row r="299">
          <cell r="C299" t="str">
            <v>MSDU4204070</v>
          </cell>
          <cell r="G299">
            <v>4200</v>
          </cell>
        </row>
        <row r="300">
          <cell r="C300" t="str">
            <v>MSCU4814444</v>
          </cell>
          <cell r="G300">
            <v>4200</v>
          </cell>
        </row>
        <row r="301">
          <cell r="C301" t="str">
            <v>TTNU4949523</v>
          </cell>
          <cell r="G301">
            <v>4200</v>
          </cell>
        </row>
        <row r="302">
          <cell r="C302" t="str">
            <v>MSDU4742970</v>
          </cell>
          <cell r="G302">
            <v>4200</v>
          </cell>
        </row>
        <row r="303">
          <cell r="C303" t="str">
            <v>MSCU4869241</v>
          </cell>
          <cell r="G303">
            <v>4200</v>
          </cell>
        </row>
        <row r="304">
          <cell r="C304" t="str">
            <v>MSBU4068547</v>
          </cell>
          <cell r="G304">
            <v>4200</v>
          </cell>
        </row>
        <row r="305">
          <cell r="C305" t="str">
            <v>INBU5027810</v>
          </cell>
          <cell r="G305">
            <v>4200</v>
          </cell>
        </row>
        <row r="306">
          <cell r="C306" t="str">
            <v>MSDU4264207</v>
          </cell>
          <cell r="G306">
            <v>4200</v>
          </cell>
        </row>
        <row r="307">
          <cell r="C307" t="str">
            <v>MSBU4574817</v>
          </cell>
          <cell r="G307">
            <v>4200</v>
          </cell>
        </row>
        <row r="308">
          <cell r="C308" t="str">
            <v>MSDU4532402</v>
          </cell>
          <cell r="G308">
            <v>4200</v>
          </cell>
        </row>
        <row r="309">
          <cell r="C309" t="str">
            <v>FSCU4772249</v>
          </cell>
          <cell r="G309">
            <v>4200</v>
          </cell>
        </row>
        <row r="310">
          <cell r="C310" t="str">
            <v>MSDU4729747</v>
          </cell>
          <cell r="G310">
            <v>4200</v>
          </cell>
        </row>
        <row r="311">
          <cell r="C311" t="str">
            <v>MSDU4048044</v>
          </cell>
          <cell r="G311">
            <v>4200</v>
          </cell>
        </row>
        <row r="312">
          <cell r="C312" t="str">
            <v>MSBU4517571</v>
          </cell>
          <cell r="G312">
            <v>4200</v>
          </cell>
        </row>
        <row r="313">
          <cell r="C313" t="str">
            <v>MSDU4167547</v>
          </cell>
          <cell r="G313">
            <v>4200</v>
          </cell>
        </row>
        <row r="314">
          <cell r="C314" t="str">
            <v>TTNU5890939</v>
          </cell>
          <cell r="G314">
            <v>4200</v>
          </cell>
        </row>
        <row r="315">
          <cell r="C315" t="str">
            <v>MSDU4433328</v>
          </cell>
          <cell r="G315">
            <v>4200</v>
          </cell>
        </row>
        <row r="316">
          <cell r="C316" t="str">
            <v>MSDU4611815</v>
          </cell>
          <cell r="G316">
            <v>4200</v>
          </cell>
        </row>
        <row r="317">
          <cell r="C317" t="str">
            <v>MEDU4225610</v>
          </cell>
          <cell r="G317">
            <v>4200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RY SHANGHAI V.2551SN"/>
    </sheetNames>
    <sheetDataSet>
      <sheetData sheetId="0">
        <row r="3">
          <cell r="C3" t="str">
            <v>Số Container</v>
          </cell>
          <cell r="E3" t="str">
            <v>Kích thước</v>
          </cell>
        </row>
        <row r="4">
          <cell r="C4" t="str">
            <v>TWCU8072117</v>
          </cell>
          <cell r="E4" t="str">
            <v>40</v>
          </cell>
        </row>
        <row r="5">
          <cell r="C5" t="str">
            <v>TRHU4735142</v>
          </cell>
          <cell r="E5" t="str">
            <v>40</v>
          </cell>
        </row>
        <row r="6">
          <cell r="C6" t="str">
            <v>TRHU6953924</v>
          </cell>
          <cell r="E6" t="str">
            <v>40</v>
          </cell>
        </row>
        <row r="7">
          <cell r="C7" t="str">
            <v>TWCU8259999</v>
          </cell>
          <cell r="E7" t="str">
            <v>40</v>
          </cell>
        </row>
        <row r="8">
          <cell r="C8" t="str">
            <v>BEAU6402093</v>
          </cell>
          <cell r="E8" t="str">
            <v>40</v>
          </cell>
        </row>
        <row r="9">
          <cell r="C9" t="str">
            <v>TRHU5782350</v>
          </cell>
          <cell r="E9" t="str">
            <v>40</v>
          </cell>
        </row>
        <row r="10">
          <cell r="C10" t="str">
            <v>TWCU8238701</v>
          </cell>
          <cell r="E10" t="str">
            <v>40</v>
          </cell>
        </row>
        <row r="11">
          <cell r="C11" t="str">
            <v>MAGU5707048</v>
          </cell>
          <cell r="E11" t="str">
            <v>40</v>
          </cell>
        </row>
        <row r="12">
          <cell r="C12" t="str">
            <v>TIIU4811736</v>
          </cell>
          <cell r="E12" t="str">
            <v>40</v>
          </cell>
        </row>
        <row r="13">
          <cell r="C13" t="str">
            <v>TWCU8267145</v>
          </cell>
          <cell r="E13" t="str">
            <v>40</v>
          </cell>
        </row>
        <row r="14">
          <cell r="C14" t="str">
            <v>TWCU8287096</v>
          </cell>
          <cell r="E14" t="str">
            <v>40</v>
          </cell>
        </row>
        <row r="15">
          <cell r="C15" t="str">
            <v>CAAU7008255</v>
          </cell>
          <cell r="E15" t="str">
            <v>40</v>
          </cell>
        </row>
        <row r="16">
          <cell r="C16" t="str">
            <v>TWCU8224776</v>
          </cell>
          <cell r="E16" t="str">
            <v>40</v>
          </cell>
        </row>
        <row r="17">
          <cell r="C17" t="str">
            <v>TWCU8111764</v>
          </cell>
          <cell r="E17" t="str">
            <v>40</v>
          </cell>
        </row>
        <row r="18">
          <cell r="C18" t="str">
            <v>TXGU5562396</v>
          </cell>
          <cell r="E18" t="str">
            <v>40</v>
          </cell>
        </row>
        <row r="19">
          <cell r="C19" t="str">
            <v>TWCU8203217</v>
          </cell>
          <cell r="E19" t="str">
            <v>40</v>
          </cell>
        </row>
        <row r="20">
          <cell r="C20" t="str">
            <v>TIIU4814400</v>
          </cell>
          <cell r="E20" t="str">
            <v>40</v>
          </cell>
        </row>
        <row r="21">
          <cell r="C21" t="str">
            <v>TWCU8187760</v>
          </cell>
          <cell r="E21" t="str">
            <v>40</v>
          </cell>
        </row>
        <row r="22">
          <cell r="C22" t="str">
            <v>TWCU8197897</v>
          </cell>
          <cell r="E22" t="str">
            <v>40</v>
          </cell>
        </row>
        <row r="23">
          <cell r="C23" t="str">
            <v>TWCU8160748</v>
          </cell>
          <cell r="E23" t="str">
            <v>40</v>
          </cell>
        </row>
        <row r="24">
          <cell r="C24" t="str">
            <v>TWCU8068930</v>
          </cell>
          <cell r="E24" t="str">
            <v>40</v>
          </cell>
        </row>
        <row r="25">
          <cell r="C25" t="str">
            <v>TRHU4103963</v>
          </cell>
          <cell r="E25" t="str">
            <v>40</v>
          </cell>
        </row>
        <row r="26">
          <cell r="C26" t="str">
            <v>HPCU4700590</v>
          </cell>
          <cell r="E26" t="str">
            <v>40</v>
          </cell>
        </row>
        <row r="27">
          <cell r="C27" t="str">
            <v>TWCU8128601</v>
          </cell>
          <cell r="E27" t="str">
            <v>40</v>
          </cell>
        </row>
        <row r="28">
          <cell r="C28" t="str">
            <v>TRHU6958166</v>
          </cell>
          <cell r="E28" t="str">
            <v>40</v>
          </cell>
        </row>
        <row r="29">
          <cell r="C29" t="str">
            <v>BEAU6412595</v>
          </cell>
          <cell r="E29" t="str">
            <v>40</v>
          </cell>
        </row>
        <row r="30">
          <cell r="C30" t="str">
            <v>TWCU8235024</v>
          </cell>
          <cell r="E30" t="str">
            <v>40</v>
          </cell>
        </row>
        <row r="31">
          <cell r="C31" t="str">
            <v>TXGU7410582</v>
          </cell>
          <cell r="E31" t="str">
            <v>40</v>
          </cell>
        </row>
        <row r="32">
          <cell r="C32" t="str">
            <v>TWCU8176805</v>
          </cell>
          <cell r="E32" t="str">
            <v>40</v>
          </cell>
        </row>
        <row r="33">
          <cell r="C33" t="str">
            <v>TWCU8262288</v>
          </cell>
          <cell r="E33" t="str">
            <v>40</v>
          </cell>
        </row>
        <row r="34">
          <cell r="C34" t="str">
            <v>TEMU8694027</v>
          </cell>
          <cell r="E34" t="str">
            <v>40</v>
          </cell>
        </row>
        <row r="35">
          <cell r="C35" t="str">
            <v>TIIU5045430</v>
          </cell>
          <cell r="E35" t="str">
            <v>40</v>
          </cell>
        </row>
        <row r="36">
          <cell r="C36" t="str">
            <v>TWCU8089716</v>
          </cell>
          <cell r="E36" t="str">
            <v>40</v>
          </cell>
        </row>
        <row r="37">
          <cell r="C37" t="str">
            <v>TWCU8219255</v>
          </cell>
          <cell r="E37" t="str">
            <v>40</v>
          </cell>
        </row>
        <row r="38">
          <cell r="C38" t="str">
            <v>FFAU1002063</v>
          </cell>
          <cell r="E38" t="str">
            <v>40</v>
          </cell>
        </row>
        <row r="39">
          <cell r="C39" t="str">
            <v>TWCU8160692</v>
          </cell>
          <cell r="E39" t="str">
            <v>40</v>
          </cell>
        </row>
        <row r="40">
          <cell r="C40" t="str">
            <v>TRHU8081395</v>
          </cell>
          <cell r="E40" t="str">
            <v>40</v>
          </cell>
        </row>
        <row r="41">
          <cell r="C41" t="str">
            <v>TWCU8052810</v>
          </cell>
          <cell r="E41" t="str">
            <v>40</v>
          </cell>
        </row>
        <row r="42">
          <cell r="C42" t="str">
            <v>UETU5775646</v>
          </cell>
          <cell r="E42" t="str">
            <v>40</v>
          </cell>
        </row>
        <row r="43">
          <cell r="C43" t="str">
            <v>TWCU8129104</v>
          </cell>
          <cell r="E43" t="str">
            <v>40</v>
          </cell>
        </row>
        <row r="44">
          <cell r="C44" t="str">
            <v>TWCU8283212</v>
          </cell>
          <cell r="E44" t="str">
            <v>40</v>
          </cell>
        </row>
        <row r="45">
          <cell r="C45" t="str">
            <v>TWCU8229171</v>
          </cell>
          <cell r="E45" t="str">
            <v>40</v>
          </cell>
        </row>
        <row r="46">
          <cell r="C46" t="str">
            <v>TWCU8075543</v>
          </cell>
          <cell r="E46" t="str">
            <v>40</v>
          </cell>
        </row>
        <row r="47">
          <cell r="C47" t="str">
            <v>TXGU5557358</v>
          </cell>
          <cell r="E47" t="str">
            <v>40</v>
          </cell>
        </row>
        <row r="48">
          <cell r="C48" t="str">
            <v>TWCU8159644</v>
          </cell>
          <cell r="E48" t="str">
            <v>40</v>
          </cell>
        </row>
        <row r="49">
          <cell r="C49" t="str">
            <v>TWCU8078096</v>
          </cell>
          <cell r="E49" t="str">
            <v>40</v>
          </cell>
        </row>
        <row r="50">
          <cell r="C50" t="str">
            <v>TIIU5762580</v>
          </cell>
          <cell r="E50" t="str">
            <v>40</v>
          </cell>
        </row>
        <row r="51">
          <cell r="C51" t="str">
            <v>TWCU8194901</v>
          </cell>
          <cell r="E51" t="str">
            <v>40</v>
          </cell>
        </row>
        <row r="52">
          <cell r="C52" t="str">
            <v>TIIU5291578</v>
          </cell>
          <cell r="E52" t="str">
            <v>40</v>
          </cell>
        </row>
        <row r="53">
          <cell r="C53" t="str">
            <v>TWCU8093418</v>
          </cell>
          <cell r="E53" t="str">
            <v>40</v>
          </cell>
        </row>
        <row r="54">
          <cell r="C54" t="str">
            <v>TIIU4654998</v>
          </cell>
          <cell r="E54" t="str">
            <v>40</v>
          </cell>
        </row>
        <row r="55">
          <cell r="C55" t="str">
            <v>TXGU5561506</v>
          </cell>
          <cell r="E55" t="str">
            <v>40</v>
          </cell>
        </row>
        <row r="56">
          <cell r="C56" t="str">
            <v>TWCU8186634</v>
          </cell>
          <cell r="E56" t="str">
            <v>40</v>
          </cell>
        </row>
        <row r="57">
          <cell r="C57" t="str">
            <v>TWCU8282427</v>
          </cell>
          <cell r="E57" t="str">
            <v>40</v>
          </cell>
        </row>
        <row r="58">
          <cell r="C58" t="str">
            <v>TWCU8268603</v>
          </cell>
          <cell r="E58" t="str">
            <v>40</v>
          </cell>
        </row>
        <row r="59">
          <cell r="C59" t="str">
            <v>HPCU4866832</v>
          </cell>
          <cell r="E59" t="str">
            <v>40</v>
          </cell>
        </row>
        <row r="60">
          <cell r="C60" t="str">
            <v>TRHU4734378</v>
          </cell>
          <cell r="E60" t="str">
            <v>40</v>
          </cell>
        </row>
        <row r="61">
          <cell r="C61" t="str">
            <v>TWCU8181519</v>
          </cell>
          <cell r="E61" t="str">
            <v>40</v>
          </cell>
        </row>
        <row r="62">
          <cell r="C62" t="str">
            <v>TXGU5668984</v>
          </cell>
          <cell r="E62" t="str">
            <v>40</v>
          </cell>
        </row>
        <row r="63">
          <cell r="C63" t="str">
            <v>TWCU8234624</v>
          </cell>
          <cell r="E63" t="str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B292-A1B8-4422-83C6-D28083964D14}">
  <dimension ref="A1:W721"/>
  <sheetViews>
    <sheetView tabSelected="1" topLeftCell="A4" zoomScale="80" zoomScaleNormal="80" workbookViewId="0">
      <selection activeCell="F22" sqref="F22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37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180" customWidth="1"/>
    <col min="8" max="8" width="12.875" style="169" customWidth="1"/>
    <col min="9" max="10" width="12.875" style="22" customWidth="1"/>
    <col min="11" max="11" width="11.375" style="8" customWidth="1"/>
    <col min="12" max="24" width="8.875" style="8" customWidth="1"/>
    <col min="25" max="16384" width="8.875" style="8"/>
  </cols>
  <sheetData>
    <row r="1" spans="1:23" s="15" customFormat="1" x14ac:dyDescent="0.25">
      <c r="A1" s="11" t="s">
        <v>0</v>
      </c>
      <c r="B1" s="5"/>
      <c r="C1" s="233"/>
      <c r="D1" s="14"/>
      <c r="E1" s="14"/>
      <c r="F1" s="216" t="s">
        <v>1</v>
      </c>
      <c r="G1" s="217"/>
      <c r="H1" s="216"/>
      <c r="I1" s="198"/>
      <c r="J1" s="198"/>
    </row>
    <row r="2" spans="1:23" s="15" customFormat="1" ht="15" customHeight="1" x14ac:dyDescent="0.25">
      <c r="A2" s="11" t="s">
        <v>2</v>
      </c>
      <c r="B2" s="5"/>
      <c r="C2" s="233"/>
      <c r="D2" s="14"/>
      <c r="E2" s="14"/>
      <c r="F2" s="216" t="s">
        <v>3</v>
      </c>
      <c r="G2" s="217"/>
      <c r="H2" s="216"/>
      <c r="I2" s="198"/>
      <c r="J2" s="198"/>
    </row>
    <row r="3" spans="1:23" ht="15" customHeight="1" x14ac:dyDescent="0.25">
      <c r="B3" s="17"/>
      <c r="C3" s="234"/>
      <c r="D3" s="19"/>
      <c r="E3" s="19"/>
      <c r="F3" s="36"/>
      <c r="G3" s="179"/>
      <c r="H3" s="22"/>
    </row>
    <row r="4" spans="1:23" x14ac:dyDescent="0.25">
      <c r="B4" s="8"/>
      <c r="H4" s="22"/>
    </row>
    <row r="5" spans="1:23" x14ac:dyDescent="0.25">
      <c r="A5" s="218" t="s">
        <v>4</v>
      </c>
      <c r="B5" s="218"/>
      <c r="C5" s="218"/>
      <c r="D5" s="218"/>
      <c r="E5" s="218"/>
      <c r="F5" s="218"/>
      <c r="G5" s="219"/>
      <c r="H5" s="218"/>
      <c r="I5" s="199"/>
      <c r="J5" s="199"/>
    </row>
    <row r="6" spans="1:23" s="3" customFormat="1" x14ac:dyDescent="0.25">
      <c r="A6" s="218" t="s">
        <v>5</v>
      </c>
      <c r="B6" s="218"/>
      <c r="C6" s="218"/>
      <c r="D6" s="218"/>
      <c r="E6" s="218"/>
      <c r="F6" s="218"/>
      <c r="G6" s="219"/>
      <c r="H6" s="218"/>
      <c r="I6" s="199"/>
      <c r="J6" s="199"/>
    </row>
    <row r="7" spans="1:23" s="3" customFormat="1" x14ac:dyDescent="0.25">
      <c r="A7" s="220" t="s">
        <v>37</v>
      </c>
      <c r="B7" s="220"/>
      <c r="C7" s="220"/>
      <c r="D7" s="220"/>
      <c r="E7" s="220"/>
      <c r="F7" s="220"/>
      <c r="G7" s="221"/>
      <c r="H7" s="220"/>
      <c r="I7" s="200"/>
      <c r="J7" s="200"/>
    </row>
    <row r="8" spans="1:23" s="3" customFormat="1" x14ac:dyDescent="0.25">
      <c r="A8" s="38"/>
      <c r="B8" s="170"/>
      <c r="C8" s="38"/>
      <c r="D8" s="38"/>
      <c r="E8" s="38"/>
      <c r="F8" s="171"/>
      <c r="G8" s="181"/>
      <c r="H8" s="22"/>
      <c r="I8" s="22"/>
      <c r="J8" s="2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s="29" customFormat="1" ht="18" customHeight="1" x14ac:dyDescent="0.25">
      <c r="A9" s="210" t="s">
        <v>6</v>
      </c>
      <c r="B9" s="210" t="s">
        <v>7</v>
      </c>
      <c r="C9" s="210" t="s">
        <v>8</v>
      </c>
      <c r="D9" s="210" t="s">
        <v>9</v>
      </c>
      <c r="E9" s="143" t="s">
        <v>10</v>
      </c>
      <c r="F9" s="210" t="s">
        <v>11</v>
      </c>
      <c r="G9" s="182" t="s">
        <v>12</v>
      </c>
      <c r="H9" s="211" t="s">
        <v>13</v>
      </c>
      <c r="I9" s="202"/>
      <c r="J9" s="202"/>
      <c r="K9" s="195" t="s">
        <v>1246</v>
      </c>
      <c r="L9" s="195"/>
      <c r="M9" s="195"/>
      <c r="N9" s="195" t="s">
        <v>1250</v>
      </c>
      <c r="O9" s="195" t="s">
        <v>1251</v>
      </c>
      <c r="P9" s="195"/>
      <c r="Q9" s="195"/>
      <c r="R9" s="195"/>
      <c r="S9" s="195"/>
      <c r="T9" s="195" t="s">
        <v>1249</v>
      </c>
      <c r="U9" s="195"/>
      <c r="V9" s="195" t="s">
        <v>1248</v>
      </c>
      <c r="W9" s="31"/>
    </row>
    <row r="10" spans="1:23" s="29" customFormat="1" ht="18" customHeight="1" x14ac:dyDescent="0.25">
      <c r="A10" s="44">
        <v>1</v>
      </c>
      <c r="B10" s="231">
        <v>46177</v>
      </c>
      <c r="C10" s="232" t="s">
        <v>1437</v>
      </c>
      <c r="D10" s="232">
        <v>40</v>
      </c>
      <c r="E10" s="46" t="s">
        <v>20</v>
      </c>
      <c r="F10" s="232" t="s">
        <v>1562</v>
      </c>
      <c r="G10" s="163">
        <v>365000</v>
      </c>
      <c r="H10" s="232" t="s">
        <v>1378</v>
      </c>
      <c r="I10" s="117">
        <v>26860</v>
      </c>
      <c r="J10" s="117"/>
      <c r="K10" s="31" t="s">
        <v>1246</v>
      </c>
      <c r="L10" s="31"/>
      <c r="M10" s="31"/>
      <c r="N10" s="31">
        <f>D10</f>
        <v>40</v>
      </c>
      <c r="O10" s="31" t="s">
        <v>1247</v>
      </c>
      <c r="P10" s="31"/>
      <c r="Q10" s="31"/>
      <c r="R10" s="31"/>
      <c r="S10" s="31"/>
      <c r="T10" s="31" t="s">
        <v>1249</v>
      </c>
      <c r="U10" s="31"/>
      <c r="V10" s="31" t="str">
        <f>K10&amp;" "&amp;N10&amp;""&amp;" "&amp;O10</f>
        <v>Cước vận chuyển vỏ container 40 từ bãi JJ, Hải Phòng đến Nam Đình Vũ, Hải Phòng</v>
      </c>
      <c r="W10" s="31"/>
    </row>
    <row r="11" spans="1:23" s="29" customFormat="1" ht="18" customHeight="1" x14ac:dyDescent="0.25">
      <c r="A11" s="44">
        <v>2</v>
      </c>
      <c r="B11" s="231">
        <v>46177</v>
      </c>
      <c r="C11" s="232" t="s">
        <v>1438</v>
      </c>
      <c r="D11" s="232">
        <v>40</v>
      </c>
      <c r="E11" s="46" t="s">
        <v>20</v>
      </c>
      <c r="F11" s="232" t="s">
        <v>1562</v>
      </c>
      <c r="G11" s="163">
        <v>365000</v>
      </c>
      <c r="H11" s="232" t="s">
        <v>1378</v>
      </c>
      <c r="I11" s="117">
        <v>26860</v>
      </c>
      <c r="J11" s="117"/>
      <c r="K11" s="31" t="s">
        <v>1246</v>
      </c>
      <c r="L11" s="31"/>
      <c r="M11" s="31"/>
      <c r="N11" s="31">
        <f t="shared" ref="N11:N66" si="0">D11</f>
        <v>40</v>
      </c>
      <c r="O11" s="31" t="s">
        <v>1247</v>
      </c>
      <c r="P11" s="31"/>
      <c r="Q11" s="31"/>
      <c r="R11" s="31"/>
      <c r="S11" s="31"/>
      <c r="T11" s="31" t="s">
        <v>1249</v>
      </c>
      <c r="U11" s="31"/>
      <c r="V11" s="31" t="str">
        <f t="shared" ref="V11:V74" si="1">K11&amp;" "&amp;N11&amp;""&amp;" "&amp;O11</f>
        <v>Cước vận chuyển vỏ container 40 từ bãi JJ, Hải Phòng đến Nam Đình Vũ, Hải Phòng</v>
      </c>
      <c r="W11" s="31"/>
    </row>
    <row r="12" spans="1:23" s="29" customFormat="1" ht="18" customHeight="1" x14ac:dyDescent="0.25">
      <c r="A12" s="44">
        <v>3</v>
      </c>
      <c r="B12" s="231">
        <v>46177</v>
      </c>
      <c r="C12" s="232" t="s">
        <v>1439</v>
      </c>
      <c r="D12" s="232">
        <v>40</v>
      </c>
      <c r="E12" s="46" t="s">
        <v>20</v>
      </c>
      <c r="F12" s="232" t="s">
        <v>1562</v>
      </c>
      <c r="G12" s="163">
        <v>365000</v>
      </c>
      <c r="H12" s="232" t="s">
        <v>1378</v>
      </c>
      <c r="I12" s="117">
        <v>26860</v>
      </c>
      <c r="J12" s="117"/>
      <c r="K12" s="31" t="s">
        <v>1246</v>
      </c>
      <c r="L12" s="31"/>
      <c r="M12" s="31"/>
      <c r="N12" s="31">
        <f t="shared" si="0"/>
        <v>40</v>
      </c>
      <c r="O12" s="31" t="s">
        <v>1247</v>
      </c>
      <c r="P12" s="31"/>
      <c r="Q12" s="31"/>
      <c r="R12" s="31"/>
      <c r="S12" s="31"/>
      <c r="T12" s="31" t="s">
        <v>1249</v>
      </c>
      <c r="U12" s="31"/>
      <c r="V12" s="31" t="str">
        <f t="shared" si="1"/>
        <v>Cước vận chuyển vỏ container 40 từ bãi JJ, Hải Phòng đến Nam Đình Vũ, Hải Phòng</v>
      </c>
      <c r="W12" s="31"/>
    </row>
    <row r="13" spans="1:23" s="29" customFormat="1" ht="18" customHeight="1" x14ac:dyDescent="0.25">
      <c r="A13" s="44">
        <v>4</v>
      </c>
      <c r="B13" s="231">
        <v>46177</v>
      </c>
      <c r="C13" s="232" t="s">
        <v>1440</v>
      </c>
      <c r="D13" s="232">
        <v>40</v>
      </c>
      <c r="E13" s="46" t="s">
        <v>20</v>
      </c>
      <c r="F13" s="232" t="s">
        <v>1562</v>
      </c>
      <c r="G13" s="163">
        <v>365000</v>
      </c>
      <c r="H13" s="232" t="s">
        <v>602</v>
      </c>
      <c r="I13" s="117">
        <v>26860</v>
      </c>
      <c r="J13" s="117"/>
      <c r="K13" s="31" t="s">
        <v>1246</v>
      </c>
      <c r="L13" s="31"/>
      <c r="M13" s="31"/>
      <c r="N13" s="31">
        <f t="shared" si="0"/>
        <v>40</v>
      </c>
      <c r="O13" s="31" t="s">
        <v>1247</v>
      </c>
      <c r="P13" s="31"/>
      <c r="Q13" s="31"/>
      <c r="R13" s="31"/>
      <c r="S13" s="31"/>
      <c r="T13" s="31" t="s">
        <v>1249</v>
      </c>
      <c r="U13" s="31"/>
      <c r="V13" s="31" t="str">
        <f t="shared" si="1"/>
        <v>Cước vận chuyển vỏ container 40 từ bãi JJ, Hải Phòng đến Nam Đình Vũ, Hải Phòng</v>
      </c>
      <c r="W13" s="31"/>
    </row>
    <row r="14" spans="1:23" s="29" customFormat="1" ht="18" customHeight="1" x14ac:dyDescent="0.25">
      <c r="A14" s="44">
        <v>5</v>
      </c>
      <c r="B14" s="231">
        <v>46177</v>
      </c>
      <c r="C14" s="232" t="s">
        <v>1441</v>
      </c>
      <c r="D14" s="232">
        <v>40</v>
      </c>
      <c r="E14" s="46" t="s">
        <v>20</v>
      </c>
      <c r="F14" s="232" t="s">
        <v>1562</v>
      </c>
      <c r="G14" s="163">
        <v>365000</v>
      </c>
      <c r="H14" s="232" t="s">
        <v>602</v>
      </c>
      <c r="I14" s="117">
        <v>26860</v>
      </c>
      <c r="J14" s="117"/>
      <c r="K14" s="31" t="s">
        <v>1246</v>
      </c>
      <c r="L14" s="31"/>
      <c r="M14" s="31"/>
      <c r="N14" s="31">
        <f t="shared" si="0"/>
        <v>40</v>
      </c>
      <c r="O14" s="31" t="s">
        <v>1247</v>
      </c>
      <c r="P14" s="31"/>
      <c r="Q14" s="31"/>
      <c r="R14" s="31"/>
      <c r="S14" s="31"/>
      <c r="T14" s="31" t="s">
        <v>1249</v>
      </c>
      <c r="U14" s="31"/>
      <c r="V14" s="31" t="str">
        <f t="shared" si="1"/>
        <v>Cước vận chuyển vỏ container 40 từ bãi JJ, Hải Phòng đến Nam Đình Vũ, Hải Phòng</v>
      </c>
      <c r="W14" s="31"/>
    </row>
    <row r="15" spans="1:23" s="29" customFormat="1" ht="18" customHeight="1" x14ac:dyDescent="0.25">
      <c r="A15" s="44">
        <v>6</v>
      </c>
      <c r="B15" s="231">
        <v>46177</v>
      </c>
      <c r="C15" s="232" t="s">
        <v>1442</v>
      </c>
      <c r="D15" s="232">
        <v>40</v>
      </c>
      <c r="E15" s="46" t="s">
        <v>20</v>
      </c>
      <c r="F15" s="232" t="s">
        <v>1562</v>
      </c>
      <c r="G15" s="163">
        <v>365000</v>
      </c>
      <c r="H15" s="232" t="s">
        <v>602</v>
      </c>
      <c r="I15" s="117">
        <v>26860</v>
      </c>
      <c r="J15" s="117"/>
      <c r="K15" s="31" t="s">
        <v>1246</v>
      </c>
      <c r="L15" s="31"/>
      <c r="M15" s="31"/>
      <c r="N15" s="31">
        <f t="shared" si="0"/>
        <v>40</v>
      </c>
      <c r="O15" s="31" t="s">
        <v>1247</v>
      </c>
      <c r="P15" s="31"/>
      <c r="Q15" s="31"/>
      <c r="R15" s="31"/>
      <c r="S15" s="31"/>
      <c r="T15" s="31" t="s">
        <v>1249</v>
      </c>
      <c r="U15" s="31"/>
      <c r="V15" s="31" t="str">
        <f t="shared" si="1"/>
        <v>Cước vận chuyển vỏ container 40 từ bãi JJ, Hải Phòng đến Nam Đình Vũ, Hải Phòng</v>
      </c>
      <c r="W15" s="31"/>
    </row>
    <row r="16" spans="1:23" s="29" customFormat="1" ht="18" customHeight="1" x14ac:dyDescent="0.25">
      <c r="A16" s="44">
        <v>7</v>
      </c>
      <c r="B16" s="231">
        <v>46177</v>
      </c>
      <c r="C16" s="232" t="s">
        <v>1443</v>
      </c>
      <c r="D16" s="232">
        <v>40</v>
      </c>
      <c r="E16" s="46" t="s">
        <v>20</v>
      </c>
      <c r="F16" s="232" t="s">
        <v>1562</v>
      </c>
      <c r="G16" s="163">
        <v>365000</v>
      </c>
      <c r="H16" s="232" t="s">
        <v>602</v>
      </c>
      <c r="I16" s="117">
        <v>26860</v>
      </c>
      <c r="J16" s="230"/>
      <c r="K16" s="31" t="s">
        <v>1246</v>
      </c>
      <c r="L16" s="31"/>
      <c r="M16" s="31"/>
      <c r="N16" s="31">
        <f t="shared" si="0"/>
        <v>40</v>
      </c>
      <c r="O16" s="31" t="s">
        <v>1247</v>
      </c>
      <c r="P16" s="31"/>
      <c r="Q16" s="31"/>
      <c r="R16" s="31"/>
      <c r="S16" s="31"/>
      <c r="T16" s="31" t="s">
        <v>1249</v>
      </c>
      <c r="U16" s="31"/>
      <c r="V16" s="31" t="str">
        <f t="shared" si="1"/>
        <v>Cước vận chuyển vỏ container 40 từ bãi JJ, Hải Phòng đến Nam Đình Vũ, Hải Phòng</v>
      </c>
      <c r="W16" s="31"/>
    </row>
    <row r="17" spans="1:23" s="29" customFormat="1" ht="18" customHeight="1" x14ac:dyDescent="0.25">
      <c r="A17" s="44">
        <v>8</v>
      </c>
      <c r="B17" s="231">
        <v>46177</v>
      </c>
      <c r="C17" s="232" t="s">
        <v>1444</v>
      </c>
      <c r="D17" s="232">
        <v>20</v>
      </c>
      <c r="E17" s="46" t="s">
        <v>20</v>
      </c>
      <c r="F17" s="232" t="s">
        <v>1562</v>
      </c>
      <c r="G17" s="163">
        <v>198000</v>
      </c>
      <c r="H17" s="232" t="s">
        <v>602</v>
      </c>
      <c r="I17" s="117">
        <v>26860</v>
      </c>
      <c r="J17" s="230"/>
      <c r="K17" s="31" t="s">
        <v>1246</v>
      </c>
      <c r="L17" s="31"/>
      <c r="M17" s="31"/>
      <c r="N17" s="31">
        <f t="shared" si="0"/>
        <v>20</v>
      </c>
      <c r="O17" s="31" t="s">
        <v>1247</v>
      </c>
      <c r="P17" s="31"/>
      <c r="Q17" s="31"/>
      <c r="R17" s="31"/>
      <c r="S17" s="31"/>
      <c r="T17" s="31" t="s">
        <v>1249</v>
      </c>
      <c r="U17" s="31"/>
      <c r="V17" s="31" t="str">
        <f t="shared" si="1"/>
        <v>Cước vận chuyển vỏ container 20 từ bãi JJ, Hải Phòng đến Nam Đình Vũ, Hải Phòng</v>
      </c>
      <c r="W17" s="31"/>
    </row>
    <row r="18" spans="1:23" s="29" customFormat="1" ht="18" customHeight="1" x14ac:dyDescent="0.25">
      <c r="A18" s="44">
        <v>9</v>
      </c>
      <c r="B18" s="231">
        <v>46177</v>
      </c>
      <c r="C18" s="232" t="s">
        <v>1445</v>
      </c>
      <c r="D18" s="232">
        <v>20</v>
      </c>
      <c r="E18" s="46" t="s">
        <v>20</v>
      </c>
      <c r="F18" s="232" t="s">
        <v>1562</v>
      </c>
      <c r="G18" s="163">
        <v>198000</v>
      </c>
      <c r="H18" s="232" t="s">
        <v>602</v>
      </c>
      <c r="I18" s="117">
        <v>26860</v>
      </c>
      <c r="J18" s="230"/>
      <c r="K18" s="31" t="s">
        <v>1246</v>
      </c>
      <c r="L18" s="31"/>
      <c r="M18" s="31"/>
      <c r="N18" s="31">
        <f t="shared" si="0"/>
        <v>20</v>
      </c>
      <c r="O18" s="31" t="s">
        <v>1247</v>
      </c>
      <c r="P18" s="31"/>
      <c r="Q18" s="31"/>
      <c r="R18" s="31"/>
      <c r="S18" s="31"/>
      <c r="T18" s="31" t="s">
        <v>1249</v>
      </c>
      <c r="U18" s="31"/>
      <c r="V18" s="31" t="str">
        <f t="shared" si="1"/>
        <v>Cước vận chuyển vỏ container 20 từ bãi JJ, Hải Phòng đến Nam Đình Vũ, Hải Phòng</v>
      </c>
      <c r="W18" s="31"/>
    </row>
    <row r="19" spans="1:23" s="29" customFormat="1" ht="18" customHeight="1" x14ac:dyDescent="0.25">
      <c r="A19" s="44">
        <v>10</v>
      </c>
      <c r="B19" s="231">
        <v>46177</v>
      </c>
      <c r="C19" s="232" t="s">
        <v>1446</v>
      </c>
      <c r="D19" s="232">
        <v>40</v>
      </c>
      <c r="E19" s="46" t="s">
        <v>20</v>
      </c>
      <c r="F19" s="232" t="s">
        <v>1562</v>
      </c>
      <c r="G19" s="163">
        <v>365000</v>
      </c>
      <c r="H19" s="232" t="s">
        <v>28</v>
      </c>
      <c r="I19" s="117">
        <v>26860</v>
      </c>
      <c r="J19" s="230"/>
      <c r="K19" s="31" t="s">
        <v>1246</v>
      </c>
      <c r="L19" s="31"/>
      <c r="M19" s="31"/>
      <c r="N19" s="31">
        <f t="shared" si="0"/>
        <v>40</v>
      </c>
      <c r="O19" s="31" t="s">
        <v>1247</v>
      </c>
      <c r="P19" s="31"/>
      <c r="Q19" s="31"/>
      <c r="R19" s="31"/>
      <c r="S19" s="31"/>
      <c r="T19" s="31" t="s">
        <v>1249</v>
      </c>
      <c r="U19" s="31"/>
      <c r="V19" s="31" t="str">
        <f t="shared" si="1"/>
        <v>Cước vận chuyển vỏ container 40 từ bãi JJ, Hải Phòng đến Nam Đình Vũ, Hải Phòng</v>
      </c>
      <c r="W19" s="31"/>
    </row>
    <row r="20" spans="1:23" s="29" customFormat="1" ht="18" customHeight="1" x14ac:dyDescent="0.25">
      <c r="A20" s="44">
        <v>11</v>
      </c>
      <c r="B20" s="231">
        <v>46177</v>
      </c>
      <c r="C20" s="232" t="s">
        <v>1447</v>
      </c>
      <c r="D20" s="232">
        <v>40</v>
      </c>
      <c r="E20" s="46" t="s">
        <v>20</v>
      </c>
      <c r="F20" s="232" t="s">
        <v>1562</v>
      </c>
      <c r="G20" s="163">
        <v>365000</v>
      </c>
      <c r="H20" s="232" t="s">
        <v>28</v>
      </c>
      <c r="I20" s="117">
        <v>26860</v>
      </c>
      <c r="J20" s="230"/>
      <c r="K20" s="31" t="s">
        <v>1246</v>
      </c>
      <c r="L20" s="31"/>
      <c r="M20" s="31"/>
      <c r="N20" s="31">
        <f t="shared" si="0"/>
        <v>40</v>
      </c>
      <c r="O20" s="31" t="s">
        <v>1247</v>
      </c>
      <c r="P20" s="31"/>
      <c r="Q20" s="31"/>
      <c r="R20" s="31"/>
      <c r="S20" s="31"/>
      <c r="T20" s="31" t="s">
        <v>1249</v>
      </c>
      <c r="U20" s="31"/>
      <c r="V20" s="31" t="str">
        <f t="shared" si="1"/>
        <v>Cước vận chuyển vỏ container 40 từ bãi JJ, Hải Phòng đến Nam Đình Vũ, Hải Phòng</v>
      </c>
      <c r="W20" s="31"/>
    </row>
    <row r="21" spans="1:23" s="29" customFormat="1" ht="18" customHeight="1" x14ac:dyDescent="0.25">
      <c r="A21" s="44">
        <v>12</v>
      </c>
      <c r="B21" s="231">
        <v>46177</v>
      </c>
      <c r="C21" s="232" t="s">
        <v>1448</v>
      </c>
      <c r="D21" s="232">
        <v>40</v>
      </c>
      <c r="E21" s="46" t="s">
        <v>20</v>
      </c>
      <c r="F21" s="232" t="s">
        <v>1562</v>
      </c>
      <c r="G21" s="163">
        <v>365000</v>
      </c>
      <c r="H21" s="232" t="s">
        <v>28</v>
      </c>
      <c r="I21" s="117">
        <v>26860</v>
      </c>
      <c r="J21" s="230"/>
      <c r="K21" s="31" t="s">
        <v>1246</v>
      </c>
      <c r="L21" s="31"/>
      <c r="M21" s="31"/>
      <c r="N21" s="31">
        <f t="shared" si="0"/>
        <v>40</v>
      </c>
      <c r="O21" s="31" t="s">
        <v>1247</v>
      </c>
      <c r="P21" s="31"/>
      <c r="Q21" s="31"/>
      <c r="R21" s="31"/>
      <c r="S21" s="31"/>
      <c r="T21" s="31" t="s">
        <v>1249</v>
      </c>
      <c r="U21" s="31"/>
      <c r="V21" s="31" t="str">
        <f t="shared" si="1"/>
        <v>Cước vận chuyển vỏ container 40 từ bãi JJ, Hải Phòng đến Nam Đình Vũ, Hải Phòng</v>
      </c>
      <c r="W21" s="31"/>
    </row>
    <row r="22" spans="1:23" s="29" customFormat="1" ht="18" customHeight="1" x14ac:dyDescent="0.25">
      <c r="A22" s="44">
        <v>13</v>
      </c>
      <c r="B22" s="231">
        <v>46177</v>
      </c>
      <c r="C22" s="232" t="s">
        <v>1449</v>
      </c>
      <c r="D22" s="232">
        <v>40</v>
      </c>
      <c r="E22" s="46" t="s">
        <v>20</v>
      </c>
      <c r="F22" s="232" t="s">
        <v>1563</v>
      </c>
      <c r="G22" s="163">
        <v>365000</v>
      </c>
      <c r="H22" s="232" t="s">
        <v>26</v>
      </c>
      <c r="I22" s="117">
        <v>26860</v>
      </c>
      <c r="J22" s="37"/>
      <c r="K22" s="31" t="s">
        <v>1246</v>
      </c>
      <c r="L22" s="31"/>
      <c r="M22" s="31"/>
      <c r="N22" s="31">
        <f t="shared" si="0"/>
        <v>40</v>
      </c>
      <c r="O22" s="31" t="s">
        <v>1247</v>
      </c>
      <c r="P22" s="31"/>
      <c r="Q22" s="31"/>
      <c r="R22" s="31"/>
      <c r="S22" s="31"/>
      <c r="T22" s="31" t="s">
        <v>1249</v>
      </c>
      <c r="U22" s="31"/>
      <c r="V22" s="31" t="str">
        <f t="shared" si="1"/>
        <v>Cước vận chuyển vỏ container 40 từ bãi JJ, Hải Phòng đến Nam Đình Vũ, Hải Phòng</v>
      </c>
      <c r="W22" s="31"/>
    </row>
    <row r="23" spans="1:23" s="29" customFormat="1" ht="18" customHeight="1" x14ac:dyDescent="0.25">
      <c r="A23" s="44">
        <v>14</v>
      </c>
      <c r="B23" s="231">
        <v>46180</v>
      </c>
      <c r="C23" s="232" t="s">
        <v>1450</v>
      </c>
      <c r="D23" s="232">
        <v>20</v>
      </c>
      <c r="E23" s="46" t="s">
        <v>20</v>
      </c>
      <c r="F23" s="232" t="s">
        <v>1564</v>
      </c>
      <c r="G23" s="163">
        <v>198000</v>
      </c>
      <c r="H23" s="232" t="s">
        <v>26</v>
      </c>
      <c r="I23" s="117"/>
      <c r="J23" s="37"/>
      <c r="K23" s="31" t="s">
        <v>1246</v>
      </c>
      <c r="L23" s="31"/>
      <c r="M23" s="31"/>
      <c r="N23" s="31">
        <f t="shared" si="0"/>
        <v>20</v>
      </c>
      <c r="O23" s="31" t="s">
        <v>1247</v>
      </c>
      <c r="P23" s="31"/>
      <c r="Q23" s="31"/>
      <c r="R23" s="31"/>
      <c r="S23" s="31"/>
      <c r="T23" s="31" t="s">
        <v>1249</v>
      </c>
      <c r="U23" s="31"/>
      <c r="V23" s="31" t="str">
        <f t="shared" si="1"/>
        <v>Cước vận chuyển vỏ container 20 từ bãi JJ, Hải Phòng đến Nam Đình Vũ, Hải Phòng</v>
      </c>
      <c r="W23" s="31"/>
    </row>
    <row r="24" spans="1:23" s="29" customFormat="1" ht="18" customHeight="1" x14ac:dyDescent="0.25">
      <c r="A24" s="44">
        <v>15</v>
      </c>
      <c r="B24" s="231">
        <v>46180</v>
      </c>
      <c r="C24" s="232" t="s">
        <v>1451</v>
      </c>
      <c r="D24" s="232">
        <v>20</v>
      </c>
      <c r="E24" s="46" t="s">
        <v>20</v>
      </c>
      <c r="F24" s="232" t="s">
        <v>1564</v>
      </c>
      <c r="G24" s="163">
        <v>198000</v>
      </c>
      <c r="H24" s="232" t="s">
        <v>26</v>
      </c>
      <c r="I24" s="117"/>
      <c r="J24" s="37"/>
      <c r="K24" s="31" t="s">
        <v>1246</v>
      </c>
      <c r="L24" s="31"/>
      <c r="M24" s="31"/>
      <c r="N24" s="31">
        <f t="shared" si="0"/>
        <v>20</v>
      </c>
      <c r="O24" s="31" t="s">
        <v>1247</v>
      </c>
      <c r="P24" s="31"/>
      <c r="Q24" s="31"/>
      <c r="R24" s="31"/>
      <c r="S24" s="31"/>
      <c r="T24" s="31" t="s">
        <v>1249</v>
      </c>
      <c r="U24" s="31"/>
      <c r="V24" s="31" t="str">
        <f t="shared" si="1"/>
        <v>Cước vận chuyển vỏ container 20 từ bãi JJ, Hải Phòng đến Nam Đình Vũ, Hải Phòng</v>
      </c>
      <c r="W24" s="31"/>
    </row>
    <row r="25" spans="1:23" s="29" customFormat="1" ht="18" customHeight="1" x14ac:dyDescent="0.25">
      <c r="A25" s="44">
        <v>16</v>
      </c>
      <c r="B25" s="231">
        <v>46180</v>
      </c>
      <c r="C25" s="232" t="s">
        <v>1452</v>
      </c>
      <c r="D25" s="232">
        <v>20</v>
      </c>
      <c r="E25" s="46" t="s">
        <v>20</v>
      </c>
      <c r="F25" s="232" t="s">
        <v>1564</v>
      </c>
      <c r="G25" s="163">
        <v>198000</v>
      </c>
      <c r="H25" s="232" t="s">
        <v>26</v>
      </c>
      <c r="I25" s="117"/>
      <c r="J25" s="230"/>
      <c r="K25" s="31" t="s">
        <v>1246</v>
      </c>
      <c r="L25" s="31"/>
      <c r="M25" s="31"/>
      <c r="N25" s="31">
        <f t="shared" si="0"/>
        <v>20</v>
      </c>
      <c r="O25" s="31" t="s">
        <v>1247</v>
      </c>
      <c r="P25" s="31"/>
      <c r="Q25" s="31"/>
      <c r="R25" s="31"/>
      <c r="S25" s="31"/>
      <c r="T25" s="31" t="s">
        <v>1249</v>
      </c>
      <c r="U25" s="31"/>
      <c r="V25" s="31" t="str">
        <f t="shared" si="1"/>
        <v>Cước vận chuyển vỏ container 20 từ bãi JJ, Hải Phòng đến Nam Đình Vũ, Hải Phòng</v>
      </c>
      <c r="W25" s="31"/>
    </row>
    <row r="26" spans="1:23" s="29" customFormat="1" ht="18" customHeight="1" x14ac:dyDescent="0.25">
      <c r="A26" s="44">
        <v>17</v>
      </c>
      <c r="B26" s="231">
        <v>46180</v>
      </c>
      <c r="C26" s="232" t="s">
        <v>1453</v>
      </c>
      <c r="D26" s="232">
        <v>20</v>
      </c>
      <c r="E26" s="46" t="s">
        <v>20</v>
      </c>
      <c r="F26" s="232" t="s">
        <v>1564</v>
      </c>
      <c r="G26" s="163">
        <v>198000</v>
      </c>
      <c r="H26" s="232" t="s">
        <v>26</v>
      </c>
      <c r="I26" s="117"/>
      <c r="J26" s="230"/>
      <c r="K26" s="31" t="s">
        <v>1246</v>
      </c>
      <c r="L26" s="31"/>
      <c r="M26" s="31"/>
      <c r="N26" s="31">
        <f t="shared" si="0"/>
        <v>20</v>
      </c>
      <c r="O26" s="31" t="s">
        <v>1247</v>
      </c>
      <c r="P26" s="31"/>
      <c r="Q26" s="31"/>
      <c r="R26" s="31"/>
      <c r="S26" s="31"/>
      <c r="T26" s="31" t="s">
        <v>1249</v>
      </c>
      <c r="U26" s="31"/>
      <c r="V26" s="31" t="str">
        <f>K26&amp;" "&amp;N26&amp;""&amp;" "&amp;O26</f>
        <v>Cước vận chuyển vỏ container 20 từ bãi JJ, Hải Phòng đến Nam Đình Vũ, Hải Phòng</v>
      </c>
      <c r="W26" s="31"/>
    </row>
    <row r="27" spans="1:23" s="29" customFormat="1" ht="18" customHeight="1" x14ac:dyDescent="0.25">
      <c r="A27" s="44">
        <v>18</v>
      </c>
      <c r="B27" s="231">
        <v>46180</v>
      </c>
      <c r="C27" s="232" t="s">
        <v>1454</v>
      </c>
      <c r="D27" s="232">
        <v>20</v>
      </c>
      <c r="E27" s="46" t="s">
        <v>20</v>
      </c>
      <c r="F27" s="232" t="s">
        <v>1564</v>
      </c>
      <c r="G27" s="163">
        <v>198000</v>
      </c>
      <c r="H27" s="232" t="s">
        <v>26</v>
      </c>
      <c r="I27" s="117"/>
      <c r="J27" s="230"/>
      <c r="K27" s="31" t="s">
        <v>1246</v>
      </c>
      <c r="L27" s="31"/>
      <c r="M27" s="31"/>
      <c r="N27" s="31">
        <f t="shared" si="0"/>
        <v>20</v>
      </c>
      <c r="O27" s="31" t="s">
        <v>1247</v>
      </c>
      <c r="P27" s="31"/>
      <c r="Q27" s="31"/>
      <c r="R27" s="31"/>
      <c r="S27" s="31"/>
      <c r="T27" s="31" t="s">
        <v>1249</v>
      </c>
      <c r="U27" s="31"/>
      <c r="V27" s="31" t="str">
        <f t="shared" si="1"/>
        <v>Cước vận chuyển vỏ container 20 từ bãi JJ, Hải Phòng đến Nam Đình Vũ, Hải Phòng</v>
      </c>
      <c r="W27" s="31"/>
    </row>
    <row r="28" spans="1:23" s="29" customFormat="1" ht="18" customHeight="1" x14ac:dyDescent="0.25">
      <c r="A28" s="44">
        <v>19</v>
      </c>
      <c r="B28" s="231">
        <v>46180</v>
      </c>
      <c r="C28" s="232" t="s">
        <v>1455</v>
      </c>
      <c r="D28" s="232">
        <v>20</v>
      </c>
      <c r="E28" s="46" t="s">
        <v>20</v>
      </c>
      <c r="F28" s="232" t="s">
        <v>1564</v>
      </c>
      <c r="G28" s="163">
        <v>198000</v>
      </c>
      <c r="H28" s="232" t="s">
        <v>26</v>
      </c>
      <c r="I28" s="117"/>
      <c r="J28" s="230"/>
      <c r="K28" s="31" t="s">
        <v>1246</v>
      </c>
      <c r="L28" s="31"/>
      <c r="M28" s="31"/>
      <c r="N28" s="31">
        <f t="shared" si="0"/>
        <v>20</v>
      </c>
      <c r="O28" s="31" t="s">
        <v>1247</v>
      </c>
      <c r="P28" s="31"/>
      <c r="Q28" s="31"/>
      <c r="R28" s="31"/>
      <c r="S28" s="31"/>
      <c r="T28" s="31" t="s">
        <v>1249</v>
      </c>
      <c r="U28" s="31"/>
      <c r="V28" s="31" t="str">
        <f t="shared" si="1"/>
        <v>Cước vận chuyển vỏ container 20 từ bãi JJ, Hải Phòng đến Nam Đình Vũ, Hải Phòng</v>
      </c>
      <c r="W28" s="31"/>
    </row>
    <row r="29" spans="1:23" s="29" customFormat="1" ht="18" customHeight="1" x14ac:dyDescent="0.25">
      <c r="A29" s="44">
        <v>20</v>
      </c>
      <c r="B29" s="231">
        <v>46180</v>
      </c>
      <c r="C29" s="232" t="s">
        <v>1456</v>
      </c>
      <c r="D29" s="232">
        <v>20</v>
      </c>
      <c r="E29" s="46" t="s">
        <v>20</v>
      </c>
      <c r="F29" s="232" t="s">
        <v>1564</v>
      </c>
      <c r="G29" s="163">
        <v>198000</v>
      </c>
      <c r="H29" s="232" t="s">
        <v>26</v>
      </c>
      <c r="I29" s="117"/>
      <c r="J29" s="230"/>
      <c r="K29" s="31" t="s">
        <v>1246</v>
      </c>
      <c r="L29" s="31"/>
      <c r="M29" s="31"/>
      <c r="N29" s="31">
        <f t="shared" si="0"/>
        <v>20</v>
      </c>
      <c r="O29" s="31" t="s">
        <v>1247</v>
      </c>
      <c r="P29" s="31"/>
      <c r="Q29" s="31"/>
      <c r="R29" s="31"/>
      <c r="S29" s="31"/>
      <c r="T29" s="31" t="s">
        <v>1249</v>
      </c>
      <c r="U29" s="31"/>
      <c r="V29" s="31" t="str">
        <f t="shared" si="1"/>
        <v>Cước vận chuyển vỏ container 20 từ bãi JJ, Hải Phòng đến Nam Đình Vũ, Hải Phòng</v>
      </c>
      <c r="W29" s="31"/>
    </row>
    <row r="30" spans="1:23" s="29" customFormat="1" ht="18" customHeight="1" x14ac:dyDescent="0.25">
      <c r="A30" s="44">
        <v>21</v>
      </c>
      <c r="B30" s="231">
        <v>46180</v>
      </c>
      <c r="C30" s="232" t="s">
        <v>1457</v>
      </c>
      <c r="D30" s="232">
        <v>20</v>
      </c>
      <c r="E30" s="46" t="s">
        <v>20</v>
      </c>
      <c r="F30" s="232" t="s">
        <v>1564</v>
      </c>
      <c r="G30" s="163">
        <v>198000</v>
      </c>
      <c r="H30" s="232" t="s">
        <v>26</v>
      </c>
      <c r="I30" s="117"/>
      <c r="J30" s="230"/>
      <c r="K30" s="31" t="s">
        <v>1246</v>
      </c>
      <c r="L30" s="31"/>
      <c r="M30" s="31"/>
      <c r="N30" s="31">
        <f t="shared" si="0"/>
        <v>20</v>
      </c>
      <c r="O30" s="31" t="s">
        <v>1247</v>
      </c>
      <c r="P30" s="31"/>
      <c r="Q30" s="31"/>
      <c r="R30" s="31"/>
      <c r="S30" s="31"/>
      <c r="T30" s="31" t="s">
        <v>1249</v>
      </c>
      <c r="U30" s="31"/>
      <c r="V30" s="31" t="str">
        <f t="shared" si="1"/>
        <v>Cước vận chuyển vỏ container 20 từ bãi JJ, Hải Phòng đến Nam Đình Vũ, Hải Phòng</v>
      </c>
      <c r="W30" s="31"/>
    </row>
    <row r="31" spans="1:23" s="29" customFormat="1" ht="18" customHeight="1" x14ac:dyDescent="0.25">
      <c r="A31" s="44">
        <v>22</v>
      </c>
      <c r="B31" s="231">
        <v>46180</v>
      </c>
      <c r="C31" s="232" t="s">
        <v>1458</v>
      </c>
      <c r="D31" s="232">
        <v>40</v>
      </c>
      <c r="E31" s="46" t="s">
        <v>20</v>
      </c>
      <c r="F31" s="232" t="s">
        <v>1564</v>
      </c>
      <c r="G31" s="163">
        <v>365000</v>
      </c>
      <c r="H31" s="232" t="s">
        <v>26</v>
      </c>
      <c r="I31" s="117"/>
      <c r="J31" s="117"/>
      <c r="K31" s="31" t="s">
        <v>1246</v>
      </c>
      <c r="L31" s="31"/>
      <c r="M31" s="31"/>
      <c r="N31" s="31">
        <f t="shared" si="0"/>
        <v>40</v>
      </c>
      <c r="O31" s="31" t="s">
        <v>1247</v>
      </c>
      <c r="P31" s="31"/>
      <c r="Q31" s="31"/>
      <c r="R31" s="31"/>
      <c r="S31" s="31"/>
      <c r="T31" s="31" t="s">
        <v>1249</v>
      </c>
      <c r="U31" s="31"/>
      <c r="V31" s="31" t="str">
        <f t="shared" si="1"/>
        <v>Cước vận chuyển vỏ container 40 từ bãi JJ, Hải Phòng đến Nam Đình Vũ, Hải Phòng</v>
      </c>
      <c r="W31" s="31"/>
    </row>
    <row r="32" spans="1:23" s="29" customFormat="1" ht="18" customHeight="1" x14ac:dyDescent="0.25">
      <c r="A32" s="44">
        <v>23</v>
      </c>
      <c r="B32" s="231">
        <v>46180</v>
      </c>
      <c r="C32" s="232" t="s">
        <v>1459</v>
      </c>
      <c r="D32" s="232">
        <v>40</v>
      </c>
      <c r="E32" s="46" t="s">
        <v>20</v>
      </c>
      <c r="F32" s="232" t="s">
        <v>1564</v>
      </c>
      <c r="G32" s="163">
        <v>365000</v>
      </c>
      <c r="H32" s="232" t="s">
        <v>26</v>
      </c>
      <c r="I32" s="117"/>
      <c r="J32" s="117"/>
      <c r="K32" s="31" t="s">
        <v>1246</v>
      </c>
      <c r="L32" s="31"/>
      <c r="M32" s="31"/>
      <c r="N32" s="31">
        <f t="shared" si="0"/>
        <v>40</v>
      </c>
      <c r="O32" s="31" t="s">
        <v>1247</v>
      </c>
      <c r="P32" s="31"/>
      <c r="Q32" s="31"/>
      <c r="R32" s="31"/>
      <c r="S32" s="31"/>
      <c r="T32" s="31" t="s">
        <v>1249</v>
      </c>
      <c r="U32" s="31"/>
      <c r="V32" s="31" t="str">
        <f t="shared" si="1"/>
        <v>Cước vận chuyển vỏ container 40 từ bãi JJ, Hải Phòng đến Nam Đình Vũ, Hải Phòng</v>
      </c>
      <c r="W32" s="31"/>
    </row>
    <row r="33" spans="1:23" s="29" customFormat="1" ht="18" customHeight="1" x14ac:dyDescent="0.25">
      <c r="A33" s="44">
        <v>24</v>
      </c>
      <c r="B33" s="231">
        <v>46180</v>
      </c>
      <c r="C33" s="232" t="s">
        <v>1460</v>
      </c>
      <c r="D33" s="232">
        <v>40</v>
      </c>
      <c r="E33" s="46" t="s">
        <v>20</v>
      </c>
      <c r="F33" s="232" t="s">
        <v>1564</v>
      </c>
      <c r="G33" s="163">
        <v>365000</v>
      </c>
      <c r="H33" s="232" t="s">
        <v>26</v>
      </c>
      <c r="I33" s="117"/>
      <c r="J33" s="117"/>
      <c r="K33" s="31" t="s">
        <v>1246</v>
      </c>
      <c r="L33" s="31"/>
      <c r="M33" s="31"/>
      <c r="N33" s="31">
        <f t="shared" si="0"/>
        <v>40</v>
      </c>
      <c r="O33" s="31" t="s">
        <v>1247</v>
      </c>
      <c r="P33" s="31"/>
      <c r="Q33" s="31"/>
      <c r="R33" s="31"/>
      <c r="S33" s="31"/>
      <c r="T33" s="31" t="s">
        <v>1249</v>
      </c>
      <c r="U33" s="31"/>
      <c r="V33" s="31" t="str">
        <f t="shared" si="1"/>
        <v>Cước vận chuyển vỏ container 40 từ bãi JJ, Hải Phòng đến Nam Đình Vũ, Hải Phòng</v>
      </c>
      <c r="W33" s="31"/>
    </row>
    <row r="34" spans="1:23" s="29" customFormat="1" ht="18" customHeight="1" x14ac:dyDescent="0.25">
      <c r="A34" s="44">
        <v>25</v>
      </c>
      <c r="B34" s="231">
        <v>46177</v>
      </c>
      <c r="C34" s="232" t="s">
        <v>1461</v>
      </c>
      <c r="D34" s="232">
        <v>40</v>
      </c>
      <c r="E34" s="46" t="s">
        <v>20</v>
      </c>
      <c r="F34" s="232" t="s">
        <v>1565</v>
      </c>
      <c r="G34" s="163">
        <v>365000</v>
      </c>
      <c r="H34" s="232" t="s">
        <v>268</v>
      </c>
      <c r="I34" s="117">
        <v>26860</v>
      </c>
      <c r="J34" s="117"/>
      <c r="K34" s="31" t="s">
        <v>1246</v>
      </c>
      <c r="L34" s="31"/>
      <c r="M34" s="31"/>
      <c r="N34" s="31">
        <f t="shared" si="0"/>
        <v>40</v>
      </c>
      <c r="O34" s="31" t="s">
        <v>1247</v>
      </c>
      <c r="P34" s="31"/>
      <c r="Q34" s="31"/>
      <c r="R34" s="31"/>
      <c r="S34" s="31"/>
      <c r="T34" s="31" t="s">
        <v>1249</v>
      </c>
      <c r="U34" s="31"/>
      <c r="V34" s="31" t="str">
        <f t="shared" si="1"/>
        <v>Cước vận chuyển vỏ container 40 từ bãi JJ, Hải Phòng đến Nam Đình Vũ, Hải Phòng</v>
      </c>
      <c r="W34" s="31"/>
    </row>
    <row r="35" spans="1:23" s="29" customFormat="1" ht="18" customHeight="1" x14ac:dyDescent="0.25">
      <c r="A35" s="44">
        <v>26</v>
      </c>
      <c r="B35" s="231">
        <v>46177</v>
      </c>
      <c r="C35" s="232" t="s">
        <v>1462</v>
      </c>
      <c r="D35" s="232">
        <v>40</v>
      </c>
      <c r="E35" s="46" t="s">
        <v>20</v>
      </c>
      <c r="F35" s="232" t="s">
        <v>1565</v>
      </c>
      <c r="G35" s="163">
        <v>365000</v>
      </c>
      <c r="H35" s="232" t="s">
        <v>268</v>
      </c>
      <c r="I35" s="117">
        <v>26860</v>
      </c>
      <c r="J35" s="117"/>
      <c r="K35" s="31" t="s">
        <v>1246</v>
      </c>
      <c r="L35" s="31"/>
      <c r="M35" s="31"/>
      <c r="N35" s="31">
        <f t="shared" si="0"/>
        <v>40</v>
      </c>
      <c r="O35" s="31" t="s">
        <v>1247</v>
      </c>
      <c r="P35" s="31"/>
      <c r="Q35" s="31"/>
      <c r="R35" s="31"/>
      <c r="S35" s="31"/>
      <c r="T35" s="31" t="s">
        <v>1249</v>
      </c>
      <c r="U35" s="31"/>
      <c r="V35" s="31" t="str">
        <f t="shared" si="1"/>
        <v>Cước vận chuyển vỏ container 40 từ bãi JJ, Hải Phòng đến Nam Đình Vũ, Hải Phòng</v>
      </c>
      <c r="W35" s="31"/>
    </row>
    <row r="36" spans="1:23" s="29" customFormat="1" ht="18" customHeight="1" x14ac:dyDescent="0.25">
      <c r="A36" s="44">
        <v>27</v>
      </c>
      <c r="B36" s="231">
        <v>46177</v>
      </c>
      <c r="C36" s="232" t="s">
        <v>1463</v>
      </c>
      <c r="D36" s="232">
        <v>40</v>
      </c>
      <c r="E36" s="46" t="s">
        <v>20</v>
      </c>
      <c r="F36" s="232" t="s">
        <v>1562</v>
      </c>
      <c r="G36" s="163">
        <v>365000</v>
      </c>
      <c r="H36" s="232" t="s">
        <v>268</v>
      </c>
      <c r="I36" s="117">
        <v>26860</v>
      </c>
      <c r="J36" s="117"/>
      <c r="K36" s="31" t="s">
        <v>1246</v>
      </c>
      <c r="L36" s="31"/>
      <c r="M36" s="31"/>
      <c r="N36" s="31">
        <f t="shared" si="0"/>
        <v>40</v>
      </c>
      <c r="O36" s="31" t="s">
        <v>1247</v>
      </c>
      <c r="P36" s="31"/>
      <c r="Q36" s="31"/>
      <c r="R36" s="31"/>
      <c r="S36" s="31"/>
      <c r="T36" s="31" t="s">
        <v>1249</v>
      </c>
      <c r="U36" s="31"/>
      <c r="V36" s="31" t="str">
        <f t="shared" si="1"/>
        <v>Cước vận chuyển vỏ container 40 từ bãi JJ, Hải Phòng đến Nam Đình Vũ, Hải Phòng</v>
      </c>
      <c r="W36" s="31"/>
    </row>
    <row r="37" spans="1:23" s="29" customFormat="1" ht="18" customHeight="1" x14ac:dyDescent="0.25">
      <c r="A37" s="44">
        <v>28</v>
      </c>
      <c r="B37" s="231">
        <v>46177</v>
      </c>
      <c r="C37" s="232" t="s">
        <v>1464</v>
      </c>
      <c r="D37" s="232">
        <v>40</v>
      </c>
      <c r="E37" s="46" t="s">
        <v>20</v>
      </c>
      <c r="F37" s="232" t="s">
        <v>1562</v>
      </c>
      <c r="G37" s="163">
        <v>365000</v>
      </c>
      <c r="H37" s="232" t="s">
        <v>268</v>
      </c>
      <c r="I37" s="117">
        <v>26860</v>
      </c>
      <c r="J37" s="117"/>
      <c r="K37" s="31" t="s">
        <v>1246</v>
      </c>
      <c r="L37" s="31"/>
      <c r="M37" s="31"/>
      <c r="N37" s="31">
        <f t="shared" si="0"/>
        <v>40</v>
      </c>
      <c r="O37" s="31" t="s">
        <v>1247</v>
      </c>
      <c r="P37" s="31"/>
      <c r="Q37" s="31"/>
      <c r="R37" s="31"/>
      <c r="S37" s="31"/>
      <c r="T37" s="31" t="s">
        <v>1249</v>
      </c>
      <c r="U37" s="31"/>
      <c r="V37" s="31" t="str">
        <f t="shared" si="1"/>
        <v>Cước vận chuyển vỏ container 40 từ bãi JJ, Hải Phòng đến Nam Đình Vũ, Hải Phòng</v>
      </c>
      <c r="W37" s="31"/>
    </row>
    <row r="38" spans="1:23" s="29" customFormat="1" ht="18" customHeight="1" x14ac:dyDescent="0.25">
      <c r="A38" s="44">
        <v>29</v>
      </c>
      <c r="B38" s="231">
        <v>46177</v>
      </c>
      <c r="C38" s="232" t="s">
        <v>1465</v>
      </c>
      <c r="D38" s="232">
        <v>40</v>
      </c>
      <c r="E38" s="46" t="s">
        <v>20</v>
      </c>
      <c r="F38" s="232" t="s">
        <v>1565</v>
      </c>
      <c r="G38" s="163">
        <v>365000</v>
      </c>
      <c r="H38" s="232" t="s">
        <v>268</v>
      </c>
      <c r="I38" s="117">
        <v>26860</v>
      </c>
      <c r="J38" s="117"/>
      <c r="K38" s="31" t="s">
        <v>1246</v>
      </c>
      <c r="L38" s="31"/>
      <c r="M38" s="31"/>
      <c r="N38" s="31">
        <f t="shared" si="0"/>
        <v>40</v>
      </c>
      <c r="O38" s="31" t="s">
        <v>1247</v>
      </c>
      <c r="P38" s="31"/>
      <c r="Q38" s="31"/>
      <c r="R38" s="31"/>
      <c r="S38" s="31"/>
      <c r="T38" s="31" t="s">
        <v>1249</v>
      </c>
      <c r="U38" s="31"/>
      <c r="V38" s="31" t="str">
        <f t="shared" si="1"/>
        <v>Cước vận chuyển vỏ container 40 từ bãi JJ, Hải Phòng đến Nam Đình Vũ, Hải Phòng</v>
      </c>
      <c r="W38" s="31"/>
    </row>
    <row r="39" spans="1:23" s="29" customFormat="1" ht="18" customHeight="1" x14ac:dyDescent="0.25">
      <c r="A39" s="44">
        <v>30</v>
      </c>
      <c r="B39" s="231">
        <v>46177</v>
      </c>
      <c r="C39" s="232" t="s">
        <v>1466</v>
      </c>
      <c r="D39" s="232">
        <v>40</v>
      </c>
      <c r="E39" s="46" t="s">
        <v>20</v>
      </c>
      <c r="F39" s="232" t="s">
        <v>1562</v>
      </c>
      <c r="G39" s="163">
        <v>365000</v>
      </c>
      <c r="H39" s="232" t="s">
        <v>828</v>
      </c>
      <c r="I39" s="117">
        <v>26860</v>
      </c>
      <c r="J39" s="117"/>
      <c r="K39" s="31" t="s">
        <v>1246</v>
      </c>
      <c r="L39" s="31"/>
      <c r="M39" s="31"/>
      <c r="N39" s="31">
        <f t="shared" si="0"/>
        <v>40</v>
      </c>
      <c r="O39" s="31" t="s">
        <v>1247</v>
      </c>
      <c r="P39" s="31"/>
      <c r="Q39" s="31"/>
      <c r="R39" s="31"/>
      <c r="S39" s="31"/>
      <c r="T39" s="31" t="s">
        <v>1249</v>
      </c>
      <c r="U39" s="31"/>
      <c r="V39" s="31" t="str">
        <f t="shared" si="1"/>
        <v>Cước vận chuyển vỏ container 40 từ bãi JJ, Hải Phòng đến Nam Đình Vũ, Hải Phòng</v>
      </c>
      <c r="W39" s="31"/>
    </row>
    <row r="40" spans="1:23" s="29" customFormat="1" ht="18" customHeight="1" x14ac:dyDescent="0.25">
      <c r="A40" s="44">
        <v>31</v>
      </c>
      <c r="B40" s="231">
        <v>46177</v>
      </c>
      <c r="C40" s="232" t="s">
        <v>1467</v>
      </c>
      <c r="D40" s="232">
        <v>40</v>
      </c>
      <c r="E40" s="46" t="s">
        <v>20</v>
      </c>
      <c r="F40" s="232" t="s">
        <v>1562</v>
      </c>
      <c r="G40" s="163">
        <v>365000</v>
      </c>
      <c r="H40" s="232" t="s">
        <v>828</v>
      </c>
      <c r="I40" s="117">
        <v>26860</v>
      </c>
      <c r="J40" s="117"/>
      <c r="K40" s="31" t="s">
        <v>1246</v>
      </c>
      <c r="L40" s="31"/>
      <c r="M40" s="31"/>
      <c r="N40" s="31">
        <f t="shared" si="0"/>
        <v>40</v>
      </c>
      <c r="O40" s="31" t="s">
        <v>1247</v>
      </c>
      <c r="P40" s="31"/>
      <c r="Q40" s="31"/>
      <c r="R40" s="31"/>
      <c r="S40" s="31"/>
      <c r="T40" s="31" t="s">
        <v>1249</v>
      </c>
      <c r="U40" s="31"/>
      <c r="V40" s="31" t="str">
        <f t="shared" si="1"/>
        <v>Cước vận chuyển vỏ container 40 từ bãi JJ, Hải Phòng đến Nam Đình Vũ, Hải Phòng</v>
      </c>
      <c r="W40" s="31"/>
    </row>
    <row r="41" spans="1:23" s="29" customFormat="1" ht="18" customHeight="1" x14ac:dyDescent="0.25">
      <c r="A41" s="44">
        <v>32</v>
      </c>
      <c r="B41" s="231">
        <v>46177</v>
      </c>
      <c r="C41" s="232" t="s">
        <v>1468</v>
      </c>
      <c r="D41" s="232">
        <v>40</v>
      </c>
      <c r="E41" s="46" t="s">
        <v>20</v>
      </c>
      <c r="F41" s="232" t="s">
        <v>1562</v>
      </c>
      <c r="G41" s="163">
        <v>365000</v>
      </c>
      <c r="H41" s="232" t="s">
        <v>828</v>
      </c>
      <c r="I41" s="117">
        <v>26860</v>
      </c>
      <c r="J41" s="117"/>
      <c r="K41" s="31" t="s">
        <v>1246</v>
      </c>
      <c r="L41" s="31"/>
      <c r="M41" s="31"/>
      <c r="N41" s="31">
        <f t="shared" si="0"/>
        <v>40</v>
      </c>
      <c r="O41" s="31" t="s">
        <v>1247</v>
      </c>
      <c r="P41" s="31"/>
      <c r="Q41" s="31"/>
      <c r="R41" s="31"/>
      <c r="S41" s="31"/>
      <c r="T41" s="31" t="s">
        <v>1249</v>
      </c>
      <c r="U41" s="31"/>
      <c r="V41" s="31" t="str">
        <f t="shared" si="1"/>
        <v>Cước vận chuyển vỏ container 40 từ bãi JJ, Hải Phòng đến Nam Đình Vũ, Hải Phòng</v>
      </c>
      <c r="W41" s="31"/>
    </row>
    <row r="42" spans="1:23" s="29" customFormat="1" ht="18" customHeight="1" x14ac:dyDescent="0.25">
      <c r="A42" s="44">
        <v>33</v>
      </c>
      <c r="B42" s="231">
        <v>46177</v>
      </c>
      <c r="C42" s="232" t="s">
        <v>1469</v>
      </c>
      <c r="D42" s="232">
        <v>40</v>
      </c>
      <c r="E42" s="46" t="s">
        <v>20</v>
      </c>
      <c r="F42" s="232" t="s">
        <v>1562</v>
      </c>
      <c r="G42" s="163">
        <v>365000</v>
      </c>
      <c r="H42" s="232" t="s">
        <v>828</v>
      </c>
      <c r="I42" s="117">
        <v>26860</v>
      </c>
      <c r="J42" s="117"/>
      <c r="K42" s="31" t="s">
        <v>1246</v>
      </c>
      <c r="L42" s="31"/>
      <c r="M42" s="31"/>
      <c r="N42" s="31">
        <f t="shared" si="0"/>
        <v>40</v>
      </c>
      <c r="O42" s="31" t="s">
        <v>1247</v>
      </c>
      <c r="P42" s="31"/>
      <c r="Q42" s="31"/>
      <c r="R42" s="31"/>
      <c r="S42" s="31"/>
      <c r="T42" s="31" t="s">
        <v>1249</v>
      </c>
      <c r="U42" s="31"/>
      <c r="V42" s="31" t="str">
        <f t="shared" si="1"/>
        <v>Cước vận chuyển vỏ container 40 từ bãi JJ, Hải Phòng đến Nam Đình Vũ, Hải Phòng</v>
      </c>
      <c r="W42" s="31"/>
    </row>
    <row r="43" spans="1:23" s="29" customFormat="1" ht="18" customHeight="1" x14ac:dyDescent="0.25">
      <c r="A43" s="44">
        <v>34</v>
      </c>
      <c r="B43" s="231">
        <v>46177</v>
      </c>
      <c r="C43" s="232" t="s">
        <v>1470</v>
      </c>
      <c r="D43" s="232">
        <v>40</v>
      </c>
      <c r="E43" s="46" t="s">
        <v>20</v>
      </c>
      <c r="F43" s="232" t="s">
        <v>1562</v>
      </c>
      <c r="G43" s="163">
        <v>365000</v>
      </c>
      <c r="H43" s="232" t="s">
        <v>828</v>
      </c>
      <c r="I43" s="117">
        <v>26860</v>
      </c>
      <c r="J43" s="117"/>
      <c r="K43" s="31" t="s">
        <v>1246</v>
      </c>
      <c r="L43" s="31"/>
      <c r="M43" s="31"/>
      <c r="N43" s="31">
        <f t="shared" si="0"/>
        <v>40</v>
      </c>
      <c r="O43" s="31" t="s">
        <v>1247</v>
      </c>
      <c r="P43" s="31"/>
      <c r="Q43" s="31"/>
      <c r="R43" s="31"/>
      <c r="S43" s="31"/>
      <c r="T43" s="31" t="s">
        <v>1249</v>
      </c>
      <c r="U43" s="31"/>
      <c r="V43" s="31" t="str">
        <f t="shared" si="1"/>
        <v>Cước vận chuyển vỏ container 40 từ bãi JJ, Hải Phòng đến Nam Đình Vũ, Hải Phòng</v>
      </c>
      <c r="W43" s="31"/>
    </row>
    <row r="44" spans="1:23" s="29" customFormat="1" ht="18" customHeight="1" x14ac:dyDescent="0.25">
      <c r="A44" s="44">
        <v>35</v>
      </c>
      <c r="B44" s="231">
        <v>46177</v>
      </c>
      <c r="C44" s="232" t="s">
        <v>1471</v>
      </c>
      <c r="D44" s="232">
        <v>40</v>
      </c>
      <c r="E44" s="46" t="s">
        <v>20</v>
      </c>
      <c r="F44" s="232" t="s">
        <v>1562</v>
      </c>
      <c r="G44" s="163">
        <v>365000</v>
      </c>
      <c r="H44" s="232" t="s">
        <v>828</v>
      </c>
      <c r="I44" s="117">
        <v>26860</v>
      </c>
      <c r="J44" s="117"/>
      <c r="K44" s="31" t="s">
        <v>1246</v>
      </c>
      <c r="L44" s="31"/>
      <c r="M44" s="31"/>
      <c r="N44" s="31">
        <f t="shared" si="0"/>
        <v>40</v>
      </c>
      <c r="O44" s="31" t="s">
        <v>1247</v>
      </c>
      <c r="P44" s="31"/>
      <c r="Q44" s="31"/>
      <c r="R44" s="31"/>
      <c r="S44" s="31"/>
      <c r="T44" s="31" t="s">
        <v>1249</v>
      </c>
      <c r="U44" s="31"/>
      <c r="V44" s="31" t="str">
        <f t="shared" si="1"/>
        <v>Cước vận chuyển vỏ container 40 từ bãi JJ, Hải Phòng đến Nam Đình Vũ, Hải Phòng</v>
      </c>
      <c r="W44" s="31"/>
    </row>
    <row r="45" spans="1:23" s="29" customFormat="1" ht="18" customHeight="1" x14ac:dyDescent="0.25">
      <c r="A45" s="44">
        <v>36</v>
      </c>
      <c r="B45" s="231">
        <v>46177</v>
      </c>
      <c r="C45" s="232" t="s">
        <v>1472</v>
      </c>
      <c r="D45" s="232">
        <v>40</v>
      </c>
      <c r="E45" s="46" t="s">
        <v>20</v>
      </c>
      <c r="F45" s="232" t="s">
        <v>1562</v>
      </c>
      <c r="G45" s="163">
        <v>365000</v>
      </c>
      <c r="H45" s="232" t="s">
        <v>828</v>
      </c>
      <c r="I45" s="117">
        <v>26860</v>
      </c>
      <c r="J45" s="117"/>
      <c r="K45" s="31" t="s">
        <v>1246</v>
      </c>
      <c r="L45" s="31"/>
      <c r="M45" s="31"/>
      <c r="N45" s="31">
        <f t="shared" si="0"/>
        <v>40</v>
      </c>
      <c r="O45" s="31" t="s">
        <v>1247</v>
      </c>
      <c r="P45" s="31"/>
      <c r="Q45" s="31"/>
      <c r="R45" s="31"/>
      <c r="S45" s="31"/>
      <c r="T45" s="31" t="s">
        <v>1249</v>
      </c>
      <c r="U45" s="31"/>
      <c r="V45" s="31" t="str">
        <f t="shared" si="1"/>
        <v>Cước vận chuyển vỏ container 40 từ bãi JJ, Hải Phòng đến Nam Đình Vũ, Hải Phòng</v>
      </c>
      <c r="W45" s="31"/>
    </row>
    <row r="46" spans="1:23" s="29" customFormat="1" ht="18" customHeight="1" x14ac:dyDescent="0.25">
      <c r="A46" s="44">
        <v>37</v>
      </c>
      <c r="B46" s="231">
        <v>46180</v>
      </c>
      <c r="C46" s="232" t="s">
        <v>1473</v>
      </c>
      <c r="D46" s="232">
        <v>20</v>
      </c>
      <c r="E46" s="46" t="s">
        <v>20</v>
      </c>
      <c r="F46" s="232" t="s">
        <v>1564</v>
      </c>
      <c r="G46" s="163">
        <v>198000</v>
      </c>
      <c r="H46" s="232" t="s">
        <v>828</v>
      </c>
      <c r="I46" s="117"/>
      <c r="J46" s="117"/>
      <c r="K46" s="31" t="s">
        <v>1246</v>
      </c>
      <c r="L46" s="31"/>
      <c r="M46" s="31"/>
      <c r="N46" s="31">
        <f t="shared" si="0"/>
        <v>20</v>
      </c>
      <c r="O46" s="31" t="s">
        <v>1247</v>
      </c>
      <c r="P46" s="31"/>
      <c r="Q46" s="31"/>
      <c r="R46" s="31"/>
      <c r="S46" s="31"/>
      <c r="T46" s="31" t="s">
        <v>1249</v>
      </c>
      <c r="U46" s="31"/>
      <c r="V46" s="31" t="str">
        <f t="shared" si="1"/>
        <v>Cước vận chuyển vỏ container 20 từ bãi JJ, Hải Phòng đến Nam Đình Vũ, Hải Phòng</v>
      </c>
      <c r="W46" s="31"/>
    </row>
    <row r="47" spans="1:23" s="29" customFormat="1" ht="18" customHeight="1" x14ac:dyDescent="0.25">
      <c r="A47" s="44">
        <v>38</v>
      </c>
      <c r="B47" s="231">
        <v>46180</v>
      </c>
      <c r="C47" s="232" t="s">
        <v>1474</v>
      </c>
      <c r="D47" s="232">
        <v>20</v>
      </c>
      <c r="E47" s="46" t="s">
        <v>20</v>
      </c>
      <c r="F47" s="232" t="s">
        <v>1564</v>
      </c>
      <c r="G47" s="163">
        <v>198000</v>
      </c>
      <c r="H47" s="232" t="s">
        <v>828</v>
      </c>
      <c r="I47" s="117"/>
      <c r="J47" s="117"/>
      <c r="K47" s="31" t="s">
        <v>1246</v>
      </c>
      <c r="L47" s="31"/>
      <c r="M47" s="31"/>
      <c r="N47" s="31">
        <f t="shared" si="0"/>
        <v>20</v>
      </c>
      <c r="O47" s="31" t="s">
        <v>1247</v>
      </c>
      <c r="P47" s="31"/>
      <c r="Q47" s="31"/>
      <c r="R47" s="31"/>
      <c r="S47" s="31"/>
      <c r="T47" s="31" t="s">
        <v>1249</v>
      </c>
      <c r="U47" s="31"/>
      <c r="V47" s="31" t="str">
        <f t="shared" si="1"/>
        <v>Cước vận chuyển vỏ container 20 từ bãi JJ, Hải Phòng đến Nam Đình Vũ, Hải Phòng</v>
      </c>
      <c r="W47" s="31"/>
    </row>
    <row r="48" spans="1:23" s="29" customFormat="1" ht="18" customHeight="1" x14ac:dyDescent="0.25">
      <c r="A48" s="44">
        <v>39</v>
      </c>
      <c r="B48" s="231">
        <v>46180</v>
      </c>
      <c r="C48" s="232" t="s">
        <v>1475</v>
      </c>
      <c r="D48" s="232">
        <v>20</v>
      </c>
      <c r="E48" s="46" t="s">
        <v>20</v>
      </c>
      <c r="F48" s="232" t="s">
        <v>1564</v>
      </c>
      <c r="G48" s="163">
        <v>198000</v>
      </c>
      <c r="H48" s="232" t="s">
        <v>828</v>
      </c>
      <c r="I48" s="117"/>
      <c r="J48" s="117"/>
      <c r="K48" s="31" t="s">
        <v>1246</v>
      </c>
      <c r="L48" s="31"/>
      <c r="M48" s="31"/>
      <c r="N48" s="31">
        <f t="shared" si="0"/>
        <v>20</v>
      </c>
      <c r="O48" s="31" t="s">
        <v>1247</v>
      </c>
      <c r="P48" s="31"/>
      <c r="Q48" s="31"/>
      <c r="R48" s="31"/>
      <c r="S48" s="31"/>
      <c r="T48" s="31" t="s">
        <v>1249</v>
      </c>
      <c r="U48" s="31"/>
      <c r="V48" s="31" t="str">
        <f t="shared" si="1"/>
        <v>Cước vận chuyển vỏ container 20 từ bãi JJ, Hải Phòng đến Nam Đình Vũ, Hải Phòng</v>
      </c>
      <c r="W48" s="31"/>
    </row>
    <row r="49" spans="1:23" s="29" customFormat="1" ht="18" customHeight="1" x14ac:dyDescent="0.25">
      <c r="A49" s="44">
        <v>40</v>
      </c>
      <c r="B49" s="231">
        <v>46180</v>
      </c>
      <c r="C49" s="232" t="s">
        <v>1476</v>
      </c>
      <c r="D49" s="232">
        <v>20</v>
      </c>
      <c r="E49" s="46" t="s">
        <v>20</v>
      </c>
      <c r="F49" s="232" t="s">
        <v>1564</v>
      </c>
      <c r="G49" s="163">
        <v>198000</v>
      </c>
      <c r="H49" s="232" t="s">
        <v>828</v>
      </c>
      <c r="I49" s="117"/>
      <c r="J49" s="117"/>
      <c r="K49" s="31" t="s">
        <v>1246</v>
      </c>
      <c r="L49" s="31"/>
      <c r="M49" s="31"/>
      <c r="N49" s="31">
        <f t="shared" si="0"/>
        <v>20</v>
      </c>
      <c r="O49" s="31" t="s">
        <v>1247</v>
      </c>
      <c r="P49" s="31"/>
      <c r="Q49" s="31"/>
      <c r="R49" s="31"/>
      <c r="S49" s="31"/>
      <c r="T49" s="31" t="s">
        <v>1249</v>
      </c>
      <c r="U49" s="31"/>
      <c r="V49" s="31" t="str">
        <f t="shared" si="1"/>
        <v>Cước vận chuyển vỏ container 20 từ bãi JJ, Hải Phòng đến Nam Đình Vũ, Hải Phòng</v>
      </c>
      <c r="W49" s="31"/>
    </row>
    <row r="50" spans="1:23" s="29" customFormat="1" ht="18" customHeight="1" x14ac:dyDescent="0.25">
      <c r="A50" s="44">
        <v>41</v>
      </c>
      <c r="B50" s="231">
        <v>46180</v>
      </c>
      <c r="C50" s="232" t="s">
        <v>1477</v>
      </c>
      <c r="D50" s="232">
        <v>20</v>
      </c>
      <c r="E50" s="46" t="s">
        <v>20</v>
      </c>
      <c r="F50" s="232" t="s">
        <v>1564</v>
      </c>
      <c r="G50" s="163">
        <v>198000</v>
      </c>
      <c r="H50" s="232" t="s">
        <v>828</v>
      </c>
      <c r="I50" s="117"/>
      <c r="J50" s="117"/>
      <c r="K50" s="31" t="s">
        <v>1246</v>
      </c>
      <c r="L50" s="31"/>
      <c r="M50" s="31"/>
      <c r="N50" s="31">
        <f t="shared" si="0"/>
        <v>20</v>
      </c>
      <c r="O50" s="31" t="s">
        <v>1247</v>
      </c>
      <c r="P50" s="31"/>
      <c r="Q50" s="31"/>
      <c r="R50" s="31"/>
      <c r="S50" s="31"/>
      <c r="T50" s="31" t="s">
        <v>1249</v>
      </c>
      <c r="U50" s="31"/>
      <c r="V50" s="31" t="str">
        <f t="shared" si="1"/>
        <v>Cước vận chuyển vỏ container 20 từ bãi JJ, Hải Phòng đến Nam Đình Vũ, Hải Phòng</v>
      </c>
      <c r="W50" s="31"/>
    </row>
    <row r="51" spans="1:23" s="29" customFormat="1" ht="18" customHeight="1" x14ac:dyDescent="0.25">
      <c r="A51" s="44">
        <v>42</v>
      </c>
      <c r="B51" s="231">
        <v>46180</v>
      </c>
      <c r="C51" s="232" t="s">
        <v>1478</v>
      </c>
      <c r="D51" s="232">
        <v>20</v>
      </c>
      <c r="E51" s="46" t="s">
        <v>20</v>
      </c>
      <c r="F51" s="232" t="s">
        <v>1564</v>
      </c>
      <c r="G51" s="163">
        <v>198000</v>
      </c>
      <c r="H51" s="232" t="s">
        <v>828</v>
      </c>
      <c r="I51" s="117"/>
      <c r="J51" s="117"/>
      <c r="K51" s="31" t="s">
        <v>1246</v>
      </c>
      <c r="L51" s="31"/>
      <c r="M51" s="31"/>
      <c r="N51" s="31">
        <f t="shared" si="0"/>
        <v>20</v>
      </c>
      <c r="O51" s="31" t="s">
        <v>1247</v>
      </c>
      <c r="P51" s="31"/>
      <c r="Q51" s="31"/>
      <c r="R51" s="31"/>
      <c r="S51" s="31"/>
      <c r="T51" s="31" t="s">
        <v>1249</v>
      </c>
      <c r="U51" s="31"/>
      <c r="V51" s="31" t="str">
        <f t="shared" si="1"/>
        <v>Cước vận chuyển vỏ container 20 từ bãi JJ, Hải Phòng đến Nam Đình Vũ, Hải Phòng</v>
      </c>
      <c r="W51" s="31"/>
    </row>
    <row r="52" spans="1:23" s="29" customFormat="1" ht="18" customHeight="1" x14ac:dyDescent="0.25">
      <c r="A52" s="44">
        <v>43</v>
      </c>
      <c r="B52" s="231">
        <v>46180</v>
      </c>
      <c r="C52" s="232" t="s">
        <v>1479</v>
      </c>
      <c r="D52" s="232">
        <v>20</v>
      </c>
      <c r="E52" s="46" t="s">
        <v>20</v>
      </c>
      <c r="F52" s="232" t="s">
        <v>1564</v>
      </c>
      <c r="G52" s="163">
        <v>198000</v>
      </c>
      <c r="H52" s="232" t="s">
        <v>828</v>
      </c>
      <c r="I52" s="117"/>
      <c r="J52" s="117"/>
      <c r="K52" s="31" t="s">
        <v>1246</v>
      </c>
      <c r="L52" s="31"/>
      <c r="M52" s="31"/>
      <c r="N52" s="31">
        <f t="shared" si="0"/>
        <v>20</v>
      </c>
      <c r="O52" s="31" t="s">
        <v>1247</v>
      </c>
      <c r="P52" s="31"/>
      <c r="Q52" s="31"/>
      <c r="R52" s="31"/>
      <c r="S52" s="31"/>
      <c r="T52" s="31" t="s">
        <v>1249</v>
      </c>
      <c r="U52" s="31"/>
      <c r="V52" s="31" t="str">
        <f t="shared" si="1"/>
        <v>Cước vận chuyển vỏ container 20 từ bãi JJ, Hải Phòng đến Nam Đình Vũ, Hải Phòng</v>
      </c>
      <c r="W52" s="31"/>
    </row>
    <row r="53" spans="1:23" s="29" customFormat="1" ht="18" customHeight="1" x14ac:dyDescent="0.25">
      <c r="A53" s="44">
        <v>44</v>
      </c>
      <c r="B53" s="231">
        <v>46180</v>
      </c>
      <c r="C53" s="232" t="s">
        <v>1480</v>
      </c>
      <c r="D53" s="232">
        <v>20</v>
      </c>
      <c r="E53" s="46" t="s">
        <v>20</v>
      </c>
      <c r="F53" s="232" t="s">
        <v>1564</v>
      </c>
      <c r="G53" s="163">
        <v>198000</v>
      </c>
      <c r="H53" s="232" t="s">
        <v>828</v>
      </c>
      <c r="I53" s="37"/>
      <c r="J53" s="37"/>
      <c r="K53" s="31" t="s">
        <v>1246</v>
      </c>
      <c r="L53" s="31"/>
      <c r="M53" s="31"/>
      <c r="N53" s="31">
        <f t="shared" si="0"/>
        <v>20</v>
      </c>
      <c r="O53" s="31" t="s">
        <v>1247</v>
      </c>
      <c r="P53" s="31"/>
      <c r="Q53" s="31"/>
      <c r="R53" s="31"/>
      <c r="S53" s="31"/>
      <c r="T53" s="31" t="s">
        <v>1249</v>
      </c>
      <c r="U53" s="31"/>
      <c r="V53" s="31" t="str">
        <f t="shared" si="1"/>
        <v>Cước vận chuyển vỏ container 20 từ bãi JJ, Hải Phòng đến Nam Đình Vũ, Hải Phòng</v>
      </c>
      <c r="W53" s="31"/>
    </row>
    <row r="54" spans="1:23" s="29" customFormat="1" ht="18" customHeight="1" x14ac:dyDescent="0.25">
      <c r="A54" s="44">
        <v>45</v>
      </c>
      <c r="B54" s="231">
        <v>46180</v>
      </c>
      <c r="C54" s="232" t="s">
        <v>1481</v>
      </c>
      <c r="D54" s="232">
        <v>40</v>
      </c>
      <c r="E54" s="46" t="s">
        <v>20</v>
      </c>
      <c r="F54" s="232" t="s">
        <v>1564</v>
      </c>
      <c r="G54" s="163">
        <v>365000</v>
      </c>
      <c r="H54" s="232" t="s">
        <v>828</v>
      </c>
      <c r="I54" s="37"/>
      <c r="J54" s="37"/>
      <c r="K54" s="31" t="s">
        <v>1246</v>
      </c>
      <c r="L54" s="31"/>
      <c r="M54" s="31"/>
      <c r="N54" s="31">
        <f t="shared" si="0"/>
        <v>40</v>
      </c>
      <c r="O54" s="31" t="s">
        <v>1247</v>
      </c>
      <c r="P54" s="31"/>
      <c r="Q54" s="31"/>
      <c r="R54" s="31"/>
      <c r="S54" s="31"/>
      <c r="T54" s="31" t="s">
        <v>1249</v>
      </c>
      <c r="U54" s="31"/>
      <c r="V54" s="31" t="str">
        <f t="shared" si="1"/>
        <v>Cước vận chuyển vỏ container 40 từ bãi JJ, Hải Phòng đến Nam Đình Vũ, Hải Phòng</v>
      </c>
      <c r="W54" s="31"/>
    </row>
    <row r="55" spans="1:23" s="29" customFormat="1" ht="18" customHeight="1" x14ac:dyDescent="0.25">
      <c r="A55" s="44">
        <v>46</v>
      </c>
      <c r="B55" s="231">
        <v>46180</v>
      </c>
      <c r="C55" s="232" t="s">
        <v>1482</v>
      </c>
      <c r="D55" s="232">
        <v>40</v>
      </c>
      <c r="E55" s="46" t="s">
        <v>20</v>
      </c>
      <c r="F55" s="232" t="s">
        <v>1564</v>
      </c>
      <c r="G55" s="163">
        <v>365000</v>
      </c>
      <c r="H55" s="232" t="s">
        <v>828</v>
      </c>
      <c r="I55" s="37"/>
      <c r="J55" s="37"/>
      <c r="K55" s="31" t="s">
        <v>1246</v>
      </c>
      <c r="L55" s="31"/>
      <c r="M55" s="31"/>
      <c r="N55" s="31">
        <f t="shared" si="0"/>
        <v>40</v>
      </c>
      <c r="O55" s="31" t="s">
        <v>1247</v>
      </c>
      <c r="P55" s="31"/>
      <c r="Q55" s="31"/>
      <c r="R55" s="31"/>
      <c r="S55" s="31"/>
      <c r="T55" s="31" t="s">
        <v>1249</v>
      </c>
      <c r="U55" s="31"/>
      <c r="V55" s="31" t="str">
        <f t="shared" si="1"/>
        <v>Cước vận chuyển vỏ container 40 từ bãi JJ, Hải Phòng đến Nam Đình Vũ, Hải Phòng</v>
      </c>
      <c r="W55" s="31"/>
    </row>
    <row r="56" spans="1:23" s="29" customFormat="1" ht="18" customHeight="1" x14ac:dyDescent="0.25">
      <c r="A56" s="44">
        <v>47</v>
      </c>
      <c r="B56" s="231">
        <v>46180</v>
      </c>
      <c r="C56" s="232" t="s">
        <v>1483</v>
      </c>
      <c r="D56" s="232">
        <v>40</v>
      </c>
      <c r="E56" s="46" t="s">
        <v>20</v>
      </c>
      <c r="F56" s="232" t="s">
        <v>1564</v>
      </c>
      <c r="G56" s="163">
        <v>365000</v>
      </c>
      <c r="H56" s="232" t="s">
        <v>828</v>
      </c>
      <c r="I56" s="37"/>
      <c r="J56" s="37"/>
      <c r="K56" s="31" t="s">
        <v>1246</v>
      </c>
      <c r="L56" s="31"/>
      <c r="M56" s="31"/>
      <c r="N56" s="31">
        <f t="shared" si="0"/>
        <v>40</v>
      </c>
      <c r="O56" s="31" t="s">
        <v>1247</v>
      </c>
      <c r="P56" s="31"/>
      <c r="Q56" s="31"/>
      <c r="R56" s="31"/>
      <c r="S56" s="31"/>
      <c r="T56" s="31" t="s">
        <v>1249</v>
      </c>
      <c r="U56" s="31"/>
      <c r="V56" s="31" t="str">
        <f t="shared" si="1"/>
        <v>Cước vận chuyển vỏ container 40 từ bãi JJ, Hải Phòng đến Nam Đình Vũ, Hải Phòng</v>
      </c>
      <c r="W56" s="31"/>
    </row>
    <row r="57" spans="1:23" s="29" customFormat="1" ht="18" customHeight="1" x14ac:dyDescent="0.25">
      <c r="A57" s="44">
        <v>48</v>
      </c>
      <c r="B57" s="231">
        <v>46180</v>
      </c>
      <c r="C57" s="232" t="s">
        <v>1484</v>
      </c>
      <c r="D57" s="232">
        <v>20</v>
      </c>
      <c r="E57" s="46" t="s">
        <v>20</v>
      </c>
      <c r="F57" s="232" t="s">
        <v>1564</v>
      </c>
      <c r="G57" s="163">
        <v>198000</v>
      </c>
      <c r="H57" s="232" t="s">
        <v>268</v>
      </c>
      <c r="I57" s="37"/>
      <c r="J57" s="37"/>
      <c r="K57" s="31" t="s">
        <v>1246</v>
      </c>
      <c r="L57" s="31"/>
      <c r="M57" s="31"/>
      <c r="N57" s="31">
        <f t="shared" si="0"/>
        <v>20</v>
      </c>
      <c r="O57" s="31" t="s">
        <v>1247</v>
      </c>
      <c r="P57" s="31"/>
      <c r="Q57" s="31"/>
      <c r="R57" s="31"/>
      <c r="S57" s="31"/>
      <c r="T57" s="31" t="s">
        <v>1249</v>
      </c>
      <c r="U57" s="31"/>
      <c r="V57" s="31" t="str">
        <f t="shared" si="1"/>
        <v>Cước vận chuyển vỏ container 20 từ bãi JJ, Hải Phòng đến Nam Đình Vũ, Hải Phòng</v>
      </c>
      <c r="W57" s="31"/>
    </row>
    <row r="58" spans="1:23" s="29" customFormat="1" ht="18" customHeight="1" x14ac:dyDescent="0.25">
      <c r="A58" s="44">
        <v>49</v>
      </c>
      <c r="B58" s="231">
        <v>46180</v>
      </c>
      <c r="C58" s="232" t="s">
        <v>1485</v>
      </c>
      <c r="D58" s="232">
        <v>20</v>
      </c>
      <c r="E58" s="46" t="s">
        <v>20</v>
      </c>
      <c r="F58" s="232" t="s">
        <v>1564</v>
      </c>
      <c r="G58" s="163">
        <v>198000</v>
      </c>
      <c r="H58" s="232" t="s">
        <v>268</v>
      </c>
      <c r="I58" s="37"/>
      <c r="J58" s="37"/>
      <c r="K58" s="31" t="s">
        <v>1246</v>
      </c>
      <c r="L58" s="31"/>
      <c r="M58" s="31"/>
      <c r="N58" s="31">
        <f t="shared" si="0"/>
        <v>20</v>
      </c>
      <c r="O58" s="31" t="s">
        <v>1247</v>
      </c>
      <c r="P58" s="31"/>
      <c r="Q58" s="31"/>
      <c r="R58" s="31"/>
      <c r="S58" s="31"/>
      <c r="T58" s="31" t="s">
        <v>1249</v>
      </c>
      <c r="U58" s="31"/>
      <c r="V58" s="31" t="str">
        <f t="shared" si="1"/>
        <v>Cước vận chuyển vỏ container 20 từ bãi JJ, Hải Phòng đến Nam Đình Vũ, Hải Phòng</v>
      </c>
      <c r="W58" s="31"/>
    </row>
    <row r="59" spans="1:23" s="29" customFormat="1" ht="18" customHeight="1" x14ac:dyDescent="0.25">
      <c r="A59" s="44">
        <v>50</v>
      </c>
      <c r="B59" s="231">
        <v>46180</v>
      </c>
      <c r="C59" s="232" t="s">
        <v>1486</v>
      </c>
      <c r="D59" s="232">
        <v>20</v>
      </c>
      <c r="E59" s="46" t="s">
        <v>20</v>
      </c>
      <c r="F59" s="232" t="s">
        <v>1564</v>
      </c>
      <c r="G59" s="163">
        <v>198000</v>
      </c>
      <c r="H59" s="232" t="s">
        <v>268</v>
      </c>
      <c r="I59" s="37"/>
      <c r="J59" s="37"/>
      <c r="K59" s="31" t="s">
        <v>1246</v>
      </c>
      <c r="L59" s="31"/>
      <c r="M59" s="31"/>
      <c r="N59" s="31">
        <f t="shared" si="0"/>
        <v>20</v>
      </c>
      <c r="O59" s="31" t="s">
        <v>1247</v>
      </c>
      <c r="P59" s="31"/>
      <c r="Q59" s="31"/>
      <c r="R59" s="31"/>
      <c r="S59" s="31"/>
      <c r="T59" s="31" t="s">
        <v>1249</v>
      </c>
      <c r="U59" s="31"/>
      <c r="V59" s="31" t="str">
        <f t="shared" si="1"/>
        <v>Cước vận chuyển vỏ container 20 từ bãi JJ, Hải Phòng đến Nam Đình Vũ, Hải Phòng</v>
      </c>
      <c r="W59" s="31"/>
    </row>
    <row r="60" spans="1:23" s="29" customFormat="1" ht="18" customHeight="1" x14ac:dyDescent="0.25">
      <c r="A60" s="44">
        <v>51</v>
      </c>
      <c r="B60" s="231">
        <v>46180</v>
      </c>
      <c r="C60" s="232" t="s">
        <v>1487</v>
      </c>
      <c r="D60" s="232">
        <v>20</v>
      </c>
      <c r="E60" s="46" t="s">
        <v>20</v>
      </c>
      <c r="F60" s="232" t="s">
        <v>1564</v>
      </c>
      <c r="G60" s="163">
        <v>198000</v>
      </c>
      <c r="H60" s="232" t="s">
        <v>268</v>
      </c>
      <c r="I60" s="37"/>
      <c r="J60" s="37"/>
      <c r="K60" s="31" t="s">
        <v>1246</v>
      </c>
      <c r="L60" s="31"/>
      <c r="M60" s="31"/>
      <c r="N60" s="31">
        <f t="shared" si="0"/>
        <v>20</v>
      </c>
      <c r="O60" s="31" t="s">
        <v>1247</v>
      </c>
      <c r="P60" s="31"/>
      <c r="Q60" s="31"/>
      <c r="R60" s="31"/>
      <c r="S60" s="31"/>
      <c r="T60" s="31" t="s">
        <v>1249</v>
      </c>
      <c r="U60" s="31"/>
      <c r="V60" s="31" t="str">
        <f t="shared" si="1"/>
        <v>Cước vận chuyển vỏ container 20 từ bãi JJ, Hải Phòng đến Nam Đình Vũ, Hải Phòng</v>
      </c>
      <c r="W60" s="31"/>
    </row>
    <row r="61" spans="1:23" s="29" customFormat="1" ht="18" customHeight="1" x14ac:dyDescent="0.25">
      <c r="A61" s="44">
        <v>52</v>
      </c>
      <c r="B61" s="231">
        <v>46180</v>
      </c>
      <c r="C61" s="232" t="s">
        <v>1488</v>
      </c>
      <c r="D61" s="232">
        <v>20</v>
      </c>
      <c r="E61" s="46" t="s">
        <v>20</v>
      </c>
      <c r="F61" s="232" t="s">
        <v>1564</v>
      </c>
      <c r="G61" s="163">
        <v>198000</v>
      </c>
      <c r="H61" s="232" t="s">
        <v>268</v>
      </c>
      <c r="I61" s="37"/>
      <c r="J61" s="37"/>
      <c r="K61" s="31" t="s">
        <v>1246</v>
      </c>
      <c r="L61" s="31"/>
      <c r="M61" s="31"/>
      <c r="N61" s="31">
        <f t="shared" si="0"/>
        <v>20</v>
      </c>
      <c r="O61" s="31" t="s">
        <v>1247</v>
      </c>
      <c r="P61" s="31"/>
      <c r="Q61" s="31"/>
      <c r="R61" s="31"/>
      <c r="S61" s="31"/>
      <c r="T61" s="31" t="s">
        <v>1249</v>
      </c>
      <c r="U61" s="31"/>
      <c r="V61" s="31" t="str">
        <f t="shared" si="1"/>
        <v>Cước vận chuyển vỏ container 20 từ bãi JJ, Hải Phòng đến Nam Đình Vũ, Hải Phòng</v>
      </c>
      <c r="W61" s="31"/>
    </row>
    <row r="62" spans="1:23" s="29" customFormat="1" ht="18" customHeight="1" x14ac:dyDescent="0.25">
      <c r="A62" s="44">
        <v>53</v>
      </c>
      <c r="B62" s="231">
        <v>46180</v>
      </c>
      <c r="C62" s="232" t="s">
        <v>1489</v>
      </c>
      <c r="D62" s="232">
        <v>20</v>
      </c>
      <c r="E62" s="46" t="s">
        <v>20</v>
      </c>
      <c r="F62" s="232" t="s">
        <v>1564</v>
      </c>
      <c r="G62" s="163">
        <v>198000</v>
      </c>
      <c r="H62" s="232" t="s">
        <v>268</v>
      </c>
      <c r="I62" s="37"/>
      <c r="J62" s="37"/>
      <c r="K62" s="31" t="s">
        <v>1246</v>
      </c>
      <c r="L62" s="31"/>
      <c r="M62" s="31"/>
      <c r="N62" s="31">
        <f t="shared" si="0"/>
        <v>20</v>
      </c>
      <c r="O62" s="31" t="s">
        <v>1247</v>
      </c>
      <c r="P62" s="31"/>
      <c r="Q62" s="31"/>
      <c r="R62" s="31"/>
      <c r="S62" s="31"/>
      <c r="T62" s="31" t="s">
        <v>1249</v>
      </c>
      <c r="U62" s="31"/>
      <c r="V62" s="31" t="str">
        <f t="shared" si="1"/>
        <v>Cước vận chuyển vỏ container 20 từ bãi JJ, Hải Phòng đến Nam Đình Vũ, Hải Phòng</v>
      </c>
      <c r="W62" s="31"/>
    </row>
    <row r="63" spans="1:23" s="29" customFormat="1" ht="18" customHeight="1" x14ac:dyDescent="0.25">
      <c r="A63" s="44">
        <v>54</v>
      </c>
      <c r="B63" s="231">
        <v>46180</v>
      </c>
      <c r="C63" s="232" t="s">
        <v>1490</v>
      </c>
      <c r="D63" s="232">
        <v>20</v>
      </c>
      <c r="E63" s="46" t="s">
        <v>20</v>
      </c>
      <c r="F63" s="232" t="s">
        <v>1564</v>
      </c>
      <c r="G63" s="163">
        <v>198000</v>
      </c>
      <c r="H63" s="232" t="s">
        <v>268</v>
      </c>
      <c r="I63" s="37"/>
      <c r="J63" s="37"/>
      <c r="K63" s="31" t="s">
        <v>1246</v>
      </c>
      <c r="L63" s="31"/>
      <c r="M63" s="31"/>
      <c r="N63" s="31">
        <f t="shared" si="0"/>
        <v>20</v>
      </c>
      <c r="O63" s="31" t="s">
        <v>1247</v>
      </c>
      <c r="P63" s="31"/>
      <c r="Q63" s="31"/>
      <c r="R63" s="31"/>
      <c r="S63" s="31"/>
      <c r="T63" s="31" t="s">
        <v>1249</v>
      </c>
      <c r="U63" s="31"/>
      <c r="V63" s="31" t="str">
        <f t="shared" si="1"/>
        <v>Cước vận chuyển vỏ container 20 từ bãi JJ, Hải Phòng đến Nam Đình Vũ, Hải Phòng</v>
      </c>
      <c r="W63" s="31"/>
    </row>
    <row r="64" spans="1:23" s="29" customFormat="1" ht="18" customHeight="1" x14ac:dyDescent="0.25">
      <c r="A64" s="44">
        <v>55</v>
      </c>
      <c r="B64" s="231">
        <v>46180</v>
      </c>
      <c r="C64" s="232" t="s">
        <v>1491</v>
      </c>
      <c r="D64" s="232">
        <v>20</v>
      </c>
      <c r="E64" s="46" t="s">
        <v>20</v>
      </c>
      <c r="F64" s="232" t="s">
        <v>1564</v>
      </c>
      <c r="G64" s="163">
        <v>198000</v>
      </c>
      <c r="H64" s="232" t="s">
        <v>268</v>
      </c>
      <c r="I64" s="37"/>
      <c r="J64" s="37"/>
      <c r="K64" s="31" t="s">
        <v>1246</v>
      </c>
      <c r="L64" s="31"/>
      <c r="M64" s="31"/>
      <c r="N64" s="31">
        <f t="shared" si="0"/>
        <v>20</v>
      </c>
      <c r="O64" s="31" t="s">
        <v>1247</v>
      </c>
      <c r="P64" s="31"/>
      <c r="Q64" s="31"/>
      <c r="R64" s="31"/>
      <c r="S64" s="31"/>
      <c r="T64" s="31" t="s">
        <v>1249</v>
      </c>
      <c r="U64" s="31"/>
      <c r="V64" s="31" t="str">
        <f t="shared" si="1"/>
        <v>Cước vận chuyển vỏ container 20 từ bãi JJ, Hải Phòng đến Nam Đình Vũ, Hải Phòng</v>
      </c>
      <c r="W64" s="31"/>
    </row>
    <row r="65" spans="1:23" s="29" customFormat="1" ht="18" customHeight="1" x14ac:dyDescent="0.25">
      <c r="A65" s="44">
        <v>56</v>
      </c>
      <c r="B65" s="231">
        <v>46177</v>
      </c>
      <c r="C65" s="232" t="s">
        <v>1492</v>
      </c>
      <c r="D65" s="232">
        <v>40</v>
      </c>
      <c r="E65" s="46" t="s">
        <v>20</v>
      </c>
      <c r="F65" s="232" t="s">
        <v>1562</v>
      </c>
      <c r="G65" s="163">
        <v>365000</v>
      </c>
      <c r="H65" s="53" t="s">
        <v>30</v>
      </c>
      <c r="I65" s="117">
        <v>26860</v>
      </c>
      <c r="J65" s="37"/>
      <c r="K65" s="31" t="s">
        <v>1246</v>
      </c>
      <c r="L65" s="31"/>
      <c r="M65" s="31"/>
      <c r="N65" s="31">
        <f t="shared" si="0"/>
        <v>40</v>
      </c>
      <c r="O65" s="31" t="s">
        <v>1247</v>
      </c>
      <c r="P65" s="31"/>
      <c r="Q65" s="31"/>
      <c r="R65" s="31"/>
      <c r="S65" s="31"/>
      <c r="T65" s="31" t="s">
        <v>1249</v>
      </c>
      <c r="U65" s="31"/>
      <c r="V65" s="31" t="str">
        <f t="shared" si="1"/>
        <v>Cước vận chuyển vỏ container 40 từ bãi JJ, Hải Phòng đến Nam Đình Vũ, Hải Phòng</v>
      </c>
      <c r="W65" s="31"/>
    </row>
    <row r="66" spans="1:23" s="29" customFormat="1" ht="18" customHeight="1" x14ac:dyDescent="0.25">
      <c r="A66" s="44">
        <v>57</v>
      </c>
      <c r="B66" s="231">
        <v>46177</v>
      </c>
      <c r="C66" s="232" t="s">
        <v>1493</v>
      </c>
      <c r="D66" s="232">
        <v>40</v>
      </c>
      <c r="E66" s="46" t="s">
        <v>20</v>
      </c>
      <c r="F66" s="232" t="s">
        <v>1562</v>
      </c>
      <c r="G66" s="163">
        <v>365000</v>
      </c>
      <c r="H66" s="53" t="s">
        <v>30</v>
      </c>
      <c r="I66" s="117">
        <v>26860</v>
      </c>
      <c r="J66" s="37"/>
      <c r="K66" s="31" t="s">
        <v>1246</v>
      </c>
      <c r="L66" s="31"/>
      <c r="M66" s="31"/>
      <c r="N66" s="31">
        <f t="shared" si="0"/>
        <v>40</v>
      </c>
      <c r="O66" s="31" t="s">
        <v>1247</v>
      </c>
      <c r="P66" s="31"/>
      <c r="Q66" s="31"/>
      <c r="R66" s="31"/>
      <c r="S66" s="31"/>
      <c r="T66" s="31" t="s">
        <v>1249</v>
      </c>
      <c r="U66" s="31"/>
      <c r="V66" s="31" t="str">
        <f t="shared" si="1"/>
        <v>Cước vận chuyển vỏ container 40 từ bãi JJ, Hải Phòng đến Nam Đình Vũ, Hải Phòng</v>
      </c>
      <c r="W66" s="31"/>
    </row>
    <row r="67" spans="1:23" s="29" customFormat="1" ht="18" customHeight="1" x14ac:dyDescent="0.25">
      <c r="A67" s="44">
        <v>58</v>
      </c>
      <c r="B67" s="231">
        <v>46177</v>
      </c>
      <c r="C67" s="232" t="s">
        <v>1494</v>
      </c>
      <c r="D67" s="232">
        <v>40</v>
      </c>
      <c r="E67" s="46" t="s">
        <v>20</v>
      </c>
      <c r="F67" s="232" t="s">
        <v>1562</v>
      </c>
      <c r="G67" s="163">
        <v>365000</v>
      </c>
      <c r="H67" s="53" t="s">
        <v>30</v>
      </c>
      <c r="I67" s="117">
        <v>26860</v>
      </c>
      <c r="J67" s="37"/>
      <c r="K67" s="31" t="s">
        <v>1246</v>
      </c>
      <c r="L67" s="31"/>
      <c r="M67" s="31"/>
      <c r="N67" s="31">
        <f>D67</f>
        <v>40</v>
      </c>
      <c r="O67" s="31" t="s">
        <v>1247</v>
      </c>
      <c r="P67" s="31"/>
      <c r="Q67" s="31"/>
      <c r="R67" s="31"/>
      <c r="S67" s="31"/>
      <c r="T67" s="31" t="s">
        <v>1249</v>
      </c>
      <c r="U67" s="31"/>
      <c r="V67" s="31" t="str">
        <f t="shared" si="1"/>
        <v>Cước vận chuyển vỏ container 40 từ bãi JJ, Hải Phòng đến Nam Đình Vũ, Hải Phòng</v>
      </c>
      <c r="W67" s="31"/>
    </row>
    <row r="68" spans="1:23" s="29" customFormat="1" ht="18" customHeight="1" x14ac:dyDescent="0.25">
      <c r="A68" s="44">
        <v>59</v>
      </c>
      <c r="B68" s="231">
        <v>46177</v>
      </c>
      <c r="C68" s="232" t="s">
        <v>1495</v>
      </c>
      <c r="D68" s="232">
        <v>40</v>
      </c>
      <c r="E68" s="46" t="s">
        <v>20</v>
      </c>
      <c r="F68" s="232" t="s">
        <v>1562</v>
      </c>
      <c r="G68" s="163">
        <v>365000</v>
      </c>
      <c r="H68" s="53" t="s">
        <v>30</v>
      </c>
      <c r="I68" s="117">
        <v>26860</v>
      </c>
      <c r="J68" s="37"/>
      <c r="K68" s="31" t="s">
        <v>1246</v>
      </c>
      <c r="L68" s="31"/>
      <c r="M68" s="31"/>
      <c r="N68" s="31">
        <f t="shared" ref="N68:N87" si="2">D68</f>
        <v>40</v>
      </c>
      <c r="O68" s="31" t="s">
        <v>1247</v>
      </c>
      <c r="P68" s="31"/>
      <c r="Q68" s="31"/>
      <c r="R68" s="31"/>
      <c r="S68" s="31"/>
      <c r="T68" s="31" t="s">
        <v>1249</v>
      </c>
      <c r="U68" s="31"/>
      <c r="V68" s="31" t="str">
        <f t="shared" si="1"/>
        <v>Cước vận chuyển vỏ container 40 từ bãi JJ, Hải Phòng đến Nam Đình Vũ, Hải Phòng</v>
      </c>
      <c r="W68" s="31"/>
    </row>
    <row r="69" spans="1:23" s="29" customFormat="1" ht="18" customHeight="1" x14ac:dyDescent="0.25">
      <c r="A69" s="44">
        <v>60</v>
      </c>
      <c r="B69" s="231">
        <v>46177</v>
      </c>
      <c r="C69" s="232" t="s">
        <v>1496</v>
      </c>
      <c r="D69" s="232">
        <v>40</v>
      </c>
      <c r="E69" s="46" t="s">
        <v>20</v>
      </c>
      <c r="F69" s="232" t="s">
        <v>1562</v>
      </c>
      <c r="G69" s="163">
        <v>365000</v>
      </c>
      <c r="H69" s="53" t="s">
        <v>30</v>
      </c>
      <c r="I69" s="117">
        <v>26860</v>
      </c>
      <c r="J69" s="37"/>
      <c r="K69" s="31" t="s">
        <v>1246</v>
      </c>
      <c r="L69" s="31"/>
      <c r="M69" s="31"/>
      <c r="N69" s="31">
        <f t="shared" si="2"/>
        <v>40</v>
      </c>
      <c r="O69" s="31" t="s">
        <v>1247</v>
      </c>
      <c r="P69" s="31"/>
      <c r="Q69" s="31"/>
      <c r="R69" s="31"/>
      <c r="S69" s="31"/>
      <c r="T69" s="31" t="s">
        <v>1249</v>
      </c>
      <c r="U69" s="31"/>
      <c r="V69" s="31" t="str">
        <f t="shared" si="1"/>
        <v>Cước vận chuyển vỏ container 40 từ bãi JJ, Hải Phòng đến Nam Đình Vũ, Hải Phòng</v>
      </c>
      <c r="W69" s="31"/>
    </row>
    <row r="70" spans="1:23" s="29" customFormat="1" ht="18" customHeight="1" x14ac:dyDescent="0.25">
      <c r="A70" s="44">
        <v>61</v>
      </c>
      <c r="B70" s="231">
        <v>46177</v>
      </c>
      <c r="C70" s="232" t="s">
        <v>1497</v>
      </c>
      <c r="D70" s="232">
        <v>40</v>
      </c>
      <c r="E70" s="46" t="s">
        <v>20</v>
      </c>
      <c r="F70" s="232" t="s">
        <v>1562</v>
      </c>
      <c r="G70" s="163">
        <v>365000</v>
      </c>
      <c r="H70" s="53" t="s">
        <v>30</v>
      </c>
      <c r="I70" s="117">
        <v>26860</v>
      </c>
      <c r="J70" s="37"/>
      <c r="K70" s="31" t="s">
        <v>1246</v>
      </c>
      <c r="L70" s="31"/>
      <c r="M70" s="31"/>
      <c r="N70" s="31">
        <f t="shared" si="2"/>
        <v>40</v>
      </c>
      <c r="O70" s="31" t="s">
        <v>1247</v>
      </c>
      <c r="P70" s="31"/>
      <c r="Q70" s="31"/>
      <c r="R70" s="31"/>
      <c r="S70" s="31"/>
      <c r="T70" s="31" t="s">
        <v>1249</v>
      </c>
      <c r="U70" s="31"/>
      <c r="V70" s="31" t="str">
        <f t="shared" si="1"/>
        <v>Cước vận chuyển vỏ container 40 từ bãi JJ, Hải Phòng đến Nam Đình Vũ, Hải Phòng</v>
      </c>
      <c r="W70" s="31"/>
    </row>
    <row r="71" spans="1:23" s="29" customFormat="1" ht="18" customHeight="1" x14ac:dyDescent="0.25">
      <c r="A71" s="44">
        <v>62</v>
      </c>
      <c r="B71" s="231">
        <v>46177</v>
      </c>
      <c r="C71" s="232" t="s">
        <v>1498</v>
      </c>
      <c r="D71" s="232">
        <v>40</v>
      </c>
      <c r="E71" s="46" t="s">
        <v>20</v>
      </c>
      <c r="F71" s="232" t="s">
        <v>1562</v>
      </c>
      <c r="G71" s="163">
        <v>365000</v>
      </c>
      <c r="H71" s="53" t="s">
        <v>30</v>
      </c>
      <c r="I71" s="117">
        <v>26860</v>
      </c>
      <c r="J71" s="37"/>
      <c r="K71" s="31" t="s">
        <v>1246</v>
      </c>
      <c r="L71" s="31"/>
      <c r="M71" s="31"/>
      <c r="N71" s="31">
        <f t="shared" si="2"/>
        <v>40</v>
      </c>
      <c r="O71" s="31" t="s">
        <v>1247</v>
      </c>
      <c r="P71" s="31"/>
      <c r="Q71" s="31"/>
      <c r="R71" s="31"/>
      <c r="S71" s="31"/>
      <c r="T71" s="31" t="s">
        <v>1249</v>
      </c>
      <c r="U71" s="31"/>
      <c r="V71" s="31" t="str">
        <f t="shared" si="1"/>
        <v>Cước vận chuyển vỏ container 40 từ bãi JJ, Hải Phòng đến Nam Đình Vũ, Hải Phòng</v>
      </c>
      <c r="W71" s="31"/>
    </row>
    <row r="72" spans="1:23" s="29" customFormat="1" ht="18" customHeight="1" x14ac:dyDescent="0.25">
      <c r="A72" s="44">
        <v>63</v>
      </c>
      <c r="B72" s="231">
        <v>46177</v>
      </c>
      <c r="C72" s="232" t="s">
        <v>1499</v>
      </c>
      <c r="D72" s="232">
        <v>40</v>
      </c>
      <c r="E72" s="46" t="s">
        <v>20</v>
      </c>
      <c r="F72" s="232" t="s">
        <v>1562</v>
      </c>
      <c r="G72" s="163">
        <v>365000</v>
      </c>
      <c r="H72" s="53" t="s">
        <v>30</v>
      </c>
      <c r="I72" s="117">
        <v>26860</v>
      </c>
      <c r="J72" s="37"/>
      <c r="K72" s="31" t="s">
        <v>1246</v>
      </c>
      <c r="L72" s="31"/>
      <c r="M72" s="31"/>
      <c r="N72" s="31">
        <f t="shared" si="2"/>
        <v>40</v>
      </c>
      <c r="O72" s="31" t="s">
        <v>1247</v>
      </c>
      <c r="P72" s="31"/>
      <c r="Q72" s="31"/>
      <c r="R72" s="31"/>
      <c r="S72" s="31"/>
      <c r="T72" s="31" t="s">
        <v>1249</v>
      </c>
      <c r="U72" s="31"/>
      <c r="V72" s="31" t="str">
        <f t="shared" si="1"/>
        <v>Cước vận chuyển vỏ container 40 từ bãi JJ, Hải Phòng đến Nam Đình Vũ, Hải Phòng</v>
      </c>
      <c r="W72" s="31"/>
    </row>
    <row r="73" spans="1:23" s="29" customFormat="1" ht="18" customHeight="1" x14ac:dyDescent="0.25">
      <c r="A73" s="44">
        <v>64</v>
      </c>
      <c r="B73" s="231">
        <v>46177</v>
      </c>
      <c r="C73" s="232" t="s">
        <v>1500</v>
      </c>
      <c r="D73" s="232">
        <v>40</v>
      </c>
      <c r="E73" s="46" t="s">
        <v>20</v>
      </c>
      <c r="F73" s="232" t="s">
        <v>1562</v>
      </c>
      <c r="G73" s="163">
        <v>365000</v>
      </c>
      <c r="H73" s="53" t="s">
        <v>30</v>
      </c>
      <c r="I73" s="117">
        <v>26860</v>
      </c>
      <c r="J73" s="37"/>
      <c r="K73" s="31" t="s">
        <v>1246</v>
      </c>
      <c r="L73" s="31"/>
      <c r="M73" s="31"/>
      <c r="N73" s="31">
        <f t="shared" si="2"/>
        <v>40</v>
      </c>
      <c r="O73" s="31" t="s">
        <v>1247</v>
      </c>
      <c r="P73" s="31"/>
      <c r="Q73" s="31"/>
      <c r="R73" s="31"/>
      <c r="S73" s="31"/>
      <c r="T73" s="31" t="s">
        <v>1249</v>
      </c>
      <c r="U73" s="31"/>
      <c r="V73" s="31" t="str">
        <f t="shared" si="1"/>
        <v>Cước vận chuyển vỏ container 40 từ bãi JJ, Hải Phòng đến Nam Đình Vũ, Hải Phòng</v>
      </c>
      <c r="W73" s="31"/>
    </row>
    <row r="74" spans="1:23" s="29" customFormat="1" ht="18" customHeight="1" x14ac:dyDescent="0.25">
      <c r="A74" s="44">
        <v>65</v>
      </c>
      <c r="B74" s="231">
        <v>46177</v>
      </c>
      <c r="C74" s="232" t="s">
        <v>1501</v>
      </c>
      <c r="D74" s="232">
        <v>40</v>
      </c>
      <c r="E74" s="46" t="s">
        <v>20</v>
      </c>
      <c r="F74" s="232" t="s">
        <v>1562</v>
      </c>
      <c r="G74" s="163">
        <v>365000</v>
      </c>
      <c r="H74" s="53" t="s">
        <v>30</v>
      </c>
      <c r="I74" s="117">
        <v>26860</v>
      </c>
      <c r="J74" s="117"/>
      <c r="K74" s="31" t="s">
        <v>1246</v>
      </c>
      <c r="L74" s="31"/>
      <c r="M74" s="31"/>
      <c r="N74" s="31">
        <f t="shared" si="2"/>
        <v>40</v>
      </c>
      <c r="O74" s="31" t="s">
        <v>1247</v>
      </c>
      <c r="P74" s="31"/>
      <c r="Q74" s="31"/>
      <c r="R74" s="31"/>
      <c r="S74" s="31"/>
      <c r="T74" s="31" t="s">
        <v>1249</v>
      </c>
      <c r="U74" s="31"/>
      <c r="V74" s="31" t="str">
        <f t="shared" si="1"/>
        <v>Cước vận chuyển vỏ container 40 từ bãi JJ, Hải Phòng đến Nam Đình Vũ, Hải Phòng</v>
      </c>
      <c r="W74" s="31"/>
    </row>
    <row r="75" spans="1:23" s="29" customFormat="1" ht="18" customHeight="1" x14ac:dyDescent="0.25">
      <c r="A75" s="44">
        <v>66</v>
      </c>
      <c r="B75" s="231">
        <v>46177</v>
      </c>
      <c r="C75" s="232" t="s">
        <v>1502</v>
      </c>
      <c r="D75" s="232">
        <v>40</v>
      </c>
      <c r="E75" s="46" t="s">
        <v>20</v>
      </c>
      <c r="F75" s="232" t="s">
        <v>1562</v>
      </c>
      <c r="G75" s="163">
        <v>365000</v>
      </c>
      <c r="H75" s="53" t="s">
        <v>30</v>
      </c>
      <c r="I75" s="117">
        <v>26860</v>
      </c>
      <c r="J75" s="117"/>
      <c r="K75" s="31" t="s">
        <v>1246</v>
      </c>
      <c r="L75" s="31"/>
      <c r="M75" s="31"/>
      <c r="N75" s="31">
        <f t="shared" si="2"/>
        <v>40</v>
      </c>
      <c r="O75" s="31" t="s">
        <v>1247</v>
      </c>
      <c r="P75" s="31"/>
      <c r="Q75" s="31"/>
      <c r="R75" s="31"/>
      <c r="S75" s="31"/>
      <c r="T75" s="31" t="s">
        <v>1249</v>
      </c>
      <c r="U75" s="31"/>
      <c r="V75" s="31" t="str">
        <f t="shared" ref="V75:V138" si="3">K75&amp;" "&amp;N75&amp;""&amp;" "&amp;O75</f>
        <v>Cước vận chuyển vỏ container 40 từ bãi JJ, Hải Phòng đến Nam Đình Vũ, Hải Phòng</v>
      </c>
      <c r="W75" s="31"/>
    </row>
    <row r="76" spans="1:23" s="29" customFormat="1" ht="18" customHeight="1" x14ac:dyDescent="0.25">
      <c r="A76" s="44">
        <v>67</v>
      </c>
      <c r="B76" s="231">
        <v>46177</v>
      </c>
      <c r="C76" s="232" t="s">
        <v>1503</v>
      </c>
      <c r="D76" s="232">
        <v>40</v>
      </c>
      <c r="E76" s="46" t="s">
        <v>20</v>
      </c>
      <c r="F76" s="232" t="s">
        <v>1562</v>
      </c>
      <c r="G76" s="163">
        <v>365000</v>
      </c>
      <c r="H76" s="53" t="s">
        <v>30</v>
      </c>
      <c r="I76" s="117">
        <v>26860</v>
      </c>
      <c r="J76" s="117"/>
      <c r="K76" s="31" t="s">
        <v>1246</v>
      </c>
      <c r="L76" s="31"/>
      <c r="M76" s="31"/>
      <c r="N76" s="31">
        <f t="shared" si="2"/>
        <v>40</v>
      </c>
      <c r="O76" s="31" t="s">
        <v>1247</v>
      </c>
      <c r="P76" s="31"/>
      <c r="Q76" s="31"/>
      <c r="R76" s="31"/>
      <c r="S76" s="31"/>
      <c r="T76" s="31" t="s">
        <v>1249</v>
      </c>
      <c r="U76" s="31"/>
      <c r="V76" s="31" t="str">
        <f t="shared" si="3"/>
        <v>Cước vận chuyển vỏ container 40 từ bãi JJ, Hải Phòng đến Nam Đình Vũ, Hải Phòng</v>
      </c>
      <c r="W76" s="31"/>
    </row>
    <row r="77" spans="1:23" s="29" customFormat="1" ht="18" customHeight="1" x14ac:dyDescent="0.25">
      <c r="A77" s="44">
        <v>68</v>
      </c>
      <c r="B77" s="231">
        <v>46184</v>
      </c>
      <c r="C77" s="232" t="s">
        <v>1504</v>
      </c>
      <c r="D77" s="232">
        <v>40</v>
      </c>
      <c r="E77" s="46" t="s">
        <v>20</v>
      </c>
      <c r="F77" s="232" t="s">
        <v>1562</v>
      </c>
      <c r="G77" s="163">
        <v>365000</v>
      </c>
      <c r="H77" s="232" t="s">
        <v>1378</v>
      </c>
      <c r="I77" s="117">
        <v>25870</v>
      </c>
      <c r="J77" s="117"/>
      <c r="K77" s="31" t="s">
        <v>1246</v>
      </c>
      <c r="L77" s="31"/>
      <c r="M77" s="31"/>
      <c r="N77" s="31">
        <f t="shared" si="2"/>
        <v>40</v>
      </c>
      <c r="O77" s="31" t="s">
        <v>1247</v>
      </c>
      <c r="P77" s="31"/>
      <c r="Q77" s="31"/>
      <c r="R77" s="31"/>
      <c r="S77" s="31"/>
      <c r="T77" s="31" t="s">
        <v>1249</v>
      </c>
      <c r="U77" s="31"/>
      <c r="V77" s="31" t="str">
        <f t="shared" si="3"/>
        <v>Cước vận chuyển vỏ container 40 từ bãi JJ, Hải Phòng đến Nam Đình Vũ, Hải Phòng</v>
      </c>
      <c r="W77" s="31"/>
    </row>
    <row r="78" spans="1:23" s="29" customFormat="1" ht="18" customHeight="1" x14ac:dyDescent="0.25">
      <c r="A78" s="44">
        <v>69</v>
      </c>
      <c r="B78" s="231">
        <v>46184</v>
      </c>
      <c r="C78" s="232" t="s">
        <v>1505</v>
      </c>
      <c r="D78" s="232">
        <v>40</v>
      </c>
      <c r="E78" s="46" t="s">
        <v>20</v>
      </c>
      <c r="F78" s="232" t="s">
        <v>1562</v>
      </c>
      <c r="G78" s="163">
        <v>365000</v>
      </c>
      <c r="H78" s="232" t="s">
        <v>1378</v>
      </c>
      <c r="I78" s="117">
        <v>25870</v>
      </c>
      <c r="J78" s="117"/>
      <c r="K78" s="31" t="s">
        <v>1246</v>
      </c>
      <c r="L78" s="31"/>
      <c r="M78" s="31"/>
      <c r="N78" s="31">
        <f t="shared" si="2"/>
        <v>40</v>
      </c>
      <c r="O78" s="31" t="s">
        <v>1247</v>
      </c>
      <c r="P78" s="31"/>
      <c r="Q78" s="31"/>
      <c r="R78" s="31"/>
      <c r="S78" s="31"/>
      <c r="T78" s="31" t="s">
        <v>1249</v>
      </c>
      <c r="U78" s="31"/>
      <c r="V78" s="31" t="str">
        <f t="shared" si="3"/>
        <v>Cước vận chuyển vỏ container 40 từ bãi JJ, Hải Phòng đến Nam Đình Vũ, Hải Phòng</v>
      </c>
      <c r="W78" s="31"/>
    </row>
    <row r="79" spans="1:23" s="29" customFormat="1" ht="18" customHeight="1" x14ac:dyDescent="0.25">
      <c r="A79" s="44">
        <v>70</v>
      </c>
      <c r="B79" s="231">
        <v>46184</v>
      </c>
      <c r="C79" s="232" t="s">
        <v>1506</v>
      </c>
      <c r="D79" s="232">
        <v>40</v>
      </c>
      <c r="E79" s="46" t="s">
        <v>20</v>
      </c>
      <c r="F79" s="232" t="s">
        <v>1562</v>
      </c>
      <c r="G79" s="163">
        <v>365000</v>
      </c>
      <c r="H79" s="232" t="s">
        <v>1378</v>
      </c>
      <c r="I79" s="117">
        <v>25870</v>
      </c>
      <c r="J79" s="117"/>
      <c r="K79" s="31" t="s">
        <v>1246</v>
      </c>
      <c r="L79" s="31"/>
      <c r="M79" s="31"/>
      <c r="N79" s="31">
        <f t="shared" si="2"/>
        <v>40</v>
      </c>
      <c r="O79" s="31" t="s">
        <v>1247</v>
      </c>
      <c r="P79" s="31"/>
      <c r="Q79" s="31"/>
      <c r="R79" s="31"/>
      <c r="S79" s="31"/>
      <c r="T79" s="31" t="s">
        <v>1249</v>
      </c>
      <c r="U79" s="31"/>
      <c r="V79" s="31" t="str">
        <f t="shared" si="3"/>
        <v>Cước vận chuyển vỏ container 40 từ bãi JJ, Hải Phòng đến Nam Đình Vũ, Hải Phòng</v>
      </c>
      <c r="W79" s="31"/>
    </row>
    <row r="80" spans="1:23" s="29" customFormat="1" ht="18" customHeight="1" x14ac:dyDescent="0.25">
      <c r="A80" s="44">
        <v>71</v>
      </c>
      <c r="B80" s="231">
        <v>46184</v>
      </c>
      <c r="C80" s="232" t="s">
        <v>1507</v>
      </c>
      <c r="D80" s="232">
        <v>40</v>
      </c>
      <c r="E80" s="46" t="s">
        <v>20</v>
      </c>
      <c r="F80" s="232" t="s">
        <v>1562</v>
      </c>
      <c r="G80" s="163">
        <v>365000</v>
      </c>
      <c r="H80" s="232" t="s">
        <v>1378</v>
      </c>
      <c r="I80" s="117">
        <v>25870</v>
      </c>
      <c r="J80" s="117"/>
      <c r="K80" s="31" t="s">
        <v>1246</v>
      </c>
      <c r="L80" s="31"/>
      <c r="M80" s="31"/>
      <c r="N80" s="31">
        <f t="shared" si="2"/>
        <v>40</v>
      </c>
      <c r="O80" s="31" t="s">
        <v>1247</v>
      </c>
      <c r="P80" s="31"/>
      <c r="Q80" s="31"/>
      <c r="R80" s="31"/>
      <c r="S80" s="31"/>
      <c r="T80" s="31" t="s">
        <v>1249</v>
      </c>
      <c r="U80" s="31"/>
      <c r="V80" s="31" t="str">
        <f t="shared" si="3"/>
        <v>Cước vận chuyển vỏ container 40 từ bãi JJ, Hải Phòng đến Nam Đình Vũ, Hải Phòng</v>
      </c>
      <c r="W80" s="31"/>
    </row>
    <row r="81" spans="1:23" s="29" customFormat="1" ht="18" customHeight="1" x14ac:dyDescent="0.25">
      <c r="A81" s="44">
        <v>72</v>
      </c>
      <c r="B81" s="231">
        <v>46184</v>
      </c>
      <c r="C81" s="232" t="s">
        <v>1508</v>
      </c>
      <c r="D81" s="232">
        <v>40</v>
      </c>
      <c r="E81" s="46" t="s">
        <v>20</v>
      </c>
      <c r="F81" s="232" t="s">
        <v>1562</v>
      </c>
      <c r="G81" s="163">
        <v>365000</v>
      </c>
      <c r="H81" s="232" t="s">
        <v>28</v>
      </c>
      <c r="I81" s="117">
        <v>25870</v>
      </c>
      <c r="J81" s="117"/>
      <c r="K81" s="31" t="s">
        <v>1246</v>
      </c>
      <c r="L81" s="31"/>
      <c r="M81" s="31"/>
      <c r="N81" s="31">
        <f t="shared" si="2"/>
        <v>40</v>
      </c>
      <c r="O81" s="31" t="s">
        <v>1247</v>
      </c>
      <c r="P81" s="31"/>
      <c r="Q81" s="31"/>
      <c r="R81" s="31"/>
      <c r="S81" s="31"/>
      <c r="T81" s="31" t="s">
        <v>1249</v>
      </c>
      <c r="U81" s="31"/>
      <c r="V81" s="31" t="str">
        <f t="shared" si="3"/>
        <v>Cước vận chuyển vỏ container 40 từ bãi JJ, Hải Phòng đến Nam Đình Vũ, Hải Phòng</v>
      </c>
      <c r="W81" s="31"/>
    </row>
    <row r="82" spans="1:23" s="29" customFormat="1" ht="18" customHeight="1" x14ac:dyDescent="0.25">
      <c r="A82" s="44">
        <v>73</v>
      </c>
      <c r="B82" s="231">
        <v>46184</v>
      </c>
      <c r="C82" s="232" t="s">
        <v>1509</v>
      </c>
      <c r="D82" s="232">
        <v>40</v>
      </c>
      <c r="E82" s="46" t="s">
        <v>20</v>
      </c>
      <c r="F82" s="232" t="s">
        <v>1562</v>
      </c>
      <c r="G82" s="163">
        <v>365000</v>
      </c>
      <c r="H82" s="232" t="s">
        <v>28</v>
      </c>
      <c r="I82" s="117">
        <v>25870</v>
      </c>
      <c r="J82" s="117"/>
      <c r="K82" s="31" t="s">
        <v>1246</v>
      </c>
      <c r="L82" s="31"/>
      <c r="M82" s="31"/>
      <c r="N82" s="31">
        <f t="shared" si="2"/>
        <v>40</v>
      </c>
      <c r="O82" s="31" t="s">
        <v>1247</v>
      </c>
      <c r="P82" s="31"/>
      <c r="Q82" s="31"/>
      <c r="R82" s="31"/>
      <c r="S82" s="31"/>
      <c r="T82" s="31" t="s">
        <v>1249</v>
      </c>
      <c r="U82" s="31"/>
      <c r="V82" s="31" t="str">
        <f t="shared" si="3"/>
        <v>Cước vận chuyển vỏ container 40 từ bãi JJ, Hải Phòng đến Nam Đình Vũ, Hải Phòng</v>
      </c>
      <c r="W82" s="31"/>
    </row>
    <row r="83" spans="1:23" s="29" customFormat="1" ht="18" customHeight="1" x14ac:dyDescent="0.25">
      <c r="A83" s="44">
        <v>74</v>
      </c>
      <c r="B83" s="231">
        <v>46184</v>
      </c>
      <c r="C83" s="232" t="s">
        <v>1510</v>
      </c>
      <c r="D83" s="232">
        <v>40</v>
      </c>
      <c r="E83" s="46" t="s">
        <v>20</v>
      </c>
      <c r="F83" s="232" t="s">
        <v>1562</v>
      </c>
      <c r="G83" s="163">
        <v>365000</v>
      </c>
      <c r="H83" s="232" t="s">
        <v>28</v>
      </c>
      <c r="I83" s="117">
        <v>25870</v>
      </c>
      <c r="J83" s="117"/>
      <c r="K83" s="31" t="s">
        <v>1246</v>
      </c>
      <c r="L83" s="31"/>
      <c r="M83" s="31"/>
      <c r="N83" s="31">
        <f t="shared" si="2"/>
        <v>40</v>
      </c>
      <c r="O83" s="31" t="s">
        <v>1247</v>
      </c>
      <c r="P83" s="31"/>
      <c r="Q83" s="31"/>
      <c r="R83" s="31"/>
      <c r="S83" s="31"/>
      <c r="T83" s="31" t="s">
        <v>1249</v>
      </c>
      <c r="U83" s="31"/>
      <c r="V83" s="31" t="str">
        <f t="shared" si="3"/>
        <v>Cước vận chuyển vỏ container 40 từ bãi JJ, Hải Phòng đến Nam Đình Vũ, Hải Phòng</v>
      </c>
      <c r="W83" s="31"/>
    </row>
    <row r="84" spans="1:23" s="29" customFormat="1" ht="18" customHeight="1" x14ac:dyDescent="0.25">
      <c r="A84" s="44">
        <v>75</v>
      </c>
      <c r="B84" s="231">
        <v>46184</v>
      </c>
      <c r="C84" s="232" t="s">
        <v>1511</v>
      </c>
      <c r="D84" s="232">
        <v>40</v>
      </c>
      <c r="E84" s="46" t="s">
        <v>20</v>
      </c>
      <c r="F84" s="232" t="s">
        <v>1562</v>
      </c>
      <c r="G84" s="163">
        <v>365000</v>
      </c>
      <c r="H84" s="232" t="s">
        <v>28</v>
      </c>
      <c r="I84" s="117">
        <v>25870</v>
      </c>
      <c r="J84" s="117"/>
      <c r="K84" s="31" t="s">
        <v>1246</v>
      </c>
      <c r="L84" s="31"/>
      <c r="M84" s="31"/>
      <c r="N84" s="31">
        <f t="shared" si="2"/>
        <v>40</v>
      </c>
      <c r="O84" s="31" t="s">
        <v>1247</v>
      </c>
      <c r="P84" s="31"/>
      <c r="Q84" s="31"/>
      <c r="R84" s="31"/>
      <c r="S84" s="31"/>
      <c r="T84" s="31" t="s">
        <v>1249</v>
      </c>
      <c r="U84" s="31"/>
      <c r="V84" s="31" t="str">
        <f t="shared" si="3"/>
        <v>Cước vận chuyển vỏ container 40 từ bãi JJ, Hải Phòng đến Nam Đình Vũ, Hải Phòng</v>
      </c>
      <c r="W84" s="31"/>
    </row>
    <row r="85" spans="1:23" s="29" customFormat="1" ht="18" customHeight="1" x14ac:dyDescent="0.25">
      <c r="A85" s="44">
        <v>76</v>
      </c>
      <c r="B85" s="48">
        <v>46183</v>
      </c>
      <c r="C85" s="53" t="s">
        <v>1512</v>
      </c>
      <c r="D85" s="90">
        <v>20</v>
      </c>
      <c r="E85" s="46" t="s">
        <v>20</v>
      </c>
      <c r="F85" s="122" t="s">
        <v>1562</v>
      </c>
      <c r="G85" s="163">
        <v>198000</v>
      </c>
      <c r="H85" s="53" t="s">
        <v>842</v>
      </c>
      <c r="I85" s="117"/>
      <c r="J85" s="117"/>
      <c r="K85" s="31" t="s">
        <v>1246</v>
      </c>
      <c r="L85" s="31"/>
      <c r="M85" s="31"/>
      <c r="N85" s="31">
        <f t="shared" si="2"/>
        <v>20</v>
      </c>
      <c r="O85" s="31" t="s">
        <v>1247</v>
      </c>
      <c r="P85" s="31"/>
      <c r="Q85" s="31"/>
      <c r="R85" s="31"/>
      <c r="S85" s="31"/>
      <c r="T85" s="31" t="s">
        <v>1249</v>
      </c>
      <c r="U85" s="31"/>
      <c r="V85" s="31" t="str">
        <f t="shared" si="3"/>
        <v>Cước vận chuyển vỏ container 20 từ bãi JJ, Hải Phòng đến Nam Đình Vũ, Hải Phòng</v>
      </c>
      <c r="W85" s="31"/>
    </row>
    <row r="86" spans="1:23" s="29" customFormat="1" ht="18" customHeight="1" x14ac:dyDescent="0.25">
      <c r="A86" s="44">
        <v>77</v>
      </c>
      <c r="B86" s="48">
        <v>46183</v>
      </c>
      <c r="C86" s="53" t="s">
        <v>1513</v>
      </c>
      <c r="D86" s="90">
        <v>20</v>
      </c>
      <c r="E86" s="46" t="s">
        <v>20</v>
      </c>
      <c r="F86" s="122" t="s">
        <v>1562</v>
      </c>
      <c r="G86" s="163">
        <v>198000</v>
      </c>
      <c r="H86" s="53" t="s">
        <v>842</v>
      </c>
      <c r="I86" s="117"/>
      <c r="J86" s="117"/>
      <c r="K86" s="31" t="s">
        <v>1246</v>
      </c>
      <c r="L86" s="31"/>
      <c r="M86" s="31"/>
      <c r="N86" s="31">
        <f t="shared" si="2"/>
        <v>20</v>
      </c>
      <c r="O86" s="31" t="s">
        <v>1247</v>
      </c>
      <c r="P86" s="31"/>
      <c r="Q86" s="31"/>
      <c r="R86" s="31"/>
      <c r="S86" s="31"/>
      <c r="T86" s="31" t="s">
        <v>1249</v>
      </c>
      <c r="U86" s="31"/>
      <c r="V86" s="31" t="str">
        <f t="shared" si="3"/>
        <v>Cước vận chuyển vỏ container 20 từ bãi JJ, Hải Phòng đến Nam Đình Vũ, Hải Phòng</v>
      </c>
      <c r="W86" s="31"/>
    </row>
    <row r="87" spans="1:23" s="29" customFormat="1" ht="18" customHeight="1" x14ac:dyDescent="0.25">
      <c r="A87" s="44">
        <v>78</v>
      </c>
      <c r="B87" s="48">
        <v>46183</v>
      </c>
      <c r="C87" s="53" t="s">
        <v>1514</v>
      </c>
      <c r="D87" s="90">
        <v>20</v>
      </c>
      <c r="E87" s="46" t="s">
        <v>20</v>
      </c>
      <c r="F87" s="122" t="s">
        <v>1562</v>
      </c>
      <c r="G87" s="163">
        <v>198000</v>
      </c>
      <c r="H87" s="53" t="s">
        <v>842</v>
      </c>
      <c r="I87" s="117"/>
      <c r="J87" s="117"/>
      <c r="K87" s="31" t="s">
        <v>1246</v>
      </c>
      <c r="L87" s="31"/>
      <c r="M87" s="31"/>
      <c r="N87" s="31">
        <f t="shared" si="2"/>
        <v>20</v>
      </c>
      <c r="O87" s="31" t="s">
        <v>1247</v>
      </c>
      <c r="P87" s="31"/>
      <c r="Q87" s="31"/>
      <c r="R87" s="31"/>
      <c r="S87" s="31"/>
      <c r="T87" s="31" t="s">
        <v>1249</v>
      </c>
      <c r="U87" s="31"/>
      <c r="V87" s="31" t="str">
        <f t="shared" si="3"/>
        <v>Cước vận chuyển vỏ container 20 từ bãi JJ, Hải Phòng đến Nam Đình Vũ, Hải Phòng</v>
      </c>
      <c r="W87" s="31"/>
    </row>
    <row r="88" spans="1:23" s="29" customFormat="1" ht="18" customHeight="1" x14ac:dyDescent="0.25">
      <c r="A88" s="44">
        <v>79</v>
      </c>
      <c r="B88" s="48">
        <v>46183</v>
      </c>
      <c r="C88" s="53" t="s">
        <v>1515</v>
      </c>
      <c r="D88" s="90">
        <v>20</v>
      </c>
      <c r="E88" s="46" t="s">
        <v>20</v>
      </c>
      <c r="F88" s="122" t="s">
        <v>1562</v>
      </c>
      <c r="G88" s="163">
        <v>198000</v>
      </c>
      <c r="H88" s="53" t="s">
        <v>842</v>
      </c>
      <c r="I88" s="117"/>
      <c r="J88" s="117"/>
      <c r="K88" s="31" t="s">
        <v>1246</v>
      </c>
      <c r="L88" s="31"/>
      <c r="M88" s="31"/>
      <c r="N88" s="31">
        <f>D88</f>
        <v>20</v>
      </c>
      <c r="O88" s="31" t="s">
        <v>1247</v>
      </c>
      <c r="P88" s="31"/>
      <c r="Q88" s="31"/>
      <c r="R88" s="31"/>
      <c r="S88" s="31"/>
      <c r="T88" s="31" t="s">
        <v>1249</v>
      </c>
      <c r="U88" s="31"/>
      <c r="V88" s="31" t="str">
        <f t="shared" si="3"/>
        <v>Cước vận chuyển vỏ container 20 từ bãi JJ, Hải Phòng đến Nam Đình Vũ, Hải Phòng</v>
      </c>
      <c r="W88" s="31"/>
    </row>
    <row r="89" spans="1:23" s="29" customFormat="1" ht="18" customHeight="1" x14ac:dyDescent="0.25">
      <c r="A89" s="44">
        <v>80</v>
      </c>
      <c r="B89" s="48">
        <v>46183</v>
      </c>
      <c r="C89" s="53" t="s">
        <v>1516</v>
      </c>
      <c r="D89" s="90">
        <v>20</v>
      </c>
      <c r="E89" s="46" t="s">
        <v>20</v>
      </c>
      <c r="F89" s="122" t="s">
        <v>1562</v>
      </c>
      <c r="G89" s="163">
        <v>198000</v>
      </c>
      <c r="H89" s="53" t="s">
        <v>1566</v>
      </c>
      <c r="I89" s="117"/>
      <c r="J89" s="117"/>
      <c r="K89" s="31" t="s">
        <v>1246</v>
      </c>
      <c r="L89" s="31"/>
      <c r="M89" s="31"/>
      <c r="N89" s="31">
        <f t="shared" ref="N89:N139" si="4">D89</f>
        <v>20</v>
      </c>
      <c r="O89" s="31" t="s">
        <v>1247</v>
      </c>
      <c r="P89" s="31"/>
      <c r="Q89" s="31"/>
      <c r="R89" s="31"/>
      <c r="S89" s="31"/>
      <c r="T89" s="31" t="s">
        <v>1249</v>
      </c>
      <c r="U89" s="31"/>
      <c r="V89" s="31" t="str">
        <f t="shared" si="3"/>
        <v>Cước vận chuyển vỏ container 20 từ bãi JJ, Hải Phòng đến Nam Đình Vũ, Hải Phòng</v>
      </c>
      <c r="W89" s="31"/>
    </row>
    <row r="90" spans="1:23" s="29" customFormat="1" ht="18" customHeight="1" x14ac:dyDescent="0.25">
      <c r="A90" s="44">
        <v>81</v>
      </c>
      <c r="B90" s="48">
        <v>46183</v>
      </c>
      <c r="C90" s="53" t="s">
        <v>1517</v>
      </c>
      <c r="D90" s="90">
        <v>20</v>
      </c>
      <c r="E90" s="46" t="s">
        <v>20</v>
      </c>
      <c r="F90" s="122" t="s">
        <v>1562</v>
      </c>
      <c r="G90" s="163">
        <v>198000</v>
      </c>
      <c r="H90" s="53" t="s">
        <v>1566</v>
      </c>
      <c r="I90" s="117"/>
      <c r="J90" s="117"/>
      <c r="K90" s="31" t="s">
        <v>1246</v>
      </c>
      <c r="L90" s="31"/>
      <c r="M90" s="31"/>
      <c r="N90" s="31">
        <f t="shared" si="4"/>
        <v>20</v>
      </c>
      <c r="O90" s="31" t="s">
        <v>1247</v>
      </c>
      <c r="P90" s="31"/>
      <c r="Q90" s="31"/>
      <c r="R90" s="31"/>
      <c r="S90" s="31"/>
      <c r="T90" s="31" t="s">
        <v>1249</v>
      </c>
      <c r="U90" s="31"/>
      <c r="V90" s="31" t="str">
        <f t="shared" si="3"/>
        <v>Cước vận chuyển vỏ container 20 từ bãi JJ, Hải Phòng đến Nam Đình Vũ, Hải Phòng</v>
      </c>
      <c r="W90" s="31"/>
    </row>
    <row r="91" spans="1:23" s="29" customFormat="1" ht="18" customHeight="1" x14ac:dyDescent="0.25">
      <c r="A91" s="44">
        <v>82</v>
      </c>
      <c r="B91" s="48">
        <v>46183</v>
      </c>
      <c r="C91" s="53" t="s">
        <v>1518</v>
      </c>
      <c r="D91" s="90">
        <v>20</v>
      </c>
      <c r="E91" s="46" t="s">
        <v>20</v>
      </c>
      <c r="F91" s="122" t="s">
        <v>1562</v>
      </c>
      <c r="G91" s="163">
        <v>198000</v>
      </c>
      <c r="H91" s="53" t="s">
        <v>1566</v>
      </c>
      <c r="I91" s="117"/>
      <c r="J91" s="117"/>
      <c r="K91" s="31" t="s">
        <v>1246</v>
      </c>
      <c r="L91" s="31"/>
      <c r="M91" s="31"/>
      <c r="N91" s="31">
        <f t="shared" si="4"/>
        <v>20</v>
      </c>
      <c r="O91" s="31" t="s">
        <v>1247</v>
      </c>
      <c r="P91" s="31"/>
      <c r="Q91" s="31"/>
      <c r="R91" s="31"/>
      <c r="S91" s="31"/>
      <c r="T91" s="31" t="s">
        <v>1249</v>
      </c>
      <c r="U91" s="31"/>
      <c r="V91" s="31" t="str">
        <f t="shared" si="3"/>
        <v>Cước vận chuyển vỏ container 20 từ bãi JJ, Hải Phòng đến Nam Đình Vũ, Hải Phòng</v>
      </c>
      <c r="W91" s="31"/>
    </row>
    <row r="92" spans="1:23" s="29" customFormat="1" ht="18" customHeight="1" x14ac:dyDescent="0.25">
      <c r="A92" s="44">
        <v>83</v>
      </c>
      <c r="B92" s="48">
        <v>46183</v>
      </c>
      <c r="C92" s="53" t="s">
        <v>1519</v>
      </c>
      <c r="D92" s="90">
        <v>20</v>
      </c>
      <c r="E92" s="46" t="s">
        <v>20</v>
      </c>
      <c r="F92" s="122" t="s">
        <v>1562</v>
      </c>
      <c r="G92" s="163">
        <v>198000</v>
      </c>
      <c r="H92" s="53" t="s">
        <v>1566</v>
      </c>
      <c r="I92" s="117"/>
      <c r="J92" s="117"/>
      <c r="K92" s="31" t="s">
        <v>1246</v>
      </c>
      <c r="L92" s="31"/>
      <c r="M92" s="31"/>
      <c r="N92" s="31">
        <f t="shared" si="4"/>
        <v>20</v>
      </c>
      <c r="O92" s="31" t="s">
        <v>1247</v>
      </c>
      <c r="P92" s="31"/>
      <c r="Q92" s="31"/>
      <c r="R92" s="31"/>
      <c r="S92" s="31"/>
      <c r="T92" s="31" t="s">
        <v>1249</v>
      </c>
      <c r="U92" s="31"/>
      <c r="V92" s="31" t="str">
        <f t="shared" si="3"/>
        <v>Cước vận chuyển vỏ container 20 từ bãi JJ, Hải Phòng đến Nam Đình Vũ, Hải Phòng</v>
      </c>
      <c r="W92" s="31"/>
    </row>
    <row r="93" spans="1:23" s="29" customFormat="1" ht="18" customHeight="1" x14ac:dyDescent="0.25">
      <c r="A93" s="44">
        <v>84</v>
      </c>
      <c r="B93" s="48">
        <v>46183</v>
      </c>
      <c r="C93" s="53" t="s">
        <v>1520</v>
      </c>
      <c r="D93" s="90">
        <v>40</v>
      </c>
      <c r="E93" s="46" t="s">
        <v>20</v>
      </c>
      <c r="F93" s="122" t="s">
        <v>1562</v>
      </c>
      <c r="G93" s="163">
        <v>365000</v>
      </c>
      <c r="H93" s="53" t="s">
        <v>1566</v>
      </c>
      <c r="I93" s="37"/>
      <c r="J93" s="37"/>
      <c r="K93" s="31" t="s">
        <v>1246</v>
      </c>
      <c r="L93" s="31"/>
      <c r="M93" s="31"/>
      <c r="N93" s="31">
        <f t="shared" si="4"/>
        <v>40</v>
      </c>
      <c r="O93" s="31" t="s">
        <v>1247</v>
      </c>
      <c r="P93" s="31"/>
      <c r="Q93" s="31"/>
      <c r="R93" s="31"/>
      <c r="S93" s="31"/>
      <c r="T93" s="31" t="s">
        <v>1249</v>
      </c>
      <c r="U93" s="31"/>
      <c r="V93" s="31" t="str">
        <f t="shared" si="3"/>
        <v>Cước vận chuyển vỏ container 40 từ bãi JJ, Hải Phòng đến Nam Đình Vũ, Hải Phòng</v>
      </c>
      <c r="W93" s="31"/>
    </row>
    <row r="94" spans="1:23" s="29" customFormat="1" ht="18" customHeight="1" x14ac:dyDescent="0.25">
      <c r="A94" s="44">
        <v>85</v>
      </c>
      <c r="B94" s="48">
        <v>46184</v>
      </c>
      <c r="C94" s="53" t="s">
        <v>1521</v>
      </c>
      <c r="D94" s="90">
        <v>20</v>
      </c>
      <c r="E94" s="46" t="s">
        <v>20</v>
      </c>
      <c r="F94" s="122" t="s">
        <v>1562</v>
      </c>
      <c r="G94" s="163">
        <v>198000</v>
      </c>
      <c r="H94" s="53" t="s">
        <v>23</v>
      </c>
      <c r="I94" s="117">
        <v>25870</v>
      </c>
      <c r="J94" s="37"/>
      <c r="K94" s="31" t="s">
        <v>1246</v>
      </c>
      <c r="L94" s="31"/>
      <c r="M94" s="31"/>
      <c r="N94" s="31">
        <f t="shared" si="4"/>
        <v>20</v>
      </c>
      <c r="O94" s="31" t="s">
        <v>1247</v>
      </c>
      <c r="P94" s="31"/>
      <c r="Q94" s="31"/>
      <c r="R94" s="31"/>
      <c r="S94" s="31"/>
      <c r="T94" s="31" t="s">
        <v>1249</v>
      </c>
      <c r="U94" s="31"/>
      <c r="V94" s="31" t="str">
        <f t="shared" si="3"/>
        <v>Cước vận chuyển vỏ container 20 từ bãi JJ, Hải Phòng đến Nam Đình Vũ, Hải Phòng</v>
      </c>
      <c r="W94" s="31"/>
    </row>
    <row r="95" spans="1:23" s="29" customFormat="1" ht="18" customHeight="1" x14ac:dyDescent="0.25">
      <c r="A95" s="44">
        <v>86</v>
      </c>
      <c r="B95" s="48">
        <v>46184</v>
      </c>
      <c r="C95" s="53" t="s">
        <v>1522</v>
      </c>
      <c r="D95" s="90">
        <v>20</v>
      </c>
      <c r="E95" s="46" t="s">
        <v>20</v>
      </c>
      <c r="F95" s="122" t="s">
        <v>1562</v>
      </c>
      <c r="G95" s="163">
        <v>198000</v>
      </c>
      <c r="H95" s="53" t="s">
        <v>23</v>
      </c>
      <c r="I95" s="117">
        <v>25870</v>
      </c>
      <c r="J95" s="37"/>
      <c r="K95" s="31" t="s">
        <v>1246</v>
      </c>
      <c r="L95" s="31"/>
      <c r="M95" s="31"/>
      <c r="N95" s="31">
        <f t="shared" si="4"/>
        <v>20</v>
      </c>
      <c r="O95" s="31" t="s">
        <v>1247</v>
      </c>
      <c r="P95" s="31"/>
      <c r="Q95" s="31"/>
      <c r="R95" s="31"/>
      <c r="S95" s="31"/>
      <c r="T95" s="31" t="s">
        <v>1249</v>
      </c>
      <c r="U95" s="31"/>
      <c r="V95" s="31" t="str">
        <f t="shared" si="3"/>
        <v>Cước vận chuyển vỏ container 20 từ bãi JJ, Hải Phòng đến Nam Đình Vũ, Hải Phòng</v>
      </c>
      <c r="W95" s="31"/>
    </row>
    <row r="96" spans="1:23" s="29" customFormat="1" ht="18" customHeight="1" x14ac:dyDescent="0.25">
      <c r="A96" s="44">
        <v>87</v>
      </c>
      <c r="B96" s="48">
        <v>46184</v>
      </c>
      <c r="C96" s="53" t="s">
        <v>1523</v>
      </c>
      <c r="D96" s="90">
        <v>40</v>
      </c>
      <c r="E96" s="46" t="s">
        <v>20</v>
      </c>
      <c r="F96" s="122" t="s">
        <v>1562</v>
      </c>
      <c r="G96" s="163">
        <v>365000</v>
      </c>
      <c r="H96" s="53" t="s">
        <v>23</v>
      </c>
      <c r="I96" s="117">
        <v>25870</v>
      </c>
      <c r="J96" s="37"/>
      <c r="K96" s="31" t="s">
        <v>1246</v>
      </c>
      <c r="L96" s="31"/>
      <c r="M96" s="31"/>
      <c r="N96" s="31">
        <f t="shared" si="4"/>
        <v>40</v>
      </c>
      <c r="O96" s="31" t="s">
        <v>1247</v>
      </c>
      <c r="P96" s="31"/>
      <c r="Q96" s="31"/>
      <c r="R96" s="31"/>
      <c r="S96" s="31"/>
      <c r="T96" s="31" t="s">
        <v>1249</v>
      </c>
      <c r="U96" s="31"/>
      <c r="V96" s="31" t="str">
        <f t="shared" si="3"/>
        <v>Cước vận chuyển vỏ container 40 từ bãi JJ, Hải Phòng đến Nam Đình Vũ, Hải Phòng</v>
      </c>
      <c r="W96" s="31"/>
    </row>
    <row r="97" spans="1:23" s="29" customFormat="1" ht="18" customHeight="1" x14ac:dyDescent="0.25">
      <c r="A97" s="44">
        <v>88</v>
      </c>
      <c r="B97" s="48">
        <v>46184</v>
      </c>
      <c r="C97" s="53" t="s">
        <v>1524</v>
      </c>
      <c r="D97" s="90">
        <v>40</v>
      </c>
      <c r="E97" s="46" t="s">
        <v>20</v>
      </c>
      <c r="F97" s="122" t="s">
        <v>1562</v>
      </c>
      <c r="G97" s="163">
        <v>365000</v>
      </c>
      <c r="H97" s="53" t="s">
        <v>23</v>
      </c>
      <c r="I97" s="117">
        <v>25870</v>
      </c>
      <c r="J97" s="37"/>
      <c r="K97" s="31" t="s">
        <v>1246</v>
      </c>
      <c r="L97" s="31"/>
      <c r="M97" s="31"/>
      <c r="N97" s="31">
        <f t="shared" si="4"/>
        <v>40</v>
      </c>
      <c r="O97" s="31" t="s">
        <v>1247</v>
      </c>
      <c r="P97" s="31"/>
      <c r="Q97" s="31"/>
      <c r="R97" s="31"/>
      <c r="S97" s="31"/>
      <c r="T97" s="31" t="s">
        <v>1249</v>
      </c>
      <c r="U97" s="31"/>
      <c r="V97" s="31" t="str">
        <f t="shared" si="3"/>
        <v>Cước vận chuyển vỏ container 40 từ bãi JJ, Hải Phòng đến Nam Đình Vũ, Hải Phòng</v>
      </c>
      <c r="W97" s="31"/>
    </row>
    <row r="98" spans="1:23" s="29" customFormat="1" ht="18" customHeight="1" x14ac:dyDescent="0.25">
      <c r="A98" s="44">
        <v>89</v>
      </c>
      <c r="B98" s="48">
        <v>46184</v>
      </c>
      <c r="C98" s="53" t="s">
        <v>1525</v>
      </c>
      <c r="D98" s="90">
        <v>40</v>
      </c>
      <c r="E98" s="46" t="s">
        <v>20</v>
      </c>
      <c r="F98" s="122" t="s">
        <v>1562</v>
      </c>
      <c r="G98" s="163">
        <v>365000</v>
      </c>
      <c r="H98" s="53" t="s">
        <v>23</v>
      </c>
      <c r="I98" s="117">
        <v>25870</v>
      </c>
      <c r="J98" s="37"/>
      <c r="K98" s="31" t="s">
        <v>1246</v>
      </c>
      <c r="L98" s="31"/>
      <c r="M98" s="31"/>
      <c r="N98" s="31">
        <f t="shared" si="4"/>
        <v>40</v>
      </c>
      <c r="O98" s="31" t="s">
        <v>1247</v>
      </c>
      <c r="P98" s="31"/>
      <c r="Q98" s="31"/>
      <c r="R98" s="31"/>
      <c r="S98" s="31"/>
      <c r="T98" s="31" t="s">
        <v>1249</v>
      </c>
      <c r="U98" s="31"/>
      <c r="V98" s="31" t="str">
        <f t="shared" si="3"/>
        <v>Cước vận chuyển vỏ container 40 từ bãi JJ, Hải Phòng đến Nam Đình Vũ, Hải Phòng</v>
      </c>
      <c r="W98" s="31"/>
    </row>
    <row r="99" spans="1:23" s="29" customFormat="1" ht="18" customHeight="1" x14ac:dyDescent="0.25">
      <c r="A99" s="44">
        <v>90</v>
      </c>
      <c r="B99" s="48">
        <v>46184</v>
      </c>
      <c r="C99" s="53" t="s">
        <v>1526</v>
      </c>
      <c r="D99" s="90">
        <v>40</v>
      </c>
      <c r="E99" s="46" t="s">
        <v>20</v>
      </c>
      <c r="F99" s="122" t="s">
        <v>1562</v>
      </c>
      <c r="G99" s="163">
        <v>365000</v>
      </c>
      <c r="H99" s="53" t="s">
        <v>23</v>
      </c>
      <c r="I99" s="117">
        <v>25870</v>
      </c>
      <c r="J99" s="37"/>
      <c r="K99" s="31" t="s">
        <v>1246</v>
      </c>
      <c r="L99" s="31"/>
      <c r="M99" s="31"/>
      <c r="N99" s="31">
        <f t="shared" si="4"/>
        <v>40</v>
      </c>
      <c r="O99" s="31" t="s">
        <v>1247</v>
      </c>
      <c r="P99" s="31"/>
      <c r="Q99" s="31"/>
      <c r="R99" s="31"/>
      <c r="S99" s="31"/>
      <c r="T99" s="31" t="s">
        <v>1249</v>
      </c>
      <c r="U99" s="31"/>
      <c r="V99" s="31" t="str">
        <f t="shared" si="3"/>
        <v>Cước vận chuyển vỏ container 40 từ bãi JJ, Hải Phòng đến Nam Đình Vũ, Hải Phòng</v>
      </c>
      <c r="W99" s="31"/>
    </row>
    <row r="100" spans="1:23" s="29" customFormat="1" ht="18" customHeight="1" x14ac:dyDescent="0.25">
      <c r="A100" s="44">
        <v>91</v>
      </c>
      <c r="B100" s="54">
        <v>46183</v>
      </c>
      <c r="C100" s="53" t="s">
        <v>1527</v>
      </c>
      <c r="D100" s="90">
        <v>40</v>
      </c>
      <c r="E100" s="46" t="s">
        <v>20</v>
      </c>
      <c r="F100" s="53" t="s">
        <v>1562</v>
      </c>
      <c r="G100" s="163">
        <v>365000</v>
      </c>
      <c r="H100" s="53" t="s">
        <v>25</v>
      </c>
      <c r="I100" s="117"/>
      <c r="J100" s="37"/>
      <c r="K100" s="31" t="s">
        <v>1246</v>
      </c>
      <c r="L100" s="31"/>
      <c r="M100" s="31"/>
      <c r="N100" s="31">
        <f t="shared" si="4"/>
        <v>40</v>
      </c>
      <c r="O100" s="31" t="s">
        <v>1247</v>
      </c>
      <c r="P100" s="31"/>
      <c r="Q100" s="31"/>
      <c r="R100" s="31"/>
      <c r="S100" s="31"/>
      <c r="T100" s="31" t="s">
        <v>1249</v>
      </c>
      <c r="U100" s="31"/>
      <c r="V100" s="31" t="str">
        <f t="shared" si="3"/>
        <v>Cước vận chuyển vỏ container 40 từ bãi JJ, Hải Phòng đến Nam Đình Vũ, Hải Phòng</v>
      </c>
      <c r="W100" s="31"/>
    </row>
    <row r="101" spans="1:23" s="29" customFormat="1" ht="18" customHeight="1" x14ac:dyDescent="0.25">
      <c r="A101" s="44">
        <v>92</v>
      </c>
      <c r="B101" s="54">
        <v>46183</v>
      </c>
      <c r="C101" s="53" t="s">
        <v>1283</v>
      </c>
      <c r="D101" s="90">
        <v>40</v>
      </c>
      <c r="E101" s="46" t="s">
        <v>20</v>
      </c>
      <c r="F101" s="53" t="s">
        <v>1562</v>
      </c>
      <c r="G101" s="163">
        <v>365000</v>
      </c>
      <c r="H101" s="53" t="s">
        <v>25</v>
      </c>
      <c r="I101" s="37"/>
      <c r="J101" s="37"/>
      <c r="K101" s="31" t="s">
        <v>1246</v>
      </c>
      <c r="L101" s="31"/>
      <c r="M101" s="31"/>
      <c r="N101" s="31">
        <f t="shared" si="4"/>
        <v>40</v>
      </c>
      <c r="O101" s="31" t="s">
        <v>1247</v>
      </c>
      <c r="P101" s="31"/>
      <c r="Q101" s="31"/>
      <c r="R101" s="31"/>
      <c r="S101" s="31"/>
      <c r="T101" s="31" t="s">
        <v>1249</v>
      </c>
      <c r="U101" s="31"/>
      <c r="V101" s="31" t="str">
        <f t="shared" si="3"/>
        <v>Cước vận chuyển vỏ container 40 từ bãi JJ, Hải Phòng đến Nam Đình Vũ, Hải Phòng</v>
      </c>
      <c r="W101" s="31"/>
    </row>
    <row r="102" spans="1:23" s="29" customFormat="1" ht="18" customHeight="1" x14ac:dyDescent="0.25">
      <c r="A102" s="44">
        <v>93</v>
      </c>
      <c r="B102" s="54">
        <v>46183</v>
      </c>
      <c r="C102" s="53" t="s">
        <v>1528</v>
      </c>
      <c r="D102" s="90">
        <v>40</v>
      </c>
      <c r="E102" s="46" t="s">
        <v>20</v>
      </c>
      <c r="F102" s="53" t="s">
        <v>1562</v>
      </c>
      <c r="G102" s="163">
        <v>365000</v>
      </c>
      <c r="H102" s="53" t="s">
        <v>25</v>
      </c>
      <c r="I102" s="37"/>
      <c r="J102" s="37"/>
      <c r="K102" s="31" t="s">
        <v>1246</v>
      </c>
      <c r="L102" s="31"/>
      <c r="M102" s="31"/>
      <c r="N102" s="31">
        <f t="shared" si="4"/>
        <v>40</v>
      </c>
      <c r="O102" s="31" t="s">
        <v>1247</v>
      </c>
      <c r="P102" s="31"/>
      <c r="Q102" s="31"/>
      <c r="R102" s="31"/>
      <c r="S102" s="31"/>
      <c r="T102" s="31" t="s">
        <v>1249</v>
      </c>
      <c r="U102" s="31"/>
      <c r="V102" s="31" t="str">
        <f t="shared" si="3"/>
        <v>Cước vận chuyển vỏ container 40 từ bãi JJ, Hải Phòng đến Nam Đình Vũ, Hải Phòng</v>
      </c>
      <c r="W102" s="31"/>
    </row>
    <row r="103" spans="1:23" s="29" customFormat="1" ht="18" customHeight="1" x14ac:dyDescent="0.25">
      <c r="A103" s="44">
        <v>94</v>
      </c>
      <c r="B103" s="54">
        <v>46177</v>
      </c>
      <c r="C103" s="53" t="s">
        <v>1529</v>
      </c>
      <c r="D103" s="90">
        <v>40</v>
      </c>
      <c r="E103" s="46" t="s">
        <v>20</v>
      </c>
      <c r="F103" s="53" t="s">
        <v>1562</v>
      </c>
      <c r="G103" s="163">
        <v>365000</v>
      </c>
      <c r="H103" s="53" t="s">
        <v>25</v>
      </c>
      <c r="I103" s="117">
        <v>26860</v>
      </c>
      <c r="J103" s="37"/>
      <c r="K103" s="31" t="s">
        <v>1246</v>
      </c>
      <c r="L103" s="31"/>
      <c r="M103" s="31"/>
      <c r="N103" s="31">
        <f t="shared" si="4"/>
        <v>40</v>
      </c>
      <c r="O103" s="31" t="s">
        <v>1247</v>
      </c>
      <c r="P103" s="31"/>
      <c r="Q103" s="31"/>
      <c r="R103" s="31"/>
      <c r="S103" s="31"/>
      <c r="T103" s="31" t="s">
        <v>1249</v>
      </c>
      <c r="U103" s="31"/>
      <c r="V103" s="31" t="str">
        <f t="shared" si="3"/>
        <v>Cước vận chuyển vỏ container 40 từ bãi JJ, Hải Phòng đến Nam Đình Vũ, Hải Phòng</v>
      </c>
      <c r="W103" s="31"/>
    </row>
    <row r="104" spans="1:23" s="29" customFormat="1" ht="18" customHeight="1" x14ac:dyDescent="0.25">
      <c r="A104" s="44">
        <v>95</v>
      </c>
      <c r="B104" s="54">
        <v>46177</v>
      </c>
      <c r="C104" s="53" t="s">
        <v>1530</v>
      </c>
      <c r="D104" s="90">
        <v>40</v>
      </c>
      <c r="E104" s="46" t="s">
        <v>20</v>
      </c>
      <c r="F104" s="53" t="s">
        <v>1562</v>
      </c>
      <c r="G104" s="163">
        <v>365000</v>
      </c>
      <c r="H104" s="53" t="s">
        <v>25</v>
      </c>
      <c r="I104" s="117">
        <v>26860</v>
      </c>
      <c r="J104" s="37"/>
      <c r="K104" s="31" t="s">
        <v>1246</v>
      </c>
      <c r="L104" s="31"/>
      <c r="M104" s="31"/>
      <c r="N104" s="31">
        <f t="shared" si="4"/>
        <v>40</v>
      </c>
      <c r="O104" s="31" t="s">
        <v>1247</v>
      </c>
      <c r="P104" s="31"/>
      <c r="Q104" s="31"/>
      <c r="R104" s="31"/>
      <c r="S104" s="31"/>
      <c r="T104" s="31" t="s">
        <v>1249</v>
      </c>
      <c r="U104" s="31"/>
      <c r="V104" s="31" t="str">
        <f t="shared" si="3"/>
        <v>Cước vận chuyển vỏ container 40 từ bãi JJ, Hải Phòng đến Nam Đình Vũ, Hải Phòng</v>
      </c>
      <c r="W104" s="31"/>
    </row>
    <row r="105" spans="1:23" s="29" customFormat="1" ht="18" customHeight="1" x14ac:dyDescent="0.25">
      <c r="A105" s="44">
        <v>96</v>
      </c>
      <c r="B105" s="54">
        <v>46177</v>
      </c>
      <c r="C105" s="53" t="s">
        <v>1531</v>
      </c>
      <c r="D105" s="90">
        <v>40</v>
      </c>
      <c r="E105" s="46" t="s">
        <v>20</v>
      </c>
      <c r="F105" s="53" t="s">
        <v>1562</v>
      </c>
      <c r="G105" s="163">
        <v>365000</v>
      </c>
      <c r="H105" s="53" t="s">
        <v>25</v>
      </c>
      <c r="I105" s="117">
        <v>26860</v>
      </c>
      <c r="J105" s="37"/>
      <c r="K105" s="31" t="s">
        <v>1246</v>
      </c>
      <c r="L105" s="31"/>
      <c r="M105" s="31"/>
      <c r="N105" s="31">
        <f t="shared" si="4"/>
        <v>40</v>
      </c>
      <c r="O105" s="31" t="s">
        <v>1247</v>
      </c>
      <c r="P105" s="31"/>
      <c r="Q105" s="31"/>
      <c r="R105" s="31"/>
      <c r="S105" s="31"/>
      <c r="T105" s="31" t="s">
        <v>1249</v>
      </c>
      <c r="U105" s="31"/>
      <c r="V105" s="31" t="str">
        <f t="shared" si="3"/>
        <v>Cước vận chuyển vỏ container 40 từ bãi JJ, Hải Phòng đến Nam Đình Vũ, Hải Phòng</v>
      </c>
      <c r="W105" s="31"/>
    </row>
    <row r="106" spans="1:23" s="29" customFormat="1" ht="18" customHeight="1" x14ac:dyDescent="0.25">
      <c r="A106" s="44">
        <v>97</v>
      </c>
      <c r="B106" s="54">
        <v>46177</v>
      </c>
      <c r="C106" s="53" t="s">
        <v>1532</v>
      </c>
      <c r="D106" s="90">
        <v>40</v>
      </c>
      <c r="E106" s="46" t="s">
        <v>20</v>
      </c>
      <c r="F106" s="53" t="s">
        <v>1562</v>
      </c>
      <c r="G106" s="163">
        <v>365000</v>
      </c>
      <c r="H106" s="53" t="s">
        <v>25</v>
      </c>
      <c r="I106" s="117">
        <v>26860</v>
      </c>
      <c r="J106" s="117"/>
      <c r="K106" s="31" t="s">
        <v>1246</v>
      </c>
      <c r="L106" s="31"/>
      <c r="M106" s="31"/>
      <c r="N106" s="31">
        <f t="shared" si="4"/>
        <v>40</v>
      </c>
      <c r="O106" s="31" t="s">
        <v>1247</v>
      </c>
      <c r="P106" s="31"/>
      <c r="Q106" s="31"/>
      <c r="R106" s="31"/>
      <c r="S106" s="31"/>
      <c r="T106" s="31" t="s">
        <v>1249</v>
      </c>
      <c r="U106" s="31"/>
      <c r="V106" s="31" t="str">
        <f t="shared" si="3"/>
        <v>Cước vận chuyển vỏ container 40 từ bãi JJ, Hải Phòng đến Nam Đình Vũ, Hải Phòng</v>
      </c>
      <c r="W106" s="31"/>
    </row>
    <row r="107" spans="1:23" s="29" customFormat="1" ht="18" customHeight="1" x14ac:dyDescent="0.25">
      <c r="A107" s="44">
        <v>98</v>
      </c>
      <c r="B107" s="54">
        <v>46183</v>
      </c>
      <c r="C107" s="53" t="s">
        <v>1533</v>
      </c>
      <c r="D107" s="90">
        <v>40</v>
      </c>
      <c r="E107" s="90" t="s">
        <v>20</v>
      </c>
      <c r="F107" s="53" t="s">
        <v>1562</v>
      </c>
      <c r="G107" s="163">
        <v>365000</v>
      </c>
      <c r="H107" s="53" t="s">
        <v>552</v>
      </c>
      <c r="I107" s="117"/>
      <c r="J107" s="117"/>
      <c r="K107" s="31" t="s">
        <v>1246</v>
      </c>
      <c r="L107" s="31"/>
      <c r="M107" s="31"/>
      <c r="N107" s="31">
        <f t="shared" si="4"/>
        <v>40</v>
      </c>
      <c r="O107" s="31" t="s">
        <v>1247</v>
      </c>
      <c r="P107" s="31"/>
      <c r="Q107" s="31"/>
      <c r="R107" s="31"/>
      <c r="S107" s="31"/>
      <c r="T107" s="31" t="s">
        <v>1249</v>
      </c>
      <c r="U107" s="31"/>
      <c r="V107" s="31" t="str">
        <f t="shared" si="3"/>
        <v>Cước vận chuyển vỏ container 40 từ bãi JJ, Hải Phòng đến Nam Đình Vũ, Hải Phòng</v>
      </c>
      <c r="W107" s="31"/>
    </row>
    <row r="108" spans="1:23" s="29" customFormat="1" ht="18" customHeight="1" x14ac:dyDescent="0.25">
      <c r="A108" s="44">
        <v>99</v>
      </c>
      <c r="B108" s="54">
        <v>46177</v>
      </c>
      <c r="C108" s="53" t="s">
        <v>1534</v>
      </c>
      <c r="D108" s="90">
        <v>40</v>
      </c>
      <c r="E108" s="90" t="s">
        <v>20</v>
      </c>
      <c r="F108" s="53" t="s">
        <v>1562</v>
      </c>
      <c r="G108" s="163">
        <v>365000</v>
      </c>
      <c r="H108" s="53" t="s">
        <v>35</v>
      </c>
      <c r="I108" s="117">
        <v>26860</v>
      </c>
      <c r="J108" s="117"/>
      <c r="K108" s="31" t="s">
        <v>1246</v>
      </c>
      <c r="L108" s="31"/>
      <c r="M108" s="31"/>
      <c r="N108" s="31">
        <f t="shared" si="4"/>
        <v>40</v>
      </c>
      <c r="O108" s="31" t="s">
        <v>1247</v>
      </c>
      <c r="P108" s="31"/>
      <c r="Q108" s="31"/>
      <c r="R108" s="31"/>
      <c r="S108" s="31"/>
      <c r="T108" s="31" t="s">
        <v>1249</v>
      </c>
      <c r="U108" s="31"/>
      <c r="V108" s="31" t="str">
        <f t="shared" si="3"/>
        <v>Cước vận chuyển vỏ container 40 từ bãi JJ, Hải Phòng đến Nam Đình Vũ, Hải Phòng</v>
      </c>
      <c r="W108" s="31"/>
    </row>
    <row r="109" spans="1:23" s="29" customFormat="1" ht="18" customHeight="1" x14ac:dyDescent="0.25">
      <c r="A109" s="44">
        <v>100</v>
      </c>
      <c r="B109" s="54">
        <v>46177</v>
      </c>
      <c r="C109" s="53" t="s">
        <v>1033</v>
      </c>
      <c r="D109" s="90">
        <v>40</v>
      </c>
      <c r="E109" s="90" t="s">
        <v>20</v>
      </c>
      <c r="F109" s="53" t="s">
        <v>1562</v>
      </c>
      <c r="G109" s="163">
        <v>365000</v>
      </c>
      <c r="H109" s="53" t="s">
        <v>35</v>
      </c>
      <c r="I109" s="117">
        <v>26860</v>
      </c>
      <c r="J109" s="117"/>
      <c r="K109" s="31" t="s">
        <v>1246</v>
      </c>
      <c r="L109" s="31"/>
      <c r="M109" s="31"/>
      <c r="N109" s="31">
        <f t="shared" si="4"/>
        <v>40</v>
      </c>
      <c r="O109" s="31" t="s">
        <v>1247</v>
      </c>
      <c r="P109" s="31"/>
      <c r="Q109" s="31"/>
      <c r="R109" s="31"/>
      <c r="S109" s="31"/>
      <c r="T109" s="31" t="s">
        <v>1249</v>
      </c>
      <c r="U109" s="31"/>
      <c r="V109" s="31" t="str">
        <f t="shared" si="3"/>
        <v>Cước vận chuyển vỏ container 40 từ bãi JJ, Hải Phòng đến Nam Đình Vũ, Hải Phòng</v>
      </c>
      <c r="W109" s="31"/>
    </row>
    <row r="110" spans="1:23" s="29" customFormat="1" ht="18" customHeight="1" x14ac:dyDescent="0.25">
      <c r="A110" s="44">
        <v>101</v>
      </c>
      <c r="B110" s="54">
        <v>46177</v>
      </c>
      <c r="C110" s="53" t="s">
        <v>1535</v>
      </c>
      <c r="D110" s="90">
        <v>40</v>
      </c>
      <c r="E110" s="90" t="s">
        <v>20</v>
      </c>
      <c r="F110" s="53" t="s">
        <v>1562</v>
      </c>
      <c r="G110" s="163">
        <v>365000</v>
      </c>
      <c r="H110" s="53" t="s">
        <v>29</v>
      </c>
      <c r="I110" s="117">
        <v>26860</v>
      </c>
      <c r="J110" s="117"/>
      <c r="K110" s="31" t="s">
        <v>1246</v>
      </c>
      <c r="L110" s="31"/>
      <c r="M110" s="31"/>
      <c r="N110" s="31">
        <f t="shared" si="4"/>
        <v>40</v>
      </c>
      <c r="O110" s="31" t="s">
        <v>1247</v>
      </c>
      <c r="P110" s="31"/>
      <c r="Q110" s="31"/>
      <c r="R110" s="31"/>
      <c r="S110" s="31"/>
      <c r="T110" s="31" t="s">
        <v>1249</v>
      </c>
      <c r="U110" s="31"/>
      <c r="V110" s="31" t="str">
        <f t="shared" si="3"/>
        <v>Cước vận chuyển vỏ container 40 từ bãi JJ, Hải Phòng đến Nam Đình Vũ, Hải Phòng</v>
      </c>
      <c r="W110" s="31"/>
    </row>
    <row r="111" spans="1:23" s="29" customFormat="1" ht="18" customHeight="1" x14ac:dyDescent="0.25">
      <c r="A111" s="44">
        <v>102</v>
      </c>
      <c r="B111" s="54">
        <v>46177</v>
      </c>
      <c r="C111" s="53" t="s">
        <v>1536</v>
      </c>
      <c r="D111" s="90">
        <v>40</v>
      </c>
      <c r="E111" s="90" t="s">
        <v>20</v>
      </c>
      <c r="F111" s="53" t="s">
        <v>1562</v>
      </c>
      <c r="G111" s="163">
        <v>365000</v>
      </c>
      <c r="H111" s="53" t="s">
        <v>29</v>
      </c>
      <c r="I111" s="117">
        <v>26860</v>
      </c>
      <c r="J111" s="117"/>
      <c r="K111" s="31" t="s">
        <v>1246</v>
      </c>
      <c r="L111" s="31"/>
      <c r="M111" s="31"/>
      <c r="N111" s="31">
        <f t="shared" si="4"/>
        <v>40</v>
      </c>
      <c r="O111" s="31" t="s">
        <v>1247</v>
      </c>
      <c r="P111" s="31"/>
      <c r="Q111" s="31"/>
      <c r="R111" s="31"/>
      <c r="S111" s="31"/>
      <c r="T111" s="31" t="s">
        <v>1249</v>
      </c>
      <c r="U111" s="31"/>
      <c r="V111" s="31" t="str">
        <f t="shared" si="3"/>
        <v>Cước vận chuyển vỏ container 40 từ bãi JJ, Hải Phòng đến Nam Đình Vũ, Hải Phòng</v>
      </c>
      <c r="W111" s="31"/>
    </row>
    <row r="112" spans="1:23" s="29" customFormat="1" ht="18" customHeight="1" x14ac:dyDescent="0.25">
      <c r="A112" s="44">
        <v>103</v>
      </c>
      <c r="B112" s="54">
        <v>46177</v>
      </c>
      <c r="C112" s="53" t="s">
        <v>1537</v>
      </c>
      <c r="D112" s="90">
        <v>40</v>
      </c>
      <c r="E112" s="90" t="s">
        <v>20</v>
      </c>
      <c r="F112" s="53" t="s">
        <v>1562</v>
      </c>
      <c r="G112" s="163">
        <v>365000</v>
      </c>
      <c r="H112" s="53" t="s">
        <v>29</v>
      </c>
      <c r="I112" s="117">
        <v>26860</v>
      </c>
      <c r="J112" s="117"/>
      <c r="K112" s="31" t="s">
        <v>1246</v>
      </c>
      <c r="L112" s="31"/>
      <c r="M112" s="31"/>
      <c r="N112" s="31">
        <f t="shared" si="4"/>
        <v>40</v>
      </c>
      <c r="O112" s="31" t="s">
        <v>1247</v>
      </c>
      <c r="P112" s="31"/>
      <c r="Q112" s="31"/>
      <c r="R112" s="31"/>
      <c r="S112" s="31"/>
      <c r="T112" s="31" t="s">
        <v>1249</v>
      </c>
      <c r="U112" s="31"/>
      <c r="V112" s="31" t="str">
        <f t="shared" si="3"/>
        <v>Cước vận chuyển vỏ container 40 từ bãi JJ, Hải Phòng đến Nam Đình Vũ, Hải Phòng</v>
      </c>
      <c r="W112" s="31"/>
    </row>
    <row r="113" spans="1:23" s="29" customFormat="1" ht="18" customHeight="1" x14ac:dyDescent="0.25">
      <c r="A113" s="44">
        <v>104</v>
      </c>
      <c r="B113" s="54">
        <v>46177</v>
      </c>
      <c r="C113" s="53" t="s">
        <v>1538</v>
      </c>
      <c r="D113" s="90">
        <v>40</v>
      </c>
      <c r="E113" s="90" t="s">
        <v>20</v>
      </c>
      <c r="F113" s="53" t="s">
        <v>1562</v>
      </c>
      <c r="G113" s="163">
        <v>365000</v>
      </c>
      <c r="H113" s="53" t="s">
        <v>29</v>
      </c>
      <c r="I113" s="117">
        <v>26860</v>
      </c>
      <c r="J113" s="117"/>
      <c r="K113" s="31" t="s">
        <v>1246</v>
      </c>
      <c r="L113" s="31"/>
      <c r="M113" s="31"/>
      <c r="N113" s="31">
        <f t="shared" si="4"/>
        <v>40</v>
      </c>
      <c r="O113" s="31" t="s">
        <v>1247</v>
      </c>
      <c r="P113" s="31"/>
      <c r="Q113" s="31"/>
      <c r="R113" s="31"/>
      <c r="S113" s="31"/>
      <c r="T113" s="31" t="s">
        <v>1249</v>
      </c>
      <c r="U113" s="31"/>
      <c r="V113" s="31" t="str">
        <f t="shared" si="3"/>
        <v>Cước vận chuyển vỏ container 40 từ bãi JJ, Hải Phòng đến Nam Đình Vũ, Hải Phòng</v>
      </c>
      <c r="W113" s="31"/>
    </row>
    <row r="114" spans="1:23" s="29" customFormat="1" ht="18" customHeight="1" x14ac:dyDescent="0.25">
      <c r="A114" s="44">
        <v>105</v>
      </c>
      <c r="B114" s="54">
        <v>46177</v>
      </c>
      <c r="C114" s="53" t="s">
        <v>1539</v>
      </c>
      <c r="D114" s="90">
        <v>40</v>
      </c>
      <c r="E114" s="90" t="s">
        <v>20</v>
      </c>
      <c r="F114" s="53" t="s">
        <v>1562</v>
      </c>
      <c r="G114" s="163">
        <v>365000</v>
      </c>
      <c r="H114" s="53" t="s">
        <v>29</v>
      </c>
      <c r="I114" s="117">
        <v>26860</v>
      </c>
      <c r="J114" s="117"/>
      <c r="K114" s="31" t="s">
        <v>1246</v>
      </c>
      <c r="L114" s="31"/>
      <c r="M114" s="31"/>
      <c r="N114" s="31">
        <f t="shared" si="4"/>
        <v>40</v>
      </c>
      <c r="O114" s="31" t="s">
        <v>1247</v>
      </c>
      <c r="P114" s="31"/>
      <c r="Q114" s="31"/>
      <c r="R114" s="31"/>
      <c r="S114" s="31"/>
      <c r="T114" s="31" t="s">
        <v>1249</v>
      </c>
      <c r="U114" s="31"/>
      <c r="V114" s="31" t="str">
        <f t="shared" si="3"/>
        <v>Cước vận chuyển vỏ container 40 từ bãi JJ, Hải Phòng đến Nam Đình Vũ, Hải Phòng</v>
      </c>
      <c r="W114" s="31"/>
    </row>
    <row r="115" spans="1:23" s="29" customFormat="1" ht="18" customHeight="1" x14ac:dyDescent="0.25">
      <c r="A115" s="44">
        <v>106</v>
      </c>
      <c r="B115" s="54">
        <v>46177</v>
      </c>
      <c r="C115" s="53" t="s">
        <v>1540</v>
      </c>
      <c r="D115" s="90">
        <v>40</v>
      </c>
      <c r="E115" s="90" t="s">
        <v>20</v>
      </c>
      <c r="F115" s="53" t="s">
        <v>1562</v>
      </c>
      <c r="G115" s="163">
        <v>365000</v>
      </c>
      <c r="H115" s="53" t="s">
        <v>29</v>
      </c>
      <c r="I115" s="117">
        <v>26860</v>
      </c>
      <c r="J115" s="117"/>
      <c r="K115" s="31" t="s">
        <v>1246</v>
      </c>
      <c r="L115" s="31"/>
      <c r="M115" s="31"/>
      <c r="N115" s="31">
        <f t="shared" si="4"/>
        <v>40</v>
      </c>
      <c r="O115" s="31" t="s">
        <v>1247</v>
      </c>
      <c r="P115" s="31"/>
      <c r="Q115" s="31"/>
      <c r="R115" s="31"/>
      <c r="S115" s="31"/>
      <c r="T115" s="31" t="s">
        <v>1249</v>
      </c>
      <c r="U115" s="31"/>
      <c r="V115" s="31" t="str">
        <f t="shared" si="3"/>
        <v>Cước vận chuyển vỏ container 40 từ bãi JJ, Hải Phòng đến Nam Đình Vũ, Hải Phòng</v>
      </c>
      <c r="W115" s="31"/>
    </row>
    <row r="116" spans="1:23" s="29" customFormat="1" ht="18" customHeight="1" x14ac:dyDescent="0.25">
      <c r="A116" s="44">
        <v>107</v>
      </c>
      <c r="B116" s="54">
        <v>46177</v>
      </c>
      <c r="C116" s="53" t="s">
        <v>1541</v>
      </c>
      <c r="D116" s="90">
        <v>40</v>
      </c>
      <c r="E116" s="90" t="s">
        <v>20</v>
      </c>
      <c r="F116" s="53" t="s">
        <v>1562</v>
      </c>
      <c r="G116" s="163">
        <v>365000</v>
      </c>
      <c r="H116" s="53" t="s">
        <v>29</v>
      </c>
      <c r="I116" s="117">
        <v>26860</v>
      </c>
      <c r="J116" s="117"/>
      <c r="K116" s="31" t="s">
        <v>1246</v>
      </c>
      <c r="L116" s="31"/>
      <c r="M116" s="31"/>
      <c r="N116" s="31">
        <f t="shared" si="4"/>
        <v>40</v>
      </c>
      <c r="O116" s="31" t="s">
        <v>1247</v>
      </c>
      <c r="P116" s="31"/>
      <c r="Q116" s="31"/>
      <c r="R116" s="31"/>
      <c r="S116" s="31"/>
      <c r="T116" s="31" t="s">
        <v>1249</v>
      </c>
      <c r="U116" s="31"/>
      <c r="V116" s="31" t="str">
        <f t="shared" si="3"/>
        <v>Cước vận chuyển vỏ container 40 từ bãi JJ, Hải Phòng đến Nam Đình Vũ, Hải Phòng</v>
      </c>
      <c r="W116" s="31"/>
    </row>
    <row r="117" spans="1:23" s="29" customFormat="1" ht="18" customHeight="1" x14ac:dyDescent="0.25">
      <c r="A117" s="44">
        <v>108</v>
      </c>
      <c r="B117" s="54">
        <v>46180</v>
      </c>
      <c r="C117" s="53" t="s">
        <v>1542</v>
      </c>
      <c r="D117" s="90">
        <v>20</v>
      </c>
      <c r="E117" s="90" t="s">
        <v>20</v>
      </c>
      <c r="F117" s="53" t="s">
        <v>1564</v>
      </c>
      <c r="G117" s="163">
        <v>198000</v>
      </c>
      <c r="H117" s="53" t="s">
        <v>29</v>
      </c>
      <c r="I117" s="37"/>
      <c r="J117" s="117"/>
      <c r="K117" s="31" t="s">
        <v>1246</v>
      </c>
      <c r="L117" s="31"/>
      <c r="M117" s="31"/>
      <c r="N117" s="31">
        <f t="shared" si="4"/>
        <v>20</v>
      </c>
      <c r="O117" s="31" t="s">
        <v>1247</v>
      </c>
      <c r="P117" s="31"/>
      <c r="Q117" s="31"/>
      <c r="R117" s="31"/>
      <c r="S117" s="31"/>
      <c r="T117" s="31" t="s">
        <v>1249</v>
      </c>
      <c r="U117" s="31"/>
      <c r="V117" s="31" t="str">
        <f t="shared" si="3"/>
        <v>Cước vận chuyển vỏ container 20 từ bãi JJ, Hải Phòng đến Nam Đình Vũ, Hải Phòng</v>
      </c>
      <c r="W117" s="31"/>
    </row>
    <row r="118" spans="1:23" s="29" customFormat="1" ht="18" customHeight="1" x14ac:dyDescent="0.25">
      <c r="A118" s="44">
        <v>109</v>
      </c>
      <c r="B118" s="54">
        <v>46180</v>
      </c>
      <c r="C118" s="53" t="s">
        <v>1543</v>
      </c>
      <c r="D118" s="90">
        <v>20</v>
      </c>
      <c r="E118" s="90" t="s">
        <v>20</v>
      </c>
      <c r="F118" s="53" t="s">
        <v>1564</v>
      </c>
      <c r="G118" s="163">
        <v>198000</v>
      </c>
      <c r="H118" s="53" t="s">
        <v>29</v>
      </c>
      <c r="I118" s="37"/>
      <c r="J118" s="117"/>
      <c r="K118" s="31" t="s">
        <v>1246</v>
      </c>
      <c r="L118" s="31"/>
      <c r="M118" s="31"/>
      <c r="N118" s="31">
        <f t="shared" si="4"/>
        <v>20</v>
      </c>
      <c r="O118" s="31" t="s">
        <v>1247</v>
      </c>
      <c r="P118" s="31"/>
      <c r="Q118" s="31"/>
      <c r="R118" s="31"/>
      <c r="S118" s="31"/>
      <c r="T118" s="31" t="s">
        <v>1249</v>
      </c>
      <c r="U118" s="31"/>
      <c r="V118" s="31" t="str">
        <f t="shared" si="3"/>
        <v>Cước vận chuyển vỏ container 20 từ bãi JJ, Hải Phòng đến Nam Đình Vũ, Hải Phòng</v>
      </c>
      <c r="W118" s="31"/>
    </row>
    <row r="119" spans="1:23" s="29" customFormat="1" ht="18" customHeight="1" x14ac:dyDescent="0.25">
      <c r="A119" s="44">
        <v>110</v>
      </c>
      <c r="B119" s="54">
        <v>46180</v>
      </c>
      <c r="C119" s="53" t="s">
        <v>1544</v>
      </c>
      <c r="D119" s="90">
        <v>20</v>
      </c>
      <c r="E119" s="90" t="s">
        <v>20</v>
      </c>
      <c r="F119" s="53" t="s">
        <v>1564</v>
      </c>
      <c r="G119" s="163">
        <v>198000</v>
      </c>
      <c r="H119" s="53" t="s">
        <v>29</v>
      </c>
      <c r="I119" s="37"/>
      <c r="J119" s="117"/>
      <c r="K119" s="31" t="s">
        <v>1246</v>
      </c>
      <c r="L119" s="31"/>
      <c r="M119" s="31"/>
      <c r="N119" s="31">
        <f t="shared" si="4"/>
        <v>20</v>
      </c>
      <c r="O119" s="31" t="s">
        <v>1247</v>
      </c>
      <c r="P119" s="31"/>
      <c r="Q119" s="31"/>
      <c r="R119" s="31"/>
      <c r="S119" s="31"/>
      <c r="T119" s="31" t="s">
        <v>1249</v>
      </c>
      <c r="U119" s="31"/>
      <c r="V119" s="31" t="str">
        <f t="shared" si="3"/>
        <v>Cước vận chuyển vỏ container 20 từ bãi JJ, Hải Phòng đến Nam Đình Vũ, Hải Phòng</v>
      </c>
      <c r="W119" s="31"/>
    </row>
    <row r="120" spans="1:23" s="29" customFormat="1" ht="18" customHeight="1" x14ac:dyDescent="0.25">
      <c r="A120" s="44">
        <v>111</v>
      </c>
      <c r="B120" s="54">
        <v>46180</v>
      </c>
      <c r="C120" s="53" t="s">
        <v>1545</v>
      </c>
      <c r="D120" s="90">
        <v>20</v>
      </c>
      <c r="E120" s="90" t="s">
        <v>20</v>
      </c>
      <c r="F120" s="53" t="s">
        <v>1564</v>
      </c>
      <c r="G120" s="163">
        <v>198000</v>
      </c>
      <c r="H120" s="53" t="s">
        <v>29</v>
      </c>
      <c r="I120" s="117"/>
      <c r="J120" s="117"/>
      <c r="K120" s="31" t="s">
        <v>1246</v>
      </c>
      <c r="L120" s="31"/>
      <c r="M120" s="31"/>
      <c r="N120" s="31">
        <f t="shared" si="4"/>
        <v>20</v>
      </c>
      <c r="O120" s="31" t="s">
        <v>1247</v>
      </c>
      <c r="P120" s="31"/>
      <c r="Q120" s="31"/>
      <c r="R120" s="31"/>
      <c r="S120" s="31"/>
      <c r="T120" s="31" t="s">
        <v>1249</v>
      </c>
      <c r="U120" s="31"/>
      <c r="V120" s="31" t="str">
        <f t="shared" si="3"/>
        <v>Cước vận chuyển vỏ container 20 từ bãi JJ, Hải Phòng đến Nam Đình Vũ, Hải Phòng</v>
      </c>
      <c r="W120" s="31"/>
    </row>
    <row r="121" spans="1:23" s="29" customFormat="1" ht="18" customHeight="1" x14ac:dyDescent="0.25">
      <c r="A121" s="44">
        <v>112</v>
      </c>
      <c r="B121" s="54">
        <v>46180</v>
      </c>
      <c r="C121" s="53" t="s">
        <v>1546</v>
      </c>
      <c r="D121" s="90">
        <v>20</v>
      </c>
      <c r="E121" s="90" t="s">
        <v>20</v>
      </c>
      <c r="F121" s="53" t="s">
        <v>1564</v>
      </c>
      <c r="G121" s="163">
        <v>198000</v>
      </c>
      <c r="H121" s="53" t="s">
        <v>29</v>
      </c>
      <c r="I121" s="117"/>
      <c r="J121" s="117"/>
      <c r="K121" s="31" t="s">
        <v>1246</v>
      </c>
      <c r="L121" s="31"/>
      <c r="M121" s="31"/>
      <c r="N121" s="31">
        <f t="shared" si="4"/>
        <v>20</v>
      </c>
      <c r="O121" s="31" t="s">
        <v>1247</v>
      </c>
      <c r="P121" s="31"/>
      <c r="Q121" s="31"/>
      <c r="R121" s="31"/>
      <c r="S121" s="31"/>
      <c r="T121" s="31" t="s">
        <v>1249</v>
      </c>
      <c r="U121" s="31"/>
      <c r="V121" s="31" t="str">
        <f t="shared" si="3"/>
        <v>Cước vận chuyển vỏ container 20 từ bãi JJ, Hải Phòng đến Nam Đình Vũ, Hải Phòng</v>
      </c>
      <c r="W121" s="31"/>
    </row>
    <row r="122" spans="1:23" s="29" customFormat="1" ht="18" customHeight="1" x14ac:dyDescent="0.25">
      <c r="A122" s="44">
        <v>113</v>
      </c>
      <c r="B122" s="54">
        <v>46180</v>
      </c>
      <c r="C122" s="53" t="s">
        <v>1547</v>
      </c>
      <c r="D122" s="90">
        <v>20</v>
      </c>
      <c r="E122" s="90" t="s">
        <v>20</v>
      </c>
      <c r="F122" s="53" t="s">
        <v>1564</v>
      </c>
      <c r="G122" s="163">
        <v>198000</v>
      </c>
      <c r="H122" s="53" t="s">
        <v>29</v>
      </c>
      <c r="I122" s="117"/>
      <c r="J122" s="117"/>
      <c r="K122" s="31" t="s">
        <v>1246</v>
      </c>
      <c r="L122" s="31"/>
      <c r="M122" s="31"/>
      <c r="N122" s="31">
        <f t="shared" si="4"/>
        <v>20</v>
      </c>
      <c r="O122" s="31" t="s">
        <v>1247</v>
      </c>
      <c r="P122" s="31"/>
      <c r="Q122" s="31"/>
      <c r="R122" s="31"/>
      <c r="S122" s="31"/>
      <c r="T122" s="31" t="s">
        <v>1249</v>
      </c>
      <c r="U122" s="31"/>
      <c r="V122" s="31" t="str">
        <f t="shared" si="3"/>
        <v>Cước vận chuyển vỏ container 20 từ bãi JJ, Hải Phòng đến Nam Đình Vũ, Hải Phòng</v>
      </c>
      <c r="W122" s="31"/>
    </row>
    <row r="123" spans="1:23" s="29" customFormat="1" ht="18" customHeight="1" x14ac:dyDescent="0.25">
      <c r="A123" s="44">
        <v>114</v>
      </c>
      <c r="B123" s="54">
        <v>46180</v>
      </c>
      <c r="C123" s="53" t="s">
        <v>1548</v>
      </c>
      <c r="D123" s="90">
        <v>20</v>
      </c>
      <c r="E123" s="90" t="s">
        <v>20</v>
      </c>
      <c r="F123" s="53" t="s">
        <v>1564</v>
      </c>
      <c r="G123" s="163">
        <v>198000</v>
      </c>
      <c r="H123" s="53" t="s">
        <v>29</v>
      </c>
      <c r="I123" s="37"/>
      <c r="J123" s="117"/>
      <c r="K123" s="31" t="s">
        <v>1246</v>
      </c>
      <c r="L123" s="31"/>
      <c r="M123" s="31"/>
      <c r="N123" s="31">
        <f t="shared" si="4"/>
        <v>20</v>
      </c>
      <c r="O123" s="31" t="s">
        <v>1247</v>
      </c>
      <c r="P123" s="31"/>
      <c r="Q123" s="31"/>
      <c r="R123" s="31"/>
      <c r="S123" s="31"/>
      <c r="T123" s="31" t="s">
        <v>1249</v>
      </c>
      <c r="U123" s="31"/>
      <c r="V123" s="31" t="str">
        <f t="shared" si="3"/>
        <v>Cước vận chuyển vỏ container 20 từ bãi JJ, Hải Phòng đến Nam Đình Vũ, Hải Phòng</v>
      </c>
      <c r="W123" s="31"/>
    </row>
    <row r="124" spans="1:23" s="29" customFormat="1" ht="18" customHeight="1" x14ac:dyDescent="0.25">
      <c r="A124" s="44">
        <v>115</v>
      </c>
      <c r="B124" s="54">
        <v>46180</v>
      </c>
      <c r="C124" s="53" t="s">
        <v>1549</v>
      </c>
      <c r="D124" s="90">
        <v>20</v>
      </c>
      <c r="E124" s="90" t="s">
        <v>20</v>
      </c>
      <c r="F124" s="53" t="s">
        <v>1564</v>
      </c>
      <c r="G124" s="163">
        <v>198000</v>
      </c>
      <c r="H124" s="53" t="s">
        <v>29</v>
      </c>
      <c r="I124" s="37"/>
      <c r="J124" s="117"/>
      <c r="K124" s="31" t="s">
        <v>1246</v>
      </c>
      <c r="L124" s="31"/>
      <c r="M124" s="31"/>
      <c r="N124" s="31">
        <f t="shared" si="4"/>
        <v>20</v>
      </c>
      <c r="O124" s="31" t="s">
        <v>1247</v>
      </c>
      <c r="P124" s="31"/>
      <c r="Q124" s="31"/>
      <c r="R124" s="31"/>
      <c r="S124" s="31"/>
      <c r="T124" s="31" t="s">
        <v>1249</v>
      </c>
      <c r="U124" s="31"/>
      <c r="V124" s="31" t="str">
        <f t="shared" si="3"/>
        <v>Cước vận chuyển vỏ container 20 từ bãi JJ, Hải Phòng đến Nam Đình Vũ, Hải Phòng</v>
      </c>
      <c r="W124" s="31"/>
    </row>
    <row r="125" spans="1:23" s="29" customFormat="1" ht="18" customHeight="1" x14ac:dyDescent="0.25">
      <c r="A125" s="44">
        <v>116</v>
      </c>
      <c r="B125" s="54">
        <v>46180</v>
      </c>
      <c r="C125" s="53" t="s">
        <v>1550</v>
      </c>
      <c r="D125" s="90">
        <v>40</v>
      </c>
      <c r="E125" s="90" t="s">
        <v>20</v>
      </c>
      <c r="F125" s="53" t="s">
        <v>1564</v>
      </c>
      <c r="G125" s="163">
        <v>365000</v>
      </c>
      <c r="H125" s="53" t="s">
        <v>29</v>
      </c>
      <c r="I125" s="37"/>
      <c r="J125" s="117"/>
      <c r="K125" s="31" t="s">
        <v>1246</v>
      </c>
      <c r="L125" s="31"/>
      <c r="M125" s="31"/>
      <c r="N125" s="31">
        <f t="shared" si="4"/>
        <v>40</v>
      </c>
      <c r="O125" s="31" t="s">
        <v>1247</v>
      </c>
      <c r="P125" s="31"/>
      <c r="Q125" s="31"/>
      <c r="R125" s="31"/>
      <c r="S125" s="31"/>
      <c r="T125" s="31" t="s">
        <v>1249</v>
      </c>
      <c r="U125" s="31"/>
      <c r="V125" s="31" t="str">
        <f t="shared" si="3"/>
        <v>Cước vận chuyển vỏ container 40 từ bãi JJ, Hải Phòng đến Nam Đình Vũ, Hải Phòng</v>
      </c>
      <c r="W125" s="31"/>
    </row>
    <row r="126" spans="1:23" s="29" customFormat="1" ht="18" customHeight="1" x14ac:dyDescent="0.25">
      <c r="A126" s="44">
        <v>117</v>
      </c>
      <c r="B126" s="54">
        <v>46180</v>
      </c>
      <c r="C126" s="53" t="s">
        <v>1551</v>
      </c>
      <c r="D126" s="90">
        <v>40</v>
      </c>
      <c r="E126" s="90" t="s">
        <v>20</v>
      </c>
      <c r="F126" s="53" t="s">
        <v>1564</v>
      </c>
      <c r="G126" s="163">
        <v>365000</v>
      </c>
      <c r="H126" s="53" t="s">
        <v>29</v>
      </c>
      <c r="I126" s="117"/>
      <c r="J126" s="117"/>
      <c r="K126" s="31" t="s">
        <v>1246</v>
      </c>
      <c r="L126" s="31"/>
      <c r="M126" s="31"/>
      <c r="N126" s="31">
        <f t="shared" si="4"/>
        <v>40</v>
      </c>
      <c r="O126" s="31" t="s">
        <v>1247</v>
      </c>
      <c r="P126" s="31"/>
      <c r="Q126" s="31"/>
      <c r="R126" s="31"/>
      <c r="S126" s="31"/>
      <c r="T126" s="31" t="s">
        <v>1249</v>
      </c>
      <c r="U126" s="31"/>
      <c r="V126" s="31" t="str">
        <f t="shared" si="3"/>
        <v>Cước vận chuyển vỏ container 40 từ bãi JJ, Hải Phòng đến Nam Đình Vũ, Hải Phòng</v>
      </c>
      <c r="W126" s="31"/>
    </row>
    <row r="127" spans="1:23" s="29" customFormat="1" ht="18" customHeight="1" x14ac:dyDescent="0.25">
      <c r="A127" s="44">
        <v>118</v>
      </c>
      <c r="B127" s="54">
        <v>46180</v>
      </c>
      <c r="C127" s="53" t="s">
        <v>1552</v>
      </c>
      <c r="D127" s="90">
        <v>40</v>
      </c>
      <c r="E127" s="90" t="s">
        <v>20</v>
      </c>
      <c r="F127" s="53" t="s">
        <v>1564</v>
      </c>
      <c r="G127" s="163">
        <v>365000</v>
      </c>
      <c r="H127" s="53" t="s">
        <v>29</v>
      </c>
      <c r="I127" s="117"/>
      <c r="J127" s="117"/>
      <c r="K127" s="31" t="s">
        <v>1246</v>
      </c>
      <c r="L127" s="31"/>
      <c r="M127" s="31"/>
      <c r="N127" s="31">
        <f t="shared" si="4"/>
        <v>40</v>
      </c>
      <c r="O127" s="31" t="s">
        <v>1247</v>
      </c>
      <c r="P127" s="31"/>
      <c r="Q127" s="31"/>
      <c r="R127" s="31"/>
      <c r="S127" s="31"/>
      <c r="T127" s="31" t="s">
        <v>1249</v>
      </c>
      <c r="U127" s="31"/>
      <c r="V127" s="31" t="str">
        <f t="shared" si="3"/>
        <v>Cước vận chuyển vỏ container 40 từ bãi JJ, Hải Phòng đến Nam Đình Vũ, Hải Phòng</v>
      </c>
      <c r="W127" s="31"/>
    </row>
    <row r="128" spans="1:23" s="29" customFormat="1" ht="18" customHeight="1" x14ac:dyDescent="0.25">
      <c r="A128" s="44">
        <v>119</v>
      </c>
      <c r="B128" s="54">
        <v>46180</v>
      </c>
      <c r="C128" s="53" t="s">
        <v>1553</v>
      </c>
      <c r="D128" s="90">
        <v>20</v>
      </c>
      <c r="E128" s="90" t="s">
        <v>20</v>
      </c>
      <c r="F128" s="53" t="s">
        <v>1564</v>
      </c>
      <c r="G128" s="163">
        <v>198000</v>
      </c>
      <c r="H128" s="53" t="s">
        <v>25</v>
      </c>
      <c r="I128" s="117"/>
      <c r="J128" s="117"/>
      <c r="K128" s="31" t="s">
        <v>1246</v>
      </c>
      <c r="L128" s="31"/>
      <c r="M128" s="31"/>
      <c r="N128" s="31">
        <f t="shared" si="4"/>
        <v>20</v>
      </c>
      <c r="O128" s="31" t="s">
        <v>1247</v>
      </c>
      <c r="P128" s="31"/>
      <c r="Q128" s="31"/>
      <c r="R128" s="31"/>
      <c r="S128" s="31"/>
      <c r="T128" s="31" t="s">
        <v>1249</v>
      </c>
      <c r="U128" s="31"/>
      <c r="V128" s="31" t="str">
        <f t="shared" si="3"/>
        <v>Cước vận chuyển vỏ container 20 từ bãi JJ, Hải Phòng đến Nam Đình Vũ, Hải Phòng</v>
      </c>
      <c r="W128" s="31"/>
    </row>
    <row r="129" spans="1:23" s="29" customFormat="1" ht="18" customHeight="1" x14ac:dyDescent="0.25">
      <c r="A129" s="44">
        <v>120</v>
      </c>
      <c r="B129" s="54">
        <v>46180</v>
      </c>
      <c r="C129" s="53" t="s">
        <v>1554</v>
      </c>
      <c r="D129" s="90">
        <v>20</v>
      </c>
      <c r="E129" s="90" t="s">
        <v>20</v>
      </c>
      <c r="F129" s="53" t="s">
        <v>1564</v>
      </c>
      <c r="G129" s="163">
        <v>198000</v>
      </c>
      <c r="H129" s="53" t="s">
        <v>25</v>
      </c>
      <c r="I129" s="117"/>
      <c r="J129" s="117"/>
      <c r="K129" s="31" t="s">
        <v>1246</v>
      </c>
      <c r="L129" s="31"/>
      <c r="M129" s="31"/>
      <c r="N129" s="31">
        <f t="shared" si="4"/>
        <v>20</v>
      </c>
      <c r="O129" s="31" t="s">
        <v>1247</v>
      </c>
      <c r="P129" s="31"/>
      <c r="Q129" s="31"/>
      <c r="R129" s="31"/>
      <c r="S129" s="31"/>
      <c r="T129" s="31" t="s">
        <v>1249</v>
      </c>
      <c r="U129" s="31"/>
      <c r="V129" s="31" t="str">
        <f t="shared" si="3"/>
        <v>Cước vận chuyển vỏ container 20 từ bãi JJ, Hải Phòng đến Nam Đình Vũ, Hải Phòng</v>
      </c>
      <c r="W129" s="31"/>
    </row>
    <row r="130" spans="1:23" s="29" customFormat="1" ht="18" customHeight="1" x14ac:dyDescent="0.25">
      <c r="A130" s="44">
        <v>121</v>
      </c>
      <c r="B130" s="54">
        <v>46180</v>
      </c>
      <c r="C130" s="53" t="s">
        <v>1555</v>
      </c>
      <c r="D130" s="90">
        <v>20</v>
      </c>
      <c r="E130" s="90" t="s">
        <v>20</v>
      </c>
      <c r="F130" s="53" t="s">
        <v>1564</v>
      </c>
      <c r="G130" s="163">
        <v>198000</v>
      </c>
      <c r="H130" s="53" t="s">
        <v>25</v>
      </c>
      <c r="I130" s="117"/>
      <c r="J130" s="117"/>
      <c r="K130" s="31" t="s">
        <v>1246</v>
      </c>
      <c r="L130" s="31"/>
      <c r="M130" s="31"/>
      <c r="N130" s="31">
        <f t="shared" si="4"/>
        <v>20</v>
      </c>
      <c r="O130" s="31" t="s">
        <v>1247</v>
      </c>
      <c r="P130" s="31"/>
      <c r="Q130" s="31"/>
      <c r="R130" s="31"/>
      <c r="S130" s="31"/>
      <c r="T130" s="31" t="s">
        <v>1249</v>
      </c>
      <c r="U130" s="31"/>
      <c r="V130" s="31" t="str">
        <f t="shared" si="3"/>
        <v>Cước vận chuyển vỏ container 20 từ bãi JJ, Hải Phòng đến Nam Đình Vũ, Hải Phòng</v>
      </c>
      <c r="W130" s="31"/>
    </row>
    <row r="131" spans="1:23" s="29" customFormat="1" ht="18" customHeight="1" x14ac:dyDescent="0.25">
      <c r="A131" s="44">
        <v>122</v>
      </c>
      <c r="B131" s="54">
        <v>46180</v>
      </c>
      <c r="C131" s="53" t="s">
        <v>1556</v>
      </c>
      <c r="D131" s="90">
        <v>20</v>
      </c>
      <c r="E131" s="90" t="s">
        <v>20</v>
      </c>
      <c r="F131" s="53" t="s">
        <v>1564</v>
      </c>
      <c r="G131" s="163">
        <v>198000</v>
      </c>
      <c r="H131" s="53" t="s">
        <v>25</v>
      </c>
      <c r="I131" s="117"/>
      <c r="J131" s="117"/>
      <c r="K131" s="31" t="s">
        <v>1246</v>
      </c>
      <c r="L131" s="31"/>
      <c r="M131" s="31"/>
      <c r="N131" s="31">
        <f t="shared" si="4"/>
        <v>20</v>
      </c>
      <c r="O131" s="31" t="s">
        <v>1247</v>
      </c>
      <c r="P131" s="31"/>
      <c r="Q131" s="31"/>
      <c r="R131" s="31"/>
      <c r="S131" s="31"/>
      <c r="T131" s="31" t="s">
        <v>1249</v>
      </c>
      <c r="U131" s="31"/>
      <c r="V131" s="31" t="str">
        <f t="shared" si="3"/>
        <v>Cước vận chuyển vỏ container 20 từ bãi JJ, Hải Phòng đến Nam Đình Vũ, Hải Phòng</v>
      </c>
      <c r="W131" s="31"/>
    </row>
    <row r="132" spans="1:23" s="29" customFormat="1" ht="18" customHeight="1" x14ac:dyDescent="0.25">
      <c r="A132" s="44">
        <v>123</v>
      </c>
      <c r="B132" s="54">
        <v>46180</v>
      </c>
      <c r="C132" s="53" t="s">
        <v>1557</v>
      </c>
      <c r="D132" s="90">
        <v>20</v>
      </c>
      <c r="E132" s="90" t="s">
        <v>20</v>
      </c>
      <c r="F132" s="53" t="s">
        <v>1564</v>
      </c>
      <c r="G132" s="163">
        <v>198000</v>
      </c>
      <c r="H132" s="53" t="s">
        <v>25</v>
      </c>
      <c r="I132" s="117"/>
      <c r="J132" s="117"/>
      <c r="K132" s="31" t="s">
        <v>1246</v>
      </c>
      <c r="L132" s="31"/>
      <c r="M132" s="31"/>
      <c r="N132" s="31">
        <f t="shared" si="4"/>
        <v>20</v>
      </c>
      <c r="O132" s="31" t="s">
        <v>1247</v>
      </c>
      <c r="P132" s="31"/>
      <c r="Q132" s="31"/>
      <c r="R132" s="31"/>
      <c r="S132" s="31"/>
      <c r="T132" s="31" t="s">
        <v>1249</v>
      </c>
      <c r="U132" s="31"/>
      <c r="V132" s="31" t="str">
        <f t="shared" si="3"/>
        <v>Cước vận chuyển vỏ container 20 từ bãi JJ, Hải Phòng đến Nam Đình Vũ, Hải Phòng</v>
      </c>
      <c r="W132" s="31"/>
    </row>
    <row r="133" spans="1:23" s="29" customFormat="1" ht="18" customHeight="1" x14ac:dyDescent="0.25">
      <c r="A133" s="44">
        <v>124</v>
      </c>
      <c r="B133" s="54">
        <v>46180</v>
      </c>
      <c r="C133" s="53" t="s">
        <v>1558</v>
      </c>
      <c r="D133" s="90">
        <v>20</v>
      </c>
      <c r="E133" s="90" t="s">
        <v>20</v>
      </c>
      <c r="F133" s="53" t="s">
        <v>1564</v>
      </c>
      <c r="G133" s="163">
        <v>198000</v>
      </c>
      <c r="H133" s="53" t="s">
        <v>25</v>
      </c>
      <c r="I133" s="117"/>
      <c r="J133" s="117"/>
      <c r="K133" s="31" t="s">
        <v>1246</v>
      </c>
      <c r="L133" s="31"/>
      <c r="M133" s="31"/>
      <c r="N133" s="31">
        <f t="shared" si="4"/>
        <v>20</v>
      </c>
      <c r="O133" s="31" t="s">
        <v>1247</v>
      </c>
      <c r="P133" s="31"/>
      <c r="Q133" s="31"/>
      <c r="R133" s="31"/>
      <c r="S133" s="31"/>
      <c r="T133" s="31" t="s">
        <v>1249</v>
      </c>
      <c r="U133" s="31"/>
      <c r="V133" s="31" t="str">
        <f t="shared" si="3"/>
        <v>Cước vận chuyển vỏ container 20 từ bãi JJ, Hải Phòng đến Nam Đình Vũ, Hải Phòng</v>
      </c>
      <c r="W133" s="31"/>
    </row>
    <row r="134" spans="1:23" s="29" customFormat="1" ht="18" customHeight="1" x14ac:dyDescent="0.25">
      <c r="A134" s="44">
        <v>125</v>
      </c>
      <c r="B134" s="54">
        <v>46180</v>
      </c>
      <c r="C134" s="53" t="s">
        <v>1559</v>
      </c>
      <c r="D134" s="90">
        <v>20</v>
      </c>
      <c r="E134" s="90" t="s">
        <v>20</v>
      </c>
      <c r="F134" s="53" t="s">
        <v>1564</v>
      </c>
      <c r="G134" s="163">
        <v>198000</v>
      </c>
      <c r="H134" s="53" t="s">
        <v>25</v>
      </c>
      <c r="I134" s="117"/>
      <c r="J134" s="117"/>
      <c r="K134" s="31" t="s">
        <v>1246</v>
      </c>
      <c r="L134" s="31"/>
      <c r="M134" s="31"/>
      <c r="N134" s="31">
        <f t="shared" si="4"/>
        <v>20</v>
      </c>
      <c r="O134" s="31" t="s">
        <v>1247</v>
      </c>
      <c r="P134" s="31"/>
      <c r="Q134" s="31"/>
      <c r="R134" s="31"/>
      <c r="S134" s="31"/>
      <c r="T134" s="31" t="s">
        <v>1249</v>
      </c>
      <c r="U134" s="31"/>
      <c r="V134" s="31" t="str">
        <f t="shared" si="3"/>
        <v>Cước vận chuyển vỏ container 20 từ bãi JJ, Hải Phòng đến Nam Đình Vũ, Hải Phòng</v>
      </c>
      <c r="W134" s="31"/>
    </row>
    <row r="135" spans="1:23" s="29" customFormat="1" ht="18" customHeight="1" x14ac:dyDescent="0.25">
      <c r="A135" s="44">
        <v>126</v>
      </c>
      <c r="B135" s="54">
        <v>46180</v>
      </c>
      <c r="C135" s="53" t="s">
        <v>1560</v>
      </c>
      <c r="D135" s="90">
        <v>20</v>
      </c>
      <c r="E135" s="90" t="s">
        <v>20</v>
      </c>
      <c r="F135" s="53" t="s">
        <v>1564</v>
      </c>
      <c r="G135" s="163">
        <v>198000</v>
      </c>
      <c r="H135" s="53" t="s">
        <v>25</v>
      </c>
      <c r="I135" s="117"/>
      <c r="J135" s="117"/>
      <c r="K135" s="31" t="s">
        <v>1246</v>
      </c>
      <c r="L135" s="31"/>
      <c r="M135" s="31"/>
      <c r="N135" s="31">
        <f t="shared" si="4"/>
        <v>20</v>
      </c>
      <c r="O135" s="31" t="s">
        <v>1247</v>
      </c>
      <c r="P135" s="31"/>
      <c r="Q135" s="31"/>
      <c r="R135" s="31"/>
      <c r="S135" s="31"/>
      <c r="T135" s="31" t="s">
        <v>1249</v>
      </c>
      <c r="U135" s="31"/>
      <c r="V135" s="31" t="str">
        <f t="shared" si="3"/>
        <v>Cước vận chuyển vỏ container 20 từ bãi JJ, Hải Phòng đến Nam Đình Vũ, Hải Phòng</v>
      </c>
      <c r="W135" s="31"/>
    </row>
    <row r="136" spans="1:23" s="29" customFormat="1" ht="18" customHeight="1" x14ac:dyDescent="0.25">
      <c r="A136" s="44">
        <v>127</v>
      </c>
      <c r="B136" s="54">
        <v>46180</v>
      </c>
      <c r="C136" s="53" t="s">
        <v>1561</v>
      </c>
      <c r="D136" s="90">
        <v>40</v>
      </c>
      <c r="E136" s="90" t="s">
        <v>20</v>
      </c>
      <c r="F136" s="53" t="s">
        <v>1564</v>
      </c>
      <c r="G136" s="163">
        <v>365000</v>
      </c>
      <c r="H136" s="53" t="s">
        <v>25</v>
      </c>
      <c r="I136" s="117"/>
      <c r="J136" s="117"/>
      <c r="K136" s="31" t="s">
        <v>1246</v>
      </c>
      <c r="L136" s="31"/>
      <c r="M136" s="31"/>
      <c r="N136" s="31">
        <f t="shared" si="4"/>
        <v>40</v>
      </c>
      <c r="O136" s="31" t="s">
        <v>1247</v>
      </c>
      <c r="P136" s="31"/>
      <c r="Q136" s="31"/>
      <c r="R136" s="31"/>
      <c r="S136" s="31"/>
      <c r="T136" s="31" t="s">
        <v>1249</v>
      </c>
      <c r="U136" s="31"/>
      <c r="V136" s="31" t="str">
        <f t="shared" si="3"/>
        <v>Cước vận chuyển vỏ container 40 từ bãi JJ, Hải Phòng đến Nam Đình Vũ, Hải Phòng</v>
      </c>
      <c r="W136" s="31"/>
    </row>
    <row r="137" spans="1:23" s="29" customFormat="1" ht="18" customHeight="1" x14ac:dyDescent="0.25">
      <c r="A137" s="44">
        <v>128</v>
      </c>
      <c r="B137" s="54">
        <v>46170</v>
      </c>
      <c r="C137" s="53" t="s">
        <v>1567</v>
      </c>
      <c r="D137" s="53">
        <v>20</v>
      </c>
      <c r="E137" s="53" t="s">
        <v>20</v>
      </c>
      <c r="F137" s="53" t="s">
        <v>1568</v>
      </c>
      <c r="G137" s="163">
        <v>198000</v>
      </c>
      <c r="H137" s="53" t="s">
        <v>30</v>
      </c>
      <c r="I137" s="117"/>
      <c r="J137" s="117"/>
      <c r="K137" s="31" t="s">
        <v>1246</v>
      </c>
      <c r="L137" s="31"/>
      <c r="M137" s="31"/>
      <c r="N137" s="31">
        <f t="shared" si="4"/>
        <v>20</v>
      </c>
      <c r="O137" s="31" t="s">
        <v>1247</v>
      </c>
      <c r="P137" s="31"/>
      <c r="Q137" s="31"/>
      <c r="R137" s="31"/>
      <c r="S137" s="31"/>
      <c r="T137" s="31" t="s">
        <v>1249</v>
      </c>
      <c r="U137" s="31"/>
      <c r="V137" s="31" t="str">
        <f t="shared" si="3"/>
        <v>Cước vận chuyển vỏ container 20 từ bãi JJ, Hải Phòng đến Nam Đình Vũ, Hải Phòng</v>
      </c>
      <c r="W137" s="31"/>
    </row>
    <row r="138" spans="1:23" s="29" customFormat="1" ht="18" customHeight="1" x14ac:dyDescent="0.25">
      <c r="A138" s="44">
        <v>129</v>
      </c>
      <c r="B138" s="54">
        <v>46170</v>
      </c>
      <c r="C138" s="53" t="s">
        <v>1569</v>
      </c>
      <c r="D138" s="53">
        <v>20</v>
      </c>
      <c r="E138" s="53" t="s">
        <v>20</v>
      </c>
      <c r="F138" s="53" t="s">
        <v>1568</v>
      </c>
      <c r="G138" s="163">
        <v>198000</v>
      </c>
      <c r="H138" s="53" t="s">
        <v>30</v>
      </c>
      <c r="I138" s="117"/>
      <c r="J138" s="117"/>
      <c r="K138" s="31" t="s">
        <v>1246</v>
      </c>
      <c r="L138" s="31"/>
      <c r="M138" s="31"/>
      <c r="N138" s="31">
        <f t="shared" si="4"/>
        <v>20</v>
      </c>
      <c r="O138" s="31" t="s">
        <v>1247</v>
      </c>
      <c r="P138" s="31"/>
      <c r="Q138" s="31"/>
      <c r="R138" s="31"/>
      <c r="S138" s="31"/>
      <c r="T138" s="31" t="s">
        <v>1249</v>
      </c>
      <c r="U138" s="31"/>
      <c r="V138" s="31" t="str">
        <f t="shared" si="3"/>
        <v>Cước vận chuyển vỏ container 20 từ bãi JJ, Hải Phòng đến Nam Đình Vũ, Hải Phòng</v>
      </c>
      <c r="W138" s="31"/>
    </row>
    <row r="139" spans="1:23" s="29" customFormat="1" ht="18" customHeight="1" x14ac:dyDescent="0.25">
      <c r="A139" s="44">
        <v>130</v>
      </c>
      <c r="B139" s="54">
        <v>46170</v>
      </c>
      <c r="C139" s="53" t="s">
        <v>1570</v>
      </c>
      <c r="D139" s="53">
        <v>40</v>
      </c>
      <c r="E139" s="53" t="s">
        <v>20</v>
      </c>
      <c r="F139" s="53" t="s">
        <v>1568</v>
      </c>
      <c r="G139" s="163">
        <v>365000</v>
      </c>
      <c r="H139" s="53" t="s">
        <v>30</v>
      </c>
      <c r="I139" s="117"/>
      <c r="J139" s="117"/>
      <c r="K139" s="31" t="s">
        <v>1246</v>
      </c>
      <c r="L139" s="31"/>
      <c r="M139" s="31"/>
      <c r="N139" s="31">
        <f t="shared" si="4"/>
        <v>40</v>
      </c>
      <c r="O139" s="31" t="s">
        <v>1247</v>
      </c>
      <c r="P139" s="31"/>
      <c r="Q139" s="31"/>
      <c r="R139" s="31"/>
      <c r="S139" s="31"/>
      <c r="T139" s="31" t="s">
        <v>1249</v>
      </c>
      <c r="U139" s="31"/>
      <c r="V139" s="31" t="str">
        <f t="shared" ref="V139:V200" si="5">K139&amp;" "&amp;N139&amp;""&amp;" "&amp;O139</f>
        <v>Cước vận chuyển vỏ container 40 từ bãi JJ, Hải Phòng đến Nam Đình Vũ, Hải Phòng</v>
      </c>
      <c r="W139" s="31"/>
    </row>
    <row r="140" spans="1:23" s="29" customFormat="1" ht="18" customHeight="1" x14ac:dyDescent="0.25">
      <c r="A140" s="44">
        <v>131</v>
      </c>
      <c r="B140" s="54">
        <v>46170</v>
      </c>
      <c r="C140" s="53" t="s">
        <v>1571</v>
      </c>
      <c r="D140" s="53">
        <v>40</v>
      </c>
      <c r="E140" s="53" t="s">
        <v>20</v>
      </c>
      <c r="F140" s="53" t="s">
        <v>1568</v>
      </c>
      <c r="G140" s="163">
        <v>365000</v>
      </c>
      <c r="H140" s="53" t="s">
        <v>30</v>
      </c>
      <c r="I140" s="117"/>
      <c r="J140" s="117"/>
      <c r="K140" s="31" t="s">
        <v>1246</v>
      </c>
      <c r="L140" s="31"/>
      <c r="M140" s="31"/>
      <c r="N140" s="31">
        <f>D140</f>
        <v>40</v>
      </c>
      <c r="O140" s="31" t="s">
        <v>1247</v>
      </c>
      <c r="P140" s="31"/>
      <c r="Q140" s="31"/>
      <c r="R140" s="31"/>
      <c r="S140" s="31"/>
      <c r="T140" s="31" t="s">
        <v>1249</v>
      </c>
      <c r="U140" s="31"/>
      <c r="V140" s="31" t="str">
        <f t="shared" si="5"/>
        <v>Cước vận chuyển vỏ container 40 từ bãi JJ, Hải Phòng đến Nam Đình Vũ, Hải Phòng</v>
      </c>
      <c r="W140" s="31"/>
    </row>
    <row r="141" spans="1:23" s="29" customFormat="1" ht="18" customHeight="1" x14ac:dyDescent="0.25">
      <c r="A141" s="44">
        <v>132</v>
      </c>
      <c r="B141" s="54">
        <v>46170</v>
      </c>
      <c r="C141" s="53" t="s">
        <v>1572</v>
      </c>
      <c r="D141" s="53">
        <v>40</v>
      </c>
      <c r="E141" s="53" t="s">
        <v>20</v>
      </c>
      <c r="F141" s="53" t="s">
        <v>1568</v>
      </c>
      <c r="G141" s="163">
        <v>365000</v>
      </c>
      <c r="H141" s="53" t="s">
        <v>30</v>
      </c>
      <c r="I141" s="117"/>
      <c r="J141" s="117"/>
      <c r="K141" s="31" t="s">
        <v>1246</v>
      </c>
      <c r="L141" s="31"/>
      <c r="M141" s="31"/>
      <c r="N141" s="31">
        <f t="shared" ref="N141:N147" si="6">D141</f>
        <v>40</v>
      </c>
      <c r="O141" s="31" t="s">
        <v>1247</v>
      </c>
      <c r="P141" s="31"/>
      <c r="Q141" s="31"/>
      <c r="R141" s="31"/>
      <c r="S141" s="31"/>
      <c r="T141" s="31" t="s">
        <v>1249</v>
      </c>
      <c r="U141" s="31"/>
      <c r="V141" s="31" t="str">
        <f t="shared" si="5"/>
        <v>Cước vận chuyển vỏ container 40 từ bãi JJ, Hải Phòng đến Nam Đình Vũ, Hải Phòng</v>
      </c>
      <c r="W141" s="31"/>
    </row>
    <row r="142" spans="1:23" s="29" customFormat="1" ht="18" customHeight="1" x14ac:dyDescent="0.25">
      <c r="A142" s="44">
        <v>133</v>
      </c>
      <c r="B142" s="127">
        <v>46170</v>
      </c>
      <c r="C142" s="53" t="s">
        <v>1573</v>
      </c>
      <c r="D142" s="53">
        <v>20</v>
      </c>
      <c r="E142" s="53" t="s">
        <v>20</v>
      </c>
      <c r="F142" s="53" t="s">
        <v>1568</v>
      </c>
      <c r="G142" s="163">
        <v>198000</v>
      </c>
      <c r="H142" s="53" t="s">
        <v>28</v>
      </c>
      <c r="I142" s="117"/>
      <c r="J142" s="117"/>
      <c r="K142" s="31" t="s">
        <v>1246</v>
      </c>
      <c r="L142" s="31"/>
      <c r="M142" s="31"/>
      <c r="N142" s="31">
        <f t="shared" si="6"/>
        <v>20</v>
      </c>
      <c r="O142" s="31" t="s">
        <v>1247</v>
      </c>
      <c r="P142" s="31"/>
      <c r="Q142" s="31"/>
      <c r="R142" s="31"/>
      <c r="S142" s="31"/>
      <c r="T142" s="31" t="s">
        <v>1249</v>
      </c>
      <c r="U142" s="31"/>
      <c r="V142" s="31" t="str">
        <f t="shared" si="5"/>
        <v>Cước vận chuyển vỏ container 20 từ bãi JJ, Hải Phòng đến Nam Đình Vũ, Hải Phòng</v>
      </c>
      <c r="W142" s="31"/>
    </row>
    <row r="143" spans="1:23" s="29" customFormat="1" ht="18" customHeight="1" x14ac:dyDescent="0.25">
      <c r="A143" s="44">
        <v>134</v>
      </c>
      <c r="B143" s="127">
        <v>46170</v>
      </c>
      <c r="C143" s="53" t="s">
        <v>1574</v>
      </c>
      <c r="D143" s="53">
        <v>20</v>
      </c>
      <c r="E143" s="53" t="s">
        <v>20</v>
      </c>
      <c r="F143" s="53" t="s">
        <v>1568</v>
      </c>
      <c r="G143" s="163">
        <v>198000</v>
      </c>
      <c r="H143" s="53" t="s">
        <v>28</v>
      </c>
      <c r="I143" s="117"/>
      <c r="J143" s="117"/>
      <c r="K143" s="31" t="s">
        <v>1246</v>
      </c>
      <c r="L143" s="31"/>
      <c r="M143" s="31"/>
      <c r="N143" s="31">
        <f t="shared" si="6"/>
        <v>20</v>
      </c>
      <c r="O143" s="31" t="s">
        <v>1247</v>
      </c>
      <c r="P143" s="31"/>
      <c r="Q143" s="31"/>
      <c r="R143" s="31"/>
      <c r="S143" s="31"/>
      <c r="T143" s="31" t="s">
        <v>1249</v>
      </c>
      <c r="U143" s="31"/>
      <c r="V143" s="31" t="str">
        <f t="shared" si="5"/>
        <v>Cước vận chuyển vỏ container 20 từ bãi JJ, Hải Phòng đến Nam Đình Vũ, Hải Phòng</v>
      </c>
      <c r="W143" s="31"/>
    </row>
    <row r="144" spans="1:23" s="29" customFormat="1" ht="18" customHeight="1" x14ac:dyDescent="0.25">
      <c r="A144" s="44">
        <v>135</v>
      </c>
      <c r="B144" s="127">
        <v>46170</v>
      </c>
      <c r="C144" s="53" t="s">
        <v>1575</v>
      </c>
      <c r="D144" s="53">
        <v>20</v>
      </c>
      <c r="E144" s="53" t="s">
        <v>20</v>
      </c>
      <c r="F144" s="53" t="s">
        <v>1568</v>
      </c>
      <c r="G144" s="163">
        <v>198000</v>
      </c>
      <c r="H144" s="53" t="s">
        <v>28</v>
      </c>
      <c r="I144" s="117"/>
      <c r="J144" s="117"/>
      <c r="K144" s="31" t="s">
        <v>1246</v>
      </c>
      <c r="L144" s="31"/>
      <c r="M144" s="31"/>
      <c r="N144" s="31">
        <f t="shared" si="6"/>
        <v>20</v>
      </c>
      <c r="O144" s="31" t="s">
        <v>1247</v>
      </c>
      <c r="P144" s="31"/>
      <c r="Q144" s="31"/>
      <c r="R144" s="31"/>
      <c r="S144" s="31"/>
      <c r="T144" s="31" t="s">
        <v>1249</v>
      </c>
      <c r="U144" s="31"/>
      <c r="V144" s="31" t="str">
        <f t="shared" si="5"/>
        <v>Cước vận chuyển vỏ container 20 từ bãi JJ, Hải Phòng đến Nam Đình Vũ, Hải Phòng</v>
      </c>
      <c r="W144" s="31"/>
    </row>
    <row r="145" spans="1:23" s="29" customFormat="1" ht="18" customHeight="1" x14ac:dyDescent="0.25">
      <c r="A145" s="44">
        <v>136</v>
      </c>
      <c r="B145" s="127">
        <v>46170</v>
      </c>
      <c r="C145" s="53" t="s">
        <v>1576</v>
      </c>
      <c r="D145" s="53">
        <v>20</v>
      </c>
      <c r="E145" s="53" t="s">
        <v>20</v>
      </c>
      <c r="F145" s="53" t="s">
        <v>1568</v>
      </c>
      <c r="G145" s="163">
        <v>198000</v>
      </c>
      <c r="H145" s="53" t="s">
        <v>28</v>
      </c>
      <c r="I145" s="117"/>
      <c r="J145" s="117"/>
      <c r="K145" s="31" t="s">
        <v>1246</v>
      </c>
      <c r="L145" s="31"/>
      <c r="M145" s="31"/>
      <c r="N145" s="31">
        <f t="shared" si="6"/>
        <v>20</v>
      </c>
      <c r="O145" s="31" t="s">
        <v>1247</v>
      </c>
      <c r="P145" s="31"/>
      <c r="Q145" s="31"/>
      <c r="R145" s="31"/>
      <c r="S145" s="31"/>
      <c r="T145" s="31" t="s">
        <v>1249</v>
      </c>
      <c r="U145" s="31"/>
      <c r="V145" s="31" t="str">
        <f t="shared" si="5"/>
        <v>Cước vận chuyển vỏ container 20 từ bãi JJ, Hải Phòng đến Nam Đình Vũ, Hải Phòng</v>
      </c>
      <c r="W145" s="31"/>
    </row>
    <row r="146" spans="1:23" s="29" customFormat="1" ht="18" customHeight="1" x14ac:dyDescent="0.25">
      <c r="A146" s="44">
        <v>137</v>
      </c>
      <c r="B146" s="127">
        <v>46170</v>
      </c>
      <c r="C146" s="53" t="s">
        <v>1577</v>
      </c>
      <c r="D146" s="53">
        <v>40</v>
      </c>
      <c r="E146" s="53" t="s">
        <v>20</v>
      </c>
      <c r="F146" s="53" t="s">
        <v>1568</v>
      </c>
      <c r="G146" s="163">
        <v>365000</v>
      </c>
      <c r="H146" s="53" t="s">
        <v>28</v>
      </c>
      <c r="I146" s="117"/>
      <c r="J146" s="117"/>
      <c r="K146" s="31" t="s">
        <v>1246</v>
      </c>
      <c r="L146" s="31"/>
      <c r="M146" s="31"/>
      <c r="N146" s="31">
        <f t="shared" si="6"/>
        <v>40</v>
      </c>
      <c r="O146" s="31" t="s">
        <v>1247</v>
      </c>
      <c r="P146" s="31"/>
      <c r="Q146" s="31"/>
      <c r="R146" s="31"/>
      <c r="S146" s="31"/>
      <c r="T146" s="31" t="s">
        <v>1249</v>
      </c>
      <c r="U146" s="31"/>
      <c r="V146" s="31" t="str">
        <f t="shared" si="5"/>
        <v>Cước vận chuyển vỏ container 40 từ bãi JJ, Hải Phòng đến Nam Đình Vũ, Hải Phòng</v>
      </c>
      <c r="W146" s="31"/>
    </row>
    <row r="147" spans="1:23" s="29" customFormat="1" ht="18" customHeight="1" x14ac:dyDescent="0.25">
      <c r="A147" s="44">
        <v>138</v>
      </c>
      <c r="B147" s="127">
        <v>46170</v>
      </c>
      <c r="C147" s="53" t="s">
        <v>1578</v>
      </c>
      <c r="D147" s="53">
        <v>40</v>
      </c>
      <c r="E147" s="53" t="s">
        <v>20</v>
      </c>
      <c r="F147" s="53" t="s">
        <v>1568</v>
      </c>
      <c r="G147" s="163">
        <v>365000</v>
      </c>
      <c r="H147" s="53" t="s">
        <v>28</v>
      </c>
      <c r="I147" s="117"/>
      <c r="J147" s="117"/>
      <c r="K147" s="31" t="s">
        <v>1246</v>
      </c>
      <c r="L147" s="31"/>
      <c r="M147" s="31"/>
      <c r="N147" s="31">
        <f t="shared" si="6"/>
        <v>40</v>
      </c>
      <c r="O147" s="31" t="s">
        <v>1247</v>
      </c>
      <c r="P147" s="31"/>
      <c r="Q147" s="31"/>
      <c r="R147" s="31"/>
      <c r="S147" s="31"/>
      <c r="T147" s="31" t="s">
        <v>1249</v>
      </c>
      <c r="U147" s="31"/>
      <c r="V147" s="31" t="str">
        <f t="shared" si="5"/>
        <v>Cước vận chuyển vỏ container 40 từ bãi JJ, Hải Phòng đến Nam Đình Vũ, Hải Phòng</v>
      </c>
      <c r="W147" s="31"/>
    </row>
    <row r="148" spans="1:23" s="29" customFormat="1" ht="18" customHeight="1" x14ac:dyDescent="0.25">
      <c r="A148" s="44">
        <v>139</v>
      </c>
      <c r="B148" s="127">
        <v>46170</v>
      </c>
      <c r="C148" s="53" t="s">
        <v>1579</v>
      </c>
      <c r="D148" s="53">
        <v>40</v>
      </c>
      <c r="E148" s="53" t="s">
        <v>20</v>
      </c>
      <c r="F148" s="53" t="s">
        <v>1568</v>
      </c>
      <c r="G148" s="163">
        <v>365000</v>
      </c>
      <c r="H148" s="53" t="s">
        <v>602</v>
      </c>
      <c r="I148" s="117"/>
      <c r="J148" s="117"/>
      <c r="K148" s="31" t="s">
        <v>1246</v>
      </c>
      <c r="L148" s="31"/>
      <c r="M148" s="31"/>
      <c r="N148" s="31">
        <f>D148</f>
        <v>40</v>
      </c>
      <c r="O148" s="31" t="s">
        <v>1247</v>
      </c>
      <c r="P148" s="31"/>
      <c r="Q148" s="31"/>
      <c r="R148" s="31"/>
      <c r="S148" s="31"/>
      <c r="T148" s="31" t="s">
        <v>1249</v>
      </c>
      <c r="U148" s="31"/>
      <c r="V148" s="31" t="str">
        <f t="shared" si="5"/>
        <v>Cước vận chuyển vỏ container 40 từ bãi JJ, Hải Phòng đến Nam Đình Vũ, Hải Phòng</v>
      </c>
      <c r="W148" s="31"/>
    </row>
    <row r="149" spans="1:23" s="29" customFormat="1" ht="18" customHeight="1" x14ac:dyDescent="0.25">
      <c r="A149" s="44">
        <v>140</v>
      </c>
      <c r="B149" s="127">
        <v>46170</v>
      </c>
      <c r="C149" s="53" t="s">
        <v>1580</v>
      </c>
      <c r="D149" s="53">
        <v>20</v>
      </c>
      <c r="E149" s="53" t="s">
        <v>20</v>
      </c>
      <c r="F149" s="53" t="s">
        <v>1568</v>
      </c>
      <c r="G149" s="163">
        <v>198000</v>
      </c>
      <c r="H149" s="53" t="s">
        <v>268</v>
      </c>
      <c r="I149" s="117"/>
      <c r="J149" s="117"/>
      <c r="K149" s="31" t="s">
        <v>1246</v>
      </c>
      <c r="L149" s="31"/>
      <c r="M149" s="31"/>
      <c r="N149" s="31">
        <f t="shared" ref="N149:N200" si="7">D149</f>
        <v>20</v>
      </c>
      <c r="O149" s="31" t="s">
        <v>1247</v>
      </c>
      <c r="P149" s="31"/>
      <c r="Q149" s="31"/>
      <c r="R149" s="31"/>
      <c r="S149" s="31"/>
      <c r="T149" s="31" t="s">
        <v>1249</v>
      </c>
      <c r="U149" s="31"/>
      <c r="V149" s="31" t="str">
        <f t="shared" si="5"/>
        <v>Cước vận chuyển vỏ container 20 từ bãi JJ, Hải Phòng đến Nam Đình Vũ, Hải Phòng</v>
      </c>
      <c r="W149" s="31"/>
    </row>
    <row r="150" spans="1:23" s="29" customFormat="1" ht="18" customHeight="1" x14ac:dyDescent="0.25">
      <c r="A150" s="44">
        <v>141</v>
      </c>
      <c r="B150" s="127">
        <v>46170</v>
      </c>
      <c r="C150" s="53" t="s">
        <v>1581</v>
      </c>
      <c r="D150" s="53">
        <v>20</v>
      </c>
      <c r="E150" s="53" t="s">
        <v>20</v>
      </c>
      <c r="F150" s="53" t="s">
        <v>1568</v>
      </c>
      <c r="G150" s="163">
        <v>198000</v>
      </c>
      <c r="H150" s="53" t="s">
        <v>268</v>
      </c>
      <c r="I150" s="117"/>
      <c r="J150" s="117"/>
      <c r="K150" s="31" t="s">
        <v>1246</v>
      </c>
      <c r="L150" s="31"/>
      <c r="M150" s="31"/>
      <c r="N150" s="31">
        <f t="shared" si="7"/>
        <v>20</v>
      </c>
      <c r="O150" s="31" t="s">
        <v>1247</v>
      </c>
      <c r="P150" s="31"/>
      <c r="Q150" s="31"/>
      <c r="R150" s="31"/>
      <c r="S150" s="31"/>
      <c r="T150" s="31" t="s">
        <v>1249</v>
      </c>
      <c r="U150" s="31"/>
      <c r="V150" s="31" t="str">
        <f t="shared" si="5"/>
        <v>Cước vận chuyển vỏ container 20 từ bãi JJ, Hải Phòng đến Nam Đình Vũ, Hải Phòng</v>
      </c>
      <c r="W150" s="31"/>
    </row>
    <row r="151" spans="1:23" s="29" customFormat="1" ht="18" customHeight="1" x14ac:dyDescent="0.25">
      <c r="A151" s="44">
        <v>142</v>
      </c>
      <c r="B151" s="127">
        <v>46170</v>
      </c>
      <c r="C151" s="53" t="s">
        <v>1582</v>
      </c>
      <c r="D151" s="53">
        <v>40</v>
      </c>
      <c r="E151" s="53" t="s">
        <v>20</v>
      </c>
      <c r="F151" s="53" t="s">
        <v>1568</v>
      </c>
      <c r="G151" s="163">
        <v>365000</v>
      </c>
      <c r="H151" s="53" t="s">
        <v>268</v>
      </c>
      <c r="I151" s="117"/>
      <c r="J151" s="117"/>
      <c r="K151" s="31" t="s">
        <v>1246</v>
      </c>
      <c r="L151" s="31"/>
      <c r="M151" s="31"/>
      <c r="N151" s="31">
        <f t="shared" si="7"/>
        <v>40</v>
      </c>
      <c r="O151" s="31" t="s">
        <v>1247</v>
      </c>
      <c r="P151" s="31"/>
      <c r="Q151" s="31"/>
      <c r="R151" s="31"/>
      <c r="S151" s="31"/>
      <c r="T151" s="31" t="s">
        <v>1249</v>
      </c>
      <c r="U151" s="31"/>
      <c r="V151" s="31" t="str">
        <f t="shared" si="5"/>
        <v>Cước vận chuyển vỏ container 40 từ bãi JJ, Hải Phòng đến Nam Đình Vũ, Hải Phòng</v>
      </c>
      <c r="W151" s="31"/>
    </row>
    <row r="152" spans="1:23" s="29" customFormat="1" ht="18" customHeight="1" x14ac:dyDescent="0.25">
      <c r="A152" s="44">
        <v>143</v>
      </c>
      <c r="B152" s="127">
        <v>46170</v>
      </c>
      <c r="C152" s="53" t="s">
        <v>1583</v>
      </c>
      <c r="D152" s="53">
        <v>40</v>
      </c>
      <c r="E152" s="53" t="s">
        <v>20</v>
      </c>
      <c r="F152" s="53" t="s">
        <v>1568</v>
      </c>
      <c r="G152" s="163">
        <v>365000</v>
      </c>
      <c r="H152" s="53" t="s">
        <v>268</v>
      </c>
      <c r="I152" s="117"/>
      <c r="J152" s="117"/>
      <c r="K152" s="31" t="s">
        <v>1246</v>
      </c>
      <c r="L152" s="31"/>
      <c r="M152" s="31"/>
      <c r="N152" s="31">
        <f t="shared" si="7"/>
        <v>40</v>
      </c>
      <c r="O152" s="31" t="s">
        <v>1247</v>
      </c>
      <c r="P152" s="31"/>
      <c r="Q152" s="31"/>
      <c r="R152" s="31"/>
      <c r="S152" s="31"/>
      <c r="T152" s="31" t="s">
        <v>1249</v>
      </c>
      <c r="U152" s="31"/>
      <c r="V152" s="31" t="str">
        <f t="shared" si="5"/>
        <v>Cước vận chuyển vỏ container 40 từ bãi JJ, Hải Phòng đến Nam Đình Vũ, Hải Phòng</v>
      </c>
      <c r="W152" s="31"/>
    </row>
    <row r="153" spans="1:23" s="29" customFormat="1" ht="18" customHeight="1" x14ac:dyDescent="0.25">
      <c r="A153" s="44">
        <v>144</v>
      </c>
      <c r="B153" s="127">
        <v>46170</v>
      </c>
      <c r="C153" s="53" t="s">
        <v>1584</v>
      </c>
      <c r="D153" s="53">
        <v>40</v>
      </c>
      <c r="E153" s="53" t="s">
        <v>20</v>
      </c>
      <c r="F153" s="53" t="s">
        <v>1568</v>
      </c>
      <c r="G153" s="163">
        <v>365000</v>
      </c>
      <c r="H153" s="53" t="s">
        <v>268</v>
      </c>
      <c r="I153" s="117"/>
      <c r="J153" s="117"/>
      <c r="K153" s="31" t="s">
        <v>1246</v>
      </c>
      <c r="L153" s="31"/>
      <c r="M153" s="31"/>
      <c r="N153" s="31">
        <f t="shared" si="7"/>
        <v>40</v>
      </c>
      <c r="O153" s="31" t="s">
        <v>1247</v>
      </c>
      <c r="P153" s="31"/>
      <c r="Q153" s="31"/>
      <c r="R153" s="31"/>
      <c r="S153" s="31"/>
      <c r="T153" s="31" t="s">
        <v>1249</v>
      </c>
      <c r="U153" s="31"/>
      <c r="V153" s="31" t="str">
        <f t="shared" si="5"/>
        <v>Cước vận chuyển vỏ container 40 từ bãi JJ, Hải Phòng đến Nam Đình Vũ, Hải Phòng</v>
      </c>
      <c r="W153" s="31"/>
    </row>
    <row r="154" spans="1:23" s="29" customFormat="1" ht="18" customHeight="1" x14ac:dyDescent="0.25">
      <c r="A154" s="44">
        <v>145</v>
      </c>
      <c r="B154" s="127">
        <v>46170</v>
      </c>
      <c r="C154" s="53" t="s">
        <v>1585</v>
      </c>
      <c r="D154" s="53">
        <v>40</v>
      </c>
      <c r="E154" s="53" t="s">
        <v>20</v>
      </c>
      <c r="F154" s="53" t="s">
        <v>1568</v>
      </c>
      <c r="G154" s="163">
        <v>365000</v>
      </c>
      <c r="H154" s="53" t="s">
        <v>268</v>
      </c>
      <c r="I154" s="117"/>
      <c r="J154" s="117"/>
      <c r="K154" s="31" t="s">
        <v>1246</v>
      </c>
      <c r="L154" s="31"/>
      <c r="M154" s="31"/>
      <c r="N154" s="31">
        <f t="shared" si="7"/>
        <v>40</v>
      </c>
      <c r="O154" s="31" t="s">
        <v>1247</v>
      </c>
      <c r="P154" s="31"/>
      <c r="Q154" s="31"/>
      <c r="R154" s="31"/>
      <c r="S154" s="31"/>
      <c r="T154" s="31" t="s">
        <v>1249</v>
      </c>
      <c r="U154" s="31"/>
      <c r="V154" s="31" t="str">
        <f t="shared" si="5"/>
        <v>Cước vận chuyển vỏ container 40 từ bãi JJ, Hải Phòng đến Nam Đình Vũ, Hải Phòng</v>
      </c>
      <c r="W154" s="31"/>
    </row>
    <row r="155" spans="1:23" s="29" customFormat="1" ht="18" customHeight="1" x14ac:dyDescent="0.25">
      <c r="A155" s="44">
        <v>146</v>
      </c>
      <c r="B155" s="127">
        <v>46170</v>
      </c>
      <c r="C155" s="53" t="s">
        <v>1586</v>
      </c>
      <c r="D155" s="53">
        <v>40</v>
      </c>
      <c r="E155" s="53" t="s">
        <v>20</v>
      </c>
      <c r="F155" s="53" t="s">
        <v>1568</v>
      </c>
      <c r="G155" s="163">
        <v>365000</v>
      </c>
      <c r="H155" s="53" t="s">
        <v>26</v>
      </c>
      <c r="I155" s="117"/>
      <c r="J155" s="117"/>
      <c r="K155" s="31" t="s">
        <v>1246</v>
      </c>
      <c r="L155" s="31"/>
      <c r="M155" s="31"/>
      <c r="N155" s="31">
        <f t="shared" si="7"/>
        <v>40</v>
      </c>
      <c r="O155" s="31" t="s">
        <v>1247</v>
      </c>
      <c r="P155" s="31"/>
      <c r="Q155" s="31"/>
      <c r="R155" s="31"/>
      <c r="S155" s="31"/>
      <c r="T155" s="31" t="s">
        <v>1249</v>
      </c>
      <c r="U155" s="31"/>
      <c r="V155" s="31" t="str">
        <f t="shared" si="5"/>
        <v>Cước vận chuyển vỏ container 40 từ bãi JJ, Hải Phòng đến Nam Đình Vũ, Hải Phòng</v>
      </c>
      <c r="W155" s="31"/>
    </row>
    <row r="156" spans="1:23" s="29" customFormat="1" ht="18" customHeight="1" x14ac:dyDescent="0.25">
      <c r="A156" s="44">
        <v>147</v>
      </c>
      <c r="B156" s="127">
        <v>46170</v>
      </c>
      <c r="C156" s="53" t="s">
        <v>1587</v>
      </c>
      <c r="D156" s="53">
        <v>40</v>
      </c>
      <c r="E156" s="53" t="s">
        <v>20</v>
      </c>
      <c r="F156" s="53" t="s">
        <v>1568</v>
      </c>
      <c r="G156" s="163">
        <v>365000</v>
      </c>
      <c r="H156" s="53" t="s">
        <v>26</v>
      </c>
      <c r="I156" s="117"/>
      <c r="J156" s="117"/>
      <c r="K156" s="31" t="s">
        <v>1246</v>
      </c>
      <c r="L156" s="31"/>
      <c r="M156" s="31"/>
      <c r="N156" s="31">
        <f t="shared" si="7"/>
        <v>40</v>
      </c>
      <c r="O156" s="31" t="s">
        <v>1247</v>
      </c>
      <c r="P156" s="31"/>
      <c r="Q156" s="31"/>
      <c r="R156" s="31"/>
      <c r="S156" s="31"/>
      <c r="T156" s="31" t="s">
        <v>1249</v>
      </c>
      <c r="U156" s="31"/>
      <c r="V156" s="31" t="str">
        <f t="shared" si="5"/>
        <v>Cước vận chuyển vỏ container 40 từ bãi JJ, Hải Phòng đến Nam Đình Vũ, Hải Phòng</v>
      </c>
      <c r="W156" s="31"/>
    </row>
    <row r="157" spans="1:23" s="29" customFormat="1" ht="18" customHeight="1" x14ac:dyDescent="0.25">
      <c r="A157" s="44">
        <v>148</v>
      </c>
      <c r="B157" s="127">
        <v>46170</v>
      </c>
      <c r="C157" s="53" t="s">
        <v>1588</v>
      </c>
      <c r="D157" s="53">
        <v>40</v>
      </c>
      <c r="E157" s="53" t="s">
        <v>20</v>
      </c>
      <c r="F157" s="53" t="s">
        <v>1568</v>
      </c>
      <c r="G157" s="163">
        <v>365000</v>
      </c>
      <c r="H157" s="53" t="s">
        <v>26</v>
      </c>
      <c r="I157" s="117"/>
      <c r="J157" s="117"/>
      <c r="K157" s="31" t="s">
        <v>1246</v>
      </c>
      <c r="L157" s="31"/>
      <c r="M157" s="31"/>
      <c r="N157" s="31">
        <f t="shared" si="7"/>
        <v>40</v>
      </c>
      <c r="O157" s="31" t="s">
        <v>1247</v>
      </c>
      <c r="P157" s="31"/>
      <c r="Q157" s="31"/>
      <c r="R157" s="31"/>
      <c r="S157" s="31"/>
      <c r="T157" s="31" t="s">
        <v>1249</v>
      </c>
      <c r="U157" s="31"/>
      <c r="V157" s="31" t="str">
        <f t="shared" si="5"/>
        <v>Cước vận chuyển vỏ container 40 từ bãi JJ, Hải Phòng đến Nam Đình Vũ, Hải Phòng</v>
      </c>
      <c r="W157" s="31"/>
    </row>
    <row r="158" spans="1:23" s="29" customFormat="1" ht="18" customHeight="1" x14ac:dyDescent="0.25">
      <c r="A158" s="44">
        <v>149</v>
      </c>
      <c r="B158" s="127">
        <v>46171</v>
      </c>
      <c r="C158" s="53" t="s">
        <v>1589</v>
      </c>
      <c r="D158" s="53">
        <v>40</v>
      </c>
      <c r="E158" s="53" t="s">
        <v>20</v>
      </c>
      <c r="F158" s="53" t="s">
        <v>1568</v>
      </c>
      <c r="G158" s="163">
        <v>365000</v>
      </c>
      <c r="H158" s="53" t="s">
        <v>21</v>
      </c>
      <c r="I158" s="117"/>
      <c r="J158" s="117"/>
      <c r="K158" s="31" t="s">
        <v>1246</v>
      </c>
      <c r="L158" s="31"/>
      <c r="M158" s="31"/>
      <c r="N158" s="31">
        <f t="shared" si="7"/>
        <v>40</v>
      </c>
      <c r="O158" s="31" t="s">
        <v>1247</v>
      </c>
      <c r="P158" s="31"/>
      <c r="Q158" s="31"/>
      <c r="R158" s="31"/>
      <c r="S158" s="31"/>
      <c r="T158" s="31" t="s">
        <v>1249</v>
      </c>
      <c r="U158" s="31"/>
      <c r="V158" s="31" t="str">
        <f t="shared" si="5"/>
        <v>Cước vận chuyển vỏ container 40 từ bãi JJ, Hải Phòng đến Nam Đình Vũ, Hải Phòng</v>
      </c>
      <c r="W158" s="31"/>
    </row>
    <row r="159" spans="1:23" s="29" customFormat="1" ht="18" customHeight="1" x14ac:dyDescent="0.25">
      <c r="A159" s="44">
        <v>150</v>
      </c>
      <c r="B159" s="127">
        <v>46171</v>
      </c>
      <c r="C159" s="53" t="s">
        <v>1590</v>
      </c>
      <c r="D159" s="53">
        <v>40</v>
      </c>
      <c r="E159" s="53" t="s">
        <v>20</v>
      </c>
      <c r="F159" s="53" t="s">
        <v>1568</v>
      </c>
      <c r="G159" s="163">
        <v>365000</v>
      </c>
      <c r="H159" s="53" t="s">
        <v>21</v>
      </c>
      <c r="I159" s="117"/>
      <c r="J159" s="117"/>
      <c r="K159" s="31" t="s">
        <v>1246</v>
      </c>
      <c r="L159" s="31"/>
      <c r="M159" s="31"/>
      <c r="N159" s="31">
        <f t="shared" si="7"/>
        <v>40</v>
      </c>
      <c r="O159" s="31" t="s">
        <v>1247</v>
      </c>
      <c r="P159" s="31"/>
      <c r="Q159" s="31"/>
      <c r="R159" s="31"/>
      <c r="S159" s="31"/>
      <c r="T159" s="31" t="s">
        <v>1249</v>
      </c>
      <c r="U159" s="31"/>
      <c r="V159" s="31" t="str">
        <f t="shared" si="5"/>
        <v>Cước vận chuyển vỏ container 40 từ bãi JJ, Hải Phòng đến Nam Đình Vũ, Hải Phòng</v>
      </c>
      <c r="W159" s="31"/>
    </row>
    <row r="160" spans="1:23" s="29" customFormat="1" ht="18" customHeight="1" x14ac:dyDescent="0.25">
      <c r="A160" s="44">
        <v>151</v>
      </c>
      <c r="B160" s="127">
        <v>46171</v>
      </c>
      <c r="C160" s="53" t="s">
        <v>1591</v>
      </c>
      <c r="D160" s="53">
        <v>40</v>
      </c>
      <c r="E160" s="53" t="s">
        <v>20</v>
      </c>
      <c r="F160" s="53" t="s">
        <v>1568</v>
      </c>
      <c r="G160" s="163">
        <v>365000</v>
      </c>
      <c r="H160" s="53" t="s">
        <v>21</v>
      </c>
      <c r="I160" s="117"/>
      <c r="J160" s="117"/>
      <c r="K160" s="31" t="s">
        <v>1246</v>
      </c>
      <c r="L160" s="31"/>
      <c r="M160" s="31"/>
      <c r="N160" s="31">
        <f t="shared" si="7"/>
        <v>40</v>
      </c>
      <c r="O160" s="31" t="s">
        <v>1247</v>
      </c>
      <c r="P160" s="31"/>
      <c r="Q160" s="31"/>
      <c r="R160" s="31"/>
      <c r="S160" s="31"/>
      <c r="T160" s="31" t="s">
        <v>1249</v>
      </c>
      <c r="U160" s="31"/>
      <c r="V160" s="31" t="str">
        <f t="shared" si="5"/>
        <v>Cước vận chuyển vỏ container 40 từ bãi JJ, Hải Phòng đến Nam Đình Vũ, Hải Phòng</v>
      </c>
      <c r="W160" s="31"/>
    </row>
    <row r="161" spans="1:23" s="29" customFormat="1" ht="18" customHeight="1" x14ac:dyDescent="0.25">
      <c r="A161" s="44">
        <v>152</v>
      </c>
      <c r="B161" s="127">
        <v>46171</v>
      </c>
      <c r="C161" s="53" t="s">
        <v>1592</v>
      </c>
      <c r="D161" s="53">
        <v>40</v>
      </c>
      <c r="E161" s="53" t="s">
        <v>20</v>
      </c>
      <c r="F161" s="53" t="s">
        <v>1568</v>
      </c>
      <c r="G161" s="163">
        <v>365000</v>
      </c>
      <c r="H161" s="53" t="s">
        <v>21</v>
      </c>
      <c r="I161" s="117"/>
      <c r="J161" s="117"/>
      <c r="K161" s="31" t="s">
        <v>1246</v>
      </c>
      <c r="L161" s="31"/>
      <c r="M161" s="31"/>
      <c r="N161" s="31">
        <f t="shared" si="7"/>
        <v>40</v>
      </c>
      <c r="O161" s="31" t="s">
        <v>1247</v>
      </c>
      <c r="P161" s="31"/>
      <c r="Q161" s="31"/>
      <c r="R161" s="31"/>
      <c r="S161" s="31"/>
      <c r="T161" s="31" t="s">
        <v>1249</v>
      </c>
      <c r="U161" s="31"/>
      <c r="V161" s="31" t="str">
        <f t="shared" si="5"/>
        <v>Cước vận chuyển vỏ container 40 từ bãi JJ, Hải Phòng đến Nam Đình Vũ, Hải Phòng</v>
      </c>
      <c r="W161" s="31"/>
    </row>
    <row r="162" spans="1:23" s="29" customFormat="1" ht="18" customHeight="1" x14ac:dyDescent="0.25">
      <c r="A162" s="44">
        <v>153</v>
      </c>
      <c r="B162" s="127">
        <v>46171</v>
      </c>
      <c r="C162" s="53" t="s">
        <v>1593</v>
      </c>
      <c r="D162" s="53">
        <v>40</v>
      </c>
      <c r="E162" s="53" t="s">
        <v>20</v>
      </c>
      <c r="F162" s="53" t="s">
        <v>1568</v>
      </c>
      <c r="G162" s="163">
        <v>365000</v>
      </c>
      <c r="H162" s="53" t="s">
        <v>21</v>
      </c>
      <c r="I162" s="117"/>
      <c r="J162" s="117"/>
      <c r="K162" s="31" t="s">
        <v>1246</v>
      </c>
      <c r="L162" s="31"/>
      <c r="M162" s="31"/>
      <c r="N162" s="31">
        <f t="shared" si="7"/>
        <v>40</v>
      </c>
      <c r="O162" s="31" t="s">
        <v>1247</v>
      </c>
      <c r="P162" s="31"/>
      <c r="Q162" s="31"/>
      <c r="R162" s="31"/>
      <c r="S162" s="31"/>
      <c r="T162" s="31" t="s">
        <v>1249</v>
      </c>
      <c r="U162" s="31"/>
      <c r="V162" s="31" t="str">
        <f t="shared" si="5"/>
        <v>Cước vận chuyển vỏ container 40 từ bãi JJ, Hải Phòng đến Nam Đình Vũ, Hải Phòng</v>
      </c>
      <c r="W162" s="31"/>
    </row>
    <row r="163" spans="1:23" s="29" customFormat="1" ht="18" customHeight="1" x14ac:dyDescent="0.25">
      <c r="A163" s="44">
        <v>154</v>
      </c>
      <c r="B163" s="127">
        <v>46170</v>
      </c>
      <c r="C163" s="41" t="s">
        <v>1594</v>
      </c>
      <c r="D163" s="53">
        <v>40</v>
      </c>
      <c r="E163" s="53" t="s">
        <v>20</v>
      </c>
      <c r="F163" s="53" t="s">
        <v>1568</v>
      </c>
      <c r="G163" s="163">
        <v>365000</v>
      </c>
      <c r="H163" s="53" t="s">
        <v>552</v>
      </c>
      <c r="I163" s="117"/>
      <c r="J163" s="117"/>
      <c r="K163" s="31" t="s">
        <v>1246</v>
      </c>
      <c r="L163" s="31"/>
      <c r="M163" s="31"/>
      <c r="N163" s="31">
        <f t="shared" si="7"/>
        <v>40</v>
      </c>
      <c r="O163" s="31" t="s">
        <v>1247</v>
      </c>
      <c r="P163" s="31"/>
      <c r="Q163" s="31"/>
      <c r="R163" s="31"/>
      <c r="S163" s="31"/>
      <c r="T163" s="31" t="s">
        <v>1249</v>
      </c>
      <c r="U163" s="31"/>
      <c r="V163" s="31" t="str">
        <f t="shared" si="5"/>
        <v>Cước vận chuyển vỏ container 40 từ bãi JJ, Hải Phòng đến Nam Đình Vũ, Hải Phòng</v>
      </c>
      <c r="W163" s="31"/>
    </row>
    <row r="164" spans="1:23" s="29" customFormat="1" ht="18" customHeight="1" x14ac:dyDescent="0.25">
      <c r="A164" s="44">
        <v>155</v>
      </c>
      <c r="B164" s="127">
        <v>46170</v>
      </c>
      <c r="C164" s="41" t="s">
        <v>1595</v>
      </c>
      <c r="D164" s="53">
        <v>40</v>
      </c>
      <c r="E164" s="53" t="s">
        <v>20</v>
      </c>
      <c r="F164" s="53" t="s">
        <v>1568</v>
      </c>
      <c r="G164" s="163">
        <v>365000</v>
      </c>
      <c r="H164" s="53" t="s">
        <v>552</v>
      </c>
      <c r="I164" s="117"/>
      <c r="J164" s="117"/>
      <c r="K164" s="31" t="s">
        <v>1246</v>
      </c>
      <c r="L164" s="31"/>
      <c r="M164" s="31"/>
      <c r="N164" s="31">
        <f t="shared" si="7"/>
        <v>40</v>
      </c>
      <c r="O164" s="31" t="s">
        <v>1247</v>
      </c>
      <c r="P164" s="31"/>
      <c r="Q164" s="31"/>
      <c r="R164" s="31"/>
      <c r="S164" s="31"/>
      <c r="T164" s="31" t="s">
        <v>1249</v>
      </c>
      <c r="U164" s="31"/>
      <c r="V164" s="31" t="str">
        <f t="shared" si="5"/>
        <v>Cước vận chuyển vỏ container 40 từ bãi JJ, Hải Phòng đến Nam Đình Vũ, Hải Phòng</v>
      </c>
      <c r="W164" s="31"/>
    </row>
    <row r="165" spans="1:23" s="29" customFormat="1" ht="18" customHeight="1" x14ac:dyDescent="0.25">
      <c r="A165" s="44">
        <v>156</v>
      </c>
      <c r="B165" s="127">
        <v>46170</v>
      </c>
      <c r="C165" s="41" t="s">
        <v>1596</v>
      </c>
      <c r="D165" s="53">
        <v>40</v>
      </c>
      <c r="E165" s="53" t="s">
        <v>20</v>
      </c>
      <c r="F165" s="53" t="s">
        <v>1568</v>
      </c>
      <c r="G165" s="163">
        <v>365000</v>
      </c>
      <c r="H165" s="53" t="s">
        <v>552</v>
      </c>
      <c r="I165" s="117"/>
      <c r="J165" s="117"/>
      <c r="K165" s="31" t="s">
        <v>1246</v>
      </c>
      <c r="L165" s="31"/>
      <c r="M165" s="31"/>
      <c r="N165" s="31">
        <f t="shared" si="7"/>
        <v>40</v>
      </c>
      <c r="O165" s="31" t="s">
        <v>1247</v>
      </c>
      <c r="P165" s="31"/>
      <c r="Q165" s="31"/>
      <c r="R165" s="31"/>
      <c r="S165" s="31"/>
      <c r="T165" s="31" t="s">
        <v>1249</v>
      </c>
      <c r="U165" s="31"/>
      <c r="V165" s="31" t="str">
        <f t="shared" si="5"/>
        <v>Cước vận chuyển vỏ container 40 từ bãi JJ, Hải Phòng đến Nam Đình Vũ, Hải Phòng</v>
      </c>
      <c r="W165" s="31"/>
    </row>
    <row r="166" spans="1:23" s="29" customFormat="1" ht="18" customHeight="1" x14ac:dyDescent="0.25">
      <c r="A166" s="44">
        <v>157</v>
      </c>
      <c r="B166" s="127">
        <v>46170</v>
      </c>
      <c r="C166" s="41" t="s">
        <v>1597</v>
      </c>
      <c r="D166" s="53">
        <v>40</v>
      </c>
      <c r="E166" s="53" t="s">
        <v>20</v>
      </c>
      <c r="F166" s="53" t="s">
        <v>1568</v>
      </c>
      <c r="G166" s="163">
        <v>365000</v>
      </c>
      <c r="H166" s="186" t="s">
        <v>15</v>
      </c>
      <c r="I166" s="117"/>
      <c r="J166" s="117"/>
      <c r="K166" s="31" t="s">
        <v>1246</v>
      </c>
      <c r="L166" s="31"/>
      <c r="M166" s="31"/>
      <c r="N166" s="31">
        <f t="shared" si="7"/>
        <v>40</v>
      </c>
      <c r="O166" s="31" t="s">
        <v>1247</v>
      </c>
      <c r="P166" s="31"/>
      <c r="Q166" s="31"/>
      <c r="R166" s="31"/>
      <c r="S166" s="31"/>
      <c r="T166" s="31" t="s">
        <v>1249</v>
      </c>
      <c r="U166" s="31"/>
      <c r="V166" s="31" t="str">
        <f t="shared" si="5"/>
        <v>Cước vận chuyển vỏ container 40 từ bãi JJ, Hải Phòng đến Nam Đình Vũ, Hải Phòng</v>
      </c>
      <c r="W166" s="31"/>
    </row>
    <row r="167" spans="1:23" s="29" customFormat="1" ht="18" customHeight="1" x14ac:dyDescent="0.25">
      <c r="A167" s="44">
        <v>158</v>
      </c>
      <c r="B167" s="127">
        <v>46170</v>
      </c>
      <c r="C167" s="41" t="s">
        <v>1598</v>
      </c>
      <c r="D167" s="53">
        <v>40</v>
      </c>
      <c r="E167" s="53" t="s">
        <v>20</v>
      </c>
      <c r="F167" s="53" t="s">
        <v>1568</v>
      </c>
      <c r="G167" s="163">
        <v>365000</v>
      </c>
      <c r="H167" s="186" t="s">
        <v>15</v>
      </c>
      <c r="I167" s="117"/>
      <c r="J167" s="117"/>
      <c r="K167" s="31" t="s">
        <v>1246</v>
      </c>
      <c r="L167" s="31"/>
      <c r="M167" s="31"/>
      <c r="N167" s="31">
        <f t="shared" si="7"/>
        <v>40</v>
      </c>
      <c r="O167" s="31" t="s">
        <v>1247</v>
      </c>
      <c r="P167" s="31"/>
      <c r="Q167" s="31"/>
      <c r="R167" s="31"/>
      <c r="S167" s="31"/>
      <c r="T167" s="31" t="s">
        <v>1249</v>
      </c>
      <c r="U167" s="31"/>
      <c r="V167" s="31" t="str">
        <f t="shared" si="5"/>
        <v>Cước vận chuyển vỏ container 40 từ bãi JJ, Hải Phòng đến Nam Đình Vũ, Hải Phòng</v>
      </c>
      <c r="W167" s="31"/>
    </row>
    <row r="168" spans="1:23" s="29" customFormat="1" ht="18" customHeight="1" x14ac:dyDescent="0.25">
      <c r="A168" s="44">
        <v>159</v>
      </c>
      <c r="B168" s="127">
        <v>46170</v>
      </c>
      <c r="C168" s="41" t="s">
        <v>1599</v>
      </c>
      <c r="D168" s="53">
        <v>40</v>
      </c>
      <c r="E168" s="53" t="s">
        <v>20</v>
      </c>
      <c r="F168" s="53" t="s">
        <v>1600</v>
      </c>
      <c r="G168" s="163">
        <v>365000</v>
      </c>
      <c r="H168" s="186" t="s">
        <v>842</v>
      </c>
      <c r="I168" s="117"/>
      <c r="J168" s="117"/>
      <c r="K168" s="31" t="s">
        <v>1246</v>
      </c>
      <c r="L168" s="31"/>
      <c r="M168" s="31"/>
      <c r="N168" s="31">
        <f t="shared" si="7"/>
        <v>40</v>
      </c>
      <c r="O168" s="31" t="s">
        <v>1247</v>
      </c>
      <c r="P168" s="31"/>
      <c r="Q168" s="31"/>
      <c r="R168" s="31"/>
      <c r="S168" s="31"/>
      <c r="T168" s="31" t="s">
        <v>1249</v>
      </c>
      <c r="U168" s="31"/>
      <c r="V168" s="31" t="str">
        <f t="shared" si="5"/>
        <v>Cước vận chuyển vỏ container 40 từ bãi JJ, Hải Phòng đến Nam Đình Vũ, Hải Phòng</v>
      </c>
      <c r="W168" s="31"/>
    </row>
    <row r="169" spans="1:23" s="29" customFormat="1" ht="18" customHeight="1" x14ac:dyDescent="0.25">
      <c r="A169" s="44">
        <v>160</v>
      </c>
      <c r="B169" s="127">
        <v>46170</v>
      </c>
      <c r="C169" s="41" t="s">
        <v>1045</v>
      </c>
      <c r="D169" s="53">
        <v>40</v>
      </c>
      <c r="E169" s="53" t="s">
        <v>20</v>
      </c>
      <c r="F169" s="53" t="s">
        <v>1600</v>
      </c>
      <c r="G169" s="163">
        <v>365000</v>
      </c>
      <c r="H169" s="186" t="s">
        <v>842</v>
      </c>
      <c r="I169" s="117"/>
      <c r="J169" s="117"/>
      <c r="K169" s="31" t="s">
        <v>1246</v>
      </c>
      <c r="L169" s="31"/>
      <c r="M169" s="31"/>
      <c r="N169" s="31">
        <f t="shared" si="7"/>
        <v>40</v>
      </c>
      <c r="O169" s="31" t="s">
        <v>1247</v>
      </c>
      <c r="P169" s="31"/>
      <c r="Q169" s="31"/>
      <c r="R169" s="31"/>
      <c r="S169" s="31"/>
      <c r="T169" s="31" t="s">
        <v>1249</v>
      </c>
      <c r="U169" s="31"/>
      <c r="V169" s="31" t="str">
        <f t="shared" si="5"/>
        <v>Cước vận chuyển vỏ container 40 từ bãi JJ, Hải Phòng đến Nam Đình Vũ, Hải Phòng</v>
      </c>
      <c r="W169" s="31"/>
    </row>
    <row r="170" spans="1:23" s="29" customFormat="1" ht="18" customHeight="1" x14ac:dyDescent="0.25">
      <c r="A170" s="44">
        <v>161</v>
      </c>
      <c r="B170" s="127">
        <v>46170</v>
      </c>
      <c r="C170" s="41" t="s">
        <v>1601</v>
      </c>
      <c r="D170" s="53">
        <v>40</v>
      </c>
      <c r="E170" s="53" t="s">
        <v>20</v>
      </c>
      <c r="F170" s="53" t="s">
        <v>1600</v>
      </c>
      <c r="G170" s="163">
        <v>365000</v>
      </c>
      <c r="H170" s="53" t="s">
        <v>35</v>
      </c>
      <c r="I170" s="117"/>
      <c r="J170" s="117"/>
      <c r="K170" s="31" t="s">
        <v>1246</v>
      </c>
      <c r="L170" s="31"/>
      <c r="M170" s="31"/>
      <c r="N170" s="31">
        <f t="shared" si="7"/>
        <v>40</v>
      </c>
      <c r="O170" s="31" t="s">
        <v>1247</v>
      </c>
      <c r="P170" s="31"/>
      <c r="Q170" s="31"/>
      <c r="R170" s="31"/>
      <c r="S170" s="31"/>
      <c r="T170" s="31" t="s">
        <v>1249</v>
      </c>
      <c r="U170" s="31"/>
      <c r="V170" s="31" t="str">
        <f t="shared" si="5"/>
        <v>Cước vận chuyển vỏ container 40 từ bãi JJ, Hải Phòng đến Nam Đình Vũ, Hải Phòng</v>
      </c>
      <c r="W170" s="31"/>
    </row>
    <row r="171" spans="1:23" s="29" customFormat="1" ht="18" customHeight="1" x14ac:dyDescent="0.25">
      <c r="A171" s="44">
        <v>162</v>
      </c>
      <c r="B171" s="127">
        <v>46170</v>
      </c>
      <c r="C171" s="41" t="s">
        <v>1602</v>
      </c>
      <c r="D171" s="53">
        <v>40</v>
      </c>
      <c r="E171" s="53" t="s">
        <v>20</v>
      </c>
      <c r="F171" s="53" t="s">
        <v>1600</v>
      </c>
      <c r="G171" s="163">
        <v>365000</v>
      </c>
      <c r="H171" s="53" t="s">
        <v>35</v>
      </c>
      <c r="I171" s="117"/>
      <c r="J171" s="117"/>
      <c r="K171" s="31" t="s">
        <v>1246</v>
      </c>
      <c r="L171" s="31"/>
      <c r="M171" s="31"/>
      <c r="N171" s="31">
        <f t="shared" si="7"/>
        <v>40</v>
      </c>
      <c r="O171" s="31" t="s">
        <v>1247</v>
      </c>
      <c r="P171" s="31"/>
      <c r="Q171" s="31"/>
      <c r="R171" s="31"/>
      <c r="S171" s="31"/>
      <c r="T171" s="31" t="s">
        <v>1249</v>
      </c>
      <c r="U171" s="31"/>
      <c r="V171" s="31" t="str">
        <f t="shared" si="5"/>
        <v>Cước vận chuyển vỏ container 40 từ bãi JJ, Hải Phòng đến Nam Đình Vũ, Hải Phòng</v>
      </c>
      <c r="W171" s="31"/>
    </row>
    <row r="172" spans="1:23" s="29" customFormat="1" ht="18" customHeight="1" x14ac:dyDescent="0.25">
      <c r="A172" s="44">
        <v>163</v>
      </c>
      <c r="B172" s="127">
        <v>46170</v>
      </c>
      <c r="C172" s="41" t="s">
        <v>1603</v>
      </c>
      <c r="D172" s="53">
        <v>20</v>
      </c>
      <c r="E172" s="53" t="s">
        <v>20</v>
      </c>
      <c r="F172" s="53" t="s">
        <v>1600</v>
      </c>
      <c r="G172" s="163">
        <v>198000</v>
      </c>
      <c r="H172" s="53" t="s">
        <v>828</v>
      </c>
      <c r="I172" s="117"/>
      <c r="J172" s="117"/>
      <c r="K172" s="31" t="s">
        <v>1246</v>
      </c>
      <c r="L172" s="31"/>
      <c r="M172" s="31"/>
      <c r="N172" s="31">
        <f t="shared" si="7"/>
        <v>20</v>
      </c>
      <c r="O172" s="31" t="s">
        <v>1247</v>
      </c>
      <c r="P172" s="31"/>
      <c r="Q172" s="31"/>
      <c r="R172" s="31"/>
      <c r="S172" s="31"/>
      <c r="T172" s="31" t="s">
        <v>1249</v>
      </c>
      <c r="U172" s="31"/>
      <c r="V172" s="31" t="str">
        <f t="shared" si="5"/>
        <v>Cước vận chuyển vỏ container 20 từ bãi JJ, Hải Phòng đến Nam Đình Vũ, Hải Phòng</v>
      </c>
      <c r="W172" s="31"/>
    </row>
    <row r="173" spans="1:23" s="29" customFormat="1" ht="18" customHeight="1" x14ac:dyDescent="0.25">
      <c r="A173" s="44">
        <v>164</v>
      </c>
      <c r="B173" s="127">
        <v>46170</v>
      </c>
      <c r="C173" s="41" t="s">
        <v>1604</v>
      </c>
      <c r="D173" s="53">
        <v>20</v>
      </c>
      <c r="E173" s="53" t="s">
        <v>20</v>
      </c>
      <c r="F173" s="53" t="s">
        <v>1600</v>
      </c>
      <c r="G173" s="163">
        <v>198000</v>
      </c>
      <c r="H173" s="53" t="s">
        <v>828</v>
      </c>
      <c r="I173" s="117"/>
      <c r="J173" s="117"/>
      <c r="K173" s="31" t="s">
        <v>1246</v>
      </c>
      <c r="L173" s="31"/>
      <c r="M173" s="31"/>
      <c r="N173" s="31">
        <f t="shared" si="7"/>
        <v>20</v>
      </c>
      <c r="O173" s="31" t="s">
        <v>1247</v>
      </c>
      <c r="P173" s="31"/>
      <c r="Q173" s="31"/>
      <c r="R173" s="31"/>
      <c r="S173" s="31"/>
      <c r="T173" s="31" t="s">
        <v>1249</v>
      </c>
      <c r="U173" s="31"/>
      <c r="V173" s="31" t="str">
        <f t="shared" si="5"/>
        <v>Cước vận chuyển vỏ container 20 từ bãi JJ, Hải Phòng đến Nam Đình Vũ, Hải Phòng</v>
      </c>
      <c r="W173" s="31"/>
    </row>
    <row r="174" spans="1:23" s="29" customFormat="1" ht="18" customHeight="1" x14ac:dyDescent="0.25">
      <c r="A174" s="44">
        <v>165</v>
      </c>
      <c r="B174" s="127">
        <v>46170</v>
      </c>
      <c r="C174" s="41" t="s">
        <v>1605</v>
      </c>
      <c r="D174" s="53">
        <v>20</v>
      </c>
      <c r="E174" s="53" t="s">
        <v>20</v>
      </c>
      <c r="F174" s="53" t="s">
        <v>1600</v>
      </c>
      <c r="G174" s="163">
        <v>198000</v>
      </c>
      <c r="H174" s="53" t="s">
        <v>828</v>
      </c>
      <c r="I174" s="117"/>
      <c r="J174" s="117"/>
      <c r="K174" s="31" t="s">
        <v>1246</v>
      </c>
      <c r="L174" s="31"/>
      <c r="M174" s="31"/>
      <c r="N174" s="31">
        <f t="shared" si="7"/>
        <v>20</v>
      </c>
      <c r="O174" s="31" t="s">
        <v>1247</v>
      </c>
      <c r="P174" s="31"/>
      <c r="Q174" s="31"/>
      <c r="R174" s="31"/>
      <c r="S174" s="31"/>
      <c r="T174" s="31" t="s">
        <v>1249</v>
      </c>
      <c r="U174" s="31"/>
      <c r="V174" s="31" t="str">
        <f t="shared" si="5"/>
        <v>Cước vận chuyển vỏ container 20 từ bãi JJ, Hải Phòng đến Nam Đình Vũ, Hải Phòng</v>
      </c>
      <c r="W174" s="31"/>
    </row>
    <row r="175" spans="1:23" s="29" customFormat="1" ht="18" customHeight="1" x14ac:dyDescent="0.25">
      <c r="A175" s="44">
        <v>166</v>
      </c>
      <c r="B175" s="127">
        <v>46170</v>
      </c>
      <c r="C175" s="41" t="s">
        <v>1606</v>
      </c>
      <c r="D175" s="53">
        <v>20</v>
      </c>
      <c r="E175" s="53" t="s">
        <v>20</v>
      </c>
      <c r="F175" s="53" t="s">
        <v>1600</v>
      </c>
      <c r="G175" s="163">
        <v>198000</v>
      </c>
      <c r="H175" s="53" t="s">
        <v>828</v>
      </c>
      <c r="I175" s="117"/>
      <c r="J175" s="117"/>
      <c r="K175" s="31" t="s">
        <v>1246</v>
      </c>
      <c r="L175" s="31"/>
      <c r="M175" s="31"/>
      <c r="N175" s="31">
        <f t="shared" si="7"/>
        <v>20</v>
      </c>
      <c r="O175" s="31" t="s">
        <v>1247</v>
      </c>
      <c r="P175" s="31"/>
      <c r="Q175" s="31"/>
      <c r="R175" s="31"/>
      <c r="S175" s="31"/>
      <c r="T175" s="31" t="s">
        <v>1249</v>
      </c>
      <c r="U175" s="31"/>
      <c r="V175" s="31" t="str">
        <f t="shared" si="5"/>
        <v>Cước vận chuyển vỏ container 20 từ bãi JJ, Hải Phòng đến Nam Đình Vũ, Hải Phòng</v>
      </c>
      <c r="W175" s="31"/>
    </row>
    <row r="176" spans="1:23" s="29" customFormat="1" ht="18" customHeight="1" x14ac:dyDescent="0.25">
      <c r="A176" s="44">
        <v>167</v>
      </c>
      <c r="B176" s="127">
        <v>46170</v>
      </c>
      <c r="C176" s="41" t="s">
        <v>1607</v>
      </c>
      <c r="D176" s="53">
        <v>40</v>
      </c>
      <c r="E176" s="53" t="s">
        <v>20</v>
      </c>
      <c r="F176" s="53" t="s">
        <v>1600</v>
      </c>
      <c r="G176" s="163">
        <v>365000</v>
      </c>
      <c r="H176" s="53" t="s">
        <v>828</v>
      </c>
      <c r="I176" s="117"/>
      <c r="J176" s="117"/>
      <c r="K176" s="31" t="s">
        <v>1246</v>
      </c>
      <c r="L176" s="31"/>
      <c r="M176" s="31"/>
      <c r="N176" s="31">
        <f t="shared" si="7"/>
        <v>40</v>
      </c>
      <c r="O176" s="31" t="s">
        <v>1247</v>
      </c>
      <c r="P176" s="31"/>
      <c r="Q176" s="31"/>
      <c r="R176" s="31"/>
      <c r="S176" s="31"/>
      <c r="T176" s="31" t="s">
        <v>1249</v>
      </c>
      <c r="U176" s="31"/>
      <c r="V176" s="31" t="str">
        <f t="shared" si="5"/>
        <v>Cước vận chuyển vỏ container 40 từ bãi JJ, Hải Phòng đến Nam Đình Vũ, Hải Phòng</v>
      </c>
      <c r="W176" s="31"/>
    </row>
    <row r="177" spans="1:23" s="29" customFormat="1" ht="18" customHeight="1" x14ac:dyDescent="0.25">
      <c r="A177" s="44">
        <v>168</v>
      </c>
      <c r="B177" s="127">
        <v>46170</v>
      </c>
      <c r="C177" s="41" t="s">
        <v>1608</v>
      </c>
      <c r="D177" s="53">
        <v>40</v>
      </c>
      <c r="E177" s="53" t="s">
        <v>20</v>
      </c>
      <c r="F177" s="53" t="s">
        <v>1600</v>
      </c>
      <c r="G177" s="163">
        <v>365000</v>
      </c>
      <c r="H177" s="53" t="s">
        <v>828</v>
      </c>
      <c r="I177" s="117"/>
      <c r="J177" s="117"/>
      <c r="K177" s="31" t="s">
        <v>1246</v>
      </c>
      <c r="L177" s="31"/>
      <c r="M177" s="31"/>
      <c r="N177" s="31">
        <f t="shared" si="7"/>
        <v>40</v>
      </c>
      <c r="O177" s="31" t="s">
        <v>1247</v>
      </c>
      <c r="P177" s="31"/>
      <c r="Q177" s="31"/>
      <c r="R177" s="31"/>
      <c r="S177" s="31"/>
      <c r="T177" s="31" t="s">
        <v>1249</v>
      </c>
      <c r="U177" s="31"/>
      <c r="V177" s="31" t="str">
        <f t="shared" si="5"/>
        <v>Cước vận chuyển vỏ container 40 từ bãi JJ, Hải Phòng đến Nam Đình Vũ, Hải Phòng</v>
      </c>
      <c r="W177" s="31"/>
    </row>
    <row r="178" spans="1:23" s="29" customFormat="1" ht="18" customHeight="1" x14ac:dyDescent="0.25">
      <c r="A178" s="44">
        <v>169</v>
      </c>
      <c r="B178" s="127">
        <v>46170</v>
      </c>
      <c r="C178" s="41" t="s">
        <v>1609</v>
      </c>
      <c r="D178" s="53">
        <v>40</v>
      </c>
      <c r="E178" s="53" t="s">
        <v>20</v>
      </c>
      <c r="F178" s="53" t="s">
        <v>1600</v>
      </c>
      <c r="G178" s="163">
        <v>365000</v>
      </c>
      <c r="H178" s="53" t="s">
        <v>828</v>
      </c>
      <c r="I178" s="117"/>
      <c r="J178" s="117"/>
      <c r="K178" s="31" t="s">
        <v>1246</v>
      </c>
      <c r="L178" s="31"/>
      <c r="M178" s="31"/>
      <c r="N178" s="31">
        <f t="shared" si="7"/>
        <v>40</v>
      </c>
      <c r="O178" s="31" t="s">
        <v>1247</v>
      </c>
      <c r="P178" s="31"/>
      <c r="Q178" s="31"/>
      <c r="R178" s="31"/>
      <c r="S178" s="31"/>
      <c r="T178" s="31" t="s">
        <v>1249</v>
      </c>
      <c r="U178" s="31"/>
      <c r="V178" s="31" t="str">
        <f t="shared" si="5"/>
        <v>Cước vận chuyển vỏ container 40 từ bãi JJ, Hải Phòng đến Nam Đình Vũ, Hải Phòng</v>
      </c>
      <c r="W178" s="31"/>
    </row>
    <row r="179" spans="1:23" s="29" customFormat="1" ht="18" customHeight="1" x14ac:dyDescent="0.25">
      <c r="A179" s="44">
        <v>170</v>
      </c>
      <c r="B179" s="127">
        <v>46170</v>
      </c>
      <c r="C179" s="41" t="s">
        <v>1610</v>
      </c>
      <c r="D179" s="53">
        <v>40</v>
      </c>
      <c r="E179" s="53" t="s">
        <v>20</v>
      </c>
      <c r="F179" s="53" t="s">
        <v>1600</v>
      </c>
      <c r="G179" s="163">
        <v>365000</v>
      </c>
      <c r="H179" s="53" t="s">
        <v>828</v>
      </c>
      <c r="I179" s="117"/>
      <c r="J179" s="117"/>
      <c r="K179" s="31" t="s">
        <v>1246</v>
      </c>
      <c r="L179" s="31"/>
      <c r="M179" s="31"/>
      <c r="N179" s="31">
        <f t="shared" si="7"/>
        <v>40</v>
      </c>
      <c r="O179" s="31" t="s">
        <v>1247</v>
      </c>
      <c r="P179" s="31"/>
      <c r="Q179" s="31"/>
      <c r="R179" s="31"/>
      <c r="S179" s="31"/>
      <c r="T179" s="31" t="s">
        <v>1249</v>
      </c>
      <c r="U179" s="31"/>
      <c r="V179" s="31" t="str">
        <f t="shared" si="5"/>
        <v>Cước vận chuyển vỏ container 40 từ bãi JJ, Hải Phòng đến Nam Đình Vũ, Hải Phòng</v>
      </c>
      <c r="W179" s="31"/>
    </row>
    <row r="180" spans="1:23" s="29" customFormat="1" ht="18" customHeight="1" x14ac:dyDescent="0.25">
      <c r="A180" s="44">
        <v>171</v>
      </c>
      <c r="B180" s="127">
        <v>46170</v>
      </c>
      <c r="C180" s="41" t="s">
        <v>1611</v>
      </c>
      <c r="D180" s="53">
        <v>40</v>
      </c>
      <c r="E180" s="53" t="s">
        <v>20</v>
      </c>
      <c r="F180" s="53" t="s">
        <v>1600</v>
      </c>
      <c r="G180" s="163">
        <v>365000</v>
      </c>
      <c r="H180" s="53" t="s">
        <v>828</v>
      </c>
      <c r="I180" s="117"/>
      <c r="J180" s="117"/>
      <c r="K180" s="31" t="s">
        <v>1246</v>
      </c>
      <c r="L180" s="31"/>
      <c r="M180" s="31"/>
      <c r="N180" s="31">
        <f t="shared" si="7"/>
        <v>40</v>
      </c>
      <c r="O180" s="31" t="s">
        <v>1247</v>
      </c>
      <c r="P180" s="31"/>
      <c r="Q180" s="31"/>
      <c r="R180" s="31"/>
      <c r="S180" s="31"/>
      <c r="T180" s="31" t="s">
        <v>1249</v>
      </c>
      <c r="U180" s="31"/>
      <c r="V180" s="31" t="str">
        <f t="shared" si="5"/>
        <v>Cước vận chuyển vỏ container 40 từ bãi JJ, Hải Phòng đến Nam Đình Vũ, Hải Phòng</v>
      </c>
      <c r="W180" s="31"/>
    </row>
    <row r="181" spans="1:23" s="29" customFormat="1" ht="18" customHeight="1" x14ac:dyDescent="0.25">
      <c r="A181" s="44">
        <v>172</v>
      </c>
      <c r="B181" s="127">
        <v>46170</v>
      </c>
      <c r="C181" s="41" t="s">
        <v>1612</v>
      </c>
      <c r="D181" s="53">
        <v>40</v>
      </c>
      <c r="E181" s="53" t="s">
        <v>20</v>
      </c>
      <c r="F181" s="53" t="s">
        <v>1600</v>
      </c>
      <c r="G181" s="163">
        <v>365000</v>
      </c>
      <c r="H181" s="53" t="s">
        <v>828</v>
      </c>
      <c r="I181" s="117"/>
      <c r="J181" s="117"/>
      <c r="K181" s="31" t="s">
        <v>1246</v>
      </c>
      <c r="L181" s="31"/>
      <c r="M181" s="31"/>
      <c r="N181" s="31">
        <f t="shared" si="7"/>
        <v>40</v>
      </c>
      <c r="O181" s="31" t="s">
        <v>1247</v>
      </c>
      <c r="P181" s="31"/>
      <c r="Q181" s="31"/>
      <c r="R181" s="31"/>
      <c r="S181" s="31"/>
      <c r="T181" s="31" t="s">
        <v>1249</v>
      </c>
      <c r="U181" s="31"/>
      <c r="V181" s="31" t="str">
        <f t="shared" si="5"/>
        <v>Cước vận chuyển vỏ container 40 từ bãi JJ, Hải Phòng đến Nam Đình Vũ, Hải Phòng</v>
      </c>
      <c r="W181" s="31"/>
    </row>
    <row r="182" spans="1:23" s="29" customFormat="1" ht="18" customHeight="1" x14ac:dyDescent="0.25">
      <c r="A182" s="44">
        <v>173</v>
      </c>
      <c r="B182" s="127">
        <v>46170</v>
      </c>
      <c r="C182" s="41" t="s">
        <v>1613</v>
      </c>
      <c r="D182" s="53">
        <v>40</v>
      </c>
      <c r="E182" s="53" t="s">
        <v>20</v>
      </c>
      <c r="F182" s="53" t="s">
        <v>1600</v>
      </c>
      <c r="G182" s="163">
        <v>365000</v>
      </c>
      <c r="H182" s="53" t="s">
        <v>828</v>
      </c>
      <c r="I182" s="117"/>
      <c r="J182" s="117"/>
      <c r="K182" s="31" t="s">
        <v>1246</v>
      </c>
      <c r="L182" s="31"/>
      <c r="M182" s="31"/>
      <c r="N182" s="31">
        <f t="shared" si="7"/>
        <v>40</v>
      </c>
      <c r="O182" s="31" t="s">
        <v>1247</v>
      </c>
      <c r="P182" s="31"/>
      <c r="Q182" s="31"/>
      <c r="R182" s="31"/>
      <c r="S182" s="31"/>
      <c r="T182" s="31" t="s">
        <v>1249</v>
      </c>
      <c r="U182" s="31"/>
      <c r="V182" s="31" t="str">
        <f t="shared" si="5"/>
        <v>Cước vận chuyển vỏ container 40 từ bãi JJ, Hải Phòng đến Nam Đình Vũ, Hải Phòng</v>
      </c>
      <c r="W182" s="31"/>
    </row>
    <row r="183" spans="1:23" s="29" customFormat="1" ht="18" customHeight="1" x14ac:dyDescent="0.25">
      <c r="A183" s="44">
        <v>174</v>
      </c>
      <c r="B183" s="127">
        <v>46171</v>
      </c>
      <c r="C183" s="41" t="s">
        <v>1614</v>
      </c>
      <c r="D183" s="53">
        <v>40</v>
      </c>
      <c r="E183" s="53" t="s">
        <v>20</v>
      </c>
      <c r="F183" s="53" t="s">
        <v>1600</v>
      </c>
      <c r="G183" s="163">
        <v>365000</v>
      </c>
      <c r="H183" s="186" t="s">
        <v>29</v>
      </c>
      <c r="I183" s="117"/>
      <c r="J183" s="117"/>
      <c r="K183" s="31" t="s">
        <v>1246</v>
      </c>
      <c r="L183" s="31"/>
      <c r="M183" s="31"/>
      <c r="N183" s="31">
        <f t="shared" si="7"/>
        <v>40</v>
      </c>
      <c r="O183" s="31" t="s">
        <v>1247</v>
      </c>
      <c r="P183" s="31"/>
      <c r="Q183" s="31"/>
      <c r="R183" s="31"/>
      <c r="S183" s="31"/>
      <c r="T183" s="31" t="s">
        <v>1249</v>
      </c>
      <c r="U183" s="31"/>
      <c r="V183" s="31" t="str">
        <f t="shared" si="5"/>
        <v>Cước vận chuyển vỏ container 40 từ bãi JJ, Hải Phòng đến Nam Đình Vũ, Hải Phòng</v>
      </c>
      <c r="W183" s="31"/>
    </row>
    <row r="184" spans="1:23" s="29" customFormat="1" ht="18" customHeight="1" x14ac:dyDescent="0.25">
      <c r="A184" s="44">
        <v>175</v>
      </c>
      <c r="B184" s="127">
        <v>46171</v>
      </c>
      <c r="C184" s="41" t="s">
        <v>1615</v>
      </c>
      <c r="D184" s="53">
        <v>40</v>
      </c>
      <c r="E184" s="53" t="s">
        <v>20</v>
      </c>
      <c r="F184" s="53" t="s">
        <v>1600</v>
      </c>
      <c r="G184" s="163">
        <v>365000</v>
      </c>
      <c r="H184" s="186" t="s">
        <v>29</v>
      </c>
      <c r="I184" s="117"/>
      <c r="J184" s="117"/>
      <c r="K184" s="31" t="s">
        <v>1246</v>
      </c>
      <c r="L184" s="31"/>
      <c r="M184" s="31"/>
      <c r="N184" s="31">
        <f t="shared" si="7"/>
        <v>40</v>
      </c>
      <c r="O184" s="31" t="s">
        <v>1247</v>
      </c>
      <c r="P184" s="31"/>
      <c r="Q184" s="31"/>
      <c r="R184" s="31"/>
      <c r="S184" s="31"/>
      <c r="T184" s="31" t="s">
        <v>1249</v>
      </c>
      <c r="U184" s="31"/>
      <c r="V184" s="31" t="str">
        <f t="shared" si="5"/>
        <v>Cước vận chuyển vỏ container 40 từ bãi JJ, Hải Phòng đến Nam Đình Vũ, Hải Phòng</v>
      </c>
      <c r="W184" s="31"/>
    </row>
    <row r="185" spans="1:23" s="29" customFormat="1" ht="18" customHeight="1" x14ac:dyDescent="0.25">
      <c r="A185" s="44">
        <v>176</v>
      </c>
      <c r="B185" s="127">
        <v>46170</v>
      </c>
      <c r="C185" s="41" t="s">
        <v>1616</v>
      </c>
      <c r="D185" s="53">
        <v>40</v>
      </c>
      <c r="E185" s="53" t="s">
        <v>20</v>
      </c>
      <c r="F185" s="53" t="s">
        <v>1600</v>
      </c>
      <c r="G185" s="163">
        <v>365000</v>
      </c>
      <c r="H185" s="186" t="s">
        <v>267</v>
      </c>
      <c r="I185" s="117"/>
      <c r="J185" s="117"/>
      <c r="K185" s="31" t="s">
        <v>1246</v>
      </c>
      <c r="L185" s="31"/>
      <c r="M185" s="31"/>
      <c r="N185" s="31">
        <f t="shared" si="7"/>
        <v>40</v>
      </c>
      <c r="O185" s="31" t="s">
        <v>1247</v>
      </c>
      <c r="P185" s="31"/>
      <c r="Q185" s="31"/>
      <c r="R185" s="31"/>
      <c r="S185" s="31"/>
      <c r="T185" s="31" t="s">
        <v>1249</v>
      </c>
      <c r="U185" s="31"/>
      <c r="V185" s="31" t="str">
        <f t="shared" si="5"/>
        <v>Cước vận chuyển vỏ container 40 từ bãi JJ, Hải Phòng đến Nam Đình Vũ, Hải Phòng</v>
      </c>
      <c r="W185" s="31"/>
    </row>
    <row r="186" spans="1:23" s="29" customFormat="1" ht="18" customHeight="1" x14ac:dyDescent="0.25">
      <c r="A186" s="44">
        <v>177</v>
      </c>
      <c r="B186" s="127">
        <v>46170</v>
      </c>
      <c r="C186" s="41" t="s">
        <v>1617</v>
      </c>
      <c r="D186" s="53">
        <v>40</v>
      </c>
      <c r="E186" s="53" t="s">
        <v>20</v>
      </c>
      <c r="F186" s="53" t="s">
        <v>1600</v>
      </c>
      <c r="G186" s="163">
        <v>365000</v>
      </c>
      <c r="H186" s="186" t="s">
        <v>267</v>
      </c>
      <c r="I186" s="117"/>
      <c r="J186" s="117"/>
      <c r="K186" s="31" t="s">
        <v>1246</v>
      </c>
      <c r="L186" s="31"/>
      <c r="M186" s="31"/>
      <c r="N186" s="31">
        <f t="shared" si="7"/>
        <v>40</v>
      </c>
      <c r="O186" s="31" t="s">
        <v>1247</v>
      </c>
      <c r="P186" s="31"/>
      <c r="Q186" s="31"/>
      <c r="R186" s="31"/>
      <c r="S186" s="31"/>
      <c r="T186" s="31" t="s">
        <v>1249</v>
      </c>
      <c r="U186" s="31"/>
      <c r="V186" s="31" t="str">
        <f t="shared" si="5"/>
        <v>Cước vận chuyển vỏ container 40 từ bãi JJ, Hải Phòng đến Nam Đình Vũ, Hải Phòng</v>
      </c>
      <c r="W186" s="31"/>
    </row>
    <row r="187" spans="1:23" s="29" customFormat="1" ht="18" customHeight="1" x14ac:dyDescent="0.25">
      <c r="A187" s="44">
        <v>178</v>
      </c>
      <c r="B187" s="127">
        <v>46170</v>
      </c>
      <c r="C187" s="41" t="s">
        <v>1618</v>
      </c>
      <c r="D187" s="53">
        <v>40</v>
      </c>
      <c r="E187" s="53" t="s">
        <v>20</v>
      </c>
      <c r="F187" s="53" t="s">
        <v>1600</v>
      </c>
      <c r="G187" s="238">
        <v>365000</v>
      </c>
      <c r="H187" s="186" t="s">
        <v>267</v>
      </c>
      <c r="I187" s="117"/>
      <c r="J187" s="117"/>
      <c r="K187" s="31" t="s">
        <v>1246</v>
      </c>
      <c r="L187" s="31"/>
      <c r="M187" s="31"/>
      <c r="N187" s="31">
        <f t="shared" si="7"/>
        <v>40</v>
      </c>
      <c r="O187" s="31" t="s">
        <v>1247</v>
      </c>
      <c r="P187" s="31"/>
      <c r="Q187" s="31"/>
      <c r="R187" s="31"/>
      <c r="S187" s="31"/>
      <c r="T187" s="31" t="s">
        <v>1249</v>
      </c>
      <c r="U187" s="31"/>
      <c r="V187" s="31" t="str">
        <f t="shared" si="5"/>
        <v>Cước vận chuyển vỏ container 40 từ bãi JJ, Hải Phòng đến Nam Đình Vũ, Hải Phòng</v>
      </c>
      <c r="W187" s="31"/>
    </row>
    <row r="188" spans="1:23" s="29" customFormat="1" ht="18" customHeight="1" x14ac:dyDescent="0.25">
      <c r="A188" s="44">
        <v>179</v>
      </c>
      <c r="B188" s="54"/>
      <c r="C188" s="53"/>
      <c r="D188" s="116"/>
      <c r="E188" s="53"/>
      <c r="F188" s="53"/>
      <c r="G188" s="163"/>
      <c r="H188" s="53"/>
      <c r="I188" s="117"/>
      <c r="J188" s="117"/>
      <c r="K188" s="31" t="s">
        <v>1246</v>
      </c>
      <c r="L188" s="31"/>
      <c r="M188" s="31"/>
      <c r="N188" s="31">
        <f t="shared" si="7"/>
        <v>0</v>
      </c>
      <c r="O188" s="31" t="s">
        <v>1247</v>
      </c>
      <c r="P188" s="31"/>
      <c r="Q188" s="31"/>
      <c r="R188" s="31"/>
      <c r="S188" s="31"/>
      <c r="T188" s="31" t="s">
        <v>1249</v>
      </c>
      <c r="U188" s="31"/>
      <c r="V188" s="31" t="str">
        <f t="shared" si="5"/>
        <v>Cước vận chuyển vỏ container 0 từ bãi JJ, Hải Phòng đến Nam Đình Vũ, Hải Phòng</v>
      </c>
      <c r="W188" s="31"/>
    </row>
    <row r="189" spans="1:23" s="29" customFormat="1" ht="18" customHeight="1" x14ac:dyDescent="0.25">
      <c r="A189" s="44">
        <v>180</v>
      </c>
      <c r="B189" s="54"/>
      <c r="C189" s="53"/>
      <c r="D189" s="116"/>
      <c r="E189" s="53"/>
      <c r="F189" s="53"/>
      <c r="G189" s="163"/>
      <c r="H189" s="53"/>
      <c r="I189" s="117"/>
      <c r="J189" s="117"/>
      <c r="K189" s="31" t="s">
        <v>1246</v>
      </c>
      <c r="L189" s="31"/>
      <c r="M189" s="31"/>
      <c r="N189" s="31">
        <f t="shared" si="7"/>
        <v>0</v>
      </c>
      <c r="O189" s="31" t="s">
        <v>1247</v>
      </c>
      <c r="P189" s="31"/>
      <c r="Q189" s="31"/>
      <c r="R189" s="31"/>
      <c r="S189" s="31"/>
      <c r="T189" s="31" t="s">
        <v>1249</v>
      </c>
      <c r="U189" s="31"/>
      <c r="V189" s="31" t="str">
        <f t="shared" si="5"/>
        <v>Cước vận chuyển vỏ container 0 từ bãi JJ, Hải Phòng đến Nam Đình Vũ, Hải Phòng</v>
      </c>
      <c r="W189" s="31"/>
    </row>
    <row r="190" spans="1:23" s="29" customFormat="1" ht="18" customHeight="1" x14ac:dyDescent="0.25">
      <c r="A190" s="44">
        <v>181</v>
      </c>
      <c r="B190" s="54"/>
      <c r="C190" s="53"/>
      <c r="D190" s="116"/>
      <c r="E190" s="53"/>
      <c r="F190" s="53"/>
      <c r="G190" s="163"/>
      <c r="H190" s="53"/>
      <c r="I190" s="117"/>
      <c r="J190" s="117"/>
      <c r="K190" s="31" t="s">
        <v>1246</v>
      </c>
      <c r="L190" s="31"/>
      <c r="M190" s="31"/>
      <c r="N190" s="31">
        <f t="shared" si="7"/>
        <v>0</v>
      </c>
      <c r="O190" s="31" t="s">
        <v>1247</v>
      </c>
      <c r="P190" s="31"/>
      <c r="Q190" s="31"/>
      <c r="R190" s="31"/>
      <c r="S190" s="31"/>
      <c r="T190" s="31" t="s">
        <v>1249</v>
      </c>
      <c r="U190" s="31"/>
      <c r="V190" s="31" t="str">
        <f t="shared" si="5"/>
        <v>Cước vận chuyển vỏ container 0 từ bãi JJ, Hải Phòng đến Nam Đình Vũ, Hải Phòng</v>
      </c>
      <c r="W190" s="31"/>
    </row>
    <row r="191" spans="1:23" s="29" customFormat="1" ht="18" customHeight="1" x14ac:dyDescent="0.25">
      <c r="A191" s="44">
        <v>182</v>
      </c>
      <c r="B191" s="54"/>
      <c r="C191" s="53"/>
      <c r="D191" s="116"/>
      <c r="E191" s="53"/>
      <c r="F191" s="164"/>
      <c r="G191" s="163"/>
      <c r="H191" s="53"/>
      <c r="I191" s="117"/>
      <c r="J191" s="117"/>
      <c r="K191" s="31" t="s">
        <v>1246</v>
      </c>
      <c r="L191" s="31"/>
      <c r="M191" s="31"/>
      <c r="N191" s="31">
        <f t="shared" si="7"/>
        <v>0</v>
      </c>
      <c r="O191" s="31" t="s">
        <v>1247</v>
      </c>
      <c r="P191" s="31"/>
      <c r="Q191" s="31"/>
      <c r="R191" s="31"/>
      <c r="S191" s="31"/>
      <c r="T191" s="31" t="s">
        <v>1249</v>
      </c>
      <c r="U191" s="31"/>
      <c r="V191" s="31" t="str">
        <f t="shared" si="5"/>
        <v>Cước vận chuyển vỏ container 0 từ bãi JJ, Hải Phòng đến Nam Đình Vũ, Hải Phòng</v>
      </c>
      <c r="W191" s="31"/>
    </row>
    <row r="192" spans="1:23" s="29" customFormat="1" ht="18" customHeight="1" x14ac:dyDescent="0.25">
      <c r="A192" s="44">
        <v>183</v>
      </c>
      <c r="B192" s="43"/>
      <c r="C192" s="53"/>
      <c r="D192" s="90"/>
      <c r="E192" s="53"/>
      <c r="F192" s="164"/>
      <c r="G192" s="183"/>
      <c r="H192" s="53"/>
      <c r="I192" s="117"/>
      <c r="J192" s="117"/>
      <c r="K192" s="31" t="s">
        <v>1246</v>
      </c>
      <c r="L192" s="31"/>
      <c r="M192" s="31"/>
      <c r="N192" s="31">
        <f t="shared" si="7"/>
        <v>0</v>
      </c>
      <c r="O192" s="31" t="s">
        <v>1247</v>
      </c>
      <c r="P192" s="31"/>
      <c r="Q192" s="31"/>
      <c r="R192" s="31"/>
      <c r="S192" s="31"/>
      <c r="T192" s="31" t="s">
        <v>1249</v>
      </c>
      <c r="U192" s="31"/>
      <c r="V192" s="31" t="str">
        <f t="shared" si="5"/>
        <v>Cước vận chuyển vỏ container 0 từ bãi JJ, Hải Phòng đến Nam Đình Vũ, Hải Phòng</v>
      </c>
      <c r="W192" s="31"/>
    </row>
    <row r="193" spans="1:23" s="29" customFormat="1" ht="18" customHeight="1" x14ac:dyDescent="0.25">
      <c r="A193" s="44">
        <v>184</v>
      </c>
      <c r="B193" s="43"/>
      <c r="C193" s="53"/>
      <c r="D193" s="90"/>
      <c r="E193" s="53"/>
      <c r="F193" s="164"/>
      <c r="G193" s="183"/>
      <c r="H193" s="53"/>
      <c r="I193" s="117"/>
      <c r="J193" s="117"/>
      <c r="K193" s="31" t="s">
        <v>1246</v>
      </c>
      <c r="L193" s="31"/>
      <c r="M193" s="31"/>
      <c r="N193" s="31">
        <f t="shared" si="7"/>
        <v>0</v>
      </c>
      <c r="O193" s="31" t="s">
        <v>1247</v>
      </c>
      <c r="P193" s="31"/>
      <c r="Q193" s="31"/>
      <c r="R193" s="31"/>
      <c r="S193" s="31"/>
      <c r="T193" s="31" t="s">
        <v>1249</v>
      </c>
      <c r="U193" s="31"/>
      <c r="V193" s="31" t="str">
        <f t="shared" si="5"/>
        <v>Cước vận chuyển vỏ container 0 từ bãi JJ, Hải Phòng đến Nam Đình Vũ, Hải Phòng</v>
      </c>
      <c r="W193" s="31"/>
    </row>
    <row r="194" spans="1:23" s="29" customFormat="1" ht="18" customHeight="1" x14ac:dyDescent="0.25">
      <c r="A194" s="44">
        <v>185</v>
      </c>
      <c r="B194" s="43"/>
      <c r="C194" s="207"/>
      <c r="D194" s="53"/>
      <c r="E194" s="53"/>
      <c r="F194" s="164"/>
      <c r="G194" s="183"/>
      <c r="H194" s="41"/>
      <c r="I194" s="37"/>
      <c r="J194" s="37"/>
      <c r="K194" s="31" t="s">
        <v>1246</v>
      </c>
      <c r="L194" s="31"/>
      <c r="M194" s="31"/>
      <c r="N194" s="31">
        <f t="shared" si="7"/>
        <v>0</v>
      </c>
      <c r="O194" s="31" t="s">
        <v>1247</v>
      </c>
      <c r="P194" s="31"/>
      <c r="Q194" s="31"/>
      <c r="R194" s="31"/>
      <c r="S194" s="31"/>
      <c r="T194" s="31" t="s">
        <v>1249</v>
      </c>
      <c r="U194" s="31"/>
      <c r="V194" s="31" t="str">
        <f t="shared" si="5"/>
        <v>Cước vận chuyển vỏ container 0 từ bãi JJ, Hải Phòng đến Nam Đình Vũ, Hải Phòng</v>
      </c>
      <c r="W194" s="31"/>
    </row>
    <row r="195" spans="1:23" s="29" customFormat="1" ht="18" customHeight="1" x14ac:dyDescent="0.25">
      <c r="A195" s="44">
        <v>186</v>
      </c>
      <c r="B195" s="43"/>
      <c r="C195" s="130"/>
      <c r="D195" s="53"/>
      <c r="E195" s="53"/>
      <c r="F195" s="164"/>
      <c r="G195" s="183"/>
      <c r="H195" s="41"/>
      <c r="I195" s="37"/>
      <c r="J195" s="37"/>
      <c r="K195" s="31" t="s">
        <v>1246</v>
      </c>
      <c r="L195" s="31"/>
      <c r="M195" s="31"/>
      <c r="N195" s="31">
        <f t="shared" si="7"/>
        <v>0</v>
      </c>
      <c r="O195" s="31" t="s">
        <v>1247</v>
      </c>
      <c r="P195" s="31"/>
      <c r="Q195" s="31"/>
      <c r="R195" s="31"/>
      <c r="S195" s="31"/>
      <c r="T195" s="31" t="s">
        <v>1249</v>
      </c>
      <c r="U195" s="31"/>
      <c r="V195" s="31" t="str">
        <f t="shared" si="5"/>
        <v>Cước vận chuyển vỏ container 0 từ bãi JJ, Hải Phòng đến Nam Đình Vũ, Hải Phòng</v>
      </c>
      <c r="W195" s="31"/>
    </row>
    <row r="196" spans="1:23" s="29" customFormat="1" ht="18" customHeight="1" x14ac:dyDescent="0.25">
      <c r="A196" s="44">
        <v>187</v>
      </c>
      <c r="B196" s="43"/>
      <c r="C196" s="130"/>
      <c r="D196" s="53"/>
      <c r="E196" s="53"/>
      <c r="F196" s="164"/>
      <c r="G196" s="183"/>
      <c r="H196" s="41"/>
      <c r="I196" s="37"/>
      <c r="J196" s="37"/>
      <c r="K196" s="31" t="s">
        <v>1246</v>
      </c>
      <c r="L196" s="31"/>
      <c r="M196" s="31"/>
      <c r="N196" s="31">
        <f t="shared" si="7"/>
        <v>0</v>
      </c>
      <c r="O196" s="31" t="s">
        <v>1247</v>
      </c>
      <c r="P196" s="31"/>
      <c r="Q196" s="31"/>
      <c r="R196" s="31"/>
      <c r="S196" s="31"/>
      <c r="T196" s="31" t="s">
        <v>1249</v>
      </c>
      <c r="U196" s="31"/>
      <c r="V196" s="31" t="str">
        <f t="shared" si="5"/>
        <v>Cước vận chuyển vỏ container 0 từ bãi JJ, Hải Phòng đến Nam Đình Vũ, Hải Phòng</v>
      </c>
      <c r="W196" s="31"/>
    </row>
    <row r="197" spans="1:23" s="29" customFormat="1" ht="18" customHeight="1" x14ac:dyDescent="0.25">
      <c r="A197" s="44">
        <v>188</v>
      </c>
      <c r="B197" s="43"/>
      <c r="C197" s="130"/>
      <c r="D197" s="53"/>
      <c r="E197" s="53"/>
      <c r="F197" s="164"/>
      <c r="G197" s="183"/>
      <c r="H197" s="41"/>
      <c r="I197" s="37"/>
      <c r="J197" s="37"/>
      <c r="K197" s="31" t="s">
        <v>1246</v>
      </c>
      <c r="L197" s="31"/>
      <c r="M197" s="31"/>
      <c r="N197" s="31">
        <f t="shared" si="7"/>
        <v>0</v>
      </c>
      <c r="O197" s="31" t="s">
        <v>1247</v>
      </c>
      <c r="P197" s="31"/>
      <c r="Q197" s="31"/>
      <c r="R197" s="31"/>
      <c r="S197" s="31"/>
      <c r="T197" s="31" t="s">
        <v>1249</v>
      </c>
      <c r="U197" s="31"/>
      <c r="V197" s="31" t="str">
        <f t="shared" si="5"/>
        <v>Cước vận chuyển vỏ container 0 từ bãi JJ, Hải Phòng đến Nam Đình Vũ, Hải Phòng</v>
      </c>
      <c r="W197" s="31"/>
    </row>
    <row r="198" spans="1:23" s="29" customFormat="1" ht="18" customHeight="1" x14ac:dyDescent="0.25">
      <c r="A198" s="44">
        <v>189</v>
      </c>
      <c r="B198" s="43"/>
      <c r="C198" s="130"/>
      <c r="D198" s="53"/>
      <c r="E198" s="53"/>
      <c r="F198" s="164"/>
      <c r="G198" s="183"/>
      <c r="H198" s="41"/>
      <c r="I198" s="37"/>
      <c r="J198" s="37"/>
      <c r="K198" s="31" t="s">
        <v>1246</v>
      </c>
      <c r="L198" s="31"/>
      <c r="M198" s="31"/>
      <c r="N198" s="31">
        <f t="shared" si="7"/>
        <v>0</v>
      </c>
      <c r="O198" s="31" t="s">
        <v>1247</v>
      </c>
      <c r="P198" s="31"/>
      <c r="Q198" s="31"/>
      <c r="R198" s="31"/>
      <c r="S198" s="31"/>
      <c r="T198" s="31" t="s">
        <v>1249</v>
      </c>
      <c r="U198" s="31"/>
      <c r="V198" s="31" t="str">
        <f t="shared" si="5"/>
        <v>Cước vận chuyển vỏ container 0 từ bãi JJ, Hải Phòng đến Nam Đình Vũ, Hải Phòng</v>
      </c>
      <c r="W198" s="31"/>
    </row>
    <row r="199" spans="1:23" s="29" customFormat="1" ht="18" customHeight="1" x14ac:dyDescent="0.25">
      <c r="A199" s="44">
        <v>190</v>
      </c>
      <c r="B199" s="43"/>
      <c r="C199" s="130"/>
      <c r="D199" s="53"/>
      <c r="E199" s="53"/>
      <c r="F199" s="164"/>
      <c r="G199" s="183"/>
      <c r="H199" s="41"/>
      <c r="I199" s="37"/>
      <c r="J199" s="37"/>
      <c r="K199" s="31" t="s">
        <v>1246</v>
      </c>
      <c r="L199" s="31"/>
      <c r="M199" s="31"/>
      <c r="N199" s="31">
        <f t="shared" si="7"/>
        <v>0</v>
      </c>
      <c r="O199" s="31" t="s">
        <v>1247</v>
      </c>
      <c r="P199" s="31"/>
      <c r="Q199" s="31"/>
      <c r="R199" s="31"/>
      <c r="S199" s="31"/>
      <c r="T199" s="31" t="s">
        <v>1249</v>
      </c>
      <c r="U199" s="31"/>
      <c r="V199" s="31" t="str">
        <f t="shared" si="5"/>
        <v>Cước vận chuyển vỏ container 0 từ bãi JJ, Hải Phòng đến Nam Đình Vũ, Hải Phòng</v>
      </c>
      <c r="W199" s="31"/>
    </row>
    <row r="200" spans="1:23" s="29" customFormat="1" ht="18" customHeight="1" x14ac:dyDescent="0.25">
      <c r="A200" s="44">
        <v>191</v>
      </c>
      <c r="B200" s="43"/>
      <c r="C200" s="130"/>
      <c r="D200" s="90"/>
      <c r="E200" s="53"/>
      <c r="F200" s="164"/>
      <c r="G200" s="183"/>
      <c r="H200" s="53"/>
      <c r="I200" s="117"/>
      <c r="J200" s="117"/>
      <c r="K200" s="31" t="s">
        <v>1246</v>
      </c>
      <c r="L200" s="31"/>
      <c r="M200" s="31"/>
      <c r="N200" s="31">
        <f t="shared" si="7"/>
        <v>0</v>
      </c>
      <c r="O200" s="31" t="s">
        <v>1247</v>
      </c>
      <c r="P200" s="31"/>
      <c r="Q200" s="31"/>
      <c r="R200" s="31"/>
      <c r="S200" s="31"/>
      <c r="T200" s="31" t="s">
        <v>1249</v>
      </c>
      <c r="U200" s="31"/>
      <c r="V200" s="31" t="str">
        <f t="shared" si="5"/>
        <v>Cước vận chuyển vỏ container 0 từ bãi JJ, Hải Phòng đến Nam Đình Vũ, Hải Phòng</v>
      </c>
      <c r="W200" s="31"/>
    </row>
    <row r="201" spans="1:23" s="5" customFormat="1" ht="19.5" customHeight="1" x14ac:dyDescent="0.25">
      <c r="A201" s="222" t="s">
        <v>17</v>
      </c>
      <c r="B201" s="222"/>
      <c r="C201" s="222"/>
      <c r="D201" s="222"/>
      <c r="E201" s="222"/>
      <c r="F201" s="222"/>
      <c r="G201" s="167">
        <f>SUM(G10:G200)</f>
        <v>54282000</v>
      </c>
      <c r="H201" s="147"/>
      <c r="I201" s="204"/>
      <c r="J201" s="204"/>
      <c r="K201" s="8"/>
      <c r="L201" s="8"/>
      <c r="T201" s="31" t="s">
        <v>1249</v>
      </c>
      <c r="V201" s="8"/>
      <c r="W201" s="8"/>
    </row>
    <row r="202" spans="1:23" ht="16.5" customHeight="1" x14ac:dyDescent="0.25">
      <c r="A202" s="148" t="s">
        <v>18</v>
      </c>
      <c r="B202" s="149"/>
      <c r="C202" s="235"/>
      <c r="D202" s="151"/>
      <c r="E202" s="151"/>
      <c r="F202" s="53"/>
      <c r="G202" s="168"/>
      <c r="H202" s="152"/>
      <c r="I202" s="205"/>
      <c r="J202" s="205"/>
      <c r="T202" s="31" t="s">
        <v>1249</v>
      </c>
    </row>
    <row r="203" spans="1:23" s="3" customFormat="1" x14ac:dyDescent="0.25">
      <c r="C203" s="38"/>
      <c r="F203" s="38"/>
      <c r="G203" s="184"/>
      <c r="H203" s="22"/>
      <c r="I203" s="22"/>
      <c r="J203" s="22"/>
      <c r="K203" s="31" t="s">
        <v>1246</v>
      </c>
      <c r="L203" s="8"/>
      <c r="T203" s="31" t="s">
        <v>1249</v>
      </c>
      <c r="V203" s="8"/>
      <c r="W203" s="8"/>
    </row>
    <row r="204" spans="1:23" s="12" customFormat="1" x14ac:dyDescent="0.25">
      <c r="A204" s="39"/>
      <c r="B204" s="33"/>
      <c r="C204" s="33"/>
      <c r="F204" s="212" t="s">
        <v>1436</v>
      </c>
      <c r="G204" s="213"/>
      <c r="H204" s="212"/>
      <c r="I204" s="196"/>
      <c r="J204" s="196"/>
      <c r="K204" s="31" t="s">
        <v>1246</v>
      </c>
      <c r="L204" s="8"/>
      <c r="T204" s="31" t="s">
        <v>1249</v>
      </c>
      <c r="V204" s="8"/>
      <c r="W204" s="8"/>
    </row>
    <row r="205" spans="1:23" s="3" customFormat="1" ht="35.25" customHeight="1" x14ac:dyDescent="0.25">
      <c r="A205" s="172"/>
      <c r="B205" s="172"/>
      <c r="C205" s="236"/>
      <c r="D205" s="172"/>
      <c r="E205" s="34"/>
      <c r="F205" s="214" t="s">
        <v>0</v>
      </c>
      <c r="G205" s="215"/>
      <c r="H205" s="214"/>
      <c r="I205" s="197"/>
      <c r="J205" s="197"/>
      <c r="K205" s="31"/>
      <c r="L205" s="8"/>
      <c r="T205" s="31" t="s">
        <v>1249</v>
      </c>
      <c r="V205" s="8"/>
      <c r="W205" s="8"/>
    </row>
    <row r="206" spans="1:23" x14ac:dyDescent="0.25">
      <c r="A206" s="172"/>
      <c r="B206" s="172"/>
      <c r="C206" s="236"/>
      <c r="D206" s="172"/>
      <c r="H206" s="22"/>
      <c r="K206" s="31"/>
      <c r="T206" s="31" t="s">
        <v>1249</v>
      </c>
    </row>
    <row r="207" spans="1:23" x14ac:dyDescent="0.25">
      <c r="A207" s="172"/>
      <c r="B207" s="172"/>
      <c r="C207" s="236"/>
      <c r="D207" s="172"/>
      <c r="E207" s="172"/>
      <c r="F207" s="172"/>
      <c r="H207" s="22"/>
      <c r="K207" s="31"/>
      <c r="T207" s="31" t="s">
        <v>1249</v>
      </c>
    </row>
    <row r="208" spans="1:23" x14ac:dyDescent="0.25">
      <c r="A208" s="172"/>
      <c r="B208" s="172"/>
      <c r="C208" s="236"/>
      <c r="D208" s="172"/>
      <c r="E208" s="172"/>
      <c r="F208" s="172"/>
      <c r="G208" s="185"/>
      <c r="H208" s="172"/>
      <c r="I208" s="172"/>
      <c r="J208" s="172"/>
      <c r="K208" s="31"/>
      <c r="T208" s="31" t="s">
        <v>1249</v>
      </c>
    </row>
    <row r="209" spans="1:20" x14ac:dyDescent="0.25">
      <c r="A209" s="172"/>
      <c r="B209" s="172"/>
      <c r="C209" s="236"/>
      <c r="D209" s="172"/>
      <c r="E209" s="172"/>
      <c r="F209" s="172"/>
      <c r="G209" s="185"/>
      <c r="H209" s="172"/>
      <c r="I209" s="172"/>
      <c r="J209" s="172"/>
      <c r="K209" s="31"/>
      <c r="T209" s="31" t="s">
        <v>1249</v>
      </c>
    </row>
    <row r="210" spans="1:20" x14ac:dyDescent="0.25">
      <c r="A210" s="172"/>
      <c r="B210" s="172"/>
      <c r="C210" s="236"/>
      <c r="D210" s="172"/>
      <c r="E210" s="172"/>
      <c r="F210" s="172"/>
      <c r="G210" s="185"/>
      <c r="H210" s="172"/>
      <c r="I210" s="172"/>
      <c r="J210" s="172"/>
      <c r="K210" s="31"/>
      <c r="T210" s="31" t="s">
        <v>1249</v>
      </c>
    </row>
    <row r="211" spans="1:20" x14ac:dyDescent="0.25">
      <c r="A211" s="172"/>
      <c r="B211" s="172"/>
      <c r="C211" s="237"/>
      <c r="D211" s="42"/>
      <c r="E211" s="42"/>
      <c r="F211" s="172"/>
      <c r="G211" s="185"/>
      <c r="H211" s="172"/>
      <c r="I211" s="172"/>
      <c r="J211" s="172"/>
      <c r="K211" s="31"/>
      <c r="T211" s="31" t="s">
        <v>1249</v>
      </c>
    </row>
    <row r="212" spans="1:20" x14ac:dyDescent="0.25">
      <c r="A212" s="172"/>
      <c r="B212" s="172"/>
      <c r="C212" s="237"/>
      <c r="D212" s="42"/>
      <c r="E212" s="42"/>
      <c r="F212" s="172"/>
      <c r="G212" s="185"/>
      <c r="H212" s="172"/>
      <c r="I212" s="172"/>
      <c r="J212" s="172"/>
      <c r="K212" s="31"/>
    </row>
    <row r="213" spans="1:20" x14ac:dyDescent="0.25">
      <c r="A213" s="172"/>
      <c r="B213" s="42"/>
      <c r="C213" s="237"/>
      <c r="D213" s="42"/>
      <c r="E213" s="42"/>
      <c r="F213" s="42"/>
      <c r="G213" s="185"/>
      <c r="H213" s="172"/>
      <c r="I213" s="172"/>
      <c r="J213" s="172"/>
      <c r="K213" s="31"/>
    </row>
    <row r="214" spans="1:20" x14ac:dyDescent="0.25">
      <c r="A214" s="172"/>
      <c r="B214" s="42"/>
      <c r="C214" s="237"/>
      <c r="D214" s="42"/>
      <c r="E214" s="42"/>
      <c r="F214" s="42"/>
      <c r="G214" s="185"/>
      <c r="H214" s="172"/>
      <c r="I214" s="172"/>
      <c r="J214" s="172"/>
      <c r="K214" s="31"/>
    </row>
    <row r="215" spans="1:20" x14ac:dyDescent="0.25">
      <c r="A215" s="172"/>
      <c r="B215" s="42"/>
      <c r="C215" s="237"/>
      <c r="D215" s="42"/>
      <c r="E215" s="42"/>
      <c r="F215" s="42"/>
      <c r="G215" s="185"/>
      <c r="H215" s="172"/>
      <c r="I215" s="172"/>
      <c r="J215" s="172"/>
      <c r="K215" s="31"/>
    </row>
    <row r="216" spans="1:20" x14ac:dyDescent="0.25">
      <c r="A216" s="172"/>
      <c r="B216" s="42"/>
      <c r="C216" s="237"/>
      <c r="D216" s="42"/>
      <c r="E216" s="42"/>
      <c r="F216" s="42"/>
      <c r="G216" s="185"/>
      <c r="H216" s="172"/>
      <c r="I216" s="172"/>
      <c r="J216" s="172"/>
      <c r="K216" s="31"/>
    </row>
    <row r="217" spans="1:20" x14ac:dyDescent="0.25">
      <c r="A217" s="172"/>
      <c r="B217" s="42"/>
      <c r="C217" s="237"/>
      <c r="D217" s="42"/>
      <c r="E217" s="42"/>
      <c r="F217" s="42"/>
      <c r="G217" s="185"/>
      <c r="H217" s="172"/>
      <c r="I217" s="172"/>
      <c r="J217" s="172"/>
      <c r="K217" s="31"/>
    </row>
    <row r="218" spans="1:20" x14ac:dyDescent="0.25">
      <c r="A218" s="172"/>
      <c r="B218" s="42"/>
      <c r="C218" s="237"/>
      <c r="D218" s="42"/>
      <c r="E218" s="42"/>
      <c r="F218" s="42"/>
      <c r="G218" s="185"/>
      <c r="H218" s="172"/>
      <c r="I218" s="172"/>
      <c r="J218" s="172"/>
      <c r="K218" s="31"/>
    </row>
    <row r="219" spans="1:20" x14ac:dyDescent="0.25">
      <c r="A219" s="172"/>
      <c r="B219" s="42"/>
      <c r="C219" s="237"/>
      <c r="D219" s="42"/>
      <c r="E219" s="42"/>
      <c r="F219" s="42"/>
      <c r="G219" s="185"/>
      <c r="H219" s="172"/>
      <c r="I219" s="172"/>
      <c r="J219" s="172"/>
      <c r="K219" s="31"/>
    </row>
    <row r="220" spans="1:20" x14ac:dyDescent="0.25">
      <c r="A220" s="172"/>
      <c r="B220" s="42"/>
      <c r="C220" s="237"/>
      <c r="D220" s="42"/>
      <c r="E220" s="42"/>
      <c r="F220" s="42"/>
      <c r="G220" s="185"/>
      <c r="H220" s="172"/>
      <c r="I220" s="172"/>
      <c r="J220" s="172"/>
      <c r="K220" s="31"/>
    </row>
    <row r="221" spans="1:20" x14ac:dyDescent="0.25">
      <c r="A221" s="172"/>
      <c r="B221" s="42"/>
      <c r="C221" s="237"/>
      <c r="D221" s="42"/>
      <c r="E221" s="42"/>
      <c r="F221" s="42"/>
      <c r="H221" s="8"/>
      <c r="I221" s="8"/>
      <c r="J221" s="8"/>
      <c r="K221" s="31"/>
    </row>
    <row r="222" spans="1:20" x14ac:dyDescent="0.25">
      <c r="A222" s="172"/>
      <c r="B222" s="42"/>
      <c r="C222" s="237"/>
      <c r="D222" s="42"/>
      <c r="E222" s="42"/>
      <c r="F222" s="42"/>
      <c r="H222" s="8"/>
      <c r="I222" s="8"/>
      <c r="J222" s="8"/>
      <c r="K222" s="31"/>
    </row>
    <row r="223" spans="1:20" x14ac:dyDescent="0.25">
      <c r="A223" s="172"/>
      <c r="B223" s="42"/>
      <c r="C223" s="237"/>
      <c r="D223" s="42"/>
      <c r="E223" s="42"/>
      <c r="F223" s="42"/>
      <c r="H223" s="8"/>
      <c r="I223" s="8"/>
      <c r="J223" s="8"/>
      <c r="K223" s="31"/>
    </row>
    <row r="224" spans="1:20" x14ac:dyDescent="0.25">
      <c r="A224" s="172"/>
      <c r="B224" s="42"/>
      <c r="C224" s="237"/>
      <c r="D224" s="42"/>
      <c r="E224" s="42"/>
      <c r="F224" s="42"/>
      <c r="H224" s="8"/>
      <c r="I224" s="8"/>
      <c r="J224" s="8"/>
      <c r="K224" s="31"/>
    </row>
    <row r="225" spans="1:11" x14ac:dyDescent="0.25">
      <c r="A225" s="172"/>
      <c r="B225" s="42"/>
      <c r="C225" s="237"/>
      <c r="D225" s="42"/>
      <c r="E225" s="42"/>
      <c r="F225" s="42"/>
      <c r="H225" s="8"/>
      <c r="I225" s="8"/>
      <c r="J225" s="8"/>
      <c r="K225" s="31"/>
    </row>
    <row r="226" spans="1:11" x14ac:dyDescent="0.25">
      <c r="A226" s="172"/>
      <c r="B226" s="42"/>
      <c r="C226" s="237"/>
      <c r="D226" s="42"/>
      <c r="E226" s="42"/>
      <c r="F226" s="42"/>
      <c r="H226" s="8"/>
      <c r="I226" s="8"/>
      <c r="J226" s="8"/>
      <c r="K226" s="31"/>
    </row>
    <row r="227" spans="1:11" x14ac:dyDescent="0.25">
      <c r="A227" s="172"/>
      <c r="B227" s="42"/>
      <c r="C227" s="237"/>
      <c r="D227" s="42"/>
      <c r="E227" s="42"/>
      <c r="F227" s="42"/>
      <c r="H227" s="8"/>
      <c r="I227" s="8"/>
      <c r="J227" s="8"/>
      <c r="K227" s="31"/>
    </row>
    <row r="228" spans="1:11" x14ac:dyDescent="0.25">
      <c r="A228" s="172"/>
      <c r="B228" s="42"/>
      <c r="C228" s="237"/>
      <c r="D228" s="42"/>
      <c r="E228" s="42"/>
      <c r="F228" s="42"/>
      <c r="H228" s="8"/>
      <c r="I228" s="8"/>
      <c r="J228" s="8"/>
      <c r="K228" s="31"/>
    </row>
    <row r="229" spans="1:11" x14ac:dyDescent="0.25">
      <c r="A229" s="172"/>
      <c r="B229" s="42"/>
      <c r="C229" s="237"/>
      <c r="D229" s="42"/>
      <c r="E229" s="42"/>
      <c r="F229" s="42"/>
      <c r="H229" s="8"/>
      <c r="I229" s="8"/>
      <c r="J229" s="8"/>
      <c r="K229" s="31"/>
    </row>
    <row r="230" spans="1:11" x14ac:dyDescent="0.25">
      <c r="A230" s="172"/>
      <c r="B230" s="42"/>
      <c r="C230" s="237"/>
      <c r="D230" s="42"/>
      <c r="E230" s="42"/>
      <c r="F230" s="42"/>
      <c r="H230" s="8"/>
      <c r="I230" s="8"/>
      <c r="J230" s="8"/>
      <c r="K230" s="31"/>
    </row>
    <row r="231" spans="1:11" x14ac:dyDescent="0.25">
      <c r="A231" s="172"/>
      <c r="B231" s="42"/>
      <c r="C231" s="237"/>
      <c r="D231" s="42"/>
      <c r="E231" s="42"/>
      <c r="F231" s="42"/>
      <c r="H231" s="8"/>
      <c r="I231" s="8"/>
      <c r="J231" s="8"/>
      <c r="K231" s="31"/>
    </row>
    <row r="232" spans="1:11" x14ac:dyDescent="0.25">
      <c r="A232" s="172"/>
      <c r="B232" s="42"/>
      <c r="C232" s="237"/>
      <c r="D232" s="42"/>
      <c r="E232" s="42"/>
      <c r="F232" s="42"/>
      <c r="H232" s="8"/>
      <c r="I232" s="8"/>
      <c r="J232" s="8"/>
      <c r="K232" s="31"/>
    </row>
    <row r="233" spans="1:11" x14ac:dyDescent="0.25">
      <c r="A233" s="172"/>
      <c r="B233" s="42"/>
      <c r="C233" s="237"/>
      <c r="D233" s="42"/>
      <c r="E233" s="42"/>
      <c r="F233" s="42"/>
      <c r="H233" s="8"/>
      <c r="I233" s="8"/>
      <c r="J233" s="8"/>
      <c r="K233" s="31"/>
    </row>
    <row r="234" spans="1:11" x14ac:dyDescent="0.25">
      <c r="A234" s="172"/>
      <c r="B234" s="42"/>
      <c r="C234" s="237"/>
      <c r="D234" s="42"/>
      <c r="E234" s="42"/>
      <c r="F234" s="42"/>
      <c r="H234" s="8"/>
      <c r="I234" s="8"/>
      <c r="J234" s="8"/>
      <c r="K234" s="31"/>
    </row>
    <row r="235" spans="1:11" x14ac:dyDescent="0.25">
      <c r="A235" s="172"/>
      <c r="B235" s="42"/>
      <c r="C235" s="237"/>
      <c r="D235" s="42"/>
      <c r="E235" s="42"/>
      <c r="F235" s="42"/>
      <c r="H235" s="8"/>
      <c r="I235" s="8"/>
      <c r="J235" s="8"/>
      <c r="K235" s="31"/>
    </row>
    <row r="236" spans="1:11" x14ac:dyDescent="0.25">
      <c r="A236" s="172"/>
      <c r="B236" s="42"/>
      <c r="C236" s="237"/>
      <c r="D236" s="42"/>
      <c r="E236" s="42"/>
      <c r="F236" s="42"/>
      <c r="H236" s="8"/>
      <c r="I236" s="8"/>
      <c r="J236" s="8"/>
      <c r="K236" s="31"/>
    </row>
    <row r="237" spans="1:11" x14ac:dyDescent="0.25">
      <c r="A237" s="172"/>
      <c r="B237" s="42"/>
      <c r="C237" s="237"/>
      <c r="D237" s="42"/>
      <c r="E237" s="42"/>
      <c r="F237" s="42"/>
      <c r="H237" s="8"/>
      <c r="I237" s="8"/>
      <c r="J237" s="8"/>
      <c r="K237" s="31"/>
    </row>
    <row r="238" spans="1:11" x14ac:dyDescent="0.25">
      <c r="A238" s="172"/>
      <c r="B238" s="42"/>
      <c r="C238" s="237"/>
      <c r="D238" s="42"/>
      <c r="E238" s="42"/>
      <c r="F238" s="42"/>
      <c r="H238" s="8"/>
      <c r="I238" s="8"/>
      <c r="J238" s="8"/>
      <c r="K238" s="31"/>
    </row>
    <row r="239" spans="1:11" x14ac:dyDescent="0.25">
      <c r="A239" s="172"/>
      <c r="B239" s="42"/>
      <c r="C239" s="237"/>
      <c r="D239" s="42"/>
      <c r="E239" s="42"/>
      <c r="F239" s="42"/>
      <c r="H239" s="8"/>
      <c r="I239" s="8"/>
      <c r="J239" s="8"/>
      <c r="K239" s="31"/>
    </row>
    <row r="240" spans="1:11" x14ac:dyDescent="0.25">
      <c r="A240" s="172"/>
      <c r="B240" s="42"/>
      <c r="C240" s="237"/>
      <c r="D240" s="42"/>
      <c r="E240" s="42"/>
      <c r="F240" s="42"/>
      <c r="H240" s="8"/>
      <c r="I240" s="8"/>
      <c r="J240" s="8"/>
      <c r="K240" s="31"/>
    </row>
    <row r="241" spans="1:11" x14ac:dyDescent="0.25">
      <c r="A241" s="172"/>
      <c r="B241" s="42"/>
      <c r="C241" s="237"/>
      <c r="D241" s="42"/>
      <c r="E241" s="42"/>
      <c r="F241" s="42"/>
      <c r="H241" s="8"/>
      <c r="I241" s="8"/>
      <c r="J241" s="8"/>
      <c r="K241" s="31"/>
    </row>
    <row r="242" spans="1:11" x14ac:dyDescent="0.25">
      <c r="A242" s="172"/>
      <c r="B242" s="42"/>
      <c r="C242" s="237"/>
      <c r="D242" s="42"/>
      <c r="E242" s="42"/>
      <c r="F242" s="42"/>
      <c r="H242" s="8"/>
      <c r="I242" s="8"/>
      <c r="J242" s="8"/>
      <c r="K242" s="31"/>
    </row>
    <row r="243" spans="1:11" x14ac:dyDescent="0.25">
      <c r="A243" s="172"/>
      <c r="B243" s="42"/>
      <c r="C243" s="237"/>
      <c r="D243" s="42"/>
      <c r="E243" s="42"/>
      <c r="F243" s="42"/>
      <c r="H243" s="8"/>
      <c r="I243" s="8"/>
      <c r="J243" s="8"/>
      <c r="K243" s="31"/>
    </row>
    <row r="244" spans="1:11" x14ac:dyDescent="0.25">
      <c r="A244" s="172"/>
      <c r="B244" s="42"/>
      <c r="C244" s="237"/>
      <c r="D244" s="42"/>
      <c r="E244" s="42"/>
      <c r="F244" s="42"/>
      <c r="H244" s="8"/>
      <c r="I244" s="8"/>
      <c r="J244" s="8"/>
      <c r="K244" s="31"/>
    </row>
    <row r="245" spans="1:11" x14ac:dyDescent="0.25">
      <c r="A245" s="172"/>
      <c r="B245" s="42"/>
      <c r="C245" s="237"/>
      <c r="D245" s="42"/>
      <c r="E245" s="42"/>
      <c r="F245" s="42"/>
      <c r="H245" s="8"/>
      <c r="I245" s="8"/>
      <c r="J245" s="8"/>
      <c r="K245" s="31"/>
    </row>
    <row r="246" spans="1:11" x14ac:dyDescent="0.25">
      <c r="A246" s="172"/>
      <c r="B246" s="42"/>
      <c r="C246" s="237"/>
      <c r="D246" s="42"/>
      <c r="E246" s="42"/>
      <c r="F246" s="42"/>
      <c r="H246" s="8"/>
      <c r="I246" s="8"/>
      <c r="J246" s="8"/>
      <c r="K246" s="31"/>
    </row>
    <row r="247" spans="1:11" x14ac:dyDescent="0.25">
      <c r="A247" s="172"/>
      <c r="B247" s="42"/>
      <c r="C247" s="237"/>
      <c r="D247" s="42"/>
      <c r="E247" s="42"/>
      <c r="F247" s="42"/>
      <c r="H247" s="8"/>
      <c r="I247" s="8"/>
      <c r="J247" s="8"/>
      <c r="K247" s="31"/>
    </row>
    <row r="248" spans="1:11" x14ac:dyDescent="0.25">
      <c r="A248" s="172"/>
      <c r="B248" s="42"/>
      <c r="C248" s="237"/>
      <c r="D248" s="42"/>
      <c r="E248" s="42"/>
      <c r="F248" s="42"/>
      <c r="H248" s="8"/>
      <c r="I248" s="8"/>
      <c r="J248" s="8"/>
      <c r="K248" s="31"/>
    </row>
    <row r="249" spans="1:11" x14ac:dyDescent="0.25">
      <c r="A249" s="172"/>
      <c r="B249" s="42"/>
      <c r="C249" s="237"/>
      <c r="D249" s="42"/>
      <c r="E249" s="42"/>
      <c r="F249" s="42"/>
      <c r="H249" s="8"/>
      <c r="I249" s="8"/>
      <c r="J249" s="8"/>
      <c r="K249" s="31"/>
    </row>
    <row r="250" spans="1:11" x14ac:dyDescent="0.25">
      <c r="A250" s="172"/>
      <c r="B250" s="42"/>
      <c r="C250" s="237"/>
      <c r="D250" s="42"/>
      <c r="E250" s="42"/>
      <c r="F250" s="42"/>
      <c r="H250" s="8"/>
      <c r="I250" s="8"/>
      <c r="J250" s="8"/>
      <c r="K250" s="31"/>
    </row>
    <row r="251" spans="1:11" x14ac:dyDescent="0.25">
      <c r="A251" s="172"/>
      <c r="B251" s="42"/>
      <c r="C251" s="237"/>
      <c r="D251" s="42"/>
      <c r="E251" s="42"/>
      <c r="F251" s="42"/>
      <c r="H251" s="8"/>
      <c r="I251" s="8"/>
      <c r="J251" s="8"/>
      <c r="K251" s="31"/>
    </row>
    <row r="252" spans="1:11" x14ac:dyDescent="0.25">
      <c r="A252" s="172"/>
      <c r="B252" s="42"/>
      <c r="C252" s="237"/>
      <c r="D252" s="42"/>
      <c r="E252" s="42"/>
      <c r="F252" s="42"/>
      <c r="H252" s="8"/>
      <c r="I252" s="8"/>
      <c r="J252" s="8"/>
      <c r="K252" s="31"/>
    </row>
    <row r="253" spans="1:11" x14ac:dyDescent="0.25">
      <c r="A253" s="172"/>
      <c r="B253" s="42"/>
      <c r="C253" s="237"/>
      <c r="D253" s="42"/>
      <c r="E253" s="42"/>
      <c r="F253" s="42"/>
      <c r="H253" s="8"/>
      <c r="I253" s="8"/>
      <c r="J253" s="8"/>
      <c r="K253" s="31"/>
    </row>
    <row r="254" spans="1:11" x14ac:dyDescent="0.25">
      <c r="A254" s="172"/>
      <c r="B254" s="42"/>
      <c r="C254" s="237"/>
      <c r="D254" s="42"/>
      <c r="E254" s="42"/>
      <c r="F254" s="42"/>
      <c r="H254" s="8"/>
      <c r="I254" s="8"/>
      <c r="J254" s="8"/>
      <c r="K254" s="31"/>
    </row>
    <row r="255" spans="1:11" x14ac:dyDescent="0.25">
      <c r="A255" s="172"/>
      <c r="B255" s="42"/>
      <c r="C255" s="237"/>
      <c r="D255" s="42"/>
      <c r="E255" s="42"/>
      <c r="F255" s="42"/>
      <c r="H255" s="8"/>
      <c r="I255" s="8"/>
      <c r="J255" s="8"/>
      <c r="K255" s="31"/>
    </row>
    <row r="256" spans="1:11" x14ac:dyDescent="0.25">
      <c r="A256" s="172"/>
      <c r="B256" s="42"/>
      <c r="C256" s="237"/>
      <c r="D256" s="42"/>
      <c r="E256" s="42"/>
      <c r="F256" s="42"/>
      <c r="H256" s="8"/>
      <c r="I256" s="8"/>
      <c r="J256" s="8"/>
      <c r="K256" s="31"/>
    </row>
    <row r="257" spans="1:11" x14ac:dyDescent="0.25">
      <c r="A257" s="172"/>
      <c r="B257" s="42"/>
      <c r="C257" s="237"/>
      <c r="D257" s="42"/>
      <c r="E257" s="42"/>
      <c r="F257" s="42"/>
      <c r="H257" s="8"/>
      <c r="I257" s="8"/>
      <c r="J257" s="8"/>
      <c r="K257" s="31"/>
    </row>
    <row r="258" spans="1:11" x14ac:dyDescent="0.25">
      <c r="A258" s="172"/>
      <c r="B258" s="42"/>
      <c r="C258" s="237"/>
      <c r="D258" s="42"/>
      <c r="E258" s="42"/>
      <c r="F258" s="42"/>
      <c r="H258" s="8"/>
      <c r="I258" s="8"/>
      <c r="J258" s="8"/>
      <c r="K258" s="31"/>
    </row>
    <row r="259" spans="1:11" x14ac:dyDescent="0.25">
      <c r="A259" s="172"/>
      <c r="B259" s="42"/>
      <c r="C259" s="237"/>
      <c r="D259" s="42"/>
      <c r="E259" s="42"/>
      <c r="F259" s="42"/>
      <c r="H259" s="8"/>
      <c r="I259" s="8"/>
      <c r="J259" s="8"/>
      <c r="K259" s="31"/>
    </row>
    <row r="260" spans="1:11" x14ac:dyDescent="0.25">
      <c r="A260" s="172"/>
      <c r="B260" s="42"/>
      <c r="C260" s="237"/>
      <c r="D260" s="42"/>
      <c r="E260" s="42"/>
      <c r="F260" s="42"/>
      <c r="H260" s="8"/>
      <c r="I260" s="8"/>
      <c r="J260" s="8"/>
      <c r="K260" s="31"/>
    </row>
    <row r="261" spans="1:11" x14ac:dyDescent="0.25">
      <c r="A261" s="172"/>
      <c r="B261" s="42"/>
      <c r="C261" s="237"/>
      <c r="D261" s="42"/>
      <c r="E261" s="42"/>
      <c r="F261" s="42"/>
      <c r="H261" s="8"/>
      <c r="I261" s="8"/>
      <c r="J261" s="8"/>
      <c r="K261" s="31"/>
    </row>
    <row r="262" spans="1:11" x14ac:dyDescent="0.25">
      <c r="A262" s="172"/>
      <c r="B262" s="42"/>
      <c r="C262" s="237"/>
      <c r="D262" s="42"/>
      <c r="E262" s="42"/>
      <c r="F262" s="42"/>
      <c r="H262" s="8"/>
      <c r="I262" s="8"/>
      <c r="J262" s="8"/>
      <c r="K262" s="31"/>
    </row>
    <row r="263" spans="1:11" x14ac:dyDescent="0.25">
      <c r="A263" s="172"/>
      <c r="B263" s="42"/>
      <c r="C263" s="237"/>
      <c r="D263" s="42"/>
      <c r="E263" s="42"/>
      <c r="F263" s="42"/>
      <c r="H263" s="8"/>
      <c r="I263" s="8"/>
      <c r="J263" s="8"/>
      <c r="K263" s="31"/>
    </row>
    <row r="264" spans="1:11" x14ac:dyDescent="0.25">
      <c r="A264" s="172"/>
      <c r="B264" s="42"/>
      <c r="C264" s="237"/>
      <c r="D264" s="42"/>
      <c r="E264" s="42"/>
      <c r="F264" s="42"/>
      <c r="H264" s="8"/>
      <c r="I264" s="8"/>
      <c r="J264" s="8"/>
      <c r="K264" s="31"/>
    </row>
    <row r="265" spans="1:11" x14ac:dyDescent="0.25">
      <c r="A265" s="172"/>
      <c r="B265" s="42"/>
      <c r="C265" s="237"/>
      <c r="D265" s="42"/>
      <c r="E265" s="42"/>
      <c r="F265" s="42"/>
      <c r="H265" s="8"/>
      <c r="I265" s="8"/>
      <c r="J265" s="8"/>
      <c r="K265" s="31"/>
    </row>
    <row r="266" spans="1:11" x14ac:dyDescent="0.25">
      <c r="A266" s="172"/>
      <c r="B266" s="42"/>
      <c r="C266" s="237"/>
      <c r="D266" s="42"/>
      <c r="E266" s="42"/>
      <c r="F266" s="42"/>
      <c r="H266" s="8"/>
      <c r="I266" s="8"/>
      <c r="J266" s="8"/>
      <c r="K266" s="31"/>
    </row>
    <row r="267" spans="1:11" x14ac:dyDescent="0.25">
      <c r="A267" s="172"/>
      <c r="B267" s="42"/>
      <c r="C267" s="237"/>
      <c r="D267" s="42"/>
      <c r="E267" s="42"/>
      <c r="F267" s="42"/>
      <c r="H267" s="8"/>
      <c r="I267" s="8"/>
      <c r="J267" s="8"/>
      <c r="K267" s="31"/>
    </row>
    <row r="268" spans="1:11" x14ac:dyDescent="0.25">
      <c r="A268" s="172"/>
      <c r="B268" s="42"/>
      <c r="C268" s="237"/>
      <c r="D268" s="42"/>
      <c r="E268" s="42"/>
      <c r="F268" s="42"/>
      <c r="G268" s="185"/>
      <c r="H268" s="172"/>
      <c r="I268" s="172"/>
      <c r="J268" s="172"/>
    </row>
    <row r="269" spans="1:11" x14ac:dyDescent="0.25">
      <c r="A269" s="172"/>
      <c r="B269" s="42"/>
      <c r="C269" s="237"/>
      <c r="D269" s="42"/>
      <c r="E269" s="42"/>
      <c r="F269" s="42"/>
      <c r="G269" s="185"/>
      <c r="H269" s="172"/>
      <c r="I269" s="172"/>
      <c r="J269" s="172"/>
    </row>
    <row r="270" spans="1:11" x14ac:dyDescent="0.25">
      <c r="A270" s="172"/>
      <c r="B270" s="42"/>
      <c r="C270" s="237"/>
      <c r="D270" s="42"/>
      <c r="E270" s="42"/>
      <c r="F270" s="42"/>
      <c r="G270" s="185"/>
      <c r="H270" s="172"/>
      <c r="I270" s="172"/>
      <c r="J270" s="172"/>
    </row>
    <row r="271" spans="1:11" x14ac:dyDescent="0.25">
      <c r="A271" s="172"/>
      <c r="B271" s="42"/>
      <c r="C271" s="237"/>
      <c r="D271" s="42"/>
      <c r="E271" s="42"/>
      <c r="F271" s="42"/>
      <c r="G271" s="185"/>
      <c r="H271" s="172"/>
      <c r="I271" s="172"/>
      <c r="J271" s="172"/>
    </row>
    <row r="272" spans="1:11" x14ac:dyDescent="0.25">
      <c r="A272" s="172"/>
      <c r="B272" s="42"/>
      <c r="C272" s="237"/>
      <c r="D272" s="42"/>
      <c r="E272" s="42"/>
      <c r="F272" s="42"/>
      <c r="G272" s="185"/>
      <c r="H272" s="172"/>
      <c r="I272" s="172"/>
      <c r="J272" s="172"/>
    </row>
    <row r="273" spans="1:10" x14ac:dyDescent="0.25">
      <c r="A273" s="172"/>
      <c r="B273" s="42"/>
      <c r="C273" s="237"/>
      <c r="D273" s="42"/>
      <c r="E273" s="42"/>
      <c r="F273" s="42"/>
      <c r="G273" s="185"/>
      <c r="H273" s="172"/>
      <c r="I273" s="172"/>
      <c r="J273" s="172"/>
    </row>
    <row r="274" spans="1:10" x14ac:dyDescent="0.25">
      <c r="A274" s="172"/>
      <c r="B274" s="42"/>
      <c r="C274" s="237"/>
      <c r="D274" s="42"/>
      <c r="E274" s="42"/>
      <c r="F274" s="42"/>
      <c r="G274" s="185"/>
      <c r="H274" s="172"/>
      <c r="I274" s="172"/>
      <c r="J274" s="172"/>
    </row>
    <row r="275" spans="1:10" x14ac:dyDescent="0.25">
      <c r="A275" s="172"/>
      <c r="B275" s="42"/>
      <c r="C275" s="237"/>
      <c r="D275" s="42"/>
      <c r="E275" s="42"/>
      <c r="F275" s="42"/>
      <c r="G275" s="185"/>
      <c r="H275" s="172"/>
      <c r="I275" s="172"/>
      <c r="J275" s="172"/>
    </row>
    <row r="276" spans="1:10" x14ac:dyDescent="0.25">
      <c r="A276" s="172"/>
      <c r="B276" s="42"/>
      <c r="C276" s="237"/>
      <c r="D276" s="42"/>
      <c r="E276" s="42"/>
      <c r="F276" s="42"/>
      <c r="G276" s="185"/>
      <c r="H276" s="172"/>
      <c r="I276" s="172"/>
      <c r="J276" s="172"/>
    </row>
    <row r="277" spans="1:10" x14ac:dyDescent="0.25">
      <c r="A277" s="172"/>
      <c r="B277" s="42"/>
      <c r="C277" s="237"/>
      <c r="D277" s="42"/>
      <c r="E277" s="42"/>
      <c r="F277" s="42"/>
      <c r="G277" s="185"/>
      <c r="H277" s="172"/>
      <c r="I277" s="172"/>
      <c r="J277" s="172"/>
    </row>
    <row r="278" spans="1:10" x14ac:dyDescent="0.25">
      <c r="A278" s="172"/>
      <c r="B278" s="42"/>
      <c r="C278" s="237"/>
      <c r="D278" s="42"/>
      <c r="E278" s="42"/>
      <c r="F278" s="42"/>
      <c r="G278" s="185"/>
      <c r="H278" s="172"/>
      <c r="I278" s="172"/>
      <c r="J278" s="172"/>
    </row>
    <row r="279" spans="1:10" x14ac:dyDescent="0.25">
      <c r="A279" s="172"/>
      <c r="B279" s="42"/>
      <c r="C279" s="237"/>
      <c r="D279" s="42"/>
      <c r="E279" s="42"/>
      <c r="F279" s="42"/>
      <c r="G279" s="185"/>
      <c r="H279" s="172"/>
      <c r="I279" s="172"/>
      <c r="J279" s="172"/>
    </row>
    <row r="280" spans="1:10" x14ac:dyDescent="0.25">
      <c r="A280" s="172"/>
      <c r="B280" s="42"/>
      <c r="C280" s="237"/>
      <c r="D280" s="42"/>
      <c r="E280" s="42"/>
      <c r="F280" s="42"/>
      <c r="G280" s="185"/>
      <c r="H280" s="172"/>
      <c r="I280" s="172"/>
      <c r="J280" s="172"/>
    </row>
    <row r="281" spans="1:10" x14ac:dyDescent="0.25">
      <c r="A281" s="172"/>
      <c r="B281" s="42"/>
      <c r="C281" s="237"/>
      <c r="D281" s="42"/>
      <c r="E281" s="42"/>
      <c r="F281" s="42"/>
      <c r="G281" s="185"/>
      <c r="H281" s="172"/>
      <c r="I281" s="172"/>
      <c r="J281" s="172"/>
    </row>
    <row r="282" spans="1:10" x14ac:dyDescent="0.25">
      <c r="A282" s="172"/>
      <c r="B282" s="42"/>
      <c r="C282" s="237"/>
      <c r="D282" s="42"/>
      <c r="E282" s="42"/>
      <c r="F282" s="42"/>
      <c r="G282" s="185"/>
      <c r="H282" s="172"/>
      <c r="I282" s="172"/>
      <c r="J282" s="172"/>
    </row>
    <row r="283" spans="1:10" x14ac:dyDescent="0.25">
      <c r="A283" s="172"/>
      <c r="B283" s="42"/>
      <c r="C283" s="237"/>
      <c r="D283" s="42"/>
      <c r="E283" s="42"/>
      <c r="F283" s="42"/>
      <c r="G283" s="185"/>
      <c r="H283" s="172"/>
      <c r="I283" s="172"/>
      <c r="J283" s="172"/>
    </row>
    <row r="284" spans="1:10" x14ac:dyDescent="0.25">
      <c r="A284" s="172"/>
      <c r="B284" s="42"/>
      <c r="C284" s="237"/>
      <c r="D284" s="42"/>
      <c r="E284" s="42"/>
      <c r="F284" s="42"/>
      <c r="G284" s="185"/>
      <c r="H284" s="172"/>
      <c r="I284" s="172"/>
      <c r="J284" s="172"/>
    </row>
    <row r="285" spans="1:10" x14ac:dyDescent="0.25">
      <c r="A285" s="172"/>
      <c r="B285" s="42"/>
      <c r="C285" s="237"/>
      <c r="D285" s="42"/>
      <c r="E285" s="42"/>
      <c r="F285" s="42"/>
      <c r="G285" s="185"/>
      <c r="H285" s="172"/>
      <c r="I285" s="172"/>
      <c r="J285" s="172"/>
    </row>
    <row r="286" spans="1:10" x14ac:dyDescent="0.25">
      <c r="A286" s="172"/>
      <c r="B286" s="42"/>
      <c r="C286" s="237"/>
      <c r="D286" s="42"/>
      <c r="E286" s="42"/>
      <c r="F286" s="42"/>
      <c r="G286" s="185"/>
      <c r="H286" s="172"/>
      <c r="I286" s="172"/>
      <c r="J286" s="172"/>
    </row>
    <row r="287" spans="1:10" x14ac:dyDescent="0.25">
      <c r="A287" s="172"/>
      <c r="B287" s="42"/>
      <c r="C287" s="237"/>
      <c r="D287" s="42"/>
      <c r="E287" s="42"/>
      <c r="F287" s="42"/>
      <c r="G287" s="185"/>
      <c r="H287" s="172"/>
      <c r="I287" s="172"/>
      <c r="J287" s="172"/>
    </row>
    <row r="288" spans="1:10" x14ac:dyDescent="0.25">
      <c r="A288" s="172"/>
      <c r="B288" s="42"/>
      <c r="C288" s="237"/>
      <c r="D288" s="42"/>
      <c r="E288" s="42"/>
      <c r="F288" s="42"/>
      <c r="G288" s="185"/>
      <c r="H288" s="172"/>
      <c r="I288" s="172"/>
      <c r="J288" s="172"/>
    </row>
    <row r="289" spans="1:10" x14ac:dyDescent="0.25">
      <c r="A289" s="172"/>
      <c r="B289" s="42"/>
      <c r="C289" s="237"/>
      <c r="D289" s="42"/>
      <c r="E289" s="42"/>
      <c r="F289" s="42"/>
      <c r="G289" s="185"/>
      <c r="H289" s="172"/>
      <c r="I289" s="172"/>
      <c r="J289" s="172"/>
    </row>
    <row r="290" spans="1:10" x14ac:dyDescent="0.25">
      <c r="A290" s="172"/>
      <c r="B290" s="42"/>
      <c r="C290" s="237"/>
      <c r="D290" s="42"/>
      <c r="E290" s="42"/>
      <c r="F290" s="42"/>
      <c r="G290" s="185"/>
      <c r="H290" s="172"/>
      <c r="I290" s="172"/>
      <c r="J290" s="172"/>
    </row>
    <row r="291" spans="1:10" x14ac:dyDescent="0.25">
      <c r="A291" s="172"/>
      <c r="B291" s="42"/>
      <c r="C291" s="237"/>
      <c r="D291" s="42"/>
      <c r="E291" s="42"/>
      <c r="F291" s="42"/>
      <c r="G291" s="185"/>
      <c r="H291" s="172"/>
      <c r="I291" s="172"/>
      <c r="J291" s="172"/>
    </row>
    <row r="292" spans="1:10" x14ac:dyDescent="0.25">
      <c r="A292" s="172"/>
      <c r="B292" s="42"/>
      <c r="C292" s="237"/>
      <c r="D292" s="42"/>
      <c r="E292" s="42"/>
      <c r="F292" s="42"/>
      <c r="G292" s="185"/>
      <c r="H292" s="172"/>
      <c r="I292" s="172"/>
      <c r="J292" s="172"/>
    </row>
    <row r="293" spans="1:10" x14ac:dyDescent="0.25">
      <c r="A293" s="172"/>
      <c r="B293" s="42"/>
      <c r="C293" s="237"/>
      <c r="D293" s="42"/>
      <c r="E293" s="42"/>
      <c r="F293" s="42"/>
      <c r="G293" s="185"/>
      <c r="H293" s="172"/>
      <c r="I293" s="172"/>
      <c r="J293" s="172"/>
    </row>
    <row r="294" spans="1:10" x14ac:dyDescent="0.25">
      <c r="A294" s="172"/>
      <c r="B294" s="42"/>
      <c r="C294" s="237"/>
      <c r="D294" s="42"/>
      <c r="E294" s="42"/>
      <c r="F294" s="42"/>
      <c r="G294" s="185"/>
      <c r="H294" s="172"/>
      <c r="I294" s="172"/>
      <c r="J294" s="172"/>
    </row>
    <row r="295" spans="1:10" x14ac:dyDescent="0.25">
      <c r="A295" s="172"/>
      <c r="B295" s="42"/>
      <c r="C295" s="237"/>
      <c r="D295" s="42"/>
      <c r="E295" s="42"/>
      <c r="F295" s="42"/>
      <c r="G295" s="185"/>
      <c r="H295" s="172"/>
      <c r="I295" s="172"/>
      <c r="J295" s="172"/>
    </row>
    <row r="296" spans="1:10" x14ac:dyDescent="0.25">
      <c r="A296" s="172"/>
      <c r="B296" s="42"/>
      <c r="C296" s="237"/>
      <c r="D296" s="42"/>
      <c r="E296" s="42"/>
      <c r="F296" s="42"/>
      <c r="G296" s="185"/>
      <c r="H296" s="172"/>
      <c r="I296" s="172"/>
      <c r="J296" s="172"/>
    </row>
    <row r="297" spans="1:10" x14ac:dyDescent="0.25">
      <c r="A297" s="172"/>
      <c r="B297" s="42"/>
      <c r="C297" s="237"/>
      <c r="D297" s="42"/>
      <c r="E297" s="42"/>
      <c r="F297" s="42"/>
      <c r="G297" s="185"/>
      <c r="H297" s="172"/>
      <c r="I297" s="172"/>
      <c r="J297" s="172"/>
    </row>
    <row r="298" spans="1:10" x14ac:dyDescent="0.25">
      <c r="A298" s="172"/>
      <c r="B298" s="42"/>
      <c r="C298" s="237"/>
      <c r="D298" s="42"/>
      <c r="E298" s="42"/>
      <c r="F298" s="42"/>
      <c r="G298" s="185"/>
      <c r="H298" s="172"/>
      <c r="I298" s="172"/>
      <c r="J298" s="172"/>
    </row>
    <row r="299" spans="1:10" x14ac:dyDescent="0.25">
      <c r="A299" s="172"/>
      <c r="B299" s="42"/>
      <c r="C299" s="237"/>
      <c r="D299" s="42"/>
      <c r="E299" s="42"/>
      <c r="F299" s="42"/>
      <c r="G299" s="185"/>
      <c r="H299" s="172"/>
      <c r="I299" s="172"/>
      <c r="J299" s="172"/>
    </row>
    <row r="300" spans="1:10" x14ac:dyDescent="0.25">
      <c r="A300" s="172"/>
      <c r="B300" s="42"/>
      <c r="C300" s="237"/>
      <c r="D300" s="42"/>
      <c r="E300" s="42"/>
      <c r="F300" s="42"/>
      <c r="G300" s="185"/>
      <c r="H300" s="172"/>
      <c r="I300" s="172"/>
      <c r="J300" s="172"/>
    </row>
    <row r="301" spans="1:10" x14ac:dyDescent="0.25">
      <c r="A301" s="172"/>
      <c r="B301" s="42"/>
      <c r="C301" s="237"/>
      <c r="D301" s="42"/>
      <c r="E301" s="42"/>
      <c r="F301" s="42"/>
      <c r="G301" s="185"/>
      <c r="H301" s="172"/>
      <c r="I301" s="172"/>
      <c r="J301" s="172"/>
    </row>
    <row r="302" spans="1:10" x14ac:dyDescent="0.25">
      <c r="A302" s="172"/>
      <c r="B302" s="42"/>
      <c r="C302" s="237"/>
      <c r="D302" s="42"/>
      <c r="E302" s="42"/>
      <c r="F302" s="42"/>
      <c r="G302" s="185"/>
      <c r="H302" s="172"/>
      <c r="I302" s="172"/>
      <c r="J302" s="172"/>
    </row>
    <row r="303" spans="1:10" x14ac:dyDescent="0.25">
      <c r="A303" s="172"/>
      <c r="B303" s="42"/>
      <c r="C303" s="237"/>
      <c r="D303" s="42"/>
      <c r="E303" s="42"/>
      <c r="F303" s="42"/>
      <c r="G303" s="185"/>
      <c r="H303" s="172"/>
      <c r="I303" s="172"/>
      <c r="J303" s="172"/>
    </row>
    <row r="304" spans="1:10" x14ac:dyDescent="0.25">
      <c r="A304" s="172"/>
      <c r="B304" s="42"/>
      <c r="C304" s="237"/>
      <c r="D304" s="42"/>
      <c r="E304" s="42"/>
      <c r="F304" s="42"/>
      <c r="G304" s="185"/>
      <c r="H304" s="172"/>
      <c r="I304" s="172"/>
      <c r="J304" s="172"/>
    </row>
    <row r="305" spans="1:10" x14ac:dyDescent="0.25">
      <c r="A305" s="172"/>
      <c r="B305" s="42"/>
      <c r="C305" s="237"/>
      <c r="D305" s="42"/>
      <c r="E305" s="42"/>
      <c r="F305" s="42"/>
      <c r="G305" s="185"/>
      <c r="H305" s="172"/>
      <c r="I305" s="172"/>
      <c r="J305" s="172"/>
    </row>
    <row r="306" spans="1:10" x14ac:dyDescent="0.25">
      <c r="A306" s="172"/>
      <c r="B306" s="42"/>
      <c r="C306" s="237"/>
      <c r="D306" s="42"/>
      <c r="E306" s="42"/>
      <c r="F306" s="42"/>
      <c r="G306" s="185"/>
      <c r="H306" s="172"/>
      <c r="I306" s="172"/>
      <c r="J306" s="172"/>
    </row>
    <row r="307" spans="1:10" x14ac:dyDescent="0.25">
      <c r="A307" s="172"/>
      <c r="B307" s="42"/>
      <c r="C307" s="237"/>
      <c r="D307" s="42"/>
      <c r="E307" s="42"/>
      <c r="F307" s="42"/>
      <c r="G307" s="185"/>
      <c r="H307" s="172"/>
      <c r="I307" s="172"/>
      <c r="J307" s="172"/>
    </row>
    <row r="308" spans="1:10" x14ac:dyDescent="0.25">
      <c r="A308" s="172"/>
      <c r="B308" s="42"/>
      <c r="C308" s="237"/>
      <c r="D308" s="42"/>
      <c r="E308" s="42"/>
      <c r="F308" s="42"/>
      <c r="G308" s="185"/>
      <c r="H308" s="172"/>
      <c r="I308" s="172"/>
      <c r="J308" s="172"/>
    </row>
    <row r="309" spans="1:10" x14ac:dyDescent="0.25">
      <c r="A309" s="172"/>
      <c r="B309" s="42"/>
      <c r="C309" s="237"/>
      <c r="D309" s="42"/>
      <c r="E309" s="42"/>
      <c r="F309" s="42"/>
      <c r="G309" s="185"/>
      <c r="H309" s="172"/>
      <c r="I309" s="172"/>
      <c r="J309" s="172"/>
    </row>
    <row r="310" spans="1:10" x14ac:dyDescent="0.25">
      <c r="A310" s="172"/>
      <c r="B310" s="42"/>
      <c r="C310" s="237"/>
      <c r="D310" s="42"/>
      <c r="E310" s="42"/>
      <c r="F310" s="42"/>
      <c r="G310" s="185"/>
      <c r="H310" s="172"/>
      <c r="I310" s="172"/>
      <c r="J310" s="172"/>
    </row>
    <row r="311" spans="1:10" x14ac:dyDescent="0.25">
      <c r="A311" s="172"/>
      <c r="B311" s="42"/>
      <c r="C311" s="237"/>
      <c r="D311" s="42"/>
      <c r="E311" s="42"/>
      <c r="F311" s="42"/>
      <c r="G311" s="185"/>
      <c r="H311" s="172"/>
      <c r="I311" s="172"/>
      <c r="J311" s="172"/>
    </row>
    <row r="312" spans="1:10" x14ac:dyDescent="0.25">
      <c r="A312" s="172"/>
      <c r="B312" s="42"/>
      <c r="C312" s="237"/>
      <c r="D312" s="42"/>
      <c r="E312" s="42"/>
      <c r="F312" s="42"/>
      <c r="G312" s="185"/>
      <c r="H312" s="172"/>
      <c r="I312" s="172"/>
      <c r="J312" s="172"/>
    </row>
    <row r="313" spans="1:10" x14ac:dyDescent="0.25">
      <c r="A313" s="172"/>
      <c r="B313" s="42"/>
      <c r="C313" s="237"/>
      <c r="D313" s="42"/>
      <c r="E313" s="42"/>
      <c r="F313" s="42"/>
      <c r="G313" s="185"/>
      <c r="H313" s="172"/>
      <c r="I313" s="172"/>
      <c r="J313" s="172"/>
    </row>
    <row r="314" spans="1:10" x14ac:dyDescent="0.25">
      <c r="A314" s="172"/>
      <c r="B314" s="42"/>
      <c r="C314" s="237"/>
      <c r="D314" s="42"/>
      <c r="E314" s="42"/>
      <c r="F314" s="42"/>
      <c r="G314" s="185"/>
      <c r="H314" s="172"/>
      <c r="I314" s="172"/>
      <c r="J314" s="172"/>
    </row>
    <row r="315" spans="1:10" x14ac:dyDescent="0.25">
      <c r="A315" s="172"/>
      <c r="B315" s="42"/>
      <c r="C315" s="237"/>
      <c r="D315" s="42"/>
      <c r="E315" s="42"/>
      <c r="F315" s="42"/>
      <c r="G315" s="185"/>
      <c r="H315" s="172"/>
      <c r="I315" s="172"/>
      <c r="J315" s="172"/>
    </row>
    <row r="316" spans="1:10" x14ac:dyDescent="0.25">
      <c r="A316" s="172"/>
      <c r="B316" s="42"/>
      <c r="C316" s="237"/>
      <c r="D316" s="42"/>
      <c r="E316" s="42"/>
      <c r="F316" s="42"/>
      <c r="G316" s="185"/>
      <c r="H316" s="172"/>
      <c r="I316" s="172"/>
      <c r="J316" s="172"/>
    </row>
    <row r="317" spans="1:10" x14ac:dyDescent="0.25">
      <c r="A317" s="172"/>
      <c r="B317" s="42"/>
      <c r="C317" s="237"/>
      <c r="D317" s="42"/>
      <c r="E317" s="42"/>
      <c r="F317" s="42"/>
      <c r="G317" s="185"/>
      <c r="H317" s="172"/>
      <c r="I317" s="172"/>
      <c r="J317" s="172"/>
    </row>
    <row r="318" spans="1:10" x14ac:dyDescent="0.25">
      <c r="A318" s="172"/>
      <c r="B318" s="42"/>
      <c r="C318" s="237"/>
      <c r="D318" s="42"/>
      <c r="E318" s="42"/>
      <c r="F318" s="42"/>
      <c r="G318" s="185"/>
      <c r="H318" s="172"/>
      <c r="I318" s="172"/>
      <c r="J318" s="172"/>
    </row>
    <row r="319" spans="1:10" x14ac:dyDescent="0.25">
      <c r="A319" s="172"/>
      <c r="B319" s="42"/>
      <c r="C319" s="237"/>
      <c r="D319" s="42"/>
      <c r="E319" s="42"/>
      <c r="F319" s="42"/>
      <c r="G319" s="185"/>
      <c r="H319" s="172"/>
      <c r="I319" s="172"/>
      <c r="J319" s="172"/>
    </row>
    <row r="320" spans="1:10" x14ac:dyDescent="0.25">
      <c r="A320" s="172"/>
      <c r="B320" s="42"/>
      <c r="C320" s="237"/>
      <c r="D320" s="42"/>
      <c r="E320" s="42"/>
      <c r="F320" s="42"/>
      <c r="G320" s="185"/>
      <c r="H320" s="172"/>
      <c r="I320" s="172"/>
      <c r="J320" s="172"/>
    </row>
    <row r="321" spans="1:10" x14ac:dyDescent="0.25">
      <c r="A321" s="172"/>
      <c r="B321" s="42"/>
      <c r="C321" s="237"/>
      <c r="D321" s="42"/>
      <c r="E321" s="42"/>
      <c r="F321" s="42"/>
      <c r="G321" s="185"/>
      <c r="H321" s="172"/>
      <c r="I321" s="172"/>
      <c r="J321" s="172"/>
    </row>
    <row r="322" spans="1:10" x14ac:dyDescent="0.25">
      <c r="A322" s="172"/>
      <c r="B322" s="42"/>
      <c r="C322" s="237"/>
      <c r="D322" s="42"/>
      <c r="E322" s="42"/>
      <c r="F322" s="42"/>
      <c r="G322" s="185"/>
      <c r="H322" s="172"/>
      <c r="I322" s="172"/>
      <c r="J322" s="172"/>
    </row>
    <row r="323" spans="1:10" x14ac:dyDescent="0.25">
      <c r="A323" s="172"/>
      <c r="B323" s="42"/>
      <c r="C323" s="237"/>
      <c r="D323" s="42"/>
      <c r="E323" s="42"/>
      <c r="F323" s="42"/>
      <c r="G323" s="185"/>
      <c r="H323" s="172"/>
      <c r="I323" s="172"/>
      <c r="J323" s="172"/>
    </row>
    <row r="324" spans="1:10" x14ac:dyDescent="0.25">
      <c r="A324" s="172"/>
      <c r="B324" s="42"/>
      <c r="C324" s="237"/>
      <c r="D324" s="42"/>
      <c r="E324" s="42"/>
      <c r="F324" s="42"/>
      <c r="G324" s="185"/>
      <c r="H324" s="172"/>
      <c r="I324" s="172"/>
      <c r="J324" s="172"/>
    </row>
    <row r="325" spans="1:10" x14ac:dyDescent="0.25">
      <c r="A325" s="172"/>
      <c r="B325" s="42"/>
      <c r="C325" s="237"/>
      <c r="D325" s="42"/>
      <c r="E325" s="42"/>
      <c r="F325" s="42"/>
      <c r="G325" s="185"/>
      <c r="H325" s="172"/>
      <c r="I325" s="172"/>
      <c r="J325" s="172"/>
    </row>
    <row r="326" spans="1:10" x14ac:dyDescent="0.25">
      <c r="A326" s="172"/>
      <c r="B326" s="42"/>
      <c r="C326" s="237"/>
      <c r="D326" s="42"/>
      <c r="E326" s="42"/>
      <c r="F326" s="42"/>
      <c r="G326" s="185"/>
      <c r="H326" s="172"/>
      <c r="I326" s="172"/>
      <c r="J326" s="172"/>
    </row>
    <row r="327" spans="1:10" x14ac:dyDescent="0.25">
      <c r="A327" s="172"/>
      <c r="B327" s="42"/>
      <c r="C327" s="237"/>
      <c r="D327" s="42"/>
      <c r="E327" s="42"/>
      <c r="F327" s="42"/>
      <c r="G327" s="185"/>
      <c r="H327" s="172"/>
      <c r="I327" s="172"/>
      <c r="J327" s="172"/>
    </row>
    <row r="328" spans="1:10" x14ac:dyDescent="0.25">
      <c r="A328" s="172"/>
      <c r="B328" s="42"/>
      <c r="C328" s="237"/>
      <c r="D328" s="42"/>
      <c r="E328" s="42"/>
      <c r="F328" s="42"/>
      <c r="G328" s="185"/>
      <c r="H328" s="172"/>
      <c r="I328" s="172"/>
      <c r="J328" s="172"/>
    </row>
    <row r="329" spans="1:10" x14ac:dyDescent="0.25">
      <c r="A329" s="172"/>
      <c r="B329" s="42"/>
      <c r="C329" s="237"/>
      <c r="D329" s="42"/>
      <c r="E329" s="42"/>
      <c r="F329" s="42"/>
      <c r="G329" s="185"/>
      <c r="H329" s="172"/>
      <c r="I329" s="172"/>
      <c r="J329" s="172"/>
    </row>
    <row r="330" spans="1:10" x14ac:dyDescent="0.25">
      <c r="A330" s="172"/>
      <c r="B330" s="42"/>
      <c r="C330" s="237"/>
      <c r="D330" s="42"/>
      <c r="E330" s="42"/>
      <c r="F330" s="42"/>
      <c r="G330" s="185"/>
      <c r="H330" s="172"/>
      <c r="I330" s="172"/>
      <c r="J330" s="172"/>
    </row>
    <row r="331" spans="1:10" x14ac:dyDescent="0.25">
      <c r="A331" s="172"/>
      <c r="B331" s="42"/>
      <c r="C331" s="237"/>
      <c r="D331" s="42"/>
      <c r="E331" s="42"/>
      <c r="F331" s="42"/>
      <c r="G331" s="185"/>
      <c r="H331" s="172"/>
      <c r="I331" s="172"/>
      <c r="J331" s="172"/>
    </row>
    <row r="332" spans="1:10" x14ac:dyDescent="0.25">
      <c r="A332" s="172"/>
      <c r="B332" s="42"/>
      <c r="C332" s="237"/>
      <c r="D332" s="42"/>
      <c r="E332" s="42"/>
      <c r="F332" s="42"/>
      <c r="G332" s="185"/>
      <c r="H332" s="172"/>
      <c r="I332" s="172"/>
      <c r="J332" s="172"/>
    </row>
    <row r="333" spans="1:10" x14ac:dyDescent="0.25">
      <c r="A333" s="172"/>
      <c r="B333" s="42"/>
      <c r="C333" s="237"/>
      <c r="D333" s="42"/>
      <c r="E333" s="42"/>
      <c r="F333" s="42"/>
      <c r="G333" s="185"/>
      <c r="H333" s="172"/>
      <c r="I333" s="172"/>
      <c r="J333" s="172"/>
    </row>
    <row r="334" spans="1:10" x14ac:dyDescent="0.25">
      <c r="A334" s="172"/>
      <c r="B334" s="42"/>
      <c r="C334" s="237"/>
      <c r="D334" s="42"/>
      <c r="E334" s="42"/>
      <c r="F334" s="42"/>
      <c r="G334" s="185"/>
      <c r="H334" s="172"/>
      <c r="I334" s="172"/>
      <c r="J334" s="172"/>
    </row>
    <row r="335" spans="1:10" x14ac:dyDescent="0.25">
      <c r="A335" s="172"/>
      <c r="B335" s="42"/>
      <c r="C335" s="237"/>
      <c r="D335" s="42"/>
      <c r="E335" s="42"/>
      <c r="F335" s="42"/>
      <c r="G335" s="185"/>
      <c r="H335" s="172"/>
      <c r="I335" s="172"/>
      <c r="J335" s="172"/>
    </row>
    <row r="336" spans="1:10" x14ac:dyDescent="0.25">
      <c r="A336" s="172"/>
      <c r="B336" s="42"/>
      <c r="C336" s="237"/>
      <c r="D336" s="42"/>
      <c r="E336" s="42"/>
      <c r="F336" s="42"/>
      <c r="G336" s="185"/>
      <c r="H336" s="172"/>
      <c r="I336" s="172"/>
      <c r="J336" s="172"/>
    </row>
    <row r="337" spans="1:10" x14ac:dyDescent="0.25">
      <c r="A337" s="172"/>
      <c r="B337" s="42"/>
      <c r="C337" s="237"/>
      <c r="D337" s="42"/>
      <c r="E337" s="42"/>
      <c r="F337" s="42"/>
      <c r="G337" s="185"/>
      <c r="H337" s="172"/>
      <c r="I337" s="172"/>
      <c r="J337" s="172"/>
    </row>
    <row r="338" spans="1:10" x14ac:dyDescent="0.25">
      <c r="A338" s="172"/>
      <c r="B338" s="42"/>
      <c r="C338" s="237"/>
      <c r="D338" s="42"/>
      <c r="E338" s="42"/>
      <c r="F338" s="42"/>
      <c r="G338" s="185"/>
      <c r="H338" s="172"/>
      <c r="I338" s="172"/>
      <c r="J338" s="172"/>
    </row>
    <row r="339" spans="1:10" x14ac:dyDescent="0.25">
      <c r="A339" s="172"/>
      <c r="B339" s="42"/>
      <c r="C339" s="237"/>
      <c r="D339" s="42"/>
      <c r="E339" s="42"/>
      <c r="F339" s="42"/>
      <c r="G339" s="185"/>
      <c r="H339" s="172"/>
      <c r="I339" s="172"/>
      <c r="J339" s="172"/>
    </row>
    <row r="340" spans="1:10" x14ac:dyDescent="0.25">
      <c r="A340" s="172"/>
      <c r="B340" s="42"/>
      <c r="C340" s="237"/>
      <c r="D340" s="42"/>
      <c r="E340" s="42"/>
      <c r="F340" s="42"/>
      <c r="G340" s="185"/>
      <c r="H340" s="172"/>
      <c r="I340" s="172"/>
      <c r="J340" s="172"/>
    </row>
    <row r="341" spans="1:10" x14ac:dyDescent="0.25">
      <c r="A341" s="172"/>
      <c r="B341" s="42"/>
      <c r="C341" s="237"/>
      <c r="D341" s="42"/>
      <c r="E341" s="42"/>
      <c r="F341" s="42"/>
      <c r="G341" s="185"/>
      <c r="H341" s="172"/>
      <c r="I341" s="172"/>
      <c r="J341" s="172"/>
    </row>
    <row r="342" spans="1:10" x14ac:dyDescent="0.25">
      <c r="A342" s="172"/>
      <c r="B342" s="42"/>
      <c r="C342" s="237"/>
      <c r="D342" s="42"/>
      <c r="E342" s="42"/>
      <c r="F342" s="42"/>
      <c r="G342" s="185"/>
      <c r="H342" s="172"/>
      <c r="I342" s="172"/>
      <c r="J342" s="172"/>
    </row>
    <row r="343" spans="1:10" x14ac:dyDescent="0.25">
      <c r="A343" s="172"/>
      <c r="B343" s="42"/>
      <c r="C343" s="237"/>
      <c r="D343" s="42"/>
      <c r="E343" s="42"/>
      <c r="F343" s="42"/>
      <c r="G343" s="185"/>
      <c r="H343" s="172"/>
      <c r="I343" s="172"/>
      <c r="J343" s="172"/>
    </row>
    <row r="344" spans="1:10" x14ac:dyDescent="0.25">
      <c r="A344" s="172"/>
      <c r="B344" s="42"/>
      <c r="C344" s="237"/>
      <c r="D344" s="42"/>
      <c r="E344" s="42"/>
      <c r="F344" s="42"/>
      <c r="G344" s="185"/>
      <c r="H344" s="172"/>
      <c r="I344" s="172"/>
      <c r="J344" s="172"/>
    </row>
    <row r="345" spans="1:10" x14ac:dyDescent="0.25">
      <c r="A345" s="172"/>
      <c r="B345" s="42"/>
      <c r="C345" s="237"/>
      <c r="D345" s="42"/>
      <c r="E345" s="42"/>
      <c r="F345" s="42"/>
      <c r="G345" s="185"/>
      <c r="H345" s="172"/>
      <c r="I345" s="172"/>
      <c r="J345" s="172"/>
    </row>
    <row r="346" spans="1:10" x14ac:dyDescent="0.25">
      <c r="A346" s="172"/>
      <c r="B346" s="42"/>
      <c r="C346" s="237"/>
      <c r="D346" s="42"/>
      <c r="E346" s="42"/>
      <c r="F346" s="42"/>
      <c r="G346" s="185"/>
      <c r="H346" s="172"/>
      <c r="I346" s="172"/>
      <c r="J346" s="172"/>
    </row>
    <row r="347" spans="1:10" x14ac:dyDescent="0.25">
      <c r="A347" s="172"/>
      <c r="B347" s="42"/>
      <c r="C347" s="237"/>
      <c r="D347" s="42"/>
      <c r="E347" s="42"/>
      <c r="F347" s="42"/>
      <c r="G347" s="185"/>
      <c r="H347" s="172"/>
      <c r="I347" s="172"/>
      <c r="J347" s="172"/>
    </row>
    <row r="348" spans="1:10" x14ac:dyDescent="0.25">
      <c r="A348" s="172"/>
      <c r="B348" s="42"/>
      <c r="C348" s="237"/>
      <c r="D348" s="42"/>
      <c r="E348" s="42"/>
      <c r="F348" s="42"/>
      <c r="G348" s="185"/>
      <c r="H348" s="172"/>
      <c r="I348" s="172"/>
      <c r="J348" s="172"/>
    </row>
    <row r="349" spans="1:10" x14ac:dyDescent="0.25">
      <c r="A349" s="172"/>
      <c r="B349" s="42"/>
      <c r="C349" s="237"/>
      <c r="D349" s="42"/>
      <c r="E349" s="42"/>
      <c r="F349" s="42"/>
      <c r="G349" s="185"/>
      <c r="H349" s="172"/>
      <c r="I349" s="172"/>
      <c r="J349" s="172"/>
    </row>
    <row r="350" spans="1:10" x14ac:dyDescent="0.25">
      <c r="A350" s="172"/>
      <c r="B350" s="42"/>
      <c r="C350" s="237"/>
      <c r="D350" s="42"/>
      <c r="E350" s="42"/>
      <c r="F350" s="42"/>
      <c r="G350" s="185"/>
      <c r="H350" s="172"/>
      <c r="I350" s="172"/>
      <c r="J350" s="172"/>
    </row>
    <row r="351" spans="1:10" x14ac:dyDescent="0.25">
      <c r="A351" s="172"/>
      <c r="B351" s="42"/>
      <c r="C351" s="237"/>
      <c r="D351" s="42"/>
      <c r="E351" s="42"/>
      <c r="F351" s="42"/>
      <c r="G351" s="185"/>
      <c r="H351" s="172"/>
      <c r="I351" s="172"/>
      <c r="J351" s="172"/>
    </row>
    <row r="352" spans="1:10" x14ac:dyDescent="0.25">
      <c r="A352" s="172"/>
      <c r="B352" s="42"/>
      <c r="C352" s="237"/>
      <c r="D352" s="42"/>
      <c r="E352" s="42"/>
      <c r="F352" s="42"/>
      <c r="G352" s="185"/>
      <c r="H352" s="172"/>
      <c r="I352" s="172"/>
      <c r="J352" s="172"/>
    </row>
    <row r="353" spans="1:10" x14ac:dyDescent="0.25">
      <c r="A353" s="172"/>
      <c r="B353" s="42"/>
      <c r="C353" s="237"/>
      <c r="D353" s="42"/>
      <c r="E353" s="42"/>
      <c r="F353" s="42"/>
      <c r="G353" s="185"/>
      <c r="H353" s="172"/>
      <c r="I353" s="172"/>
      <c r="J353" s="172"/>
    </row>
    <row r="354" spans="1:10" x14ac:dyDescent="0.25">
      <c r="A354" s="172"/>
      <c r="B354" s="42"/>
      <c r="C354" s="237"/>
      <c r="D354" s="42"/>
      <c r="E354" s="42"/>
      <c r="F354" s="42"/>
      <c r="G354" s="185"/>
      <c r="H354" s="172"/>
      <c r="I354" s="172"/>
      <c r="J354" s="172"/>
    </row>
    <row r="355" spans="1:10" x14ac:dyDescent="0.25">
      <c r="A355" s="172"/>
      <c r="B355" s="42"/>
      <c r="C355" s="237"/>
      <c r="D355" s="42"/>
      <c r="E355" s="42"/>
      <c r="F355" s="42"/>
      <c r="G355" s="185"/>
      <c r="H355" s="172"/>
      <c r="I355" s="172"/>
      <c r="J355" s="172"/>
    </row>
    <row r="356" spans="1:10" x14ac:dyDescent="0.25">
      <c r="A356" s="172"/>
      <c r="B356" s="42"/>
      <c r="C356" s="237"/>
      <c r="D356" s="42"/>
      <c r="E356" s="42"/>
      <c r="F356" s="42"/>
      <c r="G356" s="185"/>
      <c r="H356" s="172"/>
      <c r="I356" s="172"/>
      <c r="J356" s="172"/>
    </row>
    <row r="357" spans="1:10" x14ac:dyDescent="0.25">
      <c r="A357" s="172"/>
      <c r="B357" s="42"/>
      <c r="C357" s="237"/>
      <c r="D357" s="42"/>
      <c r="E357" s="42"/>
      <c r="F357" s="42"/>
      <c r="G357" s="185"/>
      <c r="H357" s="172"/>
      <c r="I357" s="172"/>
      <c r="J357" s="172"/>
    </row>
    <row r="358" spans="1:10" x14ac:dyDescent="0.25">
      <c r="A358" s="172"/>
      <c r="B358" s="42"/>
      <c r="C358" s="237"/>
      <c r="D358" s="42"/>
      <c r="E358" s="42"/>
      <c r="F358" s="42"/>
      <c r="G358" s="185"/>
      <c r="H358" s="172"/>
      <c r="I358" s="172"/>
      <c r="J358" s="172"/>
    </row>
    <row r="359" spans="1:10" x14ac:dyDescent="0.25">
      <c r="A359" s="172"/>
      <c r="B359" s="42"/>
      <c r="C359" s="237"/>
      <c r="D359" s="42"/>
      <c r="E359" s="42"/>
      <c r="F359" s="42"/>
      <c r="G359" s="185"/>
      <c r="H359" s="172"/>
      <c r="I359" s="172"/>
      <c r="J359" s="172"/>
    </row>
    <row r="360" spans="1:10" x14ac:dyDescent="0.25">
      <c r="A360" s="172"/>
      <c r="B360" s="42"/>
      <c r="C360" s="237"/>
      <c r="D360" s="42"/>
      <c r="E360" s="42"/>
      <c r="F360" s="42"/>
      <c r="G360" s="185"/>
      <c r="H360" s="172"/>
      <c r="I360" s="172"/>
      <c r="J360" s="172"/>
    </row>
    <row r="361" spans="1:10" x14ac:dyDescent="0.25">
      <c r="A361" s="172"/>
      <c r="B361" s="42"/>
      <c r="C361" s="237"/>
      <c r="D361" s="42"/>
      <c r="E361" s="42"/>
      <c r="F361" s="42"/>
      <c r="G361" s="185"/>
      <c r="H361" s="172"/>
      <c r="I361" s="172"/>
      <c r="J361" s="172"/>
    </row>
    <row r="362" spans="1:10" x14ac:dyDescent="0.25">
      <c r="A362" s="172"/>
      <c r="B362" s="42"/>
      <c r="C362" s="237"/>
      <c r="D362" s="42"/>
      <c r="E362" s="42"/>
      <c r="F362" s="42"/>
      <c r="G362" s="185"/>
      <c r="H362" s="172"/>
      <c r="I362" s="172"/>
      <c r="J362" s="172"/>
    </row>
    <row r="363" spans="1:10" x14ac:dyDescent="0.25">
      <c r="A363" s="172"/>
      <c r="B363" s="42"/>
      <c r="C363" s="237"/>
      <c r="D363" s="42"/>
      <c r="E363" s="42"/>
      <c r="F363" s="42"/>
      <c r="G363" s="185"/>
      <c r="H363" s="172"/>
      <c r="I363" s="172"/>
      <c r="J363" s="172"/>
    </row>
    <row r="364" spans="1:10" x14ac:dyDescent="0.25">
      <c r="A364" s="172"/>
      <c r="B364" s="42"/>
      <c r="C364" s="237"/>
      <c r="D364" s="42"/>
      <c r="E364" s="42"/>
      <c r="F364" s="42"/>
      <c r="G364" s="185"/>
      <c r="H364" s="172"/>
      <c r="I364" s="172"/>
      <c r="J364" s="172"/>
    </row>
    <row r="365" spans="1:10" x14ac:dyDescent="0.25">
      <c r="A365" s="172"/>
      <c r="B365" s="42"/>
      <c r="C365" s="237"/>
      <c r="D365" s="42"/>
      <c r="E365" s="42"/>
      <c r="F365" s="42"/>
      <c r="G365" s="185"/>
      <c r="H365" s="172"/>
      <c r="I365" s="172"/>
      <c r="J365" s="172"/>
    </row>
    <row r="366" spans="1:10" x14ac:dyDescent="0.25">
      <c r="A366" s="172"/>
      <c r="B366" s="42"/>
      <c r="C366" s="237"/>
      <c r="D366" s="42"/>
      <c r="E366" s="42"/>
      <c r="F366" s="42"/>
      <c r="G366" s="185"/>
      <c r="H366" s="172"/>
      <c r="I366" s="172"/>
      <c r="J366" s="172"/>
    </row>
    <row r="367" spans="1:10" x14ac:dyDescent="0.25">
      <c r="A367" s="172"/>
      <c r="B367" s="42"/>
      <c r="C367" s="237"/>
      <c r="D367" s="42"/>
      <c r="E367" s="42"/>
      <c r="F367" s="42"/>
      <c r="G367" s="185"/>
      <c r="H367" s="172"/>
      <c r="I367" s="172"/>
      <c r="J367" s="172"/>
    </row>
    <row r="368" spans="1:10" x14ac:dyDescent="0.25">
      <c r="A368" s="172"/>
      <c r="B368" s="172"/>
      <c r="C368" s="237"/>
      <c r="D368" s="42"/>
      <c r="E368" s="42"/>
      <c r="F368" s="172"/>
      <c r="G368" s="185"/>
      <c r="H368" s="172"/>
      <c r="I368" s="172"/>
      <c r="J368" s="172"/>
    </row>
    <row r="369" spans="1:10" x14ac:dyDescent="0.25">
      <c r="A369" s="172"/>
      <c r="B369" s="172"/>
      <c r="C369" s="237"/>
      <c r="D369" s="42"/>
      <c r="E369" s="42"/>
      <c r="F369" s="172"/>
      <c r="G369" s="185"/>
      <c r="H369" s="172"/>
      <c r="I369" s="172"/>
      <c r="J369" s="172"/>
    </row>
    <row r="370" spans="1:10" x14ac:dyDescent="0.25">
      <c r="A370" s="172"/>
      <c r="B370" s="172"/>
      <c r="C370" s="237"/>
      <c r="D370" s="42"/>
      <c r="E370" s="42"/>
      <c r="F370" s="172"/>
      <c r="G370" s="185"/>
      <c r="H370" s="172"/>
      <c r="I370" s="172"/>
      <c r="J370" s="172"/>
    </row>
    <row r="371" spans="1:10" x14ac:dyDescent="0.25">
      <c r="A371" s="172"/>
      <c r="B371" s="172"/>
      <c r="C371" s="237"/>
      <c r="D371" s="42"/>
      <c r="E371" s="42"/>
      <c r="F371" s="172"/>
      <c r="G371" s="185"/>
      <c r="H371" s="172"/>
      <c r="I371" s="172"/>
      <c r="J371" s="172"/>
    </row>
    <row r="372" spans="1:10" x14ac:dyDescent="0.25">
      <c r="A372" s="172"/>
      <c r="B372" s="172"/>
      <c r="C372" s="237"/>
      <c r="D372" s="42"/>
      <c r="E372" s="42"/>
      <c r="F372" s="172"/>
      <c r="G372" s="185"/>
      <c r="H372" s="172"/>
      <c r="I372" s="172"/>
      <c r="J372" s="172"/>
    </row>
    <row r="373" spans="1:10" x14ac:dyDescent="0.25">
      <c r="A373" s="172"/>
      <c r="B373" s="172"/>
      <c r="C373" s="237"/>
      <c r="D373" s="42"/>
      <c r="E373" s="42"/>
      <c r="F373" s="172"/>
      <c r="G373" s="185"/>
      <c r="H373" s="172"/>
      <c r="I373" s="172"/>
      <c r="J373" s="172"/>
    </row>
    <row r="374" spans="1:10" x14ac:dyDescent="0.25">
      <c r="A374" s="172"/>
      <c r="B374" s="172"/>
      <c r="C374" s="237"/>
      <c r="D374" s="42"/>
      <c r="E374" s="42"/>
      <c r="F374" s="172"/>
      <c r="G374" s="185"/>
      <c r="H374" s="172"/>
      <c r="I374" s="172"/>
      <c r="J374" s="172"/>
    </row>
    <row r="375" spans="1:10" x14ac:dyDescent="0.25">
      <c r="A375" s="172"/>
      <c r="B375" s="172"/>
      <c r="C375" s="237"/>
      <c r="D375" s="42"/>
      <c r="E375" s="42"/>
      <c r="F375" s="172"/>
      <c r="G375" s="185"/>
      <c r="H375" s="172"/>
      <c r="I375" s="172"/>
      <c r="J375" s="172"/>
    </row>
    <row r="376" spans="1:10" x14ac:dyDescent="0.25">
      <c r="A376" s="172"/>
      <c r="B376" s="172"/>
      <c r="C376" s="237"/>
      <c r="D376" s="42"/>
      <c r="E376" s="42"/>
      <c r="F376" s="172"/>
      <c r="G376" s="185"/>
      <c r="H376" s="172"/>
      <c r="I376" s="172"/>
      <c r="J376" s="172"/>
    </row>
    <row r="377" spans="1:10" x14ac:dyDescent="0.25">
      <c r="A377" s="172"/>
      <c r="B377" s="172"/>
      <c r="C377" s="237"/>
      <c r="D377" s="42"/>
      <c r="E377" s="42"/>
      <c r="F377" s="172"/>
      <c r="G377" s="185"/>
      <c r="H377" s="172"/>
      <c r="I377" s="172"/>
      <c r="J377" s="172"/>
    </row>
    <row r="378" spans="1:10" x14ac:dyDescent="0.25">
      <c r="A378" s="172"/>
      <c r="B378" s="172"/>
      <c r="C378" s="237"/>
      <c r="D378" s="42"/>
      <c r="E378" s="42"/>
      <c r="F378" s="172"/>
      <c r="G378" s="185"/>
      <c r="H378" s="172"/>
      <c r="I378" s="172"/>
      <c r="J378" s="172"/>
    </row>
    <row r="379" spans="1:10" x14ac:dyDescent="0.25">
      <c r="A379" s="172"/>
      <c r="B379" s="172"/>
      <c r="C379" s="237"/>
      <c r="D379" s="42"/>
      <c r="E379" s="42"/>
      <c r="F379" s="172"/>
      <c r="G379" s="185"/>
      <c r="H379" s="172"/>
      <c r="I379" s="172"/>
      <c r="J379" s="172"/>
    </row>
    <row r="380" spans="1:10" x14ac:dyDescent="0.25">
      <c r="A380" s="172"/>
      <c r="B380" s="172"/>
      <c r="C380" s="237"/>
      <c r="D380" s="42"/>
      <c r="E380" s="42"/>
      <c r="F380" s="172"/>
      <c r="G380" s="185"/>
      <c r="H380" s="172"/>
      <c r="I380" s="172"/>
      <c r="J380" s="172"/>
    </row>
    <row r="381" spans="1:10" x14ac:dyDescent="0.25">
      <c r="A381" s="172"/>
      <c r="B381" s="172"/>
      <c r="C381" s="237"/>
      <c r="D381" s="42"/>
      <c r="E381" s="42"/>
      <c r="F381" s="172"/>
      <c r="G381" s="185"/>
      <c r="H381" s="172"/>
      <c r="I381" s="172"/>
      <c r="J381" s="172"/>
    </row>
    <row r="382" spans="1:10" x14ac:dyDescent="0.25">
      <c r="A382" s="172"/>
      <c r="B382" s="172"/>
      <c r="C382" s="237"/>
      <c r="D382" s="42"/>
      <c r="E382" s="42"/>
      <c r="F382" s="172"/>
      <c r="G382" s="185"/>
      <c r="H382" s="172"/>
      <c r="I382" s="172"/>
      <c r="J382" s="172"/>
    </row>
    <row r="383" spans="1:10" x14ac:dyDescent="0.25">
      <c r="A383" s="172"/>
      <c r="B383" s="172"/>
      <c r="C383" s="237"/>
      <c r="D383" s="42"/>
      <c r="E383" s="42"/>
      <c r="F383" s="172"/>
      <c r="G383" s="185"/>
      <c r="H383" s="172"/>
      <c r="I383" s="172"/>
      <c r="J383" s="172"/>
    </row>
    <row r="384" spans="1:10" x14ac:dyDescent="0.25">
      <c r="A384" s="172"/>
      <c r="B384" s="172"/>
      <c r="C384" s="237"/>
      <c r="D384" s="42"/>
      <c r="E384" s="42"/>
      <c r="F384" s="172"/>
      <c r="G384" s="185"/>
      <c r="H384" s="172"/>
      <c r="I384" s="172"/>
      <c r="J384" s="172"/>
    </row>
    <row r="385" spans="1:10" x14ac:dyDescent="0.25">
      <c r="A385" s="172"/>
      <c r="B385" s="172"/>
      <c r="C385" s="237"/>
      <c r="D385" s="42"/>
      <c r="E385" s="42"/>
      <c r="F385" s="172"/>
      <c r="G385" s="185"/>
      <c r="H385" s="172"/>
      <c r="I385" s="172"/>
      <c r="J385" s="172"/>
    </row>
    <row r="386" spans="1:10" x14ac:dyDescent="0.25">
      <c r="A386" s="172"/>
      <c r="B386" s="172"/>
      <c r="C386" s="237"/>
      <c r="D386" s="42"/>
      <c r="E386" s="42"/>
      <c r="F386" s="172"/>
      <c r="G386" s="185"/>
      <c r="H386" s="172"/>
      <c r="I386" s="172"/>
      <c r="J386" s="172"/>
    </row>
    <row r="387" spans="1:10" x14ac:dyDescent="0.25">
      <c r="A387" s="172"/>
      <c r="B387" s="172"/>
      <c r="C387" s="237"/>
      <c r="D387" s="42"/>
      <c r="E387" s="42"/>
      <c r="F387" s="172"/>
      <c r="G387" s="185"/>
      <c r="H387" s="172"/>
      <c r="I387" s="172"/>
      <c r="J387" s="172"/>
    </row>
    <row r="388" spans="1:10" x14ac:dyDescent="0.25">
      <c r="A388" s="172"/>
      <c r="B388" s="172"/>
      <c r="C388" s="237"/>
      <c r="D388" s="42"/>
      <c r="E388" s="42"/>
      <c r="F388" s="172"/>
      <c r="G388" s="185"/>
      <c r="H388" s="172"/>
      <c r="I388" s="172"/>
      <c r="J388" s="172"/>
    </row>
    <row r="389" spans="1:10" x14ac:dyDescent="0.25">
      <c r="A389" s="172"/>
      <c r="B389" s="172"/>
      <c r="C389" s="237"/>
      <c r="D389" s="42"/>
      <c r="E389" s="42"/>
      <c r="F389" s="172"/>
      <c r="G389" s="185"/>
      <c r="H389" s="172"/>
      <c r="I389" s="172"/>
      <c r="J389" s="172"/>
    </row>
    <row r="390" spans="1:10" x14ac:dyDescent="0.25">
      <c r="A390" s="172"/>
      <c r="B390" s="172"/>
      <c r="C390" s="237"/>
      <c r="D390" s="42"/>
      <c r="E390" s="42"/>
      <c r="F390" s="172"/>
      <c r="G390" s="185"/>
      <c r="H390" s="172"/>
      <c r="I390" s="172"/>
      <c r="J390" s="172"/>
    </row>
    <row r="391" spans="1:10" x14ac:dyDescent="0.25">
      <c r="A391" s="172"/>
      <c r="B391" s="172"/>
      <c r="C391" s="237"/>
      <c r="D391" s="42"/>
      <c r="E391" s="42"/>
      <c r="F391" s="172"/>
      <c r="G391" s="185"/>
      <c r="H391" s="172"/>
      <c r="I391" s="172"/>
      <c r="J391" s="172"/>
    </row>
    <row r="392" spans="1:10" x14ac:dyDescent="0.25">
      <c r="A392" s="172"/>
      <c r="B392" s="172"/>
      <c r="C392" s="237"/>
      <c r="D392" s="42"/>
      <c r="E392" s="42"/>
      <c r="F392" s="172"/>
      <c r="G392" s="185"/>
      <c r="H392" s="172"/>
      <c r="I392" s="172"/>
      <c r="J392" s="172"/>
    </row>
    <row r="393" spans="1:10" x14ac:dyDescent="0.25">
      <c r="A393" s="172"/>
      <c r="B393" s="172"/>
      <c r="C393" s="237"/>
      <c r="D393" s="42"/>
      <c r="E393" s="42"/>
      <c r="F393" s="172"/>
      <c r="G393" s="185"/>
      <c r="H393" s="172"/>
      <c r="I393" s="172"/>
      <c r="J393" s="172"/>
    </row>
    <row r="394" spans="1:10" x14ac:dyDescent="0.25">
      <c r="A394" s="172"/>
      <c r="B394" s="172"/>
      <c r="C394" s="237"/>
      <c r="D394" s="42"/>
      <c r="E394" s="42"/>
      <c r="F394" s="172"/>
      <c r="G394" s="185"/>
      <c r="H394" s="172"/>
      <c r="I394" s="172"/>
      <c r="J394" s="172"/>
    </row>
    <row r="395" spans="1:10" x14ac:dyDescent="0.25">
      <c r="A395" s="172"/>
      <c r="B395" s="172"/>
      <c r="C395" s="237"/>
      <c r="D395" s="42"/>
      <c r="E395" s="42"/>
      <c r="F395" s="172"/>
      <c r="G395" s="185"/>
      <c r="H395" s="172"/>
      <c r="I395" s="172"/>
      <c r="J395" s="172"/>
    </row>
    <row r="396" spans="1:10" x14ac:dyDescent="0.25">
      <c r="A396" s="172"/>
      <c r="B396" s="172"/>
      <c r="C396" s="237"/>
      <c r="D396" s="42"/>
      <c r="E396" s="42"/>
      <c r="F396" s="172"/>
      <c r="G396" s="185"/>
      <c r="H396" s="172"/>
      <c r="I396" s="172"/>
      <c r="J396" s="172"/>
    </row>
    <row r="397" spans="1:10" x14ac:dyDescent="0.25">
      <c r="A397" s="172"/>
      <c r="B397" s="172"/>
      <c r="C397" s="237"/>
      <c r="D397" s="42"/>
      <c r="E397" s="42"/>
      <c r="F397" s="172"/>
      <c r="G397" s="185"/>
      <c r="H397" s="172"/>
      <c r="I397" s="172"/>
      <c r="J397" s="172"/>
    </row>
    <row r="398" spans="1:10" x14ac:dyDescent="0.25">
      <c r="A398" s="172"/>
      <c r="B398" s="172"/>
      <c r="C398" s="237"/>
      <c r="D398" s="42"/>
      <c r="E398" s="42"/>
      <c r="F398" s="172"/>
      <c r="G398" s="185"/>
      <c r="H398" s="172"/>
      <c r="I398" s="172"/>
      <c r="J398" s="172"/>
    </row>
    <row r="399" spans="1:10" x14ac:dyDescent="0.25">
      <c r="A399" s="172"/>
      <c r="B399" s="172"/>
      <c r="C399" s="237"/>
      <c r="D399" s="42"/>
      <c r="E399" s="42"/>
      <c r="F399" s="172"/>
      <c r="G399" s="185"/>
      <c r="H399" s="172"/>
      <c r="I399" s="172"/>
      <c r="J399" s="172"/>
    </row>
    <row r="400" spans="1:10" x14ac:dyDescent="0.25">
      <c r="A400" s="172"/>
      <c r="B400" s="172"/>
      <c r="C400" s="237"/>
      <c r="D400" s="42"/>
      <c r="E400" s="42"/>
      <c r="F400" s="172"/>
      <c r="G400" s="185"/>
      <c r="H400" s="172"/>
      <c r="I400" s="172"/>
      <c r="J400" s="172"/>
    </row>
    <row r="401" spans="1:10" x14ac:dyDescent="0.25">
      <c r="A401" s="172"/>
      <c r="B401" s="172"/>
      <c r="C401" s="237"/>
      <c r="D401" s="42"/>
      <c r="E401" s="42"/>
      <c r="F401" s="172"/>
      <c r="G401" s="185"/>
      <c r="H401" s="172"/>
      <c r="I401" s="172"/>
      <c r="J401" s="172"/>
    </row>
    <row r="402" spans="1:10" x14ac:dyDescent="0.25">
      <c r="A402" s="172"/>
      <c r="B402" s="172"/>
      <c r="C402" s="237"/>
      <c r="D402" s="42"/>
      <c r="E402" s="42"/>
      <c r="F402" s="172"/>
      <c r="G402" s="185"/>
      <c r="H402" s="172"/>
      <c r="I402" s="172"/>
      <c r="J402" s="172"/>
    </row>
    <row r="403" spans="1:10" x14ac:dyDescent="0.25">
      <c r="A403" s="172"/>
      <c r="B403" s="172"/>
      <c r="C403" s="237"/>
      <c r="D403" s="42"/>
      <c r="E403" s="42"/>
      <c r="F403" s="172"/>
      <c r="G403" s="185"/>
      <c r="H403" s="172"/>
      <c r="I403" s="172"/>
      <c r="J403" s="172"/>
    </row>
    <row r="404" spans="1:10" x14ac:dyDescent="0.25">
      <c r="A404" s="172"/>
      <c r="B404" s="172"/>
      <c r="C404" s="237"/>
      <c r="D404" s="42"/>
      <c r="E404" s="42"/>
      <c r="F404" s="172"/>
      <c r="G404" s="185"/>
      <c r="H404" s="172"/>
      <c r="I404" s="172"/>
      <c r="J404" s="172"/>
    </row>
    <row r="405" spans="1:10" x14ac:dyDescent="0.25">
      <c r="A405" s="172"/>
      <c r="B405" s="172"/>
      <c r="C405" s="237"/>
      <c r="D405" s="42"/>
      <c r="E405" s="42"/>
      <c r="F405" s="172"/>
      <c r="G405" s="185"/>
      <c r="H405" s="172"/>
      <c r="I405" s="172"/>
      <c r="J405" s="172"/>
    </row>
    <row r="406" spans="1:10" x14ac:dyDescent="0.25">
      <c r="A406" s="172"/>
      <c r="B406" s="172"/>
      <c r="C406" s="237"/>
      <c r="D406" s="42"/>
      <c r="E406" s="42"/>
      <c r="F406" s="172"/>
      <c r="G406" s="185"/>
      <c r="H406" s="172"/>
      <c r="I406" s="172"/>
      <c r="J406" s="172"/>
    </row>
    <row r="407" spans="1:10" x14ac:dyDescent="0.25">
      <c r="A407" s="172"/>
      <c r="B407" s="172"/>
      <c r="C407" s="237"/>
      <c r="D407" s="42"/>
      <c r="E407" s="42"/>
      <c r="F407" s="172"/>
      <c r="G407" s="185"/>
      <c r="H407" s="172"/>
      <c r="I407" s="172"/>
      <c r="J407" s="172"/>
    </row>
    <row r="408" spans="1:10" x14ac:dyDescent="0.25">
      <c r="A408" s="172"/>
      <c r="B408" s="172"/>
      <c r="C408" s="237"/>
      <c r="D408" s="42"/>
      <c r="E408" s="42"/>
      <c r="F408" s="172"/>
      <c r="G408" s="185"/>
      <c r="H408" s="172"/>
      <c r="I408" s="172"/>
      <c r="J408" s="172"/>
    </row>
    <row r="409" spans="1:10" x14ac:dyDescent="0.25">
      <c r="A409" s="172"/>
      <c r="B409" s="172"/>
      <c r="C409" s="237"/>
      <c r="D409" s="42"/>
      <c r="E409" s="42"/>
      <c r="F409" s="172"/>
      <c r="G409" s="185"/>
      <c r="H409" s="172"/>
      <c r="I409" s="172"/>
      <c r="J409" s="172"/>
    </row>
    <row r="410" spans="1:10" x14ac:dyDescent="0.25">
      <c r="A410" s="172"/>
      <c r="B410" s="172"/>
      <c r="C410" s="237"/>
      <c r="D410" s="42"/>
      <c r="E410" s="42"/>
      <c r="F410" s="172"/>
      <c r="G410" s="185"/>
      <c r="H410" s="172"/>
      <c r="I410" s="172"/>
      <c r="J410" s="172"/>
    </row>
    <row r="411" spans="1:10" x14ac:dyDescent="0.25">
      <c r="A411" s="172"/>
      <c r="B411" s="172"/>
      <c r="C411" s="237"/>
      <c r="D411" s="42"/>
      <c r="E411" s="42"/>
      <c r="F411" s="172"/>
      <c r="G411" s="185"/>
      <c r="H411" s="172"/>
      <c r="I411" s="172"/>
      <c r="J411" s="172"/>
    </row>
    <row r="412" spans="1:10" x14ac:dyDescent="0.25">
      <c r="A412" s="172"/>
      <c r="B412" s="172"/>
      <c r="C412" s="237"/>
      <c r="D412" s="42"/>
      <c r="E412" s="42"/>
      <c r="F412" s="172"/>
      <c r="G412" s="185"/>
      <c r="H412" s="172"/>
      <c r="I412" s="172"/>
      <c r="J412" s="172"/>
    </row>
    <row r="413" spans="1:10" x14ac:dyDescent="0.25">
      <c r="A413" s="172"/>
      <c r="B413" s="172"/>
      <c r="C413" s="237"/>
      <c r="D413" s="42"/>
      <c r="E413" s="42"/>
      <c r="F413" s="172"/>
      <c r="G413" s="185"/>
      <c r="H413" s="172"/>
      <c r="I413" s="172"/>
      <c r="J413" s="172"/>
    </row>
    <row r="414" spans="1:10" x14ac:dyDescent="0.25">
      <c r="A414" s="172"/>
      <c r="B414" s="172"/>
      <c r="C414" s="237"/>
      <c r="D414" s="42"/>
      <c r="E414" s="42"/>
      <c r="F414" s="172"/>
      <c r="G414" s="185"/>
      <c r="H414" s="172"/>
      <c r="I414" s="172"/>
      <c r="J414" s="172"/>
    </row>
    <row r="415" spans="1:10" x14ac:dyDescent="0.25">
      <c r="A415" s="172"/>
      <c r="B415" s="172"/>
      <c r="C415" s="237"/>
      <c r="D415" s="42"/>
      <c r="E415" s="42"/>
      <c r="F415" s="172"/>
      <c r="G415" s="185"/>
      <c r="H415" s="172"/>
      <c r="I415" s="172"/>
      <c r="J415" s="172"/>
    </row>
    <row r="416" spans="1:10" x14ac:dyDescent="0.25">
      <c r="A416" s="172"/>
      <c r="B416" s="172"/>
      <c r="C416" s="237"/>
      <c r="D416" s="42"/>
      <c r="E416" s="42"/>
      <c r="F416" s="172"/>
      <c r="G416" s="185"/>
      <c r="H416" s="172"/>
      <c r="I416" s="172"/>
      <c r="J416" s="172"/>
    </row>
    <row r="417" spans="1:10" x14ac:dyDescent="0.25">
      <c r="A417" s="172"/>
      <c r="B417" s="172"/>
      <c r="C417" s="237"/>
      <c r="D417" s="42"/>
      <c r="E417" s="42"/>
      <c r="F417" s="172"/>
      <c r="G417" s="185"/>
      <c r="H417" s="172"/>
      <c r="I417" s="172"/>
      <c r="J417" s="172"/>
    </row>
    <row r="418" spans="1:10" x14ac:dyDescent="0.25">
      <c r="A418" s="172"/>
      <c r="B418" s="172"/>
      <c r="C418" s="237"/>
      <c r="D418" s="42"/>
      <c r="E418" s="42"/>
      <c r="F418" s="172"/>
      <c r="G418" s="185"/>
      <c r="H418" s="172"/>
      <c r="I418" s="172"/>
      <c r="J418" s="172"/>
    </row>
    <row r="419" spans="1:10" x14ac:dyDescent="0.25">
      <c r="A419" s="172"/>
      <c r="B419" s="172"/>
      <c r="C419" s="237"/>
      <c r="D419" s="42"/>
      <c r="E419" s="42"/>
      <c r="F419" s="172"/>
      <c r="G419" s="185"/>
      <c r="H419" s="172"/>
      <c r="I419" s="172"/>
      <c r="J419" s="172"/>
    </row>
    <row r="420" spans="1:10" x14ac:dyDescent="0.25">
      <c r="A420" s="172"/>
      <c r="B420" s="172"/>
      <c r="C420" s="237"/>
      <c r="D420" s="42"/>
      <c r="E420" s="42"/>
      <c r="F420" s="172"/>
      <c r="G420" s="185"/>
      <c r="H420" s="172"/>
      <c r="I420" s="172"/>
      <c r="J420" s="172"/>
    </row>
    <row r="421" spans="1:10" x14ac:dyDescent="0.25">
      <c r="A421" s="172"/>
      <c r="B421" s="172"/>
      <c r="C421" s="237"/>
      <c r="D421" s="42"/>
      <c r="E421" s="42"/>
      <c r="F421" s="172"/>
      <c r="G421" s="185"/>
      <c r="H421" s="172"/>
      <c r="I421" s="172"/>
      <c r="J421" s="172"/>
    </row>
    <row r="422" spans="1:10" x14ac:dyDescent="0.25">
      <c r="A422" s="172"/>
      <c r="B422" s="172"/>
      <c r="C422" s="237"/>
      <c r="D422" s="42"/>
      <c r="E422" s="42"/>
      <c r="F422" s="172"/>
      <c r="G422" s="185"/>
      <c r="H422" s="172"/>
      <c r="I422" s="172"/>
      <c r="J422" s="172"/>
    </row>
    <row r="423" spans="1:10" x14ac:dyDescent="0.25">
      <c r="A423" s="172"/>
      <c r="B423" s="172"/>
      <c r="C423" s="237"/>
      <c r="D423" s="42"/>
      <c r="E423" s="42"/>
      <c r="F423" s="172"/>
      <c r="G423" s="185"/>
      <c r="H423" s="172"/>
      <c r="I423" s="172"/>
      <c r="J423" s="172"/>
    </row>
    <row r="424" spans="1:10" x14ac:dyDescent="0.25">
      <c r="A424" s="172"/>
      <c r="B424" s="172"/>
      <c r="C424" s="237"/>
      <c r="D424" s="42"/>
      <c r="E424" s="42"/>
      <c r="F424" s="172"/>
      <c r="G424" s="185"/>
      <c r="H424" s="172"/>
      <c r="I424" s="172"/>
      <c r="J424" s="172"/>
    </row>
    <row r="425" spans="1:10" x14ac:dyDescent="0.25">
      <c r="A425" s="172"/>
      <c r="B425" s="172"/>
      <c r="C425" s="237"/>
      <c r="D425" s="42"/>
      <c r="E425" s="42"/>
      <c r="F425" s="172"/>
      <c r="G425" s="185"/>
      <c r="H425" s="172"/>
      <c r="I425" s="172"/>
      <c r="J425" s="172"/>
    </row>
    <row r="426" spans="1:10" x14ac:dyDescent="0.25">
      <c r="A426" s="172"/>
      <c r="B426" s="172"/>
      <c r="C426" s="237"/>
      <c r="D426" s="42"/>
      <c r="E426" s="42"/>
      <c r="F426" s="172"/>
      <c r="G426" s="185"/>
      <c r="H426" s="172"/>
      <c r="I426" s="172"/>
      <c r="J426" s="172"/>
    </row>
    <row r="427" spans="1:10" x14ac:dyDescent="0.25">
      <c r="A427" s="172"/>
      <c r="B427" s="172"/>
      <c r="C427" s="237"/>
      <c r="D427" s="42"/>
      <c r="E427" s="42"/>
      <c r="F427" s="172"/>
      <c r="G427" s="185"/>
      <c r="H427" s="172"/>
      <c r="I427" s="172"/>
      <c r="J427" s="172"/>
    </row>
    <row r="428" spans="1:10" x14ac:dyDescent="0.25">
      <c r="A428" s="172"/>
      <c r="B428" s="172"/>
      <c r="C428" s="237"/>
      <c r="D428" s="42"/>
      <c r="E428" s="42"/>
      <c r="F428" s="172"/>
      <c r="G428" s="185"/>
      <c r="H428" s="172"/>
      <c r="I428" s="172"/>
      <c r="J428" s="172"/>
    </row>
    <row r="429" spans="1:10" x14ac:dyDescent="0.25">
      <c r="A429" s="172"/>
      <c r="B429" s="172"/>
      <c r="C429" s="237"/>
      <c r="D429" s="42"/>
      <c r="E429" s="42"/>
      <c r="F429" s="172"/>
      <c r="G429" s="185"/>
      <c r="H429" s="172"/>
      <c r="I429" s="172"/>
      <c r="J429" s="172"/>
    </row>
    <row r="430" spans="1:10" x14ac:dyDescent="0.25">
      <c r="A430" s="172"/>
      <c r="B430" s="172"/>
      <c r="C430" s="237"/>
      <c r="D430" s="42"/>
      <c r="E430" s="42"/>
      <c r="F430" s="172"/>
      <c r="G430" s="185"/>
      <c r="H430" s="172"/>
      <c r="I430" s="172"/>
      <c r="J430" s="172"/>
    </row>
    <row r="431" spans="1:10" x14ac:dyDescent="0.25">
      <c r="A431" s="172"/>
      <c r="B431" s="172"/>
      <c r="C431" s="237"/>
      <c r="D431" s="42"/>
      <c r="E431" s="42"/>
      <c r="F431" s="172"/>
      <c r="G431" s="185"/>
      <c r="H431" s="172"/>
      <c r="I431" s="172"/>
      <c r="J431" s="172"/>
    </row>
    <row r="432" spans="1:10" x14ac:dyDescent="0.25">
      <c r="A432" s="172"/>
      <c r="B432" s="172"/>
      <c r="C432" s="237"/>
      <c r="D432" s="42"/>
      <c r="E432" s="42"/>
      <c r="F432" s="172"/>
      <c r="G432" s="185"/>
      <c r="H432" s="172"/>
      <c r="I432" s="172"/>
      <c r="J432" s="172"/>
    </row>
    <row r="433" spans="1:10" x14ac:dyDescent="0.25">
      <c r="A433" s="172"/>
      <c r="B433" s="172"/>
      <c r="C433" s="237"/>
      <c r="D433" s="42"/>
      <c r="E433" s="42"/>
      <c r="F433" s="172"/>
      <c r="G433" s="185"/>
      <c r="H433" s="172"/>
      <c r="I433" s="172"/>
      <c r="J433" s="172"/>
    </row>
    <row r="434" spans="1:10" x14ac:dyDescent="0.25">
      <c r="A434" s="172"/>
      <c r="B434" s="172"/>
      <c r="C434" s="237"/>
      <c r="D434" s="42"/>
      <c r="E434" s="42"/>
      <c r="F434" s="172"/>
      <c r="G434" s="185"/>
      <c r="H434" s="172"/>
      <c r="I434" s="172"/>
      <c r="J434" s="172"/>
    </row>
    <row r="435" spans="1:10" x14ac:dyDescent="0.25">
      <c r="A435" s="172"/>
      <c r="B435" s="172"/>
      <c r="C435" s="237"/>
      <c r="D435" s="42"/>
      <c r="E435" s="42"/>
      <c r="F435" s="172"/>
      <c r="G435" s="185"/>
      <c r="H435" s="172"/>
      <c r="I435" s="172"/>
      <c r="J435" s="172"/>
    </row>
    <row r="436" spans="1:10" x14ac:dyDescent="0.25">
      <c r="A436" s="172"/>
      <c r="B436" s="172"/>
      <c r="C436" s="237"/>
      <c r="D436" s="42"/>
      <c r="E436" s="42"/>
      <c r="F436" s="172"/>
      <c r="G436" s="185"/>
      <c r="H436" s="172"/>
      <c r="I436" s="172"/>
      <c r="J436" s="172"/>
    </row>
    <row r="437" spans="1:10" x14ac:dyDescent="0.25">
      <c r="A437" s="172"/>
      <c r="B437" s="172"/>
      <c r="C437" s="237"/>
      <c r="D437" s="42"/>
      <c r="E437" s="42"/>
      <c r="F437" s="172"/>
      <c r="G437" s="185"/>
      <c r="H437" s="172"/>
      <c r="I437" s="172"/>
      <c r="J437" s="172"/>
    </row>
    <row r="438" spans="1:10" x14ac:dyDescent="0.25">
      <c r="A438" s="172"/>
      <c r="B438" s="172"/>
      <c r="C438" s="237"/>
      <c r="D438" s="42"/>
      <c r="E438" s="42"/>
      <c r="F438" s="172"/>
      <c r="G438" s="185"/>
      <c r="H438" s="172"/>
      <c r="I438" s="172"/>
      <c r="J438" s="172"/>
    </row>
    <row r="439" spans="1:10" x14ac:dyDescent="0.25">
      <c r="A439" s="172"/>
      <c r="B439" s="172"/>
      <c r="C439" s="237"/>
      <c r="D439" s="42"/>
      <c r="E439" s="42"/>
      <c r="F439" s="172"/>
      <c r="G439" s="185"/>
      <c r="H439" s="172"/>
      <c r="I439" s="172"/>
      <c r="J439" s="172"/>
    </row>
    <row r="440" spans="1:10" x14ac:dyDescent="0.25">
      <c r="A440" s="172"/>
      <c r="B440" s="172"/>
      <c r="C440" s="237"/>
      <c r="D440" s="42"/>
      <c r="E440" s="42"/>
      <c r="F440" s="172"/>
      <c r="G440" s="185"/>
      <c r="H440" s="172"/>
      <c r="I440" s="172"/>
      <c r="J440" s="172"/>
    </row>
    <row r="441" spans="1:10" x14ac:dyDescent="0.25">
      <c r="A441" s="172"/>
      <c r="B441" s="172"/>
      <c r="C441" s="237"/>
      <c r="D441" s="42"/>
      <c r="E441" s="42"/>
      <c r="F441" s="172"/>
      <c r="G441" s="185"/>
      <c r="H441" s="172"/>
      <c r="I441" s="172"/>
      <c r="J441" s="172"/>
    </row>
    <row r="442" spans="1:10" x14ac:dyDescent="0.25">
      <c r="A442" s="172"/>
      <c r="B442" s="172"/>
      <c r="C442" s="237"/>
      <c r="D442" s="42"/>
      <c r="E442" s="42"/>
      <c r="F442" s="172"/>
      <c r="G442" s="185"/>
      <c r="H442" s="172"/>
      <c r="I442" s="172"/>
      <c r="J442" s="172"/>
    </row>
    <row r="443" spans="1:10" x14ac:dyDescent="0.25">
      <c r="A443" s="172"/>
      <c r="B443" s="172"/>
      <c r="C443" s="237"/>
      <c r="D443" s="42"/>
      <c r="E443" s="42"/>
      <c r="F443" s="172"/>
      <c r="G443" s="185"/>
      <c r="H443" s="172"/>
      <c r="I443" s="172"/>
      <c r="J443" s="172"/>
    </row>
    <row r="444" spans="1:10" x14ac:dyDescent="0.25">
      <c r="A444" s="172"/>
      <c r="B444" s="172"/>
      <c r="C444" s="237"/>
      <c r="D444" s="42"/>
      <c r="E444" s="42"/>
      <c r="F444" s="172"/>
      <c r="G444" s="185"/>
      <c r="H444" s="172"/>
      <c r="I444" s="172"/>
      <c r="J444" s="172"/>
    </row>
    <row r="445" spans="1:10" x14ac:dyDescent="0.25">
      <c r="A445" s="172"/>
      <c r="B445" s="172"/>
      <c r="C445" s="237"/>
      <c r="D445" s="42"/>
      <c r="E445" s="42"/>
      <c r="F445" s="172"/>
      <c r="G445" s="185"/>
      <c r="H445" s="172"/>
      <c r="I445" s="172"/>
      <c r="J445" s="172"/>
    </row>
    <row r="446" spans="1:10" x14ac:dyDescent="0.25">
      <c r="A446" s="172"/>
      <c r="B446" s="172"/>
      <c r="C446" s="237"/>
      <c r="D446" s="42"/>
      <c r="E446" s="42"/>
      <c r="F446" s="172"/>
      <c r="G446" s="185"/>
      <c r="H446" s="172"/>
      <c r="I446" s="172"/>
      <c r="J446" s="172"/>
    </row>
    <row r="447" spans="1:10" x14ac:dyDescent="0.25">
      <c r="A447" s="172"/>
      <c r="B447" s="172"/>
      <c r="C447" s="237"/>
      <c r="D447" s="42"/>
      <c r="E447" s="42"/>
      <c r="F447" s="172"/>
      <c r="G447" s="185"/>
      <c r="H447" s="172"/>
      <c r="I447" s="172"/>
      <c r="J447" s="172"/>
    </row>
    <row r="448" spans="1:10" x14ac:dyDescent="0.25">
      <c r="A448" s="172"/>
      <c r="B448" s="172"/>
      <c r="C448" s="237"/>
      <c r="D448" s="42"/>
      <c r="E448" s="42"/>
      <c r="F448" s="172"/>
      <c r="G448" s="185"/>
      <c r="H448" s="172"/>
      <c r="I448" s="172"/>
      <c r="J448" s="172"/>
    </row>
    <row r="449" spans="1:10" x14ac:dyDescent="0.25">
      <c r="A449" s="172"/>
      <c r="B449" s="172"/>
      <c r="C449" s="237"/>
      <c r="D449" s="42"/>
      <c r="E449" s="42"/>
      <c r="F449" s="172"/>
      <c r="G449" s="185"/>
      <c r="H449" s="172"/>
      <c r="I449" s="172"/>
      <c r="J449" s="172"/>
    </row>
    <row r="450" spans="1:10" x14ac:dyDescent="0.25">
      <c r="A450" s="172"/>
      <c r="B450" s="172"/>
      <c r="C450" s="237"/>
      <c r="D450" s="42"/>
      <c r="E450" s="42"/>
      <c r="F450" s="172"/>
      <c r="G450" s="185"/>
      <c r="H450" s="172"/>
      <c r="I450" s="172"/>
      <c r="J450" s="172"/>
    </row>
    <row r="451" spans="1:10" x14ac:dyDescent="0.25">
      <c r="A451" s="172"/>
      <c r="B451" s="172"/>
      <c r="C451" s="237"/>
      <c r="D451" s="42"/>
      <c r="E451" s="42"/>
      <c r="F451" s="172"/>
      <c r="G451" s="185"/>
      <c r="H451" s="172"/>
      <c r="I451" s="172"/>
      <c r="J451" s="172"/>
    </row>
    <row r="452" spans="1:10" x14ac:dyDescent="0.25">
      <c r="A452" s="172"/>
      <c r="B452" s="172"/>
      <c r="C452" s="237"/>
      <c r="D452" s="42"/>
      <c r="E452" s="42"/>
      <c r="F452" s="172"/>
      <c r="G452" s="185"/>
      <c r="H452" s="172"/>
      <c r="I452" s="172"/>
      <c r="J452" s="172"/>
    </row>
    <row r="453" spans="1:10" x14ac:dyDescent="0.25">
      <c r="A453" s="172"/>
      <c r="B453" s="172"/>
      <c r="C453" s="237"/>
      <c r="D453" s="42"/>
      <c r="E453" s="42"/>
      <c r="F453" s="172"/>
      <c r="G453" s="185"/>
      <c r="H453" s="172"/>
      <c r="I453" s="172"/>
      <c r="J453" s="172"/>
    </row>
    <row r="454" spans="1:10" x14ac:dyDescent="0.25">
      <c r="A454" s="172"/>
      <c r="B454" s="172"/>
      <c r="C454" s="237"/>
      <c r="D454" s="42"/>
      <c r="E454" s="42"/>
      <c r="F454" s="172"/>
      <c r="G454" s="185"/>
      <c r="H454" s="172"/>
      <c r="I454" s="172"/>
      <c r="J454" s="172"/>
    </row>
    <row r="455" spans="1:10" x14ac:dyDescent="0.25">
      <c r="A455" s="172"/>
      <c r="B455" s="172"/>
      <c r="C455" s="237"/>
      <c r="D455" s="42"/>
      <c r="E455" s="42"/>
      <c r="F455" s="172"/>
      <c r="G455" s="185"/>
      <c r="H455" s="172"/>
      <c r="I455" s="172"/>
      <c r="J455" s="172"/>
    </row>
    <row r="456" spans="1:10" x14ac:dyDescent="0.25">
      <c r="A456" s="172"/>
      <c r="B456" s="172"/>
      <c r="C456" s="237"/>
      <c r="D456" s="42"/>
      <c r="E456" s="42"/>
      <c r="F456" s="172"/>
      <c r="G456" s="185"/>
      <c r="H456" s="172"/>
      <c r="I456" s="172"/>
      <c r="J456" s="172"/>
    </row>
    <row r="457" spans="1:10" x14ac:dyDescent="0.25">
      <c r="A457" s="172"/>
      <c r="B457" s="172"/>
      <c r="C457" s="237"/>
      <c r="D457" s="42"/>
      <c r="E457" s="42"/>
      <c r="F457" s="172"/>
      <c r="G457" s="185"/>
      <c r="H457" s="172"/>
      <c r="I457" s="172"/>
      <c r="J457" s="172"/>
    </row>
    <row r="458" spans="1:10" x14ac:dyDescent="0.25">
      <c r="A458" s="172"/>
      <c r="B458" s="172"/>
      <c r="C458" s="237"/>
      <c r="D458" s="42"/>
      <c r="E458" s="42"/>
      <c r="F458" s="172"/>
      <c r="G458" s="185"/>
      <c r="H458" s="172"/>
      <c r="I458" s="172"/>
      <c r="J458" s="172"/>
    </row>
    <row r="459" spans="1:10" x14ac:dyDescent="0.25">
      <c r="A459" s="172"/>
      <c r="B459" s="172"/>
      <c r="C459" s="237"/>
      <c r="D459" s="42"/>
      <c r="E459" s="42"/>
      <c r="F459" s="172"/>
      <c r="G459" s="185"/>
      <c r="H459" s="172"/>
      <c r="I459" s="172"/>
      <c r="J459" s="172"/>
    </row>
    <row r="460" spans="1:10" x14ac:dyDescent="0.25">
      <c r="A460" s="172"/>
      <c r="B460" s="172"/>
      <c r="C460" s="237"/>
      <c r="D460" s="42"/>
      <c r="E460" s="42"/>
      <c r="F460" s="172"/>
      <c r="G460" s="185"/>
      <c r="H460" s="172"/>
      <c r="I460" s="172"/>
      <c r="J460" s="172"/>
    </row>
    <row r="461" spans="1:10" x14ac:dyDescent="0.25">
      <c r="A461" s="172"/>
      <c r="B461" s="172"/>
      <c r="C461" s="237"/>
      <c r="D461" s="42"/>
      <c r="E461" s="42"/>
      <c r="F461" s="172"/>
      <c r="G461" s="185"/>
      <c r="H461" s="172"/>
      <c r="I461" s="172"/>
      <c r="J461" s="172"/>
    </row>
    <row r="462" spans="1:10" x14ac:dyDescent="0.25">
      <c r="A462" s="172"/>
      <c r="B462" s="172"/>
      <c r="C462" s="237"/>
      <c r="D462" s="42"/>
      <c r="E462" s="42"/>
      <c r="F462" s="172"/>
      <c r="G462" s="185"/>
      <c r="H462" s="172"/>
      <c r="I462" s="172"/>
      <c r="J462" s="172"/>
    </row>
    <row r="463" spans="1:10" x14ac:dyDescent="0.25">
      <c r="A463" s="172"/>
      <c r="B463" s="172"/>
      <c r="C463" s="237"/>
      <c r="D463" s="42"/>
      <c r="E463" s="42"/>
      <c r="F463" s="172"/>
      <c r="G463" s="185"/>
      <c r="H463" s="172"/>
      <c r="I463" s="172"/>
      <c r="J463" s="172"/>
    </row>
    <row r="464" spans="1:10" x14ac:dyDescent="0.25">
      <c r="A464" s="172"/>
      <c r="B464" s="172"/>
      <c r="C464" s="237"/>
      <c r="D464" s="42"/>
      <c r="E464" s="42"/>
      <c r="F464" s="172"/>
      <c r="G464" s="185"/>
      <c r="H464" s="172"/>
      <c r="I464" s="172"/>
      <c r="J464" s="172"/>
    </row>
    <row r="465" spans="1:10" x14ac:dyDescent="0.25">
      <c r="A465" s="172"/>
      <c r="B465" s="172"/>
      <c r="C465" s="237"/>
      <c r="D465" s="42"/>
      <c r="E465" s="42"/>
      <c r="F465" s="172"/>
      <c r="G465" s="185"/>
      <c r="H465" s="172"/>
      <c r="I465" s="172"/>
      <c r="J465" s="172"/>
    </row>
    <row r="466" spans="1:10" x14ac:dyDescent="0.25">
      <c r="A466" s="172"/>
      <c r="B466" s="172"/>
      <c r="C466" s="237"/>
      <c r="D466" s="42"/>
      <c r="E466" s="42"/>
      <c r="F466" s="172"/>
      <c r="G466" s="185"/>
      <c r="H466" s="172"/>
      <c r="I466" s="172"/>
      <c r="J466" s="172"/>
    </row>
    <row r="467" spans="1:10" x14ac:dyDescent="0.25">
      <c r="A467" s="172"/>
      <c r="B467" s="172"/>
      <c r="C467" s="237"/>
      <c r="D467" s="42"/>
      <c r="E467" s="42"/>
      <c r="F467" s="172"/>
      <c r="G467" s="185"/>
      <c r="H467" s="172"/>
      <c r="I467" s="172"/>
      <c r="J467" s="172"/>
    </row>
    <row r="468" spans="1:10" x14ac:dyDescent="0.25">
      <c r="A468" s="172"/>
      <c r="B468" s="172"/>
      <c r="C468" s="237"/>
      <c r="D468" s="42"/>
      <c r="E468" s="42"/>
      <c r="F468" s="172"/>
      <c r="G468" s="185"/>
      <c r="H468" s="172"/>
      <c r="I468" s="172"/>
      <c r="J468" s="172"/>
    </row>
    <row r="469" spans="1:10" x14ac:dyDescent="0.25">
      <c r="A469" s="172"/>
      <c r="B469" s="172"/>
      <c r="C469" s="237"/>
      <c r="D469" s="42"/>
      <c r="E469" s="42"/>
      <c r="F469" s="172"/>
      <c r="G469" s="185"/>
      <c r="H469" s="172"/>
      <c r="I469" s="172"/>
      <c r="J469" s="172"/>
    </row>
    <row r="470" spans="1:10" x14ac:dyDescent="0.25">
      <c r="A470" s="172"/>
      <c r="B470" s="172"/>
      <c r="C470" s="237"/>
      <c r="D470" s="42"/>
      <c r="E470" s="42"/>
      <c r="F470" s="172"/>
      <c r="G470" s="185"/>
      <c r="H470" s="172"/>
      <c r="I470" s="172"/>
      <c r="J470" s="172"/>
    </row>
    <row r="471" spans="1:10" x14ac:dyDescent="0.25">
      <c r="A471" s="172"/>
      <c r="B471" s="172"/>
      <c r="C471" s="237"/>
      <c r="D471" s="42"/>
      <c r="E471" s="42"/>
      <c r="F471" s="172"/>
      <c r="G471" s="185"/>
      <c r="H471" s="172"/>
      <c r="I471" s="172"/>
      <c r="J471" s="172"/>
    </row>
    <row r="472" spans="1:10" x14ac:dyDescent="0.25">
      <c r="A472" s="172"/>
      <c r="B472" s="172"/>
      <c r="C472" s="237"/>
      <c r="D472" s="42"/>
      <c r="E472" s="42"/>
      <c r="F472" s="172"/>
      <c r="G472" s="185"/>
      <c r="H472" s="172"/>
      <c r="I472" s="172"/>
      <c r="J472" s="172"/>
    </row>
    <row r="473" spans="1:10" x14ac:dyDescent="0.25">
      <c r="A473" s="172"/>
      <c r="B473" s="172"/>
      <c r="C473" s="237"/>
      <c r="D473" s="42"/>
      <c r="E473" s="42"/>
      <c r="F473" s="172"/>
      <c r="G473" s="185"/>
      <c r="H473" s="172"/>
      <c r="I473" s="172"/>
      <c r="J473" s="172"/>
    </row>
    <row r="474" spans="1:10" x14ac:dyDescent="0.25">
      <c r="A474" s="172"/>
      <c r="B474" s="172"/>
      <c r="C474" s="237"/>
      <c r="D474" s="42"/>
      <c r="E474" s="42"/>
      <c r="F474" s="172"/>
      <c r="G474" s="185"/>
      <c r="H474" s="172"/>
      <c r="I474" s="172"/>
      <c r="J474" s="172"/>
    </row>
    <row r="475" spans="1:10" x14ac:dyDescent="0.25">
      <c r="A475" s="172"/>
      <c r="B475" s="172"/>
      <c r="C475" s="237"/>
      <c r="D475" s="42"/>
      <c r="E475" s="42"/>
      <c r="F475" s="172"/>
      <c r="G475" s="185"/>
      <c r="H475" s="172"/>
      <c r="I475" s="172"/>
      <c r="J475" s="172"/>
    </row>
    <row r="476" spans="1:10" x14ac:dyDescent="0.25">
      <c r="A476" s="172"/>
      <c r="B476" s="172"/>
      <c r="C476" s="237"/>
      <c r="D476" s="42"/>
      <c r="E476" s="42"/>
      <c r="F476" s="172"/>
      <c r="G476" s="185"/>
      <c r="H476" s="172"/>
      <c r="I476" s="172"/>
      <c r="J476" s="172"/>
    </row>
    <row r="477" spans="1:10" x14ac:dyDescent="0.25">
      <c r="A477" s="172"/>
      <c r="B477" s="172"/>
      <c r="C477" s="237"/>
      <c r="D477" s="42"/>
      <c r="E477" s="42"/>
      <c r="F477" s="172"/>
      <c r="G477" s="185"/>
      <c r="H477" s="172"/>
      <c r="I477" s="172"/>
      <c r="J477" s="172"/>
    </row>
    <row r="478" spans="1:10" x14ac:dyDescent="0.25">
      <c r="A478" s="172"/>
      <c r="B478" s="172"/>
      <c r="C478" s="237"/>
      <c r="D478" s="42"/>
      <c r="E478" s="42"/>
      <c r="F478" s="172"/>
      <c r="G478" s="185"/>
      <c r="H478" s="172"/>
      <c r="I478" s="172"/>
      <c r="J478" s="172"/>
    </row>
    <row r="479" spans="1:10" x14ac:dyDescent="0.25">
      <c r="A479" s="172"/>
      <c r="B479" s="172"/>
      <c r="C479" s="237"/>
      <c r="D479" s="42"/>
      <c r="E479" s="42"/>
      <c r="F479" s="172"/>
      <c r="G479" s="185"/>
      <c r="H479" s="172"/>
      <c r="I479" s="172"/>
      <c r="J479" s="172"/>
    </row>
    <row r="480" spans="1:10" x14ac:dyDescent="0.25">
      <c r="A480" s="172"/>
      <c r="B480" s="172"/>
      <c r="C480" s="237"/>
      <c r="D480" s="42"/>
      <c r="E480" s="42"/>
      <c r="F480" s="172"/>
      <c r="G480" s="185"/>
      <c r="H480" s="172"/>
      <c r="I480" s="172"/>
      <c r="J480" s="172"/>
    </row>
    <row r="481" spans="1:10" x14ac:dyDescent="0.25">
      <c r="A481" s="172"/>
      <c r="B481" s="172"/>
      <c r="C481" s="237"/>
      <c r="D481" s="42"/>
      <c r="E481" s="42"/>
      <c r="F481" s="172"/>
      <c r="G481" s="185"/>
      <c r="H481" s="172"/>
      <c r="I481" s="172"/>
      <c r="J481" s="172"/>
    </row>
    <row r="482" spans="1:10" x14ac:dyDescent="0.25">
      <c r="A482" s="172"/>
      <c r="B482" s="172"/>
      <c r="C482" s="237"/>
      <c r="D482" s="42"/>
      <c r="E482" s="42"/>
      <c r="F482" s="172"/>
      <c r="G482" s="185"/>
      <c r="H482" s="172"/>
      <c r="I482" s="172"/>
      <c r="J482" s="172"/>
    </row>
    <row r="483" spans="1:10" x14ac:dyDescent="0.25">
      <c r="A483" s="172"/>
      <c r="B483" s="172"/>
      <c r="C483" s="237"/>
      <c r="D483" s="42"/>
      <c r="E483" s="42"/>
      <c r="F483" s="172"/>
      <c r="G483" s="185"/>
      <c r="H483" s="172"/>
      <c r="I483" s="172"/>
      <c r="J483" s="172"/>
    </row>
    <row r="484" spans="1:10" x14ac:dyDescent="0.25">
      <c r="A484" s="172"/>
      <c r="B484" s="172"/>
      <c r="C484" s="237"/>
      <c r="D484" s="42"/>
      <c r="E484" s="42"/>
      <c r="F484" s="172"/>
      <c r="G484" s="185"/>
      <c r="H484" s="172"/>
      <c r="I484" s="172"/>
      <c r="J484" s="172"/>
    </row>
    <row r="485" spans="1:10" x14ac:dyDescent="0.25">
      <c r="A485" s="172"/>
      <c r="B485" s="172"/>
      <c r="C485" s="237"/>
      <c r="D485" s="42"/>
      <c r="E485" s="42"/>
      <c r="F485" s="172"/>
      <c r="G485" s="185"/>
      <c r="H485" s="172"/>
      <c r="I485" s="172"/>
      <c r="J485" s="172"/>
    </row>
    <row r="486" spans="1:10" x14ac:dyDescent="0.25">
      <c r="A486" s="172"/>
      <c r="B486" s="172"/>
      <c r="C486" s="237"/>
      <c r="D486" s="42"/>
      <c r="E486" s="42"/>
      <c r="F486" s="172"/>
      <c r="G486" s="185"/>
      <c r="H486" s="172"/>
      <c r="I486" s="172"/>
      <c r="J486" s="172"/>
    </row>
    <row r="487" spans="1:10" x14ac:dyDescent="0.25">
      <c r="A487" s="172"/>
      <c r="B487" s="172"/>
      <c r="C487" s="237"/>
      <c r="D487" s="42"/>
      <c r="E487" s="42"/>
      <c r="F487" s="172"/>
      <c r="G487" s="185"/>
      <c r="H487" s="172"/>
      <c r="I487" s="172"/>
      <c r="J487" s="172"/>
    </row>
    <row r="488" spans="1:10" x14ac:dyDescent="0.25">
      <c r="A488" s="172"/>
      <c r="B488" s="172"/>
      <c r="C488" s="237"/>
      <c r="D488" s="42"/>
      <c r="E488" s="42"/>
      <c r="F488" s="172"/>
      <c r="G488" s="185"/>
      <c r="H488" s="172"/>
      <c r="I488" s="172"/>
      <c r="J488" s="172"/>
    </row>
    <row r="489" spans="1:10" x14ac:dyDescent="0.25">
      <c r="A489" s="172"/>
      <c r="B489" s="172"/>
      <c r="C489" s="237"/>
      <c r="D489" s="42"/>
      <c r="E489" s="42"/>
      <c r="F489" s="172"/>
      <c r="G489" s="185"/>
      <c r="H489" s="172"/>
      <c r="I489" s="172"/>
      <c r="J489" s="172"/>
    </row>
    <row r="490" spans="1:10" x14ac:dyDescent="0.25">
      <c r="A490" s="172"/>
      <c r="B490" s="172"/>
      <c r="C490" s="237"/>
      <c r="D490" s="42"/>
      <c r="E490" s="42"/>
      <c r="F490" s="172"/>
      <c r="G490" s="185"/>
      <c r="H490" s="172"/>
      <c r="I490" s="172"/>
      <c r="J490" s="172"/>
    </row>
    <row r="491" spans="1:10" x14ac:dyDescent="0.25">
      <c r="A491" s="172"/>
      <c r="B491" s="172"/>
      <c r="C491" s="237"/>
      <c r="D491" s="42"/>
      <c r="E491" s="42"/>
      <c r="F491" s="172"/>
      <c r="G491" s="185"/>
      <c r="H491" s="172"/>
      <c r="I491" s="172"/>
      <c r="J491" s="172"/>
    </row>
    <row r="492" spans="1:10" x14ac:dyDescent="0.25">
      <c r="A492" s="172"/>
      <c r="B492" s="172"/>
      <c r="C492" s="237"/>
      <c r="D492" s="42"/>
      <c r="E492" s="42"/>
      <c r="F492" s="172"/>
      <c r="G492" s="185"/>
      <c r="H492" s="172"/>
      <c r="I492" s="172"/>
      <c r="J492" s="172"/>
    </row>
    <row r="493" spans="1:10" x14ac:dyDescent="0.25">
      <c r="A493" s="172"/>
      <c r="B493" s="172"/>
      <c r="C493" s="237"/>
      <c r="D493" s="42"/>
      <c r="E493" s="42"/>
      <c r="F493" s="172"/>
      <c r="G493" s="185"/>
      <c r="H493" s="172"/>
      <c r="I493" s="172"/>
      <c r="J493" s="172"/>
    </row>
    <row r="494" spans="1:10" x14ac:dyDescent="0.25">
      <c r="A494" s="172"/>
      <c r="B494" s="172"/>
      <c r="C494" s="237"/>
      <c r="D494" s="42"/>
      <c r="E494" s="42"/>
      <c r="F494" s="172"/>
      <c r="G494" s="185"/>
      <c r="H494" s="172"/>
      <c r="I494" s="172"/>
      <c r="J494" s="172"/>
    </row>
    <row r="495" spans="1:10" x14ac:dyDescent="0.25">
      <c r="A495" s="172"/>
      <c r="B495" s="172"/>
      <c r="C495" s="237"/>
      <c r="D495" s="42"/>
      <c r="E495" s="42"/>
      <c r="F495" s="172"/>
      <c r="G495" s="185"/>
      <c r="H495" s="172"/>
      <c r="I495" s="172"/>
      <c r="J495" s="172"/>
    </row>
    <row r="496" spans="1:10" x14ac:dyDescent="0.25">
      <c r="A496" s="172"/>
      <c r="B496" s="172"/>
      <c r="C496" s="237"/>
      <c r="D496" s="42"/>
      <c r="E496" s="42"/>
      <c r="F496" s="172"/>
      <c r="G496" s="185"/>
      <c r="H496" s="172"/>
      <c r="I496" s="172"/>
      <c r="J496" s="172"/>
    </row>
    <row r="497" spans="1:10" x14ac:dyDescent="0.25">
      <c r="A497" s="172"/>
      <c r="B497" s="172"/>
      <c r="C497" s="237"/>
      <c r="D497" s="42"/>
      <c r="E497" s="42"/>
      <c r="F497" s="172"/>
      <c r="G497" s="185"/>
      <c r="H497" s="172"/>
      <c r="I497" s="172"/>
      <c r="J497" s="172"/>
    </row>
    <row r="498" spans="1:10" x14ac:dyDescent="0.25">
      <c r="A498" s="172"/>
      <c r="B498" s="172"/>
      <c r="C498" s="237"/>
      <c r="D498" s="42"/>
      <c r="E498" s="42"/>
      <c r="F498" s="172"/>
      <c r="G498" s="185"/>
      <c r="H498" s="172"/>
      <c r="I498" s="172"/>
      <c r="J498" s="172"/>
    </row>
    <row r="499" spans="1:10" x14ac:dyDescent="0.25">
      <c r="A499" s="172"/>
      <c r="B499" s="172"/>
      <c r="C499" s="237"/>
      <c r="D499" s="42"/>
      <c r="E499" s="42"/>
      <c r="F499" s="172"/>
      <c r="G499" s="185"/>
      <c r="H499" s="172"/>
      <c r="I499" s="172"/>
      <c r="J499" s="172"/>
    </row>
    <row r="500" spans="1:10" x14ac:dyDescent="0.25">
      <c r="A500" s="172"/>
      <c r="B500" s="172"/>
      <c r="C500" s="237"/>
      <c r="D500" s="42"/>
      <c r="E500" s="42"/>
      <c r="F500" s="172"/>
      <c r="G500" s="185"/>
      <c r="H500" s="172"/>
      <c r="I500" s="172"/>
      <c r="J500" s="172"/>
    </row>
    <row r="501" spans="1:10" x14ac:dyDescent="0.25">
      <c r="A501" s="172"/>
      <c r="B501" s="172"/>
      <c r="C501" s="237"/>
      <c r="D501" s="42"/>
      <c r="E501" s="42"/>
      <c r="F501" s="172"/>
      <c r="G501" s="185"/>
      <c r="H501" s="172"/>
      <c r="I501" s="172"/>
      <c r="J501" s="172"/>
    </row>
    <row r="502" spans="1:10" x14ac:dyDescent="0.25">
      <c r="A502" s="172"/>
      <c r="B502" s="172"/>
      <c r="C502" s="237"/>
      <c r="D502" s="42"/>
      <c r="E502" s="42"/>
      <c r="F502" s="172"/>
      <c r="G502" s="185"/>
      <c r="H502" s="172"/>
      <c r="I502" s="172"/>
      <c r="J502" s="172"/>
    </row>
    <row r="503" spans="1:10" x14ac:dyDescent="0.25">
      <c r="A503" s="172"/>
      <c r="B503" s="172"/>
      <c r="C503" s="237"/>
      <c r="D503" s="42"/>
      <c r="E503" s="42"/>
      <c r="F503" s="172"/>
      <c r="G503" s="185"/>
      <c r="H503" s="172"/>
      <c r="I503" s="172"/>
      <c r="J503" s="172"/>
    </row>
    <row r="504" spans="1:10" x14ac:dyDescent="0.25">
      <c r="A504" s="172"/>
      <c r="B504" s="172"/>
      <c r="C504" s="237"/>
      <c r="D504" s="42"/>
      <c r="E504" s="42"/>
      <c r="F504" s="172"/>
      <c r="G504" s="185"/>
      <c r="H504" s="172"/>
      <c r="I504" s="172"/>
      <c r="J504" s="172"/>
    </row>
    <row r="505" spans="1:10" x14ac:dyDescent="0.25">
      <c r="A505" s="172"/>
      <c r="B505" s="172"/>
      <c r="C505" s="237"/>
      <c r="D505" s="42"/>
      <c r="E505" s="42"/>
      <c r="F505" s="172"/>
      <c r="G505" s="185"/>
      <c r="H505" s="172"/>
      <c r="I505" s="172"/>
      <c r="J505" s="172"/>
    </row>
    <row r="506" spans="1:10" x14ac:dyDescent="0.25">
      <c r="A506" s="172"/>
      <c r="B506" s="172"/>
      <c r="C506" s="237"/>
      <c r="D506" s="42"/>
      <c r="E506" s="42"/>
      <c r="F506" s="172"/>
      <c r="G506" s="185"/>
      <c r="H506" s="172"/>
      <c r="I506" s="172"/>
      <c r="J506" s="172"/>
    </row>
    <row r="507" spans="1:10" x14ac:dyDescent="0.25">
      <c r="A507" s="172"/>
      <c r="B507" s="172"/>
      <c r="C507" s="237"/>
      <c r="D507" s="42"/>
      <c r="E507" s="42"/>
      <c r="F507" s="172"/>
      <c r="G507" s="185"/>
      <c r="H507" s="172"/>
      <c r="I507" s="172"/>
      <c r="J507" s="172"/>
    </row>
    <row r="508" spans="1:10" x14ac:dyDescent="0.25">
      <c r="A508" s="172"/>
      <c r="B508" s="172"/>
      <c r="C508" s="237"/>
      <c r="D508" s="42"/>
      <c r="E508" s="42"/>
      <c r="F508" s="172"/>
      <c r="G508" s="185"/>
      <c r="H508" s="172"/>
      <c r="I508" s="172"/>
      <c r="J508" s="172"/>
    </row>
    <row r="509" spans="1:10" x14ac:dyDescent="0.25">
      <c r="A509" s="172"/>
      <c r="B509" s="172"/>
      <c r="C509" s="237"/>
      <c r="D509" s="42"/>
      <c r="E509" s="42"/>
      <c r="F509" s="172"/>
      <c r="G509" s="185"/>
      <c r="H509" s="172"/>
      <c r="I509" s="172"/>
      <c r="J509" s="172"/>
    </row>
    <row r="510" spans="1:10" x14ac:dyDescent="0.25">
      <c r="A510" s="172"/>
      <c r="B510" s="172"/>
      <c r="C510" s="237"/>
      <c r="D510" s="42"/>
      <c r="E510" s="42"/>
      <c r="F510" s="172"/>
      <c r="G510" s="185"/>
      <c r="H510" s="172"/>
      <c r="I510" s="172"/>
      <c r="J510" s="172"/>
    </row>
    <row r="511" spans="1:10" x14ac:dyDescent="0.25">
      <c r="A511" s="172"/>
      <c r="B511" s="172"/>
      <c r="C511" s="237"/>
      <c r="D511" s="42"/>
      <c r="E511" s="42"/>
      <c r="F511" s="172"/>
      <c r="G511" s="185"/>
      <c r="H511" s="172"/>
      <c r="I511" s="172"/>
      <c r="J511" s="172"/>
    </row>
    <row r="512" spans="1:10" x14ac:dyDescent="0.25">
      <c r="A512" s="172"/>
      <c r="B512" s="172"/>
      <c r="C512" s="237"/>
      <c r="D512" s="42"/>
      <c r="E512" s="42"/>
      <c r="F512" s="172"/>
      <c r="G512" s="185"/>
      <c r="H512" s="172"/>
      <c r="I512" s="172"/>
      <c r="J512" s="172"/>
    </row>
    <row r="513" spans="1:10" x14ac:dyDescent="0.25">
      <c r="A513" s="172"/>
      <c r="B513" s="172"/>
      <c r="C513" s="237"/>
      <c r="D513" s="42"/>
      <c r="E513" s="42"/>
      <c r="F513" s="172"/>
      <c r="G513" s="185"/>
      <c r="H513" s="172"/>
      <c r="I513" s="172"/>
      <c r="J513" s="172"/>
    </row>
    <row r="514" spans="1:10" x14ac:dyDescent="0.25">
      <c r="A514" s="172"/>
      <c r="B514" s="172"/>
      <c r="C514" s="237"/>
      <c r="D514" s="42"/>
      <c r="E514" s="42"/>
      <c r="F514" s="172"/>
      <c r="G514" s="185"/>
      <c r="H514" s="172"/>
      <c r="I514" s="172"/>
      <c r="J514" s="172"/>
    </row>
    <row r="515" spans="1:10" x14ac:dyDescent="0.25">
      <c r="A515" s="172"/>
      <c r="B515" s="172"/>
      <c r="C515" s="237"/>
      <c r="D515" s="42"/>
      <c r="E515" s="42"/>
      <c r="F515" s="172"/>
      <c r="G515" s="185"/>
      <c r="H515" s="172"/>
      <c r="I515" s="172"/>
      <c r="J515" s="172"/>
    </row>
    <row r="516" spans="1:10" x14ac:dyDescent="0.25">
      <c r="A516" s="172"/>
      <c r="B516" s="172"/>
      <c r="C516" s="237"/>
      <c r="D516" s="42"/>
      <c r="E516" s="42"/>
      <c r="F516" s="172"/>
      <c r="G516" s="185"/>
      <c r="H516" s="172"/>
      <c r="I516" s="172"/>
      <c r="J516" s="172"/>
    </row>
    <row r="517" spans="1:10" x14ac:dyDescent="0.25">
      <c r="A517" s="172"/>
      <c r="B517" s="172"/>
      <c r="C517" s="237"/>
      <c r="D517" s="42"/>
      <c r="E517" s="42"/>
      <c r="F517" s="172"/>
      <c r="G517" s="185"/>
      <c r="H517" s="172"/>
      <c r="I517" s="172"/>
      <c r="J517" s="172"/>
    </row>
    <row r="518" spans="1:10" x14ac:dyDescent="0.25">
      <c r="A518" s="172"/>
      <c r="B518" s="172"/>
      <c r="C518" s="237"/>
      <c r="D518" s="42"/>
      <c r="E518" s="42"/>
      <c r="F518" s="172"/>
      <c r="G518" s="185"/>
      <c r="H518" s="172"/>
      <c r="I518" s="172"/>
      <c r="J518" s="172"/>
    </row>
    <row r="519" spans="1:10" x14ac:dyDescent="0.25">
      <c r="A519" s="172"/>
      <c r="B519" s="172"/>
      <c r="C519" s="237"/>
      <c r="D519" s="42"/>
      <c r="E519" s="42"/>
      <c r="F519" s="172"/>
      <c r="G519" s="185"/>
      <c r="H519" s="172"/>
      <c r="I519" s="172"/>
      <c r="J519" s="172"/>
    </row>
    <row r="520" spans="1:10" x14ac:dyDescent="0.25">
      <c r="A520" s="172"/>
      <c r="B520" s="172"/>
      <c r="C520" s="237"/>
      <c r="D520" s="42"/>
      <c r="E520" s="42"/>
      <c r="F520" s="172"/>
      <c r="G520" s="185"/>
      <c r="H520" s="172"/>
      <c r="I520" s="172"/>
      <c r="J520" s="172"/>
    </row>
    <row r="521" spans="1:10" x14ac:dyDescent="0.25">
      <c r="A521" s="172"/>
      <c r="B521" s="172"/>
      <c r="C521" s="237"/>
      <c r="D521" s="42"/>
      <c r="E521" s="42"/>
      <c r="F521" s="172"/>
      <c r="G521" s="185"/>
      <c r="H521" s="172"/>
      <c r="I521" s="172"/>
      <c r="J521" s="172"/>
    </row>
    <row r="522" spans="1:10" x14ac:dyDescent="0.25">
      <c r="A522" s="172"/>
      <c r="B522" s="172"/>
      <c r="C522" s="237"/>
      <c r="D522" s="42"/>
      <c r="E522" s="42"/>
      <c r="F522" s="172"/>
      <c r="G522" s="185"/>
      <c r="H522" s="172"/>
      <c r="I522" s="172"/>
      <c r="J522" s="172"/>
    </row>
    <row r="523" spans="1:10" x14ac:dyDescent="0.25">
      <c r="A523" s="172"/>
      <c r="B523" s="172"/>
      <c r="C523" s="237"/>
      <c r="D523" s="42"/>
      <c r="E523" s="42"/>
      <c r="F523" s="172"/>
      <c r="G523" s="185"/>
      <c r="H523" s="172"/>
      <c r="I523" s="172"/>
      <c r="J523" s="172"/>
    </row>
    <row r="524" spans="1:10" x14ac:dyDescent="0.25">
      <c r="A524" s="172"/>
      <c r="B524" s="172"/>
      <c r="C524" s="237"/>
      <c r="D524" s="42"/>
      <c r="E524" s="42"/>
      <c r="F524" s="172"/>
      <c r="G524" s="185"/>
      <c r="H524" s="172"/>
      <c r="I524" s="172"/>
      <c r="J524" s="172"/>
    </row>
    <row r="525" spans="1:10" x14ac:dyDescent="0.25">
      <c r="A525" s="172"/>
      <c r="B525" s="172"/>
      <c r="C525" s="237"/>
      <c r="D525" s="42"/>
      <c r="E525" s="42"/>
      <c r="F525" s="172"/>
      <c r="G525" s="185"/>
      <c r="H525" s="172"/>
      <c r="I525" s="172"/>
      <c r="J525" s="172"/>
    </row>
    <row r="526" spans="1:10" x14ac:dyDescent="0.25">
      <c r="A526" s="172"/>
      <c r="B526" s="172"/>
      <c r="C526" s="237"/>
      <c r="D526" s="42"/>
      <c r="E526" s="42"/>
      <c r="F526" s="172"/>
      <c r="G526" s="185"/>
      <c r="H526" s="172"/>
      <c r="I526" s="172"/>
      <c r="J526" s="172"/>
    </row>
    <row r="527" spans="1:10" x14ac:dyDescent="0.25">
      <c r="A527" s="172"/>
      <c r="B527" s="172"/>
      <c r="C527" s="237"/>
      <c r="D527" s="42"/>
      <c r="E527" s="42"/>
      <c r="F527" s="172"/>
      <c r="G527" s="185"/>
      <c r="H527" s="172"/>
      <c r="I527" s="172"/>
      <c r="J527" s="172"/>
    </row>
    <row r="528" spans="1:10" x14ac:dyDescent="0.25">
      <c r="A528" s="172"/>
      <c r="B528" s="172"/>
      <c r="C528" s="237"/>
      <c r="D528" s="42"/>
      <c r="E528" s="42"/>
      <c r="F528" s="172"/>
      <c r="G528" s="185"/>
      <c r="H528" s="172"/>
      <c r="I528" s="172"/>
      <c r="J528" s="172"/>
    </row>
    <row r="529" spans="1:10" x14ac:dyDescent="0.25">
      <c r="A529" s="172"/>
      <c r="B529" s="172"/>
      <c r="C529" s="237"/>
      <c r="D529" s="42"/>
      <c r="E529" s="42"/>
      <c r="F529" s="172"/>
      <c r="G529" s="185"/>
      <c r="H529" s="172"/>
      <c r="I529" s="172"/>
      <c r="J529" s="172"/>
    </row>
    <row r="530" spans="1:10" x14ac:dyDescent="0.25">
      <c r="A530" s="172"/>
      <c r="B530" s="172"/>
      <c r="C530" s="237"/>
      <c r="D530" s="42"/>
      <c r="E530" s="42"/>
      <c r="F530" s="172"/>
      <c r="G530" s="185"/>
      <c r="H530" s="172"/>
      <c r="I530" s="172"/>
      <c r="J530" s="172"/>
    </row>
    <row r="531" spans="1:10" x14ac:dyDescent="0.25">
      <c r="A531" s="172"/>
      <c r="B531" s="172"/>
      <c r="C531" s="237"/>
      <c r="D531" s="42"/>
      <c r="E531" s="42"/>
      <c r="F531" s="172"/>
      <c r="G531" s="185"/>
      <c r="H531" s="172"/>
      <c r="I531" s="172"/>
      <c r="J531" s="172"/>
    </row>
    <row r="532" spans="1:10" x14ac:dyDescent="0.25">
      <c r="A532" s="172"/>
      <c r="B532" s="172"/>
      <c r="C532" s="237"/>
      <c r="D532" s="42"/>
      <c r="E532" s="42"/>
      <c r="F532" s="172"/>
      <c r="G532" s="185"/>
      <c r="H532" s="172"/>
      <c r="I532" s="172"/>
      <c r="J532" s="172"/>
    </row>
    <row r="533" spans="1:10" x14ac:dyDescent="0.25">
      <c r="A533" s="172"/>
      <c r="B533" s="172"/>
      <c r="C533" s="237"/>
      <c r="D533" s="42"/>
      <c r="E533" s="42"/>
      <c r="F533" s="172"/>
      <c r="G533" s="185"/>
      <c r="H533" s="172"/>
      <c r="I533" s="172"/>
      <c r="J533" s="172"/>
    </row>
    <row r="534" spans="1:10" x14ac:dyDescent="0.25">
      <c r="A534" s="172"/>
      <c r="B534" s="172"/>
      <c r="C534" s="237"/>
      <c r="D534" s="42"/>
      <c r="E534" s="42"/>
      <c r="F534" s="172"/>
      <c r="G534" s="185"/>
      <c r="H534" s="172"/>
      <c r="I534" s="172"/>
      <c r="J534" s="172"/>
    </row>
    <row r="535" spans="1:10" x14ac:dyDescent="0.25">
      <c r="A535" s="172"/>
      <c r="B535" s="172"/>
      <c r="C535" s="237"/>
      <c r="D535" s="42"/>
      <c r="E535" s="42"/>
      <c r="F535" s="172"/>
      <c r="G535" s="185"/>
      <c r="H535" s="172"/>
      <c r="I535" s="172"/>
      <c r="J535" s="172"/>
    </row>
    <row r="536" spans="1:10" x14ac:dyDescent="0.25">
      <c r="A536" s="172"/>
      <c r="B536" s="172"/>
      <c r="C536" s="237"/>
      <c r="D536" s="42"/>
      <c r="E536" s="42"/>
      <c r="F536" s="172"/>
      <c r="G536" s="185"/>
      <c r="H536" s="172"/>
      <c r="I536" s="172"/>
      <c r="J536" s="172"/>
    </row>
    <row r="537" spans="1:10" x14ac:dyDescent="0.25">
      <c r="A537" s="172"/>
      <c r="B537" s="172"/>
      <c r="C537" s="237"/>
      <c r="D537" s="42"/>
      <c r="E537" s="42"/>
      <c r="F537" s="172"/>
      <c r="G537" s="185"/>
      <c r="H537" s="172"/>
      <c r="I537" s="172"/>
      <c r="J537" s="172"/>
    </row>
    <row r="538" spans="1:10" x14ac:dyDescent="0.25">
      <c r="A538" s="172"/>
      <c r="B538" s="172"/>
      <c r="C538" s="237"/>
      <c r="D538" s="42"/>
      <c r="E538" s="42"/>
      <c r="F538" s="172"/>
      <c r="G538" s="185"/>
      <c r="H538" s="172"/>
      <c r="I538" s="172"/>
      <c r="J538" s="172"/>
    </row>
    <row r="539" spans="1:10" x14ac:dyDescent="0.25">
      <c r="A539" s="172"/>
      <c r="B539" s="172"/>
      <c r="C539" s="237"/>
      <c r="D539" s="42"/>
      <c r="E539" s="42"/>
      <c r="F539" s="172"/>
      <c r="G539" s="185"/>
      <c r="H539" s="172"/>
      <c r="I539" s="172"/>
      <c r="J539" s="172"/>
    </row>
    <row r="540" spans="1:10" x14ac:dyDescent="0.25">
      <c r="A540" s="172"/>
      <c r="B540" s="172"/>
      <c r="C540" s="237"/>
      <c r="D540" s="42"/>
      <c r="E540" s="42"/>
      <c r="F540" s="172"/>
      <c r="G540" s="185"/>
      <c r="H540" s="172"/>
      <c r="I540" s="172"/>
      <c r="J540" s="172"/>
    </row>
    <row r="541" spans="1:10" x14ac:dyDescent="0.25">
      <c r="A541" s="172"/>
      <c r="B541" s="172"/>
      <c r="C541" s="237"/>
      <c r="D541" s="42"/>
      <c r="E541" s="42"/>
      <c r="F541" s="172"/>
      <c r="G541" s="185"/>
      <c r="H541" s="172"/>
      <c r="I541" s="172"/>
      <c r="J541" s="172"/>
    </row>
    <row r="542" spans="1:10" x14ac:dyDescent="0.25">
      <c r="A542" s="172"/>
      <c r="B542" s="172"/>
      <c r="C542" s="237"/>
      <c r="D542" s="42"/>
      <c r="E542" s="42"/>
      <c r="F542" s="172"/>
      <c r="G542" s="185"/>
      <c r="H542" s="172"/>
      <c r="I542" s="172"/>
      <c r="J542" s="172"/>
    </row>
    <row r="543" spans="1:10" x14ac:dyDescent="0.25">
      <c r="A543" s="172"/>
      <c r="B543" s="172"/>
      <c r="C543" s="237"/>
      <c r="D543" s="42"/>
      <c r="E543" s="42"/>
      <c r="F543" s="172"/>
      <c r="G543" s="185"/>
      <c r="H543" s="172"/>
      <c r="I543" s="172"/>
      <c r="J543" s="172"/>
    </row>
    <row r="544" spans="1:10" x14ac:dyDescent="0.25">
      <c r="A544" s="172"/>
      <c r="B544" s="172"/>
      <c r="C544" s="237"/>
      <c r="D544" s="42"/>
      <c r="E544" s="42"/>
      <c r="F544" s="172"/>
      <c r="G544" s="185"/>
      <c r="H544" s="172"/>
      <c r="I544" s="172"/>
      <c r="J544" s="172"/>
    </row>
    <row r="545" spans="1:10" x14ac:dyDescent="0.25">
      <c r="A545" s="172"/>
      <c r="B545" s="172"/>
      <c r="C545" s="237"/>
      <c r="D545" s="42"/>
      <c r="E545" s="42"/>
      <c r="F545" s="172"/>
      <c r="G545" s="185"/>
      <c r="H545" s="172"/>
      <c r="I545" s="172"/>
      <c r="J545" s="172"/>
    </row>
    <row r="546" spans="1:10" x14ac:dyDescent="0.25">
      <c r="A546" s="172"/>
      <c r="B546" s="172"/>
      <c r="C546" s="237"/>
      <c r="D546" s="42"/>
      <c r="E546" s="42"/>
      <c r="F546" s="172"/>
      <c r="G546" s="185"/>
      <c r="H546" s="172"/>
      <c r="I546" s="172"/>
      <c r="J546" s="172"/>
    </row>
    <row r="547" spans="1:10" x14ac:dyDescent="0.25">
      <c r="A547" s="172"/>
      <c r="B547" s="172"/>
      <c r="C547" s="237"/>
      <c r="D547" s="42"/>
      <c r="E547" s="42"/>
      <c r="F547" s="172"/>
      <c r="G547" s="185"/>
      <c r="H547" s="172"/>
      <c r="I547" s="172"/>
      <c r="J547" s="172"/>
    </row>
    <row r="548" spans="1:10" x14ac:dyDescent="0.25">
      <c r="A548" s="172"/>
      <c r="B548" s="172"/>
      <c r="C548" s="237"/>
      <c r="D548" s="42"/>
      <c r="E548" s="42"/>
      <c r="F548" s="172"/>
      <c r="G548" s="185"/>
      <c r="H548" s="172"/>
      <c r="I548" s="172"/>
      <c r="J548" s="172"/>
    </row>
    <row r="549" spans="1:10" x14ac:dyDescent="0.25">
      <c r="A549" s="172"/>
      <c r="B549" s="172"/>
      <c r="C549" s="237"/>
      <c r="D549" s="42"/>
      <c r="E549" s="42"/>
      <c r="F549" s="172"/>
      <c r="G549" s="185"/>
      <c r="H549" s="172"/>
      <c r="I549" s="172"/>
      <c r="J549" s="172"/>
    </row>
    <row r="550" spans="1:10" x14ac:dyDescent="0.25">
      <c r="A550" s="172"/>
      <c r="B550" s="172"/>
      <c r="C550" s="237"/>
      <c r="D550" s="42"/>
      <c r="E550" s="42"/>
      <c r="F550" s="172"/>
      <c r="G550" s="185"/>
      <c r="H550" s="172"/>
      <c r="I550" s="172"/>
      <c r="J550" s="172"/>
    </row>
    <row r="551" spans="1:10" x14ac:dyDescent="0.25">
      <c r="A551" s="172"/>
      <c r="B551" s="172"/>
      <c r="C551" s="237"/>
      <c r="D551" s="42"/>
      <c r="E551" s="42"/>
      <c r="F551" s="172"/>
      <c r="G551" s="185"/>
      <c r="H551" s="172"/>
      <c r="I551" s="172"/>
      <c r="J551" s="172"/>
    </row>
    <row r="552" spans="1:10" x14ac:dyDescent="0.25">
      <c r="A552" s="172"/>
      <c r="B552" s="172"/>
      <c r="C552" s="237"/>
      <c r="D552" s="42"/>
      <c r="E552" s="42"/>
      <c r="F552" s="172"/>
      <c r="G552" s="185"/>
      <c r="H552" s="172"/>
      <c r="I552" s="172"/>
      <c r="J552" s="172"/>
    </row>
    <row r="553" spans="1:10" x14ac:dyDescent="0.25">
      <c r="A553" s="172"/>
      <c r="B553" s="172"/>
      <c r="C553" s="237"/>
      <c r="D553" s="42"/>
      <c r="E553" s="42"/>
      <c r="F553" s="172"/>
      <c r="G553" s="185"/>
      <c r="H553" s="172"/>
      <c r="I553" s="172"/>
      <c r="J553" s="172"/>
    </row>
    <row r="554" spans="1:10" x14ac:dyDescent="0.25">
      <c r="A554" s="172"/>
      <c r="B554" s="172"/>
      <c r="C554" s="237"/>
      <c r="D554" s="42"/>
      <c r="E554" s="42"/>
      <c r="F554" s="172"/>
      <c r="G554" s="185"/>
      <c r="H554" s="172"/>
      <c r="I554" s="172"/>
      <c r="J554" s="172"/>
    </row>
    <row r="555" spans="1:10" x14ac:dyDescent="0.25">
      <c r="A555" s="172"/>
      <c r="B555" s="172"/>
      <c r="C555" s="237"/>
      <c r="D555" s="42"/>
      <c r="E555" s="42"/>
      <c r="F555" s="172"/>
      <c r="G555" s="185"/>
      <c r="H555" s="172"/>
      <c r="I555" s="172"/>
      <c r="J555" s="172"/>
    </row>
    <row r="556" spans="1:10" x14ac:dyDescent="0.25">
      <c r="A556" s="172"/>
      <c r="B556" s="172"/>
      <c r="C556" s="237"/>
      <c r="D556" s="42"/>
      <c r="E556" s="42"/>
      <c r="F556" s="172"/>
      <c r="G556" s="185"/>
      <c r="H556" s="172"/>
      <c r="I556" s="172"/>
      <c r="J556" s="172"/>
    </row>
    <row r="557" spans="1:10" x14ac:dyDescent="0.25">
      <c r="A557" s="172"/>
      <c r="B557" s="172"/>
      <c r="C557" s="237"/>
      <c r="D557" s="42"/>
      <c r="E557" s="42"/>
      <c r="F557" s="172"/>
      <c r="G557" s="185"/>
      <c r="H557" s="172"/>
      <c r="I557" s="172"/>
      <c r="J557" s="172"/>
    </row>
    <row r="558" spans="1:10" x14ac:dyDescent="0.25">
      <c r="B558" s="172"/>
      <c r="C558" s="237"/>
      <c r="D558" s="42"/>
      <c r="E558" s="42"/>
      <c r="F558" s="172"/>
      <c r="G558" s="185"/>
      <c r="H558" s="172"/>
      <c r="I558" s="172"/>
      <c r="J558" s="172"/>
    </row>
    <row r="559" spans="1:10" x14ac:dyDescent="0.25">
      <c r="B559" s="172"/>
      <c r="C559" s="237"/>
      <c r="D559" s="42"/>
      <c r="E559" s="42"/>
      <c r="F559" s="172"/>
      <c r="G559" s="185"/>
      <c r="H559" s="172"/>
      <c r="I559" s="172"/>
      <c r="J559" s="172"/>
    </row>
    <row r="560" spans="1:10" x14ac:dyDescent="0.25">
      <c r="B560" s="172"/>
      <c r="C560" s="237"/>
      <c r="D560" s="42"/>
      <c r="E560" s="42"/>
      <c r="F560" s="172"/>
      <c r="G560" s="185"/>
      <c r="H560" s="172"/>
      <c r="I560" s="172"/>
      <c r="J560" s="172"/>
    </row>
    <row r="561" spans="2:10" x14ac:dyDescent="0.25">
      <c r="B561" s="172"/>
      <c r="C561" s="237"/>
      <c r="D561" s="42"/>
      <c r="E561" s="42"/>
      <c r="F561" s="172"/>
      <c r="G561" s="185"/>
      <c r="H561" s="172"/>
      <c r="I561" s="172"/>
      <c r="J561" s="172"/>
    </row>
    <row r="562" spans="2:10" x14ac:dyDescent="0.25">
      <c r="B562" s="172"/>
      <c r="C562" s="237"/>
      <c r="D562" s="42"/>
      <c r="E562" s="42"/>
      <c r="F562" s="172"/>
      <c r="G562" s="185"/>
      <c r="H562" s="172"/>
      <c r="I562" s="172"/>
      <c r="J562" s="172"/>
    </row>
    <row r="563" spans="2:10" x14ac:dyDescent="0.25">
      <c r="B563" s="172"/>
      <c r="C563" s="237"/>
      <c r="D563" s="42"/>
      <c r="E563" s="42"/>
      <c r="F563" s="172"/>
      <c r="G563" s="185"/>
      <c r="H563" s="172"/>
      <c r="I563" s="172"/>
      <c r="J563" s="172"/>
    </row>
    <row r="564" spans="2:10" x14ac:dyDescent="0.25">
      <c r="B564" s="172"/>
      <c r="C564" s="237"/>
      <c r="D564" s="42"/>
      <c r="E564" s="42"/>
      <c r="F564" s="172"/>
      <c r="G564" s="185"/>
      <c r="H564" s="172"/>
      <c r="I564" s="172"/>
      <c r="J564" s="172"/>
    </row>
    <row r="565" spans="2:10" x14ac:dyDescent="0.25">
      <c r="B565" s="172"/>
      <c r="C565" s="237"/>
      <c r="D565" s="42"/>
      <c r="E565" s="42"/>
      <c r="F565" s="172"/>
      <c r="G565" s="185"/>
      <c r="H565" s="172"/>
      <c r="I565" s="172"/>
      <c r="J565" s="172"/>
    </row>
    <row r="566" spans="2:10" x14ac:dyDescent="0.25">
      <c r="B566" s="172"/>
      <c r="C566" s="237"/>
      <c r="D566" s="42"/>
      <c r="E566" s="42"/>
      <c r="F566" s="172"/>
      <c r="G566" s="185"/>
      <c r="H566" s="172"/>
      <c r="I566" s="172"/>
      <c r="J566" s="172"/>
    </row>
    <row r="567" spans="2:10" x14ac:dyDescent="0.25">
      <c r="B567" s="172"/>
      <c r="C567" s="237"/>
      <c r="D567" s="42"/>
      <c r="E567" s="42"/>
      <c r="F567" s="172"/>
      <c r="G567" s="185"/>
      <c r="H567" s="172"/>
      <c r="I567" s="172"/>
      <c r="J567" s="172"/>
    </row>
    <row r="568" spans="2:10" x14ac:dyDescent="0.25">
      <c r="B568" s="172"/>
      <c r="C568" s="237"/>
      <c r="D568" s="42"/>
      <c r="E568" s="42"/>
      <c r="F568" s="172"/>
      <c r="G568" s="185"/>
      <c r="H568" s="172"/>
      <c r="I568" s="172"/>
      <c r="J568" s="172"/>
    </row>
    <row r="569" spans="2:10" x14ac:dyDescent="0.25">
      <c r="B569" s="172"/>
      <c r="C569" s="237"/>
      <c r="D569" s="42"/>
      <c r="E569" s="42"/>
      <c r="F569" s="172"/>
      <c r="G569" s="185"/>
      <c r="H569" s="172"/>
      <c r="I569" s="172"/>
      <c r="J569" s="172"/>
    </row>
    <row r="570" spans="2:10" x14ac:dyDescent="0.25">
      <c r="B570" s="172"/>
      <c r="C570" s="237"/>
      <c r="D570" s="42"/>
      <c r="E570" s="42"/>
      <c r="F570" s="172"/>
      <c r="G570" s="185"/>
      <c r="H570" s="172"/>
      <c r="I570" s="172"/>
      <c r="J570" s="172"/>
    </row>
    <row r="571" spans="2:10" x14ac:dyDescent="0.25">
      <c r="B571" s="172"/>
      <c r="C571" s="237"/>
      <c r="D571" s="42"/>
      <c r="E571" s="42"/>
      <c r="F571" s="172"/>
      <c r="G571" s="185"/>
      <c r="H571" s="172"/>
      <c r="I571" s="172"/>
      <c r="J571" s="172"/>
    </row>
    <row r="572" spans="2:10" x14ac:dyDescent="0.25">
      <c r="B572" s="172"/>
      <c r="C572" s="237"/>
      <c r="D572" s="42"/>
      <c r="E572" s="42"/>
      <c r="F572" s="172"/>
      <c r="G572" s="185"/>
      <c r="H572" s="172"/>
      <c r="I572" s="172"/>
      <c r="J572" s="172"/>
    </row>
    <row r="573" spans="2:10" x14ac:dyDescent="0.25">
      <c r="B573" s="172"/>
      <c r="C573" s="237"/>
      <c r="D573" s="42"/>
      <c r="E573" s="42"/>
      <c r="F573" s="172"/>
      <c r="G573" s="185"/>
      <c r="H573" s="172"/>
      <c r="I573" s="172"/>
      <c r="J573" s="172"/>
    </row>
    <row r="574" spans="2:10" x14ac:dyDescent="0.25">
      <c r="B574" s="172"/>
      <c r="C574" s="237"/>
      <c r="D574" s="42"/>
      <c r="E574" s="42"/>
      <c r="F574" s="172"/>
      <c r="G574" s="185"/>
      <c r="H574" s="172"/>
      <c r="I574" s="172"/>
      <c r="J574" s="172"/>
    </row>
    <row r="575" spans="2:10" x14ac:dyDescent="0.25">
      <c r="B575" s="172"/>
      <c r="C575" s="237"/>
      <c r="D575" s="42"/>
      <c r="E575" s="42"/>
      <c r="F575" s="172"/>
      <c r="G575" s="185"/>
      <c r="H575" s="172"/>
      <c r="I575" s="172"/>
      <c r="J575" s="172"/>
    </row>
    <row r="576" spans="2:10" x14ac:dyDescent="0.25">
      <c r="B576" s="172"/>
      <c r="C576" s="237"/>
      <c r="D576" s="42"/>
      <c r="E576" s="42"/>
      <c r="F576" s="172"/>
      <c r="G576" s="185"/>
      <c r="H576" s="172"/>
      <c r="I576" s="172"/>
      <c r="J576" s="172"/>
    </row>
    <row r="577" spans="2:10" x14ac:dyDescent="0.25">
      <c r="B577" s="172"/>
      <c r="C577" s="237"/>
      <c r="D577" s="42"/>
      <c r="E577" s="42"/>
      <c r="F577" s="172"/>
      <c r="G577" s="185"/>
      <c r="H577" s="172"/>
      <c r="I577" s="172"/>
      <c r="J577" s="172"/>
    </row>
    <row r="578" spans="2:10" x14ac:dyDescent="0.25">
      <c r="B578" s="172"/>
      <c r="C578" s="237"/>
      <c r="D578" s="42"/>
      <c r="E578" s="42"/>
      <c r="F578" s="172"/>
      <c r="G578" s="185"/>
      <c r="H578" s="172"/>
      <c r="I578" s="172"/>
      <c r="J578" s="172"/>
    </row>
    <row r="579" spans="2:10" x14ac:dyDescent="0.25">
      <c r="B579" s="172"/>
      <c r="C579" s="236"/>
      <c r="D579" s="172"/>
      <c r="E579" s="172"/>
      <c r="F579" s="172"/>
      <c r="G579" s="185"/>
      <c r="H579" s="172"/>
      <c r="I579" s="172"/>
      <c r="J579" s="172"/>
    </row>
    <row r="580" spans="2:10" x14ac:dyDescent="0.25">
      <c r="B580" s="172"/>
      <c r="C580" s="236"/>
      <c r="D580" s="172"/>
      <c r="E580" s="172"/>
      <c r="F580" s="172"/>
      <c r="G580" s="185"/>
      <c r="H580" s="172"/>
      <c r="I580" s="172"/>
      <c r="J580" s="172"/>
    </row>
    <row r="581" spans="2:10" x14ac:dyDescent="0.25">
      <c r="B581" s="172"/>
      <c r="C581" s="236"/>
      <c r="D581" s="172"/>
      <c r="E581" s="172"/>
      <c r="F581" s="172"/>
      <c r="G581" s="185"/>
      <c r="H581" s="172"/>
      <c r="I581" s="172"/>
      <c r="J581" s="172"/>
    </row>
    <row r="582" spans="2:10" x14ac:dyDescent="0.25">
      <c r="B582" s="172"/>
      <c r="C582" s="236"/>
      <c r="D582" s="172"/>
      <c r="E582" s="172"/>
      <c r="F582" s="172"/>
      <c r="G582" s="185"/>
      <c r="H582" s="172"/>
      <c r="I582" s="172"/>
      <c r="J582" s="172"/>
    </row>
    <row r="583" spans="2:10" x14ac:dyDescent="0.25">
      <c r="B583" s="172"/>
      <c r="C583" s="236"/>
      <c r="D583" s="172"/>
      <c r="E583" s="172"/>
      <c r="F583" s="172"/>
      <c r="G583" s="185"/>
      <c r="H583" s="172"/>
      <c r="I583" s="172"/>
      <c r="J583" s="172"/>
    </row>
    <row r="584" spans="2:10" x14ac:dyDescent="0.25">
      <c r="B584" s="172"/>
      <c r="C584" s="236"/>
      <c r="D584" s="172"/>
      <c r="E584" s="172"/>
      <c r="F584" s="172"/>
      <c r="G584" s="185"/>
      <c r="H584" s="172"/>
      <c r="I584" s="172"/>
      <c r="J584" s="172"/>
    </row>
    <row r="585" spans="2:10" x14ac:dyDescent="0.25">
      <c r="B585" s="172"/>
      <c r="C585" s="236"/>
      <c r="D585" s="172"/>
      <c r="E585" s="172"/>
      <c r="F585" s="172"/>
      <c r="G585" s="185"/>
      <c r="H585" s="172"/>
      <c r="I585" s="172"/>
      <c r="J585" s="172"/>
    </row>
    <row r="586" spans="2:10" x14ac:dyDescent="0.25">
      <c r="B586" s="172"/>
      <c r="C586" s="236"/>
      <c r="D586" s="172"/>
      <c r="E586" s="172"/>
      <c r="F586" s="172"/>
      <c r="G586" s="185"/>
      <c r="H586" s="172"/>
      <c r="I586" s="172"/>
      <c r="J586" s="172"/>
    </row>
    <row r="587" spans="2:10" x14ac:dyDescent="0.25">
      <c r="B587" s="172"/>
      <c r="C587" s="236"/>
      <c r="D587" s="172"/>
      <c r="E587" s="172"/>
      <c r="F587" s="172"/>
      <c r="G587" s="185"/>
      <c r="H587" s="172"/>
      <c r="I587" s="172"/>
      <c r="J587" s="172"/>
    </row>
    <row r="588" spans="2:10" x14ac:dyDescent="0.25">
      <c r="B588" s="172"/>
      <c r="C588" s="236"/>
      <c r="D588" s="172"/>
      <c r="E588" s="172"/>
      <c r="F588" s="172"/>
      <c r="G588" s="185"/>
      <c r="H588" s="172"/>
      <c r="I588" s="172"/>
      <c r="J588" s="172"/>
    </row>
    <row r="589" spans="2:10" x14ac:dyDescent="0.25">
      <c r="B589" s="172"/>
      <c r="C589" s="236"/>
      <c r="D589" s="172"/>
      <c r="E589" s="172"/>
      <c r="F589" s="172"/>
      <c r="G589" s="185"/>
      <c r="H589" s="172"/>
      <c r="I589" s="172"/>
      <c r="J589" s="172"/>
    </row>
    <row r="590" spans="2:10" x14ac:dyDescent="0.25">
      <c r="B590" s="172"/>
      <c r="C590" s="236"/>
      <c r="D590" s="172"/>
      <c r="E590" s="172"/>
      <c r="F590" s="172"/>
      <c r="G590" s="185"/>
      <c r="H590" s="172"/>
      <c r="I590" s="172"/>
      <c r="J590" s="172"/>
    </row>
    <row r="591" spans="2:10" x14ac:dyDescent="0.25">
      <c r="B591" s="172"/>
      <c r="C591" s="236"/>
      <c r="D591" s="172"/>
      <c r="E591" s="172"/>
      <c r="F591" s="172"/>
      <c r="G591" s="185"/>
      <c r="H591" s="172"/>
      <c r="I591" s="172"/>
      <c r="J591" s="172"/>
    </row>
    <row r="592" spans="2:10" x14ac:dyDescent="0.25">
      <c r="B592" s="172"/>
      <c r="C592" s="236"/>
      <c r="D592" s="172"/>
      <c r="E592" s="172"/>
      <c r="F592" s="172"/>
      <c r="G592" s="185"/>
      <c r="H592" s="172"/>
      <c r="I592" s="172"/>
      <c r="J592" s="172"/>
    </row>
    <row r="593" spans="2:10" x14ac:dyDescent="0.25">
      <c r="B593" s="172"/>
      <c r="C593" s="236"/>
      <c r="D593" s="172"/>
      <c r="E593" s="172"/>
      <c r="F593" s="172"/>
      <c r="G593" s="185"/>
      <c r="H593" s="172"/>
      <c r="I593" s="172"/>
      <c r="J593" s="172"/>
    </row>
    <row r="594" spans="2:10" x14ac:dyDescent="0.25">
      <c r="B594" s="172"/>
      <c r="C594" s="236"/>
      <c r="D594" s="172"/>
      <c r="E594" s="172"/>
      <c r="F594" s="172"/>
      <c r="G594" s="185"/>
      <c r="H594" s="172"/>
      <c r="I594" s="172"/>
      <c r="J594" s="172"/>
    </row>
    <row r="595" spans="2:10" x14ac:dyDescent="0.25">
      <c r="B595" s="172"/>
      <c r="C595" s="236"/>
      <c r="D595" s="172"/>
      <c r="E595" s="172"/>
      <c r="F595" s="172"/>
      <c r="G595" s="185"/>
      <c r="H595" s="172"/>
      <c r="I595" s="172"/>
      <c r="J595" s="172"/>
    </row>
    <row r="596" spans="2:10" x14ac:dyDescent="0.25">
      <c r="B596" s="172"/>
      <c r="C596" s="236"/>
      <c r="D596" s="172"/>
      <c r="E596" s="172"/>
      <c r="F596" s="172"/>
      <c r="G596" s="185"/>
      <c r="H596" s="172"/>
      <c r="I596" s="172"/>
      <c r="J596" s="172"/>
    </row>
    <row r="597" spans="2:10" x14ac:dyDescent="0.25">
      <c r="B597" s="172"/>
      <c r="C597" s="236"/>
      <c r="D597" s="172"/>
      <c r="E597" s="172"/>
      <c r="F597" s="172"/>
      <c r="G597" s="185"/>
      <c r="H597" s="172"/>
      <c r="I597" s="172"/>
      <c r="J597" s="172"/>
    </row>
    <row r="598" spans="2:10" x14ac:dyDescent="0.25">
      <c r="B598" s="172"/>
      <c r="C598" s="236"/>
      <c r="D598" s="172"/>
      <c r="E598" s="172"/>
      <c r="F598" s="172"/>
      <c r="G598" s="185"/>
      <c r="H598" s="172"/>
      <c r="I598" s="172"/>
      <c r="J598" s="172"/>
    </row>
    <row r="599" spans="2:10" x14ac:dyDescent="0.25">
      <c r="B599" s="172"/>
      <c r="C599" s="236"/>
      <c r="D599" s="172"/>
      <c r="E599" s="172"/>
      <c r="F599" s="172"/>
      <c r="G599" s="185"/>
      <c r="H599" s="172"/>
      <c r="I599" s="172"/>
      <c r="J599" s="172"/>
    </row>
    <row r="600" spans="2:10" x14ac:dyDescent="0.25">
      <c r="B600" s="172"/>
      <c r="C600" s="236"/>
      <c r="D600" s="172"/>
      <c r="E600" s="172"/>
      <c r="F600" s="172"/>
      <c r="G600" s="185"/>
      <c r="H600" s="172"/>
      <c r="I600" s="172"/>
      <c r="J600" s="172"/>
    </row>
    <row r="601" spans="2:10" x14ac:dyDescent="0.25">
      <c r="B601" s="172"/>
      <c r="C601" s="236"/>
      <c r="D601" s="172"/>
      <c r="E601" s="172"/>
      <c r="F601" s="172"/>
      <c r="G601" s="185"/>
      <c r="H601" s="172"/>
      <c r="I601" s="172"/>
      <c r="J601" s="172"/>
    </row>
    <row r="602" spans="2:10" x14ac:dyDescent="0.25">
      <c r="B602" s="172"/>
      <c r="C602" s="236"/>
      <c r="D602" s="172"/>
      <c r="E602" s="172"/>
      <c r="F602" s="172"/>
      <c r="G602" s="185"/>
      <c r="H602" s="172"/>
      <c r="I602" s="172"/>
      <c r="J602" s="172"/>
    </row>
    <row r="603" spans="2:10" x14ac:dyDescent="0.25">
      <c r="B603" s="172"/>
      <c r="C603" s="236"/>
      <c r="D603" s="172"/>
      <c r="E603" s="172"/>
      <c r="F603" s="172"/>
      <c r="G603" s="185"/>
      <c r="H603" s="172"/>
      <c r="I603" s="172"/>
      <c r="J603" s="172"/>
    </row>
    <row r="604" spans="2:10" x14ac:dyDescent="0.25">
      <c r="B604" s="172"/>
      <c r="C604" s="236"/>
      <c r="D604" s="172"/>
      <c r="E604" s="172"/>
      <c r="F604" s="172"/>
      <c r="G604" s="185"/>
      <c r="H604" s="172"/>
      <c r="I604" s="172"/>
      <c r="J604" s="172"/>
    </row>
    <row r="605" spans="2:10" x14ac:dyDescent="0.25">
      <c r="B605" s="172"/>
      <c r="C605" s="236"/>
      <c r="D605" s="172"/>
      <c r="E605" s="172"/>
      <c r="F605" s="172"/>
      <c r="G605" s="185"/>
      <c r="H605" s="172"/>
      <c r="I605" s="172"/>
      <c r="J605" s="172"/>
    </row>
    <row r="606" spans="2:10" x14ac:dyDescent="0.25">
      <c r="B606" s="172"/>
      <c r="C606" s="236"/>
      <c r="D606" s="172"/>
      <c r="E606" s="172"/>
      <c r="F606" s="172"/>
      <c r="G606" s="185"/>
      <c r="H606" s="172"/>
      <c r="I606" s="172"/>
      <c r="J606" s="172"/>
    </row>
    <row r="607" spans="2:10" x14ac:dyDescent="0.25">
      <c r="B607" s="172"/>
      <c r="C607" s="236"/>
      <c r="D607" s="172"/>
      <c r="E607" s="172"/>
      <c r="F607" s="172"/>
      <c r="G607" s="185"/>
      <c r="H607" s="172"/>
      <c r="I607" s="172"/>
      <c r="J607" s="172"/>
    </row>
    <row r="608" spans="2:10" x14ac:dyDescent="0.25">
      <c r="B608" s="172"/>
      <c r="C608" s="236"/>
      <c r="D608" s="172"/>
      <c r="E608" s="172"/>
      <c r="F608" s="172"/>
      <c r="G608" s="185"/>
      <c r="H608" s="172"/>
      <c r="I608" s="172"/>
      <c r="J608" s="172"/>
    </row>
    <row r="609" spans="2:10" x14ac:dyDescent="0.25">
      <c r="B609" s="172"/>
      <c r="C609" s="236"/>
      <c r="D609" s="172"/>
      <c r="E609" s="172"/>
      <c r="F609" s="172"/>
      <c r="G609" s="185"/>
      <c r="H609" s="172"/>
      <c r="I609" s="172"/>
      <c r="J609" s="172"/>
    </row>
    <row r="610" spans="2:10" x14ac:dyDescent="0.25">
      <c r="B610" s="172"/>
      <c r="C610" s="236"/>
      <c r="D610" s="172"/>
      <c r="E610" s="172"/>
      <c r="F610" s="172"/>
      <c r="G610" s="185"/>
      <c r="H610" s="172"/>
      <c r="I610" s="172"/>
      <c r="J610" s="172"/>
    </row>
    <row r="611" spans="2:10" x14ac:dyDescent="0.25">
      <c r="B611" s="172"/>
      <c r="C611" s="236"/>
      <c r="D611" s="172"/>
      <c r="E611" s="172"/>
      <c r="F611" s="172"/>
      <c r="G611" s="185"/>
      <c r="H611" s="172"/>
      <c r="I611" s="172"/>
      <c r="J611" s="172"/>
    </row>
    <row r="612" spans="2:10" x14ac:dyDescent="0.25">
      <c r="B612" s="172"/>
      <c r="C612" s="236"/>
      <c r="D612" s="172"/>
      <c r="E612" s="172"/>
      <c r="F612" s="172"/>
      <c r="G612" s="185"/>
      <c r="H612" s="172"/>
      <c r="I612" s="172"/>
      <c r="J612" s="172"/>
    </row>
    <row r="613" spans="2:10" x14ac:dyDescent="0.25">
      <c r="B613" s="172"/>
      <c r="C613" s="236"/>
      <c r="D613" s="172"/>
      <c r="E613" s="172"/>
      <c r="F613" s="172"/>
      <c r="G613" s="185"/>
      <c r="H613" s="172"/>
      <c r="I613" s="172"/>
      <c r="J613" s="172"/>
    </row>
    <row r="614" spans="2:10" x14ac:dyDescent="0.25">
      <c r="B614" s="172"/>
      <c r="C614" s="236"/>
      <c r="D614" s="172"/>
      <c r="E614" s="172"/>
      <c r="F614" s="172"/>
      <c r="G614" s="185"/>
      <c r="H614" s="172"/>
      <c r="I614" s="172"/>
      <c r="J614" s="172"/>
    </row>
    <row r="615" spans="2:10" x14ac:dyDescent="0.25">
      <c r="B615" s="172"/>
      <c r="C615" s="236"/>
      <c r="D615" s="172"/>
      <c r="E615" s="172"/>
      <c r="F615" s="172"/>
      <c r="G615" s="185"/>
      <c r="H615" s="172"/>
      <c r="I615" s="172"/>
      <c r="J615" s="172"/>
    </row>
    <row r="616" spans="2:10" x14ac:dyDescent="0.25">
      <c r="B616" s="172"/>
      <c r="C616" s="236"/>
      <c r="D616" s="172"/>
      <c r="E616" s="172"/>
      <c r="F616" s="172"/>
      <c r="G616" s="185"/>
      <c r="H616" s="172"/>
      <c r="I616" s="172"/>
      <c r="J616" s="172"/>
    </row>
    <row r="617" spans="2:10" x14ac:dyDescent="0.25">
      <c r="B617" s="172"/>
      <c r="C617" s="236"/>
      <c r="D617" s="172"/>
      <c r="E617" s="172"/>
      <c r="F617" s="172"/>
      <c r="G617" s="185"/>
      <c r="H617" s="172"/>
      <c r="I617" s="172"/>
      <c r="J617" s="172"/>
    </row>
    <row r="618" spans="2:10" x14ac:dyDescent="0.25">
      <c r="B618" s="172"/>
      <c r="C618" s="236"/>
      <c r="D618" s="172"/>
      <c r="E618" s="172"/>
      <c r="F618" s="172"/>
      <c r="G618" s="185"/>
      <c r="H618" s="172"/>
      <c r="I618" s="172"/>
      <c r="J618" s="172"/>
    </row>
    <row r="619" spans="2:10" x14ac:dyDescent="0.25">
      <c r="B619" s="172"/>
      <c r="C619" s="236"/>
      <c r="D619" s="172"/>
      <c r="E619" s="172"/>
      <c r="F619" s="172"/>
      <c r="G619" s="185"/>
      <c r="H619" s="172"/>
      <c r="I619" s="172"/>
      <c r="J619" s="172"/>
    </row>
    <row r="620" spans="2:10" x14ac:dyDescent="0.25">
      <c r="B620" s="172"/>
      <c r="C620" s="236"/>
      <c r="D620" s="172"/>
      <c r="E620" s="172"/>
      <c r="F620" s="172"/>
      <c r="G620" s="185"/>
      <c r="H620" s="172"/>
      <c r="I620" s="172"/>
      <c r="J620" s="172"/>
    </row>
    <row r="621" spans="2:10" x14ac:dyDescent="0.25">
      <c r="B621" s="172"/>
      <c r="C621" s="236"/>
      <c r="D621" s="172"/>
      <c r="E621" s="172"/>
      <c r="F621" s="172"/>
      <c r="G621" s="185"/>
      <c r="H621" s="172"/>
      <c r="I621" s="172"/>
      <c r="J621" s="172"/>
    </row>
    <row r="622" spans="2:10" x14ac:dyDescent="0.25">
      <c r="B622" s="172"/>
      <c r="C622" s="236"/>
      <c r="D622" s="172"/>
      <c r="E622" s="172"/>
      <c r="F622" s="172"/>
      <c r="G622" s="185"/>
      <c r="H622" s="172"/>
      <c r="I622" s="172"/>
      <c r="J622" s="172"/>
    </row>
    <row r="623" spans="2:10" x14ac:dyDescent="0.25">
      <c r="B623" s="172"/>
      <c r="C623" s="236"/>
      <c r="D623" s="172"/>
      <c r="E623" s="172"/>
      <c r="F623" s="172"/>
      <c r="G623" s="185"/>
      <c r="H623" s="172"/>
      <c r="I623" s="172"/>
      <c r="J623" s="172"/>
    </row>
    <row r="624" spans="2:10" x14ac:dyDescent="0.25">
      <c r="B624" s="172"/>
      <c r="C624" s="236"/>
      <c r="D624" s="172"/>
      <c r="E624" s="172"/>
      <c r="F624" s="172"/>
      <c r="G624" s="185"/>
      <c r="H624" s="172"/>
      <c r="I624" s="172"/>
      <c r="J624" s="172"/>
    </row>
    <row r="625" spans="2:10" x14ac:dyDescent="0.25">
      <c r="B625" s="172"/>
      <c r="C625" s="236"/>
      <c r="D625" s="172"/>
      <c r="E625" s="172"/>
      <c r="F625" s="172"/>
      <c r="G625" s="185"/>
      <c r="H625" s="172"/>
      <c r="I625" s="172"/>
      <c r="J625" s="172"/>
    </row>
    <row r="626" spans="2:10" x14ac:dyDescent="0.25">
      <c r="B626" s="172"/>
      <c r="C626" s="236"/>
      <c r="D626" s="172"/>
      <c r="E626" s="172"/>
      <c r="F626" s="172"/>
      <c r="G626" s="185"/>
      <c r="H626" s="172"/>
      <c r="I626" s="172"/>
      <c r="J626" s="172"/>
    </row>
    <row r="627" spans="2:10" x14ac:dyDescent="0.25">
      <c r="B627" s="172"/>
      <c r="C627" s="236"/>
      <c r="D627" s="172"/>
      <c r="E627" s="172"/>
      <c r="F627" s="172"/>
      <c r="G627" s="185"/>
      <c r="H627" s="172"/>
      <c r="I627" s="172"/>
      <c r="J627" s="172"/>
    </row>
    <row r="628" spans="2:10" x14ac:dyDescent="0.25">
      <c r="B628" s="172"/>
      <c r="C628" s="236"/>
      <c r="D628" s="172"/>
      <c r="E628" s="172"/>
      <c r="F628" s="172"/>
      <c r="G628" s="185"/>
      <c r="H628" s="172"/>
      <c r="I628" s="172"/>
      <c r="J628" s="172"/>
    </row>
    <row r="629" spans="2:10" x14ac:dyDescent="0.25">
      <c r="B629" s="172"/>
      <c r="C629" s="236"/>
      <c r="D629" s="172"/>
      <c r="E629" s="172"/>
      <c r="F629" s="172"/>
      <c r="G629" s="185"/>
      <c r="H629" s="172"/>
      <c r="I629" s="172"/>
      <c r="J629" s="172"/>
    </row>
    <row r="630" spans="2:10" x14ac:dyDescent="0.25">
      <c r="B630" s="172"/>
      <c r="C630" s="236"/>
      <c r="D630" s="172"/>
      <c r="E630" s="172"/>
      <c r="F630" s="172"/>
      <c r="G630" s="185"/>
      <c r="H630" s="172"/>
      <c r="I630" s="172"/>
      <c r="J630" s="172"/>
    </row>
    <row r="631" spans="2:10" x14ac:dyDescent="0.25">
      <c r="B631" s="172"/>
      <c r="C631" s="236"/>
      <c r="D631" s="172"/>
      <c r="E631" s="172"/>
      <c r="F631" s="172"/>
      <c r="G631" s="185"/>
      <c r="H631" s="172"/>
      <c r="I631" s="172"/>
      <c r="J631" s="172"/>
    </row>
    <row r="632" spans="2:10" x14ac:dyDescent="0.25">
      <c r="B632" s="172"/>
      <c r="C632" s="236"/>
      <c r="D632" s="172"/>
      <c r="E632" s="172"/>
      <c r="F632" s="172"/>
      <c r="G632" s="185"/>
      <c r="H632" s="172"/>
      <c r="I632" s="172"/>
      <c r="J632" s="172"/>
    </row>
    <row r="633" spans="2:10" x14ac:dyDescent="0.25">
      <c r="B633" s="172"/>
      <c r="C633" s="236"/>
      <c r="D633" s="172"/>
      <c r="E633" s="172"/>
      <c r="F633" s="172"/>
      <c r="G633" s="185"/>
      <c r="H633" s="172"/>
      <c r="I633" s="172"/>
      <c r="J633" s="172"/>
    </row>
    <row r="634" spans="2:10" x14ac:dyDescent="0.25">
      <c r="B634" s="172"/>
      <c r="C634" s="236"/>
      <c r="D634" s="172"/>
      <c r="E634" s="172"/>
      <c r="F634" s="172"/>
      <c r="G634" s="185"/>
      <c r="H634" s="172"/>
      <c r="I634" s="172"/>
      <c r="J634" s="172"/>
    </row>
    <row r="635" spans="2:10" x14ac:dyDescent="0.25">
      <c r="C635" s="236"/>
      <c r="H635" s="22"/>
    </row>
    <row r="636" spans="2:10" x14ac:dyDescent="0.25">
      <c r="C636" s="236"/>
      <c r="H636" s="22"/>
    </row>
    <row r="637" spans="2:10" x14ac:dyDescent="0.25">
      <c r="C637" s="236"/>
      <c r="H637" s="22"/>
    </row>
    <row r="638" spans="2:10" x14ac:dyDescent="0.25">
      <c r="C638" s="236"/>
      <c r="H638" s="22"/>
    </row>
    <row r="639" spans="2:10" x14ac:dyDescent="0.25">
      <c r="C639" s="236"/>
      <c r="H639" s="22"/>
    </row>
    <row r="640" spans="2:10" x14ac:dyDescent="0.25">
      <c r="C640" s="236"/>
      <c r="H640" s="22"/>
    </row>
    <row r="641" spans="2:7" s="22" customFormat="1" x14ac:dyDescent="0.25">
      <c r="B641" s="2"/>
      <c r="C641" s="236"/>
      <c r="D641" s="8"/>
      <c r="E641" s="8"/>
      <c r="F641" s="37"/>
      <c r="G641" s="180"/>
    </row>
    <row r="642" spans="2:7" s="22" customFormat="1" x14ac:dyDescent="0.25">
      <c r="B642" s="2"/>
      <c r="C642" s="236"/>
      <c r="D642" s="8"/>
      <c r="E642" s="8"/>
      <c r="F642" s="37"/>
      <c r="G642" s="180"/>
    </row>
    <row r="643" spans="2:7" s="22" customFormat="1" x14ac:dyDescent="0.25">
      <c r="B643" s="2"/>
      <c r="C643" s="236"/>
      <c r="D643" s="8"/>
      <c r="E643" s="8"/>
      <c r="F643" s="37"/>
      <c r="G643" s="180"/>
    </row>
    <row r="644" spans="2:7" s="22" customFormat="1" x14ac:dyDescent="0.25">
      <c r="B644" s="2"/>
      <c r="C644" s="37"/>
      <c r="D644" s="8"/>
      <c r="E644" s="8"/>
      <c r="F644" s="37"/>
      <c r="G644" s="180"/>
    </row>
    <row r="645" spans="2:7" s="22" customFormat="1" x14ac:dyDescent="0.25">
      <c r="B645" s="2"/>
      <c r="C645" s="37"/>
      <c r="D645" s="8"/>
      <c r="E645" s="8"/>
      <c r="F645" s="37"/>
      <c r="G645" s="180"/>
    </row>
    <row r="646" spans="2:7" s="22" customFormat="1" x14ac:dyDescent="0.25">
      <c r="B646" s="2"/>
      <c r="C646" s="37"/>
      <c r="D646" s="8"/>
      <c r="E646" s="8"/>
      <c r="F646" s="37"/>
      <c r="G646" s="180"/>
    </row>
    <row r="647" spans="2:7" s="22" customFormat="1" x14ac:dyDescent="0.25">
      <c r="B647" s="2"/>
      <c r="C647" s="37"/>
      <c r="D647" s="8"/>
      <c r="E647" s="8"/>
      <c r="F647" s="37"/>
      <c r="G647" s="180"/>
    </row>
    <row r="648" spans="2:7" s="22" customFormat="1" x14ac:dyDescent="0.25">
      <c r="B648" s="2"/>
      <c r="C648" s="37"/>
      <c r="D648" s="8"/>
      <c r="E648" s="8"/>
      <c r="F648" s="37"/>
      <c r="G648" s="180"/>
    </row>
    <row r="649" spans="2:7" s="22" customFormat="1" x14ac:dyDescent="0.25">
      <c r="B649" s="2"/>
      <c r="C649" s="37"/>
      <c r="D649" s="8"/>
      <c r="E649" s="8"/>
      <c r="F649" s="37"/>
      <c r="G649" s="180"/>
    </row>
    <row r="650" spans="2:7" s="22" customFormat="1" x14ac:dyDescent="0.25">
      <c r="B650" s="2"/>
      <c r="C650" s="37"/>
      <c r="D650" s="8"/>
      <c r="E650" s="8"/>
      <c r="F650" s="37"/>
      <c r="G650" s="180"/>
    </row>
    <row r="651" spans="2:7" s="22" customFormat="1" x14ac:dyDescent="0.25">
      <c r="B651" s="2"/>
      <c r="C651" s="37"/>
      <c r="D651" s="8"/>
      <c r="E651" s="8"/>
      <c r="F651" s="37"/>
      <c r="G651" s="180"/>
    </row>
    <row r="652" spans="2:7" s="22" customFormat="1" x14ac:dyDescent="0.25">
      <c r="B652" s="2"/>
      <c r="C652" s="37"/>
      <c r="D652" s="8"/>
      <c r="E652" s="8"/>
      <c r="F652" s="37"/>
      <c r="G652" s="180"/>
    </row>
    <row r="653" spans="2:7" s="22" customFormat="1" x14ac:dyDescent="0.25">
      <c r="B653" s="2"/>
      <c r="C653" s="37"/>
      <c r="D653" s="8"/>
      <c r="E653" s="8"/>
      <c r="F653" s="37"/>
      <c r="G653" s="180"/>
    </row>
    <row r="654" spans="2:7" s="22" customFormat="1" x14ac:dyDescent="0.25">
      <c r="B654" s="2"/>
      <c r="C654" s="37"/>
      <c r="D654" s="8"/>
      <c r="E654" s="8"/>
      <c r="F654" s="37"/>
      <c r="G654" s="180"/>
    </row>
    <row r="655" spans="2:7" s="22" customFormat="1" x14ac:dyDescent="0.25">
      <c r="B655" s="2"/>
      <c r="C655" s="37"/>
      <c r="D655" s="8"/>
      <c r="E655" s="8"/>
      <c r="F655" s="37"/>
      <c r="G655" s="180"/>
    </row>
    <row r="656" spans="2:7" s="22" customFormat="1" x14ac:dyDescent="0.25">
      <c r="B656" s="2"/>
      <c r="C656" s="37"/>
      <c r="D656" s="8"/>
      <c r="E656" s="8"/>
      <c r="F656" s="37"/>
      <c r="G656" s="180"/>
    </row>
    <row r="657" spans="2:7" s="22" customFormat="1" x14ac:dyDescent="0.25">
      <c r="B657" s="2"/>
      <c r="C657" s="37"/>
      <c r="D657" s="8"/>
      <c r="E657" s="8"/>
      <c r="F657" s="37"/>
      <c r="G657" s="180"/>
    </row>
    <row r="658" spans="2:7" s="22" customFormat="1" x14ac:dyDescent="0.25">
      <c r="B658" s="2"/>
      <c r="C658" s="37"/>
      <c r="D658" s="8"/>
      <c r="E658" s="8"/>
      <c r="F658" s="37"/>
      <c r="G658" s="180"/>
    </row>
    <row r="659" spans="2:7" s="22" customFormat="1" x14ac:dyDescent="0.25">
      <c r="B659" s="2"/>
      <c r="C659" s="37"/>
      <c r="D659" s="8"/>
      <c r="E659" s="8"/>
      <c r="F659" s="37"/>
      <c r="G659" s="180"/>
    </row>
    <row r="660" spans="2:7" s="22" customFormat="1" x14ac:dyDescent="0.25">
      <c r="B660" s="2"/>
      <c r="C660" s="37"/>
      <c r="D660" s="8"/>
      <c r="E660" s="8"/>
      <c r="F660" s="37"/>
      <c r="G660" s="180"/>
    </row>
    <row r="661" spans="2:7" s="22" customFormat="1" x14ac:dyDescent="0.25">
      <c r="B661" s="2"/>
      <c r="C661" s="37"/>
      <c r="D661" s="8"/>
      <c r="E661" s="8"/>
      <c r="F661" s="37"/>
      <c r="G661" s="180"/>
    </row>
    <row r="662" spans="2:7" s="22" customFormat="1" x14ac:dyDescent="0.25">
      <c r="B662" s="2"/>
      <c r="C662" s="37"/>
      <c r="D662" s="8"/>
      <c r="E662" s="8"/>
      <c r="F662" s="37"/>
      <c r="G662" s="180"/>
    </row>
    <row r="663" spans="2:7" s="22" customFormat="1" x14ac:dyDescent="0.25">
      <c r="B663" s="2"/>
      <c r="C663" s="37"/>
      <c r="D663" s="8"/>
      <c r="E663" s="8"/>
      <c r="F663" s="37"/>
      <c r="G663" s="180"/>
    </row>
    <row r="664" spans="2:7" s="22" customFormat="1" x14ac:dyDescent="0.25">
      <c r="B664" s="2"/>
      <c r="C664" s="37"/>
      <c r="D664" s="8"/>
      <c r="E664" s="8"/>
      <c r="F664" s="37"/>
      <c r="G664" s="180"/>
    </row>
    <row r="665" spans="2:7" s="22" customFormat="1" x14ac:dyDescent="0.25">
      <c r="B665" s="2"/>
      <c r="C665" s="37"/>
      <c r="D665" s="8"/>
      <c r="E665" s="8"/>
      <c r="F665" s="37"/>
      <c r="G665" s="180"/>
    </row>
    <row r="666" spans="2:7" s="22" customFormat="1" x14ac:dyDescent="0.25">
      <c r="B666" s="2"/>
      <c r="C666" s="37"/>
      <c r="D666" s="8"/>
      <c r="E666" s="8"/>
      <c r="F666" s="37"/>
      <c r="G666" s="180"/>
    </row>
    <row r="667" spans="2:7" s="22" customFormat="1" x14ac:dyDescent="0.25">
      <c r="B667" s="2"/>
      <c r="C667" s="37"/>
      <c r="D667" s="8"/>
      <c r="E667" s="8"/>
      <c r="F667" s="37"/>
      <c r="G667" s="180"/>
    </row>
    <row r="668" spans="2:7" s="22" customFormat="1" x14ac:dyDescent="0.25">
      <c r="B668" s="2"/>
      <c r="C668" s="37"/>
      <c r="D668" s="8"/>
      <c r="E668" s="8"/>
      <c r="F668" s="37"/>
      <c r="G668" s="180"/>
    </row>
    <row r="669" spans="2:7" s="22" customFormat="1" x14ac:dyDescent="0.25">
      <c r="B669" s="2"/>
      <c r="C669" s="37"/>
      <c r="D669" s="8"/>
      <c r="E669" s="8"/>
      <c r="F669" s="37"/>
      <c r="G669" s="180"/>
    </row>
    <row r="670" spans="2:7" s="22" customFormat="1" x14ac:dyDescent="0.25">
      <c r="B670" s="2"/>
      <c r="C670" s="37"/>
      <c r="D670" s="8"/>
      <c r="E670" s="8"/>
      <c r="F670" s="37"/>
      <c r="G670" s="180"/>
    </row>
    <row r="671" spans="2:7" s="22" customFormat="1" x14ac:dyDescent="0.25">
      <c r="B671" s="2"/>
      <c r="C671" s="37"/>
      <c r="D671" s="8"/>
      <c r="E671" s="8"/>
      <c r="F671" s="37"/>
      <c r="G671" s="180"/>
    </row>
    <row r="672" spans="2:7" s="22" customFormat="1" x14ac:dyDescent="0.25">
      <c r="B672" s="2"/>
      <c r="C672" s="37"/>
      <c r="D672" s="8"/>
      <c r="E672" s="8"/>
      <c r="F672" s="37"/>
      <c r="G672" s="180"/>
    </row>
    <row r="673" spans="2:7" s="22" customFormat="1" x14ac:dyDescent="0.25">
      <c r="B673" s="2"/>
      <c r="C673" s="37"/>
      <c r="D673" s="8"/>
      <c r="E673" s="8"/>
      <c r="F673" s="37"/>
      <c r="G673" s="180"/>
    </row>
    <row r="674" spans="2:7" s="22" customFormat="1" x14ac:dyDescent="0.25">
      <c r="B674" s="2"/>
      <c r="C674" s="37"/>
      <c r="D674" s="8"/>
      <c r="E674" s="8"/>
      <c r="F674" s="37"/>
      <c r="G674" s="180"/>
    </row>
    <row r="675" spans="2:7" s="22" customFormat="1" x14ac:dyDescent="0.25">
      <c r="B675" s="2"/>
      <c r="C675" s="37"/>
      <c r="D675" s="8"/>
      <c r="E675" s="8"/>
      <c r="F675" s="37"/>
      <c r="G675" s="180"/>
    </row>
    <row r="676" spans="2:7" s="22" customFormat="1" x14ac:dyDescent="0.25">
      <c r="B676" s="2"/>
      <c r="C676" s="37"/>
      <c r="D676" s="8"/>
      <c r="E676" s="8"/>
      <c r="F676" s="37"/>
      <c r="G676" s="180"/>
    </row>
    <row r="677" spans="2:7" s="22" customFormat="1" x14ac:dyDescent="0.25">
      <c r="B677" s="2"/>
      <c r="C677" s="37"/>
      <c r="D677" s="8"/>
      <c r="E677" s="8"/>
      <c r="F677" s="37"/>
      <c r="G677" s="180"/>
    </row>
    <row r="678" spans="2:7" s="22" customFormat="1" x14ac:dyDescent="0.25">
      <c r="B678" s="2"/>
      <c r="C678" s="37"/>
      <c r="D678" s="8"/>
      <c r="E678" s="8"/>
      <c r="F678" s="37"/>
      <c r="G678" s="180"/>
    </row>
    <row r="679" spans="2:7" s="22" customFormat="1" x14ac:dyDescent="0.25">
      <c r="B679" s="2"/>
      <c r="C679" s="37"/>
      <c r="D679" s="8"/>
      <c r="E679" s="8"/>
      <c r="F679" s="37"/>
      <c r="G679" s="180"/>
    </row>
    <row r="680" spans="2:7" s="22" customFormat="1" x14ac:dyDescent="0.25">
      <c r="B680" s="2"/>
      <c r="C680" s="37"/>
      <c r="D680" s="8"/>
      <c r="E680" s="8"/>
      <c r="F680" s="37"/>
      <c r="G680" s="180"/>
    </row>
    <row r="681" spans="2:7" s="22" customFormat="1" x14ac:dyDescent="0.25">
      <c r="B681" s="2"/>
      <c r="C681" s="37"/>
      <c r="D681" s="8"/>
      <c r="E681" s="8"/>
      <c r="F681" s="37"/>
      <c r="G681" s="180"/>
    </row>
    <row r="682" spans="2:7" s="22" customFormat="1" x14ac:dyDescent="0.25">
      <c r="B682" s="2"/>
      <c r="C682" s="37"/>
      <c r="D682" s="8"/>
      <c r="E682" s="8"/>
      <c r="F682" s="37"/>
      <c r="G682" s="180"/>
    </row>
    <row r="683" spans="2:7" s="22" customFormat="1" x14ac:dyDescent="0.25">
      <c r="B683" s="2"/>
      <c r="C683" s="37"/>
      <c r="D683" s="8"/>
      <c r="E683" s="8"/>
      <c r="F683" s="37"/>
      <c r="G683" s="180"/>
    </row>
    <row r="684" spans="2:7" s="22" customFormat="1" x14ac:dyDescent="0.25">
      <c r="B684" s="2"/>
      <c r="C684" s="37"/>
      <c r="D684" s="8"/>
      <c r="E684" s="8"/>
      <c r="F684" s="37"/>
      <c r="G684" s="180"/>
    </row>
    <row r="685" spans="2:7" s="22" customFormat="1" x14ac:dyDescent="0.25">
      <c r="B685" s="2"/>
      <c r="C685" s="37"/>
      <c r="D685" s="8"/>
      <c r="E685" s="8"/>
      <c r="F685" s="37"/>
      <c r="G685" s="180"/>
    </row>
    <row r="686" spans="2:7" s="22" customFormat="1" x14ac:dyDescent="0.25">
      <c r="B686" s="2"/>
      <c r="C686" s="37"/>
      <c r="D686" s="8"/>
      <c r="E686" s="8"/>
      <c r="F686" s="37"/>
      <c r="G686" s="180"/>
    </row>
    <row r="687" spans="2:7" s="22" customFormat="1" x14ac:dyDescent="0.25">
      <c r="B687" s="2"/>
      <c r="C687" s="37"/>
      <c r="D687" s="8"/>
      <c r="E687" s="8"/>
      <c r="F687" s="37"/>
      <c r="G687" s="180"/>
    </row>
    <row r="688" spans="2:7" s="22" customFormat="1" x14ac:dyDescent="0.25">
      <c r="B688" s="2"/>
      <c r="C688" s="37"/>
      <c r="D688" s="8"/>
      <c r="E688" s="8"/>
      <c r="F688" s="37"/>
      <c r="G688" s="180"/>
    </row>
    <row r="689" spans="2:7" s="22" customFormat="1" x14ac:dyDescent="0.25">
      <c r="B689" s="2"/>
      <c r="C689" s="37"/>
      <c r="D689" s="8"/>
      <c r="E689" s="8"/>
      <c r="F689" s="37"/>
      <c r="G689" s="180"/>
    </row>
    <row r="690" spans="2:7" s="22" customFormat="1" x14ac:dyDescent="0.25">
      <c r="B690" s="2"/>
      <c r="C690" s="37"/>
      <c r="D690" s="8"/>
      <c r="E690" s="8"/>
      <c r="F690" s="37"/>
      <c r="G690" s="180"/>
    </row>
    <row r="691" spans="2:7" s="22" customFormat="1" x14ac:dyDescent="0.25">
      <c r="B691" s="2"/>
      <c r="C691" s="37"/>
      <c r="D691" s="8"/>
      <c r="E691" s="8"/>
      <c r="F691" s="37"/>
      <c r="G691" s="180"/>
    </row>
    <row r="692" spans="2:7" s="22" customFormat="1" x14ac:dyDescent="0.25">
      <c r="B692" s="2"/>
      <c r="C692" s="37"/>
      <c r="D692" s="8"/>
      <c r="E692" s="8"/>
      <c r="F692" s="37"/>
      <c r="G692" s="180"/>
    </row>
    <row r="693" spans="2:7" s="22" customFormat="1" x14ac:dyDescent="0.25">
      <c r="B693" s="2"/>
      <c r="C693" s="37"/>
      <c r="D693" s="8"/>
      <c r="E693" s="8"/>
      <c r="F693" s="37"/>
      <c r="G693" s="180"/>
    </row>
    <row r="694" spans="2:7" s="22" customFormat="1" x14ac:dyDescent="0.25">
      <c r="B694" s="2"/>
      <c r="C694" s="37"/>
      <c r="D694" s="8"/>
      <c r="E694" s="8"/>
      <c r="F694" s="37"/>
      <c r="G694" s="180"/>
    </row>
    <row r="695" spans="2:7" s="22" customFormat="1" x14ac:dyDescent="0.25">
      <c r="B695" s="2"/>
      <c r="C695" s="37"/>
      <c r="D695" s="8"/>
      <c r="E695" s="8"/>
      <c r="F695" s="37"/>
      <c r="G695" s="180"/>
    </row>
    <row r="696" spans="2:7" s="22" customFormat="1" x14ac:dyDescent="0.25">
      <c r="B696" s="2"/>
      <c r="C696" s="37"/>
      <c r="D696" s="8"/>
      <c r="E696" s="8"/>
      <c r="F696" s="37"/>
      <c r="G696" s="180"/>
    </row>
    <row r="697" spans="2:7" s="22" customFormat="1" x14ac:dyDescent="0.25">
      <c r="B697" s="2"/>
      <c r="C697" s="37"/>
      <c r="D697" s="8"/>
      <c r="E697" s="8"/>
      <c r="F697" s="37"/>
      <c r="G697" s="180"/>
    </row>
    <row r="698" spans="2:7" s="22" customFormat="1" x14ac:dyDescent="0.25">
      <c r="B698" s="2"/>
      <c r="C698" s="37"/>
      <c r="D698" s="8"/>
      <c r="E698" s="8"/>
      <c r="F698" s="37"/>
      <c r="G698" s="180"/>
    </row>
    <row r="699" spans="2:7" s="22" customFormat="1" x14ac:dyDescent="0.25">
      <c r="B699" s="2"/>
      <c r="C699" s="37"/>
      <c r="D699" s="8"/>
      <c r="E699" s="8"/>
      <c r="F699" s="37"/>
      <c r="G699" s="180"/>
    </row>
    <row r="700" spans="2:7" s="22" customFormat="1" x14ac:dyDescent="0.25">
      <c r="B700" s="2"/>
      <c r="C700" s="37"/>
      <c r="D700" s="8"/>
      <c r="E700" s="8"/>
      <c r="F700" s="37"/>
      <c r="G700" s="180"/>
    </row>
    <row r="701" spans="2:7" s="22" customFormat="1" x14ac:dyDescent="0.25">
      <c r="B701" s="2"/>
      <c r="C701" s="37"/>
      <c r="D701" s="8"/>
      <c r="E701" s="8"/>
      <c r="F701" s="37"/>
      <c r="G701" s="180"/>
    </row>
    <row r="702" spans="2:7" s="22" customFormat="1" x14ac:dyDescent="0.25">
      <c r="B702" s="2"/>
      <c r="C702" s="37"/>
      <c r="D702" s="8"/>
      <c r="E702" s="8"/>
      <c r="F702" s="37"/>
      <c r="G702" s="180"/>
    </row>
    <row r="703" spans="2:7" s="22" customFormat="1" x14ac:dyDescent="0.25">
      <c r="B703" s="2"/>
      <c r="C703" s="37"/>
      <c r="D703" s="8"/>
      <c r="E703" s="8"/>
      <c r="F703" s="37"/>
      <c r="G703" s="180"/>
    </row>
    <row r="704" spans="2:7" s="22" customFormat="1" x14ac:dyDescent="0.25">
      <c r="B704" s="2"/>
      <c r="C704" s="37"/>
      <c r="D704" s="8"/>
      <c r="E704" s="8"/>
      <c r="F704" s="37"/>
      <c r="G704" s="180"/>
    </row>
    <row r="705" spans="2:7" s="22" customFormat="1" x14ac:dyDescent="0.25">
      <c r="B705" s="2"/>
      <c r="C705" s="37"/>
      <c r="D705" s="8"/>
      <c r="E705" s="8"/>
      <c r="F705" s="37"/>
      <c r="G705" s="180"/>
    </row>
    <row r="706" spans="2:7" s="22" customFormat="1" x14ac:dyDescent="0.25">
      <c r="B706" s="2"/>
      <c r="C706" s="37"/>
      <c r="D706" s="8"/>
      <c r="E706" s="8"/>
      <c r="F706" s="37"/>
      <c r="G706" s="180"/>
    </row>
    <row r="707" spans="2:7" s="22" customFormat="1" x14ac:dyDescent="0.25">
      <c r="B707" s="2"/>
      <c r="C707" s="37"/>
      <c r="D707" s="8"/>
      <c r="E707" s="8"/>
      <c r="F707" s="37"/>
      <c r="G707" s="180"/>
    </row>
    <row r="708" spans="2:7" s="22" customFormat="1" x14ac:dyDescent="0.25">
      <c r="B708" s="2"/>
      <c r="C708" s="37"/>
      <c r="D708" s="8"/>
      <c r="E708" s="8"/>
      <c r="F708" s="37"/>
      <c r="G708" s="180"/>
    </row>
    <row r="709" spans="2:7" s="22" customFormat="1" x14ac:dyDescent="0.25">
      <c r="B709" s="2"/>
      <c r="C709" s="37"/>
      <c r="D709" s="8"/>
      <c r="E709" s="8"/>
      <c r="F709" s="37"/>
      <c r="G709" s="180"/>
    </row>
    <row r="710" spans="2:7" s="22" customFormat="1" x14ac:dyDescent="0.25">
      <c r="B710" s="2"/>
      <c r="C710" s="37"/>
      <c r="D710" s="8"/>
      <c r="E710" s="8"/>
      <c r="F710" s="37"/>
      <c r="G710" s="180"/>
    </row>
    <row r="711" spans="2:7" s="22" customFormat="1" x14ac:dyDescent="0.25">
      <c r="B711" s="2"/>
      <c r="C711" s="37"/>
      <c r="D711" s="8"/>
      <c r="E711" s="8"/>
      <c r="F711" s="37"/>
      <c r="G711" s="180"/>
    </row>
    <row r="712" spans="2:7" s="22" customFormat="1" x14ac:dyDescent="0.25">
      <c r="B712" s="2"/>
      <c r="C712" s="37"/>
      <c r="D712" s="8"/>
      <c r="E712" s="8"/>
      <c r="F712" s="37"/>
      <c r="G712" s="180"/>
    </row>
    <row r="713" spans="2:7" s="22" customFormat="1" x14ac:dyDescent="0.25">
      <c r="B713" s="2"/>
      <c r="C713" s="37"/>
      <c r="D713" s="8"/>
      <c r="E713" s="8"/>
      <c r="F713" s="37"/>
      <c r="G713" s="180"/>
    </row>
    <row r="714" spans="2:7" s="22" customFormat="1" x14ac:dyDescent="0.25">
      <c r="B714" s="2"/>
      <c r="C714" s="37"/>
      <c r="D714" s="8"/>
      <c r="E714" s="8"/>
      <c r="F714" s="37"/>
      <c r="G714" s="180"/>
    </row>
    <row r="715" spans="2:7" s="22" customFormat="1" x14ac:dyDescent="0.25">
      <c r="B715" s="2"/>
      <c r="C715" s="37"/>
      <c r="D715" s="8"/>
      <c r="E715" s="8"/>
      <c r="F715" s="37"/>
      <c r="G715" s="180"/>
    </row>
    <row r="716" spans="2:7" s="22" customFormat="1" x14ac:dyDescent="0.25">
      <c r="B716" s="2"/>
      <c r="C716" s="37"/>
      <c r="D716" s="8"/>
      <c r="E716" s="8"/>
      <c r="F716" s="37"/>
      <c r="G716" s="180"/>
    </row>
    <row r="717" spans="2:7" s="22" customFormat="1" x14ac:dyDescent="0.25">
      <c r="B717" s="2"/>
      <c r="C717" s="37"/>
      <c r="D717" s="8"/>
      <c r="E717" s="8"/>
      <c r="F717" s="37"/>
      <c r="G717" s="180"/>
    </row>
    <row r="718" spans="2:7" s="22" customFormat="1" x14ac:dyDescent="0.25">
      <c r="B718" s="2"/>
      <c r="C718" s="37"/>
      <c r="D718" s="8"/>
      <c r="E718" s="8"/>
      <c r="F718" s="37"/>
      <c r="G718" s="180"/>
    </row>
    <row r="719" spans="2:7" s="22" customFormat="1" x14ac:dyDescent="0.25">
      <c r="B719" s="2"/>
      <c r="C719" s="37"/>
      <c r="D719" s="8"/>
      <c r="E719" s="8"/>
      <c r="F719" s="37"/>
      <c r="G719" s="180"/>
    </row>
    <row r="720" spans="2:7" s="22" customFormat="1" x14ac:dyDescent="0.25">
      <c r="B720" s="2"/>
      <c r="C720" s="37"/>
      <c r="D720" s="8"/>
      <c r="E720" s="8"/>
      <c r="F720" s="37"/>
      <c r="G720" s="180"/>
    </row>
    <row r="721" spans="2:7" s="22" customFormat="1" x14ac:dyDescent="0.25">
      <c r="B721" s="2"/>
      <c r="C721" s="37"/>
      <c r="D721" s="8"/>
      <c r="E721" s="8"/>
      <c r="F721" s="37"/>
      <c r="G721" s="180"/>
    </row>
  </sheetData>
  <autoFilter ref="A9:W205" xr:uid="{B35CBB9E-5909-49C9-9497-85F5DA9F68EE}"/>
  <mergeCells count="8">
    <mergeCell ref="F204:H204"/>
    <mergeCell ref="F205:H205"/>
    <mergeCell ref="F1:H1"/>
    <mergeCell ref="F2:H2"/>
    <mergeCell ref="A5:H5"/>
    <mergeCell ref="A6:H6"/>
    <mergeCell ref="A7:H7"/>
    <mergeCell ref="A201:F201"/>
  </mergeCells>
  <conditionalFormatting sqref="C1:C9 C188:C1048576">
    <cfRule type="duplicateValues" dxfId="748" priority="330"/>
  </conditionalFormatting>
  <conditionalFormatting sqref="C188:C191">
    <cfRule type="duplicateValues" dxfId="357" priority="331"/>
    <cfRule type="duplicateValues" dxfId="356" priority="332"/>
    <cfRule type="duplicateValues" dxfId="359" priority="333"/>
    <cfRule type="duplicateValues" dxfId="358" priority="334"/>
    <cfRule type="duplicateValues" dxfId="337" priority="335"/>
    <cfRule type="duplicateValues" dxfId="338" priority="336"/>
    <cfRule type="duplicateValues" dxfId="339" priority="337"/>
    <cfRule type="duplicateValues" dxfId="340" priority="338"/>
    <cfRule type="duplicateValues" dxfId="341" priority="339"/>
    <cfRule type="duplicateValues" dxfId="342" priority="340"/>
    <cfRule type="duplicateValues" dxfId="343" priority="341"/>
    <cfRule type="duplicateValues" dxfId="344" priority="342"/>
    <cfRule type="duplicateValues" dxfId="345" priority="343"/>
    <cfRule type="duplicateValues" dxfId="346" priority="344"/>
    <cfRule type="duplicateValues" dxfId="347" priority="345"/>
    <cfRule type="duplicateValues" dxfId="348" priority="346"/>
    <cfRule type="duplicateValues" dxfId="349" priority="347"/>
    <cfRule type="duplicateValues" dxfId="350" priority="348"/>
    <cfRule type="duplicateValues" dxfId="351" priority="349"/>
    <cfRule type="duplicateValues" dxfId="352" priority="350"/>
    <cfRule type="duplicateValues" dxfId="353" priority="351"/>
    <cfRule type="duplicateValues" dxfId="354" priority="352"/>
    <cfRule type="duplicateValues" dxfId="355" priority="353"/>
  </conditionalFormatting>
  <conditionalFormatting sqref="C192:C212 C1:C9 C368:C1048576">
    <cfRule type="duplicateValues" dxfId="336" priority="354"/>
  </conditionalFormatting>
  <conditionalFormatting sqref="C385:C1048576 C1:C9 C192:C210">
    <cfRule type="duplicateValues" dxfId="335" priority="745"/>
    <cfRule type="duplicateValues" dxfId="334" priority="746"/>
    <cfRule type="duplicateValues" dxfId="333" priority="747"/>
  </conditionalFormatting>
  <conditionalFormatting sqref="C385:C1048576 C1:C9 C192:C212">
    <cfRule type="duplicateValues" dxfId="332" priority="525"/>
  </conditionalFormatting>
  <conditionalFormatting sqref="C385:C1048576 C1:C9 C192:C212">
    <cfRule type="duplicateValues" dxfId="331" priority="481"/>
  </conditionalFormatting>
  <conditionalFormatting sqref="C579:C1048576 C1:C9 C192:C210">
    <cfRule type="duplicateValues" dxfId="330" priority="748"/>
  </conditionalFormatting>
  <conditionalFormatting sqref="C579:C1048576 C1:C9 C201:C206">
    <cfRule type="duplicateValues" dxfId="329" priority="749"/>
  </conditionalFormatting>
  <conditionalFormatting sqref="C10:C136">
    <cfRule type="duplicateValues" dxfId="328" priority="328"/>
    <cfRule type="duplicateValues" dxfId="327" priority="329"/>
  </conditionalFormatting>
  <conditionalFormatting sqref="C85:C99">
    <cfRule type="duplicateValues" dxfId="326" priority="323"/>
    <cfRule type="duplicateValues" dxfId="325" priority="324"/>
    <cfRule type="duplicateValues" dxfId="324" priority="325"/>
    <cfRule type="duplicateValues" dxfId="323" priority="326"/>
    <cfRule type="duplicateValues" dxfId="322" priority="327"/>
  </conditionalFormatting>
  <conditionalFormatting sqref="C85:C99">
    <cfRule type="duplicateValues" dxfId="321" priority="316"/>
    <cfRule type="duplicateValues" dxfId="320" priority="317"/>
    <cfRule type="duplicateValues" dxfId="319" priority="318"/>
    <cfRule type="duplicateValues" dxfId="318" priority="319"/>
    <cfRule type="duplicateValues" dxfId="317" priority="320"/>
    <cfRule type="duplicateValues" dxfId="316" priority="321"/>
    <cfRule type="duplicateValues" dxfId="315" priority="322"/>
  </conditionalFormatting>
  <conditionalFormatting sqref="C85:C136">
    <cfRule type="duplicateValues" dxfId="314" priority="315"/>
  </conditionalFormatting>
  <conditionalFormatting sqref="C85:C136">
    <cfRule type="duplicateValues" dxfId="313" priority="314"/>
  </conditionalFormatting>
  <conditionalFormatting sqref="C85:C136">
    <cfRule type="duplicateValues" dxfId="312" priority="300"/>
    <cfRule type="duplicateValues" dxfId="311" priority="301"/>
    <cfRule type="duplicateValues" dxfId="310" priority="302"/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  <cfRule type="duplicateValues" dxfId="304" priority="308"/>
    <cfRule type="duplicateValues" dxfId="303" priority="309"/>
    <cfRule type="duplicateValues" dxfId="302" priority="310"/>
    <cfRule type="duplicateValues" dxfId="301" priority="311"/>
    <cfRule type="duplicateValues" dxfId="300" priority="312"/>
    <cfRule type="duplicateValues" dxfId="299" priority="313"/>
  </conditionalFormatting>
  <conditionalFormatting sqref="C85:C136">
    <cfRule type="duplicateValues" dxfId="298" priority="299"/>
  </conditionalFormatting>
  <conditionalFormatting sqref="C85:C136">
    <cfRule type="duplicateValues" dxfId="297" priority="298"/>
  </conditionalFormatting>
  <conditionalFormatting sqref="C85:C136">
    <cfRule type="duplicateValues" dxfId="296" priority="297"/>
  </conditionalFormatting>
  <conditionalFormatting sqref="C85:C136">
    <cfRule type="duplicateValues" dxfId="295" priority="296"/>
  </conditionalFormatting>
  <conditionalFormatting sqref="C85:C136">
    <cfRule type="duplicateValues" dxfId="294" priority="295"/>
  </conditionalFormatting>
  <conditionalFormatting sqref="C85:C136">
    <cfRule type="duplicateValues" dxfId="293" priority="294"/>
  </conditionalFormatting>
  <conditionalFormatting sqref="C85:C136">
    <cfRule type="duplicateValues" dxfId="292" priority="293"/>
  </conditionalFormatting>
  <conditionalFormatting sqref="C85:C136">
    <cfRule type="duplicateValues" dxfId="291" priority="292"/>
  </conditionalFormatting>
  <conditionalFormatting sqref="C85:C99">
    <cfRule type="duplicateValues" dxfId="290" priority="291"/>
  </conditionalFormatting>
  <conditionalFormatting sqref="C85:C99">
    <cfRule type="duplicateValues" dxfId="289" priority="290"/>
  </conditionalFormatting>
  <conditionalFormatting sqref="C85:C99">
    <cfRule type="duplicateValues" dxfId="288" priority="289"/>
  </conditionalFormatting>
  <conditionalFormatting sqref="C85:C136">
    <cfRule type="duplicateValues" dxfId="287" priority="288"/>
  </conditionalFormatting>
  <conditionalFormatting sqref="C85:C136">
    <cfRule type="duplicateValues" dxfId="286" priority="287"/>
  </conditionalFormatting>
  <conditionalFormatting sqref="C85:C136">
    <cfRule type="duplicateValues" dxfId="285" priority="286"/>
  </conditionalFormatting>
  <conditionalFormatting sqref="C85:C136">
    <cfRule type="duplicateValues" dxfId="284" priority="285"/>
  </conditionalFormatting>
  <conditionalFormatting sqref="C85:C136">
    <cfRule type="duplicateValues" dxfId="283" priority="284"/>
  </conditionalFormatting>
  <conditionalFormatting sqref="C85:C136">
    <cfRule type="duplicateValues" dxfId="282" priority="283"/>
  </conditionalFormatting>
  <conditionalFormatting sqref="C85:C136">
    <cfRule type="duplicateValues" dxfId="281" priority="281"/>
    <cfRule type="duplicateValues" dxfId="280" priority="282"/>
  </conditionalFormatting>
  <conditionalFormatting sqref="C85:C136">
    <cfRule type="duplicateValues" dxfId="279" priority="278"/>
    <cfRule type="duplicateValues" dxfId="278" priority="279"/>
    <cfRule type="duplicateValues" dxfId="277" priority="280"/>
  </conditionalFormatting>
  <conditionalFormatting sqref="C85:C136">
    <cfRule type="duplicateValues" dxfId="276" priority="277"/>
  </conditionalFormatting>
  <conditionalFormatting sqref="C85:C99">
    <cfRule type="duplicateValues" dxfId="275" priority="270"/>
    <cfRule type="duplicateValues" dxfId="274" priority="271"/>
    <cfRule type="duplicateValues" dxfId="273" priority="272"/>
    <cfRule type="duplicateValues" dxfId="272" priority="273"/>
    <cfRule type="duplicateValues" dxfId="271" priority="274"/>
    <cfRule type="duplicateValues" dxfId="270" priority="275"/>
    <cfRule type="duplicateValues" dxfId="269" priority="276"/>
  </conditionalFormatting>
  <conditionalFormatting sqref="C100:C112 C114:C116">
    <cfRule type="duplicateValues" dxfId="268" priority="266"/>
    <cfRule type="duplicateValues" dxfId="267" priority="267"/>
    <cfRule type="duplicateValues" dxfId="266" priority="268"/>
    <cfRule type="duplicateValues" dxfId="265" priority="269"/>
  </conditionalFormatting>
  <conditionalFormatting sqref="C117:C126">
    <cfRule type="duplicateValues" dxfId="264" priority="265"/>
  </conditionalFormatting>
  <conditionalFormatting sqref="C127:C135">
    <cfRule type="duplicateValues" dxfId="263" priority="264"/>
  </conditionalFormatting>
  <conditionalFormatting sqref="F100:F116">
    <cfRule type="cellIs" dxfId="262" priority="261" operator="equal">
      <formula>"CÓ HĐ"</formula>
    </cfRule>
    <cfRule type="cellIs" dxfId="261" priority="262" operator="equal">
      <formula>"ĐÃ ĐỔI"</formula>
    </cfRule>
    <cfRule type="cellIs" dxfId="260" priority="263" operator="equal">
      <formula>"ĐÃ CÓ"</formula>
    </cfRule>
  </conditionalFormatting>
  <conditionalFormatting sqref="C137:C187">
    <cfRule type="duplicateValues" dxfId="259" priority="260"/>
  </conditionalFormatting>
  <conditionalFormatting sqref="C137:C187">
    <cfRule type="duplicateValues" dxfId="258" priority="246"/>
    <cfRule type="duplicateValues" dxfId="257" priority="247"/>
    <cfRule type="duplicateValues" dxfId="250" priority="248"/>
    <cfRule type="duplicateValues" dxfId="253" priority="249"/>
    <cfRule type="duplicateValues" dxfId="255" priority="250"/>
    <cfRule type="duplicateValues" dxfId="256" priority="251"/>
    <cfRule type="duplicateValues" dxfId="254" priority="252"/>
    <cfRule type="duplicateValues" dxfId="249" priority="253"/>
    <cfRule type="duplicateValues" dxfId="248" priority="254"/>
    <cfRule type="duplicateValues" dxfId="247" priority="255"/>
    <cfRule type="duplicateValues" dxfId="246" priority="256"/>
    <cfRule type="duplicateValues" dxfId="245" priority="257"/>
    <cfRule type="duplicateValues" dxfId="251" priority="258"/>
    <cfRule type="duplicateValues" dxfId="252" priority="259"/>
  </conditionalFormatting>
  <conditionalFormatting sqref="C184:C187 C149:C162 C137:C141">
    <cfRule type="duplicateValues" dxfId="243" priority="241"/>
    <cfRule type="duplicateValues" dxfId="242" priority="242"/>
    <cfRule type="duplicateValues" dxfId="241" priority="243"/>
    <cfRule type="duplicateValues" dxfId="240" priority="244"/>
    <cfRule type="duplicateValues" dxfId="244" priority="245"/>
  </conditionalFormatting>
  <conditionalFormatting sqref="C149:C162 C137:C141">
    <cfRule type="duplicateValues" dxfId="235" priority="234"/>
    <cfRule type="duplicateValues" dxfId="236" priority="235"/>
    <cfRule type="duplicateValues" dxfId="237" priority="236"/>
    <cfRule type="duplicateValues" dxfId="238" priority="237"/>
    <cfRule type="duplicateValues" dxfId="233" priority="238"/>
    <cfRule type="duplicateValues" dxfId="234" priority="239"/>
    <cfRule type="duplicateValues" dxfId="239" priority="240"/>
  </conditionalFormatting>
  <conditionalFormatting sqref="C149:C162 C137:C141">
    <cfRule type="duplicateValues" dxfId="232" priority="233" stopIfTrue="1"/>
  </conditionalFormatting>
  <conditionalFormatting sqref="C184:C187 C137:C162">
    <cfRule type="duplicateValues" dxfId="231" priority="232"/>
  </conditionalFormatting>
  <conditionalFormatting sqref="C184:C187 C137:C162">
    <cfRule type="duplicateValues" dxfId="230" priority="231"/>
  </conditionalFormatting>
  <conditionalFormatting sqref="C184:C187 C137:C162">
    <cfRule type="duplicateValues" dxfId="229" priority="230"/>
  </conditionalFormatting>
  <conditionalFormatting sqref="C184:C187 C137:C162">
    <cfRule type="duplicateValues" dxfId="228" priority="229"/>
  </conditionalFormatting>
  <conditionalFormatting sqref="C184:C187 C137:C162">
    <cfRule type="duplicateValues" dxfId="227" priority="228"/>
  </conditionalFormatting>
  <conditionalFormatting sqref="C184:C187 C137:C162">
    <cfRule type="duplicateValues" dxfId="226" priority="227"/>
  </conditionalFormatting>
  <conditionalFormatting sqref="C184:C187 C137:C162">
    <cfRule type="duplicateValues" dxfId="225" priority="226"/>
  </conditionalFormatting>
  <conditionalFormatting sqref="C184:C187 C137:C162">
    <cfRule type="duplicateValues" dxfId="224" priority="225"/>
  </conditionalFormatting>
  <conditionalFormatting sqref="C184:C187 C149:C162 C137:C141">
    <cfRule type="duplicateValues" dxfId="223" priority="224"/>
  </conditionalFormatting>
  <conditionalFormatting sqref="C184:C187 C149:C162 C137:C141">
    <cfRule type="duplicateValues" dxfId="222" priority="223"/>
  </conditionalFormatting>
  <conditionalFormatting sqref="C184:C187 C149:C162 C137:C141">
    <cfRule type="duplicateValues" dxfId="221" priority="222"/>
  </conditionalFormatting>
  <conditionalFormatting sqref="C184:C187 C149:C162 C137:C141">
    <cfRule type="duplicateValues" dxfId="220" priority="221"/>
  </conditionalFormatting>
  <conditionalFormatting sqref="C184:C187 C149:C162 C137:C141">
    <cfRule type="duplicateValues" dxfId="219" priority="220"/>
  </conditionalFormatting>
  <conditionalFormatting sqref="C184:C187 C149:C162 C137:C141">
    <cfRule type="duplicateValues" dxfId="218" priority="219"/>
  </conditionalFormatting>
  <conditionalFormatting sqref="C184:C187 C149:C162 C137:C141">
    <cfRule type="duplicateValues" dxfId="217" priority="218"/>
  </conditionalFormatting>
  <conditionalFormatting sqref="C184:C187 C149:C162 C137:C141">
    <cfRule type="duplicateValues" dxfId="216" priority="217"/>
  </conditionalFormatting>
  <conditionalFormatting sqref="C184:C187 C149:C162 C137:C141">
    <cfRule type="duplicateValues" dxfId="215" priority="216"/>
  </conditionalFormatting>
  <conditionalFormatting sqref="C184:C187 C149:C162 C137:C141">
    <cfRule type="duplicateValues" dxfId="214" priority="215"/>
  </conditionalFormatting>
  <conditionalFormatting sqref="C184:C187 C149:C162 C137:C141">
    <cfRule type="duplicateValues" dxfId="213" priority="213"/>
    <cfRule type="duplicateValues" dxfId="212" priority="214"/>
  </conditionalFormatting>
  <conditionalFormatting sqref="C184:C187 C149:C162 C137:C141">
    <cfRule type="duplicateValues" dxfId="211" priority="210"/>
    <cfRule type="duplicateValues" dxfId="210" priority="211"/>
    <cfRule type="duplicateValues" dxfId="209" priority="212"/>
  </conditionalFormatting>
  <conditionalFormatting sqref="C184:C187 C149:C162 C137:C141">
    <cfRule type="duplicateValues" dxfId="208" priority="209"/>
  </conditionalFormatting>
  <conditionalFormatting sqref="C184:C187 C149:C162 C137:C141">
    <cfRule type="duplicateValues" dxfId="204" priority="202"/>
    <cfRule type="duplicateValues" dxfId="205" priority="203"/>
    <cfRule type="duplicateValues" dxfId="203" priority="204"/>
    <cfRule type="duplicateValues" dxfId="202" priority="205"/>
    <cfRule type="duplicateValues" dxfId="201" priority="206"/>
    <cfRule type="duplicateValues" dxfId="207" priority="207"/>
    <cfRule type="duplicateValues" dxfId="206" priority="208"/>
  </conditionalFormatting>
  <conditionalFormatting sqref="C142:C147">
    <cfRule type="duplicateValues" dxfId="193" priority="171"/>
    <cfRule type="duplicateValues" dxfId="192" priority="172"/>
    <cfRule type="duplicateValues" dxfId="197" priority="173"/>
    <cfRule type="duplicateValues" dxfId="198" priority="174"/>
    <cfRule type="duplicateValues" dxfId="188" priority="175"/>
    <cfRule type="duplicateValues" dxfId="189" priority="176"/>
    <cfRule type="duplicateValues" dxfId="190" priority="177"/>
    <cfRule type="duplicateValues" dxfId="191" priority="178"/>
    <cfRule type="duplicateValues" dxfId="196" priority="179"/>
    <cfRule type="duplicateValues" dxfId="195" priority="180"/>
    <cfRule type="duplicateValues" dxfId="199" priority="181"/>
    <cfRule type="duplicateValues" dxfId="181" priority="182"/>
    <cfRule type="duplicateValues" dxfId="182" priority="183"/>
    <cfRule type="duplicateValues" dxfId="183" priority="184"/>
    <cfRule type="duplicateValues" dxfId="184" priority="185"/>
    <cfRule type="duplicateValues" dxfId="185" priority="186"/>
    <cfRule type="duplicateValues" dxfId="186" priority="187"/>
    <cfRule type="duplicateValues" dxfId="187" priority="188"/>
    <cfRule type="duplicateValues" dxfId="194" priority="189"/>
    <cfRule type="duplicateValues" dxfId="200" priority="201"/>
  </conditionalFormatting>
  <conditionalFormatting sqref="C142:C147">
    <cfRule type="duplicateValues" dxfId="167" priority="168"/>
    <cfRule type="duplicateValues" dxfId="169" priority="169"/>
    <cfRule type="duplicateValues" dxfId="168" priority="170"/>
    <cfRule type="duplicateValues" dxfId="171" priority="190"/>
    <cfRule type="duplicateValues" dxfId="172" priority="191"/>
    <cfRule type="duplicateValues" dxfId="173" priority="192"/>
    <cfRule type="duplicateValues" dxfId="174" priority="193"/>
    <cfRule type="duplicateValues" dxfId="175" priority="194"/>
    <cfRule type="duplicateValues" dxfId="170" priority="195"/>
    <cfRule type="duplicateValues" dxfId="176" priority="196"/>
    <cfRule type="duplicateValues" dxfId="177" priority="197"/>
    <cfRule type="duplicateValues" dxfId="178" priority="198"/>
    <cfRule type="duplicateValues" dxfId="179" priority="199"/>
    <cfRule type="duplicateValues" dxfId="180" priority="200"/>
  </conditionalFormatting>
  <conditionalFormatting sqref="C142:C148">
    <cfRule type="duplicateValues" dxfId="166" priority="167"/>
  </conditionalFormatting>
  <conditionalFormatting sqref="C148">
    <cfRule type="duplicateValues" dxfId="160" priority="131"/>
    <cfRule type="duplicateValues" dxfId="159" priority="132"/>
    <cfRule type="duplicateValues" dxfId="158" priority="133" stopIfTrue="1"/>
    <cfRule type="duplicateValues" dxfId="157" priority="134"/>
    <cfRule type="duplicateValues" dxfId="139" priority="135"/>
    <cfRule type="duplicateValues" dxfId="162" priority="136"/>
    <cfRule type="duplicateValues" dxfId="155" priority="137"/>
    <cfRule type="duplicateValues" dxfId="138" priority="138"/>
    <cfRule type="duplicateValues" dxfId="161" priority="139"/>
    <cfRule type="duplicateValues" dxfId="154" priority="140"/>
    <cfRule type="duplicateValues" dxfId="153" priority="141"/>
    <cfRule type="duplicateValues" dxfId="152" priority="142"/>
    <cfRule type="duplicateValues" dxfId="151" priority="143"/>
    <cfRule type="duplicateValues" dxfId="150" priority="144"/>
    <cfRule type="duplicateValues" dxfId="149" priority="145"/>
    <cfRule type="duplicateValues" dxfId="148" priority="146"/>
    <cfRule type="duplicateValues" dxfId="147" priority="147"/>
    <cfRule type="duplicateValues" dxfId="146" priority="148"/>
    <cfRule type="duplicateValues" dxfId="145" priority="149"/>
    <cfRule type="duplicateValues" dxfId="144" priority="150"/>
    <cfRule type="duplicateValues" dxfId="143" priority="151"/>
    <cfRule type="duplicateValues" dxfId="142" priority="152"/>
    <cfRule type="duplicateValues" dxfId="141" priority="153"/>
    <cfRule type="duplicateValues" dxfId="140" priority="154"/>
    <cfRule type="duplicateValues" dxfId="134" priority="155"/>
    <cfRule type="duplicateValues" dxfId="135" priority="156"/>
    <cfRule type="duplicateValues" dxfId="136" priority="157"/>
    <cfRule type="duplicateValues" dxfId="133" priority="158"/>
    <cfRule type="duplicateValues" dxfId="132" priority="159"/>
    <cfRule type="duplicateValues" dxfId="131" priority="160"/>
    <cfRule type="duplicateValues" dxfId="130" priority="161"/>
    <cfRule type="duplicateValues" dxfId="156" priority="162"/>
    <cfRule type="duplicateValues" dxfId="137" priority="163"/>
    <cfRule type="duplicateValues" dxfId="163" priority="164"/>
    <cfRule type="duplicateValues" dxfId="164" priority="165"/>
    <cfRule type="duplicateValues" dxfId="165" priority="166"/>
  </conditionalFormatting>
  <conditionalFormatting sqref="C163:C187">
    <cfRule type="duplicateValues" dxfId="128" priority="126"/>
    <cfRule type="duplicateValues" dxfId="129" priority="127"/>
  </conditionalFormatting>
  <conditionalFormatting sqref="C163:C187">
    <cfRule type="duplicateValues" dxfId="125" priority="128"/>
    <cfRule type="duplicateValues" dxfId="126" priority="129"/>
    <cfRule type="duplicateValues" dxfId="127" priority="130"/>
  </conditionalFormatting>
  <conditionalFormatting sqref="C163:C187">
    <cfRule type="duplicateValues" dxfId="119" priority="120"/>
    <cfRule type="duplicateValues" dxfId="120" priority="121"/>
    <cfRule type="duplicateValues" dxfId="121" priority="122"/>
    <cfRule type="duplicateValues" dxfId="124" priority="123"/>
    <cfRule type="duplicateValues" dxfId="122" priority="124"/>
    <cfRule type="duplicateValues" dxfId="123" priority="125"/>
  </conditionalFormatting>
  <conditionalFormatting sqref="C184:C187">
    <cfRule type="duplicateValues" dxfId="104" priority="103" stopIfTrue="1"/>
    <cfRule type="duplicateValues" dxfId="105" priority="104"/>
    <cfRule type="duplicateValues" dxfId="106" priority="105"/>
    <cfRule type="duplicateValues" dxfId="107" priority="106"/>
    <cfRule type="duplicateValues" dxfId="108" priority="107"/>
    <cfRule type="duplicateValues" dxfId="116" priority="108"/>
    <cfRule type="duplicateValues" dxfId="117" priority="109"/>
    <cfRule type="duplicateValues" dxfId="118" priority="110"/>
    <cfRule type="duplicateValues" dxfId="113" priority="111"/>
    <cfRule type="duplicateValues" dxfId="112" priority="112"/>
    <cfRule type="duplicateValues" dxfId="110" priority="113"/>
    <cfRule type="duplicateValues" dxfId="109" priority="114"/>
    <cfRule type="duplicateValues" dxfId="111" priority="115"/>
    <cfRule type="duplicateValues" dxfId="114" priority="116"/>
    <cfRule type="duplicateValues" dxfId="115" priority="117"/>
    <cfRule type="duplicateValues" dxfId="103" priority="118"/>
    <cfRule type="duplicateValues" dxfId="102" priority="119" stopIfTrue="1"/>
  </conditionalFormatting>
  <conditionalFormatting sqref="C184">
    <cfRule type="duplicateValues" dxfId="62" priority="60"/>
    <cfRule type="duplicateValues" dxfId="61" priority="61"/>
    <cfRule type="duplicateValues" dxfId="60" priority="62"/>
    <cfRule type="duplicateValues" dxfId="68" priority="63"/>
    <cfRule type="duplicateValues" dxfId="67" priority="64"/>
    <cfRule type="duplicateValues" dxfId="69" priority="65"/>
    <cfRule type="duplicateValues" dxfId="65" priority="66"/>
    <cfRule type="duplicateValues" dxfId="64" priority="67"/>
    <cfRule type="duplicateValues" dxfId="63" priority="68"/>
    <cfRule type="duplicateValues" dxfId="101" priority="69"/>
    <cfRule type="duplicateValues" dxfId="100" priority="70"/>
    <cfRule type="duplicateValues" dxfId="99" priority="71"/>
    <cfRule type="duplicateValues" dxfId="98" priority="72"/>
    <cfRule type="duplicateValues" dxfId="97" priority="73"/>
    <cfRule type="duplicateValues" dxfId="74" priority="74"/>
    <cfRule type="duplicateValues" dxfId="96" priority="75"/>
    <cfRule type="duplicateValues" dxfId="95" priority="76"/>
    <cfRule type="duplicateValues" dxfId="94" priority="77"/>
    <cfRule type="duplicateValues" dxfId="93" priority="78"/>
    <cfRule type="duplicateValues" dxfId="92" priority="79"/>
    <cfRule type="duplicateValues" dxfId="91" priority="80"/>
    <cfRule type="duplicateValues" dxfId="90" priority="81"/>
    <cfRule type="duplicateValues" dxfId="89" priority="82"/>
    <cfRule type="duplicateValues" dxfId="66" priority="83"/>
    <cfRule type="duplicateValues" dxfId="87" priority="84"/>
    <cfRule type="duplicateValues" dxfId="86" priority="85"/>
    <cfRule type="duplicateValues" dxfId="85" priority="86"/>
    <cfRule type="duplicateValues" dxfId="84" priority="87"/>
    <cfRule type="duplicateValues" dxfId="83" priority="88"/>
    <cfRule type="duplicateValues" dxfId="82" priority="89"/>
    <cfRule type="duplicateValues" dxfId="81" priority="90"/>
    <cfRule type="duplicateValues" dxfId="80" priority="91"/>
    <cfRule type="duplicateValues" dxfId="79" priority="92"/>
    <cfRule type="duplicateValues" dxfId="78" priority="93"/>
    <cfRule type="duplicateValues" dxfId="77" priority="94"/>
    <cfRule type="duplicateValues" dxfId="76" priority="95"/>
    <cfRule type="duplicateValues" dxfId="75" priority="96"/>
    <cfRule type="duplicateValues" dxfId="59" priority="97"/>
    <cfRule type="duplicateValues" dxfId="73" priority="98"/>
    <cfRule type="duplicateValues" dxfId="72" priority="99"/>
    <cfRule type="duplicateValues" dxfId="71" priority="100"/>
    <cfRule type="duplicateValues" dxfId="70" priority="101"/>
    <cfRule type="duplicateValues" dxfId="88" priority="102"/>
  </conditionalFormatting>
  <conditionalFormatting sqref="C184:C187">
    <cfRule type="duplicateValues" dxfId="58" priority="59"/>
  </conditionalFormatting>
  <conditionalFormatting sqref="C184:C187">
    <cfRule type="duplicateValues" dxfId="57" priority="54"/>
    <cfRule type="duplicateValues" dxfId="56" priority="55"/>
    <cfRule type="duplicateValues" dxfId="55" priority="56"/>
    <cfRule type="duplicateValues" dxfId="53" priority="57"/>
    <cfRule type="duplicateValues" dxfId="54" priority="58"/>
  </conditionalFormatting>
  <conditionalFormatting sqref="C184:C187">
    <cfRule type="duplicateValues" dxfId="52" priority="52"/>
    <cfRule type="duplicateValues" dxfId="51" priority="53"/>
  </conditionalFormatting>
  <conditionalFormatting sqref="C184:C187">
    <cfRule type="duplicateValues" dxfId="50" priority="51"/>
  </conditionalFormatting>
  <conditionalFormatting sqref="C185:C187">
    <cfRule type="duplicateValues" dxfId="49" priority="50" stopIfTrue="1"/>
  </conditionalFormatting>
  <conditionalFormatting sqref="C185:C187">
    <cfRule type="duplicateValues" dxfId="45" priority="1"/>
    <cfRule type="duplicateValues" dxfId="47" priority="2"/>
    <cfRule type="duplicateValues" dxfId="48" priority="3"/>
    <cfRule type="duplicateValues" dxfId="40" priority="4"/>
    <cfRule type="duplicateValues" dxfId="41" priority="5"/>
    <cfRule type="duplicateValues" dxfId="42" priority="6"/>
    <cfRule type="duplicateValues" dxfId="4" priority="7"/>
    <cfRule type="duplicateValues" dxfId="46" priority="8"/>
    <cfRule type="duplicateValues" dxfId="11" priority="9"/>
    <cfRule type="duplicateValues" dxfId="27" priority="10"/>
    <cfRule type="duplicateValues" dxfId="28" priority="11"/>
    <cfRule type="duplicateValues" dxfId="29" priority="12"/>
    <cfRule type="duplicateValues" dxfId="30" priority="13"/>
    <cfRule type="duplicateValues" dxfId="31" priority="14"/>
    <cfRule type="duplicateValues" dxfId="32" priority="15"/>
    <cfRule type="duplicateValues" dxfId="33" priority="16"/>
    <cfRule type="duplicateValues" dxfId="34" priority="17"/>
    <cfRule type="duplicateValues" dxfId="35" priority="18"/>
    <cfRule type="duplicateValues" dxfId="43" priority="19"/>
    <cfRule type="duplicateValues" dxfId="44" priority="20"/>
    <cfRule type="duplicateValues" dxfId="0" priority="21"/>
    <cfRule type="duplicateValues" dxfId="1" priority="22"/>
    <cfRule type="duplicateValues" dxfId="2" priority="23"/>
    <cfRule type="duplicateValues" dxfId="3" priority="24"/>
    <cfRule type="duplicateValues" dxfId="5" priority="25"/>
    <cfRule type="duplicateValues" dxfId="6" priority="26"/>
    <cfRule type="duplicateValues" dxfId="8" priority="27"/>
    <cfRule type="duplicateValues" dxfId="9" priority="28"/>
    <cfRule type="duplicateValues" dxfId="10" priority="29"/>
    <cfRule type="duplicateValues" dxfId="12" priority="30"/>
    <cfRule type="duplicateValues" dxfId="13" priority="31"/>
    <cfRule type="duplicateValues" dxfId="14" priority="32"/>
    <cfRule type="duplicateValues" dxfId="15" priority="33"/>
    <cfRule type="duplicateValues" dxfId="16" priority="34"/>
    <cfRule type="duplicateValues" dxfId="17" priority="35"/>
    <cfRule type="duplicateValues" dxfId="18" priority="36"/>
    <cfRule type="duplicateValues" dxfId="19" priority="37"/>
    <cfRule type="duplicateValues" dxfId="20" priority="38"/>
    <cfRule type="duplicateValues" dxfId="21" priority="39"/>
    <cfRule type="duplicateValues" dxfId="22" priority="40"/>
    <cfRule type="duplicateValues" dxfId="23" priority="41"/>
    <cfRule type="duplicateValues" dxfId="24" priority="42"/>
    <cfRule type="duplicateValues" dxfId="7" priority="43"/>
    <cfRule type="duplicateValues" dxfId="25" priority="44"/>
    <cfRule type="duplicateValues" dxfId="26" priority="45"/>
    <cfRule type="duplicateValues" dxfId="36" priority="46"/>
    <cfRule type="duplicateValues" dxfId="37" priority="47"/>
    <cfRule type="duplicateValues" dxfId="38" priority="48"/>
    <cfRule type="duplicateValues" dxfId="39" priority="4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B323-C6B6-4221-8146-04227FADC07B}">
  <sheetPr filterMode="1"/>
  <dimension ref="A1:W721"/>
  <sheetViews>
    <sheetView topLeftCell="A37" zoomScale="80" zoomScaleNormal="80" workbookViewId="0">
      <selection activeCell="J51" sqref="J51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9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180" customWidth="1"/>
    <col min="8" max="8" width="12.875" style="169" customWidth="1"/>
    <col min="9" max="10" width="12.875" style="22" customWidth="1"/>
    <col min="11" max="11" width="11.375" style="8" customWidth="1"/>
    <col min="12" max="24" width="8.875" style="8" customWidth="1"/>
    <col min="25" max="16384" width="8.875" style="8"/>
  </cols>
  <sheetData>
    <row r="1" spans="1:23" s="15" customFormat="1" x14ac:dyDescent="0.25">
      <c r="A1" s="11" t="s">
        <v>0</v>
      </c>
      <c r="B1" s="5"/>
      <c r="C1" s="5"/>
      <c r="D1" s="14"/>
      <c r="E1" s="14"/>
      <c r="F1" s="216" t="s">
        <v>1</v>
      </c>
      <c r="G1" s="217"/>
      <c r="H1" s="216"/>
      <c r="I1" s="198"/>
      <c r="J1" s="198"/>
    </row>
    <row r="2" spans="1:23" s="15" customFormat="1" ht="15" customHeight="1" x14ac:dyDescent="0.25">
      <c r="A2" s="11" t="s">
        <v>2</v>
      </c>
      <c r="B2" s="5"/>
      <c r="C2" s="5"/>
      <c r="D2" s="14"/>
      <c r="E2" s="14"/>
      <c r="F2" s="216" t="s">
        <v>3</v>
      </c>
      <c r="G2" s="217"/>
      <c r="H2" s="216"/>
      <c r="I2" s="198"/>
      <c r="J2" s="198"/>
    </row>
    <row r="3" spans="1:23" ht="15" customHeight="1" x14ac:dyDescent="0.25">
      <c r="B3" s="17"/>
      <c r="C3" s="18"/>
      <c r="D3" s="19"/>
      <c r="E3" s="19"/>
      <c r="F3" s="36"/>
      <c r="G3" s="179"/>
      <c r="H3" s="22"/>
    </row>
    <row r="4" spans="1:23" x14ac:dyDescent="0.25">
      <c r="B4" s="8"/>
      <c r="H4" s="22"/>
    </row>
    <row r="5" spans="1:23" x14ac:dyDescent="0.25">
      <c r="A5" s="218" t="s">
        <v>4</v>
      </c>
      <c r="B5" s="218"/>
      <c r="C5" s="218"/>
      <c r="D5" s="218"/>
      <c r="E5" s="218"/>
      <c r="F5" s="218"/>
      <c r="G5" s="219"/>
      <c r="H5" s="218"/>
      <c r="I5" s="199"/>
      <c r="J5" s="199"/>
    </row>
    <row r="6" spans="1:23" s="3" customFormat="1" x14ac:dyDescent="0.25">
      <c r="A6" s="218" t="s">
        <v>5</v>
      </c>
      <c r="B6" s="218"/>
      <c r="C6" s="218"/>
      <c r="D6" s="218"/>
      <c r="E6" s="218"/>
      <c r="F6" s="218"/>
      <c r="G6" s="219"/>
      <c r="H6" s="218"/>
      <c r="I6" s="199"/>
      <c r="J6" s="199"/>
    </row>
    <row r="7" spans="1:23" s="3" customFormat="1" x14ac:dyDescent="0.25">
      <c r="A7" s="220" t="s">
        <v>37</v>
      </c>
      <c r="B7" s="220"/>
      <c r="C7" s="220"/>
      <c r="D7" s="220"/>
      <c r="E7" s="220"/>
      <c r="F7" s="220"/>
      <c r="G7" s="221"/>
      <c r="H7" s="220"/>
      <c r="I7" s="200"/>
      <c r="J7" s="200"/>
    </row>
    <row r="8" spans="1:23" s="3" customFormat="1" x14ac:dyDescent="0.25">
      <c r="A8" s="38"/>
      <c r="B8" s="170"/>
      <c r="C8" s="1"/>
      <c r="D8" s="38"/>
      <c r="E8" s="38"/>
      <c r="F8" s="171"/>
      <c r="G8" s="181"/>
      <c r="H8" s="22"/>
      <c r="I8" s="22"/>
      <c r="J8" s="2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s="29" customFormat="1" ht="18" customHeight="1" x14ac:dyDescent="0.25">
      <c r="A9" s="192" t="s">
        <v>6</v>
      </c>
      <c r="B9" s="192" t="s">
        <v>7</v>
      </c>
      <c r="C9" s="192" t="s">
        <v>8</v>
      </c>
      <c r="D9" s="192" t="s">
        <v>9</v>
      </c>
      <c r="E9" s="194" t="s">
        <v>10</v>
      </c>
      <c r="F9" s="192" t="s">
        <v>11</v>
      </c>
      <c r="G9" s="182" t="s">
        <v>12</v>
      </c>
      <c r="H9" s="193" t="s">
        <v>13</v>
      </c>
      <c r="I9" s="202"/>
      <c r="J9" s="202"/>
      <c r="K9" s="195" t="s">
        <v>1246</v>
      </c>
      <c r="L9" s="195"/>
      <c r="M9" s="195"/>
      <c r="N9" s="195" t="s">
        <v>1250</v>
      </c>
      <c r="O9" s="195" t="s">
        <v>1251</v>
      </c>
      <c r="P9" s="195"/>
      <c r="Q9" s="195"/>
      <c r="R9" s="195"/>
      <c r="S9" s="195"/>
      <c r="T9" s="195" t="s">
        <v>1249</v>
      </c>
      <c r="U9" s="195"/>
      <c r="V9" s="195" t="s">
        <v>1248</v>
      </c>
      <c r="W9" s="31"/>
    </row>
    <row r="10" spans="1:23" s="29" customFormat="1" ht="18" customHeight="1" x14ac:dyDescent="0.25">
      <c r="A10" s="44">
        <v>1</v>
      </c>
      <c r="B10" s="54">
        <v>46138</v>
      </c>
      <c r="C10" s="44" t="s">
        <v>1252</v>
      </c>
      <c r="D10" s="53">
        <v>40</v>
      </c>
      <c r="E10" s="53" t="s">
        <v>20</v>
      </c>
      <c r="F10" s="90" t="s">
        <v>868</v>
      </c>
      <c r="G10" s="163">
        <v>365000</v>
      </c>
      <c r="H10" s="53" t="s">
        <v>267</v>
      </c>
      <c r="I10" s="117">
        <v>26690</v>
      </c>
      <c r="J10" s="117"/>
      <c r="K10" s="31" t="s">
        <v>1246</v>
      </c>
      <c r="L10" s="31"/>
      <c r="M10" s="31"/>
      <c r="N10" s="31">
        <f>D10</f>
        <v>40</v>
      </c>
      <c r="O10" s="31" t="s">
        <v>1247</v>
      </c>
      <c r="P10" s="31"/>
      <c r="Q10" s="31"/>
      <c r="R10" s="31"/>
      <c r="S10" s="31"/>
      <c r="T10" s="31" t="s">
        <v>1249</v>
      </c>
      <c r="U10" s="31"/>
      <c r="V10" s="31" t="str">
        <f>K10&amp;" "&amp;N10&amp;""&amp;" "&amp;O10</f>
        <v>Cước vận chuyển vỏ container 40 từ bãi JJ, Hải Phòng đến Nam Đình Vũ, Hải Phòng</v>
      </c>
      <c r="W10" s="31"/>
    </row>
    <row r="11" spans="1:23" s="29" customFormat="1" ht="18" customHeight="1" x14ac:dyDescent="0.25">
      <c r="A11" s="44">
        <v>2</v>
      </c>
      <c r="B11" s="54">
        <v>46138</v>
      </c>
      <c r="C11" s="44" t="s">
        <v>1253</v>
      </c>
      <c r="D11" s="53">
        <v>40</v>
      </c>
      <c r="E11" s="53" t="s">
        <v>20</v>
      </c>
      <c r="F11" s="90" t="s">
        <v>1254</v>
      </c>
      <c r="G11" s="163">
        <v>365000</v>
      </c>
      <c r="H11" s="53" t="s">
        <v>25</v>
      </c>
      <c r="I11" s="117">
        <v>26690</v>
      </c>
      <c r="J11" s="117"/>
      <c r="K11" s="31" t="s">
        <v>1246</v>
      </c>
      <c r="L11" s="31"/>
      <c r="M11" s="31"/>
      <c r="N11" s="31">
        <f t="shared" ref="N11:N66" si="0">D11</f>
        <v>40</v>
      </c>
      <c r="O11" s="31" t="s">
        <v>1247</v>
      </c>
      <c r="P11" s="31"/>
      <c r="Q11" s="31"/>
      <c r="R11" s="31"/>
      <c r="S11" s="31"/>
      <c r="T11" s="31" t="s">
        <v>1249</v>
      </c>
      <c r="U11" s="31"/>
      <c r="V11" s="31" t="str">
        <f t="shared" ref="V11:V74" si="1">K11&amp;" "&amp;N11&amp;""&amp;" "&amp;O11</f>
        <v>Cước vận chuyển vỏ container 40 từ bãi JJ, Hải Phòng đến Nam Đình Vũ, Hải Phòng</v>
      </c>
      <c r="W11" s="31"/>
    </row>
    <row r="12" spans="1:23" s="29" customFormat="1" ht="18" customHeight="1" x14ac:dyDescent="0.25">
      <c r="A12" s="44">
        <v>3</v>
      </c>
      <c r="B12" s="54">
        <v>46138</v>
      </c>
      <c r="C12" s="44" t="s">
        <v>1255</v>
      </c>
      <c r="D12" s="53">
        <v>40</v>
      </c>
      <c r="E12" s="53" t="s">
        <v>20</v>
      </c>
      <c r="F12" s="90" t="s">
        <v>1254</v>
      </c>
      <c r="G12" s="163">
        <v>365000</v>
      </c>
      <c r="H12" s="53" t="s">
        <v>25</v>
      </c>
      <c r="I12" s="117">
        <v>26690</v>
      </c>
      <c r="J12" s="117"/>
      <c r="K12" s="31" t="s">
        <v>1246</v>
      </c>
      <c r="L12" s="31"/>
      <c r="M12" s="31"/>
      <c r="N12" s="31">
        <f t="shared" si="0"/>
        <v>40</v>
      </c>
      <c r="O12" s="31" t="s">
        <v>1247</v>
      </c>
      <c r="P12" s="31"/>
      <c r="Q12" s="31"/>
      <c r="R12" s="31"/>
      <c r="S12" s="31"/>
      <c r="T12" s="31" t="s">
        <v>1249</v>
      </c>
      <c r="U12" s="31"/>
      <c r="V12" s="31" t="str">
        <f t="shared" si="1"/>
        <v>Cước vận chuyển vỏ container 40 từ bãi JJ, Hải Phòng đến Nam Đình Vũ, Hải Phòng</v>
      </c>
      <c r="W12" s="31"/>
    </row>
    <row r="13" spans="1:23" s="29" customFormat="1" ht="18" customHeight="1" x14ac:dyDescent="0.25">
      <c r="A13" s="44">
        <v>4</v>
      </c>
      <c r="B13" s="54">
        <v>46139</v>
      </c>
      <c r="C13" s="44" t="s">
        <v>1256</v>
      </c>
      <c r="D13" s="53">
        <v>40</v>
      </c>
      <c r="E13" s="53" t="s">
        <v>20</v>
      </c>
      <c r="F13" s="90" t="s">
        <v>1254</v>
      </c>
      <c r="G13" s="163">
        <v>365000</v>
      </c>
      <c r="H13" s="53" t="s">
        <v>25</v>
      </c>
      <c r="I13" s="117">
        <v>26690</v>
      </c>
      <c r="J13" s="117"/>
      <c r="K13" s="31" t="s">
        <v>1246</v>
      </c>
      <c r="L13" s="31"/>
      <c r="M13" s="31"/>
      <c r="N13" s="31">
        <f t="shared" si="0"/>
        <v>40</v>
      </c>
      <c r="O13" s="31" t="s">
        <v>1247</v>
      </c>
      <c r="P13" s="31"/>
      <c r="Q13" s="31"/>
      <c r="R13" s="31"/>
      <c r="S13" s="31"/>
      <c r="T13" s="31" t="s">
        <v>1249</v>
      </c>
      <c r="U13" s="31"/>
      <c r="V13" s="31" t="str">
        <f t="shared" si="1"/>
        <v>Cước vận chuyển vỏ container 40 từ bãi JJ, Hải Phòng đến Nam Đình Vũ, Hải Phòng</v>
      </c>
      <c r="W13" s="31"/>
    </row>
    <row r="14" spans="1:23" s="29" customFormat="1" ht="18" customHeight="1" x14ac:dyDescent="0.25">
      <c r="A14" s="44">
        <v>5</v>
      </c>
      <c r="B14" s="54">
        <v>46139</v>
      </c>
      <c r="C14" s="44" t="s">
        <v>1257</v>
      </c>
      <c r="D14" s="53">
        <v>40</v>
      </c>
      <c r="E14" s="53" t="s">
        <v>20</v>
      </c>
      <c r="F14" s="90" t="s">
        <v>1254</v>
      </c>
      <c r="G14" s="163">
        <v>365000</v>
      </c>
      <c r="H14" s="53" t="s">
        <v>25</v>
      </c>
      <c r="I14" s="117">
        <v>26690</v>
      </c>
      <c r="J14" s="117"/>
      <c r="K14" s="31" t="s">
        <v>1246</v>
      </c>
      <c r="L14" s="31"/>
      <c r="M14" s="31"/>
      <c r="N14" s="31">
        <f t="shared" si="0"/>
        <v>40</v>
      </c>
      <c r="O14" s="31" t="s">
        <v>1247</v>
      </c>
      <c r="P14" s="31"/>
      <c r="Q14" s="31"/>
      <c r="R14" s="31"/>
      <c r="S14" s="31"/>
      <c r="T14" s="31" t="s">
        <v>1249</v>
      </c>
      <c r="U14" s="31"/>
      <c r="V14" s="31" t="str">
        <f t="shared" si="1"/>
        <v>Cước vận chuyển vỏ container 40 từ bãi JJ, Hải Phòng đến Nam Đình Vũ, Hải Phòng</v>
      </c>
      <c r="W14" s="31"/>
    </row>
    <row r="15" spans="1:23" s="29" customFormat="1" ht="18" customHeight="1" x14ac:dyDescent="0.25">
      <c r="A15" s="44">
        <v>6</v>
      </c>
      <c r="B15" s="54">
        <v>46139</v>
      </c>
      <c r="C15" s="44" t="s">
        <v>1258</v>
      </c>
      <c r="D15" s="53">
        <v>40</v>
      </c>
      <c r="E15" s="53" t="s">
        <v>20</v>
      </c>
      <c r="F15" s="90" t="s">
        <v>1254</v>
      </c>
      <c r="G15" s="163">
        <v>365000</v>
      </c>
      <c r="H15" s="53" t="s">
        <v>25</v>
      </c>
      <c r="I15" s="117">
        <v>26690</v>
      </c>
      <c r="J15" s="117"/>
      <c r="K15" s="31" t="s">
        <v>1246</v>
      </c>
      <c r="L15" s="31"/>
      <c r="M15" s="31"/>
      <c r="N15" s="31">
        <f t="shared" si="0"/>
        <v>40</v>
      </c>
      <c r="O15" s="31" t="s">
        <v>1247</v>
      </c>
      <c r="P15" s="31"/>
      <c r="Q15" s="31"/>
      <c r="R15" s="31"/>
      <c r="S15" s="31"/>
      <c r="T15" s="31" t="s">
        <v>1249</v>
      </c>
      <c r="U15" s="31"/>
      <c r="V15" s="31" t="str">
        <f t="shared" si="1"/>
        <v>Cước vận chuyển vỏ container 40 từ bãi JJ, Hải Phòng đến Nam Đình Vũ, Hải Phòng</v>
      </c>
      <c r="W15" s="31"/>
    </row>
    <row r="16" spans="1:23" s="29" customFormat="1" ht="18" customHeight="1" x14ac:dyDescent="0.25">
      <c r="A16" s="44">
        <v>7</v>
      </c>
      <c r="B16" s="54">
        <v>46139</v>
      </c>
      <c r="C16" s="44" t="s">
        <v>1259</v>
      </c>
      <c r="D16" s="53">
        <v>40</v>
      </c>
      <c r="E16" s="53" t="s">
        <v>20</v>
      </c>
      <c r="F16" s="90" t="s">
        <v>1254</v>
      </c>
      <c r="G16" s="163">
        <v>365000</v>
      </c>
      <c r="H16" s="201" t="s">
        <v>22</v>
      </c>
      <c r="I16" s="117">
        <v>26690</v>
      </c>
      <c r="J16" s="203"/>
      <c r="K16" s="31" t="s">
        <v>1246</v>
      </c>
      <c r="L16" s="31"/>
      <c r="M16" s="31"/>
      <c r="N16" s="31">
        <f t="shared" si="0"/>
        <v>40</v>
      </c>
      <c r="O16" s="31" t="s">
        <v>1247</v>
      </c>
      <c r="P16" s="31"/>
      <c r="Q16" s="31"/>
      <c r="R16" s="31"/>
      <c r="S16" s="31"/>
      <c r="T16" s="31" t="s">
        <v>1249</v>
      </c>
      <c r="U16" s="31"/>
      <c r="V16" s="31" t="str">
        <f t="shared" si="1"/>
        <v>Cước vận chuyển vỏ container 40 từ bãi JJ, Hải Phòng đến Nam Đình Vũ, Hải Phòng</v>
      </c>
      <c r="W16" s="31"/>
    </row>
    <row r="17" spans="1:23" s="29" customFormat="1" ht="18" customHeight="1" x14ac:dyDescent="0.25">
      <c r="A17" s="44">
        <v>8</v>
      </c>
      <c r="B17" s="54">
        <v>46139</v>
      </c>
      <c r="C17" s="44" t="s">
        <v>1260</v>
      </c>
      <c r="D17" s="53">
        <v>40</v>
      </c>
      <c r="E17" s="53" t="s">
        <v>20</v>
      </c>
      <c r="F17" s="90" t="s">
        <v>1254</v>
      </c>
      <c r="G17" s="163">
        <v>365000</v>
      </c>
      <c r="H17" s="201" t="s">
        <v>22</v>
      </c>
      <c r="I17" s="117">
        <v>26690</v>
      </c>
      <c r="J17" s="203"/>
      <c r="K17" s="31" t="s">
        <v>1246</v>
      </c>
      <c r="L17" s="31"/>
      <c r="M17" s="31"/>
      <c r="N17" s="31">
        <f t="shared" si="0"/>
        <v>40</v>
      </c>
      <c r="O17" s="31" t="s">
        <v>1247</v>
      </c>
      <c r="P17" s="31"/>
      <c r="Q17" s="31"/>
      <c r="R17" s="31"/>
      <c r="S17" s="31"/>
      <c r="T17" s="31" t="s">
        <v>1249</v>
      </c>
      <c r="U17" s="31"/>
      <c r="V17" s="31" t="str">
        <f t="shared" si="1"/>
        <v>Cước vận chuyển vỏ container 40 từ bãi JJ, Hải Phòng đến Nam Đình Vũ, Hải Phòng</v>
      </c>
      <c r="W17" s="31"/>
    </row>
    <row r="18" spans="1:23" s="29" customFormat="1" ht="18" customHeight="1" x14ac:dyDescent="0.25">
      <c r="A18" s="44">
        <v>9</v>
      </c>
      <c r="B18" s="54">
        <v>46139</v>
      </c>
      <c r="C18" s="44" t="s">
        <v>1261</v>
      </c>
      <c r="D18" s="53">
        <v>40</v>
      </c>
      <c r="E18" s="53" t="s">
        <v>20</v>
      </c>
      <c r="F18" s="90" t="s">
        <v>1254</v>
      </c>
      <c r="G18" s="163">
        <v>365000</v>
      </c>
      <c r="H18" s="201" t="s">
        <v>22</v>
      </c>
      <c r="I18" s="117">
        <v>26690</v>
      </c>
      <c r="J18" s="203"/>
      <c r="K18" s="31" t="s">
        <v>1246</v>
      </c>
      <c r="L18" s="31"/>
      <c r="M18" s="31"/>
      <c r="N18" s="31">
        <f t="shared" si="0"/>
        <v>40</v>
      </c>
      <c r="O18" s="31" t="s">
        <v>1247</v>
      </c>
      <c r="P18" s="31"/>
      <c r="Q18" s="31"/>
      <c r="R18" s="31"/>
      <c r="S18" s="31"/>
      <c r="T18" s="31" t="s">
        <v>1249</v>
      </c>
      <c r="U18" s="31"/>
      <c r="V18" s="31" t="str">
        <f t="shared" si="1"/>
        <v>Cước vận chuyển vỏ container 40 từ bãi JJ, Hải Phòng đến Nam Đình Vũ, Hải Phòng</v>
      </c>
      <c r="W18" s="31"/>
    </row>
    <row r="19" spans="1:23" s="29" customFormat="1" ht="18" customHeight="1" x14ac:dyDescent="0.25">
      <c r="A19" s="44">
        <v>10</v>
      </c>
      <c r="B19" s="54">
        <v>46139</v>
      </c>
      <c r="C19" s="44" t="s">
        <v>1262</v>
      </c>
      <c r="D19" s="53">
        <v>40</v>
      </c>
      <c r="E19" s="53" t="s">
        <v>20</v>
      </c>
      <c r="F19" s="90" t="s">
        <v>1254</v>
      </c>
      <c r="G19" s="163">
        <v>365000</v>
      </c>
      <c r="H19" s="201" t="s">
        <v>22</v>
      </c>
      <c r="I19" s="117">
        <v>26690</v>
      </c>
      <c r="J19" s="203"/>
      <c r="K19" s="31" t="s">
        <v>1246</v>
      </c>
      <c r="L19" s="31"/>
      <c r="M19" s="31"/>
      <c r="N19" s="31">
        <f t="shared" si="0"/>
        <v>40</v>
      </c>
      <c r="O19" s="31" t="s">
        <v>1247</v>
      </c>
      <c r="P19" s="31"/>
      <c r="Q19" s="31"/>
      <c r="R19" s="31"/>
      <c r="S19" s="31"/>
      <c r="T19" s="31" t="s">
        <v>1249</v>
      </c>
      <c r="U19" s="31"/>
      <c r="V19" s="31" t="str">
        <f t="shared" si="1"/>
        <v>Cước vận chuyển vỏ container 40 từ bãi JJ, Hải Phòng đến Nam Đình Vũ, Hải Phòng</v>
      </c>
      <c r="W19" s="31"/>
    </row>
    <row r="20" spans="1:23" s="29" customFormat="1" ht="18" hidden="1" customHeight="1" x14ac:dyDescent="0.25">
      <c r="A20" s="44">
        <v>11</v>
      </c>
      <c r="B20" s="54">
        <v>46139</v>
      </c>
      <c r="C20" s="44" t="s">
        <v>1263</v>
      </c>
      <c r="D20" s="53">
        <v>20</v>
      </c>
      <c r="E20" s="53" t="s">
        <v>20</v>
      </c>
      <c r="F20" s="90" t="s">
        <v>1254</v>
      </c>
      <c r="G20" s="163">
        <v>198000</v>
      </c>
      <c r="H20" s="201" t="s">
        <v>22</v>
      </c>
      <c r="I20" s="117">
        <v>26690</v>
      </c>
      <c r="J20" s="203"/>
      <c r="K20" s="31" t="s">
        <v>1246</v>
      </c>
      <c r="L20" s="31"/>
      <c r="M20" s="31"/>
      <c r="N20" s="31">
        <f t="shared" si="0"/>
        <v>20</v>
      </c>
      <c r="O20" s="31" t="s">
        <v>1247</v>
      </c>
      <c r="P20" s="31"/>
      <c r="Q20" s="31"/>
      <c r="R20" s="31"/>
      <c r="S20" s="31"/>
      <c r="T20" s="31" t="s">
        <v>1249</v>
      </c>
      <c r="U20" s="31"/>
      <c r="V20" s="31" t="str">
        <f t="shared" si="1"/>
        <v>Cước vận chuyển vỏ container 20 từ bãi JJ, Hải Phòng đến Nam Đình Vũ, Hải Phòng</v>
      </c>
      <c r="W20" s="31"/>
    </row>
    <row r="21" spans="1:23" s="29" customFormat="1" ht="18" hidden="1" customHeight="1" x14ac:dyDescent="0.25">
      <c r="A21" s="44">
        <v>12</v>
      </c>
      <c r="B21" s="54">
        <v>46139</v>
      </c>
      <c r="C21" s="44" t="s">
        <v>1264</v>
      </c>
      <c r="D21" s="53">
        <v>20</v>
      </c>
      <c r="E21" s="53" t="s">
        <v>20</v>
      </c>
      <c r="F21" s="90" t="s">
        <v>1254</v>
      </c>
      <c r="G21" s="163">
        <v>198000</v>
      </c>
      <c r="H21" s="201" t="s">
        <v>22</v>
      </c>
      <c r="I21" s="117">
        <v>26690</v>
      </c>
      <c r="J21" s="203"/>
      <c r="K21" s="31" t="s">
        <v>1246</v>
      </c>
      <c r="L21" s="31"/>
      <c r="M21" s="31"/>
      <c r="N21" s="31">
        <f t="shared" si="0"/>
        <v>20</v>
      </c>
      <c r="O21" s="31" t="s">
        <v>1247</v>
      </c>
      <c r="P21" s="31"/>
      <c r="Q21" s="31"/>
      <c r="R21" s="31"/>
      <c r="S21" s="31"/>
      <c r="T21" s="31" t="s">
        <v>1249</v>
      </c>
      <c r="U21" s="31"/>
      <c r="V21" s="31" t="str">
        <f t="shared" si="1"/>
        <v>Cước vận chuyển vỏ container 20 từ bãi JJ, Hải Phòng đến Nam Đình Vũ, Hải Phòng</v>
      </c>
      <c r="W21" s="31"/>
    </row>
    <row r="22" spans="1:23" s="29" customFormat="1" ht="18" hidden="1" customHeight="1" x14ac:dyDescent="0.25">
      <c r="A22" s="44">
        <v>13</v>
      </c>
      <c r="B22" s="54">
        <v>46138</v>
      </c>
      <c r="C22" s="44" t="s">
        <v>1265</v>
      </c>
      <c r="D22" s="53">
        <v>20</v>
      </c>
      <c r="E22" s="53" t="s">
        <v>20</v>
      </c>
      <c r="F22" s="90" t="s">
        <v>868</v>
      </c>
      <c r="G22" s="163">
        <v>198000</v>
      </c>
      <c r="H22" s="41" t="s">
        <v>15</v>
      </c>
      <c r="I22" s="117">
        <v>26690</v>
      </c>
      <c r="J22" s="37"/>
      <c r="K22" s="31" t="s">
        <v>1246</v>
      </c>
      <c r="L22" s="31"/>
      <c r="M22" s="31"/>
      <c r="N22" s="31">
        <f t="shared" si="0"/>
        <v>20</v>
      </c>
      <c r="O22" s="31" t="s">
        <v>1247</v>
      </c>
      <c r="P22" s="31"/>
      <c r="Q22" s="31"/>
      <c r="R22" s="31"/>
      <c r="S22" s="31"/>
      <c r="T22" s="31" t="s">
        <v>1249</v>
      </c>
      <c r="U22" s="31"/>
      <c r="V22" s="31" t="str">
        <f t="shared" si="1"/>
        <v>Cước vận chuyển vỏ container 20 từ bãi JJ, Hải Phòng đến Nam Đình Vũ, Hải Phòng</v>
      </c>
      <c r="W22" s="31"/>
    </row>
    <row r="23" spans="1:23" s="29" customFormat="1" ht="18" hidden="1" customHeight="1" x14ac:dyDescent="0.25">
      <c r="A23" s="44">
        <v>14</v>
      </c>
      <c r="B23" s="54">
        <v>46138</v>
      </c>
      <c r="C23" s="44" t="s">
        <v>1266</v>
      </c>
      <c r="D23" s="53">
        <v>20</v>
      </c>
      <c r="E23" s="53" t="s">
        <v>20</v>
      </c>
      <c r="F23" s="90" t="s">
        <v>868</v>
      </c>
      <c r="G23" s="163">
        <v>198000</v>
      </c>
      <c r="H23" s="41" t="s">
        <v>15</v>
      </c>
      <c r="I23" s="117">
        <v>26690</v>
      </c>
      <c r="J23" s="37"/>
      <c r="K23" s="31" t="s">
        <v>1246</v>
      </c>
      <c r="L23" s="31"/>
      <c r="M23" s="31"/>
      <c r="N23" s="31">
        <f t="shared" si="0"/>
        <v>20</v>
      </c>
      <c r="O23" s="31" t="s">
        <v>1247</v>
      </c>
      <c r="P23" s="31"/>
      <c r="Q23" s="31"/>
      <c r="R23" s="31"/>
      <c r="S23" s="31"/>
      <c r="T23" s="31" t="s">
        <v>1249</v>
      </c>
      <c r="U23" s="31"/>
      <c r="V23" s="31" t="str">
        <f t="shared" si="1"/>
        <v>Cước vận chuyển vỏ container 20 từ bãi JJ, Hải Phòng đến Nam Đình Vũ, Hải Phòng</v>
      </c>
      <c r="W23" s="31"/>
    </row>
    <row r="24" spans="1:23" s="29" customFormat="1" ht="18" customHeight="1" x14ac:dyDescent="0.25">
      <c r="A24" s="44">
        <v>15</v>
      </c>
      <c r="B24" s="54">
        <v>46138.83929398148</v>
      </c>
      <c r="C24" s="44" t="s">
        <v>1267</v>
      </c>
      <c r="D24" s="53">
        <v>40</v>
      </c>
      <c r="E24" s="53" t="s">
        <v>20</v>
      </c>
      <c r="F24" s="90" t="s">
        <v>868</v>
      </c>
      <c r="G24" s="163">
        <v>365000</v>
      </c>
      <c r="H24" s="41" t="s">
        <v>15</v>
      </c>
      <c r="I24" s="117">
        <v>26690</v>
      </c>
      <c r="J24" s="37"/>
      <c r="K24" s="31" t="s">
        <v>1246</v>
      </c>
      <c r="L24" s="31"/>
      <c r="M24" s="31"/>
      <c r="N24" s="31">
        <f t="shared" si="0"/>
        <v>40</v>
      </c>
      <c r="O24" s="31" t="s">
        <v>1247</v>
      </c>
      <c r="P24" s="31"/>
      <c r="Q24" s="31"/>
      <c r="R24" s="31"/>
      <c r="S24" s="31"/>
      <c r="T24" s="31" t="s">
        <v>1249</v>
      </c>
      <c r="U24" s="31"/>
      <c r="V24" s="31" t="str">
        <f t="shared" si="1"/>
        <v>Cước vận chuyển vỏ container 40 từ bãi JJ, Hải Phòng đến Nam Đình Vũ, Hải Phòng</v>
      </c>
      <c r="W24" s="31"/>
    </row>
    <row r="25" spans="1:23" s="29" customFormat="1" ht="18" customHeight="1" x14ac:dyDescent="0.25">
      <c r="A25" s="44">
        <v>16</v>
      </c>
      <c r="B25" s="54">
        <v>46138</v>
      </c>
      <c r="C25" s="44" t="s">
        <v>1268</v>
      </c>
      <c r="D25" s="53">
        <v>40</v>
      </c>
      <c r="E25" s="53" t="s">
        <v>20</v>
      </c>
      <c r="F25" s="90" t="s">
        <v>1254</v>
      </c>
      <c r="G25" s="163">
        <v>365000</v>
      </c>
      <c r="H25" s="201" t="s">
        <v>268</v>
      </c>
      <c r="I25" s="117">
        <v>26690</v>
      </c>
      <c r="J25" s="203"/>
      <c r="K25" s="31" t="s">
        <v>1246</v>
      </c>
      <c r="L25" s="31"/>
      <c r="M25" s="31"/>
      <c r="N25" s="31">
        <f t="shared" si="0"/>
        <v>40</v>
      </c>
      <c r="O25" s="31" t="s">
        <v>1247</v>
      </c>
      <c r="P25" s="31"/>
      <c r="Q25" s="31"/>
      <c r="R25" s="31"/>
      <c r="S25" s="31"/>
      <c r="T25" s="31" t="s">
        <v>1249</v>
      </c>
      <c r="U25" s="31"/>
      <c r="V25" s="31" t="str">
        <f t="shared" si="1"/>
        <v>Cước vận chuyển vỏ container 40 từ bãi JJ, Hải Phòng đến Nam Đình Vũ, Hải Phòng</v>
      </c>
      <c r="W25" s="31"/>
    </row>
    <row r="26" spans="1:23" s="29" customFormat="1" ht="18" hidden="1" customHeight="1" x14ac:dyDescent="0.25">
      <c r="A26" s="44">
        <v>17</v>
      </c>
      <c r="B26" s="54">
        <v>46138</v>
      </c>
      <c r="C26" s="44" t="s">
        <v>1269</v>
      </c>
      <c r="D26" s="53">
        <v>20</v>
      </c>
      <c r="E26" s="53" t="s">
        <v>20</v>
      </c>
      <c r="F26" s="90" t="s">
        <v>1254</v>
      </c>
      <c r="G26" s="163">
        <v>198000</v>
      </c>
      <c r="H26" s="201" t="s">
        <v>268</v>
      </c>
      <c r="I26" s="117">
        <v>26690</v>
      </c>
      <c r="J26" s="203"/>
      <c r="K26" s="31" t="s">
        <v>1246</v>
      </c>
      <c r="L26" s="31"/>
      <c r="M26" s="31"/>
      <c r="N26" s="31">
        <f t="shared" si="0"/>
        <v>20</v>
      </c>
      <c r="O26" s="31" t="s">
        <v>1247</v>
      </c>
      <c r="P26" s="31"/>
      <c r="Q26" s="31"/>
      <c r="R26" s="31"/>
      <c r="S26" s="31"/>
      <c r="T26" s="31" t="s">
        <v>1249</v>
      </c>
      <c r="U26" s="31"/>
      <c r="V26" s="31" t="str">
        <f>K26&amp;" "&amp;N26&amp;""&amp;" "&amp;O26</f>
        <v>Cước vận chuyển vỏ container 20 từ bãi JJ, Hải Phòng đến Nam Đình Vũ, Hải Phòng</v>
      </c>
      <c r="W26" s="31"/>
    </row>
    <row r="27" spans="1:23" s="29" customFormat="1" ht="18" hidden="1" customHeight="1" x14ac:dyDescent="0.25">
      <c r="A27" s="44">
        <v>18</v>
      </c>
      <c r="B27" s="54">
        <v>46138</v>
      </c>
      <c r="C27" s="44" t="s">
        <v>1270</v>
      </c>
      <c r="D27" s="53">
        <v>20</v>
      </c>
      <c r="E27" s="53" t="s">
        <v>20</v>
      </c>
      <c r="F27" s="90" t="s">
        <v>1254</v>
      </c>
      <c r="G27" s="163">
        <v>198000</v>
      </c>
      <c r="H27" s="201" t="s">
        <v>268</v>
      </c>
      <c r="I27" s="117">
        <v>26690</v>
      </c>
      <c r="J27" s="203"/>
      <c r="K27" s="31" t="s">
        <v>1246</v>
      </c>
      <c r="L27" s="31"/>
      <c r="M27" s="31"/>
      <c r="N27" s="31">
        <f t="shared" si="0"/>
        <v>20</v>
      </c>
      <c r="O27" s="31" t="s">
        <v>1247</v>
      </c>
      <c r="P27" s="31"/>
      <c r="Q27" s="31"/>
      <c r="R27" s="31"/>
      <c r="S27" s="31"/>
      <c r="T27" s="31" t="s">
        <v>1249</v>
      </c>
      <c r="U27" s="31"/>
      <c r="V27" s="31" t="str">
        <f t="shared" si="1"/>
        <v>Cước vận chuyển vỏ container 20 từ bãi JJ, Hải Phòng đến Nam Đình Vũ, Hải Phòng</v>
      </c>
      <c r="W27" s="31"/>
    </row>
    <row r="28" spans="1:23" s="29" customFormat="1" ht="18" customHeight="1" x14ac:dyDescent="0.25">
      <c r="A28" s="44">
        <v>19</v>
      </c>
      <c r="B28" s="54">
        <v>46139</v>
      </c>
      <c r="C28" s="44" t="s">
        <v>1271</v>
      </c>
      <c r="D28" s="53">
        <v>40</v>
      </c>
      <c r="E28" s="53" t="s">
        <v>20</v>
      </c>
      <c r="F28" s="90" t="s">
        <v>1254</v>
      </c>
      <c r="G28" s="163">
        <v>365000</v>
      </c>
      <c r="H28" s="201" t="s">
        <v>268</v>
      </c>
      <c r="I28" s="117">
        <v>26690</v>
      </c>
      <c r="J28" s="203"/>
      <c r="K28" s="31" t="s">
        <v>1246</v>
      </c>
      <c r="L28" s="31"/>
      <c r="M28" s="31"/>
      <c r="N28" s="31">
        <f t="shared" si="0"/>
        <v>40</v>
      </c>
      <c r="O28" s="31" t="s">
        <v>1247</v>
      </c>
      <c r="P28" s="31"/>
      <c r="Q28" s="31"/>
      <c r="R28" s="31"/>
      <c r="S28" s="31"/>
      <c r="T28" s="31" t="s">
        <v>1249</v>
      </c>
      <c r="U28" s="31"/>
      <c r="V28" s="31" t="str">
        <f t="shared" si="1"/>
        <v>Cước vận chuyển vỏ container 40 từ bãi JJ, Hải Phòng đến Nam Đình Vũ, Hải Phòng</v>
      </c>
      <c r="W28" s="31"/>
    </row>
    <row r="29" spans="1:23" s="29" customFormat="1" ht="18" customHeight="1" x14ac:dyDescent="0.25">
      <c r="A29" s="44">
        <v>20</v>
      </c>
      <c r="B29" s="54">
        <v>46139</v>
      </c>
      <c r="C29" s="44" t="s">
        <v>1272</v>
      </c>
      <c r="D29" s="53">
        <v>40</v>
      </c>
      <c r="E29" s="53" t="s">
        <v>20</v>
      </c>
      <c r="F29" s="90" t="s">
        <v>1254</v>
      </c>
      <c r="G29" s="163">
        <v>365000</v>
      </c>
      <c r="H29" s="201" t="s">
        <v>268</v>
      </c>
      <c r="I29" s="117">
        <v>26690</v>
      </c>
      <c r="J29" s="203"/>
      <c r="K29" s="31" t="s">
        <v>1246</v>
      </c>
      <c r="L29" s="31"/>
      <c r="M29" s="31"/>
      <c r="N29" s="31">
        <f t="shared" si="0"/>
        <v>40</v>
      </c>
      <c r="O29" s="31" t="s">
        <v>1247</v>
      </c>
      <c r="P29" s="31"/>
      <c r="Q29" s="31"/>
      <c r="R29" s="31"/>
      <c r="S29" s="31"/>
      <c r="T29" s="31" t="s">
        <v>1249</v>
      </c>
      <c r="U29" s="31"/>
      <c r="V29" s="31" t="str">
        <f t="shared" si="1"/>
        <v>Cước vận chuyển vỏ container 40 từ bãi JJ, Hải Phòng đến Nam Đình Vũ, Hải Phòng</v>
      </c>
      <c r="W29" s="31"/>
    </row>
    <row r="30" spans="1:23" s="29" customFormat="1" ht="18" customHeight="1" x14ac:dyDescent="0.25">
      <c r="A30" s="44">
        <v>21</v>
      </c>
      <c r="B30" s="54">
        <v>46139</v>
      </c>
      <c r="C30" s="44" t="s">
        <v>1273</v>
      </c>
      <c r="D30" s="53">
        <v>40</v>
      </c>
      <c r="E30" s="53" t="s">
        <v>20</v>
      </c>
      <c r="F30" s="90" t="s">
        <v>1254</v>
      </c>
      <c r="G30" s="163">
        <v>365000</v>
      </c>
      <c r="H30" s="201" t="s">
        <v>268</v>
      </c>
      <c r="I30" s="117">
        <v>26690</v>
      </c>
      <c r="J30" s="203"/>
      <c r="K30" s="31" t="s">
        <v>1246</v>
      </c>
      <c r="L30" s="31"/>
      <c r="M30" s="31"/>
      <c r="N30" s="31">
        <f t="shared" si="0"/>
        <v>40</v>
      </c>
      <c r="O30" s="31" t="s">
        <v>1247</v>
      </c>
      <c r="P30" s="31"/>
      <c r="Q30" s="31"/>
      <c r="R30" s="31"/>
      <c r="S30" s="31"/>
      <c r="T30" s="31" t="s">
        <v>1249</v>
      </c>
      <c r="U30" s="31"/>
      <c r="V30" s="31" t="str">
        <f t="shared" si="1"/>
        <v>Cước vận chuyển vỏ container 40 từ bãi JJ, Hải Phòng đến Nam Đình Vũ, Hải Phòng</v>
      </c>
      <c r="W30" s="31"/>
    </row>
    <row r="31" spans="1:23" s="29" customFormat="1" ht="18" customHeight="1" x14ac:dyDescent="0.25">
      <c r="A31" s="44">
        <v>22</v>
      </c>
      <c r="B31" s="54">
        <v>46138</v>
      </c>
      <c r="C31" s="53" t="s">
        <v>1274</v>
      </c>
      <c r="D31" s="53">
        <v>40</v>
      </c>
      <c r="E31" s="53" t="s">
        <v>20</v>
      </c>
      <c r="F31" s="53" t="s">
        <v>1254</v>
      </c>
      <c r="G31" s="163">
        <v>365000</v>
      </c>
      <c r="H31" s="53" t="s">
        <v>28</v>
      </c>
      <c r="I31" s="117">
        <v>26690</v>
      </c>
      <c r="J31" s="117"/>
      <c r="K31" s="31" t="s">
        <v>1246</v>
      </c>
      <c r="L31" s="31"/>
      <c r="M31" s="31"/>
      <c r="N31" s="31">
        <f t="shared" si="0"/>
        <v>40</v>
      </c>
      <c r="O31" s="31" t="s">
        <v>1247</v>
      </c>
      <c r="P31" s="31"/>
      <c r="Q31" s="31"/>
      <c r="R31" s="31"/>
      <c r="S31" s="31"/>
      <c r="T31" s="31" t="s">
        <v>1249</v>
      </c>
      <c r="U31" s="31"/>
      <c r="V31" s="31" t="str">
        <f t="shared" si="1"/>
        <v>Cước vận chuyển vỏ container 40 từ bãi JJ, Hải Phòng đến Nam Đình Vũ, Hải Phòng</v>
      </c>
      <c r="W31" s="31"/>
    </row>
    <row r="32" spans="1:23" s="29" customFormat="1" ht="18" customHeight="1" x14ac:dyDescent="0.25">
      <c r="A32" s="44">
        <v>23</v>
      </c>
      <c r="B32" s="54">
        <v>46138</v>
      </c>
      <c r="C32" s="53" t="s">
        <v>1275</v>
      </c>
      <c r="D32" s="53">
        <v>40</v>
      </c>
      <c r="E32" s="53" t="s">
        <v>20</v>
      </c>
      <c r="F32" s="53" t="s">
        <v>1254</v>
      </c>
      <c r="G32" s="163">
        <v>365000</v>
      </c>
      <c r="H32" s="53" t="s">
        <v>28</v>
      </c>
      <c r="I32" s="117">
        <v>26690</v>
      </c>
      <c r="J32" s="117"/>
      <c r="K32" s="31" t="s">
        <v>1246</v>
      </c>
      <c r="L32" s="31"/>
      <c r="M32" s="31"/>
      <c r="N32" s="31">
        <f t="shared" si="0"/>
        <v>40</v>
      </c>
      <c r="O32" s="31" t="s">
        <v>1247</v>
      </c>
      <c r="P32" s="31"/>
      <c r="Q32" s="31"/>
      <c r="R32" s="31"/>
      <c r="S32" s="31"/>
      <c r="T32" s="31" t="s">
        <v>1249</v>
      </c>
      <c r="U32" s="31"/>
      <c r="V32" s="31" t="str">
        <f t="shared" si="1"/>
        <v>Cước vận chuyển vỏ container 40 từ bãi JJ, Hải Phòng đến Nam Đình Vũ, Hải Phòng</v>
      </c>
      <c r="W32" s="31"/>
    </row>
    <row r="33" spans="1:23" s="29" customFormat="1" ht="18" customHeight="1" x14ac:dyDescent="0.25">
      <c r="A33" s="44">
        <v>24</v>
      </c>
      <c r="B33" s="54">
        <v>46138</v>
      </c>
      <c r="C33" s="53" t="s">
        <v>1276</v>
      </c>
      <c r="D33" s="53">
        <v>40</v>
      </c>
      <c r="E33" s="53" t="s">
        <v>20</v>
      </c>
      <c r="F33" s="53" t="s">
        <v>1254</v>
      </c>
      <c r="G33" s="163">
        <v>365000</v>
      </c>
      <c r="H33" s="53" t="s">
        <v>28</v>
      </c>
      <c r="I33" s="117">
        <v>26690</v>
      </c>
      <c r="J33" s="117"/>
      <c r="K33" s="31" t="s">
        <v>1246</v>
      </c>
      <c r="L33" s="31"/>
      <c r="M33" s="31"/>
      <c r="N33" s="31">
        <f t="shared" si="0"/>
        <v>40</v>
      </c>
      <c r="O33" s="31" t="s">
        <v>1247</v>
      </c>
      <c r="P33" s="31"/>
      <c r="Q33" s="31"/>
      <c r="R33" s="31"/>
      <c r="S33" s="31"/>
      <c r="T33" s="31" t="s">
        <v>1249</v>
      </c>
      <c r="U33" s="31"/>
      <c r="V33" s="31" t="str">
        <f t="shared" si="1"/>
        <v>Cước vận chuyển vỏ container 40 từ bãi JJ, Hải Phòng đến Nam Đình Vũ, Hải Phòng</v>
      </c>
      <c r="W33" s="31"/>
    </row>
    <row r="34" spans="1:23" s="29" customFormat="1" ht="18" customHeight="1" x14ac:dyDescent="0.25">
      <c r="A34" s="44">
        <v>25</v>
      </c>
      <c r="B34" s="54">
        <v>46138</v>
      </c>
      <c r="C34" s="53" t="s">
        <v>1277</v>
      </c>
      <c r="D34" s="53">
        <v>40</v>
      </c>
      <c r="E34" s="53" t="s">
        <v>20</v>
      </c>
      <c r="F34" s="53" t="s">
        <v>1254</v>
      </c>
      <c r="G34" s="163">
        <v>365000</v>
      </c>
      <c r="H34" s="53" t="s">
        <v>28</v>
      </c>
      <c r="I34" s="117">
        <v>26690</v>
      </c>
      <c r="J34" s="117"/>
      <c r="K34" s="31" t="s">
        <v>1246</v>
      </c>
      <c r="L34" s="31"/>
      <c r="M34" s="31"/>
      <c r="N34" s="31">
        <f t="shared" si="0"/>
        <v>40</v>
      </c>
      <c r="O34" s="31" t="s">
        <v>1247</v>
      </c>
      <c r="P34" s="31"/>
      <c r="Q34" s="31"/>
      <c r="R34" s="31"/>
      <c r="S34" s="31"/>
      <c r="T34" s="31" t="s">
        <v>1249</v>
      </c>
      <c r="U34" s="31"/>
      <c r="V34" s="31" t="str">
        <f t="shared" si="1"/>
        <v>Cước vận chuyển vỏ container 40 từ bãi JJ, Hải Phòng đến Nam Đình Vũ, Hải Phòng</v>
      </c>
      <c r="W34" s="31"/>
    </row>
    <row r="35" spans="1:23" s="29" customFormat="1" ht="18" customHeight="1" x14ac:dyDescent="0.25">
      <c r="A35" s="44">
        <v>26</v>
      </c>
      <c r="B35" s="54">
        <v>46138</v>
      </c>
      <c r="C35" s="53" t="s">
        <v>1278</v>
      </c>
      <c r="D35" s="53">
        <v>40</v>
      </c>
      <c r="E35" s="53" t="s">
        <v>20</v>
      </c>
      <c r="F35" s="53" t="s">
        <v>1254</v>
      </c>
      <c r="G35" s="163">
        <v>365000</v>
      </c>
      <c r="H35" s="53" t="s">
        <v>28</v>
      </c>
      <c r="I35" s="117">
        <v>26690</v>
      </c>
      <c r="J35" s="117"/>
      <c r="K35" s="31" t="s">
        <v>1246</v>
      </c>
      <c r="L35" s="31"/>
      <c r="M35" s="31"/>
      <c r="N35" s="31">
        <f t="shared" si="0"/>
        <v>40</v>
      </c>
      <c r="O35" s="31" t="s">
        <v>1247</v>
      </c>
      <c r="P35" s="31"/>
      <c r="Q35" s="31"/>
      <c r="R35" s="31"/>
      <c r="S35" s="31"/>
      <c r="T35" s="31" t="s">
        <v>1249</v>
      </c>
      <c r="U35" s="31"/>
      <c r="V35" s="31" t="str">
        <f t="shared" si="1"/>
        <v>Cước vận chuyển vỏ container 40 từ bãi JJ, Hải Phòng đến Nam Đình Vũ, Hải Phòng</v>
      </c>
      <c r="W35" s="31"/>
    </row>
    <row r="36" spans="1:23" s="29" customFormat="1" ht="18" customHeight="1" x14ac:dyDescent="0.25">
      <c r="A36" s="44">
        <v>27</v>
      </c>
      <c r="B36" s="54">
        <v>46152</v>
      </c>
      <c r="C36" s="116" t="s">
        <v>1279</v>
      </c>
      <c r="D36" s="53">
        <v>40</v>
      </c>
      <c r="E36" s="90" t="s">
        <v>20</v>
      </c>
      <c r="F36" s="53" t="s">
        <v>1254</v>
      </c>
      <c r="G36" s="163">
        <v>365000</v>
      </c>
      <c r="H36" s="53" t="s">
        <v>21</v>
      </c>
      <c r="I36" s="117">
        <v>27490</v>
      </c>
      <c r="J36" s="117"/>
      <c r="K36" s="31" t="s">
        <v>1246</v>
      </c>
      <c r="L36" s="31"/>
      <c r="M36" s="31"/>
      <c r="N36" s="31">
        <f t="shared" si="0"/>
        <v>40</v>
      </c>
      <c r="O36" s="31" t="s">
        <v>1247</v>
      </c>
      <c r="P36" s="31"/>
      <c r="Q36" s="31"/>
      <c r="R36" s="31"/>
      <c r="S36" s="31"/>
      <c r="T36" s="31" t="s">
        <v>1249</v>
      </c>
      <c r="U36" s="31"/>
      <c r="V36" s="31" t="str">
        <f t="shared" si="1"/>
        <v>Cước vận chuyển vỏ container 40 từ bãi JJ, Hải Phòng đến Nam Đình Vũ, Hải Phòng</v>
      </c>
      <c r="W36" s="31"/>
    </row>
    <row r="37" spans="1:23" s="29" customFormat="1" ht="18" customHeight="1" x14ac:dyDescent="0.25">
      <c r="A37" s="44">
        <v>28</v>
      </c>
      <c r="B37" s="54">
        <v>46152</v>
      </c>
      <c r="C37" s="116" t="s">
        <v>1280</v>
      </c>
      <c r="D37" s="53">
        <v>40</v>
      </c>
      <c r="E37" s="90" t="s">
        <v>20</v>
      </c>
      <c r="F37" s="53" t="s">
        <v>1254</v>
      </c>
      <c r="G37" s="163">
        <v>365000</v>
      </c>
      <c r="H37" s="53" t="s">
        <v>21</v>
      </c>
      <c r="I37" s="117">
        <v>27490</v>
      </c>
      <c r="J37" s="117"/>
      <c r="K37" s="31" t="s">
        <v>1246</v>
      </c>
      <c r="L37" s="31"/>
      <c r="M37" s="31"/>
      <c r="N37" s="31">
        <f t="shared" si="0"/>
        <v>40</v>
      </c>
      <c r="O37" s="31" t="s">
        <v>1247</v>
      </c>
      <c r="P37" s="31"/>
      <c r="Q37" s="31"/>
      <c r="R37" s="31"/>
      <c r="S37" s="31"/>
      <c r="T37" s="31" t="s">
        <v>1249</v>
      </c>
      <c r="U37" s="31"/>
      <c r="V37" s="31" t="str">
        <f t="shared" si="1"/>
        <v>Cước vận chuyển vỏ container 40 từ bãi JJ, Hải Phòng đến Nam Đình Vũ, Hải Phòng</v>
      </c>
      <c r="W37" s="31"/>
    </row>
    <row r="38" spans="1:23" s="29" customFormat="1" ht="18" customHeight="1" x14ac:dyDescent="0.25">
      <c r="A38" s="44">
        <v>29</v>
      </c>
      <c r="B38" s="54">
        <v>46152</v>
      </c>
      <c r="C38" s="116" t="s">
        <v>1281</v>
      </c>
      <c r="D38" s="53">
        <v>40</v>
      </c>
      <c r="E38" s="90" t="s">
        <v>20</v>
      </c>
      <c r="F38" s="53" t="s">
        <v>1254</v>
      </c>
      <c r="G38" s="163">
        <v>365000</v>
      </c>
      <c r="H38" s="53" t="s">
        <v>21</v>
      </c>
      <c r="I38" s="117">
        <v>27490</v>
      </c>
      <c r="J38" s="117"/>
      <c r="K38" s="31" t="s">
        <v>1246</v>
      </c>
      <c r="L38" s="31"/>
      <c r="M38" s="31"/>
      <c r="N38" s="31">
        <f t="shared" si="0"/>
        <v>40</v>
      </c>
      <c r="O38" s="31" t="s">
        <v>1247</v>
      </c>
      <c r="P38" s="31"/>
      <c r="Q38" s="31"/>
      <c r="R38" s="31"/>
      <c r="S38" s="31"/>
      <c r="T38" s="31" t="s">
        <v>1249</v>
      </c>
      <c r="U38" s="31"/>
      <c r="V38" s="31" t="str">
        <f t="shared" si="1"/>
        <v>Cước vận chuyển vỏ container 40 từ bãi JJ, Hải Phòng đến Nam Đình Vũ, Hải Phòng</v>
      </c>
      <c r="W38" s="31"/>
    </row>
    <row r="39" spans="1:23" s="29" customFormat="1" ht="18" customHeight="1" x14ac:dyDescent="0.25">
      <c r="A39" s="44">
        <v>30</v>
      </c>
      <c r="B39" s="54">
        <v>46152</v>
      </c>
      <c r="C39" s="116" t="s">
        <v>1282</v>
      </c>
      <c r="D39" s="53">
        <v>40</v>
      </c>
      <c r="E39" s="90" t="s">
        <v>20</v>
      </c>
      <c r="F39" s="53" t="s">
        <v>1254</v>
      </c>
      <c r="G39" s="163">
        <v>365000</v>
      </c>
      <c r="H39" s="53" t="s">
        <v>22</v>
      </c>
      <c r="I39" s="117">
        <v>27490</v>
      </c>
      <c r="J39" s="117"/>
      <c r="K39" s="31" t="s">
        <v>1246</v>
      </c>
      <c r="L39" s="31"/>
      <c r="M39" s="31"/>
      <c r="N39" s="31">
        <f t="shared" si="0"/>
        <v>40</v>
      </c>
      <c r="O39" s="31" t="s">
        <v>1247</v>
      </c>
      <c r="P39" s="31"/>
      <c r="Q39" s="31"/>
      <c r="R39" s="31"/>
      <c r="S39" s="31"/>
      <c r="T39" s="31" t="s">
        <v>1249</v>
      </c>
      <c r="U39" s="31"/>
      <c r="V39" s="31" t="str">
        <f t="shared" si="1"/>
        <v>Cước vận chuyển vỏ container 40 từ bãi JJ, Hải Phòng đến Nam Đình Vũ, Hải Phòng</v>
      </c>
      <c r="W39" s="31"/>
    </row>
    <row r="40" spans="1:23" s="29" customFormat="1" ht="18" customHeight="1" x14ac:dyDescent="0.25">
      <c r="A40" s="44">
        <v>31</v>
      </c>
      <c r="B40" s="54">
        <v>46152</v>
      </c>
      <c r="C40" s="116" t="s">
        <v>1283</v>
      </c>
      <c r="D40" s="53">
        <v>40</v>
      </c>
      <c r="E40" s="90" t="s">
        <v>20</v>
      </c>
      <c r="F40" s="53" t="s">
        <v>1254</v>
      </c>
      <c r="G40" s="163">
        <v>365000</v>
      </c>
      <c r="H40" s="53" t="s">
        <v>22</v>
      </c>
      <c r="I40" s="117">
        <v>27490</v>
      </c>
      <c r="J40" s="117"/>
      <c r="K40" s="31" t="s">
        <v>1246</v>
      </c>
      <c r="L40" s="31"/>
      <c r="M40" s="31"/>
      <c r="N40" s="31">
        <f t="shared" si="0"/>
        <v>40</v>
      </c>
      <c r="O40" s="31" t="s">
        <v>1247</v>
      </c>
      <c r="P40" s="31"/>
      <c r="Q40" s="31"/>
      <c r="R40" s="31"/>
      <c r="S40" s="31"/>
      <c r="T40" s="31" t="s">
        <v>1249</v>
      </c>
      <c r="U40" s="31"/>
      <c r="V40" s="31" t="str">
        <f t="shared" si="1"/>
        <v>Cước vận chuyển vỏ container 40 từ bãi JJ, Hải Phòng đến Nam Đình Vũ, Hải Phòng</v>
      </c>
      <c r="W40" s="31"/>
    </row>
    <row r="41" spans="1:23" s="29" customFormat="1" ht="18" customHeight="1" x14ac:dyDescent="0.25">
      <c r="A41" s="44">
        <v>32</v>
      </c>
      <c r="B41" s="54">
        <v>46152</v>
      </c>
      <c r="C41" s="116" t="s">
        <v>1284</v>
      </c>
      <c r="D41" s="53">
        <v>40</v>
      </c>
      <c r="E41" s="90" t="s">
        <v>20</v>
      </c>
      <c r="F41" s="53" t="s">
        <v>1254</v>
      </c>
      <c r="G41" s="163">
        <v>365000</v>
      </c>
      <c r="H41" s="53" t="s">
        <v>22</v>
      </c>
      <c r="I41" s="117">
        <v>27490</v>
      </c>
      <c r="J41" s="117"/>
      <c r="K41" s="31" t="s">
        <v>1246</v>
      </c>
      <c r="L41" s="31"/>
      <c r="M41" s="31"/>
      <c r="N41" s="31">
        <f t="shared" si="0"/>
        <v>40</v>
      </c>
      <c r="O41" s="31" t="s">
        <v>1247</v>
      </c>
      <c r="P41" s="31"/>
      <c r="Q41" s="31"/>
      <c r="R41" s="31"/>
      <c r="S41" s="31"/>
      <c r="T41" s="31" t="s">
        <v>1249</v>
      </c>
      <c r="U41" s="31"/>
      <c r="V41" s="31" t="str">
        <f t="shared" si="1"/>
        <v>Cước vận chuyển vỏ container 40 từ bãi JJ, Hải Phòng đến Nam Đình Vũ, Hải Phòng</v>
      </c>
      <c r="W41" s="31"/>
    </row>
    <row r="42" spans="1:23" s="29" customFormat="1" ht="18" customHeight="1" x14ac:dyDescent="0.25">
      <c r="A42" s="44">
        <v>33</v>
      </c>
      <c r="B42" s="54">
        <v>46152</v>
      </c>
      <c r="C42" s="116" t="s">
        <v>1285</v>
      </c>
      <c r="D42" s="53">
        <v>40</v>
      </c>
      <c r="E42" s="90" t="s">
        <v>20</v>
      </c>
      <c r="F42" s="53" t="s">
        <v>1254</v>
      </c>
      <c r="G42" s="163">
        <v>365000</v>
      </c>
      <c r="H42" s="53" t="s">
        <v>22</v>
      </c>
      <c r="I42" s="117">
        <v>27490</v>
      </c>
      <c r="J42" s="117"/>
      <c r="K42" s="31" t="s">
        <v>1246</v>
      </c>
      <c r="L42" s="31"/>
      <c r="M42" s="31"/>
      <c r="N42" s="31">
        <f t="shared" si="0"/>
        <v>40</v>
      </c>
      <c r="O42" s="31" t="s">
        <v>1247</v>
      </c>
      <c r="P42" s="31"/>
      <c r="Q42" s="31"/>
      <c r="R42" s="31"/>
      <c r="S42" s="31"/>
      <c r="T42" s="31" t="s">
        <v>1249</v>
      </c>
      <c r="U42" s="31"/>
      <c r="V42" s="31" t="str">
        <f t="shared" si="1"/>
        <v>Cước vận chuyển vỏ container 40 từ bãi JJ, Hải Phòng đến Nam Đình Vũ, Hải Phòng</v>
      </c>
      <c r="W42" s="31"/>
    </row>
    <row r="43" spans="1:23" s="29" customFormat="1" ht="18" customHeight="1" x14ac:dyDescent="0.25">
      <c r="A43" s="44">
        <v>34</v>
      </c>
      <c r="B43" s="54">
        <v>46152</v>
      </c>
      <c r="C43" s="116" t="s">
        <v>1286</v>
      </c>
      <c r="D43" s="53">
        <v>40</v>
      </c>
      <c r="E43" s="90" t="s">
        <v>20</v>
      </c>
      <c r="F43" s="53" t="s">
        <v>1254</v>
      </c>
      <c r="G43" s="163">
        <v>365000</v>
      </c>
      <c r="H43" s="53" t="s">
        <v>22</v>
      </c>
      <c r="I43" s="117">
        <v>27490</v>
      </c>
      <c r="J43" s="117"/>
      <c r="K43" s="31" t="s">
        <v>1246</v>
      </c>
      <c r="L43" s="31"/>
      <c r="M43" s="31"/>
      <c r="N43" s="31">
        <f t="shared" si="0"/>
        <v>40</v>
      </c>
      <c r="O43" s="31" t="s">
        <v>1247</v>
      </c>
      <c r="P43" s="31"/>
      <c r="Q43" s="31"/>
      <c r="R43" s="31"/>
      <c r="S43" s="31"/>
      <c r="T43" s="31" t="s">
        <v>1249</v>
      </c>
      <c r="U43" s="31"/>
      <c r="V43" s="31" t="str">
        <f t="shared" si="1"/>
        <v>Cước vận chuyển vỏ container 40 từ bãi JJ, Hải Phòng đến Nam Đình Vũ, Hải Phòng</v>
      </c>
      <c r="W43" s="31"/>
    </row>
    <row r="44" spans="1:23" s="29" customFormat="1" ht="18" hidden="1" customHeight="1" x14ac:dyDescent="0.25">
      <c r="A44" s="44">
        <v>35</v>
      </c>
      <c r="B44" s="54">
        <v>46152</v>
      </c>
      <c r="C44" s="116" t="s">
        <v>1287</v>
      </c>
      <c r="D44" s="53">
        <v>20</v>
      </c>
      <c r="E44" s="90" t="s">
        <v>20</v>
      </c>
      <c r="F44" s="53" t="s">
        <v>1254</v>
      </c>
      <c r="G44" s="163">
        <v>198000</v>
      </c>
      <c r="H44" s="53" t="s">
        <v>22</v>
      </c>
      <c r="I44" s="117">
        <v>27490</v>
      </c>
      <c r="J44" s="117"/>
      <c r="K44" s="31" t="s">
        <v>1246</v>
      </c>
      <c r="L44" s="31"/>
      <c r="M44" s="31"/>
      <c r="N44" s="31">
        <f t="shared" si="0"/>
        <v>20</v>
      </c>
      <c r="O44" s="31" t="s">
        <v>1247</v>
      </c>
      <c r="P44" s="31"/>
      <c r="Q44" s="31"/>
      <c r="R44" s="31"/>
      <c r="S44" s="31"/>
      <c r="T44" s="31" t="s">
        <v>1249</v>
      </c>
      <c r="U44" s="31"/>
      <c r="V44" s="31" t="str">
        <f t="shared" si="1"/>
        <v>Cước vận chuyển vỏ container 20 từ bãi JJ, Hải Phòng đến Nam Đình Vũ, Hải Phòng</v>
      </c>
      <c r="W44" s="31"/>
    </row>
    <row r="45" spans="1:23" s="29" customFormat="1" ht="18" hidden="1" customHeight="1" x14ac:dyDescent="0.25">
      <c r="A45" s="44">
        <v>36</v>
      </c>
      <c r="B45" s="54">
        <v>46152</v>
      </c>
      <c r="C45" s="116" t="s">
        <v>1288</v>
      </c>
      <c r="D45" s="53">
        <v>20</v>
      </c>
      <c r="E45" s="90" t="s">
        <v>20</v>
      </c>
      <c r="F45" s="53" t="s">
        <v>1254</v>
      </c>
      <c r="G45" s="163">
        <v>198000</v>
      </c>
      <c r="H45" s="53" t="s">
        <v>22</v>
      </c>
      <c r="I45" s="117">
        <v>27490</v>
      </c>
      <c r="J45" s="117"/>
      <c r="K45" s="31" t="s">
        <v>1246</v>
      </c>
      <c r="L45" s="31"/>
      <c r="M45" s="31"/>
      <c r="N45" s="31">
        <f t="shared" si="0"/>
        <v>20</v>
      </c>
      <c r="O45" s="31" t="s">
        <v>1247</v>
      </c>
      <c r="P45" s="31"/>
      <c r="Q45" s="31"/>
      <c r="R45" s="31"/>
      <c r="S45" s="31"/>
      <c r="T45" s="31" t="s">
        <v>1249</v>
      </c>
      <c r="U45" s="31"/>
      <c r="V45" s="31" t="str">
        <f t="shared" si="1"/>
        <v>Cước vận chuyển vỏ container 20 từ bãi JJ, Hải Phòng đến Nam Đình Vũ, Hải Phòng</v>
      </c>
      <c r="W45" s="31"/>
    </row>
    <row r="46" spans="1:23" s="29" customFormat="1" ht="18" customHeight="1" x14ac:dyDescent="0.25">
      <c r="A46" s="44">
        <v>37</v>
      </c>
      <c r="B46" s="127">
        <v>46144</v>
      </c>
      <c r="C46" s="53" t="s">
        <v>1289</v>
      </c>
      <c r="D46" s="90">
        <v>40</v>
      </c>
      <c r="E46" s="90" t="s">
        <v>20</v>
      </c>
      <c r="F46" s="53" t="s">
        <v>1254</v>
      </c>
      <c r="G46" s="163">
        <v>365000</v>
      </c>
      <c r="H46" s="53" t="s">
        <v>267</v>
      </c>
      <c r="I46" s="117">
        <v>28170</v>
      </c>
      <c r="J46" s="117"/>
      <c r="K46" s="31" t="s">
        <v>1246</v>
      </c>
      <c r="L46" s="31"/>
      <c r="M46" s="31"/>
      <c r="N46" s="31">
        <f t="shared" si="0"/>
        <v>40</v>
      </c>
      <c r="O46" s="31" t="s">
        <v>1247</v>
      </c>
      <c r="P46" s="31"/>
      <c r="Q46" s="31"/>
      <c r="R46" s="31"/>
      <c r="S46" s="31"/>
      <c r="T46" s="31" t="s">
        <v>1249</v>
      </c>
      <c r="U46" s="31"/>
      <c r="V46" s="31" t="str">
        <f t="shared" si="1"/>
        <v>Cước vận chuyển vỏ container 40 từ bãi JJ, Hải Phòng đến Nam Đình Vũ, Hải Phòng</v>
      </c>
      <c r="W46" s="31"/>
    </row>
    <row r="47" spans="1:23" s="29" customFormat="1" ht="18" customHeight="1" x14ac:dyDescent="0.25">
      <c r="A47" s="44">
        <v>38</v>
      </c>
      <c r="B47" s="127">
        <v>46144</v>
      </c>
      <c r="C47" s="53" t="s">
        <v>1290</v>
      </c>
      <c r="D47" s="90">
        <v>40</v>
      </c>
      <c r="E47" s="90" t="s">
        <v>20</v>
      </c>
      <c r="F47" s="53" t="s">
        <v>1254</v>
      </c>
      <c r="G47" s="163">
        <v>365000</v>
      </c>
      <c r="H47" s="53" t="s">
        <v>267</v>
      </c>
      <c r="I47" s="117">
        <v>28170</v>
      </c>
      <c r="J47" s="117"/>
      <c r="K47" s="31" t="s">
        <v>1246</v>
      </c>
      <c r="L47" s="31"/>
      <c r="M47" s="31"/>
      <c r="N47" s="31">
        <f t="shared" si="0"/>
        <v>40</v>
      </c>
      <c r="O47" s="31" t="s">
        <v>1247</v>
      </c>
      <c r="P47" s="31"/>
      <c r="Q47" s="31"/>
      <c r="R47" s="31"/>
      <c r="S47" s="31"/>
      <c r="T47" s="31" t="s">
        <v>1249</v>
      </c>
      <c r="U47" s="31"/>
      <c r="V47" s="31" t="str">
        <f t="shared" si="1"/>
        <v>Cước vận chuyển vỏ container 40 từ bãi JJ, Hải Phòng đến Nam Đình Vũ, Hải Phòng</v>
      </c>
      <c r="W47" s="31"/>
    </row>
    <row r="48" spans="1:23" s="29" customFormat="1" ht="18" customHeight="1" x14ac:dyDescent="0.25">
      <c r="A48" s="44">
        <v>39</v>
      </c>
      <c r="B48" s="127">
        <v>46144</v>
      </c>
      <c r="C48" s="53" t="s">
        <v>1291</v>
      </c>
      <c r="D48" s="90">
        <v>40</v>
      </c>
      <c r="E48" s="90" t="s">
        <v>20</v>
      </c>
      <c r="F48" s="53" t="s">
        <v>1254</v>
      </c>
      <c r="G48" s="163">
        <v>365000</v>
      </c>
      <c r="H48" s="53" t="s">
        <v>267</v>
      </c>
      <c r="I48" s="117">
        <v>28170</v>
      </c>
      <c r="J48" s="117"/>
      <c r="K48" s="31" t="s">
        <v>1246</v>
      </c>
      <c r="L48" s="31"/>
      <c r="M48" s="31"/>
      <c r="N48" s="31">
        <f t="shared" si="0"/>
        <v>40</v>
      </c>
      <c r="O48" s="31" t="s">
        <v>1247</v>
      </c>
      <c r="P48" s="31"/>
      <c r="Q48" s="31"/>
      <c r="R48" s="31"/>
      <c r="S48" s="31"/>
      <c r="T48" s="31" t="s">
        <v>1249</v>
      </c>
      <c r="U48" s="31"/>
      <c r="V48" s="31" t="str">
        <f t="shared" si="1"/>
        <v>Cước vận chuyển vỏ container 40 từ bãi JJ, Hải Phòng đến Nam Đình Vũ, Hải Phòng</v>
      </c>
      <c r="W48" s="31"/>
    </row>
    <row r="49" spans="1:23" s="29" customFormat="1" ht="18" customHeight="1" x14ac:dyDescent="0.25">
      <c r="A49" s="44">
        <v>40</v>
      </c>
      <c r="B49" s="127">
        <v>46144</v>
      </c>
      <c r="C49" s="53" t="s">
        <v>1292</v>
      </c>
      <c r="D49" s="90">
        <v>40</v>
      </c>
      <c r="E49" s="90" t="s">
        <v>20</v>
      </c>
      <c r="F49" s="53" t="s">
        <v>1254</v>
      </c>
      <c r="G49" s="163">
        <v>365000</v>
      </c>
      <c r="H49" s="53" t="s">
        <v>267</v>
      </c>
      <c r="I49" s="117">
        <v>28170</v>
      </c>
      <c r="J49" s="117"/>
      <c r="K49" s="31" t="s">
        <v>1246</v>
      </c>
      <c r="L49" s="31"/>
      <c r="M49" s="31"/>
      <c r="N49" s="31">
        <f t="shared" si="0"/>
        <v>40</v>
      </c>
      <c r="O49" s="31" t="s">
        <v>1247</v>
      </c>
      <c r="P49" s="31"/>
      <c r="Q49" s="31"/>
      <c r="R49" s="31"/>
      <c r="S49" s="31"/>
      <c r="T49" s="31" t="s">
        <v>1249</v>
      </c>
      <c r="U49" s="31"/>
      <c r="V49" s="31" t="str">
        <f t="shared" si="1"/>
        <v>Cước vận chuyển vỏ container 40 từ bãi JJ, Hải Phòng đến Nam Đình Vũ, Hải Phòng</v>
      </c>
      <c r="W49" s="31"/>
    </row>
    <row r="50" spans="1:23" s="29" customFormat="1" ht="18" customHeight="1" x14ac:dyDescent="0.25">
      <c r="A50" s="44">
        <v>41</v>
      </c>
      <c r="B50" s="127">
        <v>46144</v>
      </c>
      <c r="C50" s="53" t="s">
        <v>1293</v>
      </c>
      <c r="D50" s="90">
        <v>40</v>
      </c>
      <c r="E50" s="90" t="s">
        <v>20</v>
      </c>
      <c r="F50" s="53" t="s">
        <v>1254</v>
      </c>
      <c r="G50" s="163">
        <v>365000</v>
      </c>
      <c r="H50" s="53" t="s">
        <v>267</v>
      </c>
      <c r="I50" s="117">
        <v>28170</v>
      </c>
      <c r="J50" s="117"/>
      <c r="K50" s="31" t="s">
        <v>1246</v>
      </c>
      <c r="L50" s="31"/>
      <c r="M50" s="31"/>
      <c r="N50" s="31">
        <f t="shared" si="0"/>
        <v>40</v>
      </c>
      <c r="O50" s="31" t="s">
        <v>1247</v>
      </c>
      <c r="P50" s="31"/>
      <c r="Q50" s="31"/>
      <c r="R50" s="31"/>
      <c r="S50" s="31"/>
      <c r="T50" s="31" t="s">
        <v>1249</v>
      </c>
      <c r="U50" s="31"/>
      <c r="V50" s="31" t="str">
        <f t="shared" si="1"/>
        <v>Cước vận chuyển vỏ container 40 từ bãi JJ, Hải Phòng đến Nam Đình Vũ, Hải Phòng</v>
      </c>
      <c r="W50" s="31"/>
    </row>
    <row r="51" spans="1:23" s="29" customFormat="1" ht="18" customHeight="1" x14ac:dyDescent="0.25">
      <c r="A51" s="44">
        <v>42</v>
      </c>
      <c r="B51" s="127">
        <v>46144</v>
      </c>
      <c r="C51" s="53" t="s">
        <v>1294</v>
      </c>
      <c r="D51" s="90">
        <v>40</v>
      </c>
      <c r="E51" s="90" t="s">
        <v>20</v>
      </c>
      <c r="F51" s="53" t="s">
        <v>1254</v>
      </c>
      <c r="G51" s="163">
        <v>365000</v>
      </c>
      <c r="H51" s="53" t="s">
        <v>267</v>
      </c>
      <c r="I51" s="117">
        <v>28170</v>
      </c>
      <c r="J51" s="117"/>
      <c r="K51" s="31" t="s">
        <v>1246</v>
      </c>
      <c r="L51" s="31"/>
      <c r="M51" s="31"/>
      <c r="N51" s="31">
        <f t="shared" si="0"/>
        <v>40</v>
      </c>
      <c r="O51" s="31" t="s">
        <v>1247</v>
      </c>
      <c r="P51" s="31"/>
      <c r="Q51" s="31"/>
      <c r="R51" s="31"/>
      <c r="S51" s="31"/>
      <c r="T51" s="31" t="s">
        <v>1249</v>
      </c>
      <c r="U51" s="31"/>
      <c r="V51" s="31" t="str">
        <f t="shared" si="1"/>
        <v>Cước vận chuyển vỏ container 40 từ bãi JJ, Hải Phòng đến Nam Đình Vũ, Hải Phòng</v>
      </c>
      <c r="W51" s="31"/>
    </row>
    <row r="52" spans="1:23" s="29" customFormat="1" ht="18" customHeight="1" x14ac:dyDescent="0.25">
      <c r="A52" s="44">
        <v>43</v>
      </c>
      <c r="B52" s="127">
        <v>46144</v>
      </c>
      <c r="C52" s="53" t="s">
        <v>1295</v>
      </c>
      <c r="D52" s="90">
        <v>40</v>
      </c>
      <c r="E52" s="90" t="s">
        <v>20</v>
      </c>
      <c r="F52" s="53" t="s">
        <v>1254</v>
      </c>
      <c r="G52" s="163">
        <v>365000</v>
      </c>
      <c r="H52" s="53" t="s">
        <v>267</v>
      </c>
      <c r="I52" s="117">
        <v>28170</v>
      </c>
      <c r="J52" s="117"/>
      <c r="K52" s="31" t="s">
        <v>1246</v>
      </c>
      <c r="L52" s="31"/>
      <c r="M52" s="31"/>
      <c r="N52" s="31">
        <f t="shared" si="0"/>
        <v>40</v>
      </c>
      <c r="O52" s="31" t="s">
        <v>1247</v>
      </c>
      <c r="P52" s="31"/>
      <c r="Q52" s="31"/>
      <c r="R52" s="31"/>
      <c r="S52" s="31"/>
      <c r="T52" s="31" t="s">
        <v>1249</v>
      </c>
      <c r="U52" s="31"/>
      <c r="V52" s="31" t="str">
        <f t="shared" si="1"/>
        <v>Cước vận chuyển vỏ container 40 từ bãi JJ, Hải Phòng đến Nam Đình Vũ, Hải Phòng</v>
      </c>
      <c r="W52" s="31"/>
    </row>
    <row r="53" spans="1:23" s="29" customFormat="1" ht="18" customHeight="1" x14ac:dyDescent="0.25">
      <c r="A53" s="44">
        <v>44</v>
      </c>
      <c r="B53" s="127">
        <v>46155</v>
      </c>
      <c r="C53" s="53" t="s">
        <v>1296</v>
      </c>
      <c r="D53" s="90">
        <v>40</v>
      </c>
      <c r="E53" s="90" t="s">
        <v>20</v>
      </c>
      <c r="F53" s="53" t="s">
        <v>1254</v>
      </c>
      <c r="G53" s="163">
        <v>365000</v>
      </c>
      <c r="H53" s="41" t="s">
        <v>30</v>
      </c>
      <c r="I53" s="37">
        <v>27490</v>
      </c>
      <c r="J53" s="37"/>
      <c r="K53" s="31" t="s">
        <v>1246</v>
      </c>
      <c r="L53" s="31"/>
      <c r="M53" s="31"/>
      <c r="N53" s="31">
        <f t="shared" si="0"/>
        <v>40</v>
      </c>
      <c r="O53" s="31" t="s">
        <v>1247</v>
      </c>
      <c r="P53" s="31"/>
      <c r="Q53" s="31"/>
      <c r="R53" s="31"/>
      <c r="S53" s="31"/>
      <c r="T53" s="31" t="s">
        <v>1249</v>
      </c>
      <c r="U53" s="31"/>
      <c r="V53" s="31" t="str">
        <f t="shared" si="1"/>
        <v>Cước vận chuyển vỏ container 40 từ bãi JJ, Hải Phòng đến Nam Đình Vũ, Hải Phòng</v>
      </c>
      <c r="W53" s="31"/>
    </row>
    <row r="54" spans="1:23" s="29" customFormat="1" ht="18" customHeight="1" x14ac:dyDescent="0.25">
      <c r="A54" s="44">
        <v>45</v>
      </c>
      <c r="B54" s="127">
        <v>46159</v>
      </c>
      <c r="C54" s="53" t="s">
        <v>1297</v>
      </c>
      <c r="D54" s="90">
        <v>40</v>
      </c>
      <c r="E54" s="90" t="s">
        <v>20</v>
      </c>
      <c r="F54" s="53" t="s">
        <v>1254</v>
      </c>
      <c r="G54" s="163">
        <v>365000</v>
      </c>
      <c r="H54" s="41" t="s">
        <v>268</v>
      </c>
      <c r="I54" s="37">
        <v>27220</v>
      </c>
      <c r="J54" s="37"/>
      <c r="K54" s="31" t="s">
        <v>1246</v>
      </c>
      <c r="L54" s="31"/>
      <c r="M54" s="31"/>
      <c r="N54" s="31">
        <f t="shared" si="0"/>
        <v>40</v>
      </c>
      <c r="O54" s="31" t="s">
        <v>1247</v>
      </c>
      <c r="P54" s="31"/>
      <c r="Q54" s="31"/>
      <c r="R54" s="31"/>
      <c r="S54" s="31"/>
      <c r="T54" s="31" t="s">
        <v>1249</v>
      </c>
      <c r="U54" s="31"/>
      <c r="V54" s="31" t="str">
        <f t="shared" si="1"/>
        <v>Cước vận chuyển vỏ container 40 từ bãi JJ, Hải Phòng đến Nam Đình Vũ, Hải Phòng</v>
      </c>
      <c r="W54" s="31"/>
    </row>
    <row r="55" spans="1:23" s="29" customFormat="1" ht="18" customHeight="1" x14ac:dyDescent="0.25">
      <c r="A55" s="44">
        <v>46</v>
      </c>
      <c r="B55" s="127">
        <v>46159</v>
      </c>
      <c r="C55" s="53" t="s">
        <v>1298</v>
      </c>
      <c r="D55" s="90">
        <v>40</v>
      </c>
      <c r="E55" s="90" t="s">
        <v>20</v>
      </c>
      <c r="F55" s="53" t="s">
        <v>1254</v>
      </c>
      <c r="G55" s="163">
        <v>365000</v>
      </c>
      <c r="H55" s="41" t="s">
        <v>268</v>
      </c>
      <c r="I55" s="37">
        <v>27220</v>
      </c>
      <c r="J55" s="37"/>
      <c r="K55" s="31" t="s">
        <v>1246</v>
      </c>
      <c r="L55" s="31"/>
      <c r="M55" s="31"/>
      <c r="N55" s="31">
        <f t="shared" si="0"/>
        <v>40</v>
      </c>
      <c r="O55" s="31" t="s">
        <v>1247</v>
      </c>
      <c r="P55" s="31"/>
      <c r="Q55" s="31"/>
      <c r="R55" s="31"/>
      <c r="S55" s="31"/>
      <c r="T55" s="31" t="s">
        <v>1249</v>
      </c>
      <c r="U55" s="31"/>
      <c r="V55" s="31" t="str">
        <f t="shared" si="1"/>
        <v>Cước vận chuyển vỏ container 40 từ bãi JJ, Hải Phòng đến Nam Đình Vũ, Hải Phòng</v>
      </c>
      <c r="W55" s="31"/>
    </row>
    <row r="56" spans="1:23" s="29" customFormat="1" ht="18" customHeight="1" x14ac:dyDescent="0.25">
      <c r="A56" s="44">
        <v>47</v>
      </c>
      <c r="B56" s="127">
        <v>46159</v>
      </c>
      <c r="C56" s="53" t="s">
        <v>1299</v>
      </c>
      <c r="D56" s="90">
        <v>40</v>
      </c>
      <c r="E56" s="90" t="s">
        <v>20</v>
      </c>
      <c r="F56" s="53" t="s">
        <v>1254</v>
      </c>
      <c r="G56" s="163">
        <v>365000</v>
      </c>
      <c r="H56" s="41" t="s">
        <v>268</v>
      </c>
      <c r="I56" s="37">
        <v>27220</v>
      </c>
      <c r="J56" s="37"/>
      <c r="K56" s="31" t="s">
        <v>1246</v>
      </c>
      <c r="L56" s="31"/>
      <c r="M56" s="31"/>
      <c r="N56" s="31">
        <f t="shared" si="0"/>
        <v>40</v>
      </c>
      <c r="O56" s="31" t="s">
        <v>1247</v>
      </c>
      <c r="P56" s="31"/>
      <c r="Q56" s="31"/>
      <c r="R56" s="31"/>
      <c r="S56" s="31"/>
      <c r="T56" s="31" t="s">
        <v>1249</v>
      </c>
      <c r="U56" s="31"/>
      <c r="V56" s="31" t="str">
        <f t="shared" si="1"/>
        <v>Cước vận chuyển vỏ container 40 từ bãi JJ, Hải Phòng đến Nam Đình Vũ, Hải Phòng</v>
      </c>
      <c r="W56" s="31"/>
    </row>
    <row r="57" spans="1:23" s="29" customFormat="1" ht="18" customHeight="1" x14ac:dyDescent="0.25">
      <c r="A57" s="44">
        <v>48</v>
      </c>
      <c r="B57" s="127">
        <v>46159</v>
      </c>
      <c r="C57" s="53" t="s">
        <v>1300</v>
      </c>
      <c r="D57" s="90">
        <v>40</v>
      </c>
      <c r="E57" s="90" t="s">
        <v>20</v>
      </c>
      <c r="F57" s="53" t="s">
        <v>1254</v>
      </c>
      <c r="G57" s="163">
        <v>365000</v>
      </c>
      <c r="H57" s="41" t="s">
        <v>268</v>
      </c>
      <c r="I57" s="37">
        <v>27220</v>
      </c>
      <c r="J57" s="37"/>
      <c r="K57" s="31" t="s">
        <v>1246</v>
      </c>
      <c r="L57" s="31"/>
      <c r="M57" s="31"/>
      <c r="N57" s="31">
        <f t="shared" si="0"/>
        <v>40</v>
      </c>
      <c r="O57" s="31" t="s">
        <v>1247</v>
      </c>
      <c r="P57" s="31"/>
      <c r="Q57" s="31"/>
      <c r="R57" s="31"/>
      <c r="S57" s="31"/>
      <c r="T57" s="31" t="s">
        <v>1249</v>
      </c>
      <c r="U57" s="31"/>
      <c r="V57" s="31" t="str">
        <f t="shared" si="1"/>
        <v>Cước vận chuyển vỏ container 40 từ bãi JJ, Hải Phòng đến Nam Đình Vũ, Hải Phòng</v>
      </c>
      <c r="W57" s="31"/>
    </row>
    <row r="58" spans="1:23" s="29" customFormat="1" ht="18" customHeight="1" x14ac:dyDescent="0.25">
      <c r="A58" s="44">
        <v>49</v>
      </c>
      <c r="B58" s="127">
        <v>46159</v>
      </c>
      <c r="C58" s="53" t="s">
        <v>1301</v>
      </c>
      <c r="D58" s="90">
        <v>40</v>
      </c>
      <c r="E58" s="90" t="s">
        <v>20</v>
      </c>
      <c r="F58" s="53" t="s">
        <v>1254</v>
      </c>
      <c r="G58" s="163">
        <v>365000</v>
      </c>
      <c r="H58" s="41" t="s">
        <v>268</v>
      </c>
      <c r="I58" s="37">
        <v>27220</v>
      </c>
      <c r="J58" s="37"/>
      <c r="K58" s="31" t="s">
        <v>1246</v>
      </c>
      <c r="L58" s="31"/>
      <c r="M58" s="31"/>
      <c r="N58" s="31">
        <f t="shared" si="0"/>
        <v>40</v>
      </c>
      <c r="O58" s="31" t="s">
        <v>1247</v>
      </c>
      <c r="P58" s="31"/>
      <c r="Q58" s="31"/>
      <c r="R58" s="31"/>
      <c r="S58" s="31"/>
      <c r="T58" s="31" t="s">
        <v>1249</v>
      </c>
      <c r="U58" s="31"/>
      <c r="V58" s="31" t="str">
        <f t="shared" si="1"/>
        <v>Cước vận chuyển vỏ container 40 từ bãi JJ, Hải Phòng đến Nam Đình Vũ, Hải Phòng</v>
      </c>
      <c r="W58" s="31"/>
    </row>
    <row r="59" spans="1:23" s="29" customFormat="1" ht="18" customHeight="1" x14ac:dyDescent="0.25">
      <c r="A59" s="44">
        <v>50</v>
      </c>
      <c r="B59" s="127">
        <v>46159</v>
      </c>
      <c r="C59" s="53" t="s">
        <v>1302</v>
      </c>
      <c r="D59" s="90">
        <v>40</v>
      </c>
      <c r="E59" s="90" t="s">
        <v>20</v>
      </c>
      <c r="F59" s="53" t="s">
        <v>1254</v>
      </c>
      <c r="G59" s="163">
        <v>365000</v>
      </c>
      <c r="H59" s="41" t="s">
        <v>268</v>
      </c>
      <c r="I59" s="37">
        <v>27220</v>
      </c>
      <c r="J59" s="37"/>
      <c r="K59" s="31" t="s">
        <v>1246</v>
      </c>
      <c r="L59" s="31"/>
      <c r="M59" s="31"/>
      <c r="N59" s="31">
        <f t="shared" si="0"/>
        <v>40</v>
      </c>
      <c r="O59" s="31" t="s">
        <v>1247</v>
      </c>
      <c r="P59" s="31"/>
      <c r="Q59" s="31"/>
      <c r="R59" s="31"/>
      <c r="S59" s="31"/>
      <c r="T59" s="31" t="s">
        <v>1249</v>
      </c>
      <c r="U59" s="31"/>
      <c r="V59" s="31" t="str">
        <f t="shared" si="1"/>
        <v>Cước vận chuyển vỏ container 40 từ bãi JJ, Hải Phòng đến Nam Đình Vũ, Hải Phòng</v>
      </c>
      <c r="W59" s="31"/>
    </row>
    <row r="60" spans="1:23" s="29" customFormat="1" ht="18" customHeight="1" x14ac:dyDescent="0.25">
      <c r="A60" s="44">
        <v>51</v>
      </c>
      <c r="B60" s="127">
        <v>46155</v>
      </c>
      <c r="C60" s="53" t="s">
        <v>1303</v>
      </c>
      <c r="D60" s="90">
        <v>40</v>
      </c>
      <c r="E60" s="90" t="s">
        <v>20</v>
      </c>
      <c r="F60" s="53" t="s">
        <v>1254</v>
      </c>
      <c r="G60" s="163">
        <v>365000</v>
      </c>
      <c r="H60" s="41" t="s">
        <v>268</v>
      </c>
      <c r="I60" s="37">
        <v>27490</v>
      </c>
      <c r="J60" s="37"/>
      <c r="K60" s="31" t="s">
        <v>1246</v>
      </c>
      <c r="L60" s="31"/>
      <c r="M60" s="31"/>
      <c r="N60" s="31">
        <f t="shared" si="0"/>
        <v>40</v>
      </c>
      <c r="O60" s="31" t="s">
        <v>1247</v>
      </c>
      <c r="P60" s="31"/>
      <c r="Q60" s="31"/>
      <c r="R60" s="31"/>
      <c r="S60" s="31"/>
      <c r="T60" s="31" t="s">
        <v>1249</v>
      </c>
      <c r="U60" s="31"/>
      <c r="V60" s="31" t="str">
        <f t="shared" si="1"/>
        <v>Cước vận chuyển vỏ container 40 từ bãi JJ, Hải Phòng đến Nam Đình Vũ, Hải Phòng</v>
      </c>
      <c r="W60" s="31"/>
    </row>
    <row r="61" spans="1:23" s="29" customFormat="1" ht="18" customHeight="1" x14ac:dyDescent="0.25">
      <c r="A61" s="44">
        <v>52</v>
      </c>
      <c r="B61" s="127">
        <v>46159</v>
      </c>
      <c r="C61" s="53" t="s">
        <v>1304</v>
      </c>
      <c r="D61" s="90">
        <v>40</v>
      </c>
      <c r="E61" s="90" t="s">
        <v>20</v>
      </c>
      <c r="F61" s="53" t="s">
        <v>1254</v>
      </c>
      <c r="G61" s="163">
        <v>365000</v>
      </c>
      <c r="H61" s="41" t="s">
        <v>21</v>
      </c>
      <c r="I61" s="37">
        <v>27220</v>
      </c>
      <c r="J61" s="37"/>
      <c r="K61" s="31" t="s">
        <v>1246</v>
      </c>
      <c r="L61" s="31"/>
      <c r="M61" s="31"/>
      <c r="N61" s="31">
        <f t="shared" si="0"/>
        <v>40</v>
      </c>
      <c r="O61" s="31" t="s">
        <v>1247</v>
      </c>
      <c r="P61" s="31"/>
      <c r="Q61" s="31"/>
      <c r="R61" s="31"/>
      <c r="S61" s="31"/>
      <c r="T61" s="31" t="s">
        <v>1249</v>
      </c>
      <c r="U61" s="31"/>
      <c r="V61" s="31" t="str">
        <f t="shared" si="1"/>
        <v>Cước vận chuyển vỏ container 40 từ bãi JJ, Hải Phòng đến Nam Đình Vũ, Hải Phòng</v>
      </c>
      <c r="W61" s="31"/>
    </row>
    <row r="62" spans="1:23" s="29" customFormat="1" ht="18" customHeight="1" x14ac:dyDescent="0.25">
      <c r="A62" s="44">
        <v>53</v>
      </c>
      <c r="B62" s="127">
        <v>46159</v>
      </c>
      <c r="C62" s="53" t="s">
        <v>1305</v>
      </c>
      <c r="D62" s="90">
        <v>40</v>
      </c>
      <c r="E62" s="90" t="s">
        <v>20</v>
      </c>
      <c r="F62" s="53" t="s">
        <v>1254</v>
      </c>
      <c r="G62" s="163">
        <v>365000</v>
      </c>
      <c r="H62" s="41" t="s">
        <v>21</v>
      </c>
      <c r="I62" s="37">
        <v>27220</v>
      </c>
      <c r="J62" s="37"/>
      <c r="K62" s="31" t="s">
        <v>1246</v>
      </c>
      <c r="L62" s="31"/>
      <c r="M62" s="31"/>
      <c r="N62" s="31">
        <f t="shared" si="0"/>
        <v>40</v>
      </c>
      <c r="O62" s="31" t="s">
        <v>1247</v>
      </c>
      <c r="P62" s="31"/>
      <c r="Q62" s="31"/>
      <c r="R62" s="31"/>
      <c r="S62" s="31"/>
      <c r="T62" s="31" t="s">
        <v>1249</v>
      </c>
      <c r="U62" s="31"/>
      <c r="V62" s="31" t="str">
        <f t="shared" si="1"/>
        <v>Cước vận chuyển vỏ container 40 từ bãi JJ, Hải Phòng đến Nam Đình Vũ, Hải Phòng</v>
      </c>
      <c r="W62" s="31"/>
    </row>
    <row r="63" spans="1:23" s="29" customFormat="1" ht="18" customHeight="1" x14ac:dyDescent="0.25">
      <c r="A63" s="44">
        <v>54</v>
      </c>
      <c r="B63" s="127">
        <v>46159</v>
      </c>
      <c r="C63" s="53" t="s">
        <v>1306</v>
      </c>
      <c r="D63" s="90">
        <v>40</v>
      </c>
      <c r="E63" s="90" t="s">
        <v>20</v>
      </c>
      <c r="F63" s="53" t="s">
        <v>1254</v>
      </c>
      <c r="G63" s="163">
        <v>365000</v>
      </c>
      <c r="H63" s="41" t="s">
        <v>21</v>
      </c>
      <c r="I63" s="37">
        <v>27220</v>
      </c>
      <c r="J63" s="37"/>
      <c r="K63" s="31" t="s">
        <v>1246</v>
      </c>
      <c r="L63" s="31"/>
      <c r="M63" s="31"/>
      <c r="N63" s="31">
        <f t="shared" si="0"/>
        <v>40</v>
      </c>
      <c r="O63" s="31" t="s">
        <v>1247</v>
      </c>
      <c r="P63" s="31"/>
      <c r="Q63" s="31"/>
      <c r="R63" s="31"/>
      <c r="S63" s="31"/>
      <c r="T63" s="31" t="s">
        <v>1249</v>
      </c>
      <c r="U63" s="31"/>
      <c r="V63" s="31" t="str">
        <f t="shared" si="1"/>
        <v>Cước vận chuyển vỏ container 40 từ bãi JJ, Hải Phòng đến Nam Đình Vũ, Hải Phòng</v>
      </c>
      <c r="W63" s="31"/>
    </row>
    <row r="64" spans="1:23" s="29" customFormat="1" ht="18" customHeight="1" x14ac:dyDescent="0.25">
      <c r="A64" s="44">
        <v>55</v>
      </c>
      <c r="B64" s="127">
        <v>46159</v>
      </c>
      <c r="C64" s="53" t="s">
        <v>1307</v>
      </c>
      <c r="D64" s="90">
        <v>40</v>
      </c>
      <c r="E64" s="90" t="s">
        <v>20</v>
      </c>
      <c r="F64" s="53" t="s">
        <v>1254</v>
      </c>
      <c r="G64" s="163">
        <v>365000</v>
      </c>
      <c r="H64" s="41" t="s">
        <v>21</v>
      </c>
      <c r="I64" s="37">
        <v>27220</v>
      </c>
      <c r="J64" s="37"/>
      <c r="K64" s="31" t="s">
        <v>1246</v>
      </c>
      <c r="L64" s="31"/>
      <c r="M64" s="31"/>
      <c r="N64" s="31">
        <f t="shared" si="0"/>
        <v>40</v>
      </c>
      <c r="O64" s="31" t="s">
        <v>1247</v>
      </c>
      <c r="P64" s="31"/>
      <c r="Q64" s="31"/>
      <c r="R64" s="31"/>
      <c r="S64" s="31"/>
      <c r="T64" s="31" t="s">
        <v>1249</v>
      </c>
      <c r="U64" s="31"/>
      <c r="V64" s="31" t="str">
        <f t="shared" si="1"/>
        <v>Cước vận chuyển vỏ container 40 từ bãi JJ, Hải Phòng đến Nam Đình Vũ, Hải Phòng</v>
      </c>
      <c r="W64" s="31"/>
    </row>
    <row r="65" spans="1:23" s="29" customFormat="1" ht="18" customHeight="1" x14ac:dyDescent="0.25">
      <c r="A65" s="44">
        <v>56</v>
      </c>
      <c r="B65" s="127">
        <v>46159</v>
      </c>
      <c r="C65" s="53" t="s">
        <v>1011</v>
      </c>
      <c r="D65" s="90">
        <v>40</v>
      </c>
      <c r="E65" s="90" t="s">
        <v>20</v>
      </c>
      <c r="F65" s="53" t="s">
        <v>1254</v>
      </c>
      <c r="G65" s="163">
        <v>365000</v>
      </c>
      <c r="H65" s="41" t="s">
        <v>21</v>
      </c>
      <c r="I65" s="37">
        <v>27220</v>
      </c>
      <c r="J65" s="37"/>
      <c r="K65" s="31" t="s">
        <v>1246</v>
      </c>
      <c r="L65" s="31"/>
      <c r="M65" s="31"/>
      <c r="N65" s="31">
        <f t="shared" si="0"/>
        <v>40</v>
      </c>
      <c r="O65" s="31" t="s">
        <v>1247</v>
      </c>
      <c r="P65" s="31"/>
      <c r="Q65" s="31"/>
      <c r="R65" s="31"/>
      <c r="S65" s="31"/>
      <c r="T65" s="31" t="s">
        <v>1249</v>
      </c>
      <c r="U65" s="31"/>
      <c r="V65" s="31" t="str">
        <f t="shared" si="1"/>
        <v>Cước vận chuyển vỏ container 40 từ bãi JJ, Hải Phòng đến Nam Đình Vũ, Hải Phòng</v>
      </c>
      <c r="W65" s="31"/>
    </row>
    <row r="66" spans="1:23" s="29" customFormat="1" ht="18" customHeight="1" x14ac:dyDescent="0.25">
      <c r="A66" s="44">
        <v>57</v>
      </c>
      <c r="B66" s="127">
        <v>46159</v>
      </c>
      <c r="C66" s="53" t="s">
        <v>1308</v>
      </c>
      <c r="D66" s="90">
        <v>40</v>
      </c>
      <c r="E66" s="90" t="s">
        <v>20</v>
      </c>
      <c r="F66" s="53" t="s">
        <v>1254</v>
      </c>
      <c r="G66" s="163">
        <v>365000</v>
      </c>
      <c r="H66" s="41" t="s">
        <v>21</v>
      </c>
      <c r="I66" s="37">
        <v>27220</v>
      </c>
      <c r="J66" s="37"/>
      <c r="K66" s="31" t="s">
        <v>1246</v>
      </c>
      <c r="L66" s="31"/>
      <c r="M66" s="31"/>
      <c r="N66" s="31">
        <f t="shared" si="0"/>
        <v>40</v>
      </c>
      <c r="O66" s="31" t="s">
        <v>1247</v>
      </c>
      <c r="P66" s="31"/>
      <c r="Q66" s="31"/>
      <c r="R66" s="31"/>
      <c r="S66" s="31"/>
      <c r="T66" s="31" t="s">
        <v>1249</v>
      </c>
      <c r="U66" s="31"/>
      <c r="V66" s="31" t="str">
        <f t="shared" si="1"/>
        <v>Cước vận chuyển vỏ container 40 từ bãi JJ, Hải Phòng đến Nam Đình Vũ, Hải Phòng</v>
      </c>
      <c r="W66" s="31"/>
    </row>
    <row r="67" spans="1:23" s="29" customFormat="1" ht="18" hidden="1" customHeight="1" x14ac:dyDescent="0.25">
      <c r="A67" s="44">
        <v>58</v>
      </c>
      <c r="B67" s="127">
        <v>46154</v>
      </c>
      <c r="C67" s="53" t="s">
        <v>1309</v>
      </c>
      <c r="D67" s="90">
        <v>20</v>
      </c>
      <c r="E67" s="90" t="s">
        <v>20</v>
      </c>
      <c r="F67" s="53" t="s">
        <v>1254</v>
      </c>
      <c r="G67" s="163">
        <v>198000</v>
      </c>
      <c r="H67" s="41" t="s">
        <v>21</v>
      </c>
      <c r="I67" s="37">
        <v>27490</v>
      </c>
      <c r="J67" s="37"/>
      <c r="K67" s="31" t="s">
        <v>1246</v>
      </c>
      <c r="L67" s="31"/>
      <c r="M67" s="31"/>
      <c r="N67" s="31">
        <f>D67</f>
        <v>20</v>
      </c>
      <c r="O67" s="31" t="s">
        <v>1247</v>
      </c>
      <c r="P67" s="31"/>
      <c r="Q67" s="31"/>
      <c r="R67" s="31"/>
      <c r="S67" s="31"/>
      <c r="T67" s="31" t="s">
        <v>1249</v>
      </c>
      <c r="U67" s="31"/>
      <c r="V67" s="31" t="str">
        <f t="shared" si="1"/>
        <v>Cước vận chuyển vỏ container 20 từ bãi JJ, Hải Phòng đến Nam Đình Vũ, Hải Phòng</v>
      </c>
      <c r="W67" s="31"/>
    </row>
    <row r="68" spans="1:23" s="29" customFormat="1" ht="18" hidden="1" customHeight="1" x14ac:dyDescent="0.25">
      <c r="A68" s="44">
        <v>59</v>
      </c>
      <c r="B68" s="127">
        <v>46154</v>
      </c>
      <c r="C68" s="53" t="s">
        <v>1310</v>
      </c>
      <c r="D68" s="90">
        <v>20</v>
      </c>
      <c r="E68" s="90" t="s">
        <v>20</v>
      </c>
      <c r="F68" s="53" t="s">
        <v>1254</v>
      </c>
      <c r="G68" s="163">
        <v>198000</v>
      </c>
      <c r="H68" s="41" t="s">
        <v>21</v>
      </c>
      <c r="I68" s="37">
        <v>27490</v>
      </c>
      <c r="J68" s="37"/>
      <c r="K68" s="31" t="s">
        <v>1246</v>
      </c>
      <c r="L68" s="31"/>
      <c r="M68" s="31"/>
      <c r="N68" s="31">
        <f t="shared" ref="N68:N87" si="2">D68</f>
        <v>20</v>
      </c>
      <c r="O68" s="31" t="s">
        <v>1247</v>
      </c>
      <c r="P68" s="31"/>
      <c r="Q68" s="31"/>
      <c r="R68" s="31"/>
      <c r="S68" s="31"/>
      <c r="T68" s="31" t="s">
        <v>1249</v>
      </c>
      <c r="U68" s="31"/>
      <c r="V68" s="31" t="str">
        <f t="shared" si="1"/>
        <v>Cước vận chuyển vỏ container 20 từ bãi JJ, Hải Phòng đến Nam Đình Vũ, Hải Phòng</v>
      </c>
      <c r="W68" s="31"/>
    </row>
    <row r="69" spans="1:23" s="29" customFormat="1" ht="18" customHeight="1" x14ac:dyDescent="0.25">
      <c r="A69" s="44">
        <v>60</v>
      </c>
      <c r="B69" s="127">
        <v>46159</v>
      </c>
      <c r="C69" s="53" t="s">
        <v>1311</v>
      </c>
      <c r="D69" s="90">
        <v>40</v>
      </c>
      <c r="E69" s="90" t="s">
        <v>20</v>
      </c>
      <c r="F69" s="53" t="s">
        <v>1254</v>
      </c>
      <c r="G69" s="163">
        <v>365000</v>
      </c>
      <c r="H69" s="41" t="s">
        <v>602</v>
      </c>
      <c r="I69" s="37">
        <v>27220</v>
      </c>
      <c r="J69" s="37"/>
      <c r="K69" s="31" t="s">
        <v>1246</v>
      </c>
      <c r="L69" s="31"/>
      <c r="M69" s="31"/>
      <c r="N69" s="31">
        <f t="shared" si="2"/>
        <v>40</v>
      </c>
      <c r="O69" s="31" t="s">
        <v>1247</v>
      </c>
      <c r="P69" s="31"/>
      <c r="Q69" s="31"/>
      <c r="R69" s="31"/>
      <c r="S69" s="31"/>
      <c r="T69" s="31" t="s">
        <v>1249</v>
      </c>
      <c r="U69" s="31"/>
      <c r="V69" s="31" t="str">
        <f t="shared" si="1"/>
        <v>Cước vận chuyển vỏ container 40 từ bãi JJ, Hải Phòng đến Nam Đình Vũ, Hải Phòng</v>
      </c>
      <c r="W69" s="31"/>
    </row>
    <row r="70" spans="1:23" s="29" customFormat="1" ht="18" customHeight="1" x14ac:dyDescent="0.25">
      <c r="A70" s="44">
        <v>61</v>
      </c>
      <c r="B70" s="127">
        <v>46159</v>
      </c>
      <c r="C70" s="53" t="s">
        <v>1312</v>
      </c>
      <c r="D70" s="90">
        <v>40</v>
      </c>
      <c r="E70" s="90" t="s">
        <v>20</v>
      </c>
      <c r="F70" s="53" t="s">
        <v>1254</v>
      </c>
      <c r="G70" s="163">
        <v>365000</v>
      </c>
      <c r="H70" s="41" t="s">
        <v>602</v>
      </c>
      <c r="I70" s="37">
        <v>27220</v>
      </c>
      <c r="J70" s="37"/>
      <c r="K70" s="31" t="s">
        <v>1246</v>
      </c>
      <c r="L70" s="31"/>
      <c r="M70" s="31"/>
      <c r="N70" s="31">
        <f t="shared" si="2"/>
        <v>40</v>
      </c>
      <c r="O70" s="31" t="s">
        <v>1247</v>
      </c>
      <c r="P70" s="31"/>
      <c r="Q70" s="31"/>
      <c r="R70" s="31"/>
      <c r="S70" s="31"/>
      <c r="T70" s="31" t="s">
        <v>1249</v>
      </c>
      <c r="U70" s="31"/>
      <c r="V70" s="31" t="str">
        <f t="shared" si="1"/>
        <v>Cước vận chuyển vỏ container 40 từ bãi JJ, Hải Phòng đến Nam Đình Vũ, Hải Phòng</v>
      </c>
      <c r="W70" s="31"/>
    </row>
    <row r="71" spans="1:23" s="29" customFormat="1" ht="18" customHeight="1" x14ac:dyDescent="0.25">
      <c r="A71" s="44">
        <v>62</v>
      </c>
      <c r="B71" s="127">
        <v>46159</v>
      </c>
      <c r="C71" s="53" t="s">
        <v>1313</v>
      </c>
      <c r="D71" s="90">
        <v>40</v>
      </c>
      <c r="E71" s="90" t="s">
        <v>20</v>
      </c>
      <c r="F71" s="53" t="s">
        <v>1254</v>
      </c>
      <c r="G71" s="163">
        <v>365000</v>
      </c>
      <c r="H71" s="41" t="s">
        <v>602</v>
      </c>
      <c r="I71" s="37">
        <v>27220</v>
      </c>
      <c r="J71" s="37"/>
      <c r="K71" s="31" t="s">
        <v>1246</v>
      </c>
      <c r="L71" s="31"/>
      <c r="M71" s="31"/>
      <c r="N71" s="31">
        <f t="shared" si="2"/>
        <v>40</v>
      </c>
      <c r="O71" s="31" t="s">
        <v>1247</v>
      </c>
      <c r="P71" s="31"/>
      <c r="Q71" s="31"/>
      <c r="R71" s="31"/>
      <c r="S71" s="31"/>
      <c r="T71" s="31" t="s">
        <v>1249</v>
      </c>
      <c r="U71" s="31"/>
      <c r="V71" s="31" t="str">
        <f t="shared" si="1"/>
        <v>Cước vận chuyển vỏ container 40 từ bãi JJ, Hải Phòng đến Nam Đình Vũ, Hải Phòng</v>
      </c>
      <c r="W71" s="31"/>
    </row>
    <row r="72" spans="1:23" s="29" customFormat="1" ht="18" customHeight="1" x14ac:dyDescent="0.25">
      <c r="A72" s="44">
        <v>63</v>
      </c>
      <c r="B72" s="127">
        <v>46152</v>
      </c>
      <c r="C72" s="53" t="s">
        <v>1314</v>
      </c>
      <c r="D72" s="90">
        <v>40</v>
      </c>
      <c r="E72" s="90" t="s">
        <v>20</v>
      </c>
      <c r="F72" s="53" t="s">
        <v>1254</v>
      </c>
      <c r="G72" s="163">
        <v>365000</v>
      </c>
      <c r="H72" s="41" t="s">
        <v>602</v>
      </c>
      <c r="I72" s="117">
        <v>27490</v>
      </c>
      <c r="J72" s="37"/>
      <c r="K72" s="31" t="s">
        <v>1246</v>
      </c>
      <c r="L72" s="31"/>
      <c r="M72" s="31"/>
      <c r="N72" s="31">
        <f t="shared" si="2"/>
        <v>40</v>
      </c>
      <c r="O72" s="31" t="s">
        <v>1247</v>
      </c>
      <c r="P72" s="31"/>
      <c r="Q72" s="31"/>
      <c r="R72" s="31"/>
      <c r="S72" s="31"/>
      <c r="T72" s="31" t="s">
        <v>1249</v>
      </c>
      <c r="U72" s="31"/>
      <c r="V72" s="31" t="str">
        <f t="shared" si="1"/>
        <v>Cước vận chuyển vỏ container 40 từ bãi JJ, Hải Phòng đến Nam Đình Vũ, Hải Phòng</v>
      </c>
      <c r="W72" s="31"/>
    </row>
    <row r="73" spans="1:23" s="29" customFormat="1" ht="18" customHeight="1" x14ac:dyDescent="0.25">
      <c r="A73" s="44">
        <v>64</v>
      </c>
      <c r="B73" s="127">
        <v>46152</v>
      </c>
      <c r="C73" s="53" t="s">
        <v>1315</v>
      </c>
      <c r="D73" s="90">
        <v>40</v>
      </c>
      <c r="E73" s="90" t="s">
        <v>20</v>
      </c>
      <c r="F73" s="53" t="s">
        <v>1254</v>
      </c>
      <c r="G73" s="163">
        <v>365000</v>
      </c>
      <c r="H73" s="41" t="s">
        <v>602</v>
      </c>
      <c r="I73" s="117">
        <v>27490</v>
      </c>
      <c r="J73" s="37"/>
      <c r="K73" s="31" t="s">
        <v>1246</v>
      </c>
      <c r="L73" s="31"/>
      <c r="M73" s="31"/>
      <c r="N73" s="31">
        <f t="shared" si="2"/>
        <v>40</v>
      </c>
      <c r="O73" s="31" t="s">
        <v>1247</v>
      </c>
      <c r="P73" s="31"/>
      <c r="Q73" s="31"/>
      <c r="R73" s="31"/>
      <c r="S73" s="31"/>
      <c r="T73" s="31" t="s">
        <v>1249</v>
      </c>
      <c r="U73" s="31"/>
      <c r="V73" s="31" t="str">
        <f t="shared" si="1"/>
        <v>Cước vận chuyển vỏ container 40 từ bãi JJ, Hải Phòng đến Nam Đình Vũ, Hải Phòng</v>
      </c>
      <c r="W73" s="31"/>
    </row>
    <row r="74" spans="1:23" s="29" customFormat="1" ht="18" hidden="1" customHeight="1" x14ac:dyDescent="0.25">
      <c r="A74" s="44">
        <v>65</v>
      </c>
      <c r="B74" s="127">
        <v>46162</v>
      </c>
      <c r="C74" s="53" t="s">
        <v>1316</v>
      </c>
      <c r="D74" s="90">
        <v>20</v>
      </c>
      <c r="E74" s="116" t="s">
        <v>20</v>
      </c>
      <c r="F74" s="53" t="s">
        <v>1254</v>
      </c>
      <c r="G74" s="163">
        <v>198000</v>
      </c>
      <c r="H74" s="53" t="s">
        <v>268</v>
      </c>
      <c r="I74" s="117">
        <v>27220</v>
      </c>
      <c r="J74" s="117"/>
      <c r="K74" s="31" t="s">
        <v>1246</v>
      </c>
      <c r="L74" s="31"/>
      <c r="M74" s="31"/>
      <c r="N74" s="31">
        <f t="shared" si="2"/>
        <v>20</v>
      </c>
      <c r="O74" s="31" t="s">
        <v>1247</v>
      </c>
      <c r="P74" s="31"/>
      <c r="Q74" s="31"/>
      <c r="R74" s="31"/>
      <c r="S74" s="31"/>
      <c r="T74" s="31" t="s">
        <v>1249</v>
      </c>
      <c r="U74" s="31"/>
      <c r="V74" s="31" t="str">
        <f t="shared" si="1"/>
        <v>Cước vận chuyển vỏ container 20 từ bãi JJ, Hải Phòng đến Nam Đình Vũ, Hải Phòng</v>
      </c>
      <c r="W74" s="31"/>
    </row>
    <row r="75" spans="1:23" s="29" customFormat="1" ht="18" hidden="1" customHeight="1" x14ac:dyDescent="0.25">
      <c r="A75" s="44">
        <v>66</v>
      </c>
      <c r="B75" s="127">
        <v>46162</v>
      </c>
      <c r="C75" s="53" t="s">
        <v>1317</v>
      </c>
      <c r="D75" s="90">
        <v>20</v>
      </c>
      <c r="E75" s="116" t="s">
        <v>20</v>
      </c>
      <c r="F75" s="53" t="s">
        <v>1254</v>
      </c>
      <c r="G75" s="163">
        <v>198000</v>
      </c>
      <c r="H75" s="53" t="s">
        <v>268</v>
      </c>
      <c r="I75" s="117">
        <v>27220</v>
      </c>
      <c r="J75" s="117"/>
      <c r="K75" s="31" t="s">
        <v>1246</v>
      </c>
      <c r="L75" s="31"/>
      <c r="M75" s="31"/>
      <c r="N75" s="31">
        <f t="shared" si="2"/>
        <v>20</v>
      </c>
      <c r="O75" s="31" t="s">
        <v>1247</v>
      </c>
      <c r="P75" s="31"/>
      <c r="Q75" s="31"/>
      <c r="R75" s="31"/>
      <c r="S75" s="31"/>
      <c r="T75" s="31" t="s">
        <v>1249</v>
      </c>
      <c r="U75" s="31"/>
      <c r="V75" s="31" t="str">
        <f t="shared" ref="V75:V138" si="3">K75&amp;" "&amp;N75&amp;""&amp;" "&amp;O75</f>
        <v>Cước vận chuyển vỏ container 20 từ bãi JJ, Hải Phòng đến Nam Đình Vũ, Hải Phòng</v>
      </c>
      <c r="W75" s="31"/>
    </row>
    <row r="76" spans="1:23" s="29" customFormat="1" ht="18" hidden="1" customHeight="1" x14ac:dyDescent="0.25">
      <c r="A76" s="44">
        <v>67</v>
      </c>
      <c r="B76" s="127">
        <v>46162</v>
      </c>
      <c r="C76" s="53" t="s">
        <v>1318</v>
      </c>
      <c r="D76" s="90">
        <v>20</v>
      </c>
      <c r="E76" s="116" t="s">
        <v>20</v>
      </c>
      <c r="F76" s="53" t="s">
        <v>1254</v>
      </c>
      <c r="G76" s="163">
        <v>198000</v>
      </c>
      <c r="H76" s="53" t="s">
        <v>268</v>
      </c>
      <c r="I76" s="117">
        <v>27220</v>
      </c>
      <c r="J76" s="117"/>
      <c r="K76" s="31" t="s">
        <v>1246</v>
      </c>
      <c r="L76" s="31"/>
      <c r="M76" s="31"/>
      <c r="N76" s="31">
        <f t="shared" si="2"/>
        <v>20</v>
      </c>
      <c r="O76" s="31" t="s">
        <v>1247</v>
      </c>
      <c r="P76" s="31"/>
      <c r="Q76" s="31"/>
      <c r="R76" s="31"/>
      <c r="S76" s="31"/>
      <c r="T76" s="31" t="s">
        <v>1249</v>
      </c>
      <c r="U76" s="31"/>
      <c r="V76" s="31" t="str">
        <f t="shared" si="3"/>
        <v>Cước vận chuyển vỏ container 20 từ bãi JJ, Hải Phòng đến Nam Đình Vũ, Hải Phòng</v>
      </c>
      <c r="W76" s="31"/>
    </row>
    <row r="77" spans="1:23" s="29" customFormat="1" ht="18" hidden="1" customHeight="1" x14ac:dyDescent="0.25">
      <c r="A77" s="44">
        <v>68</v>
      </c>
      <c r="B77" s="127">
        <v>46162</v>
      </c>
      <c r="C77" s="53" t="s">
        <v>1319</v>
      </c>
      <c r="D77" s="90">
        <v>20</v>
      </c>
      <c r="E77" s="116" t="s">
        <v>20</v>
      </c>
      <c r="F77" s="53" t="s">
        <v>1254</v>
      </c>
      <c r="G77" s="163">
        <v>198000</v>
      </c>
      <c r="H77" s="53" t="s">
        <v>268</v>
      </c>
      <c r="I77" s="117">
        <v>27220</v>
      </c>
      <c r="J77" s="117"/>
      <c r="K77" s="31" t="s">
        <v>1246</v>
      </c>
      <c r="L77" s="31"/>
      <c r="M77" s="31"/>
      <c r="N77" s="31">
        <f t="shared" si="2"/>
        <v>20</v>
      </c>
      <c r="O77" s="31" t="s">
        <v>1247</v>
      </c>
      <c r="P77" s="31"/>
      <c r="Q77" s="31"/>
      <c r="R77" s="31"/>
      <c r="S77" s="31"/>
      <c r="T77" s="31" t="s">
        <v>1249</v>
      </c>
      <c r="U77" s="31"/>
      <c r="V77" s="31" t="str">
        <f t="shared" si="3"/>
        <v>Cước vận chuyển vỏ container 20 từ bãi JJ, Hải Phòng đến Nam Đình Vũ, Hải Phòng</v>
      </c>
      <c r="W77" s="31"/>
    </row>
    <row r="78" spans="1:23" s="29" customFormat="1" ht="18" hidden="1" customHeight="1" x14ac:dyDescent="0.25">
      <c r="A78" s="44">
        <v>69</v>
      </c>
      <c r="B78" s="127">
        <v>46162</v>
      </c>
      <c r="C78" s="53" t="s">
        <v>1320</v>
      </c>
      <c r="D78" s="90">
        <v>20</v>
      </c>
      <c r="E78" s="116" t="s">
        <v>20</v>
      </c>
      <c r="F78" s="53" t="s">
        <v>1254</v>
      </c>
      <c r="G78" s="163">
        <v>198000</v>
      </c>
      <c r="H78" s="53" t="s">
        <v>268</v>
      </c>
      <c r="I78" s="117">
        <v>27220</v>
      </c>
      <c r="J78" s="117"/>
      <c r="K78" s="31" t="s">
        <v>1246</v>
      </c>
      <c r="L78" s="31"/>
      <c r="M78" s="31"/>
      <c r="N78" s="31">
        <f t="shared" si="2"/>
        <v>20</v>
      </c>
      <c r="O78" s="31" t="s">
        <v>1247</v>
      </c>
      <c r="P78" s="31"/>
      <c r="Q78" s="31"/>
      <c r="R78" s="31"/>
      <c r="S78" s="31"/>
      <c r="T78" s="31" t="s">
        <v>1249</v>
      </c>
      <c r="U78" s="31"/>
      <c r="V78" s="31" t="str">
        <f t="shared" si="3"/>
        <v>Cước vận chuyển vỏ container 20 từ bãi JJ, Hải Phòng đến Nam Đình Vũ, Hải Phòng</v>
      </c>
      <c r="W78" s="31"/>
    </row>
    <row r="79" spans="1:23" s="29" customFormat="1" ht="18" hidden="1" customHeight="1" x14ac:dyDescent="0.25">
      <c r="A79" s="44">
        <v>70</v>
      </c>
      <c r="B79" s="127">
        <v>46162</v>
      </c>
      <c r="C79" s="53" t="s">
        <v>1321</v>
      </c>
      <c r="D79" s="90">
        <v>20</v>
      </c>
      <c r="E79" s="116" t="s">
        <v>20</v>
      </c>
      <c r="F79" s="53" t="s">
        <v>1254</v>
      </c>
      <c r="G79" s="163">
        <v>198000</v>
      </c>
      <c r="H79" s="53" t="s">
        <v>268</v>
      </c>
      <c r="I79" s="117">
        <v>27220</v>
      </c>
      <c r="J79" s="117"/>
      <c r="K79" s="31" t="s">
        <v>1246</v>
      </c>
      <c r="L79" s="31"/>
      <c r="M79" s="31"/>
      <c r="N79" s="31">
        <f t="shared" si="2"/>
        <v>20</v>
      </c>
      <c r="O79" s="31" t="s">
        <v>1247</v>
      </c>
      <c r="P79" s="31"/>
      <c r="Q79" s="31"/>
      <c r="R79" s="31"/>
      <c r="S79" s="31"/>
      <c r="T79" s="31" t="s">
        <v>1249</v>
      </c>
      <c r="U79" s="31"/>
      <c r="V79" s="31" t="str">
        <f t="shared" si="3"/>
        <v>Cước vận chuyển vỏ container 20 từ bãi JJ, Hải Phòng đến Nam Đình Vũ, Hải Phòng</v>
      </c>
      <c r="W79" s="31"/>
    </row>
    <row r="80" spans="1:23" s="29" customFormat="1" ht="18" hidden="1" customHeight="1" x14ac:dyDescent="0.25">
      <c r="A80" s="44">
        <v>71</v>
      </c>
      <c r="B80" s="127">
        <v>46162</v>
      </c>
      <c r="C80" s="53" t="s">
        <v>1322</v>
      </c>
      <c r="D80" s="90">
        <v>20</v>
      </c>
      <c r="E80" s="116" t="s">
        <v>20</v>
      </c>
      <c r="F80" s="53" t="s">
        <v>1254</v>
      </c>
      <c r="G80" s="163">
        <v>198000</v>
      </c>
      <c r="H80" s="53" t="s">
        <v>268</v>
      </c>
      <c r="I80" s="117">
        <v>27220</v>
      </c>
      <c r="J80" s="117"/>
      <c r="K80" s="31" t="s">
        <v>1246</v>
      </c>
      <c r="L80" s="31"/>
      <c r="M80" s="31"/>
      <c r="N80" s="31">
        <f t="shared" si="2"/>
        <v>20</v>
      </c>
      <c r="O80" s="31" t="s">
        <v>1247</v>
      </c>
      <c r="P80" s="31"/>
      <c r="Q80" s="31"/>
      <c r="R80" s="31"/>
      <c r="S80" s="31"/>
      <c r="T80" s="31" t="s">
        <v>1249</v>
      </c>
      <c r="U80" s="31"/>
      <c r="V80" s="31" t="str">
        <f t="shared" si="3"/>
        <v>Cước vận chuyển vỏ container 20 từ bãi JJ, Hải Phòng đến Nam Đình Vũ, Hải Phòng</v>
      </c>
      <c r="W80" s="31"/>
    </row>
    <row r="81" spans="1:23" s="29" customFormat="1" ht="18" hidden="1" customHeight="1" x14ac:dyDescent="0.25">
      <c r="A81" s="44">
        <v>72</v>
      </c>
      <c r="B81" s="127">
        <v>46162</v>
      </c>
      <c r="C81" s="53" t="s">
        <v>1323</v>
      </c>
      <c r="D81" s="90">
        <v>20</v>
      </c>
      <c r="E81" s="116" t="s">
        <v>20</v>
      </c>
      <c r="F81" s="53" t="s">
        <v>1254</v>
      </c>
      <c r="G81" s="163">
        <v>198000</v>
      </c>
      <c r="H81" s="53" t="s">
        <v>268</v>
      </c>
      <c r="I81" s="117">
        <v>27220</v>
      </c>
      <c r="J81" s="117"/>
      <c r="K81" s="31" t="s">
        <v>1246</v>
      </c>
      <c r="L81" s="31"/>
      <c r="M81" s="31"/>
      <c r="N81" s="31">
        <f t="shared" si="2"/>
        <v>20</v>
      </c>
      <c r="O81" s="31" t="s">
        <v>1247</v>
      </c>
      <c r="P81" s="31"/>
      <c r="Q81" s="31"/>
      <c r="R81" s="31"/>
      <c r="S81" s="31"/>
      <c r="T81" s="31" t="s">
        <v>1249</v>
      </c>
      <c r="U81" s="31"/>
      <c r="V81" s="31" t="str">
        <f t="shared" si="3"/>
        <v>Cước vận chuyển vỏ container 20 từ bãi JJ, Hải Phòng đến Nam Đình Vũ, Hải Phòng</v>
      </c>
      <c r="W81" s="31"/>
    </row>
    <row r="82" spans="1:23" s="29" customFormat="1" ht="18" customHeight="1" x14ac:dyDescent="0.25">
      <c r="A82" s="44">
        <v>73</v>
      </c>
      <c r="B82" s="127">
        <v>46162</v>
      </c>
      <c r="C82" s="53" t="s">
        <v>1324</v>
      </c>
      <c r="D82" s="90">
        <v>40</v>
      </c>
      <c r="E82" s="116" t="s">
        <v>20</v>
      </c>
      <c r="F82" s="53" t="s">
        <v>1254</v>
      </c>
      <c r="G82" s="163">
        <v>365000</v>
      </c>
      <c r="H82" s="53" t="s">
        <v>268</v>
      </c>
      <c r="I82" s="117">
        <v>27220</v>
      </c>
      <c r="J82" s="117"/>
      <c r="K82" s="31" t="s">
        <v>1246</v>
      </c>
      <c r="L82" s="31"/>
      <c r="M82" s="31"/>
      <c r="N82" s="31">
        <f t="shared" si="2"/>
        <v>40</v>
      </c>
      <c r="O82" s="31" t="s">
        <v>1247</v>
      </c>
      <c r="P82" s="31"/>
      <c r="Q82" s="31"/>
      <c r="R82" s="31"/>
      <c r="S82" s="31"/>
      <c r="T82" s="31" t="s">
        <v>1249</v>
      </c>
      <c r="U82" s="31"/>
      <c r="V82" s="31" t="str">
        <f t="shared" si="3"/>
        <v>Cước vận chuyển vỏ container 40 từ bãi JJ, Hải Phòng đến Nam Đình Vũ, Hải Phòng</v>
      </c>
      <c r="W82" s="31"/>
    </row>
    <row r="83" spans="1:23" s="29" customFormat="1" ht="18" customHeight="1" x14ac:dyDescent="0.25">
      <c r="A83" s="44">
        <v>74</v>
      </c>
      <c r="B83" s="127">
        <v>46162</v>
      </c>
      <c r="C83" s="53" t="s">
        <v>1325</v>
      </c>
      <c r="D83" s="90">
        <v>40</v>
      </c>
      <c r="E83" s="116" t="s">
        <v>20</v>
      </c>
      <c r="F83" s="53" t="s">
        <v>1254</v>
      </c>
      <c r="G83" s="163">
        <v>365000</v>
      </c>
      <c r="H83" s="53" t="s">
        <v>268</v>
      </c>
      <c r="I83" s="117">
        <v>27220</v>
      </c>
      <c r="J83" s="117"/>
      <c r="K83" s="31" t="s">
        <v>1246</v>
      </c>
      <c r="L83" s="31"/>
      <c r="M83" s="31"/>
      <c r="N83" s="31">
        <f t="shared" si="2"/>
        <v>40</v>
      </c>
      <c r="O83" s="31" t="s">
        <v>1247</v>
      </c>
      <c r="P83" s="31"/>
      <c r="Q83" s="31"/>
      <c r="R83" s="31"/>
      <c r="S83" s="31"/>
      <c r="T83" s="31" t="s">
        <v>1249</v>
      </c>
      <c r="U83" s="31"/>
      <c r="V83" s="31" t="str">
        <f t="shared" si="3"/>
        <v>Cước vận chuyển vỏ container 40 từ bãi JJ, Hải Phòng đến Nam Đình Vũ, Hải Phòng</v>
      </c>
      <c r="W83" s="31"/>
    </row>
    <row r="84" spans="1:23" s="29" customFormat="1" ht="18" customHeight="1" x14ac:dyDescent="0.25">
      <c r="A84" s="44">
        <v>75</v>
      </c>
      <c r="B84" s="127">
        <v>46162</v>
      </c>
      <c r="C84" s="53" t="s">
        <v>1326</v>
      </c>
      <c r="D84" s="90">
        <v>40</v>
      </c>
      <c r="E84" s="116" t="s">
        <v>20</v>
      </c>
      <c r="F84" s="53" t="s">
        <v>1254</v>
      </c>
      <c r="G84" s="163">
        <v>365000</v>
      </c>
      <c r="H84" s="53" t="s">
        <v>268</v>
      </c>
      <c r="I84" s="117">
        <v>27220</v>
      </c>
      <c r="J84" s="117"/>
      <c r="K84" s="31" t="s">
        <v>1246</v>
      </c>
      <c r="L84" s="31"/>
      <c r="M84" s="31"/>
      <c r="N84" s="31">
        <f t="shared" si="2"/>
        <v>40</v>
      </c>
      <c r="O84" s="31" t="s">
        <v>1247</v>
      </c>
      <c r="P84" s="31"/>
      <c r="Q84" s="31"/>
      <c r="R84" s="31"/>
      <c r="S84" s="31"/>
      <c r="T84" s="31" t="s">
        <v>1249</v>
      </c>
      <c r="U84" s="31"/>
      <c r="V84" s="31" t="str">
        <f t="shared" si="3"/>
        <v>Cước vận chuyển vỏ container 40 từ bãi JJ, Hải Phòng đến Nam Đình Vũ, Hải Phòng</v>
      </c>
      <c r="W84" s="31"/>
    </row>
    <row r="85" spans="1:23" s="29" customFormat="1" ht="18" customHeight="1" x14ac:dyDescent="0.25">
      <c r="A85" s="44">
        <v>76</v>
      </c>
      <c r="B85" s="127">
        <v>46162</v>
      </c>
      <c r="C85" s="53" t="s">
        <v>1327</v>
      </c>
      <c r="D85" s="90">
        <v>40</v>
      </c>
      <c r="E85" s="116" t="s">
        <v>20</v>
      </c>
      <c r="F85" s="53" t="s">
        <v>1254</v>
      </c>
      <c r="G85" s="163">
        <v>365000</v>
      </c>
      <c r="H85" s="53" t="s">
        <v>268</v>
      </c>
      <c r="I85" s="117">
        <v>27220</v>
      </c>
      <c r="J85" s="117"/>
      <c r="K85" s="31" t="s">
        <v>1246</v>
      </c>
      <c r="L85" s="31"/>
      <c r="M85" s="31"/>
      <c r="N85" s="31">
        <f t="shared" si="2"/>
        <v>40</v>
      </c>
      <c r="O85" s="31" t="s">
        <v>1247</v>
      </c>
      <c r="P85" s="31"/>
      <c r="Q85" s="31"/>
      <c r="R85" s="31"/>
      <c r="S85" s="31"/>
      <c r="T85" s="31" t="s">
        <v>1249</v>
      </c>
      <c r="U85" s="31"/>
      <c r="V85" s="31" t="str">
        <f t="shared" si="3"/>
        <v>Cước vận chuyển vỏ container 40 từ bãi JJ, Hải Phòng đến Nam Đình Vũ, Hải Phòng</v>
      </c>
      <c r="W85" s="31"/>
    </row>
    <row r="86" spans="1:23" s="29" customFormat="1" ht="18" customHeight="1" x14ac:dyDescent="0.25">
      <c r="A86" s="44">
        <v>77</v>
      </c>
      <c r="B86" s="127">
        <v>46162</v>
      </c>
      <c r="C86" s="53" t="s">
        <v>1328</v>
      </c>
      <c r="D86" s="90">
        <v>40</v>
      </c>
      <c r="E86" s="116" t="s">
        <v>20</v>
      </c>
      <c r="F86" s="53" t="s">
        <v>1254</v>
      </c>
      <c r="G86" s="163">
        <v>365000</v>
      </c>
      <c r="H86" s="53" t="s">
        <v>268</v>
      </c>
      <c r="I86" s="117">
        <v>27220</v>
      </c>
      <c r="J86" s="117"/>
      <c r="K86" s="31" t="s">
        <v>1246</v>
      </c>
      <c r="L86" s="31"/>
      <c r="M86" s="31"/>
      <c r="N86" s="31">
        <f t="shared" si="2"/>
        <v>40</v>
      </c>
      <c r="O86" s="31" t="s">
        <v>1247</v>
      </c>
      <c r="P86" s="31"/>
      <c r="Q86" s="31"/>
      <c r="R86" s="31"/>
      <c r="S86" s="31"/>
      <c r="T86" s="31" t="s">
        <v>1249</v>
      </c>
      <c r="U86" s="31"/>
      <c r="V86" s="31" t="str">
        <f t="shared" si="3"/>
        <v>Cước vận chuyển vỏ container 40 từ bãi JJ, Hải Phòng đến Nam Đình Vũ, Hải Phòng</v>
      </c>
      <c r="W86" s="31"/>
    </row>
    <row r="87" spans="1:23" s="29" customFormat="1" ht="18" hidden="1" customHeight="1" x14ac:dyDescent="0.25">
      <c r="A87" s="44">
        <v>78</v>
      </c>
      <c r="B87" s="48">
        <v>46162</v>
      </c>
      <c r="C87" s="53" t="s">
        <v>1329</v>
      </c>
      <c r="D87" s="90">
        <v>20</v>
      </c>
      <c r="E87" s="90" t="s">
        <v>20</v>
      </c>
      <c r="F87" s="53" t="s">
        <v>1254</v>
      </c>
      <c r="G87" s="163">
        <v>198000</v>
      </c>
      <c r="H87" s="53" t="s">
        <v>25</v>
      </c>
      <c r="I87" s="117">
        <v>27220</v>
      </c>
      <c r="J87" s="117"/>
      <c r="K87" s="31" t="s">
        <v>1246</v>
      </c>
      <c r="L87" s="31"/>
      <c r="M87" s="31"/>
      <c r="N87" s="31">
        <f t="shared" si="2"/>
        <v>20</v>
      </c>
      <c r="O87" s="31" t="s">
        <v>1247</v>
      </c>
      <c r="P87" s="31"/>
      <c r="Q87" s="31"/>
      <c r="R87" s="31"/>
      <c r="S87" s="31"/>
      <c r="T87" s="31" t="s">
        <v>1249</v>
      </c>
      <c r="U87" s="31"/>
      <c r="V87" s="31" t="str">
        <f t="shared" si="3"/>
        <v>Cước vận chuyển vỏ container 20 từ bãi JJ, Hải Phòng đến Nam Đình Vũ, Hải Phòng</v>
      </c>
      <c r="W87" s="31"/>
    </row>
    <row r="88" spans="1:23" s="29" customFormat="1" ht="18" hidden="1" customHeight="1" x14ac:dyDescent="0.25">
      <c r="A88" s="44">
        <v>79</v>
      </c>
      <c r="B88" s="48">
        <v>46162</v>
      </c>
      <c r="C88" s="53" t="s">
        <v>1330</v>
      </c>
      <c r="D88" s="90">
        <v>20</v>
      </c>
      <c r="E88" s="90" t="s">
        <v>20</v>
      </c>
      <c r="F88" s="53" t="s">
        <v>1254</v>
      </c>
      <c r="G88" s="163">
        <v>198000</v>
      </c>
      <c r="H88" s="53" t="s">
        <v>25</v>
      </c>
      <c r="I88" s="117">
        <v>27220</v>
      </c>
      <c r="J88" s="117"/>
      <c r="K88" s="31" t="s">
        <v>1246</v>
      </c>
      <c r="L88" s="31"/>
      <c r="M88" s="31"/>
      <c r="N88" s="31">
        <f>D88</f>
        <v>20</v>
      </c>
      <c r="O88" s="31" t="s">
        <v>1247</v>
      </c>
      <c r="P88" s="31"/>
      <c r="Q88" s="31"/>
      <c r="R88" s="31"/>
      <c r="S88" s="31"/>
      <c r="T88" s="31" t="s">
        <v>1249</v>
      </c>
      <c r="U88" s="31"/>
      <c r="V88" s="31" t="str">
        <f t="shared" si="3"/>
        <v>Cước vận chuyển vỏ container 20 từ bãi JJ, Hải Phòng đến Nam Đình Vũ, Hải Phòng</v>
      </c>
      <c r="W88" s="31"/>
    </row>
    <row r="89" spans="1:23" s="29" customFormat="1" ht="18" hidden="1" customHeight="1" x14ac:dyDescent="0.25">
      <c r="A89" s="44">
        <v>80</v>
      </c>
      <c r="B89" s="48">
        <v>46162</v>
      </c>
      <c r="C89" s="53" t="s">
        <v>1331</v>
      </c>
      <c r="D89" s="121">
        <v>20</v>
      </c>
      <c r="E89" s="90" t="s">
        <v>20</v>
      </c>
      <c r="F89" s="53" t="s">
        <v>1254</v>
      </c>
      <c r="G89" s="163">
        <v>198000</v>
      </c>
      <c r="H89" s="53" t="s">
        <v>602</v>
      </c>
      <c r="I89" s="117">
        <v>27220</v>
      </c>
      <c r="J89" s="117"/>
      <c r="K89" s="31" t="s">
        <v>1246</v>
      </c>
      <c r="L89" s="31"/>
      <c r="M89" s="31"/>
      <c r="N89" s="31">
        <f t="shared" ref="N89:N139" si="4">D89</f>
        <v>20</v>
      </c>
      <c r="O89" s="31" t="s">
        <v>1247</v>
      </c>
      <c r="P89" s="31"/>
      <c r="Q89" s="31"/>
      <c r="R89" s="31"/>
      <c r="S89" s="31"/>
      <c r="T89" s="31" t="s">
        <v>1249</v>
      </c>
      <c r="U89" s="31"/>
      <c r="V89" s="31" t="str">
        <f t="shared" si="3"/>
        <v>Cước vận chuyển vỏ container 20 từ bãi JJ, Hải Phòng đến Nam Đình Vũ, Hải Phòng</v>
      </c>
      <c r="W89" s="31"/>
    </row>
    <row r="90" spans="1:23" s="29" customFormat="1" ht="18" hidden="1" customHeight="1" x14ac:dyDescent="0.25">
      <c r="A90" s="44">
        <v>81</v>
      </c>
      <c r="B90" s="48">
        <v>46162</v>
      </c>
      <c r="C90" s="53" t="s">
        <v>1332</v>
      </c>
      <c r="D90" s="121">
        <v>20</v>
      </c>
      <c r="E90" s="90" t="s">
        <v>20</v>
      </c>
      <c r="F90" s="53" t="s">
        <v>1254</v>
      </c>
      <c r="G90" s="163">
        <v>198000</v>
      </c>
      <c r="H90" s="53" t="s">
        <v>602</v>
      </c>
      <c r="I90" s="117">
        <v>27220</v>
      </c>
      <c r="J90" s="117"/>
      <c r="K90" s="31" t="s">
        <v>1246</v>
      </c>
      <c r="L90" s="31"/>
      <c r="M90" s="31"/>
      <c r="N90" s="31">
        <f t="shared" si="4"/>
        <v>20</v>
      </c>
      <c r="O90" s="31" t="s">
        <v>1247</v>
      </c>
      <c r="P90" s="31"/>
      <c r="Q90" s="31"/>
      <c r="R90" s="31"/>
      <c r="S90" s="31"/>
      <c r="T90" s="31" t="s">
        <v>1249</v>
      </c>
      <c r="U90" s="31"/>
      <c r="V90" s="31" t="str">
        <f t="shared" si="3"/>
        <v>Cước vận chuyển vỏ container 20 từ bãi JJ, Hải Phòng đến Nam Đình Vũ, Hải Phòng</v>
      </c>
      <c r="W90" s="31"/>
    </row>
    <row r="91" spans="1:23" s="29" customFormat="1" ht="18" customHeight="1" x14ac:dyDescent="0.25">
      <c r="A91" s="44">
        <v>82</v>
      </c>
      <c r="B91" s="48">
        <v>46144</v>
      </c>
      <c r="C91" s="53" t="s">
        <v>1333</v>
      </c>
      <c r="D91" s="121">
        <v>40</v>
      </c>
      <c r="E91" s="53" t="s">
        <v>20</v>
      </c>
      <c r="F91" s="53" t="s">
        <v>1254</v>
      </c>
      <c r="G91" s="163">
        <v>365000</v>
      </c>
      <c r="H91" s="53" t="s">
        <v>602</v>
      </c>
      <c r="I91" s="117">
        <v>28170</v>
      </c>
      <c r="J91" s="117"/>
      <c r="K91" s="31" t="s">
        <v>1246</v>
      </c>
      <c r="L91" s="31"/>
      <c r="M91" s="31"/>
      <c r="N91" s="31">
        <f t="shared" si="4"/>
        <v>40</v>
      </c>
      <c r="O91" s="31" t="s">
        <v>1247</v>
      </c>
      <c r="P91" s="31"/>
      <c r="Q91" s="31"/>
      <c r="R91" s="31"/>
      <c r="S91" s="31"/>
      <c r="T91" s="31" t="s">
        <v>1249</v>
      </c>
      <c r="U91" s="31"/>
      <c r="V91" s="31" t="str">
        <f t="shared" si="3"/>
        <v>Cước vận chuyển vỏ container 40 từ bãi JJ, Hải Phòng đến Nam Đình Vũ, Hải Phòng</v>
      </c>
      <c r="W91" s="31"/>
    </row>
    <row r="92" spans="1:23" s="29" customFormat="1" ht="18" customHeight="1" x14ac:dyDescent="0.25">
      <c r="A92" s="44">
        <v>83</v>
      </c>
      <c r="B92" s="48">
        <v>46144</v>
      </c>
      <c r="C92" s="53" t="s">
        <v>1334</v>
      </c>
      <c r="D92" s="121">
        <v>40</v>
      </c>
      <c r="E92" s="53" t="s">
        <v>20</v>
      </c>
      <c r="F92" s="53" t="s">
        <v>1254</v>
      </c>
      <c r="G92" s="163">
        <v>365000</v>
      </c>
      <c r="H92" s="53" t="s">
        <v>602</v>
      </c>
      <c r="I92" s="117">
        <v>28170</v>
      </c>
      <c r="J92" s="117"/>
      <c r="K92" s="31" t="s">
        <v>1246</v>
      </c>
      <c r="L92" s="31"/>
      <c r="M92" s="31"/>
      <c r="N92" s="31">
        <f t="shared" si="4"/>
        <v>40</v>
      </c>
      <c r="O92" s="31" t="s">
        <v>1247</v>
      </c>
      <c r="P92" s="31"/>
      <c r="Q92" s="31"/>
      <c r="R92" s="31"/>
      <c r="S92" s="31"/>
      <c r="T92" s="31" t="s">
        <v>1249</v>
      </c>
      <c r="U92" s="31"/>
      <c r="V92" s="31" t="str">
        <f t="shared" si="3"/>
        <v>Cước vận chuyển vỏ container 40 từ bãi JJ, Hải Phòng đến Nam Đình Vũ, Hải Phòng</v>
      </c>
      <c r="W92" s="31"/>
    </row>
    <row r="93" spans="1:23" s="29" customFormat="1" ht="18" customHeight="1" x14ac:dyDescent="0.25">
      <c r="A93" s="44">
        <v>84</v>
      </c>
      <c r="B93" s="127">
        <v>46153</v>
      </c>
      <c r="C93" s="53" t="s">
        <v>1335</v>
      </c>
      <c r="D93" s="90">
        <v>40</v>
      </c>
      <c r="E93" s="90" t="s">
        <v>20</v>
      </c>
      <c r="F93" s="53" t="s">
        <v>1254</v>
      </c>
      <c r="G93" s="163">
        <v>365000</v>
      </c>
      <c r="H93" s="41" t="s">
        <v>267</v>
      </c>
      <c r="I93" s="37">
        <v>27490</v>
      </c>
      <c r="J93" s="37"/>
      <c r="K93" s="31" t="s">
        <v>1246</v>
      </c>
      <c r="L93" s="31"/>
      <c r="M93" s="31"/>
      <c r="N93" s="31">
        <f t="shared" si="4"/>
        <v>40</v>
      </c>
      <c r="O93" s="31" t="s">
        <v>1247</v>
      </c>
      <c r="P93" s="31"/>
      <c r="Q93" s="31"/>
      <c r="R93" s="31"/>
      <c r="S93" s="31"/>
      <c r="T93" s="31" t="s">
        <v>1249</v>
      </c>
      <c r="U93" s="31"/>
      <c r="V93" s="31" t="str">
        <f t="shared" si="3"/>
        <v>Cước vận chuyển vỏ container 40 từ bãi JJ, Hải Phòng đến Nam Đình Vũ, Hải Phòng</v>
      </c>
      <c r="W93" s="31"/>
    </row>
    <row r="94" spans="1:23" s="29" customFormat="1" ht="18" customHeight="1" x14ac:dyDescent="0.25">
      <c r="A94" s="44">
        <v>85</v>
      </c>
      <c r="B94" s="127">
        <v>46153</v>
      </c>
      <c r="C94" s="53" t="s">
        <v>1336</v>
      </c>
      <c r="D94" s="90">
        <v>40</v>
      </c>
      <c r="E94" s="90" t="s">
        <v>20</v>
      </c>
      <c r="F94" s="53" t="s">
        <v>1254</v>
      </c>
      <c r="G94" s="163">
        <v>365000</v>
      </c>
      <c r="H94" s="41" t="s">
        <v>267</v>
      </c>
      <c r="I94" s="37">
        <v>27490</v>
      </c>
      <c r="J94" s="37"/>
      <c r="K94" s="31" t="s">
        <v>1246</v>
      </c>
      <c r="L94" s="31"/>
      <c r="M94" s="31"/>
      <c r="N94" s="31">
        <f t="shared" si="4"/>
        <v>40</v>
      </c>
      <c r="O94" s="31" t="s">
        <v>1247</v>
      </c>
      <c r="P94" s="31"/>
      <c r="Q94" s="31"/>
      <c r="R94" s="31"/>
      <c r="S94" s="31"/>
      <c r="T94" s="31" t="s">
        <v>1249</v>
      </c>
      <c r="U94" s="31"/>
      <c r="V94" s="31" t="str">
        <f t="shared" si="3"/>
        <v>Cước vận chuyển vỏ container 40 từ bãi JJ, Hải Phòng đến Nam Đình Vũ, Hải Phòng</v>
      </c>
      <c r="W94" s="31"/>
    </row>
    <row r="95" spans="1:23" s="29" customFormat="1" ht="18" customHeight="1" x14ac:dyDescent="0.25">
      <c r="A95" s="44">
        <v>86</v>
      </c>
      <c r="B95" s="127">
        <v>46153</v>
      </c>
      <c r="C95" s="53" t="s">
        <v>1337</v>
      </c>
      <c r="D95" s="90">
        <v>40</v>
      </c>
      <c r="E95" s="90" t="s">
        <v>20</v>
      </c>
      <c r="F95" s="53" t="s">
        <v>1254</v>
      </c>
      <c r="G95" s="163">
        <v>365000</v>
      </c>
      <c r="H95" s="41" t="s">
        <v>267</v>
      </c>
      <c r="I95" s="37">
        <v>27490</v>
      </c>
      <c r="J95" s="37"/>
      <c r="K95" s="31" t="s">
        <v>1246</v>
      </c>
      <c r="L95" s="31"/>
      <c r="M95" s="31"/>
      <c r="N95" s="31">
        <f t="shared" si="4"/>
        <v>40</v>
      </c>
      <c r="O95" s="31" t="s">
        <v>1247</v>
      </c>
      <c r="P95" s="31"/>
      <c r="Q95" s="31"/>
      <c r="R95" s="31"/>
      <c r="S95" s="31"/>
      <c r="T95" s="31" t="s">
        <v>1249</v>
      </c>
      <c r="U95" s="31"/>
      <c r="V95" s="31" t="str">
        <f t="shared" si="3"/>
        <v>Cước vận chuyển vỏ container 40 từ bãi JJ, Hải Phòng đến Nam Đình Vũ, Hải Phòng</v>
      </c>
      <c r="W95" s="31"/>
    </row>
    <row r="96" spans="1:23" s="29" customFormat="1" ht="18" customHeight="1" x14ac:dyDescent="0.25">
      <c r="A96" s="44">
        <v>87</v>
      </c>
      <c r="B96" s="127">
        <v>46152</v>
      </c>
      <c r="C96" s="53" t="s">
        <v>1338</v>
      </c>
      <c r="D96" s="53">
        <v>40</v>
      </c>
      <c r="E96" s="90" t="s">
        <v>20</v>
      </c>
      <c r="F96" s="53" t="s">
        <v>1254</v>
      </c>
      <c r="G96" s="163">
        <v>365000</v>
      </c>
      <c r="H96" s="41" t="s">
        <v>267</v>
      </c>
      <c r="I96" s="117">
        <v>27490</v>
      </c>
      <c r="J96" s="37"/>
      <c r="K96" s="31" t="s">
        <v>1246</v>
      </c>
      <c r="L96" s="31"/>
      <c r="M96" s="31"/>
      <c r="N96" s="31">
        <f t="shared" si="4"/>
        <v>40</v>
      </c>
      <c r="O96" s="31" t="s">
        <v>1247</v>
      </c>
      <c r="P96" s="31"/>
      <c r="Q96" s="31"/>
      <c r="R96" s="31"/>
      <c r="S96" s="31"/>
      <c r="T96" s="31" t="s">
        <v>1249</v>
      </c>
      <c r="U96" s="31"/>
      <c r="V96" s="31" t="str">
        <f t="shared" si="3"/>
        <v>Cước vận chuyển vỏ container 40 từ bãi JJ, Hải Phòng đến Nam Đình Vũ, Hải Phòng</v>
      </c>
      <c r="W96" s="31"/>
    </row>
    <row r="97" spans="1:23" s="29" customFormat="1" ht="18" hidden="1" customHeight="1" x14ac:dyDescent="0.25">
      <c r="A97" s="44">
        <v>88</v>
      </c>
      <c r="B97" s="127">
        <v>46152</v>
      </c>
      <c r="C97" s="53" t="s">
        <v>1339</v>
      </c>
      <c r="D97" s="53">
        <v>20</v>
      </c>
      <c r="E97" s="90" t="s">
        <v>20</v>
      </c>
      <c r="F97" s="53" t="s">
        <v>1254</v>
      </c>
      <c r="G97" s="163">
        <v>198000</v>
      </c>
      <c r="H97" s="41" t="s">
        <v>267</v>
      </c>
      <c r="I97" s="117">
        <v>27490</v>
      </c>
      <c r="J97" s="37"/>
      <c r="K97" s="31" t="s">
        <v>1246</v>
      </c>
      <c r="L97" s="31"/>
      <c r="M97" s="31"/>
      <c r="N97" s="31">
        <f t="shared" si="4"/>
        <v>20</v>
      </c>
      <c r="O97" s="31" t="s">
        <v>1247</v>
      </c>
      <c r="P97" s="31"/>
      <c r="Q97" s="31"/>
      <c r="R97" s="31"/>
      <c r="S97" s="31"/>
      <c r="T97" s="31" t="s">
        <v>1249</v>
      </c>
      <c r="U97" s="31"/>
      <c r="V97" s="31" t="str">
        <f t="shared" si="3"/>
        <v>Cước vận chuyển vỏ container 20 từ bãi JJ, Hải Phòng đến Nam Đình Vũ, Hải Phòng</v>
      </c>
      <c r="W97" s="31"/>
    </row>
    <row r="98" spans="1:23" s="29" customFormat="1" ht="18" hidden="1" customHeight="1" x14ac:dyDescent="0.25">
      <c r="A98" s="44">
        <v>89</v>
      </c>
      <c r="B98" s="127">
        <v>46152</v>
      </c>
      <c r="C98" s="53" t="s">
        <v>1340</v>
      </c>
      <c r="D98" s="90">
        <v>20</v>
      </c>
      <c r="E98" s="90" t="s">
        <v>20</v>
      </c>
      <c r="F98" s="53" t="s">
        <v>1254</v>
      </c>
      <c r="G98" s="163">
        <v>198000</v>
      </c>
      <c r="H98" s="41" t="s">
        <v>267</v>
      </c>
      <c r="I98" s="117">
        <v>27490</v>
      </c>
      <c r="J98" s="37"/>
      <c r="K98" s="31" t="s">
        <v>1246</v>
      </c>
      <c r="L98" s="31"/>
      <c r="M98" s="31"/>
      <c r="N98" s="31">
        <f t="shared" si="4"/>
        <v>20</v>
      </c>
      <c r="O98" s="31" t="s">
        <v>1247</v>
      </c>
      <c r="P98" s="31"/>
      <c r="Q98" s="31"/>
      <c r="R98" s="31"/>
      <c r="S98" s="31"/>
      <c r="T98" s="31" t="s">
        <v>1249</v>
      </c>
      <c r="U98" s="31"/>
      <c r="V98" s="31" t="str">
        <f t="shared" si="3"/>
        <v>Cước vận chuyển vỏ container 20 từ bãi JJ, Hải Phòng đến Nam Đình Vũ, Hải Phòng</v>
      </c>
      <c r="W98" s="31"/>
    </row>
    <row r="99" spans="1:23" s="29" customFormat="1" ht="18" customHeight="1" x14ac:dyDescent="0.25">
      <c r="A99" s="44">
        <v>90</v>
      </c>
      <c r="B99" s="127">
        <v>46152</v>
      </c>
      <c r="C99" s="53" t="s">
        <v>1341</v>
      </c>
      <c r="D99" s="90">
        <v>40</v>
      </c>
      <c r="E99" s="90" t="s">
        <v>20</v>
      </c>
      <c r="F99" s="53" t="s">
        <v>1254</v>
      </c>
      <c r="G99" s="163">
        <v>365000</v>
      </c>
      <c r="H99" s="41" t="s">
        <v>267</v>
      </c>
      <c r="I99" s="117">
        <v>27490</v>
      </c>
      <c r="J99" s="37"/>
      <c r="K99" s="31" t="s">
        <v>1246</v>
      </c>
      <c r="L99" s="31"/>
      <c r="M99" s="31"/>
      <c r="N99" s="31">
        <f t="shared" si="4"/>
        <v>40</v>
      </c>
      <c r="O99" s="31" t="s">
        <v>1247</v>
      </c>
      <c r="P99" s="31"/>
      <c r="Q99" s="31"/>
      <c r="R99" s="31"/>
      <c r="S99" s="31"/>
      <c r="T99" s="31" t="s">
        <v>1249</v>
      </c>
      <c r="U99" s="31"/>
      <c r="V99" s="31" t="str">
        <f t="shared" si="3"/>
        <v>Cước vận chuyển vỏ container 40 từ bãi JJ, Hải Phòng đến Nam Đình Vũ, Hải Phòng</v>
      </c>
      <c r="W99" s="31"/>
    </row>
    <row r="100" spans="1:23" s="29" customFormat="1" ht="18" customHeight="1" x14ac:dyDescent="0.25">
      <c r="A100" s="44">
        <v>91</v>
      </c>
      <c r="B100" s="127">
        <v>46152</v>
      </c>
      <c r="C100" s="53" t="s">
        <v>1342</v>
      </c>
      <c r="D100" s="90">
        <v>40</v>
      </c>
      <c r="E100" s="90" t="s">
        <v>20</v>
      </c>
      <c r="F100" s="53" t="s">
        <v>1254</v>
      </c>
      <c r="G100" s="163">
        <v>365000</v>
      </c>
      <c r="H100" s="41" t="s">
        <v>267</v>
      </c>
      <c r="I100" s="117">
        <v>27490</v>
      </c>
      <c r="J100" s="37"/>
      <c r="K100" s="31" t="s">
        <v>1246</v>
      </c>
      <c r="L100" s="31"/>
      <c r="M100" s="31"/>
      <c r="N100" s="31">
        <f t="shared" si="4"/>
        <v>40</v>
      </c>
      <c r="O100" s="31" t="s">
        <v>1247</v>
      </c>
      <c r="P100" s="31"/>
      <c r="Q100" s="31"/>
      <c r="R100" s="31"/>
      <c r="S100" s="31"/>
      <c r="T100" s="31" t="s">
        <v>1249</v>
      </c>
      <c r="U100" s="31"/>
      <c r="V100" s="31" t="str">
        <f t="shared" si="3"/>
        <v>Cước vận chuyển vỏ container 40 từ bãi JJ, Hải Phòng đến Nam Đình Vũ, Hải Phòng</v>
      </c>
      <c r="W100" s="31"/>
    </row>
    <row r="101" spans="1:23" s="29" customFormat="1" ht="18" customHeight="1" x14ac:dyDescent="0.25">
      <c r="A101" s="44">
        <v>92</v>
      </c>
      <c r="B101" s="127">
        <v>46159</v>
      </c>
      <c r="C101" s="53" t="s">
        <v>1343</v>
      </c>
      <c r="D101" s="90">
        <v>40</v>
      </c>
      <c r="E101" s="90" t="s">
        <v>20</v>
      </c>
      <c r="F101" s="53" t="s">
        <v>1254</v>
      </c>
      <c r="G101" s="163">
        <v>365000</v>
      </c>
      <c r="H101" s="41" t="s">
        <v>267</v>
      </c>
      <c r="I101" s="37">
        <v>27220</v>
      </c>
      <c r="J101" s="37"/>
      <c r="K101" s="31" t="s">
        <v>1246</v>
      </c>
      <c r="L101" s="31"/>
      <c r="M101" s="31"/>
      <c r="N101" s="31">
        <f t="shared" si="4"/>
        <v>40</v>
      </c>
      <c r="O101" s="31" t="s">
        <v>1247</v>
      </c>
      <c r="P101" s="31"/>
      <c r="Q101" s="31"/>
      <c r="R101" s="31"/>
      <c r="S101" s="31"/>
      <c r="T101" s="31" t="s">
        <v>1249</v>
      </c>
      <c r="U101" s="31"/>
      <c r="V101" s="31" t="str">
        <f t="shared" si="3"/>
        <v>Cước vận chuyển vỏ container 40 từ bãi JJ, Hải Phòng đến Nam Đình Vũ, Hải Phòng</v>
      </c>
      <c r="W101" s="31"/>
    </row>
    <row r="102" spans="1:23" s="29" customFormat="1" ht="18" customHeight="1" x14ac:dyDescent="0.25">
      <c r="A102" s="44">
        <v>93</v>
      </c>
      <c r="B102" s="127">
        <v>46159</v>
      </c>
      <c r="C102" s="53" t="s">
        <v>1344</v>
      </c>
      <c r="D102" s="90">
        <v>40</v>
      </c>
      <c r="E102" s="90" t="s">
        <v>20</v>
      </c>
      <c r="F102" s="53" t="s">
        <v>1254</v>
      </c>
      <c r="G102" s="163">
        <v>365000</v>
      </c>
      <c r="H102" s="41" t="s">
        <v>267</v>
      </c>
      <c r="I102" s="37">
        <v>27220</v>
      </c>
      <c r="J102" s="37"/>
      <c r="K102" s="31" t="s">
        <v>1246</v>
      </c>
      <c r="L102" s="31"/>
      <c r="M102" s="31"/>
      <c r="N102" s="31">
        <f t="shared" si="4"/>
        <v>40</v>
      </c>
      <c r="O102" s="31" t="s">
        <v>1247</v>
      </c>
      <c r="P102" s="31"/>
      <c r="Q102" s="31"/>
      <c r="R102" s="31"/>
      <c r="S102" s="31"/>
      <c r="T102" s="31" t="s">
        <v>1249</v>
      </c>
      <c r="U102" s="31"/>
      <c r="V102" s="31" t="str">
        <f t="shared" si="3"/>
        <v>Cước vận chuyển vỏ container 40 từ bãi JJ, Hải Phòng đến Nam Đình Vũ, Hải Phòng</v>
      </c>
      <c r="W102" s="31"/>
    </row>
    <row r="103" spans="1:23" s="29" customFormat="1" ht="18" customHeight="1" x14ac:dyDescent="0.25">
      <c r="A103" s="44">
        <v>94</v>
      </c>
      <c r="B103" s="127">
        <v>46159</v>
      </c>
      <c r="C103" s="53" t="s">
        <v>1345</v>
      </c>
      <c r="D103" s="90">
        <v>40</v>
      </c>
      <c r="E103" s="90" t="s">
        <v>20</v>
      </c>
      <c r="F103" s="53" t="s">
        <v>1254</v>
      </c>
      <c r="G103" s="163">
        <v>365000</v>
      </c>
      <c r="H103" s="41" t="s">
        <v>267</v>
      </c>
      <c r="I103" s="37">
        <v>27220</v>
      </c>
      <c r="J103" s="37"/>
      <c r="K103" s="31" t="s">
        <v>1246</v>
      </c>
      <c r="L103" s="31"/>
      <c r="M103" s="31"/>
      <c r="N103" s="31">
        <f t="shared" si="4"/>
        <v>40</v>
      </c>
      <c r="O103" s="31" t="s">
        <v>1247</v>
      </c>
      <c r="P103" s="31"/>
      <c r="Q103" s="31"/>
      <c r="R103" s="31"/>
      <c r="S103" s="31"/>
      <c r="T103" s="31" t="s">
        <v>1249</v>
      </c>
      <c r="U103" s="31"/>
      <c r="V103" s="31" t="str">
        <f t="shared" si="3"/>
        <v>Cước vận chuyển vỏ container 40 từ bãi JJ, Hải Phòng đến Nam Đình Vũ, Hải Phòng</v>
      </c>
      <c r="W103" s="31"/>
    </row>
    <row r="104" spans="1:23" s="29" customFormat="1" ht="18" customHeight="1" x14ac:dyDescent="0.25">
      <c r="A104" s="44">
        <v>95</v>
      </c>
      <c r="B104" s="127">
        <v>46159</v>
      </c>
      <c r="C104" s="53" t="s">
        <v>1346</v>
      </c>
      <c r="D104" s="90">
        <v>40</v>
      </c>
      <c r="E104" s="90" t="s">
        <v>20</v>
      </c>
      <c r="F104" s="53" t="s">
        <v>1254</v>
      </c>
      <c r="G104" s="163">
        <v>365000</v>
      </c>
      <c r="H104" s="41" t="s">
        <v>267</v>
      </c>
      <c r="I104" s="37">
        <v>27220</v>
      </c>
      <c r="J104" s="37"/>
      <c r="K104" s="31" t="s">
        <v>1246</v>
      </c>
      <c r="L104" s="31"/>
      <c r="M104" s="31"/>
      <c r="N104" s="31">
        <f t="shared" si="4"/>
        <v>40</v>
      </c>
      <c r="O104" s="31" t="s">
        <v>1247</v>
      </c>
      <c r="P104" s="31"/>
      <c r="Q104" s="31"/>
      <c r="R104" s="31"/>
      <c r="S104" s="31"/>
      <c r="T104" s="31" t="s">
        <v>1249</v>
      </c>
      <c r="U104" s="31"/>
      <c r="V104" s="31" t="str">
        <f t="shared" si="3"/>
        <v>Cước vận chuyển vỏ container 40 từ bãi JJ, Hải Phòng đến Nam Đình Vũ, Hải Phòng</v>
      </c>
      <c r="W104" s="31"/>
    </row>
    <row r="105" spans="1:23" s="29" customFormat="1" ht="18" customHeight="1" x14ac:dyDescent="0.25">
      <c r="A105" s="44">
        <v>96</v>
      </c>
      <c r="B105" s="127">
        <v>46159</v>
      </c>
      <c r="C105" s="53" t="s">
        <v>1347</v>
      </c>
      <c r="D105" s="90">
        <v>40</v>
      </c>
      <c r="E105" s="90" t="s">
        <v>20</v>
      </c>
      <c r="F105" s="53" t="s">
        <v>1254</v>
      </c>
      <c r="G105" s="163">
        <v>365000</v>
      </c>
      <c r="H105" s="41" t="s">
        <v>267</v>
      </c>
      <c r="I105" s="37">
        <v>27220</v>
      </c>
      <c r="J105" s="37"/>
      <c r="K105" s="31" t="s">
        <v>1246</v>
      </c>
      <c r="L105" s="31"/>
      <c r="M105" s="31"/>
      <c r="N105" s="31">
        <f t="shared" si="4"/>
        <v>40</v>
      </c>
      <c r="O105" s="31" t="s">
        <v>1247</v>
      </c>
      <c r="P105" s="31"/>
      <c r="Q105" s="31"/>
      <c r="R105" s="31"/>
      <c r="S105" s="31"/>
      <c r="T105" s="31" t="s">
        <v>1249</v>
      </c>
      <c r="U105" s="31"/>
      <c r="V105" s="31" t="str">
        <f t="shared" si="3"/>
        <v>Cước vận chuyển vỏ container 40 từ bãi JJ, Hải Phòng đến Nam Đình Vũ, Hải Phòng</v>
      </c>
      <c r="W105" s="31"/>
    </row>
    <row r="106" spans="1:23" s="29" customFormat="1" ht="18" customHeight="1" x14ac:dyDescent="0.25">
      <c r="A106" s="44">
        <v>97</v>
      </c>
      <c r="B106" s="54">
        <v>46162</v>
      </c>
      <c r="C106" s="53" t="s">
        <v>1348</v>
      </c>
      <c r="D106" s="116">
        <v>40</v>
      </c>
      <c r="E106" s="53" t="s">
        <v>481</v>
      </c>
      <c r="F106" s="53" t="s">
        <v>1254</v>
      </c>
      <c r="G106" s="163">
        <v>365000</v>
      </c>
      <c r="H106" s="53" t="s">
        <v>26</v>
      </c>
      <c r="I106" s="117">
        <v>27220</v>
      </c>
      <c r="J106" s="117"/>
      <c r="K106" s="31" t="s">
        <v>1246</v>
      </c>
      <c r="L106" s="31"/>
      <c r="M106" s="31"/>
      <c r="N106" s="31">
        <f t="shared" si="4"/>
        <v>40</v>
      </c>
      <c r="O106" s="31" t="s">
        <v>1247</v>
      </c>
      <c r="P106" s="31"/>
      <c r="Q106" s="31"/>
      <c r="R106" s="31"/>
      <c r="S106" s="31"/>
      <c r="T106" s="31" t="s">
        <v>1249</v>
      </c>
      <c r="U106" s="31"/>
      <c r="V106" s="31" t="str">
        <f t="shared" si="3"/>
        <v>Cước vận chuyển vỏ container 40 từ bãi JJ, Hải Phòng đến Nam Đình Vũ, Hải Phòng</v>
      </c>
      <c r="W106" s="31"/>
    </row>
    <row r="107" spans="1:23" s="29" customFormat="1" ht="18" customHeight="1" x14ac:dyDescent="0.25">
      <c r="A107" s="44">
        <v>98</v>
      </c>
      <c r="B107" s="54">
        <v>46163</v>
      </c>
      <c r="C107" s="53" t="s">
        <v>1349</v>
      </c>
      <c r="D107" s="116">
        <v>40</v>
      </c>
      <c r="E107" s="53" t="s">
        <v>481</v>
      </c>
      <c r="F107" s="53" t="s">
        <v>1254</v>
      </c>
      <c r="G107" s="163">
        <v>365000</v>
      </c>
      <c r="H107" s="53" t="s">
        <v>28</v>
      </c>
      <c r="I107" s="117">
        <v>28760</v>
      </c>
      <c r="J107" s="117"/>
      <c r="K107" s="31" t="s">
        <v>1246</v>
      </c>
      <c r="L107" s="31"/>
      <c r="M107" s="31"/>
      <c r="N107" s="31">
        <f t="shared" si="4"/>
        <v>40</v>
      </c>
      <c r="O107" s="31" t="s">
        <v>1247</v>
      </c>
      <c r="P107" s="31"/>
      <c r="Q107" s="31"/>
      <c r="R107" s="31"/>
      <c r="S107" s="31"/>
      <c r="T107" s="31" t="s">
        <v>1249</v>
      </c>
      <c r="U107" s="31"/>
      <c r="V107" s="31" t="str">
        <f t="shared" si="3"/>
        <v>Cước vận chuyển vỏ container 40 từ bãi JJ, Hải Phòng đến Nam Đình Vũ, Hải Phòng</v>
      </c>
      <c r="W107" s="31"/>
    </row>
    <row r="108" spans="1:23" s="29" customFormat="1" ht="18" customHeight="1" x14ac:dyDescent="0.25">
      <c r="A108" s="44">
        <v>99</v>
      </c>
      <c r="B108" s="54">
        <v>46163</v>
      </c>
      <c r="C108" s="53" t="s">
        <v>1350</v>
      </c>
      <c r="D108" s="53">
        <v>40</v>
      </c>
      <c r="E108" s="53" t="s">
        <v>481</v>
      </c>
      <c r="F108" s="53" t="s">
        <v>1254</v>
      </c>
      <c r="G108" s="163">
        <v>365000</v>
      </c>
      <c r="H108" s="53" t="s">
        <v>28</v>
      </c>
      <c r="I108" s="117">
        <v>28760</v>
      </c>
      <c r="J108" s="117"/>
      <c r="K108" s="31" t="s">
        <v>1246</v>
      </c>
      <c r="L108" s="31"/>
      <c r="M108" s="31"/>
      <c r="N108" s="31">
        <f t="shared" si="4"/>
        <v>40</v>
      </c>
      <c r="O108" s="31" t="s">
        <v>1247</v>
      </c>
      <c r="P108" s="31"/>
      <c r="Q108" s="31"/>
      <c r="R108" s="31"/>
      <c r="S108" s="31"/>
      <c r="T108" s="31" t="s">
        <v>1249</v>
      </c>
      <c r="U108" s="31"/>
      <c r="V108" s="31" t="str">
        <f t="shared" si="3"/>
        <v>Cước vận chuyển vỏ container 40 từ bãi JJ, Hải Phòng đến Nam Đình Vũ, Hải Phòng</v>
      </c>
      <c r="W108" s="31"/>
    </row>
    <row r="109" spans="1:23" s="29" customFormat="1" ht="18" customHeight="1" x14ac:dyDescent="0.25">
      <c r="A109" s="44">
        <v>100</v>
      </c>
      <c r="B109" s="54">
        <v>46163</v>
      </c>
      <c r="C109" s="53" t="s">
        <v>1351</v>
      </c>
      <c r="D109" s="53">
        <v>40</v>
      </c>
      <c r="E109" s="53" t="s">
        <v>481</v>
      </c>
      <c r="F109" s="53" t="s">
        <v>1254</v>
      </c>
      <c r="G109" s="163">
        <v>365000</v>
      </c>
      <c r="H109" s="53" t="s">
        <v>28</v>
      </c>
      <c r="I109" s="117">
        <v>28760</v>
      </c>
      <c r="J109" s="117"/>
      <c r="K109" s="31" t="s">
        <v>1246</v>
      </c>
      <c r="L109" s="31"/>
      <c r="M109" s="31"/>
      <c r="N109" s="31">
        <f t="shared" si="4"/>
        <v>40</v>
      </c>
      <c r="O109" s="31" t="s">
        <v>1247</v>
      </c>
      <c r="P109" s="31"/>
      <c r="Q109" s="31"/>
      <c r="R109" s="31"/>
      <c r="S109" s="31"/>
      <c r="T109" s="31" t="s">
        <v>1249</v>
      </c>
      <c r="U109" s="31"/>
      <c r="V109" s="31" t="str">
        <f t="shared" si="3"/>
        <v>Cước vận chuyển vỏ container 40 từ bãi JJ, Hải Phòng đến Nam Đình Vũ, Hải Phòng</v>
      </c>
      <c r="W109" s="31"/>
    </row>
    <row r="110" spans="1:23" s="29" customFormat="1" ht="18" customHeight="1" x14ac:dyDescent="0.25">
      <c r="A110" s="44">
        <v>101</v>
      </c>
      <c r="B110" s="54">
        <v>46163</v>
      </c>
      <c r="C110" s="53" t="s">
        <v>1352</v>
      </c>
      <c r="D110" s="53">
        <v>40</v>
      </c>
      <c r="E110" s="53" t="s">
        <v>20</v>
      </c>
      <c r="F110" s="53" t="s">
        <v>1254</v>
      </c>
      <c r="G110" s="163">
        <v>365000</v>
      </c>
      <c r="H110" s="53" t="s">
        <v>30</v>
      </c>
      <c r="I110" s="117">
        <v>28760</v>
      </c>
      <c r="J110" s="117"/>
      <c r="K110" s="31" t="s">
        <v>1246</v>
      </c>
      <c r="L110" s="31"/>
      <c r="M110" s="31"/>
      <c r="N110" s="31">
        <f t="shared" si="4"/>
        <v>40</v>
      </c>
      <c r="O110" s="31" t="s">
        <v>1247</v>
      </c>
      <c r="P110" s="31"/>
      <c r="Q110" s="31"/>
      <c r="R110" s="31"/>
      <c r="S110" s="31"/>
      <c r="T110" s="31" t="s">
        <v>1249</v>
      </c>
      <c r="U110" s="31"/>
      <c r="V110" s="31" t="str">
        <f t="shared" si="3"/>
        <v>Cước vận chuyển vỏ container 40 từ bãi JJ, Hải Phòng đến Nam Đình Vũ, Hải Phòng</v>
      </c>
      <c r="W110" s="31"/>
    </row>
    <row r="111" spans="1:23" s="29" customFormat="1" ht="18" customHeight="1" x14ac:dyDescent="0.25">
      <c r="A111" s="44">
        <v>102</v>
      </c>
      <c r="B111" s="54">
        <v>46163</v>
      </c>
      <c r="C111" s="53" t="s">
        <v>1353</v>
      </c>
      <c r="D111" s="53">
        <v>40</v>
      </c>
      <c r="E111" s="53" t="s">
        <v>20</v>
      </c>
      <c r="F111" s="53" t="s">
        <v>1254</v>
      </c>
      <c r="G111" s="163">
        <v>365000</v>
      </c>
      <c r="H111" s="53" t="s">
        <v>30</v>
      </c>
      <c r="I111" s="117">
        <v>28760</v>
      </c>
      <c r="J111" s="117"/>
      <c r="K111" s="31" t="s">
        <v>1246</v>
      </c>
      <c r="L111" s="31"/>
      <c r="M111" s="31"/>
      <c r="N111" s="31">
        <f t="shared" si="4"/>
        <v>40</v>
      </c>
      <c r="O111" s="31" t="s">
        <v>1247</v>
      </c>
      <c r="P111" s="31"/>
      <c r="Q111" s="31"/>
      <c r="R111" s="31"/>
      <c r="S111" s="31"/>
      <c r="T111" s="31" t="s">
        <v>1249</v>
      </c>
      <c r="U111" s="31"/>
      <c r="V111" s="31" t="str">
        <f t="shared" si="3"/>
        <v>Cước vận chuyển vỏ container 40 từ bãi JJ, Hải Phòng đến Nam Đình Vũ, Hải Phòng</v>
      </c>
      <c r="W111" s="31"/>
    </row>
    <row r="112" spans="1:23" s="29" customFormat="1" ht="18" hidden="1" customHeight="1" x14ac:dyDescent="0.25">
      <c r="A112" s="44">
        <v>103</v>
      </c>
      <c r="B112" s="54">
        <v>46162</v>
      </c>
      <c r="C112" s="53" t="s">
        <v>1354</v>
      </c>
      <c r="D112" s="53">
        <v>20</v>
      </c>
      <c r="E112" s="53" t="s">
        <v>20</v>
      </c>
      <c r="F112" s="53" t="s">
        <v>1254</v>
      </c>
      <c r="G112" s="163">
        <v>198000</v>
      </c>
      <c r="H112" s="53" t="s">
        <v>35</v>
      </c>
      <c r="I112" s="117">
        <v>27220</v>
      </c>
      <c r="J112" s="117"/>
      <c r="K112" s="31" t="s">
        <v>1246</v>
      </c>
      <c r="L112" s="31"/>
      <c r="M112" s="31"/>
      <c r="N112" s="31">
        <f t="shared" si="4"/>
        <v>20</v>
      </c>
      <c r="O112" s="31" t="s">
        <v>1247</v>
      </c>
      <c r="P112" s="31"/>
      <c r="Q112" s="31"/>
      <c r="R112" s="31"/>
      <c r="S112" s="31"/>
      <c r="T112" s="31" t="s">
        <v>1249</v>
      </c>
      <c r="U112" s="31"/>
      <c r="V112" s="31" t="str">
        <f t="shared" si="3"/>
        <v>Cước vận chuyển vỏ container 20 từ bãi JJ, Hải Phòng đến Nam Đình Vũ, Hải Phòng</v>
      </c>
      <c r="W112" s="31"/>
    </row>
    <row r="113" spans="1:23" s="29" customFormat="1" ht="18" hidden="1" customHeight="1" x14ac:dyDescent="0.25">
      <c r="A113" s="44">
        <v>104</v>
      </c>
      <c r="B113" s="54">
        <v>46162</v>
      </c>
      <c r="C113" s="53" t="s">
        <v>1355</v>
      </c>
      <c r="D113" s="53">
        <v>20</v>
      </c>
      <c r="E113" s="53" t="s">
        <v>20</v>
      </c>
      <c r="F113" s="53" t="s">
        <v>1254</v>
      </c>
      <c r="G113" s="163">
        <v>198000</v>
      </c>
      <c r="H113" s="53" t="s">
        <v>35</v>
      </c>
      <c r="I113" s="117">
        <v>27220</v>
      </c>
      <c r="J113" s="117"/>
      <c r="K113" s="31" t="s">
        <v>1246</v>
      </c>
      <c r="L113" s="31"/>
      <c r="M113" s="31"/>
      <c r="N113" s="31">
        <f t="shared" si="4"/>
        <v>20</v>
      </c>
      <c r="O113" s="31" t="s">
        <v>1247</v>
      </c>
      <c r="P113" s="31"/>
      <c r="Q113" s="31"/>
      <c r="R113" s="31"/>
      <c r="S113" s="31"/>
      <c r="T113" s="31" t="s">
        <v>1249</v>
      </c>
      <c r="U113" s="31"/>
      <c r="V113" s="31" t="str">
        <f t="shared" si="3"/>
        <v>Cước vận chuyển vỏ container 20 từ bãi JJ, Hải Phòng đến Nam Đình Vũ, Hải Phòng</v>
      </c>
      <c r="W113" s="31"/>
    </row>
    <row r="114" spans="1:23" s="29" customFormat="1" ht="18" customHeight="1" x14ac:dyDescent="0.25">
      <c r="A114" s="44">
        <v>105</v>
      </c>
      <c r="B114" s="54">
        <v>46162</v>
      </c>
      <c r="C114" s="53" t="s">
        <v>1356</v>
      </c>
      <c r="D114" s="53">
        <v>40</v>
      </c>
      <c r="E114" s="53" t="s">
        <v>20</v>
      </c>
      <c r="F114" s="53" t="s">
        <v>1254</v>
      </c>
      <c r="G114" s="163">
        <v>365000</v>
      </c>
      <c r="H114" s="53" t="s">
        <v>35</v>
      </c>
      <c r="I114" s="117">
        <v>27220</v>
      </c>
      <c r="J114" s="117"/>
      <c r="K114" s="31" t="s">
        <v>1246</v>
      </c>
      <c r="L114" s="31"/>
      <c r="M114" s="31"/>
      <c r="N114" s="31">
        <f t="shared" si="4"/>
        <v>40</v>
      </c>
      <c r="O114" s="31" t="s">
        <v>1247</v>
      </c>
      <c r="P114" s="31"/>
      <c r="Q114" s="31"/>
      <c r="R114" s="31"/>
      <c r="S114" s="31"/>
      <c r="T114" s="31" t="s">
        <v>1249</v>
      </c>
      <c r="U114" s="31"/>
      <c r="V114" s="31" t="str">
        <f t="shared" si="3"/>
        <v>Cước vận chuyển vỏ container 40 từ bãi JJ, Hải Phòng đến Nam Đình Vũ, Hải Phòng</v>
      </c>
      <c r="W114" s="31"/>
    </row>
    <row r="115" spans="1:23" s="29" customFormat="1" ht="18" customHeight="1" x14ac:dyDescent="0.25">
      <c r="A115" s="44">
        <v>106</v>
      </c>
      <c r="B115" s="127">
        <v>46159</v>
      </c>
      <c r="C115" s="53" t="s">
        <v>1357</v>
      </c>
      <c r="D115" s="53">
        <v>40</v>
      </c>
      <c r="E115" s="53" t="s">
        <v>20</v>
      </c>
      <c r="F115" s="53" t="s">
        <v>1254</v>
      </c>
      <c r="G115" s="163">
        <v>365000</v>
      </c>
      <c r="H115" s="53" t="s">
        <v>35</v>
      </c>
      <c r="I115" s="37">
        <v>27220</v>
      </c>
      <c r="J115" s="117"/>
      <c r="K115" s="31" t="s">
        <v>1246</v>
      </c>
      <c r="L115" s="31"/>
      <c r="M115" s="31"/>
      <c r="N115" s="31">
        <f t="shared" si="4"/>
        <v>40</v>
      </c>
      <c r="O115" s="31" t="s">
        <v>1247</v>
      </c>
      <c r="P115" s="31"/>
      <c r="Q115" s="31"/>
      <c r="R115" s="31"/>
      <c r="S115" s="31"/>
      <c r="T115" s="31" t="s">
        <v>1249</v>
      </c>
      <c r="U115" s="31"/>
      <c r="V115" s="31" t="str">
        <f t="shared" si="3"/>
        <v>Cước vận chuyển vỏ container 40 từ bãi JJ, Hải Phòng đến Nam Đình Vũ, Hải Phòng</v>
      </c>
      <c r="W115" s="31"/>
    </row>
    <row r="116" spans="1:23" s="29" customFormat="1" ht="18" customHeight="1" x14ac:dyDescent="0.25">
      <c r="A116" s="44">
        <v>107</v>
      </c>
      <c r="B116" s="127">
        <v>46159</v>
      </c>
      <c r="C116" s="53" t="s">
        <v>1358</v>
      </c>
      <c r="D116" s="53">
        <v>40</v>
      </c>
      <c r="E116" s="53" t="s">
        <v>20</v>
      </c>
      <c r="F116" s="53" t="s">
        <v>1254</v>
      </c>
      <c r="G116" s="163">
        <v>365000</v>
      </c>
      <c r="H116" s="53" t="s">
        <v>35</v>
      </c>
      <c r="I116" s="37">
        <v>27220</v>
      </c>
      <c r="J116" s="117"/>
      <c r="K116" s="31" t="s">
        <v>1246</v>
      </c>
      <c r="L116" s="31"/>
      <c r="M116" s="31"/>
      <c r="N116" s="31">
        <f t="shared" si="4"/>
        <v>40</v>
      </c>
      <c r="O116" s="31" t="s">
        <v>1247</v>
      </c>
      <c r="P116" s="31"/>
      <c r="Q116" s="31"/>
      <c r="R116" s="31"/>
      <c r="S116" s="31"/>
      <c r="T116" s="31" t="s">
        <v>1249</v>
      </c>
      <c r="U116" s="31"/>
      <c r="V116" s="31" t="str">
        <f t="shared" si="3"/>
        <v>Cước vận chuyển vỏ container 40 từ bãi JJ, Hải Phòng đến Nam Đình Vũ, Hải Phòng</v>
      </c>
      <c r="W116" s="31"/>
    </row>
    <row r="117" spans="1:23" s="29" customFormat="1" ht="18" customHeight="1" x14ac:dyDescent="0.25">
      <c r="A117" s="44">
        <v>108</v>
      </c>
      <c r="B117" s="127">
        <v>46159</v>
      </c>
      <c r="C117" s="53" t="s">
        <v>1359</v>
      </c>
      <c r="D117" s="53">
        <v>40</v>
      </c>
      <c r="E117" s="53" t="s">
        <v>20</v>
      </c>
      <c r="F117" s="53" t="s">
        <v>1254</v>
      </c>
      <c r="G117" s="163">
        <v>365000</v>
      </c>
      <c r="H117" s="53" t="s">
        <v>35</v>
      </c>
      <c r="I117" s="37">
        <v>27220</v>
      </c>
      <c r="J117" s="117"/>
      <c r="K117" s="31" t="s">
        <v>1246</v>
      </c>
      <c r="L117" s="31"/>
      <c r="M117" s="31"/>
      <c r="N117" s="31">
        <f t="shared" si="4"/>
        <v>40</v>
      </c>
      <c r="O117" s="31" t="s">
        <v>1247</v>
      </c>
      <c r="P117" s="31"/>
      <c r="Q117" s="31"/>
      <c r="R117" s="31"/>
      <c r="S117" s="31"/>
      <c r="T117" s="31" t="s">
        <v>1249</v>
      </c>
      <c r="U117" s="31"/>
      <c r="V117" s="31" t="str">
        <f t="shared" si="3"/>
        <v>Cước vận chuyển vỏ container 40 từ bãi JJ, Hải Phòng đến Nam Đình Vũ, Hải Phòng</v>
      </c>
      <c r="W117" s="31"/>
    </row>
    <row r="118" spans="1:23" s="29" customFormat="1" ht="18" customHeight="1" x14ac:dyDescent="0.25">
      <c r="A118" s="44">
        <v>109</v>
      </c>
      <c r="B118" s="127">
        <v>46159</v>
      </c>
      <c r="C118" s="53" t="s">
        <v>1360</v>
      </c>
      <c r="D118" s="53">
        <v>40</v>
      </c>
      <c r="E118" s="53" t="s">
        <v>20</v>
      </c>
      <c r="F118" s="53" t="s">
        <v>1254</v>
      </c>
      <c r="G118" s="163">
        <v>365000</v>
      </c>
      <c r="H118" s="53" t="s">
        <v>35</v>
      </c>
      <c r="I118" s="37">
        <v>27220</v>
      </c>
      <c r="J118" s="117"/>
      <c r="K118" s="31" t="s">
        <v>1246</v>
      </c>
      <c r="L118" s="31"/>
      <c r="M118" s="31"/>
      <c r="N118" s="31">
        <f t="shared" si="4"/>
        <v>40</v>
      </c>
      <c r="O118" s="31" t="s">
        <v>1247</v>
      </c>
      <c r="P118" s="31"/>
      <c r="Q118" s="31"/>
      <c r="R118" s="31"/>
      <c r="S118" s="31"/>
      <c r="T118" s="31" t="s">
        <v>1249</v>
      </c>
      <c r="U118" s="31"/>
      <c r="V118" s="31" t="str">
        <f t="shared" si="3"/>
        <v>Cước vận chuyển vỏ container 40 từ bãi JJ, Hải Phòng đến Nam Đình Vũ, Hải Phòng</v>
      </c>
      <c r="W118" s="31"/>
    </row>
    <row r="119" spans="1:23" s="29" customFormat="1" ht="18" customHeight="1" x14ac:dyDescent="0.25">
      <c r="A119" s="44">
        <v>110</v>
      </c>
      <c r="B119" s="127">
        <v>46159</v>
      </c>
      <c r="C119" s="53" t="s">
        <v>1361</v>
      </c>
      <c r="D119" s="53">
        <v>40</v>
      </c>
      <c r="E119" s="53" t="s">
        <v>20</v>
      </c>
      <c r="F119" s="53" t="s">
        <v>1254</v>
      </c>
      <c r="G119" s="163">
        <v>365000</v>
      </c>
      <c r="H119" s="53" t="s">
        <v>35</v>
      </c>
      <c r="I119" s="37">
        <v>27220</v>
      </c>
      <c r="J119" s="117"/>
      <c r="K119" s="31" t="s">
        <v>1246</v>
      </c>
      <c r="L119" s="31"/>
      <c r="M119" s="31"/>
      <c r="N119" s="31">
        <f t="shared" si="4"/>
        <v>40</v>
      </c>
      <c r="O119" s="31" t="s">
        <v>1247</v>
      </c>
      <c r="P119" s="31"/>
      <c r="Q119" s="31"/>
      <c r="R119" s="31"/>
      <c r="S119" s="31"/>
      <c r="T119" s="31" t="s">
        <v>1249</v>
      </c>
      <c r="U119" s="31"/>
      <c r="V119" s="31" t="str">
        <f t="shared" si="3"/>
        <v>Cước vận chuyển vỏ container 40 từ bãi JJ, Hải Phòng đến Nam Đình Vũ, Hải Phòng</v>
      </c>
      <c r="W119" s="31"/>
    </row>
    <row r="120" spans="1:23" s="29" customFormat="1" ht="18" customHeight="1" x14ac:dyDescent="0.25">
      <c r="A120" s="44">
        <v>111</v>
      </c>
      <c r="B120" s="127">
        <v>46162</v>
      </c>
      <c r="C120" s="53" t="s">
        <v>1362</v>
      </c>
      <c r="D120" s="53">
        <v>40</v>
      </c>
      <c r="E120" s="53" t="s">
        <v>20</v>
      </c>
      <c r="F120" s="53" t="s">
        <v>1254</v>
      </c>
      <c r="G120" s="163">
        <v>365000</v>
      </c>
      <c r="H120" s="53" t="s">
        <v>28</v>
      </c>
      <c r="I120" s="117">
        <v>27220</v>
      </c>
      <c r="J120" s="117"/>
      <c r="K120" s="31" t="s">
        <v>1246</v>
      </c>
      <c r="L120" s="31"/>
      <c r="M120" s="31"/>
      <c r="N120" s="31">
        <f t="shared" si="4"/>
        <v>40</v>
      </c>
      <c r="O120" s="31" t="s">
        <v>1247</v>
      </c>
      <c r="P120" s="31"/>
      <c r="Q120" s="31"/>
      <c r="R120" s="31"/>
      <c r="S120" s="31"/>
      <c r="T120" s="31" t="s">
        <v>1249</v>
      </c>
      <c r="U120" s="31"/>
      <c r="V120" s="31" t="str">
        <f t="shared" si="3"/>
        <v>Cước vận chuyển vỏ container 40 từ bãi JJ, Hải Phòng đến Nam Đình Vũ, Hải Phòng</v>
      </c>
      <c r="W120" s="31"/>
    </row>
    <row r="121" spans="1:23" s="29" customFormat="1" ht="18" hidden="1" customHeight="1" x14ac:dyDescent="0.25">
      <c r="A121" s="44">
        <v>112</v>
      </c>
      <c r="B121" s="127">
        <v>46162</v>
      </c>
      <c r="C121" s="53" t="s">
        <v>1363</v>
      </c>
      <c r="D121" s="53">
        <v>20</v>
      </c>
      <c r="E121" s="53" t="s">
        <v>20</v>
      </c>
      <c r="F121" s="53" t="s">
        <v>1254</v>
      </c>
      <c r="G121" s="163">
        <v>198000</v>
      </c>
      <c r="H121" s="53" t="s">
        <v>552</v>
      </c>
      <c r="I121" s="117">
        <v>27220</v>
      </c>
      <c r="J121" s="117"/>
      <c r="K121" s="31" t="s">
        <v>1246</v>
      </c>
      <c r="L121" s="31"/>
      <c r="M121" s="31"/>
      <c r="N121" s="31">
        <f t="shared" si="4"/>
        <v>20</v>
      </c>
      <c r="O121" s="31" t="s">
        <v>1247</v>
      </c>
      <c r="P121" s="31"/>
      <c r="Q121" s="31"/>
      <c r="R121" s="31"/>
      <c r="S121" s="31"/>
      <c r="T121" s="31" t="s">
        <v>1249</v>
      </c>
      <c r="U121" s="31"/>
      <c r="V121" s="31" t="str">
        <f t="shared" si="3"/>
        <v>Cước vận chuyển vỏ container 20 từ bãi JJ, Hải Phòng đến Nam Đình Vũ, Hải Phòng</v>
      </c>
      <c r="W121" s="31"/>
    </row>
    <row r="122" spans="1:23" s="29" customFormat="1" ht="18" hidden="1" customHeight="1" x14ac:dyDescent="0.25">
      <c r="A122" s="44">
        <v>113</v>
      </c>
      <c r="B122" s="127">
        <v>46162</v>
      </c>
      <c r="C122" s="53" t="s">
        <v>1364</v>
      </c>
      <c r="D122" s="53">
        <v>20</v>
      </c>
      <c r="E122" s="53" t="s">
        <v>20</v>
      </c>
      <c r="F122" s="53" t="s">
        <v>1254</v>
      </c>
      <c r="G122" s="163">
        <v>198000</v>
      </c>
      <c r="H122" s="53" t="s">
        <v>552</v>
      </c>
      <c r="I122" s="117">
        <v>27220</v>
      </c>
      <c r="J122" s="117"/>
      <c r="K122" s="31" t="s">
        <v>1246</v>
      </c>
      <c r="L122" s="31"/>
      <c r="M122" s="31"/>
      <c r="N122" s="31">
        <f t="shared" si="4"/>
        <v>20</v>
      </c>
      <c r="O122" s="31" t="s">
        <v>1247</v>
      </c>
      <c r="P122" s="31"/>
      <c r="Q122" s="31"/>
      <c r="R122" s="31"/>
      <c r="S122" s="31"/>
      <c r="T122" s="31" t="s">
        <v>1249</v>
      </c>
      <c r="U122" s="31"/>
      <c r="V122" s="31" t="str">
        <f t="shared" si="3"/>
        <v>Cước vận chuyển vỏ container 20 từ bãi JJ, Hải Phòng đến Nam Đình Vũ, Hải Phòng</v>
      </c>
      <c r="W122" s="31"/>
    </row>
    <row r="123" spans="1:23" s="29" customFormat="1" ht="18" customHeight="1" x14ac:dyDescent="0.25">
      <c r="A123" s="44">
        <v>114</v>
      </c>
      <c r="B123" s="127">
        <v>46159</v>
      </c>
      <c r="C123" s="53" t="s">
        <v>1365</v>
      </c>
      <c r="D123" s="53">
        <v>40</v>
      </c>
      <c r="E123" s="53" t="s">
        <v>20</v>
      </c>
      <c r="F123" s="53" t="s">
        <v>1254</v>
      </c>
      <c r="G123" s="163">
        <v>365000</v>
      </c>
      <c r="H123" s="53" t="s">
        <v>29</v>
      </c>
      <c r="I123" s="37">
        <v>27220</v>
      </c>
      <c r="J123" s="117"/>
      <c r="K123" s="31" t="s">
        <v>1246</v>
      </c>
      <c r="L123" s="31"/>
      <c r="M123" s="31"/>
      <c r="N123" s="31">
        <f t="shared" si="4"/>
        <v>40</v>
      </c>
      <c r="O123" s="31" t="s">
        <v>1247</v>
      </c>
      <c r="P123" s="31"/>
      <c r="Q123" s="31"/>
      <c r="R123" s="31"/>
      <c r="S123" s="31"/>
      <c r="T123" s="31" t="s">
        <v>1249</v>
      </c>
      <c r="U123" s="31"/>
      <c r="V123" s="31" t="str">
        <f t="shared" si="3"/>
        <v>Cước vận chuyển vỏ container 40 từ bãi JJ, Hải Phòng đến Nam Đình Vũ, Hải Phòng</v>
      </c>
      <c r="W123" s="31"/>
    </row>
    <row r="124" spans="1:23" s="29" customFormat="1" ht="18" customHeight="1" x14ac:dyDescent="0.25">
      <c r="A124" s="44">
        <v>115</v>
      </c>
      <c r="B124" s="127">
        <v>46159</v>
      </c>
      <c r="C124" s="53" t="s">
        <v>1366</v>
      </c>
      <c r="D124" s="53">
        <v>40</v>
      </c>
      <c r="E124" s="53" t="s">
        <v>20</v>
      </c>
      <c r="F124" s="53" t="s">
        <v>1254</v>
      </c>
      <c r="G124" s="163">
        <v>365000</v>
      </c>
      <c r="H124" s="53" t="s">
        <v>29</v>
      </c>
      <c r="I124" s="37">
        <v>27220</v>
      </c>
      <c r="J124" s="117"/>
      <c r="K124" s="31" t="s">
        <v>1246</v>
      </c>
      <c r="L124" s="31"/>
      <c r="M124" s="31"/>
      <c r="N124" s="31">
        <f t="shared" si="4"/>
        <v>40</v>
      </c>
      <c r="O124" s="31" t="s">
        <v>1247</v>
      </c>
      <c r="P124" s="31"/>
      <c r="Q124" s="31"/>
      <c r="R124" s="31"/>
      <c r="S124" s="31"/>
      <c r="T124" s="31" t="s">
        <v>1249</v>
      </c>
      <c r="U124" s="31"/>
      <c r="V124" s="31" t="str">
        <f t="shared" si="3"/>
        <v>Cước vận chuyển vỏ container 40 từ bãi JJ, Hải Phòng đến Nam Đình Vũ, Hải Phòng</v>
      </c>
      <c r="W124" s="31"/>
    </row>
    <row r="125" spans="1:23" s="29" customFormat="1" ht="18" customHeight="1" x14ac:dyDescent="0.25">
      <c r="A125" s="44">
        <v>116</v>
      </c>
      <c r="B125" s="127">
        <v>46159</v>
      </c>
      <c r="C125" s="53" t="s">
        <v>1367</v>
      </c>
      <c r="D125" s="53">
        <v>40</v>
      </c>
      <c r="E125" s="53" t="s">
        <v>20</v>
      </c>
      <c r="F125" s="53" t="s">
        <v>1254</v>
      </c>
      <c r="G125" s="163">
        <v>365000</v>
      </c>
      <c r="H125" s="53" t="s">
        <v>29</v>
      </c>
      <c r="I125" s="37">
        <v>27220</v>
      </c>
      <c r="J125" s="117"/>
      <c r="K125" s="31" t="s">
        <v>1246</v>
      </c>
      <c r="L125" s="31"/>
      <c r="M125" s="31"/>
      <c r="N125" s="31">
        <f t="shared" si="4"/>
        <v>40</v>
      </c>
      <c r="O125" s="31" t="s">
        <v>1247</v>
      </c>
      <c r="P125" s="31"/>
      <c r="Q125" s="31"/>
      <c r="R125" s="31"/>
      <c r="S125" s="31"/>
      <c r="T125" s="31" t="s">
        <v>1249</v>
      </c>
      <c r="U125" s="31"/>
      <c r="V125" s="31" t="str">
        <f t="shared" si="3"/>
        <v>Cước vận chuyển vỏ container 40 từ bãi JJ, Hải Phòng đến Nam Đình Vũ, Hải Phòng</v>
      </c>
      <c r="W125" s="31"/>
    </row>
    <row r="126" spans="1:23" s="29" customFormat="1" ht="18" customHeight="1" x14ac:dyDescent="0.25">
      <c r="A126" s="44">
        <v>117</v>
      </c>
      <c r="B126" s="127">
        <v>46144</v>
      </c>
      <c r="C126" s="53" t="s">
        <v>1368</v>
      </c>
      <c r="D126" s="53">
        <v>40</v>
      </c>
      <c r="E126" s="53" t="s">
        <v>20</v>
      </c>
      <c r="F126" s="53" t="s">
        <v>1254</v>
      </c>
      <c r="G126" s="163">
        <v>365000</v>
      </c>
      <c r="H126" s="53" t="s">
        <v>23</v>
      </c>
      <c r="I126" s="117">
        <v>28170</v>
      </c>
      <c r="J126" s="117"/>
      <c r="K126" s="31" t="s">
        <v>1246</v>
      </c>
      <c r="L126" s="31"/>
      <c r="M126" s="31"/>
      <c r="N126" s="31">
        <f t="shared" si="4"/>
        <v>40</v>
      </c>
      <c r="O126" s="31" t="s">
        <v>1247</v>
      </c>
      <c r="P126" s="31"/>
      <c r="Q126" s="31"/>
      <c r="R126" s="31"/>
      <c r="S126" s="31"/>
      <c r="T126" s="31" t="s">
        <v>1249</v>
      </c>
      <c r="U126" s="31"/>
      <c r="V126" s="31" t="str">
        <f t="shared" si="3"/>
        <v>Cước vận chuyển vỏ container 40 từ bãi JJ, Hải Phòng đến Nam Đình Vũ, Hải Phòng</v>
      </c>
      <c r="W126" s="31"/>
    </row>
    <row r="127" spans="1:23" s="29" customFormat="1" ht="18" customHeight="1" x14ac:dyDescent="0.25">
      <c r="A127" s="44">
        <v>118</v>
      </c>
      <c r="B127" s="127">
        <v>46144</v>
      </c>
      <c r="C127" s="53" t="s">
        <v>1369</v>
      </c>
      <c r="D127" s="53">
        <v>40</v>
      </c>
      <c r="E127" s="53" t="s">
        <v>20</v>
      </c>
      <c r="F127" s="53" t="s">
        <v>1254</v>
      </c>
      <c r="G127" s="163">
        <v>365000</v>
      </c>
      <c r="H127" s="53" t="s">
        <v>23</v>
      </c>
      <c r="I127" s="117">
        <v>28170</v>
      </c>
      <c r="J127" s="117"/>
      <c r="K127" s="31" t="s">
        <v>1246</v>
      </c>
      <c r="L127" s="31"/>
      <c r="M127" s="31"/>
      <c r="N127" s="31">
        <f t="shared" si="4"/>
        <v>40</v>
      </c>
      <c r="O127" s="31" t="s">
        <v>1247</v>
      </c>
      <c r="P127" s="31"/>
      <c r="Q127" s="31"/>
      <c r="R127" s="31"/>
      <c r="S127" s="31"/>
      <c r="T127" s="31" t="s">
        <v>1249</v>
      </c>
      <c r="U127" s="31"/>
      <c r="V127" s="31" t="str">
        <f t="shared" si="3"/>
        <v>Cước vận chuyển vỏ container 40 từ bãi JJ, Hải Phòng đến Nam Đình Vũ, Hải Phòng</v>
      </c>
      <c r="W127" s="31"/>
    </row>
    <row r="128" spans="1:23" s="29" customFormat="1" ht="18" customHeight="1" x14ac:dyDescent="0.25">
      <c r="A128" s="44">
        <v>119</v>
      </c>
      <c r="B128" s="127">
        <v>46144</v>
      </c>
      <c r="C128" s="53" t="s">
        <v>1370</v>
      </c>
      <c r="D128" s="53">
        <v>40</v>
      </c>
      <c r="E128" s="53" t="s">
        <v>20</v>
      </c>
      <c r="F128" s="53" t="s">
        <v>1254</v>
      </c>
      <c r="G128" s="163">
        <v>365000</v>
      </c>
      <c r="H128" s="53" t="s">
        <v>23</v>
      </c>
      <c r="I128" s="117">
        <v>28170</v>
      </c>
      <c r="J128" s="117"/>
      <c r="K128" s="31" t="s">
        <v>1246</v>
      </c>
      <c r="L128" s="31"/>
      <c r="M128" s="31"/>
      <c r="N128" s="31">
        <f t="shared" si="4"/>
        <v>40</v>
      </c>
      <c r="O128" s="31" t="s">
        <v>1247</v>
      </c>
      <c r="P128" s="31"/>
      <c r="Q128" s="31"/>
      <c r="R128" s="31"/>
      <c r="S128" s="31"/>
      <c r="T128" s="31" t="s">
        <v>1249</v>
      </c>
      <c r="U128" s="31"/>
      <c r="V128" s="31" t="str">
        <f t="shared" si="3"/>
        <v>Cước vận chuyển vỏ container 40 từ bãi JJ, Hải Phòng đến Nam Đình Vũ, Hải Phòng</v>
      </c>
      <c r="W128" s="31"/>
    </row>
    <row r="129" spans="1:23" s="29" customFormat="1" ht="18" customHeight="1" x14ac:dyDescent="0.25">
      <c r="A129" s="44">
        <v>120</v>
      </c>
      <c r="B129" s="127">
        <v>46144</v>
      </c>
      <c r="C129" s="53" t="s">
        <v>1371</v>
      </c>
      <c r="D129" s="53">
        <v>40</v>
      </c>
      <c r="E129" s="53" t="s">
        <v>20</v>
      </c>
      <c r="F129" s="53" t="s">
        <v>1254</v>
      </c>
      <c r="G129" s="163">
        <v>365000</v>
      </c>
      <c r="H129" s="53" t="s">
        <v>23</v>
      </c>
      <c r="I129" s="117">
        <v>28170</v>
      </c>
      <c r="J129" s="117"/>
      <c r="K129" s="31" t="s">
        <v>1246</v>
      </c>
      <c r="L129" s="31"/>
      <c r="M129" s="31"/>
      <c r="N129" s="31">
        <f t="shared" si="4"/>
        <v>40</v>
      </c>
      <c r="O129" s="31" t="s">
        <v>1247</v>
      </c>
      <c r="P129" s="31"/>
      <c r="Q129" s="31"/>
      <c r="R129" s="31"/>
      <c r="S129" s="31"/>
      <c r="T129" s="31" t="s">
        <v>1249</v>
      </c>
      <c r="U129" s="31"/>
      <c r="V129" s="31" t="str">
        <f t="shared" si="3"/>
        <v>Cước vận chuyển vỏ container 40 từ bãi JJ, Hải Phòng đến Nam Đình Vũ, Hải Phòng</v>
      </c>
      <c r="W129" s="31"/>
    </row>
    <row r="130" spans="1:23" s="29" customFormat="1" ht="18" customHeight="1" x14ac:dyDescent="0.25">
      <c r="A130" s="44">
        <v>121</v>
      </c>
      <c r="B130" s="127">
        <v>46144</v>
      </c>
      <c r="C130" s="53" t="s">
        <v>1372</v>
      </c>
      <c r="D130" s="53">
        <v>40</v>
      </c>
      <c r="E130" s="53" t="s">
        <v>20</v>
      </c>
      <c r="F130" s="53" t="s">
        <v>1254</v>
      </c>
      <c r="G130" s="163">
        <v>365000</v>
      </c>
      <c r="H130" s="53" t="s">
        <v>28</v>
      </c>
      <c r="I130" s="117"/>
      <c r="J130" s="117"/>
      <c r="K130" s="31" t="s">
        <v>1246</v>
      </c>
      <c r="L130" s="31"/>
      <c r="M130" s="31"/>
      <c r="N130" s="31">
        <f t="shared" si="4"/>
        <v>40</v>
      </c>
      <c r="O130" s="31" t="s">
        <v>1247</v>
      </c>
      <c r="P130" s="31"/>
      <c r="Q130" s="31"/>
      <c r="R130" s="31"/>
      <c r="S130" s="31"/>
      <c r="T130" s="31" t="s">
        <v>1249</v>
      </c>
      <c r="U130" s="31"/>
      <c r="V130" s="31" t="str">
        <f t="shared" si="3"/>
        <v>Cước vận chuyển vỏ container 40 từ bãi JJ, Hải Phòng đến Nam Đình Vũ, Hải Phòng</v>
      </c>
      <c r="W130" s="31"/>
    </row>
    <row r="131" spans="1:23" s="29" customFormat="1" ht="18" customHeight="1" x14ac:dyDescent="0.25">
      <c r="A131" s="44">
        <v>122</v>
      </c>
      <c r="B131" s="127">
        <v>46162</v>
      </c>
      <c r="C131" s="53" t="s">
        <v>1373</v>
      </c>
      <c r="D131" s="53">
        <v>40</v>
      </c>
      <c r="E131" s="53" t="s">
        <v>20</v>
      </c>
      <c r="F131" s="53" t="s">
        <v>1254</v>
      </c>
      <c r="G131" s="163">
        <v>365000</v>
      </c>
      <c r="H131" s="41" t="s">
        <v>1378</v>
      </c>
      <c r="I131" s="117"/>
      <c r="J131" s="117"/>
      <c r="K131" s="31" t="s">
        <v>1246</v>
      </c>
      <c r="L131" s="31"/>
      <c r="M131" s="31"/>
      <c r="N131" s="31">
        <f t="shared" si="4"/>
        <v>40</v>
      </c>
      <c r="O131" s="31" t="s">
        <v>1247</v>
      </c>
      <c r="P131" s="31"/>
      <c r="Q131" s="31"/>
      <c r="R131" s="31"/>
      <c r="S131" s="31"/>
      <c r="T131" s="31" t="s">
        <v>1249</v>
      </c>
      <c r="U131" s="31"/>
      <c r="V131" s="31" t="str">
        <f t="shared" si="3"/>
        <v>Cước vận chuyển vỏ container 40 từ bãi JJ, Hải Phòng đến Nam Đình Vũ, Hải Phòng</v>
      </c>
      <c r="W131" s="31"/>
    </row>
    <row r="132" spans="1:23" s="29" customFormat="1" ht="18" customHeight="1" x14ac:dyDescent="0.25">
      <c r="A132" s="44">
        <v>123</v>
      </c>
      <c r="B132" s="127">
        <v>46162</v>
      </c>
      <c r="C132" s="53" t="s">
        <v>1374</v>
      </c>
      <c r="D132" s="53">
        <v>40</v>
      </c>
      <c r="E132" s="53" t="s">
        <v>20</v>
      </c>
      <c r="F132" s="53" t="s">
        <v>1254</v>
      </c>
      <c r="G132" s="163">
        <v>365000</v>
      </c>
      <c r="H132" s="41" t="s">
        <v>1378</v>
      </c>
      <c r="I132" s="117"/>
      <c r="J132" s="117"/>
      <c r="K132" s="31" t="s">
        <v>1246</v>
      </c>
      <c r="L132" s="31"/>
      <c r="M132" s="31"/>
      <c r="N132" s="31">
        <f t="shared" si="4"/>
        <v>40</v>
      </c>
      <c r="O132" s="31" t="s">
        <v>1247</v>
      </c>
      <c r="P132" s="31"/>
      <c r="Q132" s="31"/>
      <c r="R132" s="31"/>
      <c r="S132" s="31"/>
      <c r="T132" s="31" t="s">
        <v>1249</v>
      </c>
      <c r="U132" s="31"/>
      <c r="V132" s="31" t="str">
        <f t="shared" si="3"/>
        <v>Cước vận chuyển vỏ container 40 từ bãi JJ, Hải Phòng đến Nam Đình Vũ, Hải Phòng</v>
      </c>
      <c r="W132" s="31"/>
    </row>
    <row r="133" spans="1:23" s="29" customFormat="1" ht="18" customHeight="1" x14ac:dyDescent="0.25">
      <c r="A133" s="44">
        <v>124</v>
      </c>
      <c r="B133" s="127">
        <v>46162</v>
      </c>
      <c r="C133" s="53" t="s">
        <v>1375</v>
      </c>
      <c r="D133" s="53">
        <v>40</v>
      </c>
      <c r="E133" s="53" t="s">
        <v>20</v>
      </c>
      <c r="F133" s="53" t="s">
        <v>1254</v>
      </c>
      <c r="G133" s="163">
        <v>365000</v>
      </c>
      <c r="H133" s="41" t="s">
        <v>1378</v>
      </c>
      <c r="I133" s="117"/>
      <c r="J133" s="117"/>
      <c r="K133" s="31" t="s">
        <v>1246</v>
      </c>
      <c r="L133" s="31"/>
      <c r="M133" s="31"/>
      <c r="N133" s="31">
        <f t="shared" si="4"/>
        <v>40</v>
      </c>
      <c r="O133" s="31" t="s">
        <v>1247</v>
      </c>
      <c r="P133" s="31"/>
      <c r="Q133" s="31"/>
      <c r="R133" s="31"/>
      <c r="S133" s="31"/>
      <c r="T133" s="31" t="s">
        <v>1249</v>
      </c>
      <c r="U133" s="31"/>
      <c r="V133" s="31" t="str">
        <f t="shared" si="3"/>
        <v>Cước vận chuyển vỏ container 40 từ bãi JJ, Hải Phòng đến Nam Đình Vũ, Hải Phòng</v>
      </c>
      <c r="W133" s="31"/>
    </row>
    <row r="134" spans="1:23" s="29" customFormat="1" ht="18" hidden="1" customHeight="1" x14ac:dyDescent="0.25">
      <c r="A134" s="44">
        <v>125</v>
      </c>
      <c r="B134" s="127">
        <v>46162</v>
      </c>
      <c r="C134" s="53" t="s">
        <v>1376</v>
      </c>
      <c r="D134" s="53">
        <v>20</v>
      </c>
      <c r="E134" s="53" t="s">
        <v>20</v>
      </c>
      <c r="F134" s="53" t="s">
        <v>1254</v>
      </c>
      <c r="G134" s="163">
        <v>198000</v>
      </c>
      <c r="H134" s="41" t="s">
        <v>1378</v>
      </c>
      <c r="I134" s="117"/>
      <c r="J134" s="117"/>
      <c r="K134" s="31" t="s">
        <v>1246</v>
      </c>
      <c r="L134" s="31"/>
      <c r="M134" s="31"/>
      <c r="N134" s="31">
        <f t="shared" si="4"/>
        <v>20</v>
      </c>
      <c r="O134" s="31" t="s">
        <v>1247</v>
      </c>
      <c r="P134" s="31"/>
      <c r="Q134" s="31"/>
      <c r="R134" s="31"/>
      <c r="S134" s="31"/>
      <c r="T134" s="31" t="s">
        <v>1249</v>
      </c>
      <c r="U134" s="31"/>
      <c r="V134" s="31" t="str">
        <f t="shared" si="3"/>
        <v>Cước vận chuyển vỏ container 20 từ bãi JJ, Hải Phòng đến Nam Đình Vũ, Hải Phòng</v>
      </c>
      <c r="W134" s="31"/>
    </row>
    <row r="135" spans="1:23" s="29" customFormat="1" ht="18" hidden="1" customHeight="1" x14ac:dyDescent="0.25">
      <c r="A135" s="44">
        <v>126</v>
      </c>
      <c r="B135" s="127">
        <v>46162</v>
      </c>
      <c r="C135" s="53" t="s">
        <v>1377</v>
      </c>
      <c r="D135" s="53">
        <v>20</v>
      </c>
      <c r="E135" s="53" t="s">
        <v>20</v>
      </c>
      <c r="F135" s="53" t="s">
        <v>1254</v>
      </c>
      <c r="G135" s="163">
        <v>198000</v>
      </c>
      <c r="H135" s="41" t="s">
        <v>1378</v>
      </c>
      <c r="I135" s="117"/>
      <c r="J135" s="117"/>
      <c r="K135" s="31" t="s">
        <v>1246</v>
      </c>
      <c r="L135" s="31"/>
      <c r="M135" s="31"/>
      <c r="N135" s="31">
        <f t="shared" si="4"/>
        <v>20</v>
      </c>
      <c r="O135" s="31" t="s">
        <v>1247</v>
      </c>
      <c r="P135" s="31"/>
      <c r="Q135" s="31"/>
      <c r="R135" s="31"/>
      <c r="S135" s="31"/>
      <c r="T135" s="31" t="s">
        <v>1249</v>
      </c>
      <c r="U135" s="31"/>
      <c r="V135" s="31" t="str">
        <f t="shared" si="3"/>
        <v>Cước vận chuyển vỏ container 20 từ bãi JJ, Hải Phòng đến Nam Đình Vũ, Hải Phòng</v>
      </c>
      <c r="W135" s="31"/>
    </row>
    <row r="136" spans="1:23" s="29" customFormat="1" ht="18" customHeight="1" x14ac:dyDescent="0.25">
      <c r="A136" s="44">
        <v>127</v>
      </c>
      <c r="B136" s="54">
        <v>46155</v>
      </c>
      <c r="C136" s="53" t="s">
        <v>1384</v>
      </c>
      <c r="D136" s="116">
        <v>40</v>
      </c>
      <c r="E136" s="53" t="s">
        <v>481</v>
      </c>
      <c r="F136" s="53" t="s">
        <v>1254</v>
      </c>
      <c r="G136" s="163">
        <v>365000</v>
      </c>
      <c r="H136" s="53" t="s">
        <v>26</v>
      </c>
      <c r="I136" s="117"/>
      <c r="J136" s="117"/>
      <c r="K136" s="31" t="s">
        <v>1246</v>
      </c>
      <c r="L136" s="31"/>
      <c r="M136" s="31"/>
      <c r="N136" s="31">
        <f t="shared" si="4"/>
        <v>40</v>
      </c>
      <c r="O136" s="31" t="s">
        <v>1247</v>
      </c>
      <c r="P136" s="31"/>
      <c r="Q136" s="31"/>
      <c r="R136" s="31"/>
      <c r="S136" s="31"/>
      <c r="T136" s="31" t="s">
        <v>1249</v>
      </c>
      <c r="U136" s="31"/>
      <c r="V136" s="31" t="str">
        <f t="shared" si="3"/>
        <v>Cước vận chuyển vỏ container 40 từ bãi JJ, Hải Phòng đến Nam Đình Vũ, Hải Phòng</v>
      </c>
      <c r="W136" s="31"/>
    </row>
    <row r="137" spans="1:23" s="29" customFormat="1" ht="18" customHeight="1" x14ac:dyDescent="0.25">
      <c r="A137" s="44">
        <v>128</v>
      </c>
      <c r="B137" s="54">
        <v>46155</v>
      </c>
      <c r="C137" s="53" t="s">
        <v>1385</v>
      </c>
      <c r="D137" s="116">
        <v>40</v>
      </c>
      <c r="E137" s="53" t="s">
        <v>481</v>
      </c>
      <c r="F137" s="53" t="s">
        <v>1254</v>
      </c>
      <c r="G137" s="163">
        <v>365000</v>
      </c>
      <c r="H137" s="53" t="s">
        <v>26</v>
      </c>
      <c r="I137" s="117"/>
      <c r="J137" s="117"/>
      <c r="K137" s="31" t="s">
        <v>1246</v>
      </c>
      <c r="L137" s="31"/>
      <c r="M137" s="31"/>
      <c r="N137" s="31">
        <f t="shared" si="4"/>
        <v>40</v>
      </c>
      <c r="O137" s="31" t="s">
        <v>1247</v>
      </c>
      <c r="P137" s="31"/>
      <c r="Q137" s="31"/>
      <c r="R137" s="31"/>
      <c r="S137" s="31"/>
      <c r="T137" s="31" t="s">
        <v>1249</v>
      </c>
      <c r="U137" s="31"/>
      <c r="V137" s="31" t="str">
        <f t="shared" si="3"/>
        <v>Cước vận chuyển vỏ container 40 từ bãi JJ, Hải Phòng đến Nam Đình Vũ, Hải Phòng</v>
      </c>
      <c r="W137" s="31"/>
    </row>
    <row r="138" spans="1:23" s="29" customFormat="1" ht="18" customHeight="1" x14ac:dyDescent="0.25">
      <c r="A138" s="44">
        <v>129</v>
      </c>
      <c r="B138" s="54">
        <v>46152</v>
      </c>
      <c r="C138" s="53" t="s">
        <v>1379</v>
      </c>
      <c r="D138" s="53">
        <v>40</v>
      </c>
      <c r="E138" s="53" t="s">
        <v>481</v>
      </c>
      <c r="F138" s="53" t="s">
        <v>1254</v>
      </c>
      <c r="G138" s="163">
        <v>365000</v>
      </c>
      <c r="H138" s="53" t="s">
        <v>1386</v>
      </c>
      <c r="I138" s="117"/>
      <c r="J138" s="117"/>
      <c r="K138" s="31" t="s">
        <v>1246</v>
      </c>
      <c r="L138" s="31"/>
      <c r="M138" s="31"/>
      <c r="N138" s="31">
        <f t="shared" si="4"/>
        <v>40</v>
      </c>
      <c r="O138" s="31" t="s">
        <v>1247</v>
      </c>
      <c r="P138" s="31"/>
      <c r="Q138" s="31"/>
      <c r="R138" s="31"/>
      <c r="S138" s="31"/>
      <c r="T138" s="31" t="s">
        <v>1249</v>
      </c>
      <c r="U138" s="31"/>
      <c r="V138" s="31" t="str">
        <f t="shared" si="3"/>
        <v>Cước vận chuyển vỏ container 40 từ bãi JJ, Hải Phòng đến Nam Đình Vũ, Hải Phòng</v>
      </c>
      <c r="W138" s="31"/>
    </row>
    <row r="139" spans="1:23" s="29" customFormat="1" ht="18" customHeight="1" x14ac:dyDescent="0.25">
      <c r="A139" s="44">
        <v>130</v>
      </c>
      <c r="B139" s="54">
        <v>46152</v>
      </c>
      <c r="C139" s="53" t="s">
        <v>1380</v>
      </c>
      <c r="D139" s="53">
        <v>40</v>
      </c>
      <c r="E139" s="53" t="s">
        <v>481</v>
      </c>
      <c r="F139" s="53" t="s">
        <v>1254</v>
      </c>
      <c r="G139" s="163">
        <v>365000</v>
      </c>
      <c r="H139" s="53" t="s">
        <v>1386</v>
      </c>
      <c r="I139" s="117"/>
      <c r="J139" s="117"/>
      <c r="K139" s="31" t="s">
        <v>1246</v>
      </c>
      <c r="L139" s="31"/>
      <c r="M139" s="31"/>
      <c r="N139" s="31">
        <f t="shared" si="4"/>
        <v>40</v>
      </c>
      <c r="O139" s="31" t="s">
        <v>1247</v>
      </c>
      <c r="P139" s="31"/>
      <c r="Q139" s="31"/>
      <c r="R139" s="31"/>
      <c r="S139" s="31"/>
      <c r="T139" s="31" t="s">
        <v>1249</v>
      </c>
      <c r="U139" s="31"/>
      <c r="V139" s="31" t="str">
        <f t="shared" ref="V139:V199" si="5">K139&amp;" "&amp;N139&amp;""&amp;" "&amp;O139</f>
        <v>Cước vận chuyển vỏ container 40 từ bãi JJ, Hải Phòng đến Nam Đình Vũ, Hải Phòng</v>
      </c>
      <c r="W139" s="31"/>
    </row>
    <row r="140" spans="1:23" s="29" customFormat="1" ht="18" customHeight="1" x14ac:dyDescent="0.25">
      <c r="A140" s="44">
        <v>131</v>
      </c>
      <c r="B140" s="54">
        <v>46152</v>
      </c>
      <c r="C140" s="53" t="s">
        <v>1381</v>
      </c>
      <c r="D140" s="53">
        <v>40</v>
      </c>
      <c r="E140" s="53" t="s">
        <v>481</v>
      </c>
      <c r="F140" s="53" t="s">
        <v>1254</v>
      </c>
      <c r="G140" s="163">
        <v>365000</v>
      </c>
      <c r="H140" s="53" t="s">
        <v>1386</v>
      </c>
      <c r="I140" s="117"/>
      <c r="J140" s="117"/>
      <c r="K140" s="31" t="s">
        <v>1246</v>
      </c>
      <c r="L140" s="31"/>
      <c r="M140" s="31"/>
      <c r="N140" s="31">
        <f>D140</f>
        <v>40</v>
      </c>
      <c r="O140" s="31" t="s">
        <v>1247</v>
      </c>
      <c r="P140" s="31"/>
      <c r="Q140" s="31"/>
      <c r="R140" s="31"/>
      <c r="S140" s="31"/>
      <c r="T140" s="31" t="s">
        <v>1249</v>
      </c>
      <c r="U140" s="31"/>
      <c r="V140" s="31" t="str">
        <f t="shared" si="5"/>
        <v>Cước vận chuyển vỏ container 40 từ bãi JJ, Hải Phòng đến Nam Đình Vũ, Hải Phòng</v>
      </c>
      <c r="W140" s="31"/>
    </row>
    <row r="141" spans="1:23" s="29" customFormat="1" ht="18" customHeight="1" x14ac:dyDescent="0.25">
      <c r="A141" s="44">
        <v>132</v>
      </c>
      <c r="B141" s="54">
        <v>46152</v>
      </c>
      <c r="C141" s="53" t="s">
        <v>1382</v>
      </c>
      <c r="D141" s="53">
        <v>40</v>
      </c>
      <c r="E141" s="53" t="s">
        <v>481</v>
      </c>
      <c r="F141" s="53" t="s">
        <v>1254</v>
      </c>
      <c r="G141" s="163">
        <v>365000</v>
      </c>
      <c r="H141" s="53" t="s">
        <v>1386</v>
      </c>
      <c r="I141" s="117"/>
      <c r="J141" s="117"/>
      <c r="K141" s="31" t="s">
        <v>1246</v>
      </c>
      <c r="L141" s="31"/>
      <c r="M141" s="31"/>
      <c r="N141" s="31">
        <f t="shared" ref="N141:N147" si="6">D141</f>
        <v>40</v>
      </c>
      <c r="O141" s="31" t="s">
        <v>1247</v>
      </c>
      <c r="P141" s="31"/>
      <c r="Q141" s="31"/>
      <c r="R141" s="31"/>
      <c r="S141" s="31"/>
      <c r="T141" s="31" t="s">
        <v>1249</v>
      </c>
      <c r="U141" s="31"/>
      <c r="V141" s="31" t="str">
        <f t="shared" si="5"/>
        <v>Cước vận chuyển vỏ container 40 từ bãi JJ, Hải Phòng đến Nam Đình Vũ, Hải Phòng</v>
      </c>
      <c r="W141" s="31"/>
    </row>
    <row r="142" spans="1:23" s="29" customFormat="1" ht="18" customHeight="1" x14ac:dyDescent="0.25">
      <c r="A142" s="44">
        <v>133</v>
      </c>
      <c r="B142" s="54">
        <v>46152</v>
      </c>
      <c r="C142" s="53" t="s">
        <v>1383</v>
      </c>
      <c r="D142" s="53">
        <v>40</v>
      </c>
      <c r="E142" s="53" t="s">
        <v>481</v>
      </c>
      <c r="F142" s="53" t="s">
        <v>1254</v>
      </c>
      <c r="G142" s="163">
        <v>365000</v>
      </c>
      <c r="H142" s="53" t="s">
        <v>1386</v>
      </c>
      <c r="I142" s="117"/>
      <c r="J142" s="117"/>
      <c r="K142" s="31" t="s">
        <v>1246</v>
      </c>
      <c r="L142" s="31"/>
      <c r="M142" s="31"/>
      <c r="N142" s="31">
        <f t="shared" si="6"/>
        <v>40</v>
      </c>
      <c r="O142" s="31" t="s">
        <v>1247</v>
      </c>
      <c r="P142" s="31"/>
      <c r="Q142" s="31"/>
      <c r="R142" s="31"/>
      <c r="S142" s="31"/>
      <c r="T142" s="31" t="s">
        <v>1249</v>
      </c>
      <c r="U142" s="31"/>
      <c r="V142" s="31" t="str">
        <f t="shared" si="5"/>
        <v>Cước vận chuyển vỏ container 40 từ bãi JJ, Hải Phòng đến Nam Đình Vũ, Hải Phòng</v>
      </c>
      <c r="W142" s="31"/>
    </row>
    <row r="143" spans="1:23" s="29" customFormat="1" ht="18" customHeight="1" x14ac:dyDescent="0.25">
      <c r="A143" s="44">
        <v>134</v>
      </c>
      <c r="B143" s="127">
        <v>46144</v>
      </c>
      <c r="C143" s="53" t="s">
        <v>1387</v>
      </c>
      <c r="D143" s="53">
        <v>40</v>
      </c>
      <c r="E143" s="53" t="s">
        <v>20</v>
      </c>
      <c r="F143" s="53" t="s">
        <v>1254</v>
      </c>
      <c r="G143" s="163">
        <v>365000</v>
      </c>
      <c r="H143" s="53" t="s">
        <v>268</v>
      </c>
      <c r="I143" s="117"/>
      <c r="J143" s="117"/>
      <c r="K143" s="31" t="s">
        <v>1246</v>
      </c>
      <c r="L143" s="31"/>
      <c r="M143" s="31"/>
      <c r="N143" s="31">
        <f t="shared" si="6"/>
        <v>40</v>
      </c>
      <c r="O143" s="31" t="s">
        <v>1247</v>
      </c>
      <c r="P143" s="31"/>
      <c r="Q143" s="31"/>
      <c r="R143" s="31"/>
      <c r="S143" s="31"/>
      <c r="T143" s="31" t="s">
        <v>1249</v>
      </c>
      <c r="U143" s="31"/>
      <c r="V143" s="31" t="str">
        <f t="shared" si="5"/>
        <v>Cước vận chuyển vỏ container 40 từ bãi JJ, Hải Phòng đến Nam Đình Vũ, Hải Phòng</v>
      </c>
      <c r="W143" s="31"/>
    </row>
    <row r="144" spans="1:23" s="29" customFormat="1" ht="18" customHeight="1" x14ac:dyDescent="0.25">
      <c r="A144" s="44">
        <v>135</v>
      </c>
      <c r="B144" s="127">
        <v>46144</v>
      </c>
      <c r="C144" s="53" t="s">
        <v>1388</v>
      </c>
      <c r="D144" s="53">
        <v>40</v>
      </c>
      <c r="E144" s="53" t="s">
        <v>20</v>
      </c>
      <c r="F144" s="53" t="s">
        <v>1254</v>
      </c>
      <c r="G144" s="163">
        <v>365000</v>
      </c>
      <c r="H144" s="53" t="s">
        <v>268</v>
      </c>
      <c r="I144" s="117"/>
      <c r="J144" s="117"/>
      <c r="K144" s="31" t="s">
        <v>1246</v>
      </c>
      <c r="L144" s="31"/>
      <c r="M144" s="31"/>
      <c r="N144" s="31">
        <f t="shared" si="6"/>
        <v>40</v>
      </c>
      <c r="O144" s="31" t="s">
        <v>1247</v>
      </c>
      <c r="P144" s="31"/>
      <c r="Q144" s="31"/>
      <c r="R144" s="31"/>
      <c r="S144" s="31"/>
      <c r="T144" s="31" t="s">
        <v>1249</v>
      </c>
      <c r="U144" s="31"/>
      <c r="V144" s="31" t="str">
        <f t="shared" si="5"/>
        <v>Cước vận chuyển vỏ container 40 từ bãi JJ, Hải Phòng đến Nam Đình Vũ, Hải Phòng</v>
      </c>
      <c r="W144" s="31"/>
    </row>
    <row r="145" spans="1:23" s="29" customFormat="1" ht="18" customHeight="1" x14ac:dyDescent="0.25">
      <c r="A145" s="44">
        <v>136</v>
      </c>
      <c r="B145" s="127">
        <v>46144</v>
      </c>
      <c r="C145" s="53" t="s">
        <v>1389</v>
      </c>
      <c r="D145" s="53">
        <v>40</v>
      </c>
      <c r="E145" s="53" t="s">
        <v>20</v>
      </c>
      <c r="F145" s="53" t="s">
        <v>1254</v>
      </c>
      <c r="G145" s="163">
        <v>365000</v>
      </c>
      <c r="H145" s="53" t="s">
        <v>268</v>
      </c>
      <c r="I145" s="117"/>
      <c r="J145" s="117"/>
      <c r="K145" s="31" t="s">
        <v>1246</v>
      </c>
      <c r="L145" s="31"/>
      <c r="M145" s="31"/>
      <c r="N145" s="31">
        <f t="shared" si="6"/>
        <v>40</v>
      </c>
      <c r="O145" s="31" t="s">
        <v>1247</v>
      </c>
      <c r="P145" s="31"/>
      <c r="Q145" s="31"/>
      <c r="R145" s="31"/>
      <c r="S145" s="31"/>
      <c r="T145" s="31" t="s">
        <v>1249</v>
      </c>
      <c r="U145" s="31"/>
      <c r="V145" s="31" t="str">
        <f t="shared" si="5"/>
        <v>Cước vận chuyển vỏ container 40 từ bãi JJ, Hải Phòng đến Nam Đình Vũ, Hải Phòng</v>
      </c>
      <c r="W145" s="31"/>
    </row>
    <row r="146" spans="1:23" s="29" customFormat="1" ht="18" customHeight="1" x14ac:dyDescent="0.25">
      <c r="A146" s="44">
        <v>137</v>
      </c>
      <c r="B146" s="127">
        <v>46144</v>
      </c>
      <c r="C146" s="53" t="s">
        <v>1390</v>
      </c>
      <c r="D146" s="53">
        <v>40</v>
      </c>
      <c r="E146" s="53" t="s">
        <v>20</v>
      </c>
      <c r="F146" s="53" t="s">
        <v>1254</v>
      </c>
      <c r="G146" s="163">
        <v>365000</v>
      </c>
      <c r="H146" s="53" t="s">
        <v>268</v>
      </c>
      <c r="I146" s="117"/>
      <c r="J146" s="117"/>
      <c r="K146" s="31" t="s">
        <v>1246</v>
      </c>
      <c r="L146" s="31"/>
      <c r="M146" s="31"/>
      <c r="N146" s="31">
        <f t="shared" si="6"/>
        <v>40</v>
      </c>
      <c r="O146" s="31" t="s">
        <v>1247</v>
      </c>
      <c r="P146" s="31"/>
      <c r="Q146" s="31"/>
      <c r="R146" s="31"/>
      <c r="S146" s="31"/>
      <c r="T146" s="31" t="s">
        <v>1249</v>
      </c>
      <c r="U146" s="31"/>
      <c r="V146" s="31" t="str">
        <f t="shared" si="5"/>
        <v>Cước vận chuyển vỏ container 40 từ bãi JJ, Hải Phòng đến Nam Đình Vũ, Hải Phòng</v>
      </c>
      <c r="W146" s="31"/>
    </row>
    <row r="147" spans="1:23" s="29" customFormat="1" ht="18" customHeight="1" x14ac:dyDescent="0.25">
      <c r="A147" s="44">
        <v>138</v>
      </c>
      <c r="B147" s="127">
        <v>46144</v>
      </c>
      <c r="C147" s="53" t="s">
        <v>1391</v>
      </c>
      <c r="D147" s="53">
        <v>40</v>
      </c>
      <c r="E147" s="53" t="s">
        <v>20</v>
      </c>
      <c r="F147" s="53" t="s">
        <v>1254</v>
      </c>
      <c r="G147" s="163">
        <v>365000</v>
      </c>
      <c r="H147" s="53" t="s">
        <v>268</v>
      </c>
      <c r="I147" s="117"/>
      <c r="J147" s="117"/>
      <c r="K147" s="31" t="s">
        <v>1246</v>
      </c>
      <c r="L147" s="31"/>
      <c r="M147" s="31"/>
      <c r="N147" s="31">
        <f t="shared" si="6"/>
        <v>40</v>
      </c>
      <c r="O147" s="31" t="s">
        <v>1247</v>
      </c>
      <c r="P147" s="31"/>
      <c r="Q147" s="31"/>
      <c r="R147" s="31"/>
      <c r="S147" s="31"/>
      <c r="T147" s="31" t="s">
        <v>1249</v>
      </c>
      <c r="U147" s="31"/>
      <c r="V147" s="31" t="str">
        <f t="shared" si="5"/>
        <v>Cước vận chuyển vỏ container 40 từ bãi JJ, Hải Phòng đến Nam Đình Vũ, Hải Phòng</v>
      </c>
      <c r="W147" s="31"/>
    </row>
    <row r="148" spans="1:23" s="29" customFormat="1" ht="18" customHeight="1" x14ac:dyDescent="0.25">
      <c r="A148" s="44">
        <v>139</v>
      </c>
      <c r="B148" s="127">
        <v>46144</v>
      </c>
      <c r="C148" s="53" t="s">
        <v>1392</v>
      </c>
      <c r="D148" s="53">
        <v>40</v>
      </c>
      <c r="E148" s="53" t="s">
        <v>20</v>
      </c>
      <c r="F148" s="53" t="s">
        <v>1254</v>
      </c>
      <c r="G148" s="163">
        <v>365000</v>
      </c>
      <c r="H148" s="53" t="s">
        <v>268</v>
      </c>
      <c r="I148" s="117"/>
      <c r="J148" s="117"/>
      <c r="K148" s="31" t="s">
        <v>1246</v>
      </c>
      <c r="L148" s="31"/>
      <c r="M148" s="31"/>
      <c r="N148" s="31">
        <f>D148</f>
        <v>40</v>
      </c>
      <c r="O148" s="31" t="s">
        <v>1247</v>
      </c>
      <c r="P148" s="31"/>
      <c r="Q148" s="31"/>
      <c r="R148" s="31"/>
      <c r="S148" s="31"/>
      <c r="T148" s="31" t="s">
        <v>1249</v>
      </c>
      <c r="U148" s="31"/>
      <c r="V148" s="31" t="str">
        <f t="shared" si="5"/>
        <v>Cước vận chuyển vỏ container 40 từ bãi JJ, Hải Phòng đến Nam Đình Vũ, Hải Phòng</v>
      </c>
      <c r="W148" s="31"/>
    </row>
    <row r="149" spans="1:23" s="29" customFormat="1" ht="18" customHeight="1" x14ac:dyDescent="0.25">
      <c r="A149" s="44">
        <v>140</v>
      </c>
      <c r="B149" s="127">
        <v>46144</v>
      </c>
      <c r="C149" s="53" t="s">
        <v>1393</v>
      </c>
      <c r="D149" s="53">
        <v>40</v>
      </c>
      <c r="E149" s="53" t="s">
        <v>20</v>
      </c>
      <c r="F149" s="53" t="s">
        <v>1254</v>
      </c>
      <c r="G149" s="163">
        <v>365000</v>
      </c>
      <c r="H149" s="53" t="s">
        <v>268</v>
      </c>
      <c r="I149" s="117"/>
      <c r="J149" s="117"/>
      <c r="K149" s="31" t="s">
        <v>1246</v>
      </c>
      <c r="L149" s="31"/>
      <c r="M149" s="31"/>
      <c r="N149" s="31">
        <f t="shared" ref="N149:N200" si="7">D149</f>
        <v>40</v>
      </c>
      <c r="O149" s="31" t="s">
        <v>1247</v>
      </c>
      <c r="P149" s="31"/>
      <c r="Q149" s="31"/>
      <c r="R149" s="31"/>
      <c r="S149" s="31"/>
      <c r="T149" s="31" t="s">
        <v>1249</v>
      </c>
      <c r="U149" s="31"/>
      <c r="V149" s="31" t="str">
        <f t="shared" si="5"/>
        <v>Cước vận chuyển vỏ container 40 từ bãi JJ, Hải Phòng đến Nam Đình Vũ, Hải Phòng</v>
      </c>
      <c r="W149" s="31"/>
    </row>
    <row r="150" spans="1:23" s="29" customFormat="1" ht="18" customHeight="1" x14ac:dyDescent="0.25">
      <c r="A150" s="44">
        <v>141</v>
      </c>
      <c r="B150" s="48">
        <v>46155</v>
      </c>
      <c r="C150" s="53" t="s">
        <v>1394</v>
      </c>
      <c r="D150" s="121">
        <v>40</v>
      </c>
      <c r="E150" s="53" t="s">
        <v>20</v>
      </c>
      <c r="F150" s="53" t="s">
        <v>1254</v>
      </c>
      <c r="G150" s="163">
        <v>365000</v>
      </c>
      <c r="H150" s="53" t="s">
        <v>28</v>
      </c>
      <c r="I150" s="117"/>
      <c r="J150" s="117"/>
      <c r="K150" s="31" t="s">
        <v>1246</v>
      </c>
      <c r="L150" s="31"/>
      <c r="M150" s="31"/>
      <c r="N150" s="31">
        <f t="shared" si="7"/>
        <v>40</v>
      </c>
      <c r="O150" s="31" t="s">
        <v>1247</v>
      </c>
      <c r="P150" s="31"/>
      <c r="Q150" s="31"/>
      <c r="R150" s="31"/>
      <c r="S150" s="31"/>
      <c r="T150" s="31" t="s">
        <v>1249</v>
      </c>
      <c r="U150" s="31"/>
      <c r="V150" s="31" t="str">
        <f t="shared" si="5"/>
        <v>Cước vận chuyển vỏ container 40 từ bãi JJ, Hải Phòng đến Nam Đình Vũ, Hải Phòng</v>
      </c>
      <c r="W150" s="31"/>
    </row>
    <row r="151" spans="1:23" s="29" customFormat="1" ht="18" hidden="1" customHeight="1" x14ac:dyDescent="0.25">
      <c r="A151" s="44">
        <v>142</v>
      </c>
      <c r="B151" s="48">
        <v>46162</v>
      </c>
      <c r="C151" s="53" t="s">
        <v>1395</v>
      </c>
      <c r="D151" s="90">
        <v>20</v>
      </c>
      <c r="E151" s="53" t="s">
        <v>20</v>
      </c>
      <c r="F151" s="53" t="s">
        <v>1254</v>
      </c>
      <c r="G151" s="163">
        <v>198000</v>
      </c>
      <c r="H151" s="53" t="s">
        <v>30</v>
      </c>
      <c r="I151" s="117"/>
      <c r="J151" s="117"/>
      <c r="K151" s="31" t="s">
        <v>1246</v>
      </c>
      <c r="L151" s="31"/>
      <c r="M151" s="31"/>
      <c r="N151" s="31">
        <f t="shared" si="7"/>
        <v>20</v>
      </c>
      <c r="O151" s="31" t="s">
        <v>1247</v>
      </c>
      <c r="P151" s="31"/>
      <c r="Q151" s="31"/>
      <c r="R151" s="31"/>
      <c r="S151" s="31"/>
      <c r="T151" s="31" t="s">
        <v>1249</v>
      </c>
      <c r="U151" s="31"/>
      <c r="V151" s="31" t="str">
        <f t="shared" si="5"/>
        <v>Cước vận chuyển vỏ container 20 từ bãi JJ, Hải Phòng đến Nam Đình Vũ, Hải Phòng</v>
      </c>
      <c r="W151" s="31"/>
    </row>
    <row r="152" spans="1:23" s="29" customFormat="1" ht="18" hidden="1" customHeight="1" x14ac:dyDescent="0.25">
      <c r="A152" s="44">
        <v>143</v>
      </c>
      <c r="B152" s="48">
        <v>46162</v>
      </c>
      <c r="C152" s="53" t="s">
        <v>1207</v>
      </c>
      <c r="D152" s="90">
        <v>20</v>
      </c>
      <c r="E152" s="53" t="s">
        <v>20</v>
      </c>
      <c r="F152" s="53" t="s">
        <v>1254</v>
      </c>
      <c r="G152" s="163">
        <v>198000</v>
      </c>
      <c r="H152" s="53" t="s">
        <v>30</v>
      </c>
      <c r="I152" s="117"/>
      <c r="J152" s="117"/>
      <c r="K152" s="31" t="s">
        <v>1246</v>
      </c>
      <c r="L152" s="31"/>
      <c r="M152" s="31"/>
      <c r="N152" s="31">
        <f t="shared" si="7"/>
        <v>20</v>
      </c>
      <c r="O152" s="31" t="s">
        <v>1247</v>
      </c>
      <c r="P152" s="31"/>
      <c r="Q152" s="31"/>
      <c r="R152" s="31"/>
      <c r="S152" s="31"/>
      <c r="T152" s="31" t="s">
        <v>1249</v>
      </c>
      <c r="U152" s="31"/>
      <c r="V152" s="31" t="str">
        <f t="shared" si="5"/>
        <v>Cước vận chuyển vỏ container 20 từ bãi JJ, Hải Phòng đến Nam Đình Vũ, Hải Phòng</v>
      </c>
      <c r="W152" s="31"/>
    </row>
    <row r="153" spans="1:23" s="29" customFormat="1" ht="18" hidden="1" customHeight="1" x14ac:dyDescent="0.25">
      <c r="A153" s="44">
        <v>144</v>
      </c>
      <c r="B153" s="127">
        <v>46162</v>
      </c>
      <c r="C153" s="53" t="s">
        <v>1396</v>
      </c>
      <c r="D153" s="90">
        <v>20</v>
      </c>
      <c r="E153" s="53" t="s">
        <v>20</v>
      </c>
      <c r="F153" s="53" t="s">
        <v>1254</v>
      </c>
      <c r="G153" s="163">
        <v>198000</v>
      </c>
      <c r="H153" s="53" t="s">
        <v>30</v>
      </c>
      <c r="I153" s="117"/>
      <c r="J153" s="117"/>
      <c r="K153" s="31" t="s">
        <v>1246</v>
      </c>
      <c r="L153" s="31"/>
      <c r="M153" s="31"/>
      <c r="N153" s="31">
        <f t="shared" si="7"/>
        <v>20</v>
      </c>
      <c r="O153" s="31" t="s">
        <v>1247</v>
      </c>
      <c r="P153" s="31"/>
      <c r="Q153" s="31"/>
      <c r="R153" s="31"/>
      <c r="S153" s="31"/>
      <c r="T153" s="31" t="s">
        <v>1249</v>
      </c>
      <c r="U153" s="31"/>
      <c r="V153" s="31" t="str">
        <f t="shared" si="5"/>
        <v>Cước vận chuyển vỏ container 20 từ bãi JJ, Hải Phòng đến Nam Đình Vũ, Hải Phòng</v>
      </c>
      <c r="W153" s="31"/>
    </row>
    <row r="154" spans="1:23" s="29" customFormat="1" ht="18" hidden="1" customHeight="1" x14ac:dyDescent="0.25">
      <c r="A154" s="44">
        <v>145</v>
      </c>
      <c r="B154" s="127">
        <v>46162</v>
      </c>
      <c r="C154" s="53" t="s">
        <v>1397</v>
      </c>
      <c r="D154" s="90">
        <v>20</v>
      </c>
      <c r="E154" s="53" t="s">
        <v>20</v>
      </c>
      <c r="F154" s="53" t="s">
        <v>1254</v>
      </c>
      <c r="G154" s="163">
        <v>198000</v>
      </c>
      <c r="H154" s="53" t="s">
        <v>30</v>
      </c>
      <c r="I154" s="117"/>
      <c r="J154" s="117"/>
      <c r="K154" s="31" t="s">
        <v>1246</v>
      </c>
      <c r="L154" s="31"/>
      <c r="M154" s="31"/>
      <c r="N154" s="31">
        <f t="shared" si="7"/>
        <v>20</v>
      </c>
      <c r="O154" s="31" t="s">
        <v>1247</v>
      </c>
      <c r="P154" s="31"/>
      <c r="Q154" s="31"/>
      <c r="R154" s="31"/>
      <c r="S154" s="31"/>
      <c r="T154" s="31" t="s">
        <v>1249</v>
      </c>
      <c r="U154" s="31"/>
      <c r="V154" s="31" t="str">
        <f t="shared" si="5"/>
        <v>Cước vận chuyển vỏ container 20 từ bãi JJ, Hải Phòng đến Nam Đình Vũ, Hải Phòng</v>
      </c>
      <c r="W154" s="31"/>
    </row>
    <row r="155" spans="1:23" s="29" customFormat="1" ht="18" customHeight="1" x14ac:dyDescent="0.25">
      <c r="A155" s="44">
        <v>146</v>
      </c>
      <c r="B155" s="48">
        <v>46144</v>
      </c>
      <c r="C155" s="53" t="s">
        <v>1398</v>
      </c>
      <c r="D155" s="116">
        <v>40</v>
      </c>
      <c r="E155" s="53" t="s">
        <v>20</v>
      </c>
      <c r="F155" s="53" t="s">
        <v>1254</v>
      </c>
      <c r="G155" s="163">
        <v>365000</v>
      </c>
      <c r="H155" s="53" t="s">
        <v>26</v>
      </c>
      <c r="I155" s="117"/>
      <c r="J155" s="117"/>
      <c r="K155" s="31" t="s">
        <v>1246</v>
      </c>
      <c r="L155" s="31"/>
      <c r="M155" s="31"/>
      <c r="N155" s="31">
        <f t="shared" si="7"/>
        <v>40</v>
      </c>
      <c r="O155" s="31" t="s">
        <v>1247</v>
      </c>
      <c r="P155" s="31"/>
      <c r="Q155" s="31"/>
      <c r="R155" s="31"/>
      <c r="S155" s="31"/>
      <c r="T155" s="31" t="s">
        <v>1249</v>
      </c>
      <c r="U155" s="31"/>
      <c r="V155" s="31" t="str">
        <f t="shared" si="5"/>
        <v>Cước vận chuyển vỏ container 40 từ bãi JJ, Hải Phòng đến Nam Đình Vũ, Hải Phòng</v>
      </c>
      <c r="W155" s="31"/>
    </row>
    <row r="156" spans="1:23" s="29" customFormat="1" ht="18" customHeight="1" x14ac:dyDescent="0.25">
      <c r="A156" s="44">
        <v>147</v>
      </c>
      <c r="B156" s="48">
        <v>46144</v>
      </c>
      <c r="C156" s="53" t="s">
        <v>1399</v>
      </c>
      <c r="D156" s="116">
        <v>40</v>
      </c>
      <c r="E156" s="53" t="s">
        <v>20</v>
      </c>
      <c r="F156" s="53" t="s">
        <v>1254</v>
      </c>
      <c r="G156" s="163">
        <v>365000</v>
      </c>
      <c r="H156" s="53" t="s">
        <v>26</v>
      </c>
      <c r="I156" s="117"/>
      <c r="J156" s="117"/>
      <c r="K156" s="31" t="s">
        <v>1246</v>
      </c>
      <c r="L156" s="31"/>
      <c r="M156" s="31"/>
      <c r="N156" s="31">
        <f t="shared" si="7"/>
        <v>40</v>
      </c>
      <c r="O156" s="31" t="s">
        <v>1247</v>
      </c>
      <c r="P156" s="31"/>
      <c r="Q156" s="31"/>
      <c r="R156" s="31"/>
      <c r="S156" s="31"/>
      <c r="T156" s="31" t="s">
        <v>1249</v>
      </c>
      <c r="U156" s="31"/>
      <c r="V156" s="31" t="str">
        <f t="shared" si="5"/>
        <v>Cước vận chuyển vỏ container 40 từ bãi JJ, Hải Phòng đến Nam Đình Vũ, Hải Phòng</v>
      </c>
      <c r="W156" s="31"/>
    </row>
    <row r="157" spans="1:23" s="29" customFormat="1" ht="18" customHeight="1" x14ac:dyDescent="0.25">
      <c r="A157" s="44">
        <v>148</v>
      </c>
      <c r="B157" s="54">
        <v>46144</v>
      </c>
      <c r="C157" s="53" t="s">
        <v>1400</v>
      </c>
      <c r="D157" s="116">
        <v>40</v>
      </c>
      <c r="E157" s="53" t="s">
        <v>20</v>
      </c>
      <c r="F157" s="53" t="s">
        <v>1254</v>
      </c>
      <c r="G157" s="163">
        <v>365000</v>
      </c>
      <c r="H157" s="53" t="s">
        <v>26</v>
      </c>
      <c r="I157" s="117"/>
      <c r="J157" s="117"/>
      <c r="K157" s="31" t="s">
        <v>1246</v>
      </c>
      <c r="L157" s="31"/>
      <c r="M157" s="31"/>
      <c r="N157" s="31">
        <f t="shared" si="7"/>
        <v>40</v>
      </c>
      <c r="O157" s="31" t="s">
        <v>1247</v>
      </c>
      <c r="P157" s="31"/>
      <c r="Q157" s="31"/>
      <c r="R157" s="31"/>
      <c r="S157" s="31"/>
      <c r="T157" s="31" t="s">
        <v>1249</v>
      </c>
      <c r="U157" s="31"/>
      <c r="V157" s="31" t="str">
        <f t="shared" si="5"/>
        <v>Cước vận chuyển vỏ container 40 từ bãi JJ, Hải Phòng đến Nam Đình Vũ, Hải Phòng</v>
      </c>
      <c r="W157" s="31"/>
    </row>
    <row r="158" spans="1:23" s="29" customFormat="1" ht="18" customHeight="1" x14ac:dyDescent="0.25">
      <c r="A158" s="44">
        <v>149</v>
      </c>
      <c r="B158" s="54">
        <v>46144</v>
      </c>
      <c r="C158" s="53" t="s">
        <v>1401</v>
      </c>
      <c r="D158" s="116">
        <v>40</v>
      </c>
      <c r="E158" s="53" t="s">
        <v>20</v>
      </c>
      <c r="F158" s="53" t="s">
        <v>1254</v>
      </c>
      <c r="G158" s="163">
        <v>365000</v>
      </c>
      <c r="H158" s="53" t="s">
        <v>26</v>
      </c>
      <c r="I158" s="117"/>
      <c r="J158" s="117"/>
      <c r="K158" s="31" t="s">
        <v>1246</v>
      </c>
      <c r="L158" s="31"/>
      <c r="M158" s="31"/>
      <c r="N158" s="31">
        <f t="shared" si="7"/>
        <v>40</v>
      </c>
      <c r="O158" s="31" t="s">
        <v>1247</v>
      </c>
      <c r="P158" s="31"/>
      <c r="Q158" s="31"/>
      <c r="R158" s="31"/>
      <c r="S158" s="31"/>
      <c r="T158" s="31" t="s">
        <v>1249</v>
      </c>
      <c r="U158" s="31"/>
      <c r="V158" s="31" t="str">
        <f t="shared" si="5"/>
        <v>Cước vận chuyển vỏ container 40 từ bãi JJ, Hải Phòng đến Nam Đình Vũ, Hải Phòng</v>
      </c>
      <c r="W158" s="31"/>
    </row>
    <row r="159" spans="1:23" s="29" customFormat="1" ht="18" customHeight="1" x14ac:dyDescent="0.25">
      <c r="A159" s="44">
        <v>150</v>
      </c>
      <c r="B159" s="54">
        <v>46144</v>
      </c>
      <c r="C159" s="53" t="s">
        <v>1402</v>
      </c>
      <c r="D159" s="116">
        <v>40</v>
      </c>
      <c r="E159" s="53" t="s">
        <v>20</v>
      </c>
      <c r="F159" s="53" t="s">
        <v>1254</v>
      </c>
      <c r="G159" s="163">
        <v>365000</v>
      </c>
      <c r="H159" s="53" t="s">
        <v>26</v>
      </c>
      <c r="I159" s="117"/>
      <c r="J159" s="117"/>
      <c r="K159" s="31" t="s">
        <v>1246</v>
      </c>
      <c r="L159" s="31"/>
      <c r="M159" s="31"/>
      <c r="N159" s="31">
        <f t="shared" si="7"/>
        <v>40</v>
      </c>
      <c r="O159" s="31" t="s">
        <v>1247</v>
      </c>
      <c r="P159" s="31"/>
      <c r="Q159" s="31"/>
      <c r="R159" s="31"/>
      <c r="S159" s="31"/>
      <c r="T159" s="31" t="s">
        <v>1249</v>
      </c>
      <c r="U159" s="31"/>
      <c r="V159" s="31" t="str">
        <f t="shared" si="5"/>
        <v>Cước vận chuyển vỏ container 40 từ bãi JJ, Hải Phòng đến Nam Đình Vũ, Hải Phòng</v>
      </c>
      <c r="W159" s="31"/>
    </row>
    <row r="160" spans="1:23" s="29" customFormat="1" ht="18" customHeight="1" x14ac:dyDescent="0.25">
      <c r="A160" s="44">
        <v>151</v>
      </c>
      <c r="B160" s="54">
        <v>46152</v>
      </c>
      <c r="C160" s="53" t="s">
        <v>1403</v>
      </c>
      <c r="D160" s="116">
        <v>40</v>
      </c>
      <c r="E160" s="53" t="s">
        <v>20</v>
      </c>
      <c r="F160" s="53" t="s">
        <v>1254</v>
      </c>
      <c r="G160" s="163">
        <v>365000</v>
      </c>
      <c r="H160" s="53" t="s">
        <v>26</v>
      </c>
      <c r="I160" s="117"/>
      <c r="J160" s="117"/>
      <c r="K160" s="31" t="s">
        <v>1246</v>
      </c>
      <c r="L160" s="31"/>
      <c r="M160" s="31"/>
      <c r="N160" s="31">
        <f t="shared" si="7"/>
        <v>40</v>
      </c>
      <c r="O160" s="31" t="s">
        <v>1247</v>
      </c>
      <c r="P160" s="31"/>
      <c r="Q160" s="31"/>
      <c r="R160" s="31"/>
      <c r="S160" s="31"/>
      <c r="T160" s="31" t="s">
        <v>1249</v>
      </c>
      <c r="U160" s="31"/>
      <c r="V160" s="31" t="str">
        <f t="shared" si="5"/>
        <v>Cước vận chuyển vỏ container 40 từ bãi JJ, Hải Phòng đến Nam Đình Vũ, Hải Phòng</v>
      </c>
      <c r="W160" s="31"/>
    </row>
    <row r="161" spans="1:23" s="29" customFormat="1" ht="18" customHeight="1" x14ac:dyDescent="0.25">
      <c r="A161" s="44">
        <v>152</v>
      </c>
      <c r="B161" s="54">
        <v>46152</v>
      </c>
      <c r="C161" s="53" t="s">
        <v>1404</v>
      </c>
      <c r="D161" s="116">
        <v>40</v>
      </c>
      <c r="E161" s="53" t="s">
        <v>20</v>
      </c>
      <c r="F161" s="53" t="s">
        <v>1254</v>
      </c>
      <c r="G161" s="163">
        <v>365000</v>
      </c>
      <c r="H161" s="53" t="s">
        <v>26</v>
      </c>
      <c r="I161" s="117"/>
      <c r="J161" s="117"/>
      <c r="K161" s="31" t="s">
        <v>1246</v>
      </c>
      <c r="L161" s="31"/>
      <c r="M161" s="31"/>
      <c r="N161" s="31">
        <f t="shared" si="7"/>
        <v>40</v>
      </c>
      <c r="O161" s="31" t="s">
        <v>1247</v>
      </c>
      <c r="P161" s="31"/>
      <c r="Q161" s="31"/>
      <c r="R161" s="31"/>
      <c r="S161" s="31"/>
      <c r="T161" s="31" t="s">
        <v>1249</v>
      </c>
      <c r="U161" s="31"/>
      <c r="V161" s="31" t="str">
        <f t="shared" si="5"/>
        <v>Cước vận chuyển vỏ container 40 từ bãi JJ, Hải Phòng đến Nam Đình Vũ, Hải Phòng</v>
      </c>
      <c r="W161" s="31"/>
    </row>
    <row r="162" spans="1:23" s="29" customFormat="1" ht="18" hidden="1" customHeight="1" x14ac:dyDescent="0.25">
      <c r="A162" s="44">
        <v>153</v>
      </c>
      <c r="B162" s="127">
        <v>46162</v>
      </c>
      <c r="C162" s="53" t="s">
        <v>1405</v>
      </c>
      <c r="D162" s="116">
        <v>20</v>
      </c>
      <c r="E162" s="53" t="s">
        <v>20</v>
      </c>
      <c r="F162" s="53" t="s">
        <v>1254</v>
      </c>
      <c r="G162" s="163">
        <v>198000</v>
      </c>
      <c r="H162" s="53" t="s">
        <v>26</v>
      </c>
      <c r="I162" s="117"/>
      <c r="J162" s="117"/>
      <c r="K162" s="31" t="s">
        <v>1246</v>
      </c>
      <c r="L162" s="31"/>
      <c r="M162" s="31"/>
      <c r="N162" s="31">
        <f t="shared" si="7"/>
        <v>20</v>
      </c>
      <c r="O162" s="31" t="s">
        <v>1247</v>
      </c>
      <c r="P162" s="31"/>
      <c r="Q162" s="31"/>
      <c r="R162" s="31"/>
      <c r="S162" s="31"/>
      <c r="T162" s="31" t="s">
        <v>1249</v>
      </c>
      <c r="U162" s="31"/>
      <c r="V162" s="31" t="str">
        <f t="shared" si="5"/>
        <v>Cước vận chuyển vỏ container 20 từ bãi JJ, Hải Phòng đến Nam Đình Vũ, Hải Phòng</v>
      </c>
      <c r="W162" s="31"/>
    </row>
    <row r="163" spans="1:23" s="29" customFormat="1" ht="18" hidden="1" customHeight="1" x14ac:dyDescent="0.25">
      <c r="A163" s="44">
        <v>154</v>
      </c>
      <c r="B163" s="127">
        <v>46162</v>
      </c>
      <c r="C163" s="53" t="s">
        <v>1406</v>
      </c>
      <c r="D163" s="116">
        <v>20</v>
      </c>
      <c r="E163" s="53" t="s">
        <v>20</v>
      </c>
      <c r="F163" s="53" t="s">
        <v>1254</v>
      </c>
      <c r="G163" s="163">
        <v>198000</v>
      </c>
      <c r="H163" s="53" t="s">
        <v>26</v>
      </c>
      <c r="I163" s="117"/>
      <c r="J163" s="117"/>
      <c r="K163" s="31" t="s">
        <v>1246</v>
      </c>
      <c r="L163" s="31"/>
      <c r="M163" s="31"/>
      <c r="N163" s="31">
        <f t="shared" si="7"/>
        <v>20</v>
      </c>
      <c r="O163" s="31" t="s">
        <v>1247</v>
      </c>
      <c r="P163" s="31"/>
      <c r="Q163" s="31"/>
      <c r="R163" s="31"/>
      <c r="S163" s="31"/>
      <c r="T163" s="31" t="s">
        <v>1249</v>
      </c>
      <c r="U163" s="31"/>
      <c r="V163" s="31" t="str">
        <f t="shared" si="5"/>
        <v>Cước vận chuyển vỏ container 20 từ bãi JJ, Hải Phòng đến Nam Đình Vũ, Hải Phòng</v>
      </c>
      <c r="W163" s="31"/>
    </row>
    <row r="164" spans="1:23" s="29" customFormat="1" ht="18" customHeight="1" x14ac:dyDescent="0.3">
      <c r="A164" s="44">
        <v>155</v>
      </c>
      <c r="B164" s="54">
        <v>46152</v>
      </c>
      <c r="C164" s="53" t="s">
        <v>1407</v>
      </c>
      <c r="D164" s="206">
        <v>40</v>
      </c>
      <c r="E164" s="53" t="s">
        <v>20</v>
      </c>
      <c r="F164" s="53" t="s">
        <v>1254</v>
      </c>
      <c r="G164" s="163">
        <v>365000</v>
      </c>
      <c r="H164" s="53" t="s">
        <v>1422</v>
      </c>
      <c r="I164" s="117"/>
      <c r="J164" s="117"/>
      <c r="K164" s="31" t="s">
        <v>1246</v>
      </c>
      <c r="L164" s="31"/>
      <c r="M164" s="31"/>
      <c r="N164" s="31">
        <f t="shared" si="7"/>
        <v>40</v>
      </c>
      <c r="O164" s="31" t="s">
        <v>1247</v>
      </c>
      <c r="P164" s="31"/>
      <c r="Q164" s="31"/>
      <c r="R164" s="31"/>
      <c r="S164" s="31"/>
      <c r="T164" s="31" t="s">
        <v>1249</v>
      </c>
      <c r="U164" s="31"/>
      <c r="V164" s="31" t="str">
        <f t="shared" si="5"/>
        <v>Cước vận chuyển vỏ container 40 từ bãi JJ, Hải Phòng đến Nam Đình Vũ, Hải Phòng</v>
      </c>
      <c r="W164" s="31"/>
    </row>
    <row r="165" spans="1:23" s="29" customFormat="1" ht="18" customHeight="1" x14ac:dyDescent="0.3">
      <c r="A165" s="44">
        <v>156</v>
      </c>
      <c r="B165" s="54">
        <v>46152</v>
      </c>
      <c r="C165" s="53" t="s">
        <v>1408</v>
      </c>
      <c r="D165" s="206">
        <v>40</v>
      </c>
      <c r="E165" s="53" t="s">
        <v>20</v>
      </c>
      <c r="F165" s="53" t="s">
        <v>1254</v>
      </c>
      <c r="G165" s="163">
        <v>365000</v>
      </c>
      <c r="H165" s="53" t="s">
        <v>1422</v>
      </c>
      <c r="I165" s="117"/>
      <c r="J165" s="117"/>
      <c r="K165" s="31" t="s">
        <v>1246</v>
      </c>
      <c r="L165" s="31"/>
      <c r="M165" s="31"/>
      <c r="N165" s="31">
        <f t="shared" si="7"/>
        <v>40</v>
      </c>
      <c r="O165" s="31" t="s">
        <v>1247</v>
      </c>
      <c r="P165" s="31"/>
      <c r="Q165" s="31"/>
      <c r="R165" s="31"/>
      <c r="S165" s="31"/>
      <c r="T165" s="31" t="s">
        <v>1249</v>
      </c>
      <c r="U165" s="31"/>
      <c r="V165" s="31" t="str">
        <f t="shared" si="5"/>
        <v>Cước vận chuyển vỏ container 40 từ bãi JJ, Hải Phòng đến Nam Đình Vũ, Hải Phòng</v>
      </c>
      <c r="W165" s="31"/>
    </row>
    <row r="166" spans="1:23" s="29" customFormat="1" ht="18" customHeight="1" x14ac:dyDescent="0.3">
      <c r="A166" s="44">
        <v>157</v>
      </c>
      <c r="B166" s="54">
        <v>46152</v>
      </c>
      <c r="C166" s="53" t="s">
        <v>1409</v>
      </c>
      <c r="D166" s="206">
        <v>40</v>
      </c>
      <c r="E166" s="53" t="s">
        <v>20</v>
      </c>
      <c r="F166" s="53" t="s">
        <v>1254</v>
      </c>
      <c r="G166" s="163">
        <v>365000</v>
      </c>
      <c r="H166" s="53" t="s">
        <v>1422</v>
      </c>
      <c r="I166" s="117"/>
      <c r="J166" s="117"/>
      <c r="K166" s="31" t="s">
        <v>1246</v>
      </c>
      <c r="L166" s="31"/>
      <c r="M166" s="31"/>
      <c r="N166" s="31">
        <f t="shared" si="7"/>
        <v>40</v>
      </c>
      <c r="O166" s="31" t="s">
        <v>1247</v>
      </c>
      <c r="P166" s="31"/>
      <c r="Q166" s="31"/>
      <c r="R166" s="31"/>
      <c r="S166" s="31"/>
      <c r="T166" s="31" t="s">
        <v>1249</v>
      </c>
      <c r="U166" s="31"/>
      <c r="V166" s="31" t="str">
        <f t="shared" si="5"/>
        <v>Cước vận chuyển vỏ container 40 từ bãi JJ, Hải Phòng đến Nam Đình Vũ, Hải Phòng</v>
      </c>
      <c r="W166" s="31"/>
    </row>
    <row r="167" spans="1:23" s="29" customFormat="1" ht="18" customHeight="1" x14ac:dyDescent="0.3">
      <c r="A167" s="44">
        <v>158</v>
      </c>
      <c r="B167" s="54">
        <v>46152</v>
      </c>
      <c r="C167" s="53" t="s">
        <v>1410</v>
      </c>
      <c r="D167" s="206">
        <v>40</v>
      </c>
      <c r="E167" s="53" t="s">
        <v>20</v>
      </c>
      <c r="F167" s="53" t="s">
        <v>1254</v>
      </c>
      <c r="G167" s="163">
        <v>365000</v>
      </c>
      <c r="H167" s="53" t="s">
        <v>1422</v>
      </c>
      <c r="I167" s="117"/>
      <c r="J167" s="117"/>
      <c r="K167" s="31" t="s">
        <v>1246</v>
      </c>
      <c r="L167" s="31"/>
      <c r="M167" s="31"/>
      <c r="N167" s="31">
        <f t="shared" si="7"/>
        <v>40</v>
      </c>
      <c r="O167" s="31" t="s">
        <v>1247</v>
      </c>
      <c r="P167" s="31"/>
      <c r="Q167" s="31"/>
      <c r="R167" s="31"/>
      <c r="S167" s="31"/>
      <c r="T167" s="31" t="s">
        <v>1249</v>
      </c>
      <c r="U167" s="31"/>
      <c r="V167" s="31" t="str">
        <f t="shared" si="5"/>
        <v>Cước vận chuyển vỏ container 40 từ bãi JJ, Hải Phòng đến Nam Đình Vũ, Hải Phòng</v>
      </c>
      <c r="W167" s="31"/>
    </row>
    <row r="168" spans="1:23" s="29" customFormat="1" ht="18" customHeight="1" x14ac:dyDescent="0.3">
      <c r="A168" s="44">
        <v>159</v>
      </c>
      <c r="B168" s="54">
        <v>46152</v>
      </c>
      <c r="C168" s="53" t="s">
        <v>1411</v>
      </c>
      <c r="D168" s="206">
        <v>40</v>
      </c>
      <c r="E168" s="53" t="s">
        <v>20</v>
      </c>
      <c r="F168" s="53" t="s">
        <v>1254</v>
      </c>
      <c r="G168" s="163">
        <v>365000</v>
      </c>
      <c r="H168" s="53" t="s">
        <v>1422</v>
      </c>
      <c r="I168" s="117"/>
      <c r="J168" s="117"/>
      <c r="K168" s="31" t="s">
        <v>1246</v>
      </c>
      <c r="L168" s="31"/>
      <c r="M168" s="31"/>
      <c r="N168" s="31">
        <f t="shared" si="7"/>
        <v>40</v>
      </c>
      <c r="O168" s="31" t="s">
        <v>1247</v>
      </c>
      <c r="P168" s="31"/>
      <c r="Q168" s="31"/>
      <c r="R168" s="31"/>
      <c r="S168" s="31"/>
      <c r="T168" s="31" t="s">
        <v>1249</v>
      </c>
      <c r="U168" s="31"/>
      <c r="V168" s="31" t="str">
        <f t="shared" si="5"/>
        <v>Cước vận chuyển vỏ container 40 từ bãi JJ, Hải Phòng đến Nam Đình Vũ, Hải Phòng</v>
      </c>
      <c r="W168" s="31"/>
    </row>
    <row r="169" spans="1:23" s="29" customFormat="1" ht="18" hidden="1" customHeight="1" x14ac:dyDescent="0.3">
      <c r="A169" s="44">
        <v>160</v>
      </c>
      <c r="B169" s="127">
        <v>46162</v>
      </c>
      <c r="C169" s="53" t="s">
        <v>1412</v>
      </c>
      <c r="D169" s="206">
        <v>20</v>
      </c>
      <c r="E169" s="53" t="s">
        <v>20</v>
      </c>
      <c r="F169" s="53" t="s">
        <v>1254</v>
      </c>
      <c r="G169" s="163">
        <v>198000</v>
      </c>
      <c r="H169" s="53" t="s">
        <v>36</v>
      </c>
      <c r="I169" s="117"/>
      <c r="J169" s="117"/>
      <c r="K169" s="31" t="s">
        <v>1246</v>
      </c>
      <c r="L169" s="31"/>
      <c r="M169" s="31"/>
      <c r="N169" s="31">
        <f t="shared" si="7"/>
        <v>20</v>
      </c>
      <c r="O169" s="31" t="s">
        <v>1247</v>
      </c>
      <c r="P169" s="31"/>
      <c r="Q169" s="31"/>
      <c r="R169" s="31"/>
      <c r="S169" s="31"/>
      <c r="T169" s="31" t="s">
        <v>1249</v>
      </c>
      <c r="U169" s="31"/>
      <c r="V169" s="31" t="str">
        <f t="shared" si="5"/>
        <v>Cước vận chuyển vỏ container 20 từ bãi JJ, Hải Phòng đến Nam Đình Vũ, Hải Phòng</v>
      </c>
      <c r="W169" s="31"/>
    </row>
    <row r="170" spans="1:23" s="29" customFormat="1" ht="18" hidden="1" customHeight="1" x14ac:dyDescent="0.3">
      <c r="A170" s="44">
        <v>161</v>
      </c>
      <c r="B170" s="127">
        <v>46162</v>
      </c>
      <c r="C170" s="53" t="s">
        <v>1413</v>
      </c>
      <c r="D170" s="206">
        <v>20</v>
      </c>
      <c r="E170" s="53" t="s">
        <v>20</v>
      </c>
      <c r="F170" s="53" t="s">
        <v>1254</v>
      </c>
      <c r="G170" s="163">
        <v>198000</v>
      </c>
      <c r="H170" s="53" t="s">
        <v>36</v>
      </c>
      <c r="I170" s="117"/>
      <c r="J170" s="117"/>
      <c r="K170" s="31" t="s">
        <v>1246</v>
      </c>
      <c r="L170" s="31"/>
      <c r="M170" s="31"/>
      <c r="N170" s="31">
        <f t="shared" si="7"/>
        <v>20</v>
      </c>
      <c r="O170" s="31" t="s">
        <v>1247</v>
      </c>
      <c r="P170" s="31"/>
      <c r="Q170" s="31"/>
      <c r="R170" s="31"/>
      <c r="S170" s="31"/>
      <c r="T170" s="31" t="s">
        <v>1249</v>
      </c>
      <c r="U170" s="31"/>
      <c r="V170" s="31" t="str">
        <f t="shared" si="5"/>
        <v>Cước vận chuyển vỏ container 20 từ bãi JJ, Hải Phòng đến Nam Đình Vũ, Hải Phòng</v>
      </c>
      <c r="W170" s="31"/>
    </row>
    <row r="171" spans="1:23" s="29" customFormat="1" ht="18" hidden="1" customHeight="1" x14ac:dyDescent="0.3">
      <c r="A171" s="44">
        <v>162</v>
      </c>
      <c r="B171" s="127">
        <v>46162</v>
      </c>
      <c r="C171" s="53" t="s">
        <v>1414</v>
      </c>
      <c r="D171" s="206">
        <v>20</v>
      </c>
      <c r="E171" s="53" t="s">
        <v>20</v>
      </c>
      <c r="F171" s="53" t="s">
        <v>1254</v>
      </c>
      <c r="G171" s="163">
        <v>198000</v>
      </c>
      <c r="H171" s="53" t="s">
        <v>36</v>
      </c>
      <c r="I171" s="117"/>
      <c r="J171" s="117"/>
      <c r="K171" s="31" t="s">
        <v>1246</v>
      </c>
      <c r="L171" s="31"/>
      <c r="M171" s="31"/>
      <c r="N171" s="31">
        <f t="shared" si="7"/>
        <v>20</v>
      </c>
      <c r="O171" s="31" t="s">
        <v>1247</v>
      </c>
      <c r="P171" s="31"/>
      <c r="Q171" s="31"/>
      <c r="R171" s="31"/>
      <c r="S171" s="31"/>
      <c r="T171" s="31" t="s">
        <v>1249</v>
      </c>
      <c r="U171" s="31"/>
      <c r="V171" s="31" t="str">
        <f t="shared" si="5"/>
        <v>Cước vận chuyển vỏ container 20 từ bãi JJ, Hải Phòng đến Nam Đình Vũ, Hải Phòng</v>
      </c>
      <c r="W171" s="31"/>
    </row>
    <row r="172" spans="1:23" s="29" customFormat="1" ht="18" hidden="1" customHeight="1" x14ac:dyDescent="0.3">
      <c r="A172" s="44">
        <v>163</v>
      </c>
      <c r="B172" s="127">
        <v>46162</v>
      </c>
      <c r="C172" s="53" t="s">
        <v>1415</v>
      </c>
      <c r="D172" s="206">
        <v>20</v>
      </c>
      <c r="E172" s="53" t="s">
        <v>20</v>
      </c>
      <c r="F172" s="53" t="s">
        <v>1254</v>
      </c>
      <c r="G172" s="163">
        <v>198000</v>
      </c>
      <c r="H172" s="53" t="s">
        <v>36</v>
      </c>
      <c r="I172" s="117"/>
      <c r="J172" s="117"/>
      <c r="K172" s="31" t="s">
        <v>1246</v>
      </c>
      <c r="L172" s="31"/>
      <c r="M172" s="31"/>
      <c r="N172" s="31">
        <f t="shared" si="7"/>
        <v>20</v>
      </c>
      <c r="O172" s="31" t="s">
        <v>1247</v>
      </c>
      <c r="P172" s="31"/>
      <c r="Q172" s="31"/>
      <c r="R172" s="31"/>
      <c r="S172" s="31"/>
      <c r="T172" s="31" t="s">
        <v>1249</v>
      </c>
      <c r="U172" s="31"/>
      <c r="V172" s="31" t="str">
        <f t="shared" si="5"/>
        <v>Cước vận chuyển vỏ container 20 từ bãi JJ, Hải Phòng đến Nam Đình Vũ, Hải Phòng</v>
      </c>
      <c r="W172" s="31"/>
    </row>
    <row r="173" spans="1:23" s="29" customFormat="1" ht="18" customHeight="1" x14ac:dyDescent="0.3">
      <c r="A173" s="44">
        <v>164</v>
      </c>
      <c r="B173" s="127">
        <v>46162</v>
      </c>
      <c r="C173" s="53" t="s">
        <v>1416</v>
      </c>
      <c r="D173" s="206">
        <v>40</v>
      </c>
      <c r="E173" s="53" t="s">
        <v>20</v>
      </c>
      <c r="F173" s="53" t="s">
        <v>1254</v>
      </c>
      <c r="G173" s="163">
        <v>365000</v>
      </c>
      <c r="H173" s="53" t="s">
        <v>36</v>
      </c>
      <c r="I173" s="117"/>
      <c r="J173" s="117"/>
      <c r="K173" s="31" t="s">
        <v>1246</v>
      </c>
      <c r="L173" s="31"/>
      <c r="M173" s="31"/>
      <c r="N173" s="31">
        <f t="shared" si="7"/>
        <v>40</v>
      </c>
      <c r="O173" s="31" t="s">
        <v>1247</v>
      </c>
      <c r="P173" s="31"/>
      <c r="Q173" s="31"/>
      <c r="R173" s="31"/>
      <c r="S173" s="31"/>
      <c r="T173" s="31" t="s">
        <v>1249</v>
      </c>
      <c r="U173" s="31"/>
      <c r="V173" s="31" t="str">
        <f t="shared" si="5"/>
        <v>Cước vận chuyển vỏ container 40 từ bãi JJ, Hải Phòng đến Nam Đình Vũ, Hải Phòng</v>
      </c>
      <c r="W173" s="31"/>
    </row>
    <row r="174" spans="1:23" s="29" customFormat="1" ht="18" customHeight="1" x14ac:dyDescent="0.3">
      <c r="A174" s="44">
        <v>165</v>
      </c>
      <c r="B174" s="127">
        <v>46162</v>
      </c>
      <c r="C174" s="53" t="s">
        <v>1417</v>
      </c>
      <c r="D174" s="206">
        <v>40</v>
      </c>
      <c r="E174" s="53" t="s">
        <v>20</v>
      </c>
      <c r="F174" s="53" t="s">
        <v>1254</v>
      </c>
      <c r="G174" s="163">
        <v>365000</v>
      </c>
      <c r="H174" s="53" t="s">
        <v>36</v>
      </c>
      <c r="I174" s="117"/>
      <c r="J174" s="117"/>
      <c r="K174" s="31" t="s">
        <v>1246</v>
      </c>
      <c r="L174" s="31"/>
      <c r="M174" s="31"/>
      <c r="N174" s="31">
        <f t="shared" si="7"/>
        <v>40</v>
      </c>
      <c r="O174" s="31" t="s">
        <v>1247</v>
      </c>
      <c r="P174" s="31"/>
      <c r="Q174" s="31"/>
      <c r="R174" s="31"/>
      <c r="S174" s="31"/>
      <c r="T174" s="31" t="s">
        <v>1249</v>
      </c>
      <c r="U174" s="31"/>
      <c r="V174" s="31" t="str">
        <f t="shared" si="5"/>
        <v>Cước vận chuyển vỏ container 40 từ bãi JJ, Hải Phòng đến Nam Đình Vũ, Hải Phòng</v>
      </c>
      <c r="W174" s="31"/>
    </row>
    <row r="175" spans="1:23" s="29" customFormat="1" ht="18" customHeight="1" x14ac:dyDescent="0.3">
      <c r="A175" s="44">
        <v>166</v>
      </c>
      <c r="B175" s="127">
        <v>46162</v>
      </c>
      <c r="C175" s="53" t="s">
        <v>1418</v>
      </c>
      <c r="D175" s="206">
        <v>40</v>
      </c>
      <c r="E175" s="53" t="s">
        <v>20</v>
      </c>
      <c r="F175" s="53" t="s">
        <v>1254</v>
      </c>
      <c r="G175" s="163">
        <v>365000</v>
      </c>
      <c r="H175" s="53" t="s">
        <v>36</v>
      </c>
      <c r="I175" s="117"/>
      <c r="J175" s="117"/>
      <c r="K175" s="31" t="s">
        <v>1246</v>
      </c>
      <c r="L175" s="31"/>
      <c r="M175" s="31"/>
      <c r="N175" s="31">
        <f t="shared" si="7"/>
        <v>40</v>
      </c>
      <c r="O175" s="31" t="s">
        <v>1247</v>
      </c>
      <c r="P175" s="31"/>
      <c r="Q175" s="31"/>
      <c r="R175" s="31"/>
      <c r="S175" s="31"/>
      <c r="T175" s="31" t="s">
        <v>1249</v>
      </c>
      <c r="U175" s="31"/>
      <c r="V175" s="31" t="str">
        <f t="shared" si="5"/>
        <v>Cước vận chuyển vỏ container 40 từ bãi JJ, Hải Phòng đến Nam Đình Vũ, Hải Phòng</v>
      </c>
      <c r="W175" s="31"/>
    </row>
    <row r="176" spans="1:23" s="29" customFormat="1" ht="18" customHeight="1" x14ac:dyDescent="0.3">
      <c r="A176" s="44">
        <v>167</v>
      </c>
      <c r="B176" s="127">
        <v>46162</v>
      </c>
      <c r="C176" s="53" t="s">
        <v>1419</v>
      </c>
      <c r="D176" s="206">
        <v>40</v>
      </c>
      <c r="E176" s="53" t="s">
        <v>20</v>
      </c>
      <c r="F176" s="53" t="s">
        <v>1254</v>
      </c>
      <c r="G176" s="163">
        <v>365000</v>
      </c>
      <c r="H176" s="53" t="s">
        <v>36</v>
      </c>
      <c r="I176" s="117"/>
      <c r="J176" s="117"/>
      <c r="K176" s="31" t="s">
        <v>1246</v>
      </c>
      <c r="L176" s="31"/>
      <c r="M176" s="31"/>
      <c r="N176" s="31">
        <f t="shared" si="7"/>
        <v>40</v>
      </c>
      <c r="O176" s="31" t="s">
        <v>1247</v>
      </c>
      <c r="P176" s="31"/>
      <c r="Q176" s="31"/>
      <c r="R176" s="31"/>
      <c r="S176" s="31"/>
      <c r="T176" s="31" t="s">
        <v>1249</v>
      </c>
      <c r="U176" s="31"/>
      <c r="V176" s="31" t="str">
        <f t="shared" si="5"/>
        <v>Cước vận chuyển vỏ container 40 từ bãi JJ, Hải Phòng đến Nam Đình Vũ, Hải Phòng</v>
      </c>
      <c r="W176" s="31"/>
    </row>
    <row r="177" spans="1:23" s="29" customFormat="1" ht="18" customHeight="1" x14ac:dyDescent="0.3">
      <c r="A177" s="44">
        <v>168</v>
      </c>
      <c r="B177" s="127">
        <v>46162</v>
      </c>
      <c r="C177" s="53" t="s">
        <v>1420</v>
      </c>
      <c r="D177" s="206">
        <v>40</v>
      </c>
      <c r="E177" s="53" t="s">
        <v>20</v>
      </c>
      <c r="F177" s="53" t="s">
        <v>1254</v>
      </c>
      <c r="G177" s="163">
        <v>365000</v>
      </c>
      <c r="H177" s="53" t="s">
        <v>36</v>
      </c>
      <c r="I177" s="117"/>
      <c r="J177" s="117"/>
      <c r="K177" s="31" t="s">
        <v>1246</v>
      </c>
      <c r="L177" s="31"/>
      <c r="M177" s="31"/>
      <c r="N177" s="31">
        <f t="shared" si="7"/>
        <v>40</v>
      </c>
      <c r="O177" s="31" t="s">
        <v>1247</v>
      </c>
      <c r="P177" s="31"/>
      <c r="Q177" s="31"/>
      <c r="R177" s="31"/>
      <c r="S177" s="31"/>
      <c r="T177" s="31" t="s">
        <v>1249</v>
      </c>
      <c r="U177" s="31"/>
      <c r="V177" s="31" t="str">
        <f t="shared" si="5"/>
        <v>Cước vận chuyển vỏ container 40 từ bãi JJ, Hải Phòng đến Nam Đình Vũ, Hải Phòng</v>
      </c>
      <c r="W177" s="31"/>
    </row>
    <row r="178" spans="1:23" s="29" customFormat="1" ht="18" customHeight="1" x14ac:dyDescent="0.3">
      <c r="A178" s="44">
        <v>169</v>
      </c>
      <c r="B178" s="127">
        <v>46162</v>
      </c>
      <c r="C178" s="53" t="s">
        <v>1421</v>
      </c>
      <c r="D178" s="206">
        <v>40</v>
      </c>
      <c r="E178" s="53" t="s">
        <v>20</v>
      </c>
      <c r="F178" s="53" t="s">
        <v>1254</v>
      </c>
      <c r="G178" s="163">
        <v>365000</v>
      </c>
      <c r="H178" s="53" t="s">
        <v>36</v>
      </c>
      <c r="I178" s="117"/>
      <c r="J178" s="117"/>
      <c r="K178" s="31" t="s">
        <v>1246</v>
      </c>
      <c r="L178" s="31"/>
      <c r="M178" s="31"/>
      <c r="N178" s="31">
        <f t="shared" si="7"/>
        <v>40</v>
      </c>
      <c r="O178" s="31" t="s">
        <v>1247</v>
      </c>
      <c r="P178" s="31"/>
      <c r="Q178" s="31"/>
      <c r="R178" s="31"/>
      <c r="S178" s="31"/>
      <c r="T178" s="31" t="s">
        <v>1249</v>
      </c>
      <c r="U178" s="31"/>
      <c r="V178" s="31" t="str">
        <f t="shared" si="5"/>
        <v>Cước vận chuyển vỏ container 40 từ bãi JJ, Hải Phòng đến Nam Đình Vũ, Hải Phòng</v>
      </c>
      <c r="W178" s="31"/>
    </row>
    <row r="179" spans="1:23" s="29" customFormat="1" ht="18" customHeight="1" x14ac:dyDescent="0.25">
      <c r="A179" s="44">
        <v>170</v>
      </c>
      <c r="B179" s="127">
        <v>46162</v>
      </c>
      <c r="C179" s="53" t="s">
        <v>1423</v>
      </c>
      <c r="D179" s="53">
        <v>40</v>
      </c>
      <c r="E179" s="53" t="s">
        <v>20</v>
      </c>
      <c r="F179" s="53" t="s">
        <v>1254</v>
      </c>
      <c r="G179" s="163">
        <v>365000</v>
      </c>
      <c r="H179" s="53" t="s">
        <v>828</v>
      </c>
      <c r="I179" s="117"/>
      <c r="J179" s="117"/>
      <c r="K179" s="31" t="s">
        <v>1246</v>
      </c>
      <c r="L179" s="31"/>
      <c r="M179" s="31"/>
      <c r="N179" s="31">
        <f t="shared" si="7"/>
        <v>40</v>
      </c>
      <c r="O179" s="31" t="s">
        <v>1247</v>
      </c>
      <c r="P179" s="31"/>
      <c r="Q179" s="31"/>
      <c r="R179" s="31"/>
      <c r="S179" s="31"/>
      <c r="T179" s="31" t="s">
        <v>1249</v>
      </c>
      <c r="U179" s="31"/>
      <c r="V179" s="31" t="str">
        <f t="shared" si="5"/>
        <v>Cước vận chuyển vỏ container 40 từ bãi JJ, Hải Phòng đến Nam Đình Vũ, Hải Phòng</v>
      </c>
      <c r="W179" s="31"/>
    </row>
    <row r="180" spans="1:23" s="29" customFormat="1" ht="18" customHeight="1" x14ac:dyDescent="0.25">
      <c r="A180" s="44">
        <v>171</v>
      </c>
      <c r="B180" s="127">
        <v>46162</v>
      </c>
      <c r="C180" s="53" t="s">
        <v>1424</v>
      </c>
      <c r="D180" s="53">
        <v>40</v>
      </c>
      <c r="E180" s="53" t="s">
        <v>20</v>
      </c>
      <c r="F180" s="53" t="s">
        <v>1254</v>
      </c>
      <c r="G180" s="163">
        <v>365000</v>
      </c>
      <c r="H180" s="53" t="s">
        <v>828</v>
      </c>
      <c r="I180" s="117"/>
      <c r="J180" s="117"/>
      <c r="K180" s="31" t="s">
        <v>1246</v>
      </c>
      <c r="L180" s="31"/>
      <c r="M180" s="31"/>
      <c r="N180" s="31">
        <f t="shared" si="7"/>
        <v>40</v>
      </c>
      <c r="O180" s="31" t="s">
        <v>1247</v>
      </c>
      <c r="P180" s="31"/>
      <c r="Q180" s="31"/>
      <c r="R180" s="31"/>
      <c r="S180" s="31"/>
      <c r="T180" s="31" t="s">
        <v>1249</v>
      </c>
      <c r="U180" s="31"/>
      <c r="V180" s="31" t="str">
        <f t="shared" si="5"/>
        <v>Cước vận chuyển vỏ container 40 từ bãi JJ, Hải Phòng đến Nam Đình Vũ, Hải Phòng</v>
      </c>
      <c r="W180" s="31"/>
    </row>
    <row r="181" spans="1:23" s="29" customFormat="1" ht="18" customHeight="1" x14ac:dyDescent="0.25">
      <c r="A181" s="44">
        <v>172</v>
      </c>
      <c r="B181" s="127">
        <v>46162</v>
      </c>
      <c r="C181" s="53" t="s">
        <v>1425</v>
      </c>
      <c r="D181" s="53">
        <v>40</v>
      </c>
      <c r="E181" s="53" t="s">
        <v>20</v>
      </c>
      <c r="F181" s="53" t="s">
        <v>1254</v>
      </c>
      <c r="G181" s="163">
        <v>365000</v>
      </c>
      <c r="H181" s="53" t="s">
        <v>828</v>
      </c>
      <c r="I181" s="117"/>
      <c r="J181" s="117"/>
      <c r="K181" s="31" t="s">
        <v>1246</v>
      </c>
      <c r="L181" s="31"/>
      <c r="M181" s="31"/>
      <c r="N181" s="31">
        <f t="shared" si="7"/>
        <v>40</v>
      </c>
      <c r="O181" s="31" t="s">
        <v>1247</v>
      </c>
      <c r="P181" s="31"/>
      <c r="Q181" s="31"/>
      <c r="R181" s="31"/>
      <c r="S181" s="31"/>
      <c r="T181" s="31" t="s">
        <v>1249</v>
      </c>
      <c r="U181" s="31"/>
      <c r="V181" s="31" t="str">
        <f t="shared" si="5"/>
        <v>Cước vận chuyển vỏ container 40 từ bãi JJ, Hải Phòng đến Nam Đình Vũ, Hải Phòng</v>
      </c>
      <c r="W181" s="31"/>
    </row>
    <row r="182" spans="1:23" s="29" customFormat="1" ht="18" customHeight="1" x14ac:dyDescent="0.25">
      <c r="A182" s="44">
        <v>173</v>
      </c>
      <c r="B182" s="127">
        <v>46162</v>
      </c>
      <c r="C182" s="53" t="s">
        <v>1426</v>
      </c>
      <c r="D182" s="53">
        <v>40</v>
      </c>
      <c r="E182" s="53" t="s">
        <v>20</v>
      </c>
      <c r="F182" s="53" t="s">
        <v>1254</v>
      </c>
      <c r="G182" s="163">
        <v>365000</v>
      </c>
      <c r="H182" s="53" t="s">
        <v>828</v>
      </c>
      <c r="I182" s="117"/>
      <c r="J182" s="117"/>
      <c r="K182" s="31" t="s">
        <v>1246</v>
      </c>
      <c r="L182" s="31"/>
      <c r="M182" s="31"/>
      <c r="N182" s="31">
        <f t="shared" si="7"/>
        <v>40</v>
      </c>
      <c r="O182" s="31" t="s">
        <v>1247</v>
      </c>
      <c r="P182" s="31"/>
      <c r="Q182" s="31"/>
      <c r="R182" s="31"/>
      <c r="S182" s="31"/>
      <c r="T182" s="31" t="s">
        <v>1249</v>
      </c>
      <c r="U182" s="31"/>
      <c r="V182" s="31" t="str">
        <f t="shared" si="5"/>
        <v>Cước vận chuyển vỏ container 40 từ bãi JJ, Hải Phòng đến Nam Đình Vũ, Hải Phòng</v>
      </c>
      <c r="W182" s="31"/>
    </row>
    <row r="183" spans="1:23" s="29" customFormat="1" ht="18" customHeight="1" x14ac:dyDescent="0.25">
      <c r="A183" s="44">
        <v>174</v>
      </c>
      <c r="B183" s="127">
        <v>46162</v>
      </c>
      <c r="C183" s="53" t="s">
        <v>1427</v>
      </c>
      <c r="D183" s="53">
        <v>40</v>
      </c>
      <c r="E183" s="53" t="s">
        <v>20</v>
      </c>
      <c r="F183" s="53" t="s">
        <v>1254</v>
      </c>
      <c r="G183" s="163">
        <v>365000</v>
      </c>
      <c r="H183" s="53" t="s">
        <v>828</v>
      </c>
      <c r="I183" s="117"/>
      <c r="J183" s="117"/>
      <c r="K183" s="31" t="s">
        <v>1246</v>
      </c>
      <c r="L183" s="31"/>
      <c r="M183" s="31"/>
      <c r="N183" s="31">
        <f t="shared" si="7"/>
        <v>40</v>
      </c>
      <c r="O183" s="31" t="s">
        <v>1247</v>
      </c>
      <c r="P183" s="31"/>
      <c r="Q183" s="31"/>
      <c r="R183" s="31"/>
      <c r="S183" s="31"/>
      <c r="T183" s="31" t="s">
        <v>1249</v>
      </c>
      <c r="U183" s="31"/>
      <c r="V183" s="31" t="str">
        <f t="shared" si="5"/>
        <v>Cước vận chuyển vỏ container 40 từ bãi JJ, Hải Phòng đến Nam Đình Vũ, Hải Phòng</v>
      </c>
      <c r="W183" s="31"/>
    </row>
    <row r="184" spans="1:23" s="29" customFormat="1" ht="18" customHeight="1" x14ac:dyDescent="0.25">
      <c r="A184" s="44">
        <v>175</v>
      </c>
      <c r="B184" s="127">
        <v>46162</v>
      </c>
      <c r="C184" s="53" t="s">
        <v>1428</v>
      </c>
      <c r="D184" s="53">
        <v>40</v>
      </c>
      <c r="E184" s="53" t="s">
        <v>20</v>
      </c>
      <c r="F184" s="53" t="s">
        <v>1254</v>
      </c>
      <c r="G184" s="163">
        <v>365000</v>
      </c>
      <c r="H184" s="53" t="s">
        <v>828</v>
      </c>
      <c r="I184" s="117"/>
      <c r="J184" s="117"/>
      <c r="K184" s="31" t="s">
        <v>1246</v>
      </c>
      <c r="L184" s="31"/>
      <c r="M184" s="31"/>
      <c r="N184" s="31">
        <f t="shared" si="7"/>
        <v>40</v>
      </c>
      <c r="O184" s="31" t="s">
        <v>1247</v>
      </c>
      <c r="P184" s="31"/>
      <c r="Q184" s="31"/>
      <c r="R184" s="31"/>
      <c r="S184" s="31"/>
      <c r="T184" s="31" t="s">
        <v>1249</v>
      </c>
      <c r="U184" s="31"/>
      <c r="V184" s="31" t="str">
        <f t="shared" si="5"/>
        <v>Cước vận chuyển vỏ container 40 từ bãi JJ, Hải Phòng đến Nam Đình Vũ, Hải Phòng</v>
      </c>
      <c r="W184" s="31"/>
    </row>
    <row r="185" spans="1:23" s="29" customFormat="1" ht="18" customHeight="1" x14ac:dyDescent="0.25">
      <c r="A185" s="44">
        <v>176</v>
      </c>
      <c r="B185" s="54">
        <v>46152</v>
      </c>
      <c r="C185" s="53" t="s">
        <v>1429</v>
      </c>
      <c r="D185" s="116">
        <v>40</v>
      </c>
      <c r="E185" s="53" t="s">
        <v>20</v>
      </c>
      <c r="F185" s="53" t="s">
        <v>1254</v>
      </c>
      <c r="G185" s="163">
        <v>365000</v>
      </c>
      <c r="H185" s="53" t="s">
        <v>26</v>
      </c>
      <c r="I185" s="117"/>
      <c r="J185" s="117"/>
      <c r="K185" s="31" t="s">
        <v>1246</v>
      </c>
      <c r="L185" s="31"/>
      <c r="M185" s="31"/>
      <c r="N185" s="31">
        <f t="shared" si="7"/>
        <v>40</v>
      </c>
      <c r="O185" s="31" t="s">
        <v>1247</v>
      </c>
      <c r="P185" s="31"/>
      <c r="Q185" s="31"/>
      <c r="R185" s="31"/>
      <c r="S185" s="31"/>
      <c r="T185" s="31" t="s">
        <v>1249</v>
      </c>
      <c r="U185" s="31"/>
      <c r="V185" s="31" t="str">
        <f t="shared" si="5"/>
        <v>Cước vận chuyển vỏ container 40 từ bãi JJ, Hải Phòng đến Nam Đình Vũ, Hải Phòng</v>
      </c>
      <c r="W185" s="31"/>
    </row>
    <row r="186" spans="1:23" s="29" customFormat="1" ht="18" customHeight="1" x14ac:dyDescent="0.25">
      <c r="A186" s="44">
        <v>177</v>
      </c>
      <c r="B186" s="99">
        <v>46152</v>
      </c>
      <c r="C186" s="100" t="s">
        <v>1431</v>
      </c>
      <c r="D186" s="208">
        <v>40</v>
      </c>
      <c r="E186" s="100" t="s">
        <v>20</v>
      </c>
      <c r="F186" s="100" t="s">
        <v>1254</v>
      </c>
      <c r="G186" s="209">
        <v>365000</v>
      </c>
      <c r="H186" s="100" t="s">
        <v>268</v>
      </c>
      <c r="I186" s="117"/>
      <c r="J186" s="117"/>
      <c r="K186" s="31" t="s">
        <v>1246</v>
      </c>
      <c r="L186" s="31"/>
      <c r="M186" s="31"/>
      <c r="N186" s="31">
        <f t="shared" si="7"/>
        <v>40</v>
      </c>
      <c r="O186" s="31" t="s">
        <v>1247</v>
      </c>
      <c r="P186" s="31"/>
      <c r="Q186" s="31"/>
      <c r="R186" s="31"/>
      <c r="S186" s="31"/>
      <c r="T186" s="31" t="s">
        <v>1249</v>
      </c>
      <c r="U186" s="31"/>
      <c r="V186" s="31" t="str">
        <f t="shared" si="5"/>
        <v>Cước vận chuyển vỏ container 40 từ bãi JJ, Hải Phòng đến Nam Đình Vũ, Hải Phòng</v>
      </c>
      <c r="W186" s="31"/>
    </row>
    <row r="187" spans="1:23" s="29" customFormat="1" ht="18" customHeight="1" x14ac:dyDescent="0.25">
      <c r="A187" s="44">
        <v>178</v>
      </c>
      <c r="B187" s="99">
        <v>46152</v>
      </c>
      <c r="C187" s="100" t="s">
        <v>1432</v>
      </c>
      <c r="D187" s="208">
        <v>40</v>
      </c>
      <c r="E187" s="100" t="s">
        <v>20</v>
      </c>
      <c r="F187" s="100" t="s">
        <v>1254</v>
      </c>
      <c r="G187" s="209">
        <v>365000</v>
      </c>
      <c r="H187" s="100" t="s">
        <v>268</v>
      </c>
      <c r="I187" s="117"/>
      <c r="J187" s="117"/>
      <c r="K187" s="31" t="s">
        <v>1246</v>
      </c>
      <c r="L187" s="31"/>
      <c r="M187" s="31"/>
      <c r="N187" s="31">
        <f t="shared" si="7"/>
        <v>40</v>
      </c>
      <c r="O187" s="31" t="s">
        <v>1247</v>
      </c>
      <c r="P187" s="31"/>
      <c r="Q187" s="31"/>
      <c r="R187" s="31"/>
      <c r="S187" s="31"/>
      <c r="T187" s="31" t="s">
        <v>1249</v>
      </c>
      <c r="U187" s="31"/>
      <c r="V187" s="31" t="str">
        <f t="shared" si="5"/>
        <v>Cước vận chuyển vỏ container 40 từ bãi JJ, Hải Phòng đến Nam Đình Vũ, Hải Phòng</v>
      </c>
      <c r="W187" s="31"/>
    </row>
    <row r="188" spans="1:23" s="29" customFormat="1" ht="18" customHeight="1" x14ac:dyDescent="0.25">
      <c r="A188" s="44">
        <v>179</v>
      </c>
      <c r="B188" s="99">
        <v>46152</v>
      </c>
      <c r="C188" s="100" t="s">
        <v>1433</v>
      </c>
      <c r="D188" s="208">
        <v>40</v>
      </c>
      <c r="E188" s="100" t="s">
        <v>20</v>
      </c>
      <c r="F188" s="100" t="s">
        <v>1254</v>
      </c>
      <c r="G188" s="209">
        <v>365000</v>
      </c>
      <c r="H188" s="100" t="s">
        <v>268</v>
      </c>
      <c r="I188" s="117"/>
      <c r="J188" s="117"/>
      <c r="K188" s="31" t="s">
        <v>1246</v>
      </c>
      <c r="L188" s="31"/>
      <c r="M188" s="31"/>
      <c r="N188" s="31">
        <f t="shared" si="7"/>
        <v>40</v>
      </c>
      <c r="O188" s="31" t="s">
        <v>1247</v>
      </c>
      <c r="P188" s="31"/>
      <c r="Q188" s="31"/>
      <c r="R188" s="31"/>
      <c r="S188" s="31"/>
      <c r="T188" s="31" t="s">
        <v>1249</v>
      </c>
      <c r="U188" s="31"/>
      <c r="V188" s="31" t="str">
        <f t="shared" si="5"/>
        <v>Cước vận chuyển vỏ container 40 từ bãi JJ, Hải Phòng đến Nam Đình Vũ, Hải Phòng</v>
      </c>
      <c r="W188" s="31"/>
    </row>
    <row r="189" spans="1:23" s="29" customFormat="1" ht="18" customHeight="1" x14ac:dyDescent="0.25">
      <c r="A189" s="44">
        <v>180</v>
      </c>
      <c r="B189" s="99">
        <v>46152</v>
      </c>
      <c r="C189" s="100" t="s">
        <v>1434</v>
      </c>
      <c r="D189" s="208">
        <v>40</v>
      </c>
      <c r="E189" s="100" t="s">
        <v>20</v>
      </c>
      <c r="F189" s="100" t="s">
        <v>1254</v>
      </c>
      <c r="G189" s="209">
        <v>365000</v>
      </c>
      <c r="H189" s="100" t="s">
        <v>268</v>
      </c>
      <c r="I189" s="117"/>
      <c r="J189" s="117"/>
      <c r="K189" s="31" t="s">
        <v>1246</v>
      </c>
      <c r="L189" s="31"/>
      <c r="M189" s="31"/>
      <c r="N189" s="31">
        <f t="shared" si="7"/>
        <v>40</v>
      </c>
      <c r="O189" s="31" t="s">
        <v>1247</v>
      </c>
      <c r="P189" s="31"/>
      <c r="Q189" s="31"/>
      <c r="R189" s="31"/>
      <c r="S189" s="31"/>
      <c r="T189" s="31" t="s">
        <v>1249</v>
      </c>
      <c r="U189" s="31"/>
      <c r="V189" s="31" t="str">
        <f t="shared" si="5"/>
        <v>Cước vận chuyển vỏ container 40 từ bãi JJ, Hải Phòng đến Nam Đình Vũ, Hải Phòng</v>
      </c>
      <c r="W189" s="31"/>
    </row>
    <row r="190" spans="1:23" s="29" customFormat="1" ht="18" customHeight="1" x14ac:dyDescent="0.25">
      <c r="A190" s="44">
        <v>181</v>
      </c>
      <c r="B190" s="99">
        <v>46152</v>
      </c>
      <c r="C190" s="100" t="s">
        <v>1435</v>
      </c>
      <c r="D190" s="208">
        <v>40</v>
      </c>
      <c r="E190" s="100" t="s">
        <v>20</v>
      </c>
      <c r="F190" s="100" t="s">
        <v>1254</v>
      </c>
      <c r="G190" s="209">
        <v>365000</v>
      </c>
      <c r="H190" s="100" t="s">
        <v>268</v>
      </c>
      <c r="I190" s="117"/>
      <c r="J190" s="117"/>
      <c r="K190" s="31" t="s">
        <v>1246</v>
      </c>
      <c r="L190" s="31"/>
      <c r="M190" s="31"/>
      <c r="N190" s="31">
        <f t="shared" si="7"/>
        <v>40</v>
      </c>
      <c r="O190" s="31" t="s">
        <v>1247</v>
      </c>
      <c r="P190" s="31"/>
      <c r="Q190" s="31"/>
      <c r="R190" s="31"/>
      <c r="S190" s="31"/>
      <c r="T190" s="31" t="s">
        <v>1249</v>
      </c>
      <c r="U190" s="31"/>
      <c r="V190" s="31" t="str">
        <f t="shared" si="5"/>
        <v>Cước vận chuyển vỏ container 40 từ bãi JJ, Hải Phòng đến Nam Đình Vũ, Hải Phòng</v>
      </c>
      <c r="W190" s="31"/>
    </row>
    <row r="191" spans="1:23" s="29" customFormat="1" ht="18" hidden="1" customHeight="1" x14ac:dyDescent="0.25">
      <c r="A191" s="44">
        <v>182</v>
      </c>
      <c r="B191" s="54"/>
      <c r="C191" s="53"/>
      <c r="D191" s="116"/>
      <c r="E191" s="53"/>
      <c r="F191" s="164"/>
      <c r="G191" s="163"/>
      <c r="H191" s="53"/>
      <c r="I191" s="117"/>
      <c r="J191" s="117"/>
      <c r="K191" s="31" t="s">
        <v>1246</v>
      </c>
      <c r="L191" s="31"/>
      <c r="M191" s="31"/>
      <c r="N191" s="31">
        <f t="shared" si="7"/>
        <v>0</v>
      </c>
      <c r="O191" s="31" t="s">
        <v>1247</v>
      </c>
      <c r="P191" s="31"/>
      <c r="Q191" s="31"/>
      <c r="R191" s="31"/>
      <c r="S191" s="31"/>
      <c r="T191" s="31" t="s">
        <v>1249</v>
      </c>
      <c r="U191" s="31"/>
      <c r="V191" s="31" t="str">
        <f t="shared" si="5"/>
        <v>Cước vận chuyển vỏ container 0 từ bãi JJ, Hải Phòng đến Nam Đình Vũ, Hải Phòng</v>
      </c>
      <c r="W191" s="31"/>
    </row>
    <row r="192" spans="1:23" s="29" customFormat="1" ht="18" hidden="1" customHeight="1" x14ac:dyDescent="0.25">
      <c r="A192" s="44">
        <v>183</v>
      </c>
      <c r="B192" s="43"/>
      <c r="C192" s="53"/>
      <c r="D192" s="90"/>
      <c r="E192" s="53"/>
      <c r="F192" s="164"/>
      <c r="G192" s="183"/>
      <c r="H192" s="53"/>
      <c r="I192" s="117"/>
      <c r="J192" s="117"/>
      <c r="K192" s="31" t="s">
        <v>1246</v>
      </c>
      <c r="L192" s="31"/>
      <c r="M192" s="31"/>
      <c r="N192" s="31">
        <f t="shared" si="7"/>
        <v>0</v>
      </c>
      <c r="O192" s="31" t="s">
        <v>1247</v>
      </c>
      <c r="P192" s="31"/>
      <c r="Q192" s="31"/>
      <c r="R192" s="31"/>
      <c r="S192" s="31"/>
      <c r="T192" s="31" t="s">
        <v>1249</v>
      </c>
      <c r="U192" s="31"/>
      <c r="V192" s="31" t="str">
        <f t="shared" si="5"/>
        <v>Cước vận chuyển vỏ container 0 từ bãi JJ, Hải Phòng đến Nam Đình Vũ, Hải Phòng</v>
      </c>
      <c r="W192" s="31"/>
    </row>
    <row r="193" spans="1:23" s="29" customFormat="1" ht="18" hidden="1" customHeight="1" x14ac:dyDescent="0.25">
      <c r="A193" s="44">
        <v>184</v>
      </c>
      <c r="B193" s="43"/>
      <c r="C193" s="53"/>
      <c r="D193" s="90"/>
      <c r="E193" s="53"/>
      <c r="F193" s="164"/>
      <c r="G193" s="183"/>
      <c r="H193" s="53"/>
      <c r="I193" s="117"/>
      <c r="J193" s="117"/>
      <c r="K193" s="31" t="s">
        <v>1246</v>
      </c>
      <c r="L193" s="31"/>
      <c r="M193" s="31"/>
      <c r="N193" s="31">
        <f t="shared" si="7"/>
        <v>0</v>
      </c>
      <c r="O193" s="31" t="s">
        <v>1247</v>
      </c>
      <c r="P193" s="31"/>
      <c r="Q193" s="31"/>
      <c r="R193" s="31"/>
      <c r="S193" s="31"/>
      <c r="T193" s="31" t="s">
        <v>1249</v>
      </c>
      <c r="U193" s="31"/>
      <c r="V193" s="31" t="str">
        <f t="shared" si="5"/>
        <v>Cước vận chuyển vỏ container 0 từ bãi JJ, Hải Phòng đến Nam Đình Vũ, Hải Phòng</v>
      </c>
      <c r="W193" s="31"/>
    </row>
    <row r="194" spans="1:23" s="29" customFormat="1" ht="18" hidden="1" customHeight="1" x14ac:dyDescent="0.25">
      <c r="A194" s="44">
        <v>185</v>
      </c>
      <c r="B194" s="43"/>
      <c r="C194" s="207"/>
      <c r="D194" s="53"/>
      <c r="E194" s="53"/>
      <c r="F194" s="164"/>
      <c r="G194" s="183"/>
      <c r="H194" s="41"/>
      <c r="I194" s="37"/>
      <c r="J194" s="37"/>
      <c r="K194" s="31" t="s">
        <v>1246</v>
      </c>
      <c r="L194" s="31"/>
      <c r="M194" s="31"/>
      <c r="N194" s="31">
        <f t="shared" si="7"/>
        <v>0</v>
      </c>
      <c r="O194" s="31" t="s">
        <v>1247</v>
      </c>
      <c r="P194" s="31"/>
      <c r="Q194" s="31"/>
      <c r="R194" s="31"/>
      <c r="S194" s="31"/>
      <c r="T194" s="31" t="s">
        <v>1249</v>
      </c>
      <c r="U194" s="31"/>
      <c r="V194" s="31" t="str">
        <f t="shared" si="5"/>
        <v>Cước vận chuyển vỏ container 0 từ bãi JJ, Hải Phòng đến Nam Đình Vũ, Hải Phòng</v>
      </c>
      <c r="W194" s="31"/>
    </row>
    <row r="195" spans="1:23" s="29" customFormat="1" ht="18" hidden="1" customHeight="1" x14ac:dyDescent="0.25">
      <c r="A195" s="44">
        <v>186</v>
      </c>
      <c r="B195" s="43"/>
      <c r="C195" s="130"/>
      <c r="D195" s="53"/>
      <c r="E195" s="53"/>
      <c r="F195" s="164"/>
      <c r="G195" s="183"/>
      <c r="H195" s="41"/>
      <c r="I195" s="37"/>
      <c r="J195" s="37"/>
      <c r="K195" s="31" t="s">
        <v>1246</v>
      </c>
      <c r="L195" s="31"/>
      <c r="M195" s="31"/>
      <c r="N195" s="31">
        <f t="shared" si="7"/>
        <v>0</v>
      </c>
      <c r="O195" s="31" t="s">
        <v>1247</v>
      </c>
      <c r="P195" s="31"/>
      <c r="Q195" s="31"/>
      <c r="R195" s="31"/>
      <c r="S195" s="31"/>
      <c r="T195" s="31" t="s">
        <v>1249</v>
      </c>
      <c r="U195" s="31"/>
      <c r="V195" s="31" t="str">
        <f t="shared" si="5"/>
        <v>Cước vận chuyển vỏ container 0 từ bãi JJ, Hải Phòng đến Nam Đình Vũ, Hải Phòng</v>
      </c>
      <c r="W195" s="31"/>
    </row>
    <row r="196" spans="1:23" s="29" customFormat="1" ht="18" hidden="1" customHeight="1" x14ac:dyDescent="0.25">
      <c r="A196" s="44">
        <v>187</v>
      </c>
      <c r="B196" s="43"/>
      <c r="C196" s="130"/>
      <c r="D196" s="53"/>
      <c r="E196" s="53"/>
      <c r="F196" s="164"/>
      <c r="G196" s="183"/>
      <c r="H196" s="41"/>
      <c r="I196" s="37"/>
      <c r="J196" s="37"/>
      <c r="K196" s="31" t="s">
        <v>1246</v>
      </c>
      <c r="L196" s="31"/>
      <c r="M196" s="31"/>
      <c r="N196" s="31">
        <f t="shared" si="7"/>
        <v>0</v>
      </c>
      <c r="O196" s="31" t="s">
        <v>1247</v>
      </c>
      <c r="P196" s="31"/>
      <c r="Q196" s="31"/>
      <c r="R196" s="31"/>
      <c r="S196" s="31"/>
      <c r="T196" s="31" t="s">
        <v>1249</v>
      </c>
      <c r="U196" s="31"/>
      <c r="V196" s="31" t="str">
        <f t="shared" si="5"/>
        <v>Cước vận chuyển vỏ container 0 từ bãi JJ, Hải Phòng đến Nam Đình Vũ, Hải Phòng</v>
      </c>
      <c r="W196" s="31"/>
    </row>
    <row r="197" spans="1:23" s="29" customFormat="1" ht="18" hidden="1" customHeight="1" x14ac:dyDescent="0.25">
      <c r="A197" s="44">
        <v>188</v>
      </c>
      <c r="B197" s="43"/>
      <c r="C197" s="130"/>
      <c r="D197" s="53"/>
      <c r="E197" s="53"/>
      <c r="F197" s="164"/>
      <c r="G197" s="183"/>
      <c r="H197" s="41"/>
      <c r="I197" s="37"/>
      <c r="J197" s="37"/>
      <c r="K197" s="31" t="s">
        <v>1246</v>
      </c>
      <c r="L197" s="31"/>
      <c r="M197" s="31"/>
      <c r="N197" s="31">
        <f t="shared" si="7"/>
        <v>0</v>
      </c>
      <c r="O197" s="31" t="s">
        <v>1247</v>
      </c>
      <c r="P197" s="31"/>
      <c r="Q197" s="31"/>
      <c r="R197" s="31"/>
      <c r="S197" s="31"/>
      <c r="T197" s="31" t="s">
        <v>1249</v>
      </c>
      <c r="U197" s="31"/>
      <c r="V197" s="31" t="str">
        <f t="shared" si="5"/>
        <v>Cước vận chuyển vỏ container 0 từ bãi JJ, Hải Phòng đến Nam Đình Vũ, Hải Phòng</v>
      </c>
      <c r="W197" s="31"/>
    </row>
    <row r="198" spans="1:23" s="29" customFormat="1" ht="18" hidden="1" customHeight="1" x14ac:dyDescent="0.25">
      <c r="A198" s="44">
        <v>189</v>
      </c>
      <c r="B198" s="43"/>
      <c r="C198" s="130"/>
      <c r="D198" s="53"/>
      <c r="E198" s="53"/>
      <c r="F198" s="164"/>
      <c r="G198" s="183"/>
      <c r="H198" s="41"/>
      <c r="I198" s="37"/>
      <c r="J198" s="37"/>
      <c r="K198" s="31" t="s">
        <v>1246</v>
      </c>
      <c r="L198" s="31"/>
      <c r="M198" s="31"/>
      <c r="N198" s="31">
        <f t="shared" si="7"/>
        <v>0</v>
      </c>
      <c r="O198" s="31" t="s">
        <v>1247</v>
      </c>
      <c r="P198" s="31"/>
      <c r="Q198" s="31"/>
      <c r="R198" s="31"/>
      <c r="S198" s="31"/>
      <c r="T198" s="31" t="s">
        <v>1249</v>
      </c>
      <c r="U198" s="31"/>
      <c r="V198" s="31" t="str">
        <f t="shared" si="5"/>
        <v>Cước vận chuyển vỏ container 0 từ bãi JJ, Hải Phòng đến Nam Đình Vũ, Hải Phòng</v>
      </c>
      <c r="W198" s="31"/>
    </row>
    <row r="199" spans="1:23" s="29" customFormat="1" ht="18" hidden="1" customHeight="1" x14ac:dyDescent="0.25">
      <c r="A199" s="44">
        <v>190</v>
      </c>
      <c r="B199" s="43"/>
      <c r="C199" s="130"/>
      <c r="D199" s="53"/>
      <c r="E199" s="53"/>
      <c r="F199" s="164"/>
      <c r="G199" s="183"/>
      <c r="H199" s="41"/>
      <c r="I199" s="37"/>
      <c r="J199" s="37"/>
      <c r="K199" s="31" t="s">
        <v>1246</v>
      </c>
      <c r="L199" s="31"/>
      <c r="M199" s="31"/>
      <c r="N199" s="31">
        <f t="shared" si="7"/>
        <v>0</v>
      </c>
      <c r="O199" s="31" t="s">
        <v>1247</v>
      </c>
      <c r="P199" s="31"/>
      <c r="Q199" s="31"/>
      <c r="R199" s="31"/>
      <c r="S199" s="31"/>
      <c r="T199" s="31" t="s">
        <v>1249</v>
      </c>
      <c r="U199" s="31"/>
      <c r="V199" s="31" t="str">
        <f t="shared" si="5"/>
        <v>Cước vận chuyển vỏ container 0 từ bãi JJ, Hải Phòng đến Nam Đình Vũ, Hải Phòng</v>
      </c>
      <c r="W199" s="31"/>
    </row>
    <row r="200" spans="1:23" s="29" customFormat="1" ht="18" hidden="1" customHeight="1" x14ac:dyDescent="0.25">
      <c r="A200" s="44">
        <v>191</v>
      </c>
      <c r="B200" s="43"/>
      <c r="C200" s="130"/>
      <c r="D200" s="90"/>
      <c r="E200" s="53"/>
      <c r="F200" s="164"/>
      <c r="G200" s="183"/>
      <c r="H200" s="53"/>
      <c r="I200" s="117"/>
      <c r="J200" s="117"/>
      <c r="K200" s="31" t="s">
        <v>1246</v>
      </c>
      <c r="L200" s="31"/>
      <c r="M200" s="31"/>
      <c r="N200" s="31">
        <f t="shared" si="7"/>
        <v>0</v>
      </c>
      <c r="O200" s="31" t="s">
        <v>1247</v>
      </c>
      <c r="P200" s="31"/>
      <c r="Q200" s="31"/>
      <c r="R200" s="31"/>
      <c r="S200" s="31"/>
      <c r="T200" s="31" t="s">
        <v>1249</v>
      </c>
      <c r="U200" s="31"/>
      <c r="V200" s="31" t="str">
        <f t="shared" ref="V200" si="8">K200&amp;" "&amp;N200&amp;""&amp;" "&amp;O200</f>
        <v>Cước vận chuyển vỏ container 0 từ bãi JJ, Hải Phòng đến Nam Đình Vũ, Hải Phòng</v>
      </c>
      <c r="W200" s="31"/>
    </row>
    <row r="201" spans="1:23" s="5" customFormat="1" ht="19.5" hidden="1" customHeight="1" x14ac:dyDescent="0.25">
      <c r="A201" s="222" t="s">
        <v>17</v>
      </c>
      <c r="B201" s="222"/>
      <c r="C201" s="222"/>
      <c r="D201" s="222"/>
      <c r="E201" s="222"/>
      <c r="F201" s="222"/>
      <c r="G201" s="167">
        <f>SUM(G10:G200)</f>
        <v>59385000</v>
      </c>
      <c r="H201" s="147"/>
      <c r="I201" s="204"/>
      <c r="J201" s="204"/>
      <c r="K201" s="8"/>
      <c r="L201" s="8"/>
      <c r="T201" s="31" t="s">
        <v>1249</v>
      </c>
      <c r="V201" s="8"/>
      <c r="W201" s="8"/>
    </row>
    <row r="202" spans="1:23" ht="16.5" hidden="1" customHeight="1" x14ac:dyDescent="0.25">
      <c r="A202" s="148" t="s">
        <v>18</v>
      </c>
      <c r="B202" s="149"/>
      <c r="C202" s="150"/>
      <c r="D202" s="151"/>
      <c r="E202" s="151"/>
      <c r="F202" s="53"/>
      <c r="G202" s="168"/>
      <c r="H202" s="152"/>
      <c r="I202" s="205"/>
      <c r="J202" s="205"/>
      <c r="T202" s="31" t="s">
        <v>1249</v>
      </c>
    </row>
    <row r="203" spans="1:23" s="3" customFormat="1" hidden="1" x14ac:dyDescent="0.25">
      <c r="C203" s="1"/>
      <c r="F203" s="38"/>
      <c r="G203" s="184"/>
      <c r="H203" s="22"/>
      <c r="I203" s="22"/>
      <c r="J203" s="22"/>
      <c r="K203" s="31" t="s">
        <v>1246</v>
      </c>
      <c r="L203" s="8"/>
      <c r="T203" s="31" t="s">
        <v>1249</v>
      </c>
      <c r="V203" s="8"/>
      <c r="W203" s="8"/>
    </row>
    <row r="204" spans="1:23" s="12" customFormat="1" hidden="1" x14ac:dyDescent="0.25">
      <c r="A204" s="39"/>
      <c r="B204" s="33"/>
      <c r="C204" s="6"/>
      <c r="F204" s="212" t="s">
        <v>1430</v>
      </c>
      <c r="G204" s="213"/>
      <c r="H204" s="212"/>
      <c r="I204" s="196"/>
      <c r="J204" s="196"/>
      <c r="K204" s="31" t="s">
        <v>1246</v>
      </c>
      <c r="L204" s="8"/>
      <c r="T204" s="31" t="s">
        <v>1249</v>
      </c>
      <c r="V204" s="8"/>
      <c r="W204" s="8"/>
    </row>
    <row r="205" spans="1:23" s="3" customFormat="1" ht="35.25" hidden="1" customHeight="1" x14ac:dyDescent="0.25">
      <c r="A205" s="172"/>
      <c r="B205" s="172"/>
      <c r="C205" s="172"/>
      <c r="D205" s="172"/>
      <c r="E205" s="34"/>
      <c r="F205" s="214" t="s">
        <v>0</v>
      </c>
      <c r="G205" s="215"/>
      <c r="H205" s="214"/>
      <c r="I205" s="197"/>
      <c r="J205" s="197"/>
      <c r="K205" s="31"/>
      <c r="L205" s="8"/>
      <c r="T205" s="31" t="s">
        <v>1249</v>
      </c>
      <c r="V205" s="8"/>
      <c r="W205" s="8"/>
    </row>
    <row r="206" spans="1:23" x14ac:dyDescent="0.25">
      <c r="A206" s="172"/>
      <c r="B206" s="172"/>
      <c r="C206" s="172"/>
      <c r="D206" s="172"/>
      <c r="H206" s="22"/>
      <c r="K206" s="31"/>
      <c r="T206" s="31" t="s">
        <v>1249</v>
      </c>
    </row>
    <row r="207" spans="1:23" x14ac:dyDescent="0.25">
      <c r="A207" s="172"/>
      <c r="B207" s="172"/>
      <c r="C207" s="172"/>
      <c r="D207" s="172"/>
      <c r="E207" s="172"/>
      <c r="F207" s="172"/>
      <c r="H207" s="22"/>
      <c r="K207" s="31"/>
      <c r="T207" s="31" t="s">
        <v>1249</v>
      </c>
    </row>
    <row r="208" spans="1:23" x14ac:dyDescent="0.25">
      <c r="A208" s="172"/>
      <c r="B208" s="172"/>
      <c r="C208" s="172"/>
      <c r="D208" s="172"/>
      <c r="E208" s="172"/>
      <c r="F208" s="172"/>
      <c r="G208" s="185"/>
      <c r="H208" s="172"/>
      <c r="I208" s="172"/>
      <c r="J208" s="172"/>
      <c r="K208" s="31"/>
      <c r="T208" s="31" t="s">
        <v>1249</v>
      </c>
    </row>
    <row r="209" spans="1:20" x14ac:dyDescent="0.25">
      <c r="A209" s="172"/>
      <c r="B209" s="172"/>
      <c r="C209" s="172"/>
      <c r="D209" s="172"/>
      <c r="E209" s="172"/>
      <c r="F209" s="172"/>
      <c r="G209" s="185"/>
      <c r="H209" s="172"/>
      <c r="I209" s="172"/>
      <c r="J209" s="172"/>
      <c r="K209" s="31"/>
      <c r="T209" s="31" t="s">
        <v>1249</v>
      </c>
    </row>
    <row r="210" spans="1:20" x14ac:dyDescent="0.25">
      <c r="A210" s="172"/>
      <c r="B210" s="172"/>
      <c r="C210" s="172"/>
      <c r="D210" s="172"/>
      <c r="E210" s="172"/>
      <c r="F210" s="172"/>
      <c r="G210" s="185"/>
      <c r="H210" s="172"/>
      <c r="I210" s="172"/>
      <c r="J210" s="172"/>
      <c r="K210" s="31"/>
      <c r="T210" s="31" t="s">
        <v>1249</v>
      </c>
    </row>
    <row r="211" spans="1:20" x14ac:dyDescent="0.25">
      <c r="A211" s="172"/>
      <c r="B211" s="172"/>
      <c r="C211"/>
      <c r="D211"/>
      <c r="E211"/>
      <c r="F211" s="172"/>
      <c r="G211" s="185"/>
      <c r="H211" s="172"/>
      <c r="I211" s="172"/>
      <c r="J211" s="172"/>
      <c r="K211" s="31"/>
      <c r="T211" s="31" t="s">
        <v>1249</v>
      </c>
    </row>
    <row r="212" spans="1:20" x14ac:dyDescent="0.25">
      <c r="A212" s="172"/>
      <c r="B212" s="172"/>
      <c r="C212"/>
      <c r="D212"/>
      <c r="E212"/>
      <c r="F212" s="172"/>
      <c r="G212" s="185"/>
      <c r="H212" s="172"/>
      <c r="I212" s="172"/>
      <c r="J212" s="172"/>
      <c r="K212" s="31"/>
    </row>
    <row r="213" spans="1:20" x14ac:dyDescent="0.25">
      <c r="A213" s="172"/>
      <c r="B213" s="42"/>
      <c r="C213" s="42"/>
      <c r="D213" s="42"/>
      <c r="E213" s="42"/>
      <c r="F213" s="42"/>
      <c r="G213" s="185"/>
      <c r="H213" s="172"/>
      <c r="I213" s="172"/>
      <c r="J213" s="172"/>
      <c r="K213" s="31"/>
    </row>
    <row r="214" spans="1:20" x14ac:dyDescent="0.25">
      <c r="A214" s="172"/>
      <c r="B214" s="42"/>
      <c r="C214" s="42"/>
      <c r="D214" s="42"/>
      <c r="E214" s="42"/>
      <c r="F214" s="42"/>
      <c r="G214" s="185"/>
      <c r="H214" s="172"/>
      <c r="I214" s="172"/>
      <c r="J214" s="172"/>
      <c r="K214" s="31"/>
    </row>
    <row r="215" spans="1:20" x14ac:dyDescent="0.25">
      <c r="A215" s="172"/>
      <c r="B215" s="42"/>
      <c r="C215" s="42"/>
      <c r="D215" s="42"/>
      <c r="E215" s="42"/>
      <c r="F215" s="42"/>
      <c r="G215" s="185"/>
      <c r="H215" s="172"/>
      <c r="I215" s="172"/>
      <c r="J215" s="172"/>
      <c r="K215" s="31"/>
    </row>
    <row r="216" spans="1:20" x14ac:dyDescent="0.25">
      <c r="A216" s="172"/>
      <c r="B216" s="42"/>
      <c r="C216" s="42"/>
      <c r="D216" s="42"/>
      <c r="E216" s="42"/>
      <c r="F216" s="42"/>
      <c r="G216" s="185"/>
      <c r="H216" s="172"/>
      <c r="I216" s="172"/>
      <c r="J216" s="172"/>
      <c r="K216" s="31"/>
    </row>
    <row r="217" spans="1:20" x14ac:dyDescent="0.25">
      <c r="A217" s="172"/>
      <c r="B217" s="42"/>
      <c r="C217" s="42"/>
      <c r="D217" s="42"/>
      <c r="E217" s="42"/>
      <c r="F217" s="42"/>
      <c r="G217" s="185"/>
      <c r="H217" s="172"/>
      <c r="I217" s="172"/>
      <c r="J217" s="172"/>
      <c r="K217" s="31"/>
    </row>
    <row r="218" spans="1:20" x14ac:dyDescent="0.25">
      <c r="A218" s="172"/>
      <c r="B218" s="42"/>
      <c r="C218" s="42"/>
      <c r="D218" s="42"/>
      <c r="E218" s="42"/>
      <c r="F218" s="42"/>
      <c r="G218" s="185"/>
      <c r="H218" s="172"/>
      <c r="I218" s="172"/>
      <c r="J218" s="172"/>
      <c r="K218" s="31"/>
    </row>
    <row r="219" spans="1:20" x14ac:dyDescent="0.25">
      <c r="A219" s="172"/>
      <c r="B219" s="42"/>
      <c r="C219" s="42"/>
      <c r="D219" s="42"/>
      <c r="E219" s="42"/>
      <c r="F219" s="42"/>
      <c r="G219" s="185"/>
      <c r="H219" s="172"/>
      <c r="I219" s="172"/>
      <c r="J219" s="172"/>
      <c r="K219" s="31"/>
    </row>
    <row r="220" spans="1:20" x14ac:dyDescent="0.25">
      <c r="A220" s="172"/>
      <c r="B220" s="42"/>
      <c r="C220" s="42"/>
      <c r="D220" s="42"/>
      <c r="E220" s="42"/>
      <c r="F220" s="42"/>
      <c r="G220" s="185"/>
      <c r="H220" s="172"/>
      <c r="I220" s="172"/>
      <c r="J220" s="172"/>
      <c r="K220" s="31"/>
    </row>
    <row r="221" spans="1:20" x14ac:dyDescent="0.25">
      <c r="A221" s="172"/>
      <c r="B221" s="42"/>
      <c r="C221" s="42"/>
      <c r="D221" s="42"/>
      <c r="E221" s="42"/>
      <c r="F221" s="42"/>
      <c r="H221" s="8"/>
      <c r="I221" s="8"/>
      <c r="J221" s="8"/>
      <c r="K221" s="31"/>
    </row>
    <row r="222" spans="1:20" x14ac:dyDescent="0.25">
      <c r="A222" s="172"/>
      <c r="B222" s="42"/>
      <c r="C222" s="42"/>
      <c r="D222" s="42"/>
      <c r="E222" s="42"/>
      <c r="F222" s="42"/>
      <c r="H222" s="8"/>
      <c r="I222" s="8"/>
      <c r="J222" s="8"/>
      <c r="K222" s="31"/>
    </row>
    <row r="223" spans="1:20" x14ac:dyDescent="0.25">
      <c r="A223" s="172"/>
      <c r="B223" s="42"/>
      <c r="C223" s="42"/>
      <c r="D223" s="42"/>
      <c r="E223" s="42"/>
      <c r="F223" s="42"/>
      <c r="H223" s="8"/>
      <c r="I223" s="8"/>
      <c r="J223" s="8"/>
      <c r="K223" s="31"/>
    </row>
    <row r="224" spans="1:20" x14ac:dyDescent="0.25">
      <c r="A224" s="172"/>
      <c r="B224" s="42"/>
      <c r="C224" s="42"/>
      <c r="D224" s="42"/>
      <c r="E224" s="42"/>
      <c r="F224" s="42"/>
      <c r="H224" s="8"/>
      <c r="I224" s="8"/>
      <c r="J224" s="8"/>
      <c r="K224" s="31"/>
    </row>
    <row r="225" spans="1:11" x14ac:dyDescent="0.25">
      <c r="A225" s="172"/>
      <c r="B225" s="42"/>
      <c r="C225" s="42"/>
      <c r="D225" s="42"/>
      <c r="E225" s="42"/>
      <c r="F225" s="42"/>
      <c r="H225" s="8"/>
      <c r="I225" s="8"/>
      <c r="J225" s="8"/>
      <c r="K225" s="31"/>
    </row>
    <row r="226" spans="1:11" x14ac:dyDescent="0.25">
      <c r="A226" s="172"/>
      <c r="B226" s="42"/>
      <c r="C226" s="42"/>
      <c r="D226" s="42"/>
      <c r="E226" s="42"/>
      <c r="F226" s="42"/>
      <c r="H226" s="8"/>
      <c r="I226" s="8"/>
      <c r="J226" s="8"/>
      <c r="K226" s="31"/>
    </row>
    <row r="227" spans="1:11" x14ac:dyDescent="0.25">
      <c r="A227" s="172"/>
      <c r="B227" s="42"/>
      <c r="C227" s="42"/>
      <c r="D227" s="42"/>
      <c r="E227" s="42"/>
      <c r="F227" s="42"/>
      <c r="H227" s="8"/>
      <c r="I227" s="8"/>
      <c r="J227" s="8"/>
      <c r="K227" s="31"/>
    </row>
    <row r="228" spans="1:11" x14ac:dyDescent="0.25">
      <c r="A228" s="172"/>
      <c r="B228" s="42"/>
      <c r="C228" s="42"/>
      <c r="D228" s="42"/>
      <c r="E228" s="42"/>
      <c r="F228" s="42"/>
      <c r="H228" s="8"/>
      <c r="I228" s="8"/>
      <c r="J228" s="8"/>
      <c r="K228" s="31"/>
    </row>
    <row r="229" spans="1:11" x14ac:dyDescent="0.25">
      <c r="A229" s="172"/>
      <c r="B229" s="42"/>
      <c r="C229" s="42"/>
      <c r="D229" s="42"/>
      <c r="E229" s="42"/>
      <c r="F229" s="42"/>
      <c r="H229" s="8"/>
      <c r="I229" s="8"/>
      <c r="J229" s="8"/>
      <c r="K229" s="31"/>
    </row>
    <row r="230" spans="1:11" x14ac:dyDescent="0.25">
      <c r="A230" s="172"/>
      <c r="B230" s="42"/>
      <c r="C230" s="42"/>
      <c r="D230" s="42"/>
      <c r="E230" s="42"/>
      <c r="F230" s="42"/>
      <c r="H230" s="8"/>
      <c r="I230" s="8"/>
      <c r="J230" s="8"/>
      <c r="K230" s="31"/>
    </row>
    <row r="231" spans="1:11" x14ac:dyDescent="0.25">
      <c r="A231" s="172"/>
      <c r="B231" s="42"/>
      <c r="C231" s="42"/>
      <c r="D231" s="42"/>
      <c r="E231" s="42"/>
      <c r="F231" s="42"/>
      <c r="H231" s="8"/>
      <c r="I231" s="8"/>
      <c r="J231" s="8"/>
      <c r="K231" s="31"/>
    </row>
    <row r="232" spans="1:11" x14ac:dyDescent="0.25">
      <c r="A232" s="172"/>
      <c r="B232" s="42"/>
      <c r="C232" s="42"/>
      <c r="D232" s="42"/>
      <c r="E232" s="42"/>
      <c r="F232" s="42"/>
      <c r="H232" s="8"/>
      <c r="I232" s="8"/>
      <c r="J232" s="8"/>
      <c r="K232" s="31"/>
    </row>
    <row r="233" spans="1:11" x14ac:dyDescent="0.25">
      <c r="A233" s="172"/>
      <c r="B233" s="42"/>
      <c r="C233" s="42"/>
      <c r="D233" s="42"/>
      <c r="E233" s="42"/>
      <c r="F233" s="42"/>
      <c r="H233" s="8"/>
      <c r="I233" s="8"/>
      <c r="J233" s="8"/>
      <c r="K233" s="31"/>
    </row>
    <row r="234" spans="1:11" x14ac:dyDescent="0.25">
      <c r="A234" s="172"/>
      <c r="B234" s="42"/>
      <c r="C234" s="42"/>
      <c r="D234" s="42"/>
      <c r="E234" s="42"/>
      <c r="F234" s="42"/>
      <c r="H234" s="8"/>
      <c r="I234" s="8"/>
      <c r="J234" s="8"/>
      <c r="K234" s="31"/>
    </row>
    <row r="235" spans="1:11" x14ac:dyDescent="0.25">
      <c r="A235" s="172"/>
      <c r="B235" s="42"/>
      <c r="C235" s="42"/>
      <c r="D235" s="42"/>
      <c r="E235" s="42"/>
      <c r="F235" s="42"/>
      <c r="H235" s="8"/>
      <c r="I235" s="8"/>
      <c r="J235" s="8"/>
      <c r="K235" s="31"/>
    </row>
    <row r="236" spans="1:11" x14ac:dyDescent="0.25">
      <c r="A236" s="172"/>
      <c r="B236" s="42"/>
      <c r="C236" s="42"/>
      <c r="D236" s="42"/>
      <c r="E236" s="42"/>
      <c r="F236" s="42"/>
      <c r="H236" s="8"/>
      <c r="I236" s="8"/>
      <c r="J236" s="8"/>
      <c r="K236" s="31"/>
    </row>
    <row r="237" spans="1:11" x14ac:dyDescent="0.25">
      <c r="A237" s="172"/>
      <c r="B237" s="42"/>
      <c r="C237" s="42"/>
      <c r="D237" s="42"/>
      <c r="E237" s="42"/>
      <c r="F237" s="42"/>
      <c r="H237" s="8"/>
      <c r="I237" s="8"/>
      <c r="J237" s="8"/>
      <c r="K237" s="31"/>
    </row>
    <row r="238" spans="1:11" x14ac:dyDescent="0.25">
      <c r="A238" s="172"/>
      <c r="B238" s="42"/>
      <c r="C238" s="42"/>
      <c r="D238" s="42"/>
      <c r="E238" s="42"/>
      <c r="F238" s="42"/>
      <c r="H238" s="8"/>
      <c r="I238" s="8"/>
      <c r="J238" s="8"/>
      <c r="K238" s="31"/>
    </row>
    <row r="239" spans="1:11" x14ac:dyDescent="0.25">
      <c r="A239" s="172"/>
      <c r="B239" s="42"/>
      <c r="C239" s="42"/>
      <c r="D239" s="42"/>
      <c r="E239" s="42"/>
      <c r="F239" s="42"/>
      <c r="H239" s="8"/>
      <c r="I239" s="8"/>
      <c r="J239" s="8"/>
      <c r="K239" s="31"/>
    </row>
    <row r="240" spans="1:11" x14ac:dyDescent="0.25">
      <c r="A240" s="172"/>
      <c r="B240" s="42"/>
      <c r="C240" s="42"/>
      <c r="D240" s="42"/>
      <c r="E240" s="42"/>
      <c r="F240" s="42"/>
      <c r="H240" s="8"/>
      <c r="I240" s="8"/>
      <c r="J240" s="8"/>
      <c r="K240" s="31"/>
    </row>
    <row r="241" spans="1:11" x14ac:dyDescent="0.25">
      <c r="A241" s="172"/>
      <c r="B241" s="42"/>
      <c r="C241" s="42"/>
      <c r="D241" s="42"/>
      <c r="E241" s="42"/>
      <c r="F241" s="42"/>
      <c r="H241" s="8"/>
      <c r="I241" s="8"/>
      <c r="J241" s="8"/>
      <c r="K241" s="31"/>
    </row>
    <row r="242" spans="1:11" x14ac:dyDescent="0.25">
      <c r="A242" s="172"/>
      <c r="B242" s="42"/>
      <c r="C242" s="42"/>
      <c r="D242" s="42"/>
      <c r="E242" s="42"/>
      <c r="F242" s="42"/>
      <c r="H242" s="8"/>
      <c r="I242" s="8"/>
      <c r="J242" s="8"/>
      <c r="K242" s="31"/>
    </row>
    <row r="243" spans="1:11" x14ac:dyDescent="0.25">
      <c r="A243" s="172"/>
      <c r="B243" s="42"/>
      <c r="C243" s="42"/>
      <c r="D243" s="42"/>
      <c r="E243" s="42"/>
      <c r="F243" s="42"/>
      <c r="H243" s="8"/>
      <c r="I243" s="8"/>
      <c r="J243" s="8"/>
      <c r="K243" s="31"/>
    </row>
    <row r="244" spans="1:11" x14ac:dyDescent="0.25">
      <c r="A244" s="172"/>
      <c r="B244" s="42"/>
      <c r="C244" s="42"/>
      <c r="D244" s="42"/>
      <c r="E244" s="42"/>
      <c r="F244" s="42"/>
      <c r="H244" s="8"/>
      <c r="I244" s="8"/>
      <c r="J244" s="8"/>
      <c r="K244" s="31"/>
    </row>
    <row r="245" spans="1:11" x14ac:dyDescent="0.25">
      <c r="A245" s="172"/>
      <c r="B245" s="42"/>
      <c r="C245" s="42"/>
      <c r="D245" s="42"/>
      <c r="E245" s="42"/>
      <c r="F245" s="42"/>
      <c r="H245" s="8"/>
      <c r="I245" s="8"/>
      <c r="J245" s="8"/>
      <c r="K245" s="31"/>
    </row>
    <row r="246" spans="1:11" x14ac:dyDescent="0.25">
      <c r="A246" s="172"/>
      <c r="B246" s="42"/>
      <c r="C246" s="42"/>
      <c r="D246" s="42"/>
      <c r="E246" s="42"/>
      <c r="F246" s="42"/>
      <c r="H246" s="8"/>
      <c r="I246" s="8"/>
      <c r="J246" s="8"/>
      <c r="K246" s="31"/>
    </row>
    <row r="247" spans="1:11" x14ac:dyDescent="0.25">
      <c r="A247" s="172"/>
      <c r="B247" s="42"/>
      <c r="C247" s="42"/>
      <c r="D247" s="42"/>
      <c r="E247" s="42"/>
      <c r="F247" s="42"/>
      <c r="H247" s="8"/>
      <c r="I247" s="8"/>
      <c r="J247" s="8"/>
      <c r="K247" s="31"/>
    </row>
    <row r="248" spans="1:11" x14ac:dyDescent="0.25">
      <c r="A248" s="172"/>
      <c r="B248" s="42"/>
      <c r="C248" s="42"/>
      <c r="D248" s="42"/>
      <c r="E248" s="42"/>
      <c r="F248" s="42"/>
      <c r="H248" s="8"/>
      <c r="I248" s="8"/>
      <c r="J248" s="8"/>
      <c r="K248" s="31"/>
    </row>
    <row r="249" spans="1:11" x14ac:dyDescent="0.25">
      <c r="A249" s="172"/>
      <c r="B249" s="42"/>
      <c r="C249" s="42"/>
      <c r="D249" s="42"/>
      <c r="E249" s="42"/>
      <c r="F249" s="42"/>
      <c r="H249" s="8"/>
      <c r="I249" s="8"/>
      <c r="J249" s="8"/>
      <c r="K249" s="31"/>
    </row>
    <row r="250" spans="1:11" x14ac:dyDescent="0.25">
      <c r="A250" s="172"/>
      <c r="B250" s="42"/>
      <c r="C250" s="42"/>
      <c r="D250" s="42"/>
      <c r="E250" s="42"/>
      <c r="F250" s="42"/>
      <c r="H250" s="8"/>
      <c r="I250" s="8"/>
      <c r="J250" s="8"/>
      <c r="K250" s="31"/>
    </row>
    <row r="251" spans="1:11" x14ac:dyDescent="0.25">
      <c r="A251" s="172"/>
      <c r="B251" s="42"/>
      <c r="C251" s="42"/>
      <c r="D251" s="42"/>
      <c r="E251" s="42"/>
      <c r="F251" s="42"/>
      <c r="H251" s="8"/>
      <c r="I251" s="8"/>
      <c r="J251" s="8"/>
      <c r="K251" s="31"/>
    </row>
    <row r="252" spans="1:11" x14ac:dyDescent="0.25">
      <c r="A252" s="172"/>
      <c r="B252" s="42"/>
      <c r="C252" s="42"/>
      <c r="D252" s="42"/>
      <c r="E252" s="42"/>
      <c r="F252" s="42"/>
      <c r="H252" s="8"/>
      <c r="I252" s="8"/>
      <c r="J252" s="8"/>
      <c r="K252" s="31"/>
    </row>
    <row r="253" spans="1:11" x14ac:dyDescent="0.25">
      <c r="A253" s="172"/>
      <c r="B253" s="42"/>
      <c r="C253" s="42"/>
      <c r="D253" s="42"/>
      <c r="E253" s="42"/>
      <c r="F253" s="42"/>
      <c r="H253" s="8"/>
      <c r="I253" s="8"/>
      <c r="J253" s="8"/>
      <c r="K253" s="31"/>
    </row>
    <row r="254" spans="1:11" x14ac:dyDescent="0.25">
      <c r="A254" s="172"/>
      <c r="B254" s="42"/>
      <c r="C254" s="42"/>
      <c r="D254" s="42"/>
      <c r="E254" s="42"/>
      <c r="F254" s="42"/>
      <c r="H254" s="8"/>
      <c r="I254" s="8"/>
      <c r="J254" s="8"/>
      <c r="K254" s="31"/>
    </row>
    <row r="255" spans="1:11" x14ac:dyDescent="0.25">
      <c r="A255" s="172"/>
      <c r="B255" s="42"/>
      <c r="C255" s="42"/>
      <c r="D255" s="42"/>
      <c r="E255" s="42"/>
      <c r="F255" s="42"/>
      <c r="H255" s="8"/>
      <c r="I255" s="8"/>
      <c r="J255" s="8"/>
      <c r="K255" s="31"/>
    </row>
    <row r="256" spans="1:11" x14ac:dyDescent="0.25">
      <c r="A256" s="172"/>
      <c r="B256" s="42"/>
      <c r="C256" s="42"/>
      <c r="D256" s="42"/>
      <c r="E256" s="42"/>
      <c r="F256" s="42"/>
      <c r="H256" s="8"/>
      <c r="I256" s="8"/>
      <c r="J256" s="8"/>
      <c r="K256" s="31"/>
    </row>
    <row r="257" spans="1:11" x14ac:dyDescent="0.25">
      <c r="A257" s="172"/>
      <c r="B257" s="42"/>
      <c r="C257" s="42"/>
      <c r="D257" s="42"/>
      <c r="E257" s="42"/>
      <c r="F257" s="42"/>
      <c r="H257" s="8"/>
      <c r="I257" s="8"/>
      <c r="J257" s="8"/>
      <c r="K257" s="31"/>
    </row>
    <row r="258" spans="1:11" x14ac:dyDescent="0.25">
      <c r="A258" s="172"/>
      <c r="B258" s="42"/>
      <c r="C258" s="42"/>
      <c r="D258" s="42"/>
      <c r="E258" s="42"/>
      <c r="F258" s="42"/>
      <c r="H258" s="8"/>
      <c r="I258" s="8"/>
      <c r="J258" s="8"/>
      <c r="K258" s="31"/>
    </row>
    <row r="259" spans="1:11" x14ac:dyDescent="0.25">
      <c r="A259" s="172"/>
      <c r="B259" s="42"/>
      <c r="C259" s="42"/>
      <c r="D259" s="42"/>
      <c r="E259" s="42"/>
      <c r="F259" s="42"/>
      <c r="H259" s="8"/>
      <c r="I259" s="8"/>
      <c r="J259" s="8"/>
      <c r="K259" s="31"/>
    </row>
    <row r="260" spans="1:11" x14ac:dyDescent="0.25">
      <c r="A260" s="172"/>
      <c r="B260" s="42"/>
      <c r="C260" s="42"/>
      <c r="D260" s="42"/>
      <c r="E260" s="42"/>
      <c r="F260" s="42"/>
      <c r="H260" s="8"/>
      <c r="I260" s="8"/>
      <c r="J260" s="8"/>
      <c r="K260" s="31"/>
    </row>
    <row r="261" spans="1:11" x14ac:dyDescent="0.25">
      <c r="A261" s="172"/>
      <c r="B261" s="42"/>
      <c r="C261" s="42"/>
      <c r="D261" s="42"/>
      <c r="E261" s="42"/>
      <c r="F261" s="42"/>
      <c r="H261" s="8"/>
      <c r="I261" s="8"/>
      <c r="J261" s="8"/>
      <c r="K261" s="31"/>
    </row>
    <row r="262" spans="1:11" x14ac:dyDescent="0.25">
      <c r="A262" s="172"/>
      <c r="B262" s="42"/>
      <c r="C262" s="42"/>
      <c r="D262" s="42"/>
      <c r="E262" s="42"/>
      <c r="F262" s="42"/>
      <c r="H262" s="8"/>
      <c r="I262" s="8"/>
      <c r="J262" s="8"/>
      <c r="K262" s="31"/>
    </row>
    <row r="263" spans="1:11" x14ac:dyDescent="0.25">
      <c r="A263" s="172"/>
      <c r="B263" s="42"/>
      <c r="C263" s="42"/>
      <c r="D263" s="42"/>
      <c r="E263" s="42"/>
      <c r="F263" s="42"/>
      <c r="H263" s="8"/>
      <c r="I263" s="8"/>
      <c r="J263" s="8"/>
      <c r="K263" s="31"/>
    </row>
    <row r="264" spans="1:11" x14ac:dyDescent="0.25">
      <c r="A264" s="172"/>
      <c r="B264" s="42"/>
      <c r="C264" s="42"/>
      <c r="D264" s="42"/>
      <c r="E264" s="42"/>
      <c r="F264" s="42"/>
      <c r="H264" s="8"/>
      <c r="I264" s="8"/>
      <c r="J264" s="8"/>
      <c r="K264" s="31"/>
    </row>
    <row r="265" spans="1:11" x14ac:dyDescent="0.25">
      <c r="A265" s="172"/>
      <c r="B265" s="42"/>
      <c r="C265" s="42"/>
      <c r="D265" s="42"/>
      <c r="E265" s="42"/>
      <c r="F265" s="42"/>
      <c r="H265" s="8"/>
      <c r="I265" s="8"/>
      <c r="J265" s="8"/>
      <c r="K265" s="31"/>
    </row>
    <row r="266" spans="1:11" x14ac:dyDescent="0.25">
      <c r="A266" s="172"/>
      <c r="B266" s="42"/>
      <c r="C266" s="42"/>
      <c r="D266" s="42"/>
      <c r="E266" s="42"/>
      <c r="F266" s="42"/>
      <c r="H266" s="8"/>
      <c r="I266" s="8"/>
      <c r="J266" s="8"/>
      <c r="K266" s="31"/>
    </row>
    <row r="267" spans="1:11" x14ac:dyDescent="0.25">
      <c r="A267" s="172"/>
      <c r="B267" s="42"/>
      <c r="C267" s="42"/>
      <c r="D267" s="42"/>
      <c r="E267" s="42"/>
      <c r="F267" s="42"/>
      <c r="H267" s="8"/>
      <c r="I267" s="8"/>
      <c r="J267" s="8"/>
      <c r="K267" s="31"/>
    </row>
    <row r="268" spans="1:11" x14ac:dyDescent="0.25">
      <c r="A268" s="172"/>
      <c r="B268" s="42"/>
      <c r="C268" s="42"/>
      <c r="D268" s="42"/>
      <c r="E268" s="42"/>
      <c r="F268" s="42"/>
      <c r="G268" s="185"/>
      <c r="H268" s="172"/>
      <c r="I268" s="172"/>
      <c r="J268" s="172"/>
    </row>
    <row r="269" spans="1:11" x14ac:dyDescent="0.25">
      <c r="A269" s="172"/>
      <c r="B269" s="42"/>
      <c r="C269" s="42"/>
      <c r="D269" s="42"/>
      <c r="E269" s="42"/>
      <c r="F269" s="42"/>
      <c r="G269" s="185"/>
      <c r="H269" s="172"/>
      <c r="I269" s="172"/>
      <c r="J269" s="172"/>
    </row>
    <row r="270" spans="1:11" x14ac:dyDescent="0.25">
      <c r="A270" s="172"/>
      <c r="B270" s="42"/>
      <c r="C270" s="42"/>
      <c r="D270" s="42"/>
      <c r="E270" s="42"/>
      <c r="F270" s="42"/>
      <c r="G270" s="185"/>
      <c r="H270" s="172"/>
      <c r="I270" s="172"/>
      <c r="J270" s="172"/>
    </row>
    <row r="271" spans="1:11" x14ac:dyDescent="0.25">
      <c r="A271" s="172"/>
      <c r="B271" s="42"/>
      <c r="C271" s="42"/>
      <c r="D271" s="42"/>
      <c r="E271" s="42"/>
      <c r="F271" s="42"/>
      <c r="G271" s="185"/>
      <c r="H271" s="172"/>
      <c r="I271" s="172"/>
      <c r="J271" s="172"/>
    </row>
    <row r="272" spans="1:11" x14ac:dyDescent="0.25">
      <c r="A272" s="172"/>
      <c r="B272" s="42"/>
      <c r="C272" s="42"/>
      <c r="D272" s="42"/>
      <c r="E272" s="42"/>
      <c r="F272" s="42"/>
      <c r="G272" s="185"/>
      <c r="H272" s="172"/>
      <c r="I272" s="172"/>
      <c r="J272" s="172"/>
    </row>
    <row r="273" spans="1:10" x14ac:dyDescent="0.25">
      <c r="A273" s="172"/>
      <c r="B273" s="42"/>
      <c r="C273" s="42"/>
      <c r="D273" s="42"/>
      <c r="E273" s="42"/>
      <c r="F273" s="42"/>
      <c r="G273" s="185"/>
      <c r="H273" s="172"/>
      <c r="I273" s="172"/>
      <c r="J273" s="172"/>
    </row>
    <row r="274" spans="1:10" x14ac:dyDescent="0.25">
      <c r="A274" s="172"/>
      <c r="B274" s="42"/>
      <c r="C274" s="42"/>
      <c r="D274" s="42"/>
      <c r="E274" s="42"/>
      <c r="F274" s="42"/>
      <c r="G274" s="185"/>
      <c r="H274" s="172"/>
      <c r="I274" s="172"/>
      <c r="J274" s="172"/>
    </row>
    <row r="275" spans="1:10" x14ac:dyDescent="0.25">
      <c r="A275" s="172"/>
      <c r="B275" s="42"/>
      <c r="C275" s="42"/>
      <c r="D275" s="42"/>
      <c r="E275" s="42"/>
      <c r="F275" s="42"/>
      <c r="G275" s="185"/>
      <c r="H275" s="172"/>
      <c r="I275" s="172"/>
      <c r="J275" s="172"/>
    </row>
    <row r="276" spans="1:10" x14ac:dyDescent="0.25">
      <c r="A276" s="172"/>
      <c r="B276" s="42"/>
      <c r="C276" s="42"/>
      <c r="D276" s="42"/>
      <c r="E276" s="42"/>
      <c r="F276" s="42"/>
      <c r="G276" s="185"/>
      <c r="H276" s="172"/>
      <c r="I276" s="172"/>
      <c r="J276" s="172"/>
    </row>
    <row r="277" spans="1:10" x14ac:dyDescent="0.25">
      <c r="A277" s="172"/>
      <c r="B277" s="42"/>
      <c r="C277" s="42"/>
      <c r="D277" s="42"/>
      <c r="E277" s="42"/>
      <c r="F277" s="42"/>
      <c r="G277" s="185"/>
      <c r="H277" s="172"/>
      <c r="I277" s="172"/>
      <c r="J277" s="172"/>
    </row>
    <row r="278" spans="1:10" x14ac:dyDescent="0.25">
      <c r="A278" s="172"/>
      <c r="B278" s="42"/>
      <c r="C278" s="42"/>
      <c r="D278" s="42"/>
      <c r="E278" s="42"/>
      <c r="F278" s="42"/>
      <c r="G278" s="185"/>
      <c r="H278" s="172"/>
      <c r="I278" s="172"/>
      <c r="J278" s="172"/>
    </row>
    <row r="279" spans="1:10" x14ac:dyDescent="0.25">
      <c r="A279" s="172"/>
      <c r="B279" s="42"/>
      <c r="C279" s="42"/>
      <c r="D279" s="42"/>
      <c r="E279" s="42"/>
      <c r="F279" s="42"/>
      <c r="G279" s="185"/>
      <c r="H279" s="172"/>
      <c r="I279" s="172"/>
      <c r="J279" s="172"/>
    </row>
    <row r="280" spans="1:10" x14ac:dyDescent="0.25">
      <c r="A280" s="172"/>
      <c r="B280" s="42"/>
      <c r="C280" s="42"/>
      <c r="D280" s="42"/>
      <c r="E280" s="42"/>
      <c r="F280" s="42"/>
      <c r="G280" s="185"/>
      <c r="H280" s="172"/>
      <c r="I280" s="172"/>
      <c r="J280" s="172"/>
    </row>
    <row r="281" spans="1:10" x14ac:dyDescent="0.25">
      <c r="A281" s="172"/>
      <c r="B281" s="42"/>
      <c r="C281" s="42"/>
      <c r="D281" s="42"/>
      <c r="E281" s="42"/>
      <c r="F281" s="42"/>
      <c r="G281" s="185"/>
      <c r="H281" s="172"/>
      <c r="I281" s="172"/>
      <c r="J281" s="172"/>
    </row>
    <row r="282" spans="1:10" x14ac:dyDescent="0.25">
      <c r="A282" s="172"/>
      <c r="B282" s="42"/>
      <c r="C282" s="42"/>
      <c r="D282" s="42"/>
      <c r="E282" s="42"/>
      <c r="F282" s="42"/>
      <c r="G282" s="185"/>
      <c r="H282" s="172"/>
      <c r="I282" s="172"/>
      <c r="J282" s="172"/>
    </row>
    <row r="283" spans="1:10" x14ac:dyDescent="0.25">
      <c r="A283" s="172"/>
      <c r="B283" s="42"/>
      <c r="C283" s="42"/>
      <c r="D283" s="42"/>
      <c r="E283" s="42"/>
      <c r="F283" s="42"/>
      <c r="G283" s="185"/>
      <c r="H283" s="172"/>
      <c r="I283" s="172"/>
      <c r="J283" s="172"/>
    </row>
    <row r="284" spans="1:10" x14ac:dyDescent="0.25">
      <c r="A284" s="172"/>
      <c r="B284" s="42"/>
      <c r="C284" s="42"/>
      <c r="D284" s="42"/>
      <c r="E284" s="42"/>
      <c r="F284" s="42"/>
      <c r="G284" s="185"/>
      <c r="H284" s="172"/>
      <c r="I284" s="172"/>
      <c r="J284" s="172"/>
    </row>
    <row r="285" spans="1:10" x14ac:dyDescent="0.25">
      <c r="A285" s="172"/>
      <c r="B285" s="42"/>
      <c r="C285" s="42"/>
      <c r="D285" s="42"/>
      <c r="E285" s="42"/>
      <c r="F285" s="42"/>
      <c r="G285" s="185"/>
      <c r="H285" s="172"/>
      <c r="I285" s="172"/>
      <c r="J285" s="172"/>
    </row>
    <row r="286" spans="1:10" x14ac:dyDescent="0.25">
      <c r="A286" s="172"/>
      <c r="B286" s="42"/>
      <c r="C286" s="42"/>
      <c r="D286" s="42"/>
      <c r="E286" s="42"/>
      <c r="F286" s="42"/>
      <c r="G286" s="185"/>
      <c r="H286" s="172"/>
      <c r="I286" s="172"/>
      <c r="J286" s="172"/>
    </row>
    <row r="287" spans="1:10" x14ac:dyDescent="0.25">
      <c r="A287" s="172"/>
      <c r="B287" s="42"/>
      <c r="C287" s="42"/>
      <c r="D287" s="42"/>
      <c r="E287" s="42"/>
      <c r="F287" s="42"/>
      <c r="G287" s="185"/>
      <c r="H287" s="172"/>
      <c r="I287" s="172"/>
      <c r="J287" s="172"/>
    </row>
    <row r="288" spans="1:10" x14ac:dyDescent="0.25">
      <c r="A288" s="172"/>
      <c r="B288" s="42"/>
      <c r="C288" s="42"/>
      <c r="D288" s="42"/>
      <c r="E288" s="42"/>
      <c r="F288" s="42"/>
      <c r="G288" s="185"/>
      <c r="H288" s="172"/>
      <c r="I288" s="172"/>
      <c r="J288" s="172"/>
    </row>
    <row r="289" spans="1:10" x14ac:dyDescent="0.25">
      <c r="A289" s="172"/>
      <c r="B289" s="42"/>
      <c r="C289" s="42"/>
      <c r="D289" s="42"/>
      <c r="E289" s="42"/>
      <c r="F289" s="42"/>
      <c r="G289" s="185"/>
      <c r="H289" s="172"/>
      <c r="I289" s="172"/>
      <c r="J289" s="172"/>
    </row>
    <row r="290" spans="1:10" x14ac:dyDescent="0.25">
      <c r="A290" s="172"/>
      <c r="B290" s="42"/>
      <c r="C290" s="42"/>
      <c r="D290" s="42"/>
      <c r="E290" s="42"/>
      <c r="F290" s="42"/>
      <c r="G290" s="185"/>
      <c r="H290" s="172"/>
      <c r="I290" s="172"/>
      <c r="J290" s="172"/>
    </row>
    <row r="291" spans="1:10" x14ac:dyDescent="0.25">
      <c r="A291" s="172"/>
      <c r="B291" s="42"/>
      <c r="C291" s="42"/>
      <c r="D291" s="42"/>
      <c r="E291" s="42"/>
      <c r="F291" s="42"/>
      <c r="G291" s="185"/>
      <c r="H291" s="172"/>
      <c r="I291" s="172"/>
      <c r="J291" s="172"/>
    </row>
    <row r="292" spans="1:10" x14ac:dyDescent="0.25">
      <c r="A292" s="172"/>
      <c r="B292" s="42"/>
      <c r="C292" s="42"/>
      <c r="D292" s="42"/>
      <c r="E292" s="42"/>
      <c r="F292" s="42"/>
      <c r="G292" s="185"/>
      <c r="H292" s="172"/>
      <c r="I292" s="172"/>
      <c r="J292" s="172"/>
    </row>
    <row r="293" spans="1:10" x14ac:dyDescent="0.25">
      <c r="A293" s="172"/>
      <c r="B293" s="42"/>
      <c r="C293" s="42"/>
      <c r="D293" s="42"/>
      <c r="E293" s="42"/>
      <c r="F293" s="42"/>
      <c r="G293" s="185"/>
      <c r="H293" s="172"/>
      <c r="I293" s="172"/>
      <c r="J293" s="172"/>
    </row>
    <row r="294" spans="1:10" x14ac:dyDescent="0.25">
      <c r="A294" s="172"/>
      <c r="B294" s="42"/>
      <c r="C294" s="42"/>
      <c r="D294" s="42"/>
      <c r="E294" s="42"/>
      <c r="F294" s="42"/>
      <c r="G294" s="185"/>
      <c r="H294" s="172"/>
      <c r="I294" s="172"/>
      <c r="J294" s="172"/>
    </row>
    <row r="295" spans="1:10" x14ac:dyDescent="0.25">
      <c r="A295" s="172"/>
      <c r="B295" s="42"/>
      <c r="C295" s="42"/>
      <c r="D295" s="42"/>
      <c r="E295" s="42"/>
      <c r="F295" s="42"/>
      <c r="G295" s="185"/>
      <c r="H295" s="172"/>
      <c r="I295" s="172"/>
      <c r="J295" s="172"/>
    </row>
    <row r="296" spans="1:10" x14ac:dyDescent="0.25">
      <c r="A296" s="172"/>
      <c r="B296" s="42"/>
      <c r="C296" s="42"/>
      <c r="D296" s="42"/>
      <c r="E296" s="42"/>
      <c r="F296" s="42"/>
      <c r="G296" s="185"/>
      <c r="H296" s="172"/>
      <c r="I296" s="172"/>
      <c r="J296" s="172"/>
    </row>
    <row r="297" spans="1:10" x14ac:dyDescent="0.25">
      <c r="A297" s="172"/>
      <c r="B297" s="42"/>
      <c r="C297" s="42"/>
      <c r="D297" s="42"/>
      <c r="E297" s="42"/>
      <c r="F297" s="42"/>
      <c r="G297" s="185"/>
      <c r="H297" s="172"/>
      <c r="I297" s="172"/>
      <c r="J297" s="172"/>
    </row>
    <row r="298" spans="1:10" x14ac:dyDescent="0.25">
      <c r="A298" s="172"/>
      <c r="B298" s="42"/>
      <c r="C298" s="42"/>
      <c r="D298" s="42"/>
      <c r="E298" s="42"/>
      <c r="F298" s="42"/>
      <c r="G298" s="185"/>
      <c r="H298" s="172"/>
      <c r="I298" s="172"/>
      <c r="J298" s="172"/>
    </row>
    <row r="299" spans="1:10" x14ac:dyDescent="0.25">
      <c r="A299" s="172"/>
      <c r="B299" s="42"/>
      <c r="C299" s="42"/>
      <c r="D299" s="42"/>
      <c r="E299" s="42"/>
      <c r="F299" s="42"/>
      <c r="G299" s="185"/>
      <c r="H299" s="172"/>
      <c r="I299" s="172"/>
      <c r="J299" s="172"/>
    </row>
    <row r="300" spans="1:10" x14ac:dyDescent="0.25">
      <c r="A300" s="172"/>
      <c r="B300" s="42"/>
      <c r="C300" s="42"/>
      <c r="D300" s="42"/>
      <c r="E300" s="42"/>
      <c r="F300" s="42"/>
      <c r="G300" s="185"/>
      <c r="H300" s="172"/>
      <c r="I300" s="172"/>
      <c r="J300" s="172"/>
    </row>
    <row r="301" spans="1:10" x14ac:dyDescent="0.25">
      <c r="A301" s="172"/>
      <c r="B301" s="42"/>
      <c r="C301" s="42"/>
      <c r="D301" s="42"/>
      <c r="E301" s="42"/>
      <c r="F301" s="42"/>
      <c r="G301" s="185"/>
      <c r="H301" s="172"/>
      <c r="I301" s="172"/>
      <c r="J301" s="172"/>
    </row>
    <row r="302" spans="1:10" x14ac:dyDescent="0.25">
      <c r="A302" s="172"/>
      <c r="B302" s="42"/>
      <c r="C302" s="42"/>
      <c r="D302" s="42"/>
      <c r="E302" s="42"/>
      <c r="F302" s="42"/>
      <c r="G302" s="185"/>
      <c r="H302" s="172"/>
      <c r="I302" s="172"/>
      <c r="J302" s="172"/>
    </row>
    <row r="303" spans="1:10" x14ac:dyDescent="0.25">
      <c r="A303" s="172"/>
      <c r="B303" s="42"/>
      <c r="C303" s="42"/>
      <c r="D303" s="42"/>
      <c r="E303" s="42"/>
      <c r="F303" s="42"/>
      <c r="G303" s="185"/>
      <c r="H303" s="172"/>
      <c r="I303" s="172"/>
      <c r="J303" s="172"/>
    </row>
    <row r="304" spans="1:10" x14ac:dyDescent="0.25">
      <c r="A304" s="172"/>
      <c r="B304" s="42"/>
      <c r="C304" s="42"/>
      <c r="D304" s="42"/>
      <c r="E304" s="42"/>
      <c r="F304" s="42"/>
      <c r="G304" s="185"/>
      <c r="H304" s="172"/>
      <c r="I304" s="172"/>
      <c r="J304" s="172"/>
    </row>
    <row r="305" spans="1:10" x14ac:dyDescent="0.25">
      <c r="A305" s="172"/>
      <c r="B305" s="42"/>
      <c r="C305" s="42"/>
      <c r="D305" s="42"/>
      <c r="E305" s="42"/>
      <c r="F305" s="42"/>
      <c r="G305" s="185"/>
      <c r="H305" s="172"/>
      <c r="I305" s="172"/>
      <c r="J305" s="172"/>
    </row>
    <row r="306" spans="1:10" x14ac:dyDescent="0.25">
      <c r="A306" s="172"/>
      <c r="B306" s="42"/>
      <c r="C306" s="42"/>
      <c r="D306" s="42"/>
      <c r="E306" s="42"/>
      <c r="F306" s="42"/>
      <c r="G306" s="185"/>
      <c r="H306" s="172"/>
      <c r="I306" s="172"/>
      <c r="J306" s="172"/>
    </row>
    <row r="307" spans="1:10" x14ac:dyDescent="0.25">
      <c r="A307" s="172"/>
      <c r="B307" s="42"/>
      <c r="C307" s="42"/>
      <c r="D307" s="42"/>
      <c r="E307" s="42"/>
      <c r="F307" s="42"/>
      <c r="G307" s="185"/>
      <c r="H307" s="172"/>
      <c r="I307" s="172"/>
      <c r="J307" s="172"/>
    </row>
    <row r="308" spans="1:10" x14ac:dyDescent="0.25">
      <c r="A308" s="172"/>
      <c r="B308" s="42"/>
      <c r="C308" s="42"/>
      <c r="D308" s="42"/>
      <c r="E308" s="42"/>
      <c r="F308" s="42"/>
      <c r="G308" s="185"/>
      <c r="H308" s="172"/>
      <c r="I308" s="172"/>
      <c r="J308" s="172"/>
    </row>
    <row r="309" spans="1:10" x14ac:dyDescent="0.25">
      <c r="A309" s="172"/>
      <c r="B309" s="42"/>
      <c r="C309" s="42"/>
      <c r="D309" s="42"/>
      <c r="E309" s="42"/>
      <c r="F309" s="42"/>
      <c r="G309" s="185"/>
      <c r="H309" s="172"/>
      <c r="I309" s="172"/>
      <c r="J309" s="172"/>
    </row>
    <row r="310" spans="1:10" x14ac:dyDescent="0.25">
      <c r="A310" s="172"/>
      <c r="B310" s="42"/>
      <c r="C310" s="42"/>
      <c r="D310" s="42"/>
      <c r="E310" s="42"/>
      <c r="F310" s="42"/>
      <c r="G310" s="185"/>
      <c r="H310" s="172"/>
      <c r="I310" s="172"/>
      <c r="J310" s="172"/>
    </row>
    <row r="311" spans="1:10" x14ac:dyDescent="0.25">
      <c r="A311" s="172"/>
      <c r="B311" s="42"/>
      <c r="C311" s="42"/>
      <c r="D311" s="42"/>
      <c r="E311" s="42"/>
      <c r="F311" s="42"/>
      <c r="G311" s="185"/>
      <c r="H311" s="172"/>
      <c r="I311" s="172"/>
      <c r="J311" s="172"/>
    </row>
    <row r="312" spans="1:10" x14ac:dyDescent="0.25">
      <c r="A312" s="172"/>
      <c r="B312" s="42"/>
      <c r="C312" s="42"/>
      <c r="D312" s="42"/>
      <c r="E312" s="42"/>
      <c r="F312" s="42"/>
      <c r="G312" s="185"/>
      <c r="H312" s="172"/>
      <c r="I312" s="172"/>
      <c r="J312" s="172"/>
    </row>
    <row r="313" spans="1:10" x14ac:dyDescent="0.25">
      <c r="A313" s="172"/>
      <c r="B313" s="42"/>
      <c r="C313" s="42"/>
      <c r="D313" s="42"/>
      <c r="E313" s="42"/>
      <c r="F313" s="42"/>
      <c r="G313" s="185"/>
      <c r="H313" s="172"/>
      <c r="I313" s="172"/>
      <c r="J313" s="172"/>
    </row>
    <row r="314" spans="1:10" x14ac:dyDescent="0.25">
      <c r="A314" s="172"/>
      <c r="B314" s="42"/>
      <c r="C314" s="42"/>
      <c r="D314" s="42"/>
      <c r="E314" s="42"/>
      <c r="F314" s="42"/>
      <c r="G314" s="185"/>
      <c r="H314" s="172"/>
      <c r="I314" s="172"/>
      <c r="J314" s="172"/>
    </row>
    <row r="315" spans="1:10" x14ac:dyDescent="0.25">
      <c r="A315" s="172"/>
      <c r="B315" s="42"/>
      <c r="C315" s="42"/>
      <c r="D315" s="42"/>
      <c r="E315" s="42"/>
      <c r="F315" s="42"/>
      <c r="G315" s="185"/>
      <c r="H315" s="172"/>
      <c r="I315" s="172"/>
      <c r="J315" s="172"/>
    </row>
    <row r="316" spans="1:10" x14ac:dyDescent="0.25">
      <c r="A316" s="172"/>
      <c r="B316" s="42"/>
      <c r="C316" s="42"/>
      <c r="D316" s="42"/>
      <c r="E316" s="42"/>
      <c r="F316" s="42"/>
      <c r="G316" s="185"/>
      <c r="H316" s="172"/>
      <c r="I316" s="172"/>
      <c r="J316" s="172"/>
    </row>
    <row r="317" spans="1:10" x14ac:dyDescent="0.25">
      <c r="A317" s="172"/>
      <c r="B317" s="42"/>
      <c r="C317" s="42"/>
      <c r="D317" s="42"/>
      <c r="E317" s="42"/>
      <c r="F317" s="42"/>
      <c r="G317" s="185"/>
      <c r="H317" s="172"/>
      <c r="I317" s="172"/>
      <c r="J317" s="172"/>
    </row>
    <row r="318" spans="1:10" x14ac:dyDescent="0.25">
      <c r="A318" s="172"/>
      <c r="B318" s="42"/>
      <c r="C318" s="42"/>
      <c r="D318" s="42"/>
      <c r="E318" s="42"/>
      <c r="F318" s="42"/>
      <c r="G318" s="185"/>
      <c r="H318" s="172"/>
      <c r="I318" s="172"/>
      <c r="J318" s="172"/>
    </row>
    <row r="319" spans="1:10" x14ac:dyDescent="0.25">
      <c r="A319" s="172"/>
      <c r="B319" s="42"/>
      <c r="C319" s="42"/>
      <c r="D319" s="42"/>
      <c r="E319" s="42"/>
      <c r="F319" s="42"/>
      <c r="G319" s="185"/>
      <c r="H319" s="172"/>
      <c r="I319" s="172"/>
      <c r="J319" s="172"/>
    </row>
    <row r="320" spans="1:10" x14ac:dyDescent="0.25">
      <c r="A320" s="172"/>
      <c r="B320" s="42"/>
      <c r="C320" s="42"/>
      <c r="D320" s="42"/>
      <c r="E320" s="42"/>
      <c r="F320" s="42"/>
      <c r="G320" s="185"/>
      <c r="H320" s="172"/>
      <c r="I320" s="172"/>
      <c r="J320" s="172"/>
    </row>
    <row r="321" spans="1:10" x14ac:dyDescent="0.25">
      <c r="A321" s="172"/>
      <c r="B321" s="42"/>
      <c r="C321" s="42"/>
      <c r="D321" s="42"/>
      <c r="E321" s="42"/>
      <c r="F321" s="42"/>
      <c r="G321" s="185"/>
      <c r="H321" s="172"/>
      <c r="I321" s="172"/>
      <c r="J321" s="172"/>
    </row>
    <row r="322" spans="1:10" x14ac:dyDescent="0.25">
      <c r="A322" s="172"/>
      <c r="B322" s="42"/>
      <c r="C322" s="42"/>
      <c r="D322" s="42"/>
      <c r="E322" s="42"/>
      <c r="F322" s="42"/>
      <c r="G322" s="185"/>
      <c r="H322" s="172"/>
      <c r="I322" s="172"/>
      <c r="J322" s="172"/>
    </row>
    <row r="323" spans="1:10" x14ac:dyDescent="0.25">
      <c r="A323" s="172"/>
      <c r="B323" s="42"/>
      <c r="C323" s="42"/>
      <c r="D323" s="42"/>
      <c r="E323" s="42"/>
      <c r="F323" s="42"/>
      <c r="G323" s="185"/>
      <c r="H323" s="172"/>
      <c r="I323" s="172"/>
      <c r="J323" s="172"/>
    </row>
    <row r="324" spans="1:10" x14ac:dyDescent="0.25">
      <c r="A324" s="172"/>
      <c r="B324" s="42"/>
      <c r="C324" s="42"/>
      <c r="D324" s="42"/>
      <c r="E324" s="42"/>
      <c r="F324" s="42"/>
      <c r="G324" s="185"/>
      <c r="H324" s="172"/>
      <c r="I324" s="172"/>
      <c r="J324" s="172"/>
    </row>
    <row r="325" spans="1:10" x14ac:dyDescent="0.25">
      <c r="A325" s="172"/>
      <c r="B325" s="42"/>
      <c r="C325" s="42"/>
      <c r="D325" s="42"/>
      <c r="E325" s="42"/>
      <c r="F325" s="42"/>
      <c r="G325" s="185"/>
      <c r="H325" s="172"/>
      <c r="I325" s="172"/>
      <c r="J325" s="172"/>
    </row>
    <row r="326" spans="1:10" x14ac:dyDescent="0.25">
      <c r="A326" s="172"/>
      <c r="B326" s="42"/>
      <c r="C326" s="42"/>
      <c r="D326" s="42"/>
      <c r="E326" s="42"/>
      <c r="F326" s="42"/>
      <c r="G326" s="185"/>
      <c r="H326" s="172"/>
      <c r="I326" s="172"/>
      <c r="J326" s="172"/>
    </row>
    <row r="327" spans="1:10" x14ac:dyDescent="0.25">
      <c r="A327" s="172"/>
      <c r="B327" s="42"/>
      <c r="C327" s="42"/>
      <c r="D327" s="42"/>
      <c r="E327" s="42"/>
      <c r="F327" s="42"/>
      <c r="G327" s="185"/>
      <c r="H327" s="172"/>
      <c r="I327" s="172"/>
      <c r="J327" s="172"/>
    </row>
    <row r="328" spans="1:10" x14ac:dyDescent="0.25">
      <c r="A328" s="172"/>
      <c r="B328" s="42"/>
      <c r="C328" s="42"/>
      <c r="D328" s="42"/>
      <c r="E328" s="42"/>
      <c r="F328" s="42"/>
      <c r="G328" s="185"/>
      <c r="H328" s="172"/>
      <c r="I328" s="172"/>
      <c r="J328" s="172"/>
    </row>
    <row r="329" spans="1:10" x14ac:dyDescent="0.25">
      <c r="A329" s="172"/>
      <c r="B329" s="42"/>
      <c r="C329" s="42"/>
      <c r="D329" s="42"/>
      <c r="E329" s="42"/>
      <c r="F329" s="42"/>
      <c r="G329" s="185"/>
      <c r="H329" s="172"/>
      <c r="I329" s="172"/>
      <c r="J329" s="172"/>
    </row>
    <row r="330" spans="1:10" x14ac:dyDescent="0.25">
      <c r="A330" s="172"/>
      <c r="B330" s="42"/>
      <c r="C330" s="42"/>
      <c r="D330" s="42"/>
      <c r="E330" s="42"/>
      <c r="F330" s="42"/>
      <c r="G330" s="185"/>
      <c r="H330" s="172"/>
      <c r="I330" s="172"/>
      <c r="J330" s="172"/>
    </row>
    <row r="331" spans="1:10" x14ac:dyDescent="0.25">
      <c r="A331" s="172"/>
      <c r="B331" s="42"/>
      <c r="C331" s="42"/>
      <c r="D331" s="42"/>
      <c r="E331" s="42"/>
      <c r="F331" s="42"/>
      <c r="G331" s="185"/>
      <c r="H331" s="172"/>
      <c r="I331" s="172"/>
      <c r="J331" s="172"/>
    </row>
    <row r="332" spans="1:10" x14ac:dyDescent="0.25">
      <c r="A332" s="172"/>
      <c r="B332" s="42"/>
      <c r="C332" s="42"/>
      <c r="D332" s="42"/>
      <c r="E332" s="42"/>
      <c r="F332" s="42"/>
      <c r="G332" s="185"/>
      <c r="H332" s="172"/>
      <c r="I332" s="172"/>
      <c r="J332" s="172"/>
    </row>
    <row r="333" spans="1:10" x14ac:dyDescent="0.25">
      <c r="A333" s="172"/>
      <c r="B333" s="42"/>
      <c r="C333" s="42"/>
      <c r="D333" s="42"/>
      <c r="E333" s="42"/>
      <c r="F333" s="42"/>
      <c r="G333" s="185"/>
      <c r="H333" s="172"/>
      <c r="I333" s="172"/>
      <c r="J333" s="172"/>
    </row>
    <row r="334" spans="1:10" x14ac:dyDescent="0.25">
      <c r="A334" s="172"/>
      <c r="B334" s="42"/>
      <c r="C334" s="42"/>
      <c r="D334" s="42"/>
      <c r="E334" s="42"/>
      <c r="F334" s="42"/>
      <c r="G334" s="185"/>
      <c r="H334" s="172"/>
      <c r="I334" s="172"/>
      <c r="J334" s="172"/>
    </row>
    <row r="335" spans="1:10" x14ac:dyDescent="0.25">
      <c r="A335" s="172"/>
      <c r="B335" s="42"/>
      <c r="C335" s="42"/>
      <c r="D335" s="42"/>
      <c r="E335" s="42"/>
      <c r="F335" s="42"/>
      <c r="G335" s="185"/>
      <c r="H335" s="172"/>
      <c r="I335" s="172"/>
      <c r="J335" s="172"/>
    </row>
    <row r="336" spans="1:10" x14ac:dyDescent="0.25">
      <c r="A336" s="172"/>
      <c r="B336" s="42"/>
      <c r="C336" s="42"/>
      <c r="D336" s="42"/>
      <c r="E336" s="42"/>
      <c r="F336" s="42"/>
      <c r="G336" s="185"/>
      <c r="H336" s="172"/>
      <c r="I336" s="172"/>
      <c r="J336" s="172"/>
    </row>
    <row r="337" spans="1:10" x14ac:dyDescent="0.25">
      <c r="A337" s="172"/>
      <c r="B337" s="42"/>
      <c r="C337" s="42"/>
      <c r="D337" s="42"/>
      <c r="E337" s="42"/>
      <c r="F337" s="42"/>
      <c r="G337" s="185"/>
      <c r="H337" s="172"/>
      <c r="I337" s="172"/>
      <c r="J337" s="172"/>
    </row>
    <row r="338" spans="1:10" x14ac:dyDescent="0.25">
      <c r="A338" s="172"/>
      <c r="B338" s="42"/>
      <c r="C338" s="42"/>
      <c r="D338" s="42"/>
      <c r="E338" s="42"/>
      <c r="F338" s="42"/>
      <c r="G338" s="185"/>
      <c r="H338" s="172"/>
      <c r="I338" s="172"/>
      <c r="J338" s="172"/>
    </row>
    <row r="339" spans="1:10" x14ac:dyDescent="0.25">
      <c r="A339" s="172"/>
      <c r="B339" s="42"/>
      <c r="C339" s="42"/>
      <c r="D339" s="42"/>
      <c r="E339" s="42"/>
      <c r="F339" s="42"/>
      <c r="G339" s="185"/>
      <c r="H339" s="172"/>
      <c r="I339" s="172"/>
      <c r="J339" s="172"/>
    </row>
    <row r="340" spans="1:10" x14ac:dyDescent="0.25">
      <c r="A340" s="172"/>
      <c r="B340" s="42"/>
      <c r="C340" s="42"/>
      <c r="D340" s="42"/>
      <c r="E340" s="42"/>
      <c r="F340" s="42"/>
      <c r="G340" s="185"/>
      <c r="H340" s="172"/>
      <c r="I340" s="172"/>
      <c r="J340" s="172"/>
    </row>
    <row r="341" spans="1:10" x14ac:dyDescent="0.25">
      <c r="A341" s="172"/>
      <c r="B341" s="42"/>
      <c r="C341" s="42"/>
      <c r="D341" s="42"/>
      <c r="E341" s="42"/>
      <c r="F341" s="42"/>
      <c r="G341" s="185"/>
      <c r="H341" s="172"/>
      <c r="I341" s="172"/>
      <c r="J341" s="172"/>
    </row>
    <row r="342" spans="1:10" x14ac:dyDescent="0.25">
      <c r="A342" s="172"/>
      <c r="B342" s="42"/>
      <c r="C342" s="42"/>
      <c r="D342" s="42"/>
      <c r="E342" s="42"/>
      <c r="F342" s="42"/>
      <c r="G342" s="185"/>
      <c r="H342" s="172"/>
      <c r="I342" s="172"/>
      <c r="J342" s="172"/>
    </row>
    <row r="343" spans="1:10" x14ac:dyDescent="0.25">
      <c r="A343" s="172"/>
      <c r="B343" s="42"/>
      <c r="C343" s="42"/>
      <c r="D343" s="42"/>
      <c r="E343" s="42"/>
      <c r="F343" s="42"/>
      <c r="G343" s="185"/>
      <c r="H343" s="172"/>
      <c r="I343" s="172"/>
      <c r="J343" s="172"/>
    </row>
    <row r="344" spans="1:10" x14ac:dyDescent="0.25">
      <c r="A344" s="172"/>
      <c r="B344" s="42"/>
      <c r="C344" s="42"/>
      <c r="D344" s="42"/>
      <c r="E344" s="42"/>
      <c r="F344" s="42"/>
      <c r="G344" s="185"/>
      <c r="H344" s="172"/>
      <c r="I344" s="172"/>
      <c r="J344" s="172"/>
    </row>
    <row r="345" spans="1:10" x14ac:dyDescent="0.25">
      <c r="A345" s="172"/>
      <c r="B345" s="42"/>
      <c r="C345" s="42"/>
      <c r="D345" s="42"/>
      <c r="E345" s="42"/>
      <c r="F345" s="42"/>
      <c r="G345" s="185"/>
      <c r="H345" s="172"/>
      <c r="I345" s="172"/>
      <c r="J345" s="172"/>
    </row>
    <row r="346" spans="1:10" x14ac:dyDescent="0.25">
      <c r="A346" s="172"/>
      <c r="B346" s="42"/>
      <c r="C346" s="42"/>
      <c r="D346" s="42"/>
      <c r="E346" s="42"/>
      <c r="F346" s="42"/>
      <c r="G346" s="185"/>
      <c r="H346" s="172"/>
      <c r="I346" s="172"/>
      <c r="J346" s="172"/>
    </row>
    <row r="347" spans="1:10" x14ac:dyDescent="0.25">
      <c r="A347" s="172"/>
      <c r="B347" s="42"/>
      <c r="C347" s="42"/>
      <c r="D347" s="42"/>
      <c r="E347" s="42"/>
      <c r="F347" s="42"/>
      <c r="G347" s="185"/>
      <c r="H347" s="172"/>
      <c r="I347" s="172"/>
      <c r="J347" s="172"/>
    </row>
    <row r="348" spans="1:10" x14ac:dyDescent="0.25">
      <c r="A348" s="172"/>
      <c r="B348" s="42"/>
      <c r="C348" s="42"/>
      <c r="D348" s="42"/>
      <c r="E348" s="42"/>
      <c r="F348" s="42"/>
      <c r="G348" s="185"/>
      <c r="H348" s="172"/>
      <c r="I348" s="172"/>
      <c r="J348" s="172"/>
    </row>
    <row r="349" spans="1:10" x14ac:dyDescent="0.25">
      <c r="A349" s="172"/>
      <c r="B349" s="42"/>
      <c r="C349" s="42"/>
      <c r="D349" s="42"/>
      <c r="E349" s="42"/>
      <c r="F349" s="42"/>
      <c r="G349" s="185"/>
      <c r="H349" s="172"/>
      <c r="I349" s="172"/>
      <c r="J349" s="172"/>
    </row>
    <row r="350" spans="1:10" x14ac:dyDescent="0.25">
      <c r="A350" s="172"/>
      <c r="B350" s="42"/>
      <c r="C350" s="42"/>
      <c r="D350" s="42"/>
      <c r="E350" s="42"/>
      <c r="F350" s="42"/>
      <c r="G350" s="185"/>
      <c r="H350" s="172"/>
      <c r="I350" s="172"/>
      <c r="J350" s="172"/>
    </row>
    <row r="351" spans="1:10" x14ac:dyDescent="0.25">
      <c r="A351" s="172"/>
      <c r="B351" s="42"/>
      <c r="C351" s="42"/>
      <c r="D351" s="42"/>
      <c r="E351" s="42"/>
      <c r="F351" s="42"/>
      <c r="G351" s="185"/>
      <c r="H351" s="172"/>
      <c r="I351" s="172"/>
      <c r="J351" s="172"/>
    </row>
    <row r="352" spans="1:10" x14ac:dyDescent="0.25">
      <c r="A352" s="172"/>
      <c r="B352" s="42"/>
      <c r="C352" s="42"/>
      <c r="D352" s="42"/>
      <c r="E352" s="42"/>
      <c r="F352" s="42"/>
      <c r="G352" s="185"/>
      <c r="H352" s="172"/>
      <c r="I352" s="172"/>
      <c r="J352" s="172"/>
    </row>
    <row r="353" spans="1:10" x14ac:dyDescent="0.25">
      <c r="A353" s="172"/>
      <c r="B353" s="42"/>
      <c r="C353" s="42"/>
      <c r="D353" s="42"/>
      <c r="E353" s="42"/>
      <c r="F353" s="42"/>
      <c r="G353" s="185"/>
      <c r="H353" s="172"/>
      <c r="I353" s="172"/>
      <c r="J353" s="172"/>
    </row>
    <row r="354" spans="1:10" x14ac:dyDescent="0.25">
      <c r="A354" s="172"/>
      <c r="B354" s="42"/>
      <c r="C354" s="42"/>
      <c r="D354" s="42"/>
      <c r="E354" s="42"/>
      <c r="F354" s="42"/>
      <c r="G354" s="185"/>
      <c r="H354" s="172"/>
      <c r="I354" s="172"/>
      <c r="J354" s="172"/>
    </row>
    <row r="355" spans="1:10" x14ac:dyDescent="0.25">
      <c r="A355" s="172"/>
      <c r="B355" s="42"/>
      <c r="C355" s="42"/>
      <c r="D355" s="42"/>
      <c r="E355" s="42"/>
      <c r="F355" s="42"/>
      <c r="G355" s="185"/>
      <c r="H355" s="172"/>
      <c r="I355" s="172"/>
      <c r="J355" s="172"/>
    </row>
    <row r="356" spans="1:10" x14ac:dyDescent="0.25">
      <c r="A356" s="172"/>
      <c r="B356" s="42"/>
      <c r="C356" s="42"/>
      <c r="D356" s="42"/>
      <c r="E356" s="42"/>
      <c r="F356" s="42"/>
      <c r="G356" s="185"/>
      <c r="H356" s="172"/>
      <c r="I356" s="172"/>
      <c r="J356" s="172"/>
    </row>
    <row r="357" spans="1:10" x14ac:dyDescent="0.25">
      <c r="A357" s="172"/>
      <c r="B357" s="42"/>
      <c r="C357" s="42"/>
      <c r="D357" s="42"/>
      <c r="E357" s="42"/>
      <c r="F357" s="42"/>
      <c r="G357" s="185"/>
      <c r="H357" s="172"/>
      <c r="I357" s="172"/>
      <c r="J357" s="172"/>
    </row>
    <row r="358" spans="1:10" x14ac:dyDescent="0.25">
      <c r="A358" s="172"/>
      <c r="B358" s="42"/>
      <c r="C358" s="42"/>
      <c r="D358" s="42"/>
      <c r="E358" s="42"/>
      <c r="F358" s="42"/>
      <c r="G358" s="185"/>
      <c r="H358" s="172"/>
      <c r="I358" s="172"/>
      <c r="J358" s="172"/>
    </row>
    <row r="359" spans="1:10" x14ac:dyDescent="0.25">
      <c r="A359" s="172"/>
      <c r="B359" s="42"/>
      <c r="C359" s="42"/>
      <c r="D359" s="42"/>
      <c r="E359" s="42"/>
      <c r="F359" s="42"/>
      <c r="G359" s="185"/>
      <c r="H359" s="172"/>
      <c r="I359" s="172"/>
      <c r="J359" s="172"/>
    </row>
    <row r="360" spans="1:10" x14ac:dyDescent="0.25">
      <c r="A360" s="172"/>
      <c r="B360" s="42"/>
      <c r="C360" s="42"/>
      <c r="D360" s="42"/>
      <c r="E360" s="42"/>
      <c r="F360" s="42"/>
      <c r="G360" s="185"/>
      <c r="H360" s="172"/>
      <c r="I360" s="172"/>
      <c r="J360" s="172"/>
    </row>
    <row r="361" spans="1:10" x14ac:dyDescent="0.25">
      <c r="A361" s="172"/>
      <c r="B361" s="42"/>
      <c r="C361" s="42"/>
      <c r="D361" s="42"/>
      <c r="E361" s="42"/>
      <c r="F361" s="42"/>
      <c r="G361" s="185"/>
      <c r="H361" s="172"/>
      <c r="I361" s="172"/>
      <c r="J361" s="172"/>
    </row>
    <row r="362" spans="1:10" x14ac:dyDescent="0.25">
      <c r="A362" s="172"/>
      <c r="B362" s="42"/>
      <c r="C362" s="42"/>
      <c r="D362" s="42"/>
      <c r="E362" s="42"/>
      <c r="F362" s="42"/>
      <c r="G362" s="185"/>
      <c r="H362" s="172"/>
      <c r="I362" s="172"/>
      <c r="J362" s="172"/>
    </row>
    <row r="363" spans="1:10" x14ac:dyDescent="0.25">
      <c r="A363" s="172"/>
      <c r="B363" s="42"/>
      <c r="C363" s="42"/>
      <c r="D363" s="42"/>
      <c r="E363" s="42"/>
      <c r="F363" s="42"/>
      <c r="G363" s="185"/>
      <c r="H363" s="172"/>
      <c r="I363" s="172"/>
      <c r="J363" s="172"/>
    </row>
    <row r="364" spans="1:10" x14ac:dyDescent="0.25">
      <c r="A364" s="172"/>
      <c r="B364" s="42"/>
      <c r="C364" s="42"/>
      <c r="D364" s="42"/>
      <c r="E364" s="42"/>
      <c r="F364" s="42"/>
      <c r="G364" s="185"/>
      <c r="H364" s="172"/>
      <c r="I364" s="172"/>
      <c r="J364" s="172"/>
    </row>
    <row r="365" spans="1:10" x14ac:dyDescent="0.25">
      <c r="A365" s="172"/>
      <c r="B365" s="42"/>
      <c r="C365" s="42"/>
      <c r="D365" s="42"/>
      <c r="E365" s="42"/>
      <c r="F365" s="42"/>
      <c r="G365" s="185"/>
      <c r="H365" s="172"/>
      <c r="I365" s="172"/>
      <c r="J365" s="172"/>
    </row>
    <row r="366" spans="1:10" x14ac:dyDescent="0.25">
      <c r="A366" s="172"/>
      <c r="B366" s="42"/>
      <c r="C366" s="42"/>
      <c r="D366" s="42"/>
      <c r="E366" s="42"/>
      <c r="F366" s="42"/>
      <c r="G366" s="185"/>
      <c r="H366" s="172"/>
      <c r="I366" s="172"/>
      <c r="J366" s="172"/>
    </row>
    <row r="367" spans="1:10" x14ac:dyDescent="0.25">
      <c r="A367" s="172"/>
      <c r="B367" s="42"/>
      <c r="C367" s="42"/>
      <c r="D367" s="42"/>
      <c r="E367" s="42"/>
      <c r="F367" s="42"/>
      <c r="G367" s="185"/>
      <c r="H367" s="172"/>
      <c r="I367" s="172"/>
      <c r="J367" s="172"/>
    </row>
    <row r="368" spans="1:10" x14ac:dyDescent="0.25">
      <c r="A368" s="172"/>
      <c r="B368" s="172"/>
      <c r="C368"/>
      <c r="D368"/>
      <c r="E368" s="42"/>
      <c r="F368" s="172"/>
      <c r="G368" s="185"/>
      <c r="H368" s="172"/>
      <c r="I368" s="172"/>
      <c r="J368" s="172"/>
    </row>
    <row r="369" spans="1:10" x14ac:dyDescent="0.25">
      <c r="A369" s="172"/>
      <c r="B369" s="172"/>
      <c r="C369"/>
      <c r="D369"/>
      <c r="E369" s="42"/>
      <c r="F369" s="172"/>
      <c r="G369" s="185"/>
      <c r="H369" s="172"/>
      <c r="I369" s="172"/>
      <c r="J369" s="172"/>
    </row>
    <row r="370" spans="1:10" x14ac:dyDescent="0.25">
      <c r="A370" s="172"/>
      <c r="B370" s="172"/>
      <c r="C370"/>
      <c r="D370"/>
      <c r="E370" s="42"/>
      <c r="F370" s="172"/>
      <c r="G370" s="185"/>
      <c r="H370" s="172"/>
      <c r="I370" s="172"/>
      <c r="J370" s="172"/>
    </row>
    <row r="371" spans="1:10" x14ac:dyDescent="0.25">
      <c r="A371" s="172"/>
      <c r="B371" s="172"/>
      <c r="C371"/>
      <c r="D371"/>
      <c r="E371" s="42"/>
      <c r="F371" s="172"/>
      <c r="G371" s="185"/>
      <c r="H371" s="172"/>
      <c r="I371" s="172"/>
      <c r="J371" s="172"/>
    </row>
    <row r="372" spans="1:10" x14ac:dyDescent="0.25">
      <c r="A372" s="172"/>
      <c r="B372" s="172"/>
      <c r="C372"/>
      <c r="D372"/>
      <c r="E372" s="42"/>
      <c r="F372" s="172"/>
      <c r="G372" s="185"/>
      <c r="H372" s="172"/>
      <c r="I372" s="172"/>
      <c r="J372" s="172"/>
    </row>
    <row r="373" spans="1:10" x14ac:dyDescent="0.25">
      <c r="A373" s="172"/>
      <c r="B373" s="172"/>
      <c r="C373"/>
      <c r="D373"/>
      <c r="E373" s="42"/>
      <c r="F373" s="172"/>
      <c r="G373" s="185"/>
      <c r="H373" s="172"/>
      <c r="I373" s="172"/>
      <c r="J373" s="172"/>
    </row>
    <row r="374" spans="1:10" x14ac:dyDescent="0.25">
      <c r="A374" s="172"/>
      <c r="B374" s="172"/>
      <c r="C374"/>
      <c r="D374"/>
      <c r="E374" s="42"/>
      <c r="F374" s="172"/>
      <c r="G374" s="185"/>
      <c r="H374" s="172"/>
      <c r="I374" s="172"/>
      <c r="J374" s="172"/>
    </row>
    <row r="375" spans="1:10" x14ac:dyDescent="0.25">
      <c r="A375" s="172"/>
      <c r="B375" s="172"/>
      <c r="C375"/>
      <c r="D375"/>
      <c r="E375" s="42"/>
      <c r="F375" s="172"/>
      <c r="G375" s="185"/>
      <c r="H375" s="172"/>
      <c r="I375" s="172"/>
      <c r="J375" s="172"/>
    </row>
    <row r="376" spans="1:10" x14ac:dyDescent="0.25">
      <c r="A376" s="172"/>
      <c r="B376" s="172"/>
      <c r="C376"/>
      <c r="D376"/>
      <c r="E376" s="42"/>
      <c r="F376" s="172"/>
      <c r="G376" s="185"/>
      <c r="H376" s="172"/>
      <c r="I376" s="172"/>
      <c r="J376" s="172"/>
    </row>
    <row r="377" spans="1:10" x14ac:dyDescent="0.25">
      <c r="A377" s="172"/>
      <c r="B377" s="172"/>
      <c r="C377"/>
      <c r="D377"/>
      <c r="E377" s="42"/>
      <c r="F377" s="172"/>
      <c r="G377" s="185"/>
      <c r="H377" s="172"/>
      <c r="I377" s="172"/>
      <c r="J377" s="172"/>
    </row>
    <row r="378" spans="1:10" x14ac:dyDescent="0.25">
      <c r="A378" s="172"/>
      <c r="B378" s="172"/>
      <c r="C378"/>
      <c r="D378"/>
      <c r="E378" s="42"/>
      <c r="F378" s="172"/>
      <c r="G378" s="185"/>
      <c r="H378" s="172"/>
      <c r="I378" s="172"/>
      <c r="J378" s="172"/>
    </row>
    <row r="379" spans="1:10" x14ac:dyDescent="0.25">
      <c r="A379" s="172"/>
      <c r="B379" s="172"/>
      <c r="C379"/>
      <c r="D379"/>
      <c r="E379" s="42"/>
      <c r="F379" s="172"/>
      <c r="G379" s="185"/>
      <c r="H379" s="172"/>
      <c r="I379" s="172"/>
      <c r="J379" s="172"/>
    </row>
    <row r="380" spans="1:10" x14ac:dyDescent="0.25">
      <c r="A380" s="172"/>
      <c r="B380" s="172"/>
      <c r="C380"/>
      <c r="D380"/>
      <c r="E380" s="42"/>
      <c r="F380" s="172"/>
      <c r="G380" s="185"/>
      <c r="H380" s="172"/>
      <c r="I380" s="172"/>
      <c r="J380" s="172"/>
    </row>
    <row r="381" spans="1:10" x14ac:dyDescent="0.25">
      <c r="A381" s="172"/>
      <c r="B381" s="172"/>
      <c r="C381"/>
      <c r="D381"/>
      <c r="E381" s="42"/>
      <c r="F381" s="172"/>
      <c r="G381" s="185"/>
      <c r="H381" s="172"/>
      <c r="I381" s="172"/>
      <c r="J381" s="172"/>
    </row>
    <row r="382" spans="1:10" x14ac:dyDescent="0.25">
      <c r="A382" s="172"/>
      <c r="B382" s="172"/>
      <c r="C382"/>
      <c r="D382"/>
      <c r="E382" s="42"/>
      <c r="F382" s="172"/>
      <c r="G382" s="185"/>
      <c r="H382" s="172"/>
      <c r="I382" s="172"/>
      <c r="J382" s="172"/>
    </row>
    <row r="383" spans="1:10" x14ac:dyDescent="0.25">
      <c r="A383" s="172"/>
      <c r="B383" s="172"/>
      <c r="C383"/>
      <c r="D383"/>
      <c r="E383" s="42"/>
      <c r="F383" s="172"/>
      <c r="G383" s="185"/>
      <c r="H383" s="172"/>
      <c r="I383" s="172"/>
      <c r="J383" s="172"/>
    </row>
    <row r="384" spans="1:10" x14ac:dyDescent="0.25">
      <c r="A384" s="172"/>
      <c r="B384" s="172"/>
      <c r="C384"/>
      <c r="D384"/>
      <c r="E384" s="42"/>
      <c r="F384" s="172"/>
      <c r="G384" s="185"/>
      <c r="H384" s="172"/>
      <c r="I384" s="172"/>
      <c r="J384" s="172"/>
    </row>
    <row r="385" spans="1:10" x14ac:dyDescent="0.25">
      <c r="A385" s="172"/>
      <c r="B385" s="172"/>
      <c r="C385" s="42"/>
      <c r="D385" s="42"/>
      <c r="E385" s="42"/>
      <c r="F385" s="172"/>
      <c r="G385" s="185"/>
      <c r="H385" s="172"/>
      <c r="I385" s="172"/>
      <c r="J385" s="172"/>
    </row>
    <row r="386" spans="1:10" x14ac:dyDescent="0.25">
      <c r="A386" s="172"/>
      <c r="B386" s="172"/>
      <c r="C386" s="42"/>
      <c r="D386" s="42"/>
      <c r="E386" s="42"/>
      <c r="F386" s="172"/>
      <c r="G386" s="185"/>
      <c r="H386" s="172"/>
      <c r="I386" s="172"/>
      <c r="J386" s="172"/>
    </row>
    <row r="387" spans="1:10" x14ac:dyDescent="0.25">
      <c r="A387" s="172"/>
      <c r="B387" s="172"/>
      <c r="C387" s="42"/>
      <c r="D387" s="42"/>
      <c r="E387" s="42"/>
      <c r="F387" s="172"/>
      <c r="G387" s="185"/>
      <c r="H387" s="172"/>
      <c r="I387" s="172"/>
      <c r="J387" s="172"/>
    </row>
    <row r="388" spans="1:10" x14ac:dyDescent="0.25">
      <c r="A388" s="172"/>
      <c r="B388" s="172"/>
      <c r="C388" s="42"/>
      <c r="D388" s="42"/>
      <c r="E388" s="42"/>
      <c r="F388" s="172"/>
      <c r="G388" s="185"/>
      <c r="H388" s="172"/>
      <c r="I388" s="172"/>
      <c r="J388" s="172"/>
    </row>
    <row r="389" spans="1:10" x14ac:dyDescent="0.25">
      <c r="A389" s="172"/>
      <c r="B389" s="172"/>
      <c r="C389" s="42"/>
      <c r="D389" s="42"/>
      <c r="E389" s="42"/>
      <c r="F389" s="172"/>
      <c r="G389" s="185"/>
      <c r="H389" s="172"/>
      <c r="I389" s="172"/>
      <c r="J389" s="172"/>
    </row>
    <row r="390" spans="1:10" x14ac:dyDescent="0.25">
      <c r="A390" s="172"/>
      <c r="B390" s="172"/>
      <c r="C390" s="42"/>
      <c r="D390" s="42"/>
      <c r="E390" s="42"/>
      <c r="F390" s="172"/>
      <c r="G390" s="185"/>
      <c r="H390" s="172"/>
      <c r="I390" s="172"/>
      <c r="J390" s="172"/>
    </row>
    <row r="391" spans="1:10" x14ac:dyDescent="0.25">
      <c r="A391" s="172"/>
      <c r="B391" s="172"/>
      <c r="C391" s="42"/>
      <c r="D391" s="42"/>
      <c r="E391" s="42"/>
      <c r="F391" s="172"/>
      <c r="G391" s="185"/>
      <c r="H391" s="172"/>
      <c r="I391" s="172"/>
      <c r="J391" s="172"/>
    </row>
    <row r="392" spans="1:10" x14ac:dyDescent="0.25">
      <c r="A392" s="172"/>
      <c r="B392" s="172"/>
      <c r="C392" s="42"/>
      <c r="D392" s="42"/>
      <c r="E392" s="42"/>
      <c r="F392" s="172"/>
      <c r="G392" s="185"/>
      <c r="H392" s="172"/>
      <c r="I392" s="172"/>
      <c r="J392" s="172"/>
    </row>
    <row r="393" spans="1:10" x14ac:dyDescent="0.25">
      <c r="A393" s="172"/>
      <c r="B393" s="172"/>
      <c r="C393" s="42"/>
      <c r="D393" s="42"/>
      <c r="E393" s="42"/>
      <c r="F393" s="172"/>
      <c r="G393" s="185"/>
      <c r="H393" s="172"/>
      <c r="I393" s="172"/>
      <c r="J393" s="172"/>
    </row>
    <row r="394" spans="1:10" x14ac:dyDescent="0.25">
      <c r="A394" s="172"/>
      <c r="B394" s="172"/>
      <c r="C394" s="42"/>
      <c r="D394" s="42"/>
      <c r="E394" s="42"/>
      <c r="F394" s="172"/>
      <c r="G394" s="185"/>
      <c r="H394" s="172"/>
      <c r="I394" s="172"/>
      <c r="J394" s="172"/>
    </row>
    <row r="395" spans="1:10" x14ac:dyDescent="0.25">
      <c r="A395" s="172"/>
      <c r="B395" s="172"/>
      <c r="C395" s="42"/>
      <c r="D395" s="42"/>
      <c r="E395" s="42"/>
      <c r="F395" s="172"/>
      <c r="G395" s="185"/>
      <c r="H395" s="172"/>
      <c r="I395" s="172"/>
      <c r="J395" s="172"/>
    </row>
    <row r="396" spans="1:10" x14ac:dyDescent="0.25">
      <c r="A396" s="172"/>
      <c r="B396" s="172"/>
      <c r="C396" s="42"/>
      <c r="D396" s="42"/>
      <c r="E396" s="42"/>
      <c r="F396" s="172"/>
      <c r="G396" s="185"/>
      <c r="H396" s="172"/>
      <c r="I396" s="172"/>
      <c r="J396" s="172"/>
    </row>
    <row r="397" spans="1:10" x14ac:dyDescent="0.25">
      <c r="A397" s="172"/>
      <c r="B397" s="172"/>
      <c r="C397" s="42"/>
      <c r="D397" s="42"/>
      <c r="E397" s="42"/>
      <c r="F397" s="172"/>
      <c r="G397" s="185"/>
      <c r="H397" s="172"/>
      <c r="I397" s="172"/>
      <c r="J397" s="172"/>
    </row>
    <row r="398" spans="1:10" x14ac:dyDescent="0.25">
      <c r="A398" s="172"/>
      <c r="B398" s="172"/>
      <c r="C398" s="42"/>
      <c r="D398" s="42"/>
      <c r="E398" s="42"/>
      <c r="F398" s="172"/>
      <c r="G398" s="185"/>
      <c r="H398" s="172"/>
      <c r="I398" s="172"/>
      <c r="J398" s="172"/>
    </row>
    <row r="399" spans="1:10" x14ac:dyDescent="0.25">
      <c r="A399" s="172"/>
      <c r="B399" s="172"/>
      <c r="C399" s="42"/>
      <c r="D399" s="42"/>
      <c r="E399" s="42"/>
      <c r="F399" s="172"/>
      <c r="G399" s="185"/>
      <c r="H399" s="172"/>
      <c r="I399" s="172"/>
      <c r="J399" s="172"/>
    </row>
    <row r="400" spans="1:10" x14ac:dyDescent="0.25">
      <c r="A400" s="172"/>
      <c r="B400" s="172"/>
      <c r="C400" s="42"/>
      <c r="D400" s="42"/>
      <c r="E400" s="42"/>
      <c r="F400" s="172"/>
      <c r="G400" s="185"/>
      <c r="H400" s="172"/>
      <c r="I400" s="172"/>
      <c r="J400" s="172"/>
    </row>
    <row r="401" spans="1:10" x14ac:dyDescent="0.25">
      <c r="A401" s="172"/>
      <c r="B401" s="172"/>
      <c r="C401" s="42"/>
      <c r="D401" s="42"/>
      <c r="E401" s="42"/>
      <c r="F401" s="172"/>
      <c r="G401" s="185"/>
      <c r="H401" s="172"/>
      <c r="I401" s="172"/>
      <c r="J401" s="172"/>
    </row>
    <row r="402" spans="1:10" x14ac:dyDescent="0.25">
      <c r="A402" s="172"/>
      <c r="B402" s="172"/>
      <c r="C402" s="42"/>
      <c r="D402" s="42"/>
      <c r="E402" s="42"/>
      <c r="F402" s="172"/>
      <c r="G402" s="185"/>
      <c r="H402" s="172"/>
      <c r="I402" s="172"/>
      <c r="J402" s="172"/>
    </row>
    <row r="403" spans="1:10" x14ac:dyDescent="0.25">
      <c r="A403" s="172"/>
      <c r="B403" s="172"/>
      <c r="C403" s="42"/>
      <c r="D403" s="42"/>
      <c r="E403" s="42"/>
      <c r="F403" s="172"/>
      <c r="G403" s="185"/>
      <c r="H403" s="172"/>
      <c r="I403" s="172"/>
      <c r="J403" s="172"/>
    </row>
    <row r="404" spans="1:10" x14ac:dyDescent="0.25">
      <c r="A404" s="172"/>
      <c r="B404" s="172"/>
      <c r="C404" s="42"/>
      <c r="D404" s="42"/>
      <c r="E404" s="42"/>
      <c r="F404" s="172"/>
      <c r="G404" s="185"/>
      <c r="H404" s="172"/>
      <c r="I404" s="172"/>
      <c r="J404" s="172"/>
    </row>
    <row r="405" spans="1:10" x14ac:dyDescent="0.25">
      <c r="A405" s="172"/>
      <c r="B405" s="172"/>
      <c r="C405" s="42"/>
      <c r="D405" s="42"/>
      <c r="E405" s="42"/>
      <c r="F405" s="172"/>
      <c r="G405" s="185"/>
      <c r="H405" s="172"/>
      <c r="I405" s="172"/>
      <c r="J405" s="172"/>
    </row>
    <row r="406" spans="1:10" x14ac:dyDescent="0.25">
      <c r="A406" s="172"/>
      <c r="B406" s="172"/>
      <c r="C406" s="42"/>
      <c r="D406" s="42"/>
      <c r="E406" s="42"/>
      <c r="F406" s="172"/>
      <c r="G406" s="185"/>
      <c r="H406" s="172"/>
      <c r="I406" s="172"/>
      <c r="J406" s="172"/>
    </row>
    <row r="407" spans="1:10" x14ac:dyDescent="0.25">
      <c r="A407" s="172"/>
      <c r="B407" s="172"/>
      <c r="C407" s="42"/>
      <c r="D407" s="42"/>
      <c r="E407" s="42"/>
      <c r="F407" s="172"/>
      <c r="G407" s="185"/>
      <c r="H407" s="172"/>
      <c r="I407" s="172"/>
      <c r="J407" s="172"/>
    </row>
    <row r="408" spans="1:10" x14ac:dyDescent="0.25">
      <c r="A408" s="172"/>
      <c r="B408" s="172"/>
      <c r="C408" s="42"/>
      <c r="D408" s="42"/>
      <c r="E408" s="42"/>
      <c r="F408" s="172"/>
      <c r="G408" s="185"/>
      <c r="H408" s="172"/>
      <c r="I408" s="172"/>
      <c r="J408" s="172"/>
    </row>
    <row r="409" spans="1:10" x14ac:dyDescent="0.25">
      <c r="A409" s="172"/>
      <c r="B409" s="172"/>
      <c r="C409" s="42"/>
      <c r="D409" s="42"/>
      <c r="E409" s="42"/>
      <c r="F409" s="172"/>
      <c r="G409" s="185"/>
      <c r="H409" s="172"/>
      <c r="I409" s="172"/>
      <c r="J409" s="172"/>
    </row>
    <row r="410" spans="1:10" x14ac:dyDescent="0.25">
      <c r="A410" s="172"/>
      <c r="B410" s="172"/>
      <c r="C410" s="42"/>
      <c r="D410" s="42"/>
      <c r="E410" s="42"/>
      <c r="F410" s="172"/>
      <c r="G410" s="185"/>
      <c r="H410" s="172"/>
      <c r="I410" s="172"/>
      <c r="J410" s="172"/>
    </row>
    <row r="411" spans="1:10" x14ac:dyDescent="0.25">
      <c r="A411" s="172"/>
      <c r="B411" s="172"/>
      <c r="C411" s="42"/>
      <c r="D411" s="42"/>
      <c r="E411" s="42"/>
      <c r="F411" s="172"/>
      <c r="G411" s="185"/>
      <c r="H411" s="172"/>
      <c r="I411" s="172"/>
      <c r="J411" s="172"/>
    </row>
    <row r="412" spans="1:10" x14ac:dyDescent="0.25">
      <c r="A412" s="172"/>
      <c r="B412" s="172"/>
      <c r="C412" s="42"/>
      <c r="D412" s="42"/>
      <c r="E412" s="42"/>
      <c r="F412" s="172"/>
      <c r="G412" s="185"/>
      <c r="H412" s="172"/>
      <c r="I412" s="172"/>
      <c r="J412" s="172"/>
    </row>
    <row r="413" spans="1:10" x14ac:dyDescent="0.25">
      <c r="A413" s="172"/>
      <c r="B413" s="172"/>
      <c r="C413" s="42"/>
      <c r="D413" s="42"/>
      <c r="E413" s="42"/>
      <c r="F413" s="172"/>
      <c r="G413" s="185"/>
      <c r="H413" s="172"/>
      <c r="I413" s="172"/>
      <c r="J413" s="172"/>
    </row>
    <row r="414" spans="1:10" x14ac:dyDescent="0.25">
      <c r="A414" s="172"/>
      <c r="B414" s="172"/>
      <c r="C414" s="42"/>
      <c r="D414" s="42"/>
      <c r="E414" s="42"/>
      <c r="F414" s="172"/>
      <c r="G414" s="185"/>
      <c r="H414" s="172"/>
      <c r="I414" s="172"/>
      <c r="J414" s="172"/>
    </row>
    <row r="415" spans="1:10" x14ac:dyDescent="0.25">
      <c r="A415" s="172"/>
      <c r="B415" s="172"/>
      <c r="C415" s="42"/>
      <c r="D415" s="42"/>
      <c r="E415" s="42"/>
      <c r="F415" s="172"/>
      <c r="G415" s="185"/>
      <c r="H415" s="172"/>
      <c r="I415" s="172"/>
      <c r="J415" s="172"/>
    </row>
    <row r="416" spans="1:10" x14ac:dyDescent="0.25">
      <c r="A416" s="172"/>
      <c r="B416" s="172"/>
      <c r="C416" s="42"/>
      <c r="D416" s="42"/>
      <c r="E416" s="42"/>
      <c r="F416" s="172"/>
      <c r="G416" s="185"/>
      <c r="H416" s="172"/>
      <c r="I416" s="172"/>
      <c r="J416" s="172"/>
    </row>
    <row r="417" spans="1:10" x14ac:dyDescent="0.25">
      <c r="A417" s="172"/>
      <c r="B417" s="172"/>
      <c r="C417" s="42"/>
      <c r="D417" s="42"/>
      <c r="E417" s="42"/>
      <c r="F417" s="172"/>
      <c r="G417" s="185"/>
      <c r="H417" s="172"/>
      <c r="I417" s="172"/>
      <c r="J417" s="172"/>
    </row>
    <row r="418" spans="1:10" x14ac:dyDescent="0.25">
      <c r="A418" s="172"/>
      <c r="B418" s="172"/>
      <c r="C418" s="42"/>
      <c r="D418" s="42"/>
      <c r="E418" s="42"/>
      <c r="F418" s="172"/>
      <c r="G418" s="185"/>
      <c r="H418" s="172"/>
      <c r="I418" s="172"/>
      <c r="J418" s="172"/>
    </row>
    <row r="419" spans="1:10" x14ac:dyDescent="0.25">
      <c r="A419" s="172"/>
      <c r="B419" s="172"/>
      <c r="C419" s="42"/>
      <c r="D419" s="42"/>
      <c r="E419" s="42"/>
      <c r="F419" s="172"/>
      <c r="G419" s="185"/>
      <c r="H419" s="172"/>
      <c r="I419" s="172"/>
      <c r="J419" s="172"/>
    </row>
    <row r="420" spans="1:10" x14ac:dyDescent="0.25">
      <c r="A420" s="172"/>
      <c r="B420" s="172"/>
      <c r="C420" s="42"/>
      <c r="D420" s="42"/>
      <c r="E420" s="42"/>
      <c r="F420" s="172"/>
      <c r="G420" s="185"/>
      <c r="H420" s="172"/>
      <c r="I420" s="172"/>
      <c r="J420" s="172"/>
    </row>
    <row r="421" spans="1:10" x14ac:dyDescent="0.25">
      <c r="A421" s="172"/>
      <c r="B421" s="172"/>
      <c r="C421" s="42"/>
      <c r="D421" s="42"/>
      <c r="E421" s="42"/>
      <c r="F421" s="172"/>
      <c r="G421" s="185"/>
      <c r="H421" s="172"/>
      <c r="I421" s="172"/>
      <c r="J421" s="172"/>
    </row>
    <row r="422" spans="1:10" x14ac:dyDescent="0.25">
      <c r="A422" s="172"/>
      <c r="B422" s="172"/>
      <c r="C422" s="42"/>
      <c r="D422" s="42"/>
      <c r="E422" s="42"/>
      <c r="F422" s="172"/>
      <c r="G422" s="185"/>
      <c r="H422" s="172"/>
      <c r="I422" s="172"/>
      <c r="J422" s="172"/>
    </row>
    <row r="423" spans="1:10" x14ac:dyDescent="0.25">
      <c r="A423" s="172"/>
      <c r="B423" s="172"/>
      <c r="C423" s="42"/>
      <c r="D423" s="42"/>
      <c r="E423" s="42"/>
      <c r="F423" s="172"/>
      <c r="G423" s="185"/>
      <c r="H423" s="172"/>
      <c r="I423" s="172"/>
      <c r="J423" s="172"/>
    </row>
    <row r="424" spans="1:10" x14ac:dyDescent="0.25">
      <c r="A424" s="172"/>
      <c r="B424" s="172"/>
      <c r="C424" s="42"/>
      <c r="D424" s="42"/>
      <c r="E424" s="42"/>
      <c r="F424" s="172"/>
      <c r="G424" s="185"/>
      <c r="H424" s="172"/>
      <c r="I424" s="172"/>
      <c r="J424" s="172"/>
    </row>
    <row r="425" spans="1:10" x14ac:dyDescent="0.25">
      <c r="A425" s="172"/>
      <c r="B425" s="172"/>
      <c r="C425" s="42"/>
      <c r="D425" s="42"/>
      <c r="E425" s="42"/>
      <c r="F425" s="172"/>
      <c r="G425" s="185"/>
      <c r="H425" s="172"/>
      <c r="I425" s="172"/>
      <c r="J425" s="172"/>
    </row>
    <row r="426" spans="1:10" x14ac:dyDescent="0.25">
      <c r="A426" s="172"/>
      <c r="B426" s="172"/>
      <c r="C426" s="42"/>
      <c r="D426" s="42"/>
      <c r="E426" s="42"/>
      <c r="F426" s="172"/>
      <c r="G426" s="185"/>
      <c r="H426" s="172"/>
      <c r="I426" s="172"/>
      <c r="J426" s="172"/>
    </row>
    <row r="427" spans="1:10" x14ac:dyDescent="0.25">
      <c r="A427" s="172"/>
      <c r="B427" s="172"/>
      <c r="C427" s="42"/>
      <c r="D427" s="42"/>
      <c r="E427" s="42"/>
      <c r="F427" s="172"/>
      <c r="G427" s="185"/>
      <c r="H427" s="172"/>
      <c r="I427" s="172"/>
      <c r="J427" s="172"/>
    </row>
    <row r="428" spans="1:10" x14ac:dyDescent="0.25">
      <c r="A428" s="172"/>
      <c r="B428" s="172"/>
      <c r="C428" s="42"/>
      <c r="D428" s="42"/>
      <c r="E428" s="42"/>
      <c r="F428" s="172"/>
      <c r="G428" s="185"/>
      <c r="H428" s="172"/>
      <c r="I428" s="172"/>
      <c r="J428" s="172"/>
    </row>
    <row r="429" spans="1:10" x14ac:dyDescent="0.25">
      <c r="A429" s="172"/>
      <c r="B429" s="172"/>
      <c r="C429" s="42"/>
      <c r="D429" s="42"/>
      <c r="E429" s="42"/>
      <c r="F429" s="172"/>
      <c r="G429" s="185"/>
      <c r="H429" s="172"/>
      <c r="I429" s="172"/>
      <c r="J429" s="172"/>
    </row>
    <row r="430" spans="1:10" x14ac:dyDescent="0.25">
      <c r="A430" s="172"/>
      <c r="B430" s="172"/>
      <c r="C430" s="42"/>
      <c r="D430" s="42"/>
      <c r="E430" s="42"/>
      <c r="F430" s="172"/>
      <c r="G430" s="185"/>
      <c r="H430" s="172"/>
      <c r="I430" s="172"/>
      <c r="J430" s="172"/>
    </row>
    <row r="431" spans="1:10" x14ac:dyDescent="0.25">
      <c r="A431" s="172"/>
      <c r="B431" s="172"/>
      <c r="C431" s="42"/>
      <c r="D431" s="42"/>
      <c r="E431" s="42"/>
      <c r="F431" s="172"/>
      <c r="G431" s="185"/>
      <c r="H431" s="172"/>
      <c r="I431" s="172"/>
      <c r="J431" s="172"/>
    </row>
    <row r="432" spans="1:10" x14ac:dyDescent="0.25">
      <c r="A432" s="172"/>
      <c r="B432" s="172"/>
      <c r="C432" s="42"/>
      <c r="D432" s="42"/>
      <c r="E432" s="42"/>
      <c r="F432" s="172"/>
      <c r="G432" s="185"/>
      <c r="H432" s="172"/>
      <c r="I432" s="172"/>
      <c r="J432" s="172"/>
    </row>
    <row r="433" spans="1:10" x14ac:dyDescent="0.25">
      <c r="A433" s="172"/>
      <c r="B433" s="172"/>
      <c r="C433" s="42"/>
      <c r="D433" s="42"/>
      <c r="E433" s="42"/>
      <c r="F433" s="172"/>
      <c r="G433" s="185"/>
      <c r="H433" s="172"/>
      <c r="I433" s="172"/>
      <c r="J433" s="172"/>
    </row>
    <row r="434" spans="1:10" x14ac:dyDescent="0.25">
      <c r="A434" s="172"/>
      <c r="B434" s="172"/>
      <c r="C434" s="42"/>
      <c r="D434" s="42"/>
      <c r="E434" s="42"/>
      <c r="F434" s="172"/>
      <c r="G434" s="185"/>
      <c r="H434" s="172"/>
      <c r="I434" s="172"/>
      <c r="J434" s="172"/>
    </row>
    <row r="435" spans="1:10" x14ac:dyDescent="0.25">
      <c r="A435" s="172"/>
      <c r="B435" s="172"/>
      <c r="C435" s="42"/>
      <c r="D435" s="42"/>
      <c r="E435" s="42"/>
      <c r="F435" s="172"/>
      <c r="G435" s="185"/>
      <c r="H435" s="172"/>
      <c r="I435" s="172"/>
      <c r="J435" s="172"/>
    </row>
    <row r="436" spans="1:10" x14ac:dyDescent="0.25">
      <c r="A436" s="172"/>
      <c r="B436" s="172"/>
      <c r="C436" s="42"/>
      <c r="D436" s="42"/>
      <c r="E436" s="42"/>
      <c r="F436" s="172"/>
      <c r="G436" s="185"/>
      <c r="H436" s="172"/>
      <c r="I436" s="172"/>
      <c r="J436" s="172"/>
    </row>
    <row r="437" spans="1:10" x14ac:dyDescent="0.25">
      <c r="A437" s="172"/>
      <c r="B437" s="172"/>
      <c r="C437" s="42"/>
      <c r="D437" s="42"/>
      <c r="E437" s="42"/>
      <c r="F437" s="172"/>
      <c r="G437" s="185"/>
      <c r="H437" s="172"/>
      <c r="I437" s="172"/>
      <c r="J437" s="172"/>
    </row>
    <row r="438" spans="1:10" x14ac:dyDescent="0.25">
      <c r="A438" s="172"/>
      <c r="B438" s="172"/>
      <c r="C438" s="42"/>
      <c r="D438" s="42"/>
      <c r="E438" s="42"/>
      <c r="F438" s="172"/>
      <c r="G438" s="185"/>
      <c r="H438" s="172"/>
      <c r="I438" s="172"/>
      <c r="J438" s="172"/>
    </row>
    <row r="439" spans="1:10" x14ac:dyDescent="0.25">
      <c r="A439" s="172"/>
      <c r="B439" s="172"/>
      <c r="C439" s="42"/>
      <c r="D439" s="42"/>
      <c r="E439" s="42"/>
      <c r="F439" s="172"/>
      <c r="G439" s="185"/>
      <c r="H439" s="172"/>
      <c r="I439" s="172"/>
      <c r="J439" s="172"/>
    </row>
    <row r="440" spans="1:10" x14ac:dyDescent="0.25">
      <c r="A440" s="172"/>
      <c r="B440" s="172"/>
      <c r="C440" s="42"/>
      <c r="D440" s="42"/>
      <c r="E440" s="42"/>
      <c r="F440" s="172"/>
      <c r="G440" s="185"/>
      <c r="H440" s="172"/>
      <c r="I440" s="172"/>
      <c r="J440" s="172"/>
    </row>
    <row r="441" spans="1:10" x14ac:dyDescent="0.25">
      <c r="A441" s="172"/>
      <c r="B441" s="172"/>
      <c r="C441" s="42"/>
      <c r="D441" s="42"/>
      <c r="E441" s="42"/>
      <c r="F441" s="172"/>
      <c r="G441" s="185"/>
      <c r="H441" s="172"/>
      <c r="I441" s="172"/>
      <c r="J441" s="172"/>
    </row>
    <row r="442" spans="1:10" x14ac:dyDescent="0.25">
      <c r="A442" s="172"/>
      <c r="B442" s="172"/>
      <c r="C442" s="42"/>
      <c r="D442" s="42"/>
      <c r="E442" s="42"/>
      <c r="F442" s="172"/>
      <c r="G442" s="185"/>
      <c r="H442" s="172"/>
      <c r="I442" s="172"/>
      <c r="J442" s="172"/>
    </row>
    <row r="443" spans="1:10" x14ac:dyDescent="0.25">
      <c r="A443" s="172"/>
      <c r="B443" s="172"/>
      <c r="C443" s="42"/>
      <c r="D443" s="42"/>
      <c r="E443" s="42"/>
      <c r="F443" s="172"/>
      <c r="G443" s="185"/>
      <c r="H443" s="172"/>
      <c r="I443" s="172"/>
      <c r="J443" s="172"/>
    </row>
    <row r="444" spans="1:10" x14ac:dyDescent="0.25">
      <c r="A444" s="172"/>
      <c r="B444" s="172"/>
      <c r="C444" s="42"/>
      <c r="D444" s="42"/>
      <c r="E444" s="42"/>
      <c r="F444" s="172"/>
      <c r="G444" s="185"/>
      <c r="H444" s="172"/>
      <c r="I444" s="172"/>
      <c r="J444" s="172"/>
    </row>
    <row r="445" spans="1:10" x14ac:dyDescent="0.25">
      <c r="A445" s="172"/>
      <c r="B445" s="172"/>
      <c r="C445" s="42"/>
      <c r="D445" s="42"/>
      <c r="E445" s="42"/>
      <c r="F445" s="172"/>
      <c r="G445" s="185"/>
      <c r="H445" s="172"/>
      <c r="I445" s="172"/>
      <c r="J445" s="172"/>
    </row>
    <row r="446" spans="1:10" x14ac:dyDescent="0.25">
      <c r="A446" s="172"/>
      <c r="B446" s="172"/>
      <c r="C446" s="42"/>
      <c r="D446" s="42"/>
      <c r="E446" s="42"/>
      <c r="F446" s="172"/>
      <c r="G446" s="185"/>
      <c r="H446" s="172"/>
      <c r="I446" s="172"/>
      <c r="J446" s="172"/>
    </row>
    <row r="447" spans="1:10" x14ac:dyDescent="0.25">
      <c r="A447" s="172"/>
      <c r="B447" s="172"/>
      <c r="C447" s="42"/>
      <c r="D447" s="42"/>
      <c r="E447" s="42"/>
      <c r="F447" s="172"/>
      <c r="G447" s="185"/>
      <c r="H447" s="172"/>
      <c r="I447" s="172"/>
      <c r="J447" s="172"/>
    </row>
    <row r="448" spans="1:10" x14ac:dyDescent="0.25">
      <c r="A448" s="172"/>
      <c r="B448" s="172"/>
      <c r="C448" s="42"/>
      <c r="D448" s="42"/>
      <c r="E448" s="42"/>
      <c r="F448" s="172"/>
      <c r="G448" s="185"/>
      <c r="H448" s="172"/>
      <c r="I448" s="172"/>
      <c r="J448" s="172"/>
    </row>
    <row r="449" spans="1:10" x14ac:dyDescent="0.25">
      <c r="A449" s="172"/>
      <c r="B449" s="172"/>
      <c r="C449" s="42"/>
      <c r="D449" s="42"/>
      <c r="E449" s="42"/>
      <c r="F449" s="172"/>
      <c r="G449" s="185"/>
      <c r="H449" s="172"/>
      <c r="I449" s="172"/>
      <c r="J449" s="172"/>
    </row>
    <row r="450" spans="1:10" x14ac:dyDescent="0.25">
      <c r="A450" s="172"/>
      <c r="B450" s="172"/>
      <c r="C450" s="42"/>
      <c r="D450" s="42"/>
      <c r="E450" s="42"/>
      <c r="F450" s="172"/>
      <c r="G450" s="185"/>
      <c r="H450" s="172"/>
      <c r="I450" s="172"/>
      <c r="J450" s="172"/>
    </row>
    <row r="451" spans="1:10" x14ac:dyDescent="0.25">
      <c r="A451" s="172"/>
      <c r="B451" s="172"/>
      <c r="C451" s="42"/>
      <c r="D451" s="42"/>
      <c r="E451" s="42"/>
      <c r="F451" s="172"/>
      <c r="G451" s="185"/>
      <c r="H451" s="172"/>
      <c r="I451" s="172"/>
      <c r="J451" s="172"/>
    </row>
    <row r="452" spans="1:10" x14ac:dyDescent="0.25">
      <c r="A452" s="172"/>
      <c r="B452" s="172"/>
      <c r="C452" s="42"/>
      <c r="D452" s="42"/>
      <c r="E452" s="42"/>
      <c r="F452" s="172"/>
      <c r="G452" s="185"/>
      <c r="H452" s="172"/>
      <c r="I452" s="172"/>
      <c r="J452" s="172"/>
    </row>
    <row r="453" spans="1:10" x14ac:dyDescent="0.25">
      <c r="A453" s="172"/>
      <c r="B453" s="172"/>
      <c r="C453" s="42"/>
      <c r="D453" s="42"/>
      <c r="E453" s="42"/>
      <c r="F453" s="172"/>
      <c r="G453" s="185"/>
      <c r="H453" s="172"/>
      <c r="I453" s="172"/>
      <c r="J453" s="172"/>
    </row>
    <row r="454" spans="1:10" x14ac:dyDescent="0.25">
      <c r="A454" s="172"/>
      <c r="B454" s="172"/>
      <c r="C454" s="42"/>
      <c r="D454" s="42"/>
      <c r="E454" s="42"/>
      <c r="F454" s="172"/>
      <c r="G454" s="185"/>
      <c r="H454" s="172"/>
      <c r="I454" s="172"/>
      <c r="J454" s="172"/>
    </row>
    <row r="455" spans="1:10" x14ac:dyDescent="0.25">
      <c r="A455" s="172"/>
      <c r="B455" s="172"/>
      <c r="C455" s="42"/>
      <c r="D455" s="42"/>
      <c r="E455" s="42"/>
      <c r="F455" s="172"/>
      <c r="G455" s="185"/>
      <c r="H455" s="172"/>
      <c r="I455" s="172"/>
      <c r="J455" s="172"/>
    </row>
    <row r="456" spans="1:10" x14ac:dyDescent="0.25">
      <c r="A456" s="172"/>
      <c r="B456" s="172"/>
      <c r="C456" s="42"/>
      <c r="D456" s="42"/>
      <c r="E456" s="42"/>
      <c r="F456" s="172"/>
      <c r="G456" s="185"/>
      <c r="H456" s="172"/>
      <c r="I456" s="172"/>
      <c r="J456" s="172"/>
    </row>
    <row r="457" spans="1:10" x14ac:dyDescent="0.25">
      <c r="A457" s="172"/>
      <c r="B457" s="172"/>
      <c r="C457" s="42"/>
      <c r="D457" s="42"/>
      <c r="E457" s="42"/>
      <c r="F457" s="172"/>
      <c r="G457" s="185"/>
      <c r="H457" s="172"/>
      <c r="I457" s="172"/>
      <c r="J457" s="172"/>
    </row>
    <row r="458" spans="1:10" x14ac:dyDescent="0.25">
      <c r="A458" s="172"/>
      <c r="B458" s="172"/>
      <c r="C458" s="42"/>
      <c r="D458" s="42"/>
      <c r="E458" s="42"/>
      <c r="F458" s="172"/>
      <c r="G458" s="185"/>
      <c r="H458" s="172"/>
      <c r="I458" s="172"/>
      <c r="J458" s="172"/>
    </row>
    <row r="459" spans="1:10" x14ac:dyDescent="0.25">
      <c r="A459" s="172"/>
      <c r="B459" s="172"/>
      <c r="C459" s="42"/>
      <c r="D459" s="42"/>
      <c r="E459" s="42"/>
      <c r="F459" s="172"/>
      <c r="G459" s="185"/>
      <c r="H459" s="172"/>
      <c r="I459" s="172"/>
      <c r="J459" s="172"/>
    </row>
    <row r="460" spans="1:10" x14ac:dyDescent="0.25">
      <c r="A460" s="172"/>
      <c r="B460" s="172"/>
      <c r="C460" s="42"/>
      <c r="D460" s="42"/>
      <c r="E460" s="42"/>
      <c r="F460" s="172"/>
      <c r="G460" s="185"/>
      <c r="H460" s="172"/>
      <c r="I460" s="172"/>
      <c r="J460" s="172"/>
    </row>
    <row r="461" spans="1:10" x14ac:dyDescent="0.25">
      <c r="A461" s="172"/>
      <c r="B461" s="172"/>
      <c r="C461" s="42"/>
      <c r="D461" s="42"/>
      <c r="E461" s="42"/>
      <c r="F461" s="172"/>
      <c r="G461" s="185"/>
      <c r="H461" s="172"/>
      <c r="I461" s="172"/>
      <c r="J461" s="172"/>
    </row>
    <row r="462" spans="1:10" x14ac:dyDescent="0.25">
      <c r="A462" s="172"/>
      <c r="B462" s="172"/>
      <c r="C462" s="42"/>
      <c r="D462" s="42"/>
      <c r="E462" s="42"/>
      <c r="F462" s="172"/>
      <c r="G462" s="185"/>
      <c r="H462" s="172"/>
      <c r="I462" s="172"/>
      <c r="J462" s="172"/>
    </row>
    <row r="463" spans="1:10" x14ac:dyDescent="0.25">
      <c r="A463" s="172"/>
      <c r="B463" s="172"/>
      <c r="C463" s="42"/>
      <c r="D463" s="42"/>
      <c r="E463" s="42"/>
      <c r="F463" s="172"/>
      <c r="G463" s="185"/>
      <c r="H463" s="172"/>
      <c r="I463" s="172"/>
      <c r="J463" s="172"/>
    </row>
    <row r="464" spans="1:10" x14ac:dyDescent="0.25">
      <c r="A464" s="172"/>
      <c r="B464" s="172"/>
      <c r="C464" s="42"/>
      <c r="D464" s="42"/>
      <c r="E464" s="42"/>
      <c r="F464" s="172"/>
      <c r="G464" s="185"/>
      <c r="H464" s="172"/>
      <c r="I464" s="172"/>
      <c r="J464" s="172"/>
    </row>
    <row r="465" spans="1:10" x14ac:dyDescent="0.25">
      <c r="A465" s="172"/>
      <c r="B465" s="172"/>
      <c r="C465" s="42"/>
      <c r="D465" s="42"/>
      <c r="E465" s="42"/>
      <c r="F465" s="172"/>
      <c r="G465" s="185"/>
      <c r="H465" s="172"/>
      <c r="I465" s="172"/>
      <c r="J465" s="172"/>
    </row>
    <row r="466" spans="1:10" x14ac:dyDescent="0.25">
      <c r="A466" s="172"/>
      <c r="B466" s="172"/>
      <c r="C466" s="42"/>
      <c r="D466" s="42"/>
      <c r="E466" s="42"/>
      <c r="F466" s="172"/>
      <c r="G466" s="185"/>
      <c r="H466" s="172"/>
      <c r="I466" s="172"/>
      <c r="J466" s="172"/>
    </row>
    <row r="467" spans="1:10" x14ac:dyDescent="0.25">
      <c r="A467" s="172"/>
      <c r="B467" s="172"/>
      <c r="C467" s="42"/>
      <c r="D467" s="42"/>
      <c r="E467" s="42"/>
      <c r="F467" s="172"/>
      <c r="G467" s="185"/>
      <c r="H467" s="172"/>
      <c r="I467" s="172"/>
      <c r="J467" s="172"/>
    </row>
    <row r="468" spans="1:10" x14ac:dyDescent="0.25">
      <c r="A468" s="172"/>
      <c r="B468" s="172"/>
      <c r="C468" s="42"/>
      <c r="D468" s="42"/>
      <c r="E468" s="42"/>
      <c r="F468" s="172"/>
      <c r="G468" s="185"/>
      <c r="H468" s="172"/>
      <c r="I468" s="172"/>
      <c r="J468" s="172"/>
    </row>
    <row r="469" spans="1:10" x14ac:dyDescent="0.25">
      <c r="A469" s="172"/>
      <c r="B469" s="172"/>
      <c r="C469" s="42"/>
      <c r="D469" s="42"/>
      <c r="E469" s="42"/>
      <c r="F469" s="172"/>
      <c r="G469" s="185"/>
      <c r="H469" s="172"/>
      <c r="I469" s="172"/>
      <c r="J469" s="172"/>
    </row>
    <row r="470" spans="1:10" x14ac:dyDescent="0.25">
      <c r="A470" s="172"/>
      <c r="B470" s="172"/>
      <c r="C470" s="42"/>
      <c r="D470" s="42"/>
      <c r="E470" s="42"/>
      <c r="F470" s="172"/>
      <c r="G470" s="185"/>
      <c r="H470" s="172"/>
      <c r="I470" s="172"/>
      <c r="J470" s="172"/>
    </row>
    <row r="471" spans="1:10" x14ac:dyDescent="0.25">
      <c r="A471" s="172"/>
      <c r="B471" s="172"/>
      <c r="C471" s="42"/>
      <c r="D471" s="42"/>
      <c r="E471" s="42"/>
      <c r="F471" s="172"/>
      <c r="G471" s="185"/>
      <c r="H471" s="172"/>
      <c r="I471" s="172"/>
      <c r="J471" s="172"/>
    </row>
    <row r="472" spans="1:10" x14ac:dyDescent="0.25">
      <c r="A472" s="172"/>
      <c r="B472" s="172"/>
      <c r="C472" s="42"/>
      <c r="D472" s="42"/>
      <c r="E472" s="42"/>
      <c r="F472" s="172"/>
      <c r="G472" s="185"/>
      <c r="H472" s="172"/>
      <c r="I472" s="172"/>
      <c r="J472" s="172"/>
    </row>
    <row r="473" spans="1:10" x14ac:dyDescent="0.25">
      <c r="A473" s="172"/>
      <c r="B473" s="172"/>
      <c r="C473" s="42"/>
      <c r="D473" s="42"/>
      <c r="E473" s="42"/>
      <c r="F473" s="172"/>
      <c r="G473" s="185"/>
      <c r="H473" s="172"/>
      <c r="I473" s="172"/>
      <c r="J473" s="172"/>
    </row>
    <row r="474" spans="1:10" x14ac:dyDescent="0.25">
      <c r="A474" s="172"/>
      <c r="B474" s="172"/>
      <c r="C474" s="42"/>
      <c r="D474" s="42"/>
      <c r="E474" s="42"/>
      <c r="F474" s="172"/>
      <c r="G474" s="185"/>
      <c r="H474" s="172"/>
      <c r="I474" s="172"/>
      <c r="J474" s="172"/>
    </row>
    <row r="475" spans="1:10" x14ac:dyDescent="0.25">
      <c r="A475" s="172"/>
      <c r="B475" s="172"/>
      <c r="C475" s="42"/>
      <c r="D475" s="42"/>
      <c r="E475" s="42"/>
      <c r="F475" s="172"/>
      <c r="G475" s="185"/>
      <c r="H475" s="172"/>
      <c r="I475" s="172"/>
      <c r="J475" s="172"/>
    </row>
    <row r="476" spans="1:10" x14ac:dyDescent="0.25">
      <c r="A476" s="172"/>
      <c r="B476" s="172"/>
      <c r="C476" s="42"/>
      <c r="D476" s="42"/>
      <c r="E476" s="42"/>
      <c r="F476" s="172"/>
      <c r="G476" s="185"/>
      <c r="H476" s="172"/>
      <c r="I476" s="172"/>
      <c r="J476" s="172"/>
    </row>
    <row r="477" spans="1:10" x14ac:dyDescent="0.25">
      <c r="A477" s="172"/>
      <c r="B477" s="172"/>
      <c r="C477" s="42"/>
      <c r="D477" s="42"/>
      <c r="E477" s="42"/>
      <c r="F477" s="172"/>
      <c r="G477" s="185"/>
      <c r="H477" s="172"/>
      <c r="I477" s="172"/>
      <c r="J477" s="172"/>
    </row>
    <row r="478" spans="1:10" x14ac:dyDescent="0.25">
      <c r="A478" s="172"/>
      <c r="B478" s="172"/>
      <c r="C478" s="42"/>
      <c r="D478" s="42"/>
      <c r="E478" s="42"/>
      <c r="F478" s="172"/>
      <c r="G478" s="185"/>
      <c r="H478" s="172"/>
      <c r="I478" s="172"/>
      <c r="J478" s="172"/>
    </row>
    <row r="479" spans="1:10" x14ac:dyDescent="0.25">
      <c r="A479" s="172"/>
      <c r="B479" s="172"/>
      <c r="C479" s="42"/>
      <c r="D479" s="42"/>
      <c r="E479" s="42"/>
      <c r="F479" s="172"/>
      <c r="G479" s="185"/>
      <c r="H479" s="172"/>
      <c r="I479" s="172"/>
      <c r="J479" s="172"/>
    </row>
    <row r="480" spans="1:10" x14ac:dyDescent="0.25">
      <c r="A480" s="172"/>
      <c r="B480" s="172"/>
      <c r="C480" s="42"/>
      <c r="D480" s="42"/>
      <c r="E480" s="42"/>
      <c r="F480" s="172"/>
      <c r="G480" s="185"/>
      <c r="H480" s="172"/>
      <c r="I480" s="172"/>
      <c r="J480" s="172"/>
    </row>
    <row r="481" spans="1:10" x14ac:dyDescent="0.25">
      <c r="A481" s="172"/>
      <c r="B481" s="172"/>
      <c r="C481" s="42"/>
      <c r="D481" s="42"/>
      <c r="E481" s="42"/>
      <c r="F481" s="172"/>
      <c r="G481" s="185"/>
      <c r="H481" s="172"/>
      <c r="I481" s="172"/>
      <c r="J481" s="172"/>
    </row>
    <row r="482" spans="1:10" x14ac:dyDescent="0.25">
      <c r="A482" s="172"/>
      <c r="B482" s="172"/>
      <c r="C482" s="42"/>
      <c r="D482" s="42"/>
      <c r="E482" s="42"/>
      <c r="F482" s="172"/>
      <c r="G482" s="185"/>
      <c r="H482" s="172"/>
      <c r="I482" s="172"/>
      <c r="J482" s="172"/>
    </row>
    <row r="483" spans="1:10" x14ac:dyDescent="0.25">
      <c r="A483" s="172"/>
      <c r="B483" s="172"/>
      <c r="C483" s="42"/>
      <c r="D483" s="42"/>
      <c r="E483" s="42"/>
      <c r="F483" s="172"/>
      <c r="G483" s="185"/>
      <c r="H483" s="172"/>
      <c r="I483" s="172"/>
      <c r="J483" s="172"/>
    </row>
    <row r="484" spans="1:10" x14ac:dyDescent="0.25">
      <c r="A484" s="172"/>
      <c r="B484" s="172"/>
      <c r="C484" s="42"/>
      <c r="D484" s="42"/>
      <c r="E484" s="42"/>
      <c r="F484" s="172"/>
      <c r="G484" s="185"/>
      <c r="H484" s="172"/>
      <c r="I484" s="172"/>
      <c r="J484" s="172"/>
    </row>
    <row r="485" spans="1:10" x14ac:dyDescent="0.25">
      <c r="A485" s="172"/>
      <c r="B485" s="172"/>
      <c r="C485" s="42"/>
      <c r="D485" s="42"/>
      <c r="E485" s="42"/>
      <c r="F485" s="172"/>
      <c r="G485" s="185"/>
      <c r="H485" s="172"/>
      <c r="I485" s="172"/>
      <c r="J485" s="172"/>
    </row>
    <row r="486" spans="1:10" x14ac:dyDescent="0.25">
      <c r="A486" s="172"/>
      <c r="B486" s="172"/>
      <c r="C486" s="42"/>
      <c r="D486" s="42"/>
      <c r="E486" s="42"/>
      <c r="F486" s="172"/>
      <c r="G486" s="185"/>
      <c r="H486" s="172"/>
      <c r="I486" s="172"/>
      <c r="J486" s="172"/>
    </row>
    <row r="487" spans="1:10" x14ac:dyDescent="0.25">
      <c r="A487" s="172"/>
      <c r="B487" s="172"/>
      <c r="C487" s="42"/>
      <c r="D487" s="42"/>
      <c r="E487" s="42"/>
      <c r="F487" s="172"/>
      <c r="G487" s="185"/>
      <c r="H487" s="172"/>
      <c r="I487" s="172"/>
      <c r="J487" s="172"/>
    </row>
    <row r="488" spans="1:10" x14ac:dyDescent="0.25">
      <c r="A488" s="172"/>
      <c r="B488" s="172"/>
      <c r="C488" s="42"/>
      <c r="D488" s="42"/>
      <c r="E488" s="42"/>
      <c r="F488" s="172"/>
      <c r="G488" s="185"/>
      <c r="H488" s="172"/>
      <c r="I488" s="172"/>
      <c r="J488" s="172"/>
    </row>
    <row r="489" spans="1:10" x14ac:dyDescent="0.25">
      <c r="A489" s="172"/>
      <c r="B489" s="172"/>
      <c r="C489" s="42"/>
      <c r="D489" s="42"/>
      <c r="E489" s="42"/>
      <c r="F489" s="172"/>
      <c r="G489" s="185"/>
      <c r="H489" s="172"/>
      <c r="I489" s="172"/>
      <c r="J489" s="172"/>
    </row>
    <row r="490" spans="1:10" x14ac:dyDescent="0.25">
      <c r="A490" s="172"/>
      <c r="B490" s="172"/>
      <c r="C490" s="42"/>
      <c r="D490" s="42"/>
      <c r="E490" s="42"/>
      <c r="F490" s="172"/>
      <c r="G490" s="185"/>
      <c r="H490" s="172"/>
      <c r="I490" s="172"/>
      <c r="J490" s="172"/>
    </row>
    <row r="491" spans="1:10" x14ac:dyDescent="0.25">
      <c r="A491" s="172"/>
      <c r="B491" s="172"/>
      <c r="C491" s="42"/>
      <c r="D491" s="42"/>
      <c r="E491" s="42"/>
      <c r="F491" s="172"/>
      <c r="G491" s="185"/>
      <c r="H491" s="172"/>
      <c r="I491" s="172"/>
      <c r="J491" s="172"/>
    </row>
    <row r="492" spans="1:10" x14ac:dyDescent="0.25">
      <c r="A492" s="172"/>
      <c r="B492" s="172"/>
      <c r="C492" s="42"/>
      <c r="D492" s="42"/>
      <c r="E492" s="42"/>
      <c r="F492" s="172"/>
      <c r="G492" s="185"/>
      <c r="H492" s="172"/>
      <c r="I492" s="172"/>
      <c r="J492" s="172"/>
    </row>
    <row r="493" spans="1:10" x14ac:dyDescent="0.25">
      <c r="A493" s="172"/>
      <c r="B493" s="172"/>
      <c r="C493" s="42"/>
      <c r="D493" s="42"/>
      <c r="E493" s="42"/>
      <c r="F493" s="172"/>
      <c r="G493" s="185"/>
      <c r="H493" s="172"/>
      <c r="I493" s="172"/>
      <c r="J493" s="172"/>
    </row>
    <row r="494" spans="1:10" x14ac:dyDescent="0.25">
      <c r="A494" s="172"/>
      <c r="B494" s="172"/>
      <c r="C494" s="42"/>
      <c r="D494" s="42"/>
      <c r="E494" s="42"/>
      <c r="F494" s="172"/>
      <c r="G494" s="185"/>
      <c r="H494" s="172"/>
      <c r="I494" s="172"/>
      <c r="J494" s="172"/>
    </row>
    <row r="495" spans="1:10" x14ac:dyDescent="0.25">
      <c r="A495" s="172"/>
      <c r="B495" s="172"/>
      <c r="C495" s="42"/>
      <c r="D495" s="42"/>
      <c r="E495" s="42"/>
      <c r="F495" s="172"/>
      <c r="G495" s="185"/>
      <c r="H495" s="172"/>
      <c r="I495" s="172"/>
      <c r="J495" s="172"/>
    </row>
    <row r="496" spans="1:10" x14ac:dyDescent="0.25">
      <c r="A496" s="172"/>
      <c r="B496" s="172"/>
      <c r="C496" s="42"/>
      <c r="D496" s="42"/>
      <c r="E496" s="42"/>
      <c r="F496" s="172"/>
      <c r="G496" s="185"/>
      <c r="H496" s="172"/>
      <c r="I496" s="172"/>
      <c r="J496" s="172"/>
    </row>
    <row r="497" spans="1:10" x14ac:dyDescent="0.25">
      <c r="A497" s="172"/>
      <c r="B497" s="172"/>
      <c r="C497" s="42"/>
      <c r="D497" s="42"/>
      <c r="E497" s="42"/>
      <c r="F497" s="172"/>
      <c r="G497" s="185"/>
      <c r="H497" s="172"/>
      <c r="I497" s="172"/>
      <c r="J497" s="172"/>
    </row>
    <row r="498" spans="1:10" x14ac:dyDescent="0.25">
      <c r="A498" s="172"/>
      <c r="B498" s="172"/>
      <c r="C498" s="42"/>
      <c r="D498" s="42"/>
      <c r="E498" s="42"/>
      <c r="F498" s="172"/>
      <c r="G498" s="185"/>
      <c r="H498" s="172"/>
      <c r="I498" s="172"/>
      <c r="J498" s="172"/>
    </row>
    <row r="499" spans="1:10" x14ac:dyDescent="0.25">
      <c r="A499" s="172"/>
      <c r="B499" s="172"/>
      <c r="C499" s="42"/>
      <c r="D499" s="42"/>
      <c r="E499" s="42"/>
      <c r="F499" s="172"/>
      <c r="G499" s="185"/>
      <c r="H499" s="172"/>
      <c r="I499" s="172"/>
      <c r="J499" s="172"/>
    </row>
    <row r="500" spans="1:10" x14ac:dyDescent="0.25">
      <c r="A500" s="172"/>
      <c r="B500" s="172"/>
      <c r="C500" s="42"/>
      <c r="D500" s="42"/>
      <c r="E500" s="42"/>
      <c r="F500" s="172"/>
      <c r="G500" s="185"/>
      <c r="H500" s="172"/>
      <c r="I500" s="172"/>
      <c r="J500" s="172"/>
    </row>
    <row r="501" spans="1:10" x14ac:dyDescent="0.25">
      <c r="A501" s="172"/>
      <c r="B501" s="172"/>
      <c r="C501" s="42"/>
      <c r="D501" s="42"/>
      <c r="E501" s="42"/>
      <c r="F501" s="172"/>
      <c r="G501" s="185"/>
      <c r="H501" s="172"/>
      <c r="I501" s="172"/>
      <c r="J501" s="172"/>
    </row>
    <row r="502" spans="1:10" x14ac:dyDescent="0.25">
      <c r="A502" s="172"/>
      <c r="B502" s="172"/>
      <c r="C502" s="42"/>
      <c r="D502" s="42"/>
      <c r="E502" s="42"/>
      <c r="F502" s="172"/>
      <c r="G502" s="185"/>
      <c r="H502" s="172"/>
      <c r="I502" s="172"/>
      <c r="J502" s="172"/>
    </row>
    <row r="503" spans="1:10" x14ac:dyDescent="0.25">
      <c r="A503" s="172"/>
      <c r="B503" s="172"/>
      <c r="C503" s="42"/>
      <c r="D503" s="42"/>
      <c r="E503" s="42"/>
      <c r="F503" s="172"/>
      <c r="G503" s="185"/>
      <c r="H503" s="172"/>
      <c r="I503" s="172"/>
      <c r="J503" s="172"/>
    </row>
    <row r="504" spans="1:10" x14ac:dyDescent="0.25">
      <c r="A504" s="172"/>
      <c r="B504" s="172"/>
      <c r="C504" s="42"/>
      <c r="D504" s="42"/>
      <c r="E504" s="42"/>
      <c r="F504" s="172"/>
      <c r="G504" s="185"/>
      <c r="H504" s="172"/>
      <c r="I504" s="172"/>
      <c r="J504" s="172"/>
    </row>
    <row r="505" spans="1:10" x14ac:dyDescent="0.25">
      <c r="A505" s="172"/>
      <c r="B505" s="172"/>
      <c r="C505" s="42"/>
      <c r="D505" s="42"/>
      <c r="E505" s="42"/>
      <c r="F505" s="172"/>
      <c r="G505" s="185"/>
      <c r="H505" s="172"/>
      <c r="I505" s="172"/>
      <c r="J505" s="172"/>
    </row>
    <row r="506" spans="1:10" x14ac:dyDescent="0.25">
      <c r="A506" s="172"/>
      <c r="B506" s="172"/>
      <c r="C506" s="42"/>
      <c r="D506" s="42"/>
      <c r="E506" s="42"/>
      <c r="F506" s="172"/>
      <c r="G506" s="185"/>
      <c r="H506" s="172"/>
      <c r="I506" s="172"/>
      <c r="J506" s="172"/>
    </row>
    <row r="507" spans="1:10" x14ac:dyDescent="0.25">
      <c r="A507" s="172"/>
      <c r="B507" s="172"/>
      <c r="C507" s="42"/>
      <c r="D507" s="42"/>
      <c r="E507" s="42"/>
      <c r="F507" s="172"/>
      <c r="G507" s="185"/>
      <c r="H507" s="172"/>
      <c r="I507" s="172"/>
      <c r="J507" s="172"/>
    </row>
    <row r="508" spans="1:10" x14ac:dyDescent="0.25">
      <c r="A508" s="172"/>
      <c r="B508" s="172"/>
      <c r="C508" s="42"/>
      <c r="D508" s="42"/>
      <c r="E508" s="42"/>
      <c r="F508" s="172"/>
      <c r="G508" s="185"/>
      <c r="H508" s="172"/>
      <c r="I508" s="172"/>
      <c r="J508" s="172"/>
    </row>
    <row r="509" spans="1:10" x14ac:dyDescent="0.25">
      <c r="A509" s="172"/>
      <c r="B509" s="172"/>
      <c r="C509" s="42"/>
      <c r="D509" s="42"/>
      <c r="E509" s="42"/>
      <c r="F509" s="172"/>
      <c r="G509" s="185"/>
      <c r="H509" s="172"/>
      <c r="I509" s="172"/>
      <c r="J509" s="172"/>
    </row>
    <row r="510" spans="1:10" x14ac:dyDescent="0.25">
      <c r="A510" s="172"/>
      <c r="B510" s="172"/>
      <c r="C510" s="42"/>
      <c r="D510" s="42"/>
      <c r="E510" s="42"/>
      <c r="F510" s="172"/>
      <c r="G510" s="185"/>
      <c r="H510" s="172"/>
      <c r="I510" s="172"/>
      <c r="J510" s="172"/>
    </row>
    <row r="511" spans="1:10" x14ac:dyDescent="0.25">
      <c r="A511" s="172"/>
      <c r="B511" s="172"/>
      <c r="C511" s="42"/>
      <c r="D511" s="42"/>
      <c r="E511" s="42"/>
      <c r="F511" s="172"/>
      <c r="G511" s="185"/>
      <c r="H511" s="172"/>
      <c r="I511" s="172"/>
      <c r="J511" s="172"/>
    </row>
    <row r="512" spans="1:10" x14ac:dyDescent="0.25">
      <c r="A512" s="172"/>
      <c r="B512" s="172"/>
      <c r="C512" s="42"/>
      <c r="D512" s="42"/>
      <c r="E512" s="42"/>
      <c r="F512" s="172"/>
      <c r="G512" s="185"/>
      <c r="H512" s="172"/>
      <c r="I512" s="172"/>
      <c r="J512" s="172"/>
    </row>
    <row r="513" spans="1:10" x14ac:dyDescent="0.25">
      <c r="A513" s="172"/>
      <c r="B513" s="172"/>
      <c r="C513" s="42"/>
      <c r="D513" s="42"/>
      <c r="E513" s="42"/>
      <c r="F513" s="172"/>
      <c r="G513" s="185"/>
      <c r="H513" s="172"/>
      <c r="I513" s="172"/>
      <c r="J513" s="172"/>
    </row>
    <row r="514" spans="1:10" x14ac:dyDescent="0.25">
      <c r="A514" s="172"/>
      <c r="B514" s="172"/>
      <c r="C514" s="42"/>
      <c r="D514" s="42"/>
      <c r="E514" s="42"/>
      <c r="F514" s="172"/>
      <c r="G514" s="185"/>
      <c r="H514" s="172"/>
      <c r="I514" s="172"/>
      <c r="J514" s="172"/>
    </row>
    <row r="515" spans="1:10" x14ac:dyDescent="0.25">
      <c r="A515" s="172"/>
      <c r="B515" s="172"/>
      <c r="C515" s="42"/>
      <c r="D515" s="42"/>
      <c r="E515" s="42"/>
      <c r="F515" s="172"/>
      <c r="G515" s="185"/>
      <c r="H515" s="172"/>
      <c r="I515" s="172"/>
      <c r="J515" s="172"/>
    </row>
    <row r="516" spans="1:10" x14ac:dyDescent="0.25">
      <c r="A516" s="172"/>
      <c r="B516" s="172"/>
      <c r="C516" s="42"/>
      <c r="D516" s="42"/>
      <c r="E516" s="42"/>
      <c r="F516" s="172"/>
      <c r="G516" s="185"/>
      <c r="H516" s="172"/>
      <c r="I516" s="172"/>
      <c r="J516" s="172"/>
    </row>
    <row r="517" spans="1:10" x14ac:dyDescent="0.25">
      <c r="A517" s="172"/>
      <c r="B517" s="172"/>
      <c r="C517" s="42"/>
      <c r="D517" s="42"/>
      <c r="E517" s="42"/>
      <c r="F517" s="172"/>
      <c r="G517" s="185"/>
      <c r="H517" s="172"/>
      <c r="I517" s="172"/>
      <c r="J517" s="172"/>
    </row>
    <row r="518" spans="1:10" x14ac:dyDescent="0.25">
      <c r="A518" s="172"/>
      <c r="B518" s="172"/>
      <c r="C518" s="42"/>
      <c r="D518" s="42"/>
      <c r="E518" s="42"/>
      <c r="F518" s="172"/>
      <c r="G518" s="185"/>
      <c r="H518" s="172"/>
      <c r="I518" s="172"/>
      <c r="J518" s="172"/>
    </row>
    <row r="519" spans="1:10" x14ac:dyDescent="0.25">
      <c r="A519" s="172"/>
      <c r="B519" s="172"/>
      <c r="C519" s="42"/>
      <c r="D519" s="42"/>
      <c r="E519" s="42"/>
      <c r="F519" s="172"/>
      <c r="G519" s="185"/>
      <c r="H519" s="172"/>
      <c r="I519" s="172"/>
      <c r="J519" s="172"/>
    </row>
    <row r="520" spans="1:10" x14ac:dyDescent="0.25">
      <c r="A520" s="172"/>
      <c r="B520" s="172"/>
      <c r="C520" s="42"/>
      <c r="D520" s="42"/>
      <c r="E520" s="42"/>
      <c r="F520" s="172"/>
      <c r="G520" s="185"/>
      <c r="H520" s="172"/>
      <c r="I520" s="172"/>
      <c r="J520" s="172"/>
    </row>
    <row r="521" spans="1:10" x14ac:dyDescent="0.25">
      <c r="A521" s="172"/>
      <c r="B521" s="172"/>
      <c r="C521" s="42"/>
      <c r="D521" s="42"/>
      <c r="E521" s="42"/>
      <c r="F521" s="172"/>
      <c r="G521" s="185"/>
      <c r="H521" s="172"/>
      <c r="I521" s="172"/>
      <c r="J521" s="172"/>
    </row>
    <row r="522" spans="1:10" x14ac:dyDescent="0.25">
      <c r="A522" s="172"/>
      <c r="B522" s="172"/>
      <c r="C522" s="42"/>
      <c r="D522" s="42"/>
      <c r="E522" s="42"/>
      <c r="F522" s="172"/>
      <c r="G522" s="185"/>
      <c r="H522" s="172"/>
      <c r="I522" s="172"/>
      <c r="J522" s="172"/>
    </row>
    <row r="523" spans="1:10" x14ac:dyDescent="0.25">
      <c r="A523" s="172"/>
      <c r="B523" s="172"/>
      <c r="C523" s="42"/>
      <c r="D523" s="42"/>
      <c r="E523" s="42"/>
      <c r="F523" s="172"/>
      <c r="G523" s="185"/>
      <c r="H523" s="172"/>
      <c r="I523" s="172"/>
      <c r="J523" s="172"/>
    </row>
    <row r="524" spans="1:10" x14ac:dyDescent="0.25">
      <c r="A524" s="172"/>
      <c r="B524" s="172"/>
      <c r="C524" s="42"/>
      <c r="D524" s="42"/>
      <c r="E524" s="42"/>
      <c r="F524" s="172"/>
      <c r="G524" s="185"/>
      <c r="H524" s="172"/>
      <c r="I524" s="172"/>
      <c r="J524" s="172"/>
    </row>
    <row r="525" spans="1:10" x14ac:dyDescent="0.25">
      <c r="A525" s="172"/>
      <c r="B525" s="172"/>
      <c r="C525" s="42"/>
      <c r="D525" s="42"/>
      <c r="E525" s="42"/>
      <c r="F525" s="172"/>
      <c r="G525" s="185"/>
      <c r="H525" s="172"/>
      <c r="I525" s="172"/>
      <c r="J525" s="172"/>
    </row>
    <row r="526" spans="1:10" x14ac:dyDescent="0.25">
      <c r="A526" s="172"/>
      <c r="B526" s="172"/>
      <c r="C526" s="42"/>
      <c r="D526" s="42"/>
      <c r="E526" s="42"/>
      <c r="F526" s="172"/>
      <c r="G526" s="185"/>
      <c r="H526" s="172"/>
      <c r="I526" s="172"/>
      <c r="J526" s="172"/>
    </row>
    <row r="527" spans="1:10" x14ac:dyDescent="0.25">
      <c r="A527" s="172"/>
      <c r="B527" s="172"/>
      <c r="C527" s="42"/>
      <c r="D527" s="42"/>
      <c r="E527" s="42"/>
      <c r="F527" s="172"/>
      <c r="G527" s="185"/>
      <c r="H527" s="172"/>
      <c r="I527" s="172"/>
      <c r="J527" s="172"/>
    </row>
    <row r="528" spans="1:10" x14ac:dyDescent="0.25">
      <c r="A528" s="172"/>
      <c r="B528" s="172"/>
      <c r="C528" s="42"/>
      <c r="D528" s="42"/>
      <c r="E528" s="42"/>
      <c r="F528" s="172"/>
      <c r="G528" s="185"/>
      <c r="H528" s="172"/>
      <c r="I528" s="172"/>
      <c r="J528" s="172"/>
    </row>
    <row r="529" spans="1:10" x14ac:dyDescent="0.25">
      <c r="A529" s="172"/>
      <c r="B529" s="172"/>
      <c r="C529" s="42"/>
      <c r="D529" s="42"/>
      <c r="E529" s="42"/>
      <c r="F529" s="172"/>
      <c r="G529" s="185"/>
      <c r="H529" s="172"/>
      <c r="I529" s="172"/>
      <c r="J529" s="172"/>
    </row>
    <row r="530" spans="1:10" x14ac:dyDescent="0.25">
      <c r="A530" s="172"/>
      <c r="B530" s="172"/>
      <c r="C530" s="42"/>
      <c r="D530" s="42"/>
      <c r="E530" s="42"/>
      <c r="F530" s="172"/>
      <c r="G530" s="185"/>
      <c r="H530" s="172"/>
      <c r="I530" s="172"/>
      <c r="J530" s="172"/>
    </row>
    <row r="531" spans="1:10" x14ac:dyDescent="0.25">
      <c r="A531" s="172"/>
      <c r="B531" s="172"/>
      <c r="C531" s="42"/>
      <c r="D531" s="42"/>
      <c r="E531" s="42"/>
      <c r="F531" s="172"/>
      <c r="G531" s="185"/>
      <c r="H531" s="172"/>
      <c r="I531" s="172"/>
      <c r="J531" s="172"/>
    </row>
    <row r="532" spans="1:10" x14ac:dyDescent="0.25">
      <c r="A532" s="172"/>
      <c r="B532" s="172"/>
      <c r="C532" s="42"/>
      <c r="D532" s="42"/>
      <c r="E532" s="42"/>
      <c r="F532" s="172"/>
      <c r="G532" s="185"/>
      <c r="H532" s="172"/>
      <c r="I532" s="172"/>
      <c r="J532" s="172"/>
    </row>
    <row r="533" spans="1:10" x14ac:dyDescent="0.25">
      <c r="A533" s="172"/>
      <c r="B533" s="172"/>
      <c r="C533" s="42"/>
      <c r="D533" s="42"/>
      <c r="E533" s="42"/>
      <c r="F533" s="172"/>
      <c r="G533" s="185"/>
      <c r="H533" s="172"/>
      <c r="I533" s="172"/>
      <c r="J533" s="172"/>
    </row>
    <row r="534" spans="1:10" x14ac:dyDescent="0.25">
      <c r="A534" s="172"/>
      <c r="B534" s="172"/>
      <c r="C534" s="42"/>
      <c r="D534" s="42"/>
      <c r="E534" s="42"/>
      <c r="F534" s="172"/>
      <c r="G534" s="185"/>
      <c r="H534" s="172"/>
      <c r="I534" s="172"/>
      <c r="J534" s="172"/>
    </row>
    <row r="535" spans="1:10" x14ac:dyDescent="0.25">
      <c r="A535" s="172"/>
      <c r="B535" s="172"/>
      <c r="C535" s="42"/>
      <c r="D535" s="42"/>
      <c r="E535" s="42"/>
      <c r="F535" s="172"/>
      <c r="G535" s="185"/>
      <c r="H535" s="172"/>
      <c r="I535" s="172"/>
      <c r="J535" s="172"/>
    </row>
    <row r="536" spans="1:10" x14ac:dyDescent="0.25">
      <c r="A536" s="172"/>
      <c r="B536" s="172"/>
      <c r="C536" s="42"/>
      <c r="D536" s="42"/>
      <c r="E536" s="42"/>
      <c r="F536" s="172"/>
      <c r="G536" s="185"/>
      <c r="H536" s="172"/>
      <c r="I536" s="172"/>
      <c r="J536" s="172"/>
    </row>
    <row r="537" spans="1:10" x14ac:dyDescent="0.25">
      <c r="A537" s="172"/>
      <c r="B537" s="172"/>
      <c r="C537" s="42"/>
      <c r="D537" s="42"/>
      <c r="E537" s="42"/>
      <c r="F537" s="172"/>
      <c r="G537" s="185"/>
      <c r="H537" s="172"/>
      <c r="I537" s="172"/>
      <c r="J537" s="172"/>
    </row>
    <row r="538" spans="1:10" x14ac:dyDescent="0.25">
      <c r="A538" s="172"/>
      <c r="B538" s="172"/>
      <c r="C538" s="42"/>
      <c r="D538" s="42"/>
      <c r="E538" s="42"/>
      <c r="F538" s="172"/>
      <c r="G538" s="185"/>
      <c r="H538" s="172"/>
      <c r="I538" s="172"/>
      <c r="J538" s="172"/>
    </row>
    <row r="539" spans="1:10" x14ac:dyDescent="0.25">
      <c r="A539" s="172"/>
      <c r="B539" s="172"/>
      <c r="C539" s="42"/>
      <c r="D539" s="42"/>
      <c r="E539" s="42"/>
      <c r="F539" s="172"/>
      <c r="G539" s="185"/>
      <c r="H539" s="172"/>
      <c r="I539" s="172"/>
      <c r="J539" s="172"/>
    </row>
    <row r="540" spans="1:10" x14ac:dyDescent="0.25">
      <c r="A540" s="172"/>
      <c r="B540" s="172"/>
      <c r="C540" s="42"/>
      <c r="D540" s="42"/>
      <c r="E540" s="42"/>
      <c r="F540" s="172"/>
      <c r="G540" s="185"/>
      <c r="H540" s="172"/>
      <c r="I540" s="172"/>
      <c r="J540" s="172"/>
    </row>
    <row r="541" spans="1:10" x14ac:dyDescent="0.25">
      <c r="A541" s="172"/>
      <c r="B541" s="172"/>
      <c r="C541" s="42"/>
      <c r="D541" s="42"/>
      <c r="E541" s="42"/>
      <c r="F541" s="172"/>
      <c r="G541" s="185"/>
      <c r="H541" s="172"/>
      <c r="I541" s="172"/>
      <c r="J541" s="172"/>
    </row>
    <row r="542" spans="1:10" x14ac:dyDescent="0.25">
      <c r="A542" s="172"/>
      <c r="B542" s="172"/>
      <c r="C542" s="42"/>
      <c r="D542" s="42"/>
      <c r="E542" s="42"/>
      <c r="F542" s="172"/>
      <c r="G542" s="185"/>
      <c r="H542" s="172"/>
      <c r="I542" s="172"/>
      <c r="J542" s="172"/>
    </row>
    <row r="543" spans="1:10" x14ac:dyDescent="0.25">
      <c r="A543" s="172"/>
      <c r="B543" s="172"/>
      <c r="C543" s="42"/>
      <c r="D543" s="42"/>
      <c r="E543" s="42"/>
      <c r="F543" s="172"/>
      <c r="G543" s="185"/>
      <c r="H543" s="172"/>
      <c r="I543" s="172"/>
      <c r="J543" s="172"/>
    </row>
    <row r="544" spans="1:10" x14ac:dyDescent="0.25">
      <c r="A544" s="172"/>
      <c r="B544" s="172"/>
      <c r="C544" s="42"/>
      <c r="D544" s="42"/>
      <c r="E544" s="42"/>
      <c r="F544" s="172"/>
      <c r="G544" s="185"/>
      <c r="H544" s="172"/>
      <c r="I544" s="172"/>
      <c r="J544" s="172"/>
    </row>
    <row r="545" spans="1:10" x14ac:dyDescent="0.25">
      <c r="A545" s="172"/>
      <c r="B545" s="172"/>
      <c r="C545" s="42"/>
      <c r="D545" s="42"/>
      <c r="E545" s="42"/>
      <c r="F545" s="172"/>
      <c r="G545" s="185"/>
      <c r="H545" s="172"/>
      <c r="I545" s="172"/>
      <c r="J545" s="172"/>
    </row>
    <row r="546" spans="1:10" x14ac:dyDescent="0.25">
      <c r="A546" s="172"/>
      <c r="B546" s="172"/>
      <c r="C546" s="42"/>
      <c r="D546" s="42"/>
      <c r="E546" s="42"/>
      <c r="F546" s="172"/>
      <c r="G546" s="185"/>
      <c r="H546" s="172"/>
      <c r="I546" s="172"/>
      <c r="J546" s="172"/>
    </row>
    <row r="547" spans="1:10" x14ac:dyDescent="0.25">
      <c r="A547" s="172"/>
      <c r="B547" s="172"/>
      <c r="C547" s="42"/>
      <c r="D547" s="42"/>
      <c r="E547" s="42"/>
      <c r="F547" s="172"/>
      <c r="G547" s="185"/>
      <c r="H547" s="172"/>
      <c r="I547" s="172"/>
      <c r="J547" s="172"/>
    </row>
    <row r="548" spans="1:10" x14ac:dyDescent="0.25">
      <c r="A548" s="172"/>
      <c r="B548" s="172"/>
      <c r="C548" s="42"/>
      <c r="D548" s="42"/>
      <c r="E548" s="42"/>
      <c r="F548" s="172"/>
      <c r="G548" s="185"/>
      <c r="H548" s="172"/>
      <c r="I548" s="172"/>
      <c r="J548" s="172"/>
    </row>
    <row r="549" spans="1:10" x14ac:dyDescent="0.25">
      <c r="A549" s="172"/>
      <c r="B549" s="172"/>
      <c r="C549" s="42"/>
      <c r="D549" s="42"/>
      <c r="E549" s="42"/>
      <c r="F549" s="172"/>
      <c r="G549" s="185"/>
      <c r="H549" s="172"/>
      <c r="I549" s="172"/>
      <c r="J549" s="172"/>
    </row>
    <row r="550" spans="1:10" x14ac:dyDescent="0.25">
      <c r="A550" s="172"/>
      <c r="B550" s="172"/>
      <c r="C550" s="42"/>
      <c r="D550" s="42"/>
      <c r="E550" s="42"/>
      <c r="F550" s="172"/>
      <c r="G550" s="185"/>
      <c r="H550" s="172"/>
      <c r="I550" s="172"/>
      <c r="J550" s="172"/>
    </row>
    <row r="551" spans="1:10" x14ac:dyDescent="0.25">
      <c r="A551" s="172"/>
      <c r="B551" s="172"/>
      <c r="C551" s="42"/>
      <c r="D551" s="42"/>
      <c r="E551" s="42"/>
      <c r="F551" s="172"/>
      <c r="G551" s="185"/>
      <c r="H551" s="172"/>
      <c r="I551" s="172"/>
      <c r="J551" s="172"/>
    </row>
    <row r="552" spans="1:10" x14ac:dyDescent="0.25">
      <c r="A552" s="172"/>
      <c r="B552" s="172"/>
      <c r="C552" s="42"/>
      <c r="D552" s="42"/>
      <c r="E552" s="42"/>
      <c r="F552" s="172"/>
      <c r="G552" s="185"/>
      <c r="H552" s="172"/>
      <c r="I552" s="172"/>
      <c r="J552" s="172"/>
    </row>
    <row r="553" spans="1:10" x14ac:dyDescent="0.25">
      <c r="A553" s="172"/>
      <c r="B553" s="172"/>
      <c r="C553" s="42"/>
      <c r="D553" s="42"/>
      <c r="E553" s="42"/>
      <c r="F553" s="172"/>
      <c r="G553" s="185"/>
      <c r="H553" s="172"/>
      <c r="I553" s="172"/>
      <c r="J553" s="172"/>
    </row>
    <row r="554" spans="1:10" x14ac:dyDescent="0.25">
      <c r="A554" s="172"/>
      <c r="B554" s="172"/>
      <c r="C554" s="42"/>
      <c r="D554" s="42"/>
      <c r="E554" s="42"/>
      <c r="F554" s="172"/>
      <c r="G554" s="185"/>
      <c r="H554" s="172"/>
      <c r="I554" s="172"/>
      <c r="J554" s="172"/>
    </row>
    <row r="555" spans="1:10" x14ac:dyDescent="0.25">
      <c r="A555" s="172"/>
      <c r="B555" s="172"/>
      <c r="C555" s="42"/>
      <c r="D555" s="42"/>
      <c r="E555" s="42"/>
      <c r="F555" s="172"/>
      <c r="G555" s="185"/>
      <c r="H555" s="172"/>
      <c r="I555" s="172"/>
      <c r="J555" s="172"/>
    </row>
    <row r="556" spans="1:10" x14ac:dyDescent="0.25">
      <c r="A556" s="172"/>
      <c r="B556" s="172"/>
      <c r="C556" s="42"/>
      <c r="D556" s="42"/>
      <c r="E556" s="42"/>
      <c r="F556" s="172"/>
      <c r="G556" s="185"/>
      <c r="H556" s="172"/>
      <c r="I556" s="172"/>
      <c r="J556" s="172"/>
    </row>
    <row r="557" spans="1:10" x14ac:dyDescent="0.25">
      <c r="A557" s="172"/>
      <c r="B557" s="172"/>
      <c r="C557" s="42"/>
      <c r="D557" s="42"/>
      <c r="E557" s="42"/>
      <c r="F557" s="172"/>
      <c r="G557" s="185"/>
      <c r="H557" s="172"/>
      <c r="I557" s="172"/>
      <c r="J557" s="172"/>
    </row>
    <row r="558" spans="1:10" x14ac:dyDescent="0.25">
      <c r="B558" s="172"/>
      <c r="C558" s="42"/>
      <c r="D558" s="42"/>
      <c r="E558" s="42"/>
      <c r="F558" s="172"/>
      <c r="G558" s="185"/>
      <c r="H558" s="172"/>
      <c r="I558" s="172"/>
      <c r="J558" s="172"/>
    </row>
    <row r="559" spans="1:10" x14ac:dyDescent="0.25">
      <c r="B559" s="172"/>
      <c r="C559" s="42"/>
      <c r="D559" s="42"/>
      <c r="E559" s="42"/>
      <c r="F559" s="172"/>
      <c r="G559" s="185"/>
      <c r="H559" s="172"/>
      <c r="I559" s="172"/>
      <c r="J559" s="172"/>
    </row>
    <row r="560" spans="1:10" x14ac:dyDescent="0.25">
      <c r="B560" s="172"/>
      <c r="C560" s="42"/>
      <c r="D560" s="42"/>
      <c r="E560" s="42"/>
      <c r="F560" s="172"/>
      <c r="G560" s="185"/>
      <c r="H560" s="172"/>
      <c r="I560" s="172"/>
      <c r="J560" s="172"/>
    </row>
    <row r="561" spans="2:10" x14ac:dyDescent="0.25">
      <c r="B561" s="172"/>
      <c r="C561" s="42"/>
      <c r="D561" s="42"/>
      <c r="E561" s="42"/>
      <c r="F561" s="172"/>
      <c r="G561" s="185"/>
      <c r="H561" s="172"/>
      <c r="I561" s="172"/>
      <c r="J561" s="172"/>
    </row>
    <row r="562" spans="2:10" x14ac:dyDescent="0.25">
      <c r="B562" s="172"/>
      <c r="C562" s="42"/>
      <c r="D562" s="42"/>
      <c r="E562" s="42"/>
      <c r="F562" s="172"/>
      <c r="G562" s="185"/>
      <c r="H562" s="172"/>
      <c r="I562" s="172"/>
      <c r="J562" s="172"/>
    </row>
    <row r="563" spans="2:10" x14ac:dyDescent="0.25">
      <c r="B563" s="172"/>
      <c r="C563" s="42"/>
      <c r="D563" s="42"/>
      <c r="E563" s="42"/>
      <c r="F563" s="172"/>
      <c r="G563" s="185"/>
      <c r="H563" s="172"/>
      <c r="I563" s="172"/>
      <c r="J563" s="172"/>
    </row>
    <row r="564" spans="2:10" x14ac:dyDescent="0.25">
      <c r="B564" s="172"/>
      <c r="C564" s="42"/>
      <c r="D564" s="42"/>
      <c r="E564" s="42"/>
      <c r="F564" s="172"/>
      <c r="G564" s="185"/>
      <c r="H564" s="172"/>
      <c r="I564" s="172"/>
      <c r="J564" s="172"/>
    </row>
    <row r="565" spans="2:10" x14ac:dyDescent="0.25">
      <c r="B565" s="172"/>
      <c r="C565" s="42"/>
      <c r="D565" s="42"/>
      <c r="E565" s="42"/>
      <c r="F565" s="172"/>
      <c r="G565" s="185"/>
      <c r="H565" s="172"/>
      <c r="I565" s="172"/>
      <c r="J565" s="172"/>
    </row>
    <row r="566" spans="2:10" x14ac:dyDescent="0.25">
      <c r="B566" s="172"/>
      <c r="C566" s="42"/>
      <c r="D566" s="42"/>
      <c r="E566" s="42"/>
      <c r="F566" s="172"/>
      <c r="G566" s="185"/>
      <c r="H566" s="172"/>
      <c r="I566" s="172"/>
      <c r="J566" s="172"/>
    </row>
    <row r="567" spans="2:10" x14ac:dyDescent="0.25">
      <c r="B567" s="172"/>
      <c r="C567" s="42"/>
      <c r="D567" s="42"/>
      <c r="E567" s="42"/>
      <c r="F567" s="172"/>
      <c r="G567" s="185"/>
      <c r="H567" s="172"/>
      <c r="I567" s="172"/>
      <c r="J567" s="172"/>
    </row>
    <row r="568" spans="2:10" x14ac:dyDescent="0.25">
      <c r="B568" s="172"/>
      <c r="C568" s="42"/>
      <c r="D568" s="42"/>
      <c r="E568" s="42"/>
      <c r="F568" s="172"/>
      <c r="G568" s="185"/>
      <c r="H568" s="172"/>
      <c r="I568" s="172"/>
      <c r="J568" s="172"/>
    </row>
    <row r="569" spans="2:10" x14ac:dyDescent="0.25">
      <c r="B569" s="172"/>
      <c r="C569" s="42"/>
      <c r="D569" s="42"/>
      <c r="E569" s="42"/>
      <c r="F569" s="172"/>
      <c r="G569" s="185"/>
      <c r="H569" s="172"/>
      <c r="I569" s="172"/>
      <c r="J569" s="172"/>
    </row>
    <row r="570" spans="2:10" x14ac:dyDescent="0.25">
      <c r="B570" s="172"/>
      <c r="C570" s="42"/>
      <c r="D570" s="42"/>
      <c r="E570" s="42"/>
      <c r="F570" s="172"/>
      <c r="G570" s="185"/>
      <c r="H570" s="172"/>
      <c r="I570" s="172"/>
      <c r="J570" s="172"/>
    </row>
    <row r="571" spans="2:10" x14ac:dyDescent="0.25">
      <c r="B571" s="172"/>
      <c r="C571" s="42"/>
      <c r="D571" s="42"/>
      <c r="E571" s="42"/>
      <c r="F571" s="172"/>
      <c r="G571" s="185"/>
      <c r="H571" s="172"/>
      <c r="I571" s="172"/>
      <c r="J571" s="172"/>
    </row>
    <row r="572" spans="2:10" x14ac:dyDescent="0.25">
      <c r="B572" s="172"/>
      <c r="C572" s="42"/>
      <c r="D572" s="42"/>
      <c r="E572" s="42"/>
      <c r="F572" s="172"/>
      <c r="G572" s="185"/>
      <c r="H572" s="172"/>
      <c r="I572" s="172"/>
      <c r="J572" s="172"/>
    </row>
    <row r="573" spans="2:10" x14ac:dyDescent="0.25">
      <c r="B573" s="172"/>
      <c r="C573" s="42"/>
      <c r="D573" s="42"/>
      <c r="E573" s="42"/>
      <c r="F573" s="172"/>
      <c r="G573" s="185"/>
      <c r="H573" s="172"/>
      <c r="I573" s="172"/>
      <c r="J573" s="172"/>
    </row>
    <row r="574" spans="2:10" x14ac:dyDescent="0.25">
      <c r="B574" s="172"/>
      <c r="C574" s="42"/>
      <c r="D574" s="42"/>
      <c r="E574" s="42"/>
      <c r="F574" s="172"/>
      <c r="G574" s="185"/>
      <c r="H574" s="172"/>
      <c r="I574" s="172"/>
      <c r="J574" s="172"/>
    </row>
    <row r="575" spans="2:10" x14ac:dyDescent="0.25">
      <c r="B575" s="172"/>
      <c r="C575" s="42"/>
      <c r="D575" s="42"/>
      <c r="E575" s="42"/>
      <c r="F575" s="172"/>
      <c r="G575" s="185"/>
      <c r="H575" s="172"/>
      <c r="I575" s="172"/>
      <c r="J575" s="172"/>
    </row>
    <row r="576" spans="2:10" x14ac:dyDescent="0.25">
      <c r="B576" s="172"/>
      <c r="C576" s="42"/>
      <c r="D576" s="42"/>
      <c r="E576" s="42"/>
      <c r="F576" s="172"/>
      <c r="G576" s="185"/>
      <c r="H576" s="172"/>
      <c r="I576" s="172"/>
      <c r="J576" s="172"/>
    </row>
    <row r="577" spans="2:10" x14ac:dyDescent="0.25">
      <c r="B577" s="172"/>
      <c r="C577" s="42"/>
      <c r="D577" s="42"/>
      <c r="E577" s="42"/>
      <c r="F577" s="172"/>
      <c r="G577" s="185"/>
      <c r="H577" s="172"/>
      <c r="I577" s="172"/>
      <c r="J577" s="172"/>
    </row>
    <row r="578" spans="2:10" x14ac:dyDescent="0.25">
      <c r="B578" s="172"/>
      <c r="C578" s="42"/>
      <c r="D578" s="42"/>
      <c r="E578" s="42"/>
      <c r="F578" s="172"/>
      <c r="G578" s="185"/>
      <c r="H578" s="172"/>
      <c r="I578" s="172"/>
      <c r="J578" s="172"/>
    </row>
    <row r="579" spans="2:10" x14ac:dyDescent="0.25">
      <c r="B579" s="172"/>
      <c r="C579" s="172"/>
      <c r="D579" s="172"/>
      <c r="E579" s="172"/>
      <c r="F579" s="172"/>
      <c r="G579" s="185"/>
      <c r="H579" s="172"/>
      <c r="I579" s="172"/>
      <c r="J579" s="172"/>
    </row>
    <row r="580" spans="2:10" x14ac:dyDescent="0.25">
      <c r="B580" s="172"/>
      <c r="C580" s="172"/>
      <c r="D580" s="172"/>
      <c r="E580" s="172"/>
      <c r="F580" s="172"/>
      <c r="G580" s="185"/>
      <c r="H580" s="172"/>
      <c r="I580" s="172"/>
      <c r="J580" s="172"/>
    </row>
    <row r="581" spans="2:10" x14ac:dyDescent="0.25">
      <c r="B581" s="172"/>
      <c r="C581" s="172"/>
      <c r="D581" s="172"/>
      <c r="E581" s="172"/>
      <c r="F581" s="172"/>
      <c r="G581" s="185"/>
      <c r="H581" s="172"/>
      <c r="I581" s="172"/>
      <c r="J581" s="172"/>
    </row>
    <row r="582" spans="2:10" x14ac:dyDescent="0.25">
      <c r="B582" s="172"/>
      <c r="C582" s="172"/>
      <c r="D582" s="172"/>
      <c r="E582" s="172"/>
      <c r="F582" s="172"/>
      <c r="G582" s="185"/>
      <c r="H582" s="172"/>
      <c r="I582" s="172"/>
      <c r="J582" s="172"/>
    </row>
    <row r="583" spans="2:10" x14ac:dyDescent="0.25">
      <c r="B583" s="172"/>
      <c r="C583" s="172"/>
      <c r="D583" s="172"/>
      <c r="E583" s="172"/>
      <c r="F583" s="172"/>
      <c r="G583" s="185"/>
      <c r="H583" s="172"/>
      <c r="I583" s="172"/>
      <c r="J583" s="172"/>
    </row>
    <row r="584" spans="2:10" x14ac:dyDescent="0.25">
      <c r="B584" s="172"/>
      <c r="C584" s="172"/>
      <c r="D584" s="172"/>
      <c r="E584" s="172"/>
      <c r="F584" s="172"/>
      <c r="G584" s="185"/>
      <c r="H584" s="172"/>
      <c r="I584" s="172"/>
      <c r="J584" s="172"/>
    </row>
    <row r="585" spans="2:10" x14ac:dyDescent="0.25">
      <c r="B585" s="172"/>
      <c r="C585" s="172"/>
      <c r="D585" s="172"/>
      <c r="E585" s="172"/>
      <c r="F585" s="172"/>
      <c r="G585" s="185"/>
      <c r="H585" s="172"/>
      <c r="I585" s="172"/>
      <c r="J585" s="172"/>
    </row>
    <row r="586" spans="2:10" x14ac:dyDescent="0.25">
      <c r="B586" s="172"/>
      <c r="C586" s="172"/>
      <c r="D586" s="172"/>
      <c r="E586" s="172"/>
      <c r="F586" s="172"/>
      <c r="G586" s="185"/>
      <c r="H586" s="172"/>
      <c r="I586" s="172"/>
      <c r="J586" s="172"/>
    </row>
    <row r="587" spans="2:10" x14ac:dyDescent="0.25">
      <c r="B587" s="172"/>
      <c r="C587" s="172"/>
      <c r="D587" s="172"/>
      <c r="E587" s="172"/>
      <c r="F587" s="172"/>
      <c r="G587" s="185"/>
      <c r="H587" s="172"/>
      <c r="I587" s="172"/>
      <c r="J587" s="172"/>
    </row>
    <row r="588" spans="2:10" x14ac:dyDescent="0.25">
      <c r="B588" s="172"/>
      <c r="C588" s="172"/>
      <c r="D588" s="172"/>
      <c r="E588" s="172"/>
      <c r="F588" s="172"/>
      <c r="G588" s="185"/>
      <c r="H588" s="172"/>
      <c r="I588" s="172"/>
      <c r="J588" s="172"/>
    </row>
    <row r="589" spans="2:10" x14ac:dyDescent="0.25">
      <c r="B589" s="172"/>
      <c r="C589" s="172"/>
      <c r="D589" s="172"/>
      <c r="E589" s="172"/>
      <c r="F589" s="172"/>
      <c r="G589" s="185"/>
      <c r="H589" s="172"/>
      <c r="I589" s="172"/>
      <c r="J589" s="172"/>
    </row>
    <row r="590" spans="2:10" x14ac:dyDescent="0.25">
      <c r="B590" s="172"/>
      <c r="C590" s="172"/>
      <c r="D590" s="172"/>
      <c r="E590" s="172"/>
      <c r="F590" s="172"/>
      <c r="G590" s="185"/>
      <c r="H590" s="172"/>
      <c r="I590" s="172"/>
      <c r="J590" s="172"/>
    </row>
    <row r="591" spans="2:10" x14ac:dyDescent="0.25">
      <c r="B591" s="172"/>
      <c r="C591" s="172"/>
      <c r="D591" s="172"/>
      <c r="E591" s="172"/>
      <c r="F591" s="172"/>
      <c r="G591" s="185"/>
      <c r="H591" s="172"/>
      <c r="I591" s="172"/>
      <c r="J591" s="172"/>
    </row>
    <row r="592" spans="2:10" x14ac:dyDescent="0.25">
      <c r="B592" s="172"/>
      <c r="C592" s="172"/>
      <c r="D592" s="172"/>
      <c r="E592" s="172"/>
      <c r="F592" s="172"/>
      <c r="G592" s="185"/>
      <c r="H592" s="172"/>
      <c r="I592" s="172"/>
      <c r="J592" s="172"/>
    </row>
    <row r="593" spans="2:10" x14ac:dyDescent="0.25">
      <c r="B593" s="172"/>
      <c r="C593" s="172"/>
      <c r="D593" s="172"/>
      <c r="E593" s="172"/>
      <c r="F593" s="172"/>
      <c r="G593" s="185"/>
      <c r="H593" s="172"/>
      <c r="I593" s="172"/>
      <c r="J593" s="172"/>
    </row>
    <row r="594" spans="2:10" x14ac:dyDescent="0.25">
      <c r="B594" s="172"/>
      <c r="C594" s="172"/>
      <c r="D594" s="172"/>
      <c r="E594" s="172"/>
      <c r="F594" s="172"/>
      <c r="G594" s="185"/>
      <c r="H594" s="172"/>
      <c r="I594" s="172"/>
      <c r="J594" s="172"/>
    </row>
    <row r="595" spans="2:10" x14ac:dyDescent="0.25">
      <c r="B595" s="172"/>
      <c r="C595" s="172"/>
      <c r="D595" s="172"/>
      <c r="E595" s="172"/>
      <c r="F595" s="172"/>
      <c r="G595" s="185"/>
      <c r="H595" s="172"/>
      <c r="I595" s="172"/>
      <c r="J595" s="172"/>
    </row>
    <row r="596" spans="2:10" x14ac:dyDescent="0.25">
      <c r="B596" s="172"/>
      <c r="C596" s="172"/>
      <c r="D596" s="172"/>
      <c r="E596" s="172"/>
      <c r="F596" s="172"/>
      <c r="G596" s="185"/>
      <c r="H596" s="172"/>
      <c r="I596" s="172"/>
      <c r="J596" s="172"/>
    </row>
    <row r="597" spans="2:10" x14ac:dyDescent="0.25">
      <c r="B597" s="172"/>
      <c r="C597" s="172"/>
      <c r="D597" s="172"/>
      <c r="E597" s="172"/>
      <c r="F597" s="172"/>
      <c r="G597" s="185"/>
      <c r="H597" s="172"/>
      <c r="I597" s="172"/>
      <c r="J597" s="172"/>
    </row>
    <row r="598" spans="2:10" x14ac:dyDescent="0.25">
      <c r="B598" s="172"/>
      <c r="C598" s="172"/>
      <c r="D598" s="172"/>
      <c r="E598" s="172"/>
      <c r="F598" s="172"/>
      <c r="G598" s="185"/>
      <c r="H598" s="172"/>
      <c r="I598" s="172"/>
      <c r="J598" s="172"/>
    </row>
    <row r="599" spans="2:10" x14ac:dyDescent="0.25">
      <c r="B599" s="172"/>
      <c r="C599" s="172"/>
      <c r="D599" s="172"/>
      <c r="E599" s="172"/>
      <c r="F599" s="172"/>
      <c r="G599" s="185"/>
      <c r="H599" s="172"/>
      <c r="I599" s="172"/>
      <c r="J599" s="172"/>
    </row>
    <row r="600" spans="2:10" x14ac:dyDescent="0.25">
      <c r="B600" s="172"/>
      <c r="C600" s="172"/>
      <c r="D600" s="172"/>
      <c r="E600" s="172"/>
      <c r="F600" s="172"/>
      <c r="G600" s="185"/>
      <c r="H600" s="172"/>
      <c r="I600" s="172"/>
      <c r="J600" s="172"/>
    </row>
    <row r="601" spans="2:10" x14ac:dyDescent="0.25">
      <c r="B601" s="172"/>
      <c r="C601" s="172"/>
      <c r="D601" s="172"/>
      <c r="E601" s="172"/>
      <c r="F601" s="172"/>
      <c r="G601" s="185"/>
      <c r="H601" s="172"/>
      <c r="I601" s="172"/>
      <c r="J601" s="172"/>
    </row>
    <row r="602" spans="2:10" x14ac:dyDescent="0.25">
      <c r="B602" s="172"/>
      <c r="C602" s="172"/>
      <c r="D602" s="172"/>
      <c r="E602" s="172"/>
      <c r="F602" s="172"/>
      <c r="G602" s="185"/>
      <c r="H602" s="172"/>
      <c r="I602" s="172"/>
      <c r="J602" s="172"/>
    </row>
    <row r="603" spans="2:10" x14ac:dyDescent="0.25">
      <c r="B603" s="172"/>
      <c r="C603" s="172"/>
      <c r="D603" s="172"/>
      <c r="E603" s="172"/>
      <c r="F603" s="172"/>
      <c r="G603" s="185"/>
      <c r="H603" s="172"/>
      <c r="I603" s="172"/>
      <c r="J603" s="172"/>
    </row>
    <row r="604" spans="2:10" x14ac:dyDescent="0.25">
      <c r="B604" s="172"/>
      <c r="C604" s="172"/>
      <c r="D604" s="172"/>
      <c r="E604" s="172"/>
      <c r="F604" s="172"/>
      <c r="G604" s="185"/>
      <c r="H604" s="172"/>
      <c r="I604" s="172"/>
      <c r="J604" s="172"/>
    </row>
    <row r="605" spans="2:10" x14ac:dyDescent="0.25">
      <c r="B605" s="172"/>
      <c r="C605" s="172"/>
      <c r="D605" s="172"/>
      <c r="E605" s="172"/>
      <c r="F605" s="172"/>
      <c r="G605" s="185"/>
      <c r="H605" s="172"/>
      <c r="I605" s="172"/>
      <c r="J605" s="172"/>
    </row>
    <row r="606" spans="2:10" x14ac:dyDescent="0.25">
      <c r="B606" s="172"/>
      <c r="C606" s="172"/>
      <c r="D606" s="172"/>
      <c r="E606" s="172"/>
      <c r="F606" s="172"/>
      <c r="G606" s="185"/>
      <c r="H606" s="172"/>
      <c r="I606" s="172"/>
      <c r="J606" s="172"/>
    </row>
    <row r="607" spans="2:10" x14ac:dyDescent="0.25">
      <c r="B607" s="172"/>
      <c r="C607" s="172"/>
      <c r="D607" s="172"/>
      <c r="E607" s="172"/>
      <c r="F607" s="172"/>
      <c r="G607" s="185"/>
      <c r="H607" s="172"/>
      <c r="I607" s="172"/>
      <c r="J607" s="172"/>
    </row>
    <row r="608" spans="2:10" x14ac:dyDescent="0.25">
      <c r="B608" s="172"/>
      <c r="C608" s="172"/>
      <c r="D608" s="172"/>
      <c r="E608" s="172"/>
      <c r="F608" s="172"/>
      <c r="G608" s="185"/>
      <c r="H608" s="172"/>
      <c r="I608" s="172"/>
      <c r="J608" s="172"/>
    </row>
    <row r="609" spans="2:10" x14ac:dyDescent="0.25">
      <c r="B609" s="172"/>
      <c r="C609" s="172"/>
      <c r="D609" s="172"/>
      <c r="E609" s="172"/>
      <c r="F609" s="172"/>
      <c r="G609" s="185"/>
      <c r="H609" s="172"/>
      <c r="I609" s="172"/>
      <c r="J609" s="172"/>
    </row>
    <row r="610" spans="2:10" x14ac:dyDescent="0.25">
      <c r="B610" s="172"/>
      <c r="C610" s="172"/>
      <c r="D610" s="172"/>
      <c r="E610" s="172"/>
      <c r="F610" s="172"/>
      <c r="G610" s="185"/>
      <c r="H610" s="172"/>
      <c r="I610" s="172"/>
      <c r="J610" s="172"/>
    </row>
    <row r="611" spans="2:10" x14ac:dyDescent="0.25">
      <c r="B611" s="172"/>
      <c r="C611" s="172"/>
      <c r="D611" s="172"/>
      <c r="E611" s="172"/>
      <c r="F611" s="172"/>
      <c r="G611" s="185"/>
      <c r="H611" s="172"/>
      <c r="I611" s="172"/>
      <c r="J611" s="172"/>
    </row>
    <row r="612" spans="2:10" x14ac:dyDescent="0.25">
      <c r="B612" s="172"/>
      <c r="C612" s="172"/>
      <c r="D612" s="172"/>
      <c r="E612" s="172"/>
      <c r="F612" s="172"/>
      <c r="G612" s="185"/>
      <c r="H612" s="172"/>
      <c r="I612" s="172"/>
      <c r="J612" s="172"/>
    </row>
    <row r="613" spans="2:10" x14ac:dyDescent="0.25">
      <c r="B613" s="172"/>
      <c r="C613" s="172"/>
      <c r="D613" s="172"/>
      <c r="E613" s="172"/>
      <c r="F613" s="172"/>
      <c r="G613" s="185"/>
      <c r="H613" s="172"/>
      <c r="I613" s="172"/>
      <c r="J613" s="172"/>
    </row>
    <row r="614" spans="2:10" x14ac:dyDescent="0.25">
      <c r="B614" s="172"/>
      <c r="C614" s="172"/>
      <c r="D614" s="172"/>
      <c r="E614" s="172"/>
      <c r="F614" s="172"/>
      <c r="G614" s="185"/>
      <c r="H614" s="172"/>
      <c r="I614" s="172"/>
      <c r="J614" s="172"/>
    </row>
    <row r="615" spans="2:10" x14ac:dyDescent="0.25">
      <c r="B615" s="172"/>
      <c r="C615" s="172"/>
      <c r="D615" s="172"/>
      <c r="E615" s="172"/>
      <c r="F615" s="172"/>
      <c r="G615" s="185"/>
      <c r="H615" s="172"/>
      <c r="I615" s="172"/>
      <c r="J615" s="172"/>
    </row>
    <row r="616" spans="2:10" x14ac:dyDescent="0.25">
      <c r="B616" s="172"/>
      <c r="C616" s="172"/>
      <c r="D616" s="172"/>
      <c r="E616" s="172"/>
      <c r="F616" s="172"/>
      <c r="G616" s="185"/>
      <c r="H616" s="172"/>
      <c r="I616" s="172"/>
      <c r="J616" s="172"/>
    </row>
    <row r="617" spans="2:10" x14ac:dyDescent="0.25">
      <c r="B617" s="172"/>
      <c r="C617" s="172"/>
      <c r="D617" s="172"/>
      <c r="E617" s="172"/>
      <c r="F617" s="172"/>
      <c r="G617" s="185"/>
      <c r="H617" s="172"/>
      <c r="I617" s="172"/>
      <c r="J617" s="172"/>
    </row>
    <row r="618" spans="2:10" x14ac:dyDescent="0.25">
      <c r="B618" s="172"/>
      <c r="C618" s="172"/>
      <c r="D618" s="172"/>
      <c r="E618" s="172"/>
      <c r="F618" s="172"/>
      <c r="G618" s="185"/>
      <c r="H618" s="172"/>
      <c r="I618" s="172"/>
      <c r="J618" s="172"/>
    </row>
    <row r="619" spans="2:10" x14ac:dyDescent="0.25">
      <c r="B619" s="172"/>
      <c r="C619" s="172"/>
      <c r="D619" s="172"/>
      <c r="E619" s="172"/>
      <c r="F619" s="172"/>
      <c r="G619" s="185"/>
      <c r="H619" s="172"/>
      <c r="I619" s="172"/>
      <c r="J619" s="172"/>
    </row>
    <row r="620" spans="2:10" x14ac:dyDescent="0.25">
      <c r="B620" s="172"/>
      <c r="C620" s="172"/>
      <c r="D620" s="172"/>
      <c r="E620" s="172"/>
      <c r="F620" s="172"/>
      <c r="G620" s="185"/>
      <c r="H620" s="172"/>
      <c r="I620" s="172"/>
      <c r="J620" s="172"/>
    </row>
    <row r="621" spans="2:10" x14ac:dyDescent="0.25">
      <c r="B621" s="172"/>
      <c r="C621" s="172"/>
      <c r="D621" s="172"/>
      <c r="E621" s="172"/>
      <c r="F621" s="172"/>
      <c r="G621" s="185"/>
      <c r="H621" s="172"/>
      <c r="I621" s="172"/>
      <c r="J621" s="172"/>
    </row>
    <row r="622" spans="2:10" x14ac:dyDescent="0.25">
      <c r="B622" s="172"/>
      <c r="C622" s="172"/>
      <c r="D622" s="172"/>
      <c r="E622" s="172"/>
      <c r="F622" s="172"/>
      <c r="G622" s="185"/>
      <c r="H622" s="172"/>
      <c r="I622" s="172"/>
      <c r="J622" s="172"/>
    </row>
    <row r="623" spans="2:10" x14ac:dyDescent="0.25">
      <c r="B623" s="172"/>
      <c r="C623" s="172"/>
      <c r="D623" s="172"/>
      <c r="E623" s="172"/>
      <c r="F623" s="172"/>
      <c r="G623" s="185"/>
      <c r="H623" s="172"/>
      <c r="I623" s="172"/>
      <c r="J623" s="172"/>
    </row>
    <row r="624" spans="2:10" x14ac:dyDescent="0.25">
      <c r="B624" s="172"/>
      <c r="C624" s="172"/>
      <c r="D624" s="172"/>
      <c r="E624" s="172"/>
      <c r="F624" s="172"/>
      <c r="G624" s="185"/>
      <c r="H624" s="172"/>
      <c r="I624" s="172"/>
      <c r="J624" s="172"/>
    </row>
    <row r="625" spans="2:10" x14ac:dyDescent="0.25">
      <c r="B625" s="172"/>
      <c r="C625" s="172"/>
      <c r="D625" s="172"/>
      <c r="E625" s="172"/>
      <c r="F625" s="172"/>
      <c r="G625" s="185"/>
      <c r="H625" s="172"/>
      <c r="I625" s="172"/>
      <c r="J625" s="172"/>
    </row>
    <row r="626" spans="2:10" x14ac:dyDescent="0.25">
      <c r="B626" s="172"/>
      <c r="C626" s="172"/>
      <c r="D626" s="172"/>
      <c r="E626" s="172"/>
      <c r="F626" s="172"/>
      <c r="G626" s="185"/>
      <c r="H626" s="172"/>
      <c r="I626" s="172"/>
      <c r="J626" s="172"/>
    </row>
    <row r="627" spans="2:10" x14ac:dyDescent="0.25">
      <c r="B627" s="172"/>
      <c r="C627" s="172"/>
      <c r="D627" s="172"/>
      <c r="E627" s="172"/>
      <c r="F627" s="172"/>
      <c r="G627" s="185"/>
      <c r="H627" s="172"/>
      <c r="I627" s="172"/>
      <c r="J627" s="172"/>
    </row>
    <row r="628" spans="2:10" x14ac:dyDescent="0.25">
      <c r="B628" s="172"/>
      <c r="C628" s="172"/>
      <c r="D628" s="172"/>
      <c r="E628" s="172"/>
      <c r="F628" s="172"/>
      <c r="G628" s="185"/>
      <c r="H628" s="172"/>
      <c r="I628" s="172"/>
      <c r="J628" s="172"/>
    </row>
    <row r="629" spans="2:10" x14ac:dyDescent="0.25">
      <c r="B629" s="172"/>
      <c r="C629" s="172"/>
      <c r="D629" s="172"/>
      <c r="E629" s="172"/>
      <c r="F629" s="172"/>
      <c r="G629" s="185"/>
      <c r="H629" s="172"/>
      <c r="I629" s="172"/>
      <c r="J629" s="172"/>
    </row>
    <row r="630" spans="2:10" x14ac:dyDescent="0.25">
      <c r="B630" s="172"/>
      <c r="C630" s="172"/>
      <c r="D630" s="172"/>
      <c r="E630" s="172"/>
      <c r="F630" s="172"/>
      <c r="G630" s="185"/>
      <c r="H630" s="172"/>
      <c r="I630" s="172"/>
      <c r="J630" s="172"/>
    </row>
    <row r="631" spans="2:10" x14ac:dyDescent="0.25">
      <c r="B631" s="172"/>
      <c r="C631" s="172"/>
      <c r="D631" s="172"/>
      <c r="E631" s="172"/>
      <c r="F631" s="172"/>
      <c r="G631" s="185"/>
      <c r="H631" s="172"/>
      <c r="I631" s="172"/>
      <c r="J631" s="172"/>
    </row>
    <row r="632" spans="2:10" x14ac:dyDescent="0.25">
      <c r="B632" s="172"/>
      <c r="C632" s="172"/>
      <c r="D632" s="172"/>
      <c r="E632" s="172"/>
      <c r="F632" s="172"/>
      <c r="G632" s="185"/>
      <c r="H632" s="172"/>
      <c r="I632" s="172"/>
      <c r="J632" s="172"/>
    </row>
    <row r="633" spans="2:10" x14ac:dyDescent="0.25">
      <c r="B633" s="172"/>
      <c r="C633" s="172"/>
      <c r="D633" s="172"/>
      <c r="E633" s="172"/>
      <c r="F633" s="172"/>
      <c r="G633" s="185"/>
      <c r="H633" s="172"/>
      <c r="I633" s="172"/>
      <c r="J633" s="172"/>
    </row>
    <row r="634" spans="2:10" x14ac:dyDescent="0.25">
      <c r="B634" s="172"/>
      <c r="C634" s="172"/>
      <c r="D634" s="172"/>
      <c r="E634" s="172"/>
      <c r="F634" s="172"/>
      <c r="G634" s="185"/>
      <c r="H634" s="172"/>
      <c r="I634" s="172"/>
      <c r="J634" s="172"/>
    </row>
    <row r="635" spans="2:10" x14ac:dyDescent="0.25">
      <c r="C635" s="172"/>
      <c r="H635" s="22"/>
    </row>
    <row r="636" spans="2:10" x14ac:dyDescent="0.25">
      <c r="C636" s="172"/>
      <c r="H636" s="22"/>
    </row>
    <row r="637" spans="2:10" x14ac:dyDescent="0.25">
      <c r="C637" s="172"/>
      <c r="H637" s="22"/>
    </row>
    <row r="638" spans="2:10" x14ac:dyDescent="0.25">
      <c r="C638" s="172"/>
      <c r="H638" s="22"/>
    </row>
    <row r="639" spans="2:10" x14ac:dyDescent="0.25">
      <c r="C639" s="172"/>
      <c r="H639" s="22"/>
    </row>
    <row r="640" spans="2:10" x14ac:dyDescent="0.25">
      <c r="C640" s="172"/>
      <c r="H640" s="22"/>
    </row>
    <row r="641" spans="3:8" x14ac:dyDescent="0.25">
      <c r="C641" s="172"/>
      <c r="H641" s="22"/>
    </row>
    <row r="642" spans="3:8" x14ac:dyDescent="0.25">
      <c r="C642" s="172"/>
      <c r="H642" s="22"/>
    </row>
    <row r="643" spans="3:8" x14ac:dyDescent="0.25">
      <c r="C643" s="172"/>
      <c r="H643" s="22"/>
    </row>
    <row r="644" spans="3:8" x14ac:dyDescent="0.25">
      <c r="H644" s="22"/>
    </row>
    <row r="645" spans="3:8" x14ac:dyDescent="0.25">
      <c r="H645" s="22"/>
    </row>
    <row r="646" spans="3:8" x14ac:dyDescent="0.25">
      <c r="H646" s="22"/>
    </row>
    <row r="647" spans="3:8" x14ac:dyDescent="0.25">
      <c r="H647" s="22"/>
    </row>
    <row r="648" spans="3:8" x14ac:dyDescent="0.25">
      <c r="H648" s="22"/>
    </row>
    <row r="649" spans="3:8" x14ac:dyDescent="0.25">
      <c r="H649" s="22"/>
    </row>
    <row r="650" spans="3:8" x14ac:dyDescent="0.25">
      <c r="H650" s="22"/>
    </row>
    <row r="651" spans="3:8" x14ac:dyDescent="0.25">
      <c r="H651" s="22"/>
    </row>
    <row r="652" spans="3:8" x14ac:dyDescent="0.25">
      <c r="H652" s="22"/>
    </row>
    <row r="653" spans="3:8" x14ac:dyDescent="0.25">
      <c r="H653" s="22"/>
    </row>
    <row r="654" spans="3:8" x14ac:dyDescent="0.25">
      <c r="H654" s="22"/>
    </row>
    <row r="655" spans="3:8" x14ac:dyDescent="0.25">
      <c r="H655" s="22"/>
    </row>
    <row r="656" spans="3:8" x14ac:dyDescent="0.25">
      <c r="H656" s="22"/>
    </row>
    <row r="657" spans="8:8" x14ac:dyDescent="0.25">
      <c r="H657" s="22"/>
    </row>
    <row r="658" spans="8:8" x14ac:dyDescent="0.25">
      <c r="H658" s="22"/>
    </row>
    <row r="659" spans="8:8" x14ac:dyDescent="0.25">
      <c r="H659" s="22"/>
    </row>
    <row r="660" spans="8:8" x14ac:dyDescent="0.25">
      <c r="H660" s="22"/>
    </row>
    <row r="661" spans="8:8" x14ac:dyDescent="0.25">
      <c r="H661" s="22"/>
    </row>
    <row r="662" spans="8:8" x14ac:dyDescent="0.25">
      <c r="H662" s="22"/>
    </row>
    <row r="663" spans="8:8" x14ac:dyDescent="0.25">
      <c r="H663" s="22"/>
    </row>
    <row r="664" spans="8:8" x14ac:dyDescent="0.25">
      <c r="H664" s="22"/>
    </row>
    <row r="665" spans="8:8" x14ac:dyDescent="0.25">
      <c r="H665" s="22"/>
    </row>
    <row r="666" spans="8:8" x14ac:dyDescent="0.25">
      <c r="H666" s="22"/>
    </row>
    <row r="667" spans="8:8" x14ac:dyDescent="0.25">
      <c r="H667" s="22"/>
    </row>
    <row r="668" spans="8:8" x14ac:dyDescent="0.25">
      <c r="H668" s="22"/>
    </row>
    <row r="669" spans="8:8" x14ac:dyDescent="0.25">
      <c r="H669" s="22"/>
    </row>
    <row r="670" spans="8:8" x14ac:dyDescent="0.25">
      <c r="H670" s="22"/>
    </row>
    <row r="671" spans="8:8" x14ac:dyDescent="0.25">
      <c r="H671" s="22"/>
    </row>
    <row r="672" spans="8:8" x14ac:dyDescent="0.25">
      <c r="H672" s="22"/>
    </row>
    <row r="673" spans="8:8" x14ac:dyDescent="0.25">
      <c r="H673" s="22"/>
    </row>
    <row r="674" spans="8:8" x14ac:dyDescent="0.25">
      <c r="H674" s="22"/>
    </row>
    <row r="675" spans="8:8" x14ac:dyDescent="0.25">
      <c r="H675" s="22"/>
    </row>
    <row r="676" spans="8:8" x14ac:dyDescent="0.25">
      <c r="H676" s="22"/>
    </row>
    <row r="677" spans="8:8" x14ac:dyDescent="0.25">
      <c r="H677" s="22"/>
    </row>
    <row r="678" spans="8:8" x14ac:dyDescent="0.25">
      <c r="H678" s="22"/>
    </row>
    <row r="679" spans="8:8" x14ac:dyDescent="0.25">
      <c r="H679" s="22"/>
    </row>
    <row r="680" spans="8:8" x14ac:dyDescent="0.25">
      <c r="H680" s="22"/>
    </row>
    <row r="681" spans="8:8" x14ac:dyDescent="0.25">
      <c r="H681" s="22"/>
    </row>
    <row r="682" spans="8:8" x14ac:dyDescent="0.25">
      <c r="H682" s="22"/>
    </row>
    <row r="683" spans="8:8" x14ac:dyDescent="0.25">
      <c r="H683" s="22"/>
    </row>
    <row r="684" spans="8:8" x14ac:dyDescent="0.25">
      <c r="H684" s="22"/>
    </row>
    <row r="685" spans="8:8" x14ac:dyDescent="0.25">
      <c r="H685" s="22"/>
    </row>
    <row r="686" spans="8:8" x14ac:dyDescent="0.25">
      <c r="H686" s="22"/>
    </row>
    <row r="687" spans="8:8" x14ac:dyDescent="0.25">
      <c r="H687" s="22"/>
    </row>
    <row r="688" spans="8:8" x14ac:dyDescent="0.25">
      <c r="H688" s="22"/>
    </row>
    <row r="689" spans="8:8" x14ac:dyDescent="0.25">
      <c r="H689" s="22"/>
    </row>
    <row r="690" spans="8:8" x14ac:dyDescent="0.25">
      <c r="H690" s="22"/>
    </row>
    <row r="691" spans="8:8" x14ac:dyDescent="0.25">
      <c r="H691" s="22"/>
    </row>
    <row r="692" spans="8:8" x14ac:dyDescent="0.25">
      <c r="H692" s="22"/>
    </row>
    <row r="693" spans="8:8" x14ac:dyDescent="0.25">
      <c r="H693" s="22"/>
    </row>
    <row r="694" spans="8:8" x14ac:dyDescent="0.25">
      <c r="H694" s="22"/>
    </row>
    <row r="695" spans="8:8" x14ac:dyDescent="0.25">
      <c r="H695" s="22"/>
    </row>
    <row r="696" spans="8:8" x14ac:dyDescent="0.25">
      <c r="H696" s="22"/>
    </row>
    <row r="697" spans="8:8" x14ac:dyDescent="0.25">
      <c r="H697" s="22"/>
    </row>
    <row r="698" spans="8:8" x14ac:dyDescent="0.25">
      <c r="H698" s="22"/>
    </row>
    <row r="699" spans="8:8" x14ac:dyDescent="0.25">
      <c r="H699" s="22"/>
    </row>
    <row r="700" spans="8:8" x14ac:dyDescent="0.25">
      <c r="H700" s="22"/>
    </row>
    <row r="701" spans="8:8" x14ac:dyDescent="0.25">
      <c r="H701" s="22"/>
    </row>
    <row r="702" spans="8:8" x14ac:dyDescent="0.25">
      <c r="H702" s="22"/>
    </row>
    <row r="703" spans="8:8" x14ac:dyDescent="0.25">
      <c r="H703" s="22"/>
    </row>
    <row r="704" spans="8:8" x14ac:dyDescent="0.25">
      <c r="H704" s="22"/>
    </row>
    <row r="705" spans="8:8" x14ac:dyDescent="0.25">
      <c r="H705" s="22"/>
    </row>
    <row r="706" spans="8:8" x14ac:dyDescent="0.25">
      <c r="H706" s="22"/>
    </row>
    <row r="707" spans="8:8" x14ac:dyDescent="0.25">
      <c r="H707" s="22"/>
    </row>
    <row r="708" spans="8:8" x14ac:dyDescent="0.25">
      <c r="H708" s="22"/>
    </row>
    <row r="709" spans="8:8" x14ac:dyDescent="0.25">
      <c r="H709" s="22"/>
    </row>
    <row r="710" spans="8:8" x14ac:dyDescent="0.25">
      <c r="H710" s="22"/>
    </row>
    <row r="711" spans="8:8" x14ac:dyDescent="0.25">
      <c r="H711" s="22"/>
    </row>
    <row r="712" spans="8:8" x14ac:dyDescent="0.25">
      <c r="H712" s="22"/>
    </row>
    <row r="713" spans="8:8" x14ac:dyDescent="0.25">
      <c r="H713" s="22"/>
    </row>
    <row r="714" spans="8:8" x14ac:dyDescent="0.25">
      <c r="H714" s="22"/>
    </row>
    <row r="715" spans="8:8" x14ac:dyDescent="0.25">
      <c r="H715" s="22"/>
    </row>
    <row r="716" spans="8:8" x14ac:dyDescent="0.25">
      <c r="H716" s="22"/>
    </row>
    <row r="717" spans="8:8" x14ac:dyDescent="0.25">
      <c r="H717" s="22"/>
    </row>
    <row r="718" spans="8:8" x14ac:dyDescent="0.25">
      <c r="H718" s="22"/>
    </row>
    <row r="719" spans="8:8" x14ac:dyDescent="0.25">
      <c r="H719" s="22"/>
    </row>
    <row r="720" spans="8:8" x14ac:dyDescent="0.25">
      <c r="H720" s="22"/>
    </row>
    <row r="721" spans="8:8" x14ac:dyDescent="0.25">
      <c r="H721" s="22"/>
    </row>
  </sheetData>
  <autoFilter ref="A9:W205" xr:uid="{B35CBB9E-5909-49C9-9497-85F5DA9F68EE}">
    <filterColumn colId="6">
      <filters>
        <filter val="365.000"/>
      </filters>
    </filterColumn>
  </autoFilter>
  <mergeCells count="8">
    <mergeCell ref="F204:H204"/>
    <mergeCell ref="F205:H205"/>
    <mergeCell ref="F1:H1"/>
    <mergeCell ref="F2:H2"/>
    <mergeCell ref="A5:H5"/>
    <mergeCell ref="A6:H6"/>
    <mergeCell ref="A7:H7"/>
    <mergeCell ref="A201:F201"/>
  </mergeCells>
  <conditionalFormatting sqref="C1:C1048576">
    <cfRule type="duplicateValues" dxfId="2887" priority="1"/>
  </conditionalFormatting>
  <conditionalFormatting sqref="C10:C30">
    <cfRule type="duplicateValues" dxfId="2886" priority="642"/>
    <cfRule type="duplicateValues" dxfId="2885" priority="641"/>
    <cfRule type="duplicateValues" dxfId="2884" priority="640"/>
    <cfRule type="duplicateValues" dxfId="2883" priority="639"/>
    <cfRule type="duplicateValues" dxfId="2882" priority="725"/>
    <cfRule type="duplicateValues" dxfId="2881" priority="724"/>
    <cfRule type="duplicateValues" dxfId="2880" priority="723"/>
    <cfRule type="duplicateValues" dxfId="2879" priority="722"/>
    <cfRule type="duplicateValues" dxfId="2878" priority="721"/>
    <cfRule type="duplicateValues" dxfId="2877" priority="720"/>
    <cfRule type="duplicateValues" dxfId="2876" priority="719"/>
    <cfRule type="duplicateValues" dxfId="2875" priority="718"/>
    <cfRule type="duplicateValues" dxfId="2874" priority="717"/>
    <cfRule type="duplicateValues" dxfId="2873" priority="716"/>
    <cfRule type="duplicateValues" dxfId="2872" priority="715"/>
    <cfRule type="duplicateValues" dxfId="2871" priority="714"/>
    <cfRule type="duplicateValues" dxfId="2870" priority="713"/>
    <cfRule type="duplicateValues" dxfId="2869" priority="712"/>
    <cfRule type="duplicateValues" dxfId="2868" priority="711"/>
    <cfRule type="duplicateValues" dxfId="2867" priority="710"/>
    <cfRule type="duplicateValues" dxfId="2866" priority="709"/>
    <cfRule type="duplicateValues" dxfId="2865" priority="708"/>
    <cfRule type="duplicateValues" dxfId="2864" priority="707"/>
    <cfRule type="duplicateValues" dxfId="2863" priority="706"/>
    <cfRule type="duplicateValues" dxfId="2862" priority="705"/>
    <cfRule type="duplicateValues" dxfId="2861" priority="704"/>
    <cfRule type="duplicateValues" dxfId="2860" priority="703"/>
    <cfRule type="duplicateValues" dxfId="2859" priority="702"/>
    <cfRule type="duplicateValues" dxfId="2858" priority="701"/>
    <cfRule type="duplicateValues" dxfId="2857" priority="700"/>
    <cfRule type="duplicateValues" dxfId="2856" priority="699"/>
    <cfRule type="duplicateValues" dxfId="2855" priority="698"/>
    <cfRule type="duplicateValues" dxfId="2854" priority="697"/>
    <cfRule type="duplicateValues" dxfId="2853" priority="696"/>
    <cfRule type="duplicateValues" dxfId="2852" priority="695"/>
    <cfRule type="duplicateValues" dxfId="2851" priority="694"/>
    <cfRule type="duplicateValues" dxfId="2850" priority="693"/>
    <cfRule type="duplicateValues" dxfId="2849" priority="692"/>
    <cfRule type="duplicateValues" dxfId="2848" priority="691"/>
    <cfRule type="duplicateValues" dxfId="2847" priority="690"/>
    <cfRule type="duplicateValues" dxfId="2846" priority="689"/>
    <cfRule type="duplicateValues" dxfId="2845" priority="688"/>
    <cfRule type="duplicateValues" dxfId="2844" priority="687"/>
    <cfRule type="duplicateValues" dxfId="2843" priority="686"/>
    <cfRule type="duplicateValues" dxfId="2842" priority="685"/>
    <cfRule type="duplicateValues" dxfId="2841" priority="684"/>
    <cfRule type="duplicateValues" dxfId="2840" priority="683"/>
    <cfRule type="duplicateValues" dxfId="2839" priority="682"/>
    <cfRule type="duplicateValues" dxfId="2838" priority="681"/>
    <cfRule type="duplicateValues" dxfId="2837" priority="680"/>
    <cfRule type="duplicateValues" dxfId="2836" priority="679"/>
    <cfRule type="duplicateValues" dxfId="2835" priority="678"/>
    <cfRule type="duplicateValues" dxfId="2834" priority="677"/>
    <cfRule type="duplicateValues" dxfId="2833" priority="676"/>
    <cfRule type="duplicateValues" dxfId="2832" priority="675"/>
    <cfRule type="duplicateValues" dxfId="2831" priority="674"/>
    <cfRule type="duplicateValues" dxfId="2830" priority="673"/>
    <cfRule type="duplicateValues" dxfId="2829" priority="672"/>
    <cfRule type="duplicateValues" dxfId="2828" priority="671"/>
    <cfRule type="duplicateValues" dxfId="2827" priority="670"/>
    <cfRule type="duplicateValues" dxfId="2826" priority="669"/>
    <cfRule type="duplicateValues" dxfId="2825" priority="668"/>
    <cfRule type="duplicateValues" dxfId="2824" priority="667"/>
    <cfRule type="duplicateValues" dxfId="2823" priority="666"/>
    <cfRule type="duplicateValues" dxfId="2822" priority="665"/>
    <cfRule type="duplicateValues" dxfId="2821" priority="664"/>
    <cfRule type="duplicateValues" dxfId="2820" priority="663"/>
    <cfRule type="duplicateValues" dxfId="2819" priority="662"/>
    <cfRule type="duplicateValues" dxfId="2818" priority="661"/>
    <cfRule type="duplicateValues" dxfId="2817" priority="660"/>
    <cfRule type="duplicateValues" dxfId="2816" priority="659"/>
    <cfRule type="duplicateValues" dxfId="2815" priority="658"/>
    <cfRule type="duplicateValues" dxfId="2814" priority="657"/>
    <cfRule type="duplicateValues" dxfId="2813" priority="656"/>
    <cfRule type="duplicateValues" dxfId="2812" priority="655"/>
    <cfRule type="duplicateValues" dxfId="2811" priority="654"/>
    <cfRule type="duplicateValues" dxfId="2810" priority="653"/>
    <cfRule type="duplicateValues" dxfId="2809" priority="652"/>
    <cfRule type="duplicateValues" dxfId="2808" priority="651"/>
    <cfRule type="duplicateValues" dxfId="2807" priority="650"/>
    <cfRule type="duplicateValues" dxfId="2806" priority="649"/>
    <cfRule type="duplicateValues" dxfId="2805" priority="648"/>
    <cfRule type="duplicateValues" dxfId="2804" priority="647"/>
    <cfRule type="duplicateValues" dxfId="2803" priority="646"/>
    <cfRule type="duplicateValues" dxfId="2802" priority="645"/>
    <cfRule type="duplicateValues" dxfId="2801" priority="644"/>
    <cfRule type="duplicateValues" dxfId="2800" priority="643"/>
  </conditionalFormatting>
  <conditionalFormatting sqref="C10:C35">
    <cfRule type="duplicateValues" dxfId="2799" priority="633"/>
    <cfRule type="duplicateValues" dxfId="2798" priority="632"/>
    <cfRule type="duplicateValues" dxfId="2797" priority="631"/>
    <cfRule type="duplicateValues" dxfId="2796" priority="630"/>
    <cfRule type="duplicateValues" dxfId="2795" priority="638"/>
    <cfRule type="duplicateValues" dxfId="2794" priority="637"/>
    <cfRule type="duplicateValues" dxfId="2793" priority="636"/>
    <cfRule type="duplicateValues" dxfId="2792" priority="635"/>
    <cfRule type="duplicateValues" dxfId="2791" priority="634"/>
  </conditionalFormatting>
  <conditionalFormatting sqref="C11:C30">
    <cfRule type="duplicateValues" dxfId="2790" priority="629"/>
    <cfRule type="duplicateValues" dxfId="2789" priority="628"/>
    <cfRule type="duplicateValues" dxfId="2788" priority="627"/>
  </conditionalFormatting>
  <conditionalFormatting sqref="C36:C45">
    <cfRule type="duplicateValues" dxfId="2787" priority="622"/>
    <cfRule type="duplicateValues" dxfId="2786" priority="626"/>
    <cfRule type="duplicateValues" dxfId="2785" priority="625"/>
    <cfRule type="duplicateValues" dxfId="2784" priority="624"/>
    <cfRule type="duplicateValues" dxfId="2783" priority="623"/>
    <cfRule type="duplicateValues" dxfId="2782" priority="621"/>
    <cfRule type="duplicateValues" dxfId="2781" priority="620"/>
    <cfRule type="duplicateValues" dxfId="2780" priority="619"/>
    <cfRule type="duplicateValues" dxfId="2779" priority="618"/>
    <cfRule type="duplicateValues" dxfId="2778" priority="617"/>
  </conditionalFormatting>
  <conditionalFormatting sqref="C36:C125">
    <cfRule type="duplicateValues" dxfId="2777" priority="611"/>
  </conditionalFormatting>
  <conditionalFormatting sqref="C46:C65">
    <cfRule type="duplicateValues" dxfId="2776" priority="605"/>
    <cfRule type="duplicateValues" dxfId="2775" priority="604"/>
    <cfRule type="duplicateValues" dxfId="2774" priority="610"/>
    <cfRule type="duplicateValues" dxfId="2773" priority="609"/>
    <cfRule type="duplicateValues" dxfId="2772" priority="608"/>
    <cfRule type="duplicateValues" dxfId="2771" priority="607"/>
    <cfRule type="duplicateValues" dxfId="2770" priority="606"/>
  </conditionalFormatting>
  <conditionalFormatting sqref="C66:C71">
    <cfRule type="duplicateValues" dxfId="2769" priority="590"/>
    <cfRule type="duplicateValues" dxfId="2768" priority="589"/>
    <cfRule type="duplicateValues" dxfId="2767" priority="588"/>
    <cfRule type="duplicateValues" dxfId="2766" priority="587"/>
    <cfRule type="duplicateValues" dxfId="2765" priority="585"/>
    <cfRule type="duplicateValues" dxfId="2764" priority="591"/>
    <cfRule type="duplicateValues" dxfId="2763" priority="586"/>
  </conditionalFormatting>
  <conditionalFormatting sqref="C106:C109">
    <cfRule type="duplicateValues" dxfId="2762" priority="560"/>
    <cfRule type="duplicateValues" dxfId="2761" priority="575"/>
    <cfRule type="duplicateValues" dxfId="2760" priority="577"/>
    <cfRule type="duplicateValues" dxfId="2759" priority="576"/>
    <cfRule type="duplicateValues" dxfId="2758" priority="574"/>
    <cfRule type="duplicateValues" dxfId="2757" priority="572"/>
    <cfRule type="duplicateValues" dxfId="2756" priority="573"/>
    <cfRule type="duplicateValues" dxfId="2755" priority="571"/>
    <cfRule type="duplicateValues" dxfId="2754" priority="570"/>
    <cfRule type="duplicateValues" dxfId="2753" priority="569"/>
    <cfRule type="duplicateValues" dxfId="2752" priority="568"/>
    <cfRule type="duplicateValues" dxfId="2751" priority="567"/>
    <cfRule type="duplicateValues" dxfId="2750" priority="566"/>
    <cfRule type="duplicateValues" dxfId="2749" priority="565"/>
    <cfRule type="duplicateValues" dxfId="2748" priority="564"/>
    <cfRule type="duplicateValues" dxfId="2747" priority="563"/>
    <cfRule type="duplicateValues" dxfId="2746" priority="562"/>
    <cfRule type="duplicateValues" dxfId="2745" priority="561"/>
  </conditionalFormatting>
  <conditionalFormatting sqref="C110:C125 C36:C105">
    <cfRule type="duplicateValues" dxfId="2744" priority="613"/>
    <cfRule type="duplicateValues" dxfId="2743" priority="616"/>
    <cfRule type="duplicateValues" dxfId="2742" priority="615"/>
    <cfRule type="duplicateValues" dxfId="2741" priority="614"/>
    <cfRule type="duplicateValues" dxfId="2740" priority="612"/>
  </conditionalFormatting>
  <conditionalFormatting sqref="C110:C125 C46:C105">
    <cfRule type="duplicateValues" dxfId="2739" priority="594"/>
    <cfRule type="duplicateValues" dxfId="2738" priority="593"/>
    <cfRule type="duplicateValues" dxfId="2737" priority="600"/>
    <cfRule type="duplicateValues" dxfId="2736" priority="592"/>
    <cfRule type="duplicateValues" dxfId="2735" priority="603"/>
    <cfRule type="duplicateValues" dxfId="2734" priority="602"/>
    <cfRule type="duplicateValues" dxfId="2733" priority="601"/>
    <cfRule type="duplicateValues" dxfId="2732" priority="597"/>
    <cfRule type="duplicateValues" dxfId="2731" priority="599"/>
    <cfRule type="duplicateValues" dxfId="2730" priority="598"/>
    <cfRule type="duplicateValues" dxfId="2729" priority="596"/>
    <cfRule type="duplicateValues" dxfId="2728" priority="595"/>
  </conditionalFormatting>
  <conditionalFormatting sqref="C110:C125 C72:C105">
    <cfRule type="duplicateValues" dxfId="2727" priority="581"/>
    <cfRule type="duplicateValues" dxfId="2726" priority="580"/>
    <cfRule type="duplicateValues" dxfId="2725" priority="579"/>
    <cfRule type="duplicateValues" dxfId="2724" priority="578"/>
    <cfRule type="duplicateValues" dxfId="2723" priority="584"/>
    <cfRule type="duplicateValues" dxfId="2722" priority="583"/>
    <cfRule type="duplicateValues" dxfId="2721" priority="582"/>
  </conditionalFormatting>
  <conditionalFormatting sqref="C126:C129">
    <cfRule type="duplicateValues" dxfId="2720" priority="536"/>
    <cfRule type="duplicateValues" dxfId="2719" priority="535"/>
    <cfRule type="duplicateValues" dxfId="2718" priority="538"/>
    <cfRule type="duplicateValues" dxfId="2717" priority="537"/>
    <cfRule type="duplicateValues" dxfId="2716" priority="559"/>
    <cfRule type="duplicateValues" dxfId="2715" priority="558"/>
    <cfRule type="duplicateValues" dxfId="2714" priority="557"/>
    <cfRule type="duplicateValues" dxfId="2713" priority="556"/>
    <cfRule type="duplicateValues" dxfId="2712" priority="555"/>
    <cfRule type="duplicateValues" dxfId="2711" priority="554"/>
    <cfRule type="duplicateValues" dxfId="2710" priority="553"/>
    <cfRule type="duplicateValues" dxfId="2709" priority="552"/>
    <cfRule type="duplicateValues" dxfId="2708" priority="551"/>
    <cfRule type="duplicateValues" dxfId="2707" priority="550"/>
    <cfRule type="duplicateValues" dxfId="2706" priority="549"/>
    <cfRule type="duplicateValues" dxfId="2705" priority="548"/>
    <cfRule type="duplicateValues" dxfId="2704" priority="547"/>
    <cfRule type="duplicateValues" dxfId="2703" priority="546"/>
    <cfRule type="duplicateValues" dxfId="2702" priority="545"/>
    <cfRule type="duplicateValues" dxfId="2701" priority="544"/>
    <cfRule type="duplicateValues" dxfId="2700" priority="543"/>
    <cfRule type="duplicateValues" dxfId="2699" priority="542"/>
    <cfRule type="duplicateValues" dxfId="2698" priority="541"/>
    <cfRule type="duplicateValues" dxfId="2697" priority="540"/>
    <cfRule type="duplicateValues" dxfId="2696" priority="539"/>
  </conditionalFormatting>
  <conditionalFormatting sqref="C130:C135">
    <cfRule type="duplicateValues" dxfId="2695" priority="531"/>
    <cfRule type="duplicateValues" dxfId="2694" priority="532"/>
    <cfRule type="duplicateValues" dxfId="2693" priority="533"/>
    <cfRule type="duplicateValues" dxfId="2692" priority="534"/>
    <cfRule type="duplicateValues" dxfId="2691" priority="507"/>
    <cfRule type="duplicateValues" dxfId="2690" priority="508"/>
    <cfRule type="duplicateValues" dxfId="2689" priority="509"/>
    <cfRule type="duplicateValues" dxfId="2688" priority="510"/>
    <cfRule type="duplicateValues" dxfId="2687" priority="511"/>
    <cfRule type="duplicateValues" dxfId="2686" priority="512"/>
    <cfRule type="duplicateValues" dxfId="2685" priority="513"/>
    <cfRule type="duplicateValues" dxfId="2684" priority="514"/>
    <cfRule type="duplicateValues" dxfId="2683" priority="515"/>
    <cfRule type="duplicateValues" dxfId="2682" priority="516"/>
    <cfRule type="duplicateValues" dxfId="2681" priority="517"/>
    <cfRule type="duplicateValues" dxfId="2680" priority="518"/>
    <cfRule type="duplicateValues" dxfId="2679" priority="519"/>
    <cfRule type="duplicateValues" dxfId="2678" priority="520"/>
    <cfRule type="duplicateValues" dxfId="2677" priority="521"/>
    <cfRule type="duplicateValues" dxfId="2676" priority="522"/>
    <cfRule type="duplicateValues" dxfId="2675" priority="523"/>
    <cfRule type="duplicateValues" dxfId="2674" priority="524"/>
    <cfRule type="duplicateValues" dxfId="2673" priority="525"/>
    <cfRule type="duplicateValues" dxfId="2672" priority="526"/>
    <cfRule type="duplicateValues" dxfId="2671" priority="527"/>
    <cfRule type="duplicateValues" dxfId="2670" priority="528"/>
    <cfRule type="duplicateValues" dxfId="2669" priority="529"/>
    <cfRule type="duplicateValues" dxfId="2668" priority="530"/>
  </conditionalFormatting>
  <conditionalFormatting sqref="C136:C137">
    <cfRule type="duplicateValues" dxfId="2667" priority="331"/>
    <cfRule type="duplicateValues" dxfId="2666" priority="334"/>
    <cfRule type="duplicateValues" dxfId="2665" priority="333"/>
    <cfRule type="duplicateValues" dxfId="2664" priority="332"/>
    <cfRule type="duplicateValues" dxfId="2663" priority="330"/>
    <cfRule type="duplicateValues" dxfId="2662" priority="351"/>
    <cfRule type="duplicateValues" dxfId="2661" priority="350"/>
    <cfRule type="duplicateValues" dxfId="2660" priority="349"/>
    <cfRule type="duplicateValues" dxfId="2659" priority="348"/>
    <cfRule type="duplicateValues" dxfId="2658" priority="347"/>
    <cfRule type="duplicateValues" dxfId="2657" priority="346"/>
    <cfRule type="duplicateValues" dxfId="2656" priority="345"/>
    <cfRule type="duplicateValues" dxfId="2655" priority="344"/>
    <cfRule type="duplicateValues" dxfId="2654" priority="343"/>
    <cfRule type="duplicateValues" dxfId="2653" priority="342"/>
    <cfRule type="duplicateValues" dxfId="2652" priority="341"/>
    <cfRule type="duplicateValues" dxfId="2651" priority="340"/>
    <cfRule type="duplicateValues" dxfId="2650" priority="339"/>
    <cfRule type="duplicateValues" dxfId="2649" priority="338"/>
    <cfRule type="duplicateValues" dxfId="2648" priority="337"/>
    <cfRule type="duplicateValues" dxfId="2647" priority="336"/>
    <cfRule type="duplicateValues" dxfId="2646" priority="335"/>
  </conditionalFormatting>
  <conditionalFormatting sqref="C138:C142">
    <cfRule type="duplicateValues" dxfId="2645" priority="313"/>
    <cfRule type="duplicateValues" dxfId="2644" priority="312"/>
    <cfRule type="duplicateValues" dxfId="2643" priority="311"/>
    <cfRule type="duplicateValues" dxfId="2642" priority="310"/>
    <cfRule type="duplicateValues" dxfId="2641" priority="309"/>
    <cfRule type="duplicateValues" dxfId="2640" priority="329"/>
    <cfRule type="duplicateValues" dxfId="2639" priority="328"/>
    <cfRule type="duplicateValues" dxfId="2638" priority="327"/>
    <cfRule type="duplicateValues" dxfId="2637" priority="326"/>
    <cfRule type="duplicateValues" dxfId="2636" priority="325"/>
    <cfRule type="duplicateValues" dxfId="2635" priority="324"/>
    <cfRule type="duplicateValues" dxfId="2634" priority="323"/>
    <cfRule type="duplicateValues" dxfId="2633" priority="322"/>
    <cfRule type="duplicateValues" dxfId="2632" priority="321"/>
    <cfRule type="duplicateValues" dxfId="2631" priority="320"/>
    <cfRule type="duplicateValues" dxfId="2630" priority="319"/>
    <cfRule type="duplicateValues" dxfId="2629" priority="318"/>
    <cfRule type="duplicateValues" dxfId="2628" priority="317"/>
    <cfRule type="duplicateValues" dxfId="2627" priority="316"/>
    <cfRule type="duplicateValues" dxfId="2626" priority="314"/>
    <cfRule type="duplicateValues" dxfId="2625" priority="315"/>
  </conditionalFormatting>
  <conditionalFormatting sqref="C143:C149">
    <cfRule type="duplicateValues" dxfId="2624" priority="307"/>
    <cfRule type="duplicateValues" dxfId="2623" priority="285"/>
    <cfRule type="duplicateValues" dxfId="2622" priority="284"/>
    <cfRule type="duplicateValues" dxfId="2621" priority="283"/>
    <cfRule type="duplicateValues" dxfId="2620" priority="306"/>
    <cfRule type="duplicateValues" dxfId="2619" priority="282"/>
    <cfRule type="duplicateValues" dxfId="2618" priority="301"/>
    <cfRule type="duplicateValues" dxfId="2617" priority="281"/>
    <cfRule type="duplicateValues" dxfId="2616" priority="305"/>
    <cfRule type="duplicateValues" dxfId="2615" priority="304"/>
    <cfRule type="duplicateValues" dxfId="2614" priority="303"/>
    <cfRule type="duplicateValues" dxfId="2613" priority="302"/>
    <cfRule type="duplicateValues" dxfId="2612" priority="280"/>
    <cfRule type="duplicateValues" dxfId="2611" priority="300"/>
    <cfRule type="duplicateValues" dxfId="2610" priority="299"/>
    <cfRule type="duplicateValues" dxfId="2609" priority="298"/>
    <cfRule type="duplicateValues" dxfId="2608" priority="297"/>
    <cfRule type="duplicateValues" dxfId="2607" priority="296"/>
    <cfRule type="duplicateValues" dxfId="2606" priority="295"/>
    <cfRule type="duplicateValues" dxfId="2605" priority="294"/>
    <cfRule type="duplicateValues" dxfId="2604" priority="293"/>
    <cfRule type="duplicateValues" dxfId="2603" priority="292"/>
    <cfRule type="duplicateValues" dxfId="2602" priority="291"/>
    <cfRule type="duplicateValues" dxfId="2601" priority="290"/>
    <cfRule type="duplicateValues" dxfId="2600" priority="289"/>
    <cfRule type="duplicateValues" dxfId="2599" priority="288"/>
    <cfRule type="duplicateValues" dxfId="2598" priority="287"/>
    <cfRule type="duplicateValues" dxfId="2597" priority="286"/>
  </conditionalFormatting>
  <conditionalFormatting sqref="C150:C161">
    <cfRule type="duplicateValues" dxfId="2596" priority="261"/>
    <cfRule type="duplicateValues" dxfId="2595" priority="260"/>
    <cfRule type="duplicateValues" dxfId="2594" priority="259"/>
    <cfRule type="duplicateValues" dxfId="2593" priority="258"/>
    <cfRule type="duplicateValues" dxfId="2592" priority="257"/>
    <cfRule type="duplicateValues" dxfId="2591" priority="262"/>
    <cfRule type="duplicateValues" dxfId="2590" priority="279"/>
    <cfRule type="duplicateValues" dxfId="2589" priority="278"/>
    <cfRule type="duplicateValues" dxfId="2588" priority="277"/>
    <cfRule type="duplicateValues" dxfId="2587" priority="276"/>
    <cfRule type="duplicateValues" dxfId="2586" priority="275"/>
    <cfRule type="duplicateValues" dxfId="2585" priority="274"/>
    <cfRule type="duplicateValues" dxfId="2584" priority="273"/>
    <cfRule type="duplicateValues" dxfId="2583" priority="272"/>
    <cfRule type="duplicateValues" dxfId="2582" priority="271"/>
    <cfRule type="duplicateValues" dxfId="2581" priority="270"/>
    <cfRule type="duplicateValues" dxfId="2580" priority="269"/>
    <cfRule type="duplicateValues" dxfId="2579" priority="268"/>
    <cfRule type="duplicateValues" dxfId="2578" priority="267"/>
    <cfRule type="duplicateValues" dxfId="2577" priority="266"/>
    <cfRule type="duplicateValues" dxfId="2576" priority="265"/>
    <cfRule type="duplicateValues" dxfId="2575" priority="264"/>
    <cfRule type="duplicateValues" dxfId="2574" priority="263"/>
  </conditionalFormatting>
  <conditionalFormatting sqref="C162">
    <cfRule type="duplicateValues" dxfId="2573" priority="239"/>
    <cfRule type="duplicateValues" dxfId="2572" priority="238"/>
    <cfRule type="duplicateValues" dxfId="2571" priority="237"/>
    <cfRule type="duplicateValues" dxfId="2570" priority="236"/>
    <cfRule type="duplicateValues" dxfId="2569" priority="235"/>
    <cfRule type="duplicateValues" dxfId="2568" priority="234"/>
    <cfRule type="duplicateValues" dxfId="2567" priority="256"/>
    <cfRule type="duplicateValues" dxfId="2566" priority="255"/>
    <cfRule type="duplicateValues" dxfId="2565" priority="254"/>
    <cfRule type="duplicateValues" dxfId="2564" priority="253"/>
    <cfRule type="duplicateValues" dxfId="2563" priority="252"/>
    <cfRule type="duplicateValues" dxfId="2562" priority="251"/>
    <cfRule type="duplicateValues" dxfId="2561" priority="250"/>
    <cfRule type="duplicateValues" dxfId="2560" priority="249"/>
    <cfRule type="duplicateValues" dxfId="2559" priority="248"/>
    <cfRule type="duplicateValues" dxfId="2558" priority="247"/>
    <cfRule type="duplicateValues" dxfId="2557" priority="246"/>
    <cfRule type="duplicateValues" dxfId="2556" priority="245"/>
    <cfRule type="duplicateValues" dxfId="2555" priority="244"/>
    <cfRule type="duplicateValues" dxfId="2554" priority="243"/>
    <cfRule type="duplicateValues" dxfId="2553" priority="242"/>
    <cfRule type="duplicateValues" dxfId="2552" priority="241"/>
    <cfRule type="duplicateValues" dxfId="2551" priority="240"/>
  </conditionalFormatting>
  <conditionalFormatting sqref="C163:C178">
    <cfRule type="duplicateValues" dxfId="2550" priority="229"/>
    <cfRule type="duplicateValues" dxfId="2549" priority="216"/>
    <cfRule type="duplicateValues" dxfId="2548" priority="215"/>
    <cfRule type="duplicateValues" dxfId="2547" priority="214"/>
    <cfRule type="duplicateValues" dxfId="2546" priority="213"/>
    <cfRule type="duplicateValues" dxfId="2545" priority="212"/>
    <cfRule type="duplicateValues" dxfId="2544" priority="233"/>
    <cfRule type="duplicateValues" dxfId="2543" priority="232"/>
    <cfRule type="duplicateValues" dxfId="2542" priority="231"/>
    <cfRule type="duplicateValues" dxfId="2541" priority="230"/>
    <cfRule type="duplicateValues" dxfId="2540" priority="219"/>
    <cfRule type="duplicateValues" dxfId="2539" priority="228"/>
    <cfRule type="duplicateValues" dxfId="2538" priority="227"/>
    <cfRule type="duplicateValues" dxfId="2537" priority="226"/>
    <cfRule type="duplicateValues" dxfId="2536" priority="225"/>
    <cfRule type="duplicateValues" dxfId="2535" priority="224"/>
    <cfRule type="duplicateValues" dxfId="2534" priority="223"/>
    <cfRule type="duplicateValues" dxfId="2533" priority="222"/>
    <cfRule type="duplicateValues" dxfId="2532" priority="221"/>
    <cfRule type="duplicateValues" dxfId="2531" priority="220"/>
    <cfRule type="duplicateValues" dxfId="2530" priority="211"/>
    <cfRule type="duplicateValues" dxfId="2529" priority="218"/>
    <cfRule type="duplicateValues" dxfId="2528" priority="217"/>
  </conditionalFormatting>
  <conditionalFormatting sqref="C179:C184">
    <cfRule type="duplicateValues" dxfId="2527" priority="187"/>
    <cfRule type="duplicateValues" dxfId="2526" priority="186"/>
    <cfRule type="duplicateValues" dxfId="2525" priority="185"/>
    <cfRule type="duplicateValues" dxfId="2524" priority="184"/>
    <cfRule type="duplicateValues" dxfId="2523" priority="183"/>
    <cfRule type="duplicateValues" dxfId="2522" priority="182"/>
    <cfRule type="duplicateValues" dxfId="2521" priority="210"/>
    <cfRule type="duplicateValues" dxfId="2520" priority="209"/>
    <cfRule type="duplicateValues" dxfId="2519" priority="208"/>
    <cfRule type="duplicateValues" dxfId="2518" priority="207"/>
    <cfRule type="duplicateValues" dxfId="2517" priority="206"/>
    <cfRule type="duplicateValues" dxfId="2516" priority="205"/>
    <cfRule type="duplicateValues" dxfId="2515" priority="204"/>
    <cfRule type="duplicateValues" dxfId="2514" priority="203"/>
    <cfRule type="duplicateValues" dxfId="2513" priority="202"/>
    <cfRule type="duplicateValues" dxfId="2512" priority="201"/>
    <cfRule type="duplicateValues" dxfId="2511" priority="200"/>
    <cfRule type="duplicateValues" dxfId="2510" priority="199"/>
    <cfRule type="duplicateValues" dxfId="2509" priority="198"/>
    <cfRule type="duplicateValues" dxfId="2508" priority="197"/>
    <cfRule type="duplicateValues" dxfId="2507" priority="196"/>
    <cfRule type="duplicateValues" dxfId="2506" priority="195"/>
    <cfRule type="duplicateValues" dxfId="2505" priority="194"/>
    <cfRule type="duplicateValues" dxfId="2504" priority="193"/>
    <cfRule type="duplicateValues" dxfId="2503" priority="192"/>
    <cfRule type="duplicateValues" dxfId="2502" priority="191"/>
    <cfRule type="duplicateValues" dxfId="2501" priority="190"/>
    <cfRule type="duplicateValues" dxfId="2500" priority="189"/>
    <cfRule type="duplicateValues" dxfId="2499" priority="188"/>
  </conditionalFormatting>
  <conditionalFormatting sqref="C185:C191">
    <cfRule type="duplicateValues" dxfId="2498" priority="4"/>
    <cfRule type="duplicateValues" dxfId="2497" priority="5"/>
    <cfRule type="duplicateValues" dxfId="2496" priority="2"/>
    <cfRule type="duplicateValues" dxfId="2495" priority="3"/>
    <cfRule type="duplicateValues" dxfId="2494" priority="24"/>
    <cfRule type="duplicateValues" dxfId="2493" priority="23"/>
    <cfRule type="duplicateValues" dxfId="2492" priority="22"/>
    <cfRule type="duplicateValues" dxfId="2491" priority="21"/>
    <cfRule type="duplicateValues" dxfId="2490" priority="20"/>
    <cfRule type="duplicateValues" dxfId="2489" priority="19"/>
    <cfRule type="duplicateValues" dxfId="2488" priority="18"/>
    <cfRule type="duplicateValues" dxfId="2487" priority="17"/>
    <cfRule type="duplicateValues" dxfId="2486" priority="16"/>
    <cfRule type="duplicateValues" dxfId="2485" priority="15"/>
    <cfRule type="duplicateValues" dxfId="2484" priority="14"/>
    <cfRule type="duplicateValues" dxfId="2483" priority="13"/>
    <cfRule type="duplicateValues" dxfId="2482" priority="12"/>
    <cfRule type="duplicateValues" dxfId="2481" priority="11"/>
    <cfRule type="duplicateValues" dxfId="2480" priority="10"/>
    <cfRule type="duplicateValues" dxfId="2479" priority="9"/>
    <cfRule type="duplicateValues" dxfId="2478" priority="8"/>
    <cfRule type="duplicateValues" dxfId="2477" priority="7"/>
    <cfRule type="duplicateValues" dxfId="2476" priority="6"/>
  </conditionalFormatting>
  <conditionalFormatting sqref="C192:C212 C1:C184 C368:C1048576">
    <cfRule type="duplicateValues" dxfId="2475" priority="25"/>
  </conditionalFormatting>
  <conditionalFormatting sqref="C385:C1048576 C1:C9 C192:C210">
    <cfRule type="duplicateValues" dxfId="2474" priority="726"/>
    <cfRule type="duplicateValues" dxfId="2473" priority="727"/>
    <cfRule type="duplicateValues" dxfId="2472" priority="794"/>
  </conditionalFormatting>
  <conditionalFormatting sqref="C385:C1048576 C1:C135 C192:C212">
    <cfRule type="duplicateValues" dxfId="2471" priority="352"/>
  </conditionalFormatting>
  <conditionalFormatting sqref="C385:C1048576 C1:C142 C192:C212">
    <cfRule type="duplicateValues" dxfId="2470" priority="308"/>
  </conditionalFormatting>
  <conditionalFormatting sqref="C579:C1048576 C1:C9 C192:C210">
    <cfRule type="duplicateValues" dxfId="2469" priority="997"/>
  </conditionalFormatting>
  <conditionalFormatting sqref="C579:C1048576 C1:C9 C201:C206">
    <cfRule type="duplicateValues" dxfId="2468" priority="101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BB9E-5909-49C9-9497-85F5DA9F68EE}">
  <sheetPr filterMode="1"/>
  <dimension ref="A1:U909"/>
  <sheetViews>
    <sheetView zoomScale="80" zoomScaleNormal="80" workbookViewId="0">
      <selection activeCell="G66" sqref="G66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9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180" customWidth="1"/>
    <col min="8" max="8" width="12.875" style="169" customWidth="1"/>
    <col min="9" max="9" width="11.375" style="8" customWidth="1"/>
    <col min="10" max="22" width="8.875" style="8" customWidth="1"/>
    <col min="23" max="16384" width="8.875" style="8"/>
  </cols>
  <sheetData>
    <row r="1" spans="1:21" s="15" customFormat="1" x14ac:dyDescent="0.25">
      <c r="A1" s="11" t="s">
        <v>0</v>
      </c>
      <c r="B1" s="5"/>
      <c r="C1" s="5"/>
      <c r="D1" s="14"/>
      <c r="E1" s="14"/>
      <c r="F1" s="216" t="s">
        <v>1</v>
      </c>
      <c r="G1" s="217"/>
      <c r="H1" s="216"/>
    </row>
    <row r="2" spans="1:21" s="15" customFormat="1" ht="15" customHeight="1" x14ac:dyDescent="0.25">
      <c r="A2" s="11" t="s">
        <v>2</v>
      </c>
      <c r="B2" s="5"/>
      <c r="C2" s="5"/>
      <c r="D2" s="14"/>
      <c r="E2" s="14"/>
      <c r="F2" s="216" t="s">
        <v>3</v>
      </c>
      <c r="G2" s="217"/>
      <c r="H2" s="216"/>
    </row>
    <row r="3" spans="1:21" ht="15" customHeight="1" x14ac:dyDescent="0.25">
      <c r="B3" s="17"/>
      <c r="C3" s="18"/>
      <c r="D3" s="19"/>
      <c r="E3" s="19"/>
      <c r="F3" s="36"/>
      <c r="G3" s="179"/>
      <c r="H3" s="22"/>
    </row>
    <row r="4" spans="1:21" x14ac:dyDescent="0.25">
      <c r="B4" s="8"/>
      <c r="H4" s="22"/>
    </row>
    <row r="5" spans="1:21" x14ac:dyDescent="0.25">
      <c r="A5" s="218" t="s">
        <v>4</v>
      </c>
      <c r="B5" s="218"/>
      <c r="C5" s="218"/>
      <c r="D5" s="218"/>
      <c r="E5" s="218"/>
      <c r="F5" s="218"/>
      <c r="G5" s="219"/>
      <c r="H5" s="218"/>
    </row>
    <row r="6" spans="1:21" s="3" customFormat="1" x14ac:dyDescent="0.25">
      <c r="A6" s="218" t="s">
        <v>5</v>
      </c>
      <c r="B6" s="218"/>
      <c r="C6" s="218"/>
      <c r="D6" s="218"/>
      <c r="E6" s="218"/>
      <c r="F6" s="218"/>
      <c r="G6" s="219"/>
      <c r="H6" s="218"/>
    </row>
    <row r="7" spans="1:21" s="3" customFormat="1" x14ac:dyDescent="0.25">
      <c r="A7" s="220" t="s">
        <v>37</v>
      </c>
      <c r="B7" s="220"/>
      <c r="C7" s="220"/>
      <c r="D7" s="220"/>
      <c r="E7" s="220"/>
      <c r="F7" s="220"/>
      <c r="G7" s="221"/>
      <c r="H7" s="220"/>
    </row>
    <row r="8" spans="1:21" s="3" customFormat="1" x14ac:dyDescent="0.25">
      <c r="A8" s="38"/>
      <c r="B8" s="170"/>
      <c r="C8" s="1"/>
      <c r="D8" s="38"/>
      <c r="E8" s="38"/>
      <c r="F8" s="171"/>
      <c r="G8" s="181"/>
      <c r="H8" s="22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s="29" customFormat="1" ht="18" customHeight="1" x14ac:dyDescent="0.25">
      <c r="A9" s="192" t="s">
        <v>6</v>
      </c>
      <c r="B9" s="192" t="s">
        <v>7</v>
      </c>
      <c r="C9" s="192" t="s">
        <v>8</v>
      </c>
      <c r="D9" s="192" t="s">
        <v>9</v>
      </c>
      <c r="E9" s="194" t="s">
        <v>10</v>
      </c>
      <c r="F9" s="192" t="s">
        <v>11</v>
      </c>
      <c r="G9" s="182" t="s">
        <v>12</v>
      </c>
      <c r="H9" s="193" t="s">
        <v>13</v>
      </c>
      <c r="I9" s="195" t="s">
        <v>1246</v>
      </c>
      <c r="J9" s="195"/>
      <c r="K9" s="195"/>
      <c r="L9" s="195" t="s">
        <v>1250</v>
      </c>
      <c r="M9" s="195" t="s">
        <v>1251</v>
      </c>
      <c r="N9" s="195"/>
      <c r="O9" s="195"/>
      <c r="P9" s="195"/>
      <c r="Q9" s="195"/>
      <c r="R9" s="195" t="s">
        <v>1249</v>
      </c>
      <c r="S9" s="195"/>
      <c r="T9" s="195" t="s">
        <v>1248</v>
      </c>
      <c r="U9" s="31"/>
    </row>
    <row r="10" spans="1:21" s="29" customFormat="1" ht="18" hidden="1" customHeight="1" x14ac:dyDescent="0.25">
      <c r="A10" s="44">
        <v>1</v>
      </c>
      <c r="B10" s="54">
        <v>46110</v>
      </c>
      <c r="C10" s="40" t="s">
        <v>1033</v>
      </c>
      <c r="D10" s="53">
        <v>40</v>
      </c>
      <c r="E10" s="53" t="s">
        <v>20</v>
      </c>
      <c r="F10" s="53" t="s">
        <v>868</v>
      </c>
      <c r="G10" s="163">
        <v>406000</v>
      </c>
      <c r="H10" s="41" t="s">
        <v>30</v>
      </c>
      <c r="I10" s="31" t="s">
        <v>1246</v>
      </c>
      <c r="J10" s="31"/>
      <c r="K10" s="31"/>
      <c r="L10" s="31">
        <f>D10</f>
        <v>40</v>
      </c>
      <c r="M10" s="31" t="s">
        <v>1247</v>
      </c>
      <c r="N10" s="31"/>
      <c r="O10" s="31"/>
      <c r="P10" s="31"/>
      <c r="Q10" s="31"/>
      <c r="R10" s="31" t="s">
        <v>1249</v>
      </c>
      <c r="S10" s="31"/>
      <c r="T10" s="31" t="str">
        <f>I10&amp;" "&amp;L10&amp;""&amp;" "&amp;M10</f>
        <v>Cước vận chuyển vỏ container 40 từ bãi JJ, Hải Phòng đến Nam Đình Vũ, Hải Phòng</v>
      </c>
      <c r="U10" s="31"/>
    </row>
    <row r="11" spans="1:21" s="29" customFormat="1" ht="18" hidden="1" customHeight="1" x14ac:dyDescent="0.25">
      <c r="A11" s="44">
        <v>2</v>
      </c>
      <c r="B11" s="54">
        <v>46110</v>
      </c>
      <c r="C11" s="40" t="s">
        <v>1034</v>
      </c>
      <c r="D11" s="53">
        <v>40</v>
      </c>
      <c r="E11" s="53" t="s">
        <v>20</v>
      </c>
      <c r="F11" s="53" t="s">
        <v>868</v>
      </c>
      <c r="G11" s="163">
        <v>406000</v>
      </c>
      <c r="H11" s="41" t="s">
        <v>30</v>
      </c>
      <c r="I11" s="31" t="s">
        <v>1246</v>
      </c>
      <c r="J11" s="31"/>
      <c r="K11" s="31"/>
      <c r="L11" s="31">
        <f t="shared" ref="L11:L22" si="0">D11</f>
        <v>40</v>
      </c>
      <c r="M11" s="31" t="s">
        <v>1247</v>
      </c>
      <c r="N11" s="31"/>
      <c r="O11" s="31"/>
      <c r="P11" s="31"/>
      <c r="Q11" s="31"/>
      <c r="R11" s="31" t="s">
        <v>1249</v>
      </c>
      <c r="S11" s="31"/>
      <c r="T11" s="31" t="str">
        <f t="shared" ref="T11:T74" si="1">I11&amp;" "&amp;L11&amp;""&amp;" "&amp;M11</f>
        <v>Cước vận chuyển vỏ container 40 từ bãi JJ, Hải Phòng đến Nam Đình Vũ, Hải Phòng</v>
      </c>
      <c r="U11" s="31"/>
    </row>
    <row r="12" spans="1:21" s="29" customFormat="1" ht="18" hidden="1" customHeight="1" x14ac:dyDescent="0.25">
      <c r="A12" s="44">
        <v>3</v>
      </c>
      <c r="B12" s="54">
        <v>46110</v>
      </c>
      <c r="C12" s="40" t="s">
        <v>1035</v>
      </c>
      <c r="D12" s="53">
        <v>40</v>
      </c>
      <c r="E12" s="53" t="s">
        <v>20</v>
      </c>
      <c r="F12" s="53" t="s">
        <v>868</v>
      </c>
      <c r="G12" s="163">
        <v>406000</v>
      </c>
      <c r="H12" s="41" t="s">
        <v>30</v>
      </c>
      <c r="I12" s="31" t="s">
        <v>1246</v>
      </c>
      <c r="J12" s="31"/>
      <c r="K12" s="31"/>
      <c r="L12" s="31">
        <f t="shared" si="0"/>
        <v>40</v>
      </c>
      <c r="M12" s="31" t="s">
        <v>1247</v>
      </c>
      <c r="N12" s="31"/>
      <c r="O12" s="31"/>
      <c r="P12" s="31"/>
      <c r="Q12" s="31"/>
      <c r="R12" s="31" t="s">
        <v>1249</v>
      </c>
      <c r="S12" s="31"/>
      <c r="T12" s="31" t="str">
        <f t="shared" si="1"/>
        <v>Cước vận chuyển vỏ container 40 từ bãi JJ, Hải Phòng đến Nam Đình Vũ, Hải Phòng</v>
      </c>
      <c r="U12" s="31"/>
    </row>
    <row r="13" spans="1:21" s="29" customFormat="1" ht="18" hidden="1" customHeight="1" x14ac:dyDescent="0.25">
      <c r="A13" s="44">
        <v>4</v>
      </c>
      <c r="B13" s="54">
        <v>46110</v>
      </c>
      <c r="C13" s="40" t="s">
        <v>1036</v>
      </c>
      <c r="D13" s="53">
        <v>40</v>
      </c>
      <c r="E13" s="53" t="s">
        <v>20</v>
      </c>
      <c r="F13" s="53" t="s">
        <v>868</v>
      </c>
      <c r="G13" s="163">
        <v>406000</v>
      </c>
      <c r="H13" s="41" t="s">
        <v>30</v>
      </c>
      <c r="I13" s="31" t="s">
        <v>1246</v>
      </c>
      <c r="J13" s="31"/>
      <c r="K13" s="31"/>
      <c r="L13" s="31">
        <f t="shared" si="0"/>
        <v>40</v>
      </c>
      <c r="M13" s="31" t="s">
        <v>1247</v>
      </c>
      <c r="N13" s="31"/>
      <c r="O13" s="31"/>
      <c r="P13" s="31"/>
      <c r="Q13" s="31"/>
      <c r="R13" s="31" t="s">
        <v>1249</v>
      </c>
      <c r="S13" s="31"/>
      <c r="T13" s="31" t="str">
        <f t="shared" si="1"/>
        <v>Cước vận chuyển vỏ container 40 từ bãi JJ, Hải Phòng đến Nam Đình Vũ, Hải Phòng</v>
      </c>
      <c r="U13" s="31"/>
    </row>
    <row r="14" spans="1:21" s="29" customFormat="1" ht="18" hidden="1" customHeight="1" x14ac:dyDescent="0.25">
      <c r="A14" s="44">
        <v>5</v>
      </c>
      <c r="B14" s="54">
        <v>46110</v>
      </c>
      <c r="C14" s="40" t="s">
        <v>1037</v>
      </c>
      <c r="D14" s="53">
        <v>40</v>
      </c>
      <c r="E14" s="53" t="s">
        <v>20</v>
      </c>
      <c r="F14" s="53" t="s">
        <v>868</v>
      </c>
      <c r="G14" s="163">
        <v>406000</v>
      </c>
      <c r="H14" s="41" t="s">
        <v>30</v>
      </c>
      <c r="I14" s="31" t="s">
        <v>1246</v>
      </c>
      <c r="J14" s="31"/>
      <c r="K14" s="31"/>
      <c r="L14" s="31">
        <f t="shared" si="0"/>
        <v>40</v>
      </c>
      <c r="M14" s="31" t="s">
        <v>1247</v>
      </c>
      <c r="N14" s="31"/>
      <c r="O14" s="31"/>
      <c r="P14" s="31"/>
      <c r="Q14" s="31"/>
      <c r="R14" s="31" t="s">
        <v>1249</v>
      </c>
      <c r="S14" s="31"/>
      <c r="T14" s="31" t="str">
        <f t="shared" si="1"/>
        <v>Cước vận chuyển vỏ container 40 từ bãi JJ, Hải Phòng đến Nam Đình Vũ, Hải Phòng</v>
      </c>
      <c r="U14" s="31"/>
    </row>
    <row r="15" spans="1:21" s="29" customFormat="1" ht="18" hidden="1" customHeight="1" x14ac:dyDescent="0.25">
      <c r="A15" s="44">
        <v>6</v>
      </c>
      <c r="B15" s="54">
        <v>46110</v>
      </c>
      <c r="C15" s="40" t="s">
        <v>1038</v>
      </c>
      <c r="D15" s="53">
        <v>40</v>
      </c>
      <c r="E15" s="53" t="s">
        <v>20</v>
      </c>
      <c r="F15" s="53" t="s">
        <v>868</v>
      </c>
      <c r="G15" s="163">
        <v>406000</v>
      </c>
      <c r="H15" s="41" t="s">
        <v>30</v>
      </c>
      <c r="I15" s="31" t="s">
        <v>1246</v>
      </c>
      <c r="J15" s="31"/>
      <c r="K15" s="31"/>
      <c r="L15" s="31">
        <f t="shared" si="0"/>
        <v>40</v>
      </c>
      <c r="M15" s="31" t="s">
        <v>1247</v>
      </c>
      <c r="N15" s="31"/>
      <c r="O15" s="31"/>
      <c r="P15" s="31"/>
      <c r="Q15" s="31"/>
      <c r="R15" s="31" t="s">
        <v>1249</v>
      </c>
      <c r="S15" s="31"/>
      <c r="T15" s="31" t="str">
        <f t="shared" si="1"/>
        <v>Cước vận chuyển vỏ container 40 từ bãi JJ, Hải Phòng đến Nam Đình Vũ, Hải Phòng</v>
      </c>
      <c r="U15" s="31"/>
    </row>
    <row r="16" spans="1:21" s="29" customFormat="1" ht="18" customHeight="1" x14ac:dyDescent="0.25">
      <c r="A16" s="44">
        <v>7</v>
      </c>
      <c r="B16" s="54">
        <v>46110</v>
      </c>
      <c r="C16" s="40" t="s">
        <v>1039</v>
      </c>
      <c r="D16" s="53">
        <v>40</v>
      </c>
      <c r="E16" s="53" t="s">
        <v>20</v>
      </c>
      <c r="F16" s="53" t="s">
        <v>868</v>
      </c>
      <c r="G16" s="163">
        <v>406000</v>
      </c>
      <c r="H16" s="53" t="s">
        <v>23</v>
      </c>
      <c r="I16" s="31" t="s">
        <v>1246</v>
      </c>
      <c r="J16" s="31"/>
      <c r="K16" s="31"/>
      <c r="L16" s="31">
        <f t="shared" si="0"/>
        <v>40</v>
      </c>
      <c r="M16" s="31" t="s">
        <v>1247</v>
      </c>
      <c r="N16" s="31"/>
      <c r="O16" s="31"/>
      <c r="P16" s="31"/>
      <c r="Q16" s="31"/>
      <c r="R16" s="31" t="s">
        <v>1249</v>
      </c>
      <c r="S16" s="31"/>
      <c r="T16" s="31" t="str">
        <f t="shared" si="1"/>
        <v>Cước vận chuyển vỏ container 40 từ bãi JJ, Hải Phòng đến Nam Đình Vũ, Hải Phòng</v>
      </c>
      <c r="U16" s="31"/>
    </row>
    <row r="17" spans="1:21" s="29" customFormat="1" ht="18" customHeight="1" x14ac:dyDescent="0.25">
      <c r="A17" s="44">
        <v>8</v>
      </c>
      <c r="B17" s="54">
        <v>46110</v>
      </c>
      <c r="C17" s="40" t="s">
        <v>1040</v>
      </c>
      <c r="D17" s="53">
        <v>40</v>
      </c>
      <c r="E17" s="53" t="s">
        <v>20</v>
      </c>
      <c r="F17" s="53" t="s">
        <v>868</v>
      </c>
      <c r="G17" s="163">
        <v>406000</v>
      </c>
      <c r="H17" s="53" t="s">
        <v>23</v>
      </c>
      <c r="I17" s="31" t="s">
        <v>1246</v>
      </c>
      <c r="J17" s="31"/>
      <c r="K17" s="31"/>
      <c r="L17" s="31">
        <f t="shared" si="0"/>
        <v>40</v>
      </c>
      <c r="M17" s="31" t="s">
        <v>1247</v>
      </c>
      <c r="N17" s="31"/>
      <c r="O17" s="31"/>
      <c r="P17" s="31"/>
      <c r="Q17" s="31"/>
      <c r="R17" s="31" t="s">
        <v>1249</v>
      </c>
      <c r="S17" s="31"/>
      <c r="T17" s="31" t="str">
        <f t="shared" si="1"/>
        <v>Cước vận chuyển vỏ container 40 từ bãi JJ, Hải Phòng đến Nam Đình Vũ, Hải Phòng</v>
      </c>
      <c r="U17" s="31"/>
    </row>
    <row r="18" spans="1:21" s="29" customFormat="1" ht="18" hidden="1" customHeight="1" x14ac:dyDescent="0.25">
      <c r="A18" s="44">
        <v>9</v>
      </c>
      <c r="B18" s="54">
        <v>46110</v>
      </c>
      <c r="C18" s="40" t="s">
        <v>1041</v>
      </c>
      <c r="D18" s="53">
        <v>40</v>
      </c>
      <c r="E18" s="53" t="s">
        <v>20</v>
      </c>
      <c r="F18" s="53" t="s">
        <v>868</v>
      </c>
      <c r="G18" s="163">
        <v>406000</v>
      </c>
      <c r="H18" s="53" t="s">
        <v>25</v>
      </c>
      <c r="I18" s="31" t="s">
        <v>1246</v>
      </c>
      <c r="J18" s="31"/>
      <c r="K18" s="31"/>
      <c r="L18" s="31">
        <f t="shared" si="0"/>
        <v>40</v>
      </c>
      <c r="M18" s="31" t="s">
        <v>1247</v>
      </c>
      <c r="N18" s="31"/>
      <c r="O18" s="31"/>
      <c r="P18" s="31"/>
      <c r="Q18" s="31"/>
      <c r="R18" s="31" t="s">
        <v>1249</v>
      </c>
      <c r="S18" s="31"/>
      <c r="T18" s="31" t="str">
        <f t="shared" si="1"/>
        <v>Cước vận chuyển vỏ container 40 từ bãi JJ, Hải Phòng đến Nam Đình Vũ, Hải Phòng</v>
      </c>
      <c r="U18" s="31"/>
    </row>
    <row r="19" spans="1:21" s="29" customFormat="1" ht="18" hidden="1" customHeight="1" x14ac:dyDescent="0.25">
      <c r="A19" s="44">
        <v>10</v>
      </c>
      <c r="B19" s="54">
        <v>46110</v>
      </c>
      <c r="C19" s="40" t="s">
        <v>1042</v>
      </c>
      <c r="D19" s="53">
        <v>40</v>
      </c>
      <c r="E19" s="53" t="s">
        <v>20</v>
      </c>
      <c r="F19" s="53" t="s">
        <v>868</v>
      </c>
      <c r="G19" s="163">
        <v>406000</v>
      </c>
      <c r="H19" s="53" t="s">
        <v>25</v>
      </c>
      <c r="I19" s="31" t="s">
        <v>1246</v>
      </c>
      <c r="J19" s="31"/>
      <c r="K19" s="31"/>
      <c r="L19" s="31">
        <f t="shared" si="0"/>
        <v>40</v>
      </c>
      <c r="M19" s="31" t="s">
        <v>1247</v>
      </c>
      <c r="N19" s="31"/>
      <c r="O19" s="31"/>
      <c r="P19" s="31"/>
      <c r="Q19" s="31"/>
      <c r="R19" s="31" t="s">
        <v>1249</v>
      </c>
      <c r="S19" s="31"/>
      <c r="T19" s="31" t="str">
        <f t="shared" si="1"/>
        <v>Cước vận chuyển vỏ container 40 từ bãi JJ, Hải Phòng đến Nam Đình Vũ, Hải Phòng</v>
      </c>
      <c r="U19" s="31"/>
    </row>
    <row r="20" spans="1:21" s="29" customFormat="1" ht="18" hidden="1" customHeight="1" x14ac:dyDescent="0.25">
      <c r="A20" s="44">
        <v>11</v>
      </c>
      <c r="B20" s="54">
        <v>46110</v>
      </c>
      <c r="C20" s="40" t="s">
        <v>1043</v>
      </c>
      <c r="D20" s="53">
        <v>40</v>
      </c>
      <c r="E20" s="53" t="s">
        <v>20</v>
      </c>
      <c r="F20" s="53" t="s">
        <v>868</v>
      </c>
      <c r="G20" s="163">
        <v>406000</v>
      </c>
      <c r="H20" s="53" t="s">
        <v>21</v>
      </c>
      <c r="I20" s="31" t="s">
        <v>1246</v>
      </c>
      <c r="J20" s="31"/>
      <c r="K20" s="31"/>
      <c r="L20" s="31">
        <f t="shared" si="0"/>
        <v>40</v>
      </c>
      <c r="M20" s="31" t="s">
        <v>1247</v>
      </c>
      <c r="N20" s="31"/>
      <c r="O20" s="31"/>
      <c r="P20" s="31"/>
      <c r="Q20" s="31"/>
      <c r="R20" s="31" t="s">
        <v>1249</v>
      </c>
      <c r="S20" s="31"/>
      <c r="T20" s="31" t="str">
        <f t="shared" si="1"/>
        <v>Cước vận chuyển vỏ container 40 từ bãi JJ, Hải Phòng đến Nam Đình Vũ, Hải Phòng</v>
      </c>
      <c r="U20" s="31"/>
    </row>
    <row r="21" spans="1:21" s="29" customFormat="1" ht="18" hidden="1" customHeight="1" x14ac:dyDescent="0.25">
      <c r="A21" s="44">
        <v>12</v>
      </c>
      <c r="B21" s="54">
        <v>46110</v>
      </c>
      <c r="C21" s="40" t="s">
        <v>1044</v>
      </c>
      <c r="D21" s="53">
        <v>40</v>
      </c>
      <c r="E21" s="53" t="s">
        <v>20</v>
      </c>
      <c r="F21" s="53" t="s">
        <v>868</v>
      </c>
      <c r="G21" s="163">
        <v>406000</v>
      </c>
      <c r="H21" s="53" t="s">
        <v>21</v>
      </c>
      <c r="I21" s="31" t="s">
        <v>1246</v>
      </c>
      <c r="J21" s="31"/>
      <c r="K21" s="31"/>
      <c r="L21" s="31">
        <f t="shared" si="0"/>
        <v>40</v>
      </c>
      <c r="M21" s="31" t="s">
        <v>1247</v>
      </c>
      <c r="N21" s="31"/>
      <c r="O21" s="31"/>
      <c r="P21" s="31"/>
      <c r="Q21" s="31"/>
      <c r="R21" s="31" t="s">
        <v>1249</v>
      </c>
      <c r="S21" s="31"/>
      <c r="T21" s="31" t="str">
        <f t="shared" si="1"/>
        <v>Cước vận chuyển vỏ container 40 từ bãi JJ, Hải Phòng đến Nam Đình Vũ, Hải Phòng</v>
      </c>
      <c r="U21" s="31"/>
    </row>
    <row r="22" spans="1:21" s="29" customFormat="1" ht="18" hidden="1" customHeight="1" x14ac:dyDescent="0.25">
      <c r="A22" s="44">
        <v>13</v>
      </c>
      <c r="B22" s="54">
        <v>46110</v>
      </c>
      <c r="C22" s="40" t="s">
        <v>1045</v>
      </c>
      <c r="D22" s="53">
        <v>40</v>
      </c>
      <c r="E22" s="53" t="s">
        <v>20</v>
      </c>
      <c r="F22" s="53" t="s">
        <v>868</v>
      </c>
      <c r="G22" s="163">
        <v>406000</v>
      </c>
      <c r="H22" s="53" t="s">
        <v>21</v>
      </c>
      <c r="I22" s="31" t="s">
        <v>1246</v>
      </c>
      <c r="J22" s="31"/>
      <c r="K22" s="31"/>
      <c r="L22" s="31">
        <f t="shared" si="0"/>
        <v>40</v>
      </c>
      <c r="M22" s="31" t="s">
        <v>1247</v>
      </c>
      <c r="N22" s="31"/>
      <c r="O22" s="31"/>
      <c r="P22" s="31"/>
      <c r="Q22" s="31"/>
      <c r="R22" s="31" t="s">
        <v>1249</v>
      </c>
      <c r="S22" s="31"/>
      <c r="T22" s="31" t="str">
        <f t="shared" si="1"/>
        <v>Cước vận chuyển vỏ container 40 từ bãi JJ, Hải Phòng đến Nam Đình Vũ, Hải Phòng</v>
      </c>
      <c r="U22" s="31"/>
    </row>
    <row r="23" spans="1:21" s="29" customFormat="1" ht="18" hidden="1" customHeight="1" x14ac:dyDescent="0.25">
      <c r="A23" s="44">
        <v>14</v>
      </c>
      <c r="B23" s="54">
        <v>46110</v>
      </c>
      <c r="C23" s="40" t="s">
        <v>1046</v>
      </c>
      <c r="D23" s="53">
        <v>20</v>
      </c>
      <c r="E23" s="53" t="s">
        <v>20</v>
      </c>
      <c r="F23" s="53" t="s">
        <v>868</v>
      </c>
      <c r="G23" s="163">
        <v>221000</v>
      </c>
      <c r="H23" s="53" t="s">
        <v>21</v>
      </c>
      <c r="I23" s="31" t="s">
        <v>1246</v>
      </c>
      <c r="J23" s="31"/>
      <c r="K23" s="31"/>
      <c r="L23" s="31">
        <f t="shared" ref="L23:L39" si="2">D23</f>
        <v>20</v>
      </c>
      <c r="M23" s="31" t="s">
        <v>1247</v>
      </c>
      <c r="N23" s="31"/>
      <c r="O23" s="31"/>
      <c r="P23" s="31"/>
      <c r="Q23" s="31"/>
      <c r="R23" s="31" t="s">
        <v>1249</v>
      </c>
      <c r="S23" s="31"/>
      <c r="T23" s="31" t="str">
        <f t="shared" si="1"/>
        <v>Cước vận chuyển vỏ container 20 từ bãi JJ, Hải Phòng đến Nam Đình Vũ, Hải Phòng</v>
      </c>
      <c r="U23" s="31"/>
    </row>
    <row r="24" spans="1:21" s="29" customFormat="1" ht="18" hidden="1" customHeight="1" x14ac:dyDescent="0.25">
      <c r="A24" s="44">
        <v>15</v>
      </c>
      <c r="B24" s="54">
        <v>46110</v>
      </c>
      <c r="C24" s="40" t="s">
        <v>1047</v>
      </c>
      <c r="D24" s="53">
        <v>20</v>
      </c>
      <c r="E24" s="53" t="s">
        <v>20</v>
      </c>
      <c r="F24" s="53" t="s">
        <v>868</v>
      </c>
      <c r="G24" s="163">
        <v>221000</v>
      </c>
      <c r="H24" s="53" t="s">
        <v>21</v>
      </c>
      <c r="I24" s="31" t="s">
        <v>1246</v>
      </c>
      <c r="J24" s="31"/>
      <c r="K24" s="31"/>
      <c r="L24" s="31">
        <f t="shared" si="2"/>
        <v>20</v>
      </c>
      <c r="M24" s="31" t="s">
        <v>1247</v>
      </c>
      <c r="N24" s="31"/>
      <c r="O24" s="31"/>
      <c r="P24" s="31"/>
      <c r="Q24" s="31"/>
      <c r="R24" s="31" t="s">
        <v>1249</v>
      </c>
      <c r="S24" s="31"/>
      <c r="T24" s="31" t="str">
        <f t="shared" si="1"/>
        <v>Cước vận chuyển vỏ container 20 từ bãi JJ, Hải Phòng đến Nam Đình Vũ, Hải Phòng</v>
      </c>
      <c r="U24" s="31"/>
    </row>
    <row r="25" spans="1:21" s="29" customFormat="1" ht="18" hidden="1" customHeight="1" x14ac:dyDescent="0.25">
      <c r="A25" s="44">
        <v>16</v>
      </c>
      <c r="B25" s="54">
        <v>46110</v>
      </c>
      <c r="C25" s="40" t="s">
        <v>1048</v>
      </c>
      <c r="D25" s="53">
        <v>20</v>
      </c>
      <c r="E25" s="53" t="s">
        <v>20</v>
      </c>
      <c r="F25" s="53" t="s">
        <v>868</v>
      </c>
      <c r="G25" s="163">
        <v>221000</v>
      </c>
      <c r="H25" s="53" t="s">
        <v>21</v>
      </c>
      <c r="I25" s="31" t="s">
        <v>1246</v>
      </c>
      <c r="J25" s="31"/>
      <c r="K25" s="31"/>
      <c r="L25" s="31">
        <f t="shared" si="2"/>
        <v>20</v>
      </c>
      <c r="M25" s="31" t="s">
        <v>1247</v>
      </c>
      <c r="N25" s="31"/>
      <c r="O25" s="31"/>
      <c r="P25" s="31"/>
      <c r="Q25" s="31"/>
      <c r="R25" s="31" t="s">
        <v>1249</v>
      </c>
      <c r="S25" s="31"/>
      <c r="T25" s="31" t="str">
        <f t="shared" si="1"/>
        <v>Cước vận chuyển vỏ container 20 từ bãi JJ, Hải Phòng đến Nam Đình Vũ, Hải Phòng</v>
      </c>
      <c r="U25" s="31"/>
    </row>
    <row r="26" spans="1:21" s="29" customFormat="1" ht="18" hidden="1" customHeight="1" x14ac:dyDescent="0.25">
      <c r="A26" s="44">
        <v>17</v>
      </c>
      <c r="B26" s="54">
        <v>46110</v>
      </c>
      <c r="C26" s="40" t="s">
        <v>1049</v>
      </c>
      <c r="D26" s="53">
        <v>20</v>
      </c>
      <c r="E26" s="53" t="s">
        <v>20</v>
      </c>
      <c r="F26" s="53" t="s">
        <v>868</v>
      </c>
      <c r="G26" s="163">
        <v>221000</v>
      </c>
      <c r="H26" s="53" t="s">
        <v>21</v>
      </c>
      <c r="I26" s="31" t="s">
        <v>1246</v>
      </c>
      <c r="J26" s="31"/>
      <c r="K26" s="31"/>
      <c r="L26" s="31">
        <f t="shared" si="2"/>
        <v>20</v>
      </c>
      <c r="M26" s="31" t="s">
        <v>1247</v>
      </c>
      <c r="N26" s="31"/>
      <c r="O26" s="31"/>
      <c r="P26" s="31"/>
      <c r="Q26" s="31"/>
      <c r="R26" s="31" t="s">
        <v>1249</v>
      </c>
      <c r="S26" s="31"/>
      <c r="T26" s="31" t="str">
        <f>I26&amp;" "&amp;L26&amp;""&amp;" "&amp;M26</f>
        <v>Cước vận chuyển vỏ container 20 từ bãi JJ, Hải Phòng đến Nam Đình Vũ, Hải Phòng</v>
      </c>
      <c r="U26" s="31"/>
    </row>
    <row r="27" spans="1:21" s="29" customFormat="1" ht="18" hidden="1" customHeight="1" x14ac:dyDescent="0.25">
      <c r="A27" s="44">
        <v>18</v>
      </c>
      <c r="B27" s="54">
        <v>46110</v>
      </c>
      <c r="C27" s="40" t="s">
        <v>1050</v>
      </c>
      <c r="D27" s="53">
        <v>20</v>
      </c>
      <c r="E27" s="53" t="s">
        <v>20</v>
      </c>
      <c r="F27" s="53" t="s">
        <v>868</v>
      </c>
      <c r="G27" s="163">
        <v>221000</v>
      </c>
      <c r="H27" s="186" t="s">
        <v>828</v>
      </c>
      <c r="I27" s="31" t="s">
        <v>1246</v>
      </c>
      <c r="J27" s="31"/>
      <c r="K27" s="31"/>
      <c r="L27" s="31">
        <f t="shared" si="2"/>
        <v>20</v>
      </c>
      <c r="M27" s="31" t="s">
        <v>1247</v>
      </c>
      <c r="N27" s="31"/>
      <c r="O27" s="31"/>
      <c r="P27" s="31"/>
      <c r="Q27" s="31"/>
      <c r="R27" s="31" t="s">
        <v>1249</v>
      </c>
      <c r="S27" s="31"/>
      <c r="T27" s="31" t="str">
        <f t="shared" si="1"/>
        <v>Cước vận chuyển vỏ container 20 từ bãi JJ, Hải Phòng đến Nam Đình Vũ, Hải Phòng</v>
      </c>
      <c r="U27" s="31"/>
    </row>
    <row r="28" spans="1:21" s="29" customFormat="1" ht="18" hidden="1" customHeight="1" x14ac:dyDescent="0.25">
      <c r="A28" s="44">
        <v>19</v>
      </c>
      <c r="B28" s="54">
        <v>46110</v>
      </c>
      <c r="C28" s="40" t="s">
        <v>1051</v>
      </c>
      <c r="D28" s="53">
        <v>20</v>
      </c>
      <c r="E28" s="53" t="s">
        <v>20</v>
      </c>
      <c r="F28" s="53" t="s">
        <v>868</v>
      </c>
      <c r="G28" s="163">
        <v>221000</v>
      </c>
      <c r="H28" s="53" t="s">
        <v>828</v>
      </c>
      <c r="I28" s="31" t="s">
        <v>1246</v>
      </c>
      <c r="J28" s="31"/>
      <c r="K28" s="31"/>
      <c r="L28" s="31">
        <f t="shared" si="2"/>
        <v>20</v>
      </c>
      <c r="M28" s="31" t="s">
        <v>1247</v>
      </c>
      <c r="N28" s="31"/>
      <c r="O28" s="31"/>
      <c r="P28" s="31"/>
      <c r="Q28" s="31"/>
      <c r="R28" s="31" t="s">
        <v>1249</v>
      </c>
      <c r="S28" s="31"/>
      <c r="T28" s="31" t="str">
        <f t="shared" si="1"/>
        <v>Cước vận chuyển vỏ container 20 từ bãi JJ, Hải Phòng đến Nam Đình Vũ, Hải Phòng</v>
      </c>
      <c r="U28" s="31"/>
    </row>
    <row r="29" spans="1:21" s="29" customFormat="1" ht="18" hidden="1" customHeight="1" x14ac:dyDescent="0.25">
      <c r="A29" s="44">
        <v>20</v>
      </c>
      <c r="B29" s="54">
        <v>46110</v>
      </c>
      <c r="C29" s="40" t="s">
        <v>1052</v>
      </c>
      <c r="D29" s="53">
        <v>40</v>
      </c>
      <c r="E29" s="53" t="s">
        <v>20</v>
      </c>
      <c r="F29" s="53" t="s">
        <v>868</v>
      </c>
      <c r="G29" s="163">
        <v>406000</v>
      </c>
      <c r="H29" s="53" t="s">
        <v>828</v>
      </c>
      <c r="I29" s="31" t="s">
        <v>1246</v>
      </c>
      <c r="J29" s="31"/>
      <c r="K29" s="31"/>
      <c r="L29" s="31">
        <f t="shared" si="2"/>
        <v>40</v>
      </c>
      <c r="M29" s="31" t="s">
        <v>1247</v>
      </c>
      <c r="N29" s="31"/>
      <c r="O29" s="31"/>
      <c r="P29" s="31"/>
      <c r="Q29" s="31"/>
      <c r="R29" s="31" t="s">
        <v>1249</v>
      </c>
      <c r="S29" s="31"/>
      <c r="T29" s="31" t="str">
        <f t="shared" si="1"/>
        <v>Cước vận chuyển vỏ container 40 từ bãi JJ, Hải Phòng đến Nam Đình Vũ, Hải Phòng</v>
      </c>
      <c r="U29" s="31"/>
    </row>
    <row r="30" spans="1:21" s="29" customFormat="1" ht="18" hidden="1" customHeight="1" x14ac:dyDescent="0.25">
      <c r="A30" s="44">
        <v>21</v>
      </c>
      <c r="B30" s="54">
        <v>46110</v>
      </c>
      <c r="C30" s="40" t="s">
        <v>1053</v>
      </c>
      <c r="D30" s="53">
        <v>40</v>
      </c>
      <c r="E30" s="53" t="s">
        <v>20</v>
      </c>
      <c r="F30" s="53" t="s">
        <v>868</v>
      </c>
      <c r="G30" s="163">
        <v>406000</v>
      </c>
      <c r="H30" s="53" t="s">
        <v>828</v>
      </c>
      <c r="I30" s="31" t="s">
        <v>1246</v>
      </c>
      <c r="J30" s="31"/>
      <c r="K30" s="31"/>
      <c r="L30" s="31">
        <f t="shared" si="2"/>
        <v>40</v>
      </c>
      <c r="M30" s="31" t="s">
        <v>1247</v>
      </c>
      <c r="N30" s="31"/>
      <c r="O30" s="31"/>
      <c r="P30" s="31"/>
      <c r="Q30" s="31"/>
      <c r="R30" s="31" t="s">
        <v>1249</v>
      </c>
      <c r="S30" s="31"/>
      <c r="T30" s="31" t="str">
        <f t="shared" si="1"/>
        <v>Cước vận chuyển vỏ container 40 từ bãi JJ, Hải Phòng đến Nam Đình Vũ, Hải Phòng</v>
      </c>
      <c r="U30" s="31"/>
    </row>
    <row r="31" spans="1:21" s="29" customFormat="1" ht="18" hidden="1" customHeight="1" x14ac:dyDescent="0.25">
      <c r="A31" s="44">
        <v>22</v>
      </c>
      <c r="B31" s="54">
        <v>46110</v>
      </c>
      <c r="C31" s="40" t="s">
        <v>1054</v>
      </c>
      <c r="D31" s="53">
        <v>40</v>
      </c>
      <c r="E31" s="53" t="s">
        <v>20</v>
      </c>
      <c r="F31" s="53" t="s">
        <v>868</v>
      </c>
      <c r="G31" s="163">
        <v>406000</v>
      </c>
      <c r="H31" s="53" t="s">
        <v>828</v>
      </c>
      <c r="I31" s="31" t="s">
        <v>1246</v>
      </c>
      <c r="J31" s="31"/>
      <c r="K31" s="31"/>
      <c r="L31" s="31">
        <f t="shared" si="2"/>
        <v>40</v>
      </c>
      <c r="M31" s="31" t="s">
        <v>1247</v>
      </c>
      <c r="N31" s="31"/>
      <c r="O31" s="31"/>
      <c r="P31" s="31"/>
      <c r="Q31" s="31"/>
      <c r="R31" s="31" t="s">
        <v>1249</v>
      </c>
      <c r="S31" s="31"/>
      <c r="T31" s="31" t="str">
        <f t="shared" si="1"/>
        <v>Cước vận chuyển vỏ container 40 từ bãi JJ, Hải Phòng đến Nam Đình Vũ, Hải Phòng</v>
      </c>
      <c r="U31" s="31"/>
    </row>
    <row r="32" spans="1:21" s="29" customFormat="1" ht="18" hidden="1" customHeight="1" x14ac:dyDescent="0.25">
      <c r="A32" s="44">
        <v>23</v>
      </c>
      <c r="B32" s="54">
        <v>46110</v>
      </c>
      <c r="C32" s="40" t="s">
        <v>1055</v>
      </c>
      <c r="D32" s="53">
        <v>40</v>
      </c>
      <c r="E32" s="53" t="s">
        <v>20</v>
      </c>
      <c r="F32" s="53" t="s">
        <v>868</v>
      </c>
      <c r="G32" s="163">
        <v>406000</v>
      </c>
      <c r="H32" s="53" t="s">
        <v>828</v>
      </c>
      <c r="I32" s="31" t="s">
        <v>1246</v>
      </c>
      <c r="J32" s="31"/>
      <c r="K32" s="31"/>
      <c r="L32" s="31">
        <f t="shared" si="2"/>
        <v>40</v>
      </c>
      <c r="M32" s="31" t="s">
        <v>1247</v>
      </c>
      <c r="N32" s="31"/>
      <c r="O32" s="31"/>
      <c r="P32" s="31"/>
      <c r="Q32" s="31"/>
      <c r="R32" s="31" t="s">
        <v>1249</v>
      </c>
      <c r="S32" s="31"/>
      <c r="T32" s="31" t="str">
        <f t="shared" si="1"/>
        <v>Cước vận chuyển vỏ container 40 từ bãi JJ, Hải Phòng đến Nam Đình Vũ, Hải Phòng</v>
      </c>
      <c r="U32" s="31"/>
    </row>
    <row r="33" spans="1:21" s="29" customFormat="1" ht="18" hidden="1" customHeight="1" x14ac:dyDescent="0.25">
      <c r="A33" s="44">
        <v>24</v>
      </c>
      <c r="B33" s="54">
        <v>46110</v>
      </c>
      <c r="C33" s="40" t="s">
        <v>1056</v>
      </c>
      <c r="D33" s="53">
        <v>40</v>
      </c>
      <c r="E33" s="53" t="s">
        <v>20</v>
      </c>
      <c r="F33" s="53" t="s">
        <v>868</v>
      </c>
      <c r="G33" s="163">
        <v>406000</v>
      </c>
      <c r="H33" s="53" t="s">
        <v>828</v>
      </c>
      <c r="I33" s="31" t="s">
        <v>1246</v>
      </c>
      <c r="J33" s="31"/>
      <c r="K33" s="31"/>
      <c r="L33" s="31">
        <f t="shared" si="2"/>
        <v>40</v>
      </c>
      <c r="M33" s="31" t="s">
        <v>1247</v>
      </c>
      <c r="N33" s="31"/>
      <c r="O33" s="31"/>
      <c r="P33" s="31"/>
      <c r="Q33" s="31"/>
      <c r="R33" s="31" t="s">
        <v>1249</v>
      </c>
      <c r="S33" s="31"/>
      <c r="T33" s="31" t="str">
        <f t="shared" si="1"/>
        <v>Cước vận chuyển vỏ container 40 từ bãi JJ, Hải Phòng đến Nam Đình Vũ, Hải Phòng</v>
      </c>
      <c r="U33" s="31"/>
    </row>
    <row r="34" spans="1:21" s="29" customFormat="1" ht="18" hidden="1" customHeight="1" x14ac:dyDescent="0.25">
      <c r="A34" s="44">
        <v>25</v>
      </c>
      <c r="B34" s="54">
        <v>46110</v>
      </c>
      <c r="C34" s="40" t="s">
        <v>1057</v>
      </c>
      <c r="D34" s="53">
        <v>40</v>
      </c>
      <c r="E34" s="53" t="s">
        <v>20</v>
      </c>
      <c r="F34" s="53" t="s">
        <v>868</v>
      </c>
      <c r="G34" s="163">
        <v>406000</v>
      </c>
      <c r="H34" s="53" t="s">
        <v>828</v>
      </c>
      <c r="I34" s="31" t="s">
        <v>1246</v>
      </c>
      <c r="J34" s="31"/>
      <c r="K34" s="31"/>
      <c r="L34" s="31">
        <f t="shared" si="2"/>
        <v>40</v>
      </c>
      <c r="M34" s="31" t="s">
        <v>1247</v>
      </c>
      <c r="N34" s="31"/>
      <c r="O34" s="31"/>
      <c r="P34" s="31"/>
      <c r="Q34" s="31"/>
      <c r="R34" s="31" t="s">
        <v>1249</v>
      </c>
      <c r="S34" s="31"/>
      <c r="T34" s="31" t="str">
        <f t="shared" si="1"/>
        <v>Cước vận chuyển vỏ container 40 từ bãi JJ, Hải Phòng đến Nam Đình Vũ, Hải Phòng</v>
      </c>
      <c r="U34" s="31"/>
    </row>
    <row r="35" spans="1:21" s="29" customFormat="1" ht="18" hidden="1" customHeight="1" x14ac:dyDescent="0.25">
      <c r="A35" s="44">
        <v>26</v>
      </c>
      <c r="B35" s="54">
        <v>46110</v>
      </c>
      <c r="C35" s="40" t="s">
        <v>1058</v>
      </c>
      <c r="D35" s="53">
        <v>40</v>
      </c>
      <c r="E35" s="53" t="s">
        <v>20</v>
      </c>
      <c r="F35" s="53" t="s">
        <v>868</v>
      </c>
      <c r="G35" s="163">
        <v>406000</v>
      </c>
      <c r="H35" s="53" t="s">
        <v>828</v>
      </c>
      <c r="I35" s="31" t="s">
        <v>1246</v>
      </c>
      <c r="J35" s="31"/>
      <c r="K35" s="31"/>
      <c r="L35" s="31">
        <f t="shared" si="2"/>
        <v>40</v>
      </c>
      <c r="M35" s="31" t="s">
        <v>1247</v>
      </c>
      <c r="N35" s="31"/>
      <c r="O35" s="31"/>
      <c r="P35" s="31"/>
      <c r="Q35" s="31"/>
      <c r="R35" s="31" t="s">
        <v>1249</v>
      </c>
      <c r="S35" s="31"/>
      <c r="T35" s="31" t="str">
        <f t="shared" si="1"/>
        <v>Cước vận chuyển vỏ container 40 từ bãi JJ, Hải Phòng đến Nam Đình Vũ, Hải Phòng</v>
      </c>
      <c r="U35" s="31"/>
    </row>
    <row r="36" spans="1:21" s="29" customFormat="1" ht="18" hidden="1" customHeight="1" x14ac:dyDescent="0.25">
      <c r="A36" s="44">
        <v>27</v>
      </c>
      <c r="B36" s="54">
        <v>46110</v>
      </c>
      <c r="C36" s="40" t="s">
        <v>1059</v>
      </c>
      <c r="D36" s="53">
        <v>40</v>
      </c>
      <c r="E36" s="53" t="s">
        <v>20</v>
      </c>
      <c r="F36" s="53" t="s">
        <v>868</v>
      </c>
      <c r="G36" s="163">
        <v>406000</v>
      </c>
      <c r="H36" s="53" t="s">
        <v>828</v>
      </c>
      <c r="I36" s="31" t="s">
        <v>1246</v>
      </c>
      <c r="J36" s="31"/>
      <c r="K36" s="31"/>
      <c r="L36" s="31">
        <f t="shared" si="2"/>
        <v>40</v>
      </c>
      <c r="M36" s="31" t="s">
        <v>1247</v>
      </c>
      <c r="N36" s="31"/>
      <c r="O36" s="31"/>
      <c r="P36" s="31"/>
      <c r="Q36" s="31"/>
      <c r="R36" s="31" t="s">
        <v>1249</v>
      </c>
      <c r="S36" s="31"/>
      <c r="T36" s="31" t="str">
        <f t="shared" si="1"/>
        <v>Cước vận chuyển vỏ container 40 từ bãi JJ, Hải Phòng đến Nam Đình Vũ, Hải Phòng</v>
      </c>
      <c r="U36" s="31"/>
    </row>
    <row r="37" spans="1:21" s="29" customFormat="1" ht="18" hidden="1" customHeight="1" x14ac:dyDescent="0.25">
      <c r="A37" s="44">
        <v>28</v>
      </c>
      <c r="B37" s="54">
        <v>46110</v>
      </c>
      <c r="C37" s="40" t="s">
        <v>1060</v>
      </c>
      <c r="D37" s="53">
        <v>40</v>
      </c>
      <c r="E37" s="53" t="s">
        <v>20</v>
      </c>
      <c r="F37" s="53" t="s">
        <v>868</v>
      </c>
      <c r="G37" s="163">
        <v>406000</v>
      </c>
      <c r="H37" s="53" t="s">
        <v>828</v>
      </c>
      <c r="I37" s="31" t="s">
        <v>1246</v>
      </c>
      <c r="J37" s="31"/>
      <c r="K37" s="31"/>
      <c r="L37" s="31">
        <f t="shared" si="2"/>
        <v>40</v>
      </c>
      <c r="M37" s="31" t="s">
        <v>1247</v>
      </c>
      <c r="N37" s="31"/>
      <c r="O37" s="31"/>
      <c r="P37" s="31"/>
      <c r="Q37" s="31"/>
      <c r="R37" s="31" t="s">
        <v>1249</v>
      </c>
      <c r="S37" s="31"/>
      <c r="T37" s="31" t="str">
        <f t="shared" si="1"/>
        <v>Cước vận chuyển vỏ container 40 từ bãi JJ, Hải Phòng đến Nam Đình Vũ, Hải Phòng</v>
      </c>
      <c r="U37" s="31"/>
    </row>
    <row r="38" spans="1:21" s="29" customFormat="1" ht="18" hidden="1" customHeight="1" x14ac:dyDescent="0.25">
      <c r="A38" s="44">
        <v>29</v>
      </c>
      <c r="B38" s="54">
        <v>46110</v>
      </c>
      <c r="C38" s="40" t="s">
        <v>1061</v>
      </c>
      <c r="D38" s="53">
        <v>40</v>
      </c>
      <c r="E38" s="53" t="s">
        <v>20</v>
      </c>
      <c r="F38" s="53" t="s">
        <v>868</v>
      </c>
      <c r="G38" s="163">
        <v>406000</v>
      </c>
      <c r="H38" s="53" t="s">
        <v>828</v>
      </c>
      <c r="I38" s="31" t="s">
        <v>1246</v>
      </c>
      <c r="J38" s="31"/>
      <c r="K38" s="31"/>
      <c r="L38" s="31">
        <f t="shared" si="2"/>
        <v>40</v>
      </c>
      <c r="M38" s="31" t="s">
        <v>1247</v>
      </c>
      <c r="N38" s="31"/>
      <c r="O38" s="31"/>
      <c r="P38" s="31"/>
      <c r="Q38" s="31"/>
      <c r="R38" s="31" t="s">
        <v>1249</v>
      </c>
      <c r="S38" s="31"/>
      <c r="T38" s="31" t="str">
        <f t="shared" si="1"/>
        <v>Cước vận chuyển vỏ container 40 từ bãi JJ, Hải Phòng đến Nam Đình Vũ, Hải Phòng</v>
      </c>
      <c r="U38" s="31"/>
    </row>
    <row r="39" spans="1:21" s="29" customFormat="1" ht="18" hidden="1" customHeight="1" x14ac:dyDescent="0.25">
      <c r="A39" s="44">
        <v>30</v>
      </c>
      <c r="B39" s="54">
        <v>46110</v>
      </c>
      <c r="C39" s="40" t="s">
        <v>1062</v>
      </c>
      <c r="D39" s="53">
        <v>40</v>
      </c>
      <c r="E39" s="53" t="s">
        <v>20</v>
      </c>
      <c r="F39" s="53" t="s">
        <v>868</v>
      </c>
      <c r="G39" s="163">
        <v>406000</v>
      </c>
      <c r="H39" s="53" t="s">
        <v>828</v>
      </c>
      <c r="I39" s="31" t="s">
        <v>1246</v>
      </c>
      <c r="J39" s="31"/>
      <c r="K39" s="31"/>
      <c r="L39" s="31">
        <f t="shared" si="2"/>
        <v>40</v>
      </c>
      <c r="M39" s="31" t="s">
        <v>1247</v>
      </c>
      <c r="N39" s="31"/>
      <c r="O39" s="31"/>
      <c r="P39" s="31"/>
      <c r="Q39" s="31"/>
      <c r="R39" s="31" t="s">
        <v>1249</v>
      </c>
      <c r="S39" s="31"/>
      <c r="T39" s="31" t="str">
        <f t="shared" si="1"/>
        <v>Cước vận chuyển vỏ container 40 từ bãi JJ, Hải Phòng đến Nam Đình Vũ, Hải Phòng</v>
      </c>
      <c r="U39" s="31"/>
    </row>
    <row r="40" spans="1:21" s="29" customFormat="1" ht="18" hidden="1" customHeight="1" x14ac:dyDescent="0.25">
      <c r="A40" s="44">
        <v>31</v>
      </c>
      <c r="B40" s="54">
        <v>46110</v>
      </c>
      <c r="C40" s="40" t="s">
        <v>1063</v>
      </c>
      <c r="D40" s="53">
        <v>20</v>
      </c>
      <c r="E40" s="53" t="s">
        <v>20</v>
      </c>
      <c r="F40" s="53" t="s">
        <v>868</v>
      </c>
      <c r="G40" s="163">
        <v>221000</v>
      </c>
      <c r="H40" s="53" t="s">
        <v>22</v>
      </c>
      <c r="I40" s="31" t="s">
        <v>1246</v>
      </c>
      <c r="J40" s="31"/>
      <c r="K40" s="31"/>
      <c r="L40" s="31">
        <f t="shared" ref="L40:L56" si="3">D40</f>
        <v>20</v>
      </c>
      <c r="M40" s="31" t="s">
        <v>1247</v>
      </c>
      <c r="N40" s="31"/>
      <c r="O40" s="31"/>
      <c r="P40" s="31"/>
      <c r="Q40" s="31"/>
      <c r="R40" s="31" t="s">
        <v>1249</v>
      </c>
      <c r="S40" s="31"/>
      <c r="T40" s="31" t="str">
        <f t="shared" si="1"/>
        <v>Cước vận chuyển vỏ container 20 từ bãi JJ, Hải Phòng đến Nam Đình Vũ, Hải Phòng</v>
      </c>
      <c r="U40" s="31"/>
    </row>
    <row r="41" spans="1:21" s="29" customFormat="1" ht="18" hidden="1" customHeight="1" x14ac:dyDescent="0.25">
      <c r="A41" s="44">
        <v>32</v>
      </c>
      <c r="B41" s="54">
        <v>46110</v>
      </c>
      <c r="C41" s="40" t="s">
        <v>1064</v>
      </c>
      <c r="D41" s="53">
        <v>20</v>
      </c>
      <c r="E41" s="53" t="s">
        <v>20</v>
      </c>
      <c r="F41" s="53" t="s">
        <v>868</v>
      </c>
      <c r="G41" s="163">
        <v>221000</v>
      </c>
      <c r="H41" s="53" t="s">
        <v>22</v>
      </c>
      <c r="I41" s="31" t="s">
        <v>1246</v>
      </c>
      <c r="J41" s="31"/>
      <c r="K41" s="31"/>
      <c r="L41" s="31">
        <f t="shared" si="3"/>
        <v>20</v>
      </c>
      <c r="M41" s="31" t="s">
        <v>1247</v>
      </c>
      <c r="N41" s="31"/>
      <c r="O41" s="31"/>
      <c r="P41" s="31"/>
      <c r="Q41" s="31"/>
      <c r="R41" s="31" t="s">
        <v>1249</v>
      </c>
      <c r="S41" s="31"/>
      <c r="T41" s="31" t="str">
        <f t="shared" si="1"/>
        <v>Cước vận chuyển vỏ container 20 từ bãi JJ, Hải Phòng đến Nam Đình Vũ, Hải Phòng</v>
      </c>
      <c r="U41" s="31"/>
    </row>
    <row r="42" spans="1:21" s="29" customFormat="1" ht="18" hidden="1" customHeight="1" x14ac:dyDescent="0.25">
      <c r="A42" s="44">
        <v>33</v>
      </c>
      <c r="B42" s="54">
        <v>46110</v>
      </c>
      <c r="C42" s="40" t="s">
        <v>1065</v>
      </c>
      <c r="D42" s="53">
        <v>40</v>
      </c>
      <c r="E42" s="53" t="s">
        <v>20</v>
      </c>
      <c r="F42" s="53" t="s">
        <v>868</v>
      </c>
      <c r="G42" s="163">
        <v>406000</v>
      </c>
      <c r="H42" s="53" t="s">
        <v>22</v>
      </c>
      <c r="I42" s="31" t="s">
        <v>1246</v>
      </c>
      <c r="J42" s="31"/>
      <c r="K42" s="31"/>
      <c r="L42" s="31">
        <f t="shared" si="3"/>
        <v>40</v>
      </c>
      <c r="M42" s="31" t="s">
        <v>1247</v>
      </c>
      <c r="N42" s="31"/>
      <c r="O42" s="31"/>
      <c r="P42" s="31"/>
      <c r="Q42" s="31"/>
      <c r="R42" s="31" t="s">
        <v>1249</v>
      </c>
      <c r="S42" s="31"/>
      <c r="T42" s="31" t="str">
        <f t="shared" si="1"/>
        <v>Cước vận chuyển vỏ container 40 từ bãi JJ, Hải Phòng đến Nam Đình Vũ, Hải Phòng</v>
      </c>
      <c r="U42" s="31"/>
    </row>
    <row r="43" spans="1:21" s="29" customFormat="1" ht="18" hidden="1" customHeight="1" x14ac:dyDescent="0.25">
      <c r="A43" s="44">
        <v>34</v>
      </c>
      <c r="B43" s="54">
        <v>46110</v>
      </c>
      <c r="C43" s="40" t="s">
        <v>208</v>
      </c>
      <c r="D43" s="53">
        <v>40</v>
      </c>
      <c r="E43" s="53" t="s">
        <v>20</v>
      </c>
      <c r="F43" s="53" t="s">
        <v>868</v>
      </c>
      <c r="G43" s="163">
        <v>406000</v>
      </c>
      <c r="H43" s="53" t="s">
        <v>22</v>
      </c>
      <c r="I43" s="31" t="s">
        <v>1246</v>
      </c>
      <c r="J43" s="31"/>
      <c r="K43" s="31"/>
      <c r="L43" s="31">
        <f t="shared" si="3"/>
        <v>40</v>
      </c>
      <c r="M43" s="31" t="s">
        <v>1247</v>
      </c>
      <c r="N43" s="31"/>
      <c r="O43" s="31"/>
      <c r="P43" s="31"/>
      <c r="Q43" s="31"/>
      <c r="R43" s="31" t="s">
        <v>1249</v>
      </c>
      <c r="S43" s="31"/>
      <c r="T43" s="31" t="str">
        <f t="shared" si="1"/>
        <v>Cước vận chuyển vỏ container 40 từ bãi JJ, Hải Phòng đến Nam Đình Vũ, Hải Phòng</v>
      </c>
      <c r="U43" s="31"/>
    </row>
    <row r="44" spans="1:21" s="29" customFormat="1" ht="18" hidden="1" customHeight="1" x14ac:dyDescent="0.25">
      <c r="A44" s="44">
        <v>35</v>
      </c>
      <c r="B44" s="54">
        <v>46110</v>
      </c>
      <c r="C44" s="40" t="s">
        <v>1066</v>
      </c>
      <c r="D44" s="53">
        <v>40</v>
      </c>
      <c r="E44" s="53" t="s">
        <v>20</v>
      </c>
      <c r="F44" s="53" t="s">
        <v>868</v>
      </c>
      <c r="G44" s="163">
        <v>406000</v>
      </c>
      <c r="H44" s="53" t="s">
        <v>22</v>
      </c>
      <c r="I44" s="31" t="s">
        <v>1246</v>
      </c>
      <c r="J44" s="31"/>
      <c r="K44" s="31"/>
      <c r="L44" s="31">
        <f t="shared" si="3"/>
        <v>40</v>
      </c>
      <c r="M44" s="31" t="s">
        <v>1247</v>
      </c>
      <c r="N44" s="31"/>
      <c r="O44" s="31"/>
      <c r="P44" s="31"/>
      <c r="Q44" s="31"/>
      <c r="R44" s="31" t="s">
        <v>1249</v>
      </c>
      <c r="S44" s="31"/>
      <c r="T44" s="31" t="str">
        <f t="shared" si="1"/>
        <v>Cước vận chuyển vỏ container 40 từ bãi JJ, Hải Phòng đến Nam Đình Vũ, Hải Phòng</v>
      </c>
      <c r="U44" s="31"/>
    </row>
    <row r="45" spans="1:21" s="29" customFormat="1" ht="18" hidden="1" customHeight="1" x14ac:dyDescent="0.25">
      <c r="A45" s="44">
        <v>36</v>
      </c>
      <c r="B45" s="54">
        <v>46110</v>
      </c>
      <c r="C45" s="40" t="s">
        <v>1067</v>
      </c>
      <c r="D45" s="53">
        <v>40</v>
      </c>
      <c r="E45" s="53" t="s">
        <v>20</v>
      </c>
      <c r="F45" s="53" t="s">
        <v>868</v>
      </c>
      <c r="G45" s="163">
        <v>406000</v>
      </c>
      <c r="H45" s="53" t="s">
        <v>22</v>
      </c>
      <c r="I45" s="31" t="s">
        <v>1246</v>
      </c>
      <c r="J45" s="31"/>
      <c r="K45" s="31"/>
      <c r="L45" s="31">
        <f t="shared" si="3"/>
        <v>40</v>
      </c>
      <c r="M45" s="31" t="s">
        <v>1247</v>
      </c>
      <c r="N45" s="31"/>
      <c r="O45" s="31"/>
      <c r="P45" s="31"/>
      <c r="Q45" s="31"/>
      <c r="R45" s="31" t="s">
        <v>1249</v>
      </c>
      <c r="S45" s="31"/>
      <c r="T45" s="31" t="str">
        <f t="shared" si="1"/>
        <v>Cước vận chuyển vỏ container 40 từ bãi JJ, Hải Phòng đến Nam Đình Vũ, Hải Phòng</v>
      </c>
      <c r="U45" s="31"/>
    </row>
    <row r="46" spans="1:21" s="29" customFormat="1" ht="18" hidden="1" customHeight="1" x14ac:dyDescent="0.25">
      <c r="A46" s="44">
        <v>37</v>
      </c>
      <c r="B46" s="54">
        <v>46110</v>
      </c>
      <c r="C46" s="40" t="s">
        <v>1068</v>
      </c>
      <c r="D46" s="53">
        <v>40</v>
      </c>
      <c r="E46" s="53" t="s">
        <v>20</v>
      </c>
      <c r="F46" s="53" t="s">
        <v>868</v>
      </c>
      <c r="G46" s="163">
        <v>406000</v>
      </c>
      <c r="H46" s="53" t="s">
        <v>22</v>
      </c>
      <c r="I46" s="31" t="s">
        <v>1246</v>
      </c>
      <c r="J46" s="31"/>
      <c r="K46" s="31"/>
      <c r="L46" s="31">
        <f t="shared" si="3"/>
        <v>40</v>
      </c>
      <c r="M46" s="31" t="s">
        <v>1247</v>
      </c>
      <c r="N46" s="31"/>
      <c r="O46" s="31"/>
      <c r="P46" s="31"/>
      <c r="Q46" s="31"/>
      <c r="R46" s="31" t="s">
        <v>1249</v>
      </c>
      <c r="S46" s="31"/>
      <c r="T46" s="31" t="str">
        <f t="shared" si="1"/>
        <v>Cước vận chuyển vỏ container 40 từ bãi JJ, Hải Phòng đến Nam Đình Vũ, Hải Phòng</v>
      </c>
      <c r="U46" s="31"/>
    </row>
    <row r="47" spans="1:21" s="29" customFormat="1" ht="18" hidden="1" customHeight="1" x14ac:dyDescent="0.25">
      <c r="A47" s="44">
        <v>38</v>
      </c>
      <c r="B47" s="54">
        <v>46110</v>
      </c>
      <c r="C47" s="40" t="s">
        <v>1069</v>
      </c>
      <c r="D47" s="53">
        <v>40</v>
      </c>
      <c r="E47" s="53" t="s">
        <v>20</v>
      </c>
      <c r="F47" s="53" t="s">
        <v>868</v>
      </c>
      <c r="G47" s="163">
        <v>406000</v>
      </c>
      <c r="H47" s="53" t="s">
        <v>22</v>
      </c>
      <c r="I47" s="31" t="s">
        <v>1246</v>
      </c>
      <c r="J47" s="31"/>
      <c r="K47" s="31"/>
      <c r="L47" s="31">
        <f t="shared" si="3"/>
        <v>40</v>
      </c>
      <c r="M47" s="31" t="s">
        <v>1247</v>
      </c>
      <c r="N47" s="31"/>
      <c r="O47" s="31"/>
      <c r="P47" s="31"/>
      <c r="Q47" s="31"/>
      <c r="R47" s="31" t="s">
        <v>1249</v>
      </c>
      <c r="S47" s="31"/>
      <c r="T47" s="31" t="str">
        <f t="shared" si="1"/>
        <v>Cước vận chuyển vỏ container 40 từ bãi JJ, Hải Phòng đến Nam Đình Vũ, Hải Phòng</v>
      </c>
      <c r="U47" s="31"/>
    </row>
    <row r="48" spans="1:21" s="29" customFormat="1" ht="18" hidden="1" customHeight="1" x14ac:dyDescent="0.25">
      <c r="A48" s="44">
        <v>39</v>
      </c>
      <c r="B48" s="54">
        <v>46110</v>
      </c>
      <c r="C48" s="40" t="s">
        <v>1070</v>
      </c>
      <c r="D48" s="53">
        <v>40</v>
      </c>
      <c r="E48" s="53" t="s">
        <v>20</v>
      </c>
      <c r="F48" s="53" t="s">
        <v>868</v>
      </c>
      <c r="G48" s="163">
        <v>406000</v>
      </c>
      <c r="H48" s="53" t="s">
        <v>22</v>
      </c>
      <c r="I48" s="31" t="s">
        <v>1246</v>
      </c>
      <c r="J48" s="31"/>
      <c r="K48" s="31"/>
      <c r="L48" s="31">
        <f t="shared" si="3"/>
        <v>40</v>
      </c>
      <c r="M48" s="31" t="s">
        <v>1247</v>
      </c>
      <c r="N48" s="31"/>
      <c r="O48" s="31"/>
      <c r="P48" s="31"/>
      <c r="Q48" s="31"/>
      <c r="R48" s="31" t="s">
        <v>1249</v>
      </c>
      <c r="S48" s="31"/>
      <c r="T48" s="31" t="str">
        <f t="shared" si="1"/>
        <v>Cước vận chuyển vỏ container 40 từ bãi JJ, Hải Phòng đến Nam Đình Vũ, Hải Phòng</v>
      </c>
      <c r="U48" s="31"/>
    </row>
    <row r="49" spans="1:21" s="29" customFormat="1" ht="18" hidden="1" customHeight="1" x14ac:dyDescent="0.25">
      <c r="A49" s="44">
        <v>40</v>
      </c>
      <c r="B49" s="54">
        <v>46110</v>
      </c>
      <c r="C49" s="40" t="s">
        <v>1071</v>
      </c>
      <c r="D49" s="53">
        <v>40</v>
      </c>
      <c r="E49" s="53" t="s">
        <v>20</v>
      </c>
      <c r="F49" s="53" t="s">
        <v>868</v>
      </c>
      <c r="G49" s="163">
        <v>406000</v>
      </c>
      <c r="H49" s="53" t="s">
        <v>22</v>
      </c>
      <c r="I49" s="31" t="s">
        <v>1246</v>
      </c>
      <c r="J49" s="31"/>
      <c r="K49" s="31"/>
      <c r="L49" s="31">
        <f t="shared" si="3"/>
        <v>40</v>
      </c>
      <c r="M49" s="31" t="s">
        <v>1247</v>
      </c>
      <c r="N49" s="31"/>
      <c r="O49" s="31"/>
      <c r="P49" s="31"/>
      <c r="Q49" s="31"/>
      <c r="R49" s="31" t="s">
        <v>1249</v>
      </c>
      <c r="S49" s="31"/>
      <c r="T49" s="31" t="str">
        <f t="shared" si="1"/>
        <v>Cước vận chuyển vỏ container 40 từ bãi JJ, Hải Phòng đến Nam Đình Vũ, Hải Phòng</v>
      </c>
      <c r="U49" s="31"/>
    </row>
    <row r="50" spans="1:21" s="29" customFormat="1" ht="18" hidden="1" customHeight="1" x14ac:dyDescent="0.25">
      <c r="A50" s="44">
        <v>41</v>
      </c>
      <c r="B50" s="54">
        <v>46110</v>
      </c>
      <c r="C50" s="40" t="s">
        <v>1072</v>
      </c>
      <c r="D50" s="53">
        <v>40</v>
      </c>
      <c r="E50" s="53" t="s">
        <v>20</v>
      </c>
      <c r="F50" s="53" t="s">
        <v>868</v>
      </c>
      <c r="G50" s="163">
        <v>406000</v>
      </c>
      <c r="H50" s="41" t="s">
        <v>29</v>
      </c>
      <c r="I50" s="31" t="s">
        <v>1246</v>
      </c>
      <c r="J50" s="31"/>
      <c r="K50" s="31"/>
      <c r="L50" s="31">
        <f t="shared" si="3"/>
        <v>40</v>
      </c>
      <c r="M50" s="31" t="s">
        <v>1247</v>
      </c>
      <c r="N50" s="31"/>
      <c r="O50" s="31"/>
      <c r="P50" s="31"/>
      <c r="Q50" s="31"/>
      <c r="R50" s="31" t="s">
        <v>1249</v>
      </c>
      <c r="S50" s="31"/>
      <c r="T50" s="31" t="str">
        <f t="shared" si="1"/>
        <v>Cước vận chuyển vỏ container 40 từ bãi JJ, Hải Phòng đến Nam Đình Vũ, Hải Phòng</v>
      </c>
      <c r="U50" s="31"/>
    </row>
    <row r="51" spans="1:21" s="29" customFormat="1" ht="18" hidden="1" customHeight="1" x14ac:dyDescent="0.25">
      <c r="A51" s="44">
        <v>42</v>
      </c>
      <c r="B51" s="54">
        <v>46110</v>
      </c>
      <c r="C51" s="40" t="s">
        <v>1073</v>
      </c>
      <c r="D51" s="53">
        <v>40</v>
      </c>
      <c r="E51" s="53" t="s">
        <v>20</v>
      </c>
      <c r="F51" s="53" t="s">
        <v>868</v>
      </c>
      <c r="G51" s="163">
        <v>406000</v>
      </c>
      <c r="H51" s="41" t="s">
        <v>29</v>
      </c>
      <c r="I51" s="31" t="s">
        <v>1246</v>
      </c>
      <c r="J51" s="31"/>
      <c r="K51" s="31"/>
      <c r="L51" s="31">
        <f t="shared" si="3"/>
        <v>40</v>
      </c>
      <c r="M51" s="31" t="s">
        <v>1247</v>
      </c>
      <c r="N51" s="31"/>
      <c r="O51" s="31"/>
      <c r="P51" s="31"/>
      <c r="Q51" s="31"/>
      <c r="R51" s="31" t="s">
        <v>1249</v>
      </c>
      <c r="S51" s="31"/>
      <c r="T51" s="31" t="str">
        <f t="shared" si="1"/>
        <v>Cước vận chuyển vỏ container 40 từ bãi JJ, Hải Phòng đến Nam Đình Vũ, Hải Phòng</v>
      </c>
      <c r="U51" s="31"/>
    </row>
    <row r="52" spans="1:21" s="29" customFormat="1" ht="18" hidden="1" customHeight="1" x14ac:dyDescent="0.25">
      <c r="A52" s="44">
        <v>43</v>
      </c>
      <c r="B52" s="54">
        <v>46110</v>
      </c>
      <c r="C52" s="40" t="s">
        <v>1074</v>
      </c>
      <c r="D52" s="53">
        <v>40</v>
      </c>
      <c r="E52" s="53" t="s">
        <v>20</v>
      </c>
      <c r="F52" s="53" t="s">
        <v>868</v>
      </c>
      <c r="G52" s="163">
        <v>406000</v>
      </c>
      <c r="H52" s="41" t="s">
        <v>29</v>
      </c>
      <c r="I52" s="31" t="s">
        <v>1246</v>
      </c>
      <c r="J52" s="31"/>
      <c r="K52" s="31"/>
      <c r="L52" s="31">
        <f t="shared" si="3"/>
        <v>40</v>
      </c>
      <c r="M52" s="31" t="s">
        <v>1247</v>
      </c>
      <c r="N52" s="31"/>
      <c r="O52" s="31"/>
      <c r="P52" s="31"/>
      <c r="Q52" s="31"/>
      <c r="R52" s="31" t="s">
        <v>1249</v>
      </c>
      <c r="S52" s="31"/>
      <c r="T52" s="31" t="str">
        <f t="shared" si="1"/>
        <v>Cước vận chuyển vỏ container 40 từ bãi JJ, Hải Phòng đến Nam Đình Vũ, Hải Phòng</v>
      </c>
      <c r="U52" s="31"/>
    </row>
    <row r="53" spans="1:21" s="29" customFormat="1" ht="18" hidden="1" customHeight="1" x14ac:dyDescent="0.25">
      <c r="A53" s="44">
        <v>44</v>
      </c>
      <c r="B53" s="54">
        <v>46110</v>
      </c>
      <c r="C53" s="40" t="s">
        <v>1075</v>
      </c>
      <c r="D53" s="53">
        <v>40</v>
      </c>
      <c r="E53" s="53" t="s">
        <v>20</v>
      </c>
      <c r="F53" s="53" t="s">
        <v>868</v>
      </c>
      <c r="G53" s="163">
        <v>406000</v>
      </c>
      <c r="H53" s="41" t="s">
        <v>29</v>
      </c>
      <c r="I53" s="31" t="s">
        <v>1246</v>
      </c>
      <c r="J53" s="31"/>
      <c r="K53" s="31"/>
      <c r="L53" s="31">
        <f t="shared" si="3"/>
        <v>40</v>
      </c>
      <c r="M53" s="31" t="s">
        <v>1247</v>
      </c>
      <c r="N53" s="31"/>
      <c r="O53" s="31"/>
      <c r="P53" s="31"/>
      <c r="Q53" s="31"/>
      <c r="R53" s="31" t="s">
        <v>1249</v>
      </c>
      <c r="S53" s="31"/>
      <c r="T53" s="31" t="str">
        <f t="shared" si="1"/>
        <v>Cước vận chuyển vỏ container 40 từ bãi JJ, Hải Phòng đến Nam Đình Vũ, Hải Phòng</v>
      </c>
      <c r="U53" s="31"/>
    </row>
    <row r="54" spans="1:21" s="29" customFormat="1" ht="18" hidden="1" customHeight="1" x14ac:dyDescent="0.25">
      <c r="A54" s="44">
        <v>45</v>
      </c>
      <c r="B54" s="54">
        <v>46110</v>
      </c>
      <c r="C54" s="40" t="s">
        <v>1076</v>
      </c>
      <c r="D54" s="53">
        <v>40</v>
      </c>
      <c r="E54" s="53" t="s">
        <v>20</v>
      </c>
      <c r="F54" s="53" t="s">
        <v>868</v>
      </c>
      <c r="G54" s="163">
        <v>406000</v>
      </c>
      <c r="H54" s="41" t="s">
        <v>29</v>
      </c>
      <c r="I54" s="31" t="s">
        <v>1246</v>
      </c>
      <c r="J54" s="31"/>
      <c r="K54" s="31"/>
      <c r="L54" s="31">
        <f t="shared" si="3"/>
        <v>40</v>
      </c>
      <c r="M54" s="31" t="s">
        <v>1247</v>
      </c>
      <c r="N54" s="31"/>
      <c r="O54" s="31"/>
      <c r="P54" s="31"/>
      <c r="Q54" s="31"/>
      <c r="R54" s="31" t="s">
        <v>1249</v>
      </c>
      <c r="S54" s="31"/>
      <c r="T54" s="31" t="str">
        <f t="shared" si="1"/>
        <v>Cước vận chuyển vỏ container 40 từ bãi JJ, Hải Phòng đến Nam Đình Vũ, Hải Phòng</v>
      </c>
      <c r="U54" s="31"/>
    </row>
    <row r="55" spans="1:21" s="29" customFormat="1" ht="18" hidden="1" customHeight="1" x14ac:dyDescent="0.25">
      <c r="A55" s="44">
        <v>46</v>
      </c>
      <c r="B55" s="54">
        <v>46110</v>
      </c>
      <c r="C55" s="40" t="s">
        <v>1077</v>
      </c>
      <c r="D55" s="53">
        <v>40</v>
      </c>
      <c r="E55" s="53" t="s">
        <v>20</v>
      </c>
      <c r="F55" s="53" t="s">
        <v>868</v>
      </c>
      <c r="G55" s="163">
        <v>406000</v>
      </c>
      <c r="H55" s="41" t="s">
        <v>29</v>
      </c>
      <c r="I55" s="31" t="s">
        <v>1246</v>
      </c>
      <c r="J55" s="31"/>
      <c r="K55" s="31"/>
      <c r="L55" s="31">
        <f t="shared" si="3"/>
        <v>40</v>
      </c>
      <c r="M55" s="31" t="s">
        <v>1247</v>
      </c>
      <c r="N55" s="31"/>
      <c r="O55" s="31"/>
      <c r="P55" s="31"/>
      <c r="Q55" s="31"/>
      <c r="R55" s="31" t="s">
        <v>1249</v>
      </c>
      <c r="S55" s="31"/>
      <c r="T55" s="31" t="str">
        <f t="shared" si="1"/>
        <v>Cước vận chuyển vỏ container 40 từ bãi JJ, Hải Phòng đến Nam Đình Vũ, Hải Phòng</v>
      </c>
      <c r="U55" s="31"/>
    </row>
    <row r="56" spans="1:21" s="29" customFormat="1" ht="18" hidden="1" customHeight="1" x14ac:dyDescent="0.25">
      <c r="A56" s="44">
        <v>47</v>
      </c>
      <c r="B56" s="54">
        <v>46113</v>
      </c>
      <c r="C56" s="53" t="s">
        <v>867</v>
      </c>
      <c r="D56" s="53">
        <v>40</v>
      </c>
      <c r="E56" s="53" t="s">
        <v>20</v>
      </c>
      <c r="F56" s="53" t="s">
        <v>868</v>
      </c>
      <c r="G56" s="165">
        <v>406000</v>
      </c>
      <c r="H56" s="53" t="s">
        <v>842</v>
      </c>
      <c r="I56" s="31" t="s">
        <v>1246</v>
      </c>
      <c r="J56" s="31"/>
      <c r="K56" s="31"/>
      <c r="L56" s="31">
        <f t="shared" si="3"/>
        <v>40</v>
      </c>
      <c r="M56" s="31" t="s">
        <v>1247</v>
      </c>
      <c r="N56" s="31"/>
      <c r="O56" s="31"/>
      <c r="P56" s="31"/>
      <c r="Q56" s="31"/>
      <c r="R56" s="31" t="s">
        <v>1249</v>
      </c>
      <c r="S56" s="31"/>
      <c r="T56" s="31" t="str">
        <f t="shared" si="1"/>
        <v>Cước vận chuyển vỏ container 40 từ bãi JJ, Hải Phòng đến Nam Đình Vũ, Hải Phòng</v>
      </c>
      <c r="U56" s="31"/>
    </row>
    <row r="57" spans="1:21" s="29" customFormat="1" ht="18" hidden="1" customHeight="1" x14ac:dyDescent="0.25">
      <c r="A57" s="44">
        <v>48</v>
      </c>
      <c r="B57" s="54">
        <v>46113</v>
      </c>
      <c r="C57" s="53" t="s">
        <v>869</v>
      </c>
      <c r="D57" s="55">
        <v>20</v>
      </c>
      <c r="E57" s="53" t="s">
        <v>20</v>
      </c>
      <c r="F57" s="53" t="s">
        <v>868</v>
      </c>
      <c r="G57" s="165">
        <v>221000</v>
      </c>
      <c r="H57" s="53" t="s">
        <v>842</v>
      </c>
      <c r="I57" s="31" t="s">
        <v>1246</v>
      </c>
      <c r="J57" s="31"/>
      <c r="K57" s="31"/>
      <c r="L57" s="31">
        <f t="shared" ref="L57:L62" si="4">D57</f>
        <v>20</v>
      </c>
      <c r="M57" s="31" t="s">
        <v>1247</v>
      </c>
      <c r="N57" s="31"/>
      <c r="O57" s="31"/>
      <c r="P57" s="31"/>
      <c r="Q57" s="31"/>
      <c r="R57" s="31" t="s">
        <v>1249</v>
      </c>
      <c r="S57" s="31"/>
      <c r="T57" s="31" t="str">
        <f t="shared" si="1"/>
        <v>Cước vận chuyển vỏ container 20 từ bãi JJ, Hải Phòng đến Nam Đình Vũ, Hải Phòng</v>
      </c>
      <c r="U57" s="31"/>
    </row>
    <row r="58" spans="1:21" s="29" customFormat="1" ht="18" hidden="1" customHeight="1" x14ac:dyDescent="0.25">
      <c r="A58" s="44">
        <v>49</v>
      </c>
      <c r="B58" s="54">
        <v>46113</v>
      </c>
      <c r="C58" s="53" t="s">
        <v>870</v>
      </c>
      <c r="D58" s="55">
        <v>20</v>
      </c>
      <c r="E58" s="53" t="s">
        <v>20</v>
      </c>
      <c r="F58" s="53" t="s">
        <v>868</v>
      </c>
      <c r="G58" s="165">
        <v>221000</v>
      </c>
      <c r="H58" s="53" t="s">
        <v>842</v>
      </c>
      <c r="I58" s="31" t="s">
        <v>1246</v>
      </c>
      <c r="J58" s="31"/>
      <c r="K58" s="31"/>
      <c r="L58" s="31">
        <f t="shared" si="4"/>
        <v>20</v>
      </c>
      <c r="M58" s="31" t="s">
        <v>1247</v>
      </c>
      <c r="N58" s="31"/>
      <c r="O58" s="31"/>
      <c r="P58" s="31"/>
      <c r="Q58" s="31"/>
      <c r="R58" s="31" t="s">
        <v>1249</v>
      </c>
      <c r="S58" s="31"/>
      <c r="T58" s="31" t="str">
        <f t="shared" si="1"/>
        <v>Cước vận chuyển vỏ container 20 từ bãi JJ, Hải Phòng đến Nam Đình Vũ, Hải Phòng</v>
      </c>
      <c r="U58" s="31"/>
    </row>
    <row r="59" spans="1:21" s="29" customFormat="1" ht="18" hidden="1" customHeight="1" x14ac:dyDescent="0.25">
      <c r="A59" s="44">
        <v>50</v>
      </c>
      <c r="B59" s="54">
        <v>46113</v>
      </c>
      <c r="C59" s="53" t="s">
        <v>871</v>
      </c>
      <c r="D59" s="53">
        <v>20</v>
      </c>
      <c r="E59" s="53" t="s">
        <v>20</v>
      </c>
      <c r="F59" s="53" t="s">
        <v>868</v>
      </c>
      <c r="G59" s="165">
        <v>221000</v>
      </c>
      <c r="H59" s="53" t="s">
        <v>842</v>
      </c>
      <c r="I59" s="31" t="s">
        <v>1246</v>
      </c>
      <c r="J59" s="31"/>
      <c r="K59" s="31"/>
      <c r="L59" s="31">
        <f t="shared" si="4"/>
        <v>20</v>
      </c>
      <c r="M59" s="31" t="s">
        <v>1247</v>
      </c>
      <c r="N59" s="31"/>
      <c r="O59" s="31"/>
      <c r="P59" s="31"/>
      <c r="Q59" s="31"/>
      <c r="R59" s="31" t="s">
        <v>1249</v>
      </c>
      <c r="S59" s="31"/>
      <c r="T59" s="31" t="str">
        <f t="shared" si="1"/>
        <v>Cước vận chuyển vỏ container 20 từ bãi JJ, Hải Phòng đến Nam Đình Vũ, Hải Phòng</v>
      </c>
      <c r="U59" s="31"/>
    </row>
    <row r="60" spans="1:21" s="29" customFormat="1" ht="18" hidden="1" customHeight="1" x14ac:dyDescent="0.25">
      <c r="A60" s="44">
        <v>51</v>
      </c>
      <c r="B60" s="54">
        <v>46113</v>
      </c>
      <c r="C60" s="53" t="s">
        <v>872</v>
      </c>
      <c r="D60" s="53">
        <v>20</v>
      </c>
      <c r="E60" s="53" t="s">
        <v>20</v>
      </c>
      <c r="F60" s="53" t="s">
        <v>868</v>
      </c>
      <c r="G60" s="165">
        <v>221000</v>
      </c>
      <c r="H60" s="53" t="s">
        <v>842</v>
      </c>
      <c r="I60" s="31" t="s">
        <v>1246</v>
      </c>
      <c r="J60" s="31"/>
      <c r="K60" s="31"/>
      <c r="L60" s="31">
        <f t="shared" si="4"/>
        <v>20</v>
      </c>
      <c r="M60" s="31" t="s">
        <v>1247</v>
      </c>
      <c r="N60" s="31"/>
      <c r="O60" s="31"/>
      <c r="P60" s="31"/>
      <c r="Q60" s="31"/>
      <c r="R60" s="31" t="s">
        <v>1249</v>
      </c>
      <c r="S60" s="31"/>
      <c r="T60" s="31" t="str">
        <f t="shared" si="1"/>
        <v>Cước vận chuyển vỏ container 20 từ bãi JJ, Hải Phòng đến Nam Đình Vũ, Hải Phòng</v>
      </c>
      <c r="U60" s="31"/>
    </row>
    <row r="61" spans="1:21" s="29" customFormat="1" ht="18" hidden="1" customHeight="1" x14ac:dyDescent="0.25">
      <c r="A61" s="44">
        <v>52</v>
      </c>
      <c r="B61" s="54">
        <v>46113</v>
      </c>
      <c r="C61" s="53" t="s">
        <v>873</v>
      </c>
      <c r="D61" s="53">
        <v>40</v>
      </c>
      <c r="E61" s="53" t="s">
        <v>20</v>
      </c>
      <c r="F61" s="53" t="s">
        <v>868</v>
      </c>
      <c r="G61" s="165">
        <v>406000</v>
      </c>
      <c r="H61" s="53" t="s">
        <v>842</v>
      </c>
      <c r="I61" s="31" t="s">
        <v>1246</v>
      </c>
      <c r="J61" s="31"/>
      <c r="K61" s="31"/>
      <c r="L61" s="31">
        <f t="shared" si="4"/>
        <v>40</v>
      </c>
      <c r="M61" s="31" t="s">
        <v>1247</v>
      </c>
      <c r="N61" s="31"/>
      <c r="O61" s="31"/>
      <c r="P61" s="31"/>
      <c r="Q61" s="31"/>
      <c r="R61" s="31" t="s">
        <v>1249</v>
      </c>
      <c r="S61" s="31"/>
      <c r="T61" s="31" t="str">
        <f t="shared" si="1"/>
        <v>Cước vận chuyển vỏ container 40 từ bãi JJ, Hải Phòng đến Nam Đình Vũ, Hải Phòng</v>
      </c>
      <c r="U61" s="31"/>
    </row>
    <row r="62" spans="1:21" s="29" customFormat="1" ht="18" hidden="1" customHeight="1" x14ac:dyDescent="0.25">
      <c r="A62" s="44">
        <v>53</v>
      </c>
      <c r="B62" s="54">
        <v>46113</v>
      </c>
      <c r="C62" s="53" t="s">
        <v>874</v>
      </c>
      <c r="D62" s="53">
        <v>40</v>
      </c>
      <c r="E62" s="53" t="s">
        <v>20</v>
      </c>
      <c r="F62" s="53" t="s">
        <v>868</v>
      </c>
      <c r="G62" s="165">
        <v>406000</v>
      </c>
      <c r="H62" s="53" t="s">
        <v>842</v>
      </c>
      <c r="I62" s="31" t="s">
        <v>1246</v>
      </c>
      <c r="J62" s="31"/>
      <c r="K62" s="31"/>
      <c r="L62" s="31">
        <f t="shared" si="4"/>
        <v>40</v>
      </c>
      <c r="M62" s="31" t="s">
        <v>1247</v>
      </c>
      <c r="N62" s="31"/>
      <c r="O62" s="31"/>
      <c r="P62" s="31"/>
      <c r="Q62" s="31"/>
      <c r="R62" s="31" t="s">
        <v>1249</v>
      </c>
      <c r="S62" s="31"/>
      <c r="T62" s="31" t="str">
        <f t="shared" si="1"/>
        <v>Cước vận chuyển vỏ container 40 từ bãi JJ, Hải Phòng đến Nam Đình Vũ, Hải Phòng</v>
      </c>
      <c r="U62" s="31"/>
    </row>
    <row r="63" spans="1:21" s="29" customFormat="1" ht="18" hidden="1" customHeight="1" x14ac:dyDescent="0.25">
      <c r="A63" s="44">
        <v>54</v>
      </c>
      <c r="B63" s="54">
        <v>46113</v>
      </c>
      <c r="C63" s="53" t="s">
        <v>875</v>
      </c>
      <c r="D63" s="53">
        <v>20</v>
      </c>
      <c r="E63" s="53" t="s">
        <v>20</v>
      </c>
      <c r="F63" s="53" t="s">
        <v>868</v>
      </c>
      <c r="G63" s="165">
        <v>221000</v>
      </c>
      <c r="H63" s="53" t="s">
        <v>842</v>
      </c>
      <c r="I63" s="31" t="s">
        <v>1246</v>
      </c>
      <c r="J63" s="31"/>
      <c r="K63" s="31"/>
      <c r="L63" s="31">
        <f t="shared" ref="L63:L66" si="5">D63</f>
        <v>20</v>
      </c>
      <c r="M63" s="31" t="s">
        <v>1247</v>
      </c>
      <c r="N63" s="31"/>
      <c r="O63" s="31"/>
      <c r="P63" s="31"/>
      <c r="Q63" s="31"/>
      <c r="R63" s="31" t="s">
        <v>1249</v>
      </c>
      <c r="S63" s="31"/>
      <c r="T63" s="31" t="str">
        <f t="shared" si="1"/>
        <v>Cước vận chuyển vỏ container 20 từ bãi JJ, Hải Phòng đến Nam Đình Vũ, Hải Phòng</v>
      </c>
      <c r="U63" s="31"/>
    </row>
    <row r="64" spans="1:21" s="29" customFormat="1" ht="18" hidden="1" customHeight="1" x14ac:dyDescent="0.25">
      <c r="A64" s="44">
        <v>55</v>
      </c>
      <c r="B64" s="54">
        <v>46113</v>
      </c>
      <c r="C64" s="53" t="s">
        <v>876</v>
      </c>
      <c r="D64" s="53">
        <v>20</v>
      </c>
      <c r="E64" s="53" t="s">
        <v>20</v>
      </c>
      <c r="F64" s="53" t="s">
        <v>868</v>
      </c>
      <c r="G64" s="165">
        <v>221000</v>
      </c>
      <c r="H64" s="53" t="s">
        <v>842</v>
      </c>
      <c r="I64" s="31" t="s">
        <v>1246</v>
      </c>
      <c r="J64" s="31"/>
      <c r="K64" s="31"/>
      <c r="L64" s="31">
        <f t="shared" si="5"/>
        <v>20</v>
      </c>
      <c r="M64" s="31" t="s">
        <v>1247</v>
      </c>
      <c r="N64" s="31"/>
      <c r="O64" s="31"/>
      <c r="P64" s="31"/>
      <c r="Q64" s="31"/>
      <c r="R64" s="31" t="s">
        <v>1249</v>
      </c>
      <c r="S64" s="31"/>
      <c r="T64" s="31" t="str">
        <f t="shared" si="1"/>
        <v>Cước vận chuyển vỏ container 20 từ bãi JJ, Hải Phòng đến Nam Đình Vũ, Hải Phòng</v>
      </c>
      <c r="U64" s="31"/>
    </row>
    <row r="65" spans="1:21" s="29" customFormat="1" ht="18" customHeight="1" x14ac:dyDescent="0.25">
      <c r="A65" s="44">
        <v>56</v>
      </c>
      <c r="B65" s="54">
        <v>46113</v>
      </c>
      <c r="C65" s="53" t="s">
        <v>877</v>
      </c>
      <c r="D65" s="53">
        <v>20</v>
      </c>
      <c r="E65" s="53" t="s">
        <v>20</v>
      </c>
      <c r="F65" s="53" t="s">
        <v>868</v>
      </c>
      <c r="G65" s="165">
        <v>221000</v>
      </c>
      <c r="H65" s="53" t="s">
        <v>23</v>
      </c>
      <c r="I65" s="31" t="s">
        <v>1246</v>
      </c>
      <c r="J65" s="31"/>
      <c r="K65" s="31"/>
      <c r="L65" s="31">
        <f t="shared" si="5"/>
        <v>20</v>
      </c>
      <c r="M65" s="31" t="s">
        <v>1247</v>
      </c>
      <c r="N65" s="31"/>
      <c r="O65" s="31"/>
      <c r="P65" s="31"/>
      <c r="Q65" s="31"/>
      <c r="R65" s="31" t="s">
        <v>1249</v>
      </c>
      <c r="S65" s="31"/>
      <c r="T65" s="31" t="str">
        <f t="shared" si="1"/>
        <v>Cước vận chuyển vỏ container 20 từ bãi JJ, Hải Phòng đến Nam Đình Vũ, Hải Phòng</v>
      </c>
      <c r="U65" s="31"/>
    </row>
    <row r="66" spans="1:21" s="29" customFormat="1" ht="18" customHeight="1" x14ac:dyDescent="0.25">
      <c r="A66" s="44">
        <v>57</v>
      </c>
      <c r="B66" s="54">
        <v>46113</v>
      </c>
      <c r="C66" s="53" t="s">
        <v>878</v>
      </c>
      <c r="D66" s="53">
        <v>20</v>
      </c>
      <c r="E66" s="53" t="s">
        <v>20</v>
      </c>
      <c r="F66" s="53" t="s">
        <v>868</v>
      </c>
      <c r="G66" s="165">
        <v>221000</v>
      </c>
      <c r="H66" s="53" t="s">
        <v>23</v>
      </c>
      <c r="I66" s="31" t="s">
        <v>1246</v>
      </c>
      <c r="J66" s="31"/>
      <c r="K66" s="31"/>
      <c r="L66" s="31">
        <f t="shared" si="5"/>
        <v>20</v>
      </c>
      <c r="M66" s="31" t="s">
        <v>1247</v>
      </c>
      <c r="N66" s="31"/>
      <c r="O66" s="31"/>
      <c r="P66" s="31"/>
      <c r="Q66" s="31"/>
      <c r="R66" s="31" t="s">
        <v>1249</v>
      </c>
      <c r="S66" s="31"/>
      <c r="T66" s="31" t="str">
        <f t="shared" si="1"/>
        <v>Cước vận chuyển vỏ container 20 từ bãi JJ, Hải Phòng đến Nam Đình Vũ, Hải Phòng</v>
      </c>
      <c r="U66" s="31"/>
    </row>
    <row r="67" spans="1:21" s="29" customFormat="1" ht="18" customHeight="1" x14ac:dyDescent="0.25">
      <c r="A67" s="44">
        <v>58</v>
      </c>
      <c r="B67" s="54">
        <v>46113</v>
      </c>
      <c r="C67" s="53" t="s">
        <v>879</v>
      </c>
      <c r="D67" s="53">
        <v>40</v>
      </c>
      <c r="E67" s="53" t="s">
        <v>20</v>
      </c>
      <c r="F67" s="53" t="s">
        <v>868</v>
      </c>
      <c r="G67" s="165">
        <v>406000</v>
      </c>
      <c r="H67" s="53" t="s">
        <v>23</v>
      </c>
      <c r="I67" s="31" t="s">
        <v>1246</v>
      </c>
      <c r="J67" s="31"/>
      <c r="K67" s="31"/>
      <c r="L67" s="31">
        <f>D67</f>
        <v>40</v>
      </c>
      <c r="M67" s="31" t="s">
        <v>1247</v>
      </c>
      <c r="N67" s="31"/>
      <c r="O67" s="31"/>
      <c r="P67" s="31"/>
      <c r="Q67" s="31"/>
      <c r="R67" s="31" t="s">
        <v>1249</v>
      </c>
      <c r="S67" s="31"/>
      <c r="T67" s="31" t="str">
        <f t="shared" si="1"/>
        <v>Cước vận chuyển vỏ container 40 từ bãi JJ, Hải Phòng đến Nam Đình Vũ, Hải Phòng</v>
      </c>
      <c r="U67" s="31"/>
    </row>
    <row r="68" spans="1:21" s="29" customFormat="1" ht="18" hidden="1" customHeight="1" x14ac:dyDescent="0.25">
      <c r="A68" s="44">
        <v>59</v>
      </c>
      <c r="B68" s="48">
        <v>46113</v>
      </c>
      <c r="C68" s="44" t="s">
        <v>905</v>
      </c>
      <c r="D68" s="116">
        <v>20</v>
      </c>
      <c r="E68" s="53" t="s">
        <v>20</v>
      </c>
      <c r="F68" s="53" t="s">
        <v>868</v>
      </c>
      <c r="G68" s="165">
        <v>221000</v>
      </c>
      <c r="H68" s="53" t="s">
        <v>828</v>
      </c>
      <c r="I68" s="31" t="s">
        <v>1246</v>
      </c>
      <c r="J68" s="31"/>
      <c r="K68" s="31"/>
      <c r="L68" s="31">
        <f t="shared" ref="L68:L76" si="6">D68</f>
        <v>20</v>
      </c>
      <c r="M68" s="31" t="s">
        <v>1247</v>
      </c>
      <c r="N68" s="31"/>
      <c r="O68" s="31"/>
      <c r="P68" s="31"/>
      <c r="Q68" s="31"/>
      <c r="R68" s="31" t="s">
        <v>1249</v>
      </c>
      <c r="S68" s="31"/>
      <c r="T68" s="31" t="str">
        <f t="shared" si="1"/>
        <v>Cước vận chuyển vỏ container 20 từ bãi JJ, Hải Phòng đến Nam Đình Vũ, Hải Phòng</v>
      </c>
      <c r="U68" s="31"/>
    </row>
    <row r="69" spans="1:21" s="29" customFormat="1" ht="18" hidden="1" customHeight="1" x14ac:dyDescent="0.25">
      <c r="A69" s="44">
        <v>60</v>
      </c>
      <c r="B69" s="48">
        <v>46113</v>
      </c>
      <c r="C69" s="44" t="s">
        <v>906</v>
      </c>
      <c r="D69" s="116">
        <v>20</v>
      </c>
      <c r="E69" s="53" t="s">
        <v>20</v>
      </c>
      <c r="F69" s="53" t="s">
        <v>868</v>
      </c>
      <c r="G69" s="165">
        <v>221000</v>
      </c>
      <c r="H69" s="53" t="s">
        <v>828</v>
      </c>
      <c r="I69" s="31" t="s">
        <v>1246</v>
      </c>
      <c r="J69" s="31"/>
      <c r="K69" s="31"/>
      <c r="L69" s="31">
        <f t="shared" si="6"/>
        <v>20</v>
      </c>
      <c r="M69" s="31" t="s">
        <v>1247</v>
      </c>
      <c r="N69" s="31"/>
      <c r="O69" s="31"/>
      <c r="P69" s="31"/>
      <c r="Q69" s="31"/>
      <c r="R69" s="31" t="s">
        <v>1249</v>
      </c>
      <c r="S69" s="31"/>
      <c r="T69" s="31" t="str">
        <f t="shared" si="1"/>
        <v>Cước vận chuyển vỏ container 20 từ bãi JJ, Hải Phòng đến Nam Đình Vũ, Hải Phòng</v>
      </c>
      <c r="U69" s="31"/>
    </row>
    <row r="70" spans="1:21" s="29" customFormat="1" ht="18" hidden="1" customHeight="1" x14ac:dyDescent="0.25">
      <c r="A70" s="44">
        <v>61</v>
      </c>
      <c r="B70" s="48">
        <v>46113</v>
      </c>
      <c r="C70" s="44" t="s">
        <v>907</v>
      </c>
      <c r="D70" s="116">
        <v>40</v>
      </c>
      <c r="E70" s="53" t="s">
        <v>20</v>
      </c>
      <c r="F70" s="53" t="s">
        <v>868</v>
      </c>
      <c r="G70" s="165">
        <v>406000</v>
      </c>
      <c r="H70" s="53" t="s">
        <v>828</v>
      </c>
      <c r="I70" s="31" t="s">
        <v>1246</v>
      </c>
      <c r="J70" s="31"/>
      <c r="K70" s="31"/>
      <c r="L70" s="31">
        <f t="shared" si="6"/>
        <v>40</v>
      </c>
      <c r="M70" s="31" t="s">
        <v>1247</v>
      </c>
      <c r="N70" s="31"/>
      <c r="O70" s="31"/>
      <c r="P70" s="31"/>
      <c r="Q70" s="31"/>
      <c r="R70" s="31" t="s">
        <v>1249</v>
      </c>
      <c r="S70" s="31"/>
      <c r="T70" s="31" t="str">
        <f t="shared" si="1"/>
        <v>Cước vận chuyển vỏ container 40 từ bãi JJ, Hải Phòng đến Nam Đình Vũ, Hải Phòng</v>
      </c>
      <c r="U70" s="31"/>
    </row>
    <row r="71" spans="1:21" s="29" customFormat="1" ht="18" hidden="1" customHeight="1" x14ac:dyDescent="0.25">
      <c r="A71" s="44">
        <v>62</v>
      </c>
      <c r="B71" s="48">
        <v>46113</v>
      </c>
      <c r="C71" s="44" t="s">
        <v>908</v>
      </c>
      <c r="D71" s="116">
        <v>40</v>
      </c>
      <c r="E71" s="53" t="s">
        <v>20</v>
      </c>
      <c r="F71" s="53" t="s">
        <v>868</v>
      </c>
      <c r="G71" s="165">
        <v>406000</v>
      </c>
      <c r="H71" s="53" t="s">
        <v>828</v>
      </c>
      <c r="I71" s="31" t="s">
        <v>1246</v>
      </c>
      <c r="J71" s="31"/>
      <c r="K71" s="31"/>
      <c r="L71" s="31">
        <f t="shared" si="6"/>
        <v>40</v>
      </c>
      <c r="M71" s="31" t="s">
        <v>1247</v>
      </c>
      <c r="N71" s="31"/>
      <c r="O71" s="31"/>
      <c r="P71" s="31"/>
      <c r="Q71" s="31"/>
      <c r="R71" s="31" t="s">
        <v>1249</v>
      </c>
      <c r="S71" s="31"/>
      <c r="T71" s="31" t="str">
        <f t="shared" si="1"/>
        <v>Cước vận chuyển vỏ container 40 từ bãi JJ, Hải Phòng đến Nam Đình Vũ, Hải Phòng</v>
      </c>
      <c r="U71" s="31"/>
    </row>
    <row r="72" spans="1:21" s="29" customFormat="1" ht="18" hidden="1" customHeight="1" x14ac:dyDescent="0.25">
      <c r="A72" s="44">
        <v>63</v>
      </c>
      <c r="B72" s="48">
        <v>46113</v>
      </c>
      <c r="C72" s="44" t="s">
        <v>909</v>
      </c>
      <c r="D72" s="116">
        <v>40</v>
      </c>
      <c r="E72" s="53" t="s">
        <v>20</v>
      </c>
      <c r="F72" s="53" t="s">
        <v>868</v>
      </c>
      <c r="G72" s="165">
        <v>406000</v>
      </c>
      <c r="H72" s="53" t="s">
        <v>828</v>
      </c>
      <c r="I72" s="31" t="s">
        <v>1246</v>
      </c>
      <c r="J72" s="31"/>
      <c r="K72" s="31"/>
      <c r="L72" s="31">
        <f t="shared" si="6"/>
        <v>40</v>
      </c>
      <c r="M72" s="31" t="s">
        <v>1247</v>
      </c>
      <c r="N72" s="31"/>
      <c r="O72" s="31"/>
      <c r="P72" s="31"/>
      <c r="Q72" s="31"/>
      <c r="R72" s="31" t="s">
        <v>1249</v>
      </c>
      <c r="S72" s="31"/>
      <c r="T72" s="31" t="str">
        <f t="shared" si="1"/>
        <v>Cước vận chuyển vỏ container 40 từ bãi JJ, Hải Phòng đến Nam Đình Vũ, Hải Phòng</v>
      </c>
      <c r="U72" s="31"/>
    </row>
    <row r="73" spans="1:21" s="29" customFormat="1" ht="18" hidden="1" customHeight="1" x14ac:dyDescent="0.25">
      <c r="A73" s="44">
        <v>64</v>
      </c>
      <c r="B73" s="48">
        <v>46113</v>
      </c>
      <c r="C73" s="44" t="s">
        <v>910</v>
      </c>
      <c r="D73" s="116">
        <v>40</v>
      </c>
      <c r="E73" s="53" t="s">
        <v>20</v>
      </c>
      <c r="F73" s="53" t="s">
        <v>868</v>
      </c>
      <c r="G73" s="165">
        <v>406000</v>
      </c>
      <c r="H73" s="53" t="s">
        <v>828</v>
      </c>
      <c r="I73" s="31" t="s">
        <v>1246</v>
      </c>
      <c r="J73" s="31"/>
      <c r="K73" s="31"/>
      <c r="L73" s="31">
        <f t="shared" si="6"/>
        <v>40</v>
      </c>
      <c r="M73" s="31" t="s">
        <v>1247</v>
      </c>
      <c r="N73" s="31"/>
      <c r="O73" s="31"/>
      <c r="P73" s="31"/>
      <c r="Q73" s="31"/>
      <c r="R73" s="31" t="s">
        <v>1249</v>
      </c>
      <c r="S73" s="31"/>
      <c r="T73" s="31" t="str">
        <f t="shared" si="1"/>
        <v>Cước vận chuyển vỏ container 40 từ bãi JJ, Hải Phòng đến Nam Đình Vũ, Hải Phòng</v>
      </c>
      <c r="U73" s="31"/>
    </row>
    <row r="74" spans="1:21" s="29" customFormat="1" ht="18" hidden="1" customHeight="1" x14ac:dyDescent="0.25">
      <c r="A74" s="44">
        <v>65</v>
      </c>
      <c r="B74" s="54">
        <v>46113</v>
      </c>
      <c r="C74" s="53" t="s">
        <v>911</v>
      </c>
      <c r="D74" s="116">
        <v>40</v>
      </c>
      <c r="E74" s="53" t="s">
        <v>20</v>
      </c>
      <c r="F74" s="53" t="s">
        <v>868</v>
      </c>
      <c r="G74" s="165">
        <v>406000</v>
      </c>
      <c r="H74" s="53" t="s">
        <v>16</v>
      </c>
      <c r="I74" s="31" t="s">
        <v>1246</v>
      </c>
      <c r="J74" s="31"/>
      <c r="K74" s="31"/>
      <c r="L74" s="31">
        <f t="shared" si="6"/>
        <v>40</v>
      </c>
      <c r="M74" s="31" t="s">
        <v>1247</v>
      </c>
      <c r="N74" s="31"/>
      <c r="O74" s="31"/>
      <c r="P74" s="31"/>
      <c r="Q74" s="31"/>
      <c r="R74" s="31" t="s">
        <v>1249</v>
      </c>
      <c r="S74" s="31"/>
      <c r="T74" s="31" t="str">
        <f t="shared" si="1"/>
        <v>Cước vận chuyển vỏ container 40 từ bãi JJ, Hải Phòng đến Nam Đình Vũ, Hải Phòng</v>
      </c>
      <c r="U74" s="31"/>
    </row>
    <row r="75" spans="1:21" s="29" customFormat="1" ht="18" hidden="1" customHeight="1" x14ac:dyDescent="0.25">
      <c r="A75" s="44">
        <v>66</v>
      </c>
      <c r="B75" s="54">
        <v>46113</v>
      </c>
      <c r="C75" s="53" t="s">
        <v>912</v>
      </c>
      <c r="D75" s="116">
        <v>40</v>
      </c>
      <c r="E75" s="53" t="s">
        <v>20</v>
      </c>
      <c r="F75" s="53" t="s">
        <v>868</v>
      </c>
      <c r="G75" s="165">
        <v>406000</v>
      </c>
      <c r="H75" s="53" t="s">
        <v>16</v>
      </c>
      <c r="I75" s="31" t="s">
        <v>1246</v>
      </c>
      <c r="J75" s="31"/>
      <c r="K75" s="31"/>
      <c r="L75" s="31">
        <f t="shared" si="6"/>
        <v>40</v>
      </c>
      <c r="M75" s="31" t="s">
        <v>1247</v>
      </c>
      <c r="N75" s="31"/>
      <c r="O75" s="31"/>
      <c r="P75" s="31"/>
      <c r="Q75" s="31"/>
      <c r="R75" s="31" t="s">
        <v>1249</v>
      </c>
      <c r="S75" s="31"/>
      <c r="T75" s="31" t="str">
        <f t="shared" ref="T75:T138" si="7">I75&amp;" "&amp;L75&amp;""&amp;" "&amp;M75</f>
        <v>Cước vận chuyển vỏ container 40 từ bãi JJ, Hải Phòng đến Nam Đình Vũ, Hải Phòng</v>
      </c>
      <c r="U75" s="31"/>
    </row>
    <row r="76" spans="1:21" s="29" customFormat="1" ht="18" hidden="1" customHeight="1" x14ac:dyDescent="0.25">
      <c r="A76" s="44">
        <v>67</v>
      </c>
      <c r="B76" s="54">
        <v>46113</v>
      </c>
      <c r="C76" s="53" t="s">
        <v>913</v>
      </c>
      <c r="D76" s="116">
        <v>40</v>
      </c>
      <c r="E76" s="53" t="s">
        <v>20</v>
      </c>
      <c r="F76" s="53" t="s">
        <v>868</v>
      </c>
      <c r="G76" s="165">
        <v>406000</v>
      </c>
      <c r="H76" s="53" t="s">
        <v>16</v>
      </c>
      <c r="I76" s="31" t="s">
        <v>1246</v>
      </c>
      <c r="J76" s="31"/>
      <c r="K76" s="31"/>
      <c r="L76" s="31">
        <f t="shared" si="6"/>
        <v>40</v>
      </c>
      <c r="M76" s="31" t="s">
        <v>1247</v>
      </c>
      <c r="N76" s="31"/>
      <c r="O76" s="31"/>
      <c r="P76" s="31"/>
      <c r="Q76" s="31"/>
      <c r="R76" s="31" t="s">
        <v>1249</v>
      </c>
      <c r="S76" s="31"/>
      <c r="T76" s="31" t="str">
        <f t="shared" si="7"/>
        <v>Cước vận chuyển vỏ container 40 từ bãi JJ, Hải Phòng đến Nam Đình Vũ, Hải Phòng</v>
      </c>
      <c r="U76" s="31"/>
    </row>
    <row r="77" spans="1:21" s="29" customFormat="1" ht="18" hidden="1" customHeight="1" x14ac:dyDescent="0.25">
      <c r="A77" s="44">
        <v>68</v>
      </c>
      <c r="B77" s="54">
        <v>46113</v>
      </c>
      <c r="C77" s="53" t="s">
        <v>925</v>
      </c>
      <c r="D77" s="116">
        <v>20</v>
      </c>
      <c r="E77" s="53" t="s">
        <v>20</v>
      </c>
      <c r="F77" s="53" t="s">
        <v>868</v>
      </c>
      <c r="G77" s="165">
        <v>221000</v>
      </c>
      <c r="H77" s="53" t="s">
        <v>25</v>
      </c>
      <c r="I77" s="31" t="s">
        <v>1246</v>
      </c>
      <c r="J77" s="31"/>
      <c r="K77" s="31"/>
      <c r="L77" s="31">
        <f t="shared" ref="L77:L83" si="8">D77</f>
        <v>20</v>
      </c>
      <c r="M77" s="31" t="s">
        <v>1247</v>
      </c>
      <c r="N77" s="31"/>
      <c r="O77" s="31"/>
      <c r="P77" s="31"/>
      <c r="Q77" s="31"/>
      <c r="R77" s="31" t="s">
        <v>1249</v>
      </c>
      <c r="S77" s="31"/>
      <c r="T77" s="31" t="str">
        <f t="shared" si="7"/>
        <v>Cước vận chuyển vỏ container 20 từ bãi JJ, Hải Phòng đến Nam Đình Vũ, Hải Phòng</v>
      </c>
      <c r="U77" s="31"/>
    </row>
    <row r="78" spans="1:21" s="29" customFormat="1" ht="18" hidden="1" customHeight="1" x14ac:dyDescent="0.25">
      <c r="A78" s="44">
        <v>69</v>
      </c>
      <c r="B78" s="54">
        <v>46113</v>
      </c>
      <c r="C78" s="53" t="s">
        <v>926</v>
      </c>
      <c r="D78" s="116">
        <v>20</v>
      </c>
      <c r="E78" s="53" t="s">
        <v>20</v>
      </c>
      <c r="F78" s="53" t="s">
        <v>868</v>
      </c>
      <c r="G78" s="165">
        <v>221000</v>
      </c>
      <c r="H78" s="53" t="s">
        <v>25</v>
      </c>
      <c r="I78" s="31" t="s">
        <v>1246</v>
      </c>
      <c r="J78" s="31"/>
      <c r="K78" s="31"/>
      <c r="L78" s="31">
        <f t="shared" si="8"/>
        <v>20</v>
      </c>
      <c r="M78" s="31" t="s">
        <v>1247</v>
      </c>
      <c r="N78" s="31"/>
      <c r="O78" s="31"/>
      <c r="P78" s="31"/>
      <c r="Q78" s="31"/>
      <c r="R78" s="31" t="s">
        <v>1249</v>
      </c>
      <c r="S78" s="31"/>
      <c r="T78" s="31" t="str">
        <f t="shared" si="7"/>
        <v>Cước vận chuyển vỏ container 20 từ bãi JJ, Hải Phòng đến Nam Đình Vũ, Hải Phòng</v>
      </c>
      <c r="U78" s="31"/>
    </row>
    <row r="79" spans="1:21" s="29" customFormat="1" ht="18" hidden="1" customHeight="1" x14ac:dyDescent="0.25">
      <c r="A79" s="44">
        <v>70</v>
      </c>
      <c r="B79" s="54">
        <v>46113</v>
      </c>
      <c r="C79" s="53" t="s">
        <v>927</v>
      </c>
      <c r="D79" s="116">
        <v>40</v>
      </c>
      <c r="E79" s="53" t="s">
        <v>20</v>
      </c>
      <c r="F79" s="53" t="s">
        <v>868</v>
      </c>
      <c r="G79" s="165">
        <v>406000</v>
      </c>
      <c r="H79" s="53" t="s">
        <v>25</v>
      </c>
      <c r="I79" s="31" t="s">
        <v>1246</v>
      </c>
      <c r="J79" s="31"/>
      <c r="K79" s="31"/>
      <c r="L79" s="31">
        <f t="shared" si="8"/>
        <v>40</v>
      </c>
      <c r="M79" s="31" t="s">
        <v>1247</v>
      </c>
      <c r="N79" s="31"/>
      <c r="O79" s="31"/>
      <c r="P79" s="31"/>
      <c r="Q79" s="31"/>
      <c r="R79" s="31" t="s">
        <v>1249</v>
      </c>
      <c r="S79" s="31"/>
      <c r="T79" s="31" t="str">
        <f t="shared" si="7"/>
        <v>Cước vận chuyển vỏ container 40 từ bãi JJ, Hải Phòng đến Nam Đình Vũ, Hải Phòng</v>
      </c>
      <c r="U79" s="31"/>
    </row>
    <row r="80" spans="1:21" s="29" customFormat="1" ht="18" hidden="1" customHeight="1" x14ac:dyDescent="0.25">
      <c r="A80" s="44">
        <v>71</v>
      </c>
      <c r="B80" s="54">
        <v>46113</v>
      </c>
      <c r="C80" s="53" t="s">
        <v>928</v>
      </c>
      <c r="D80" s="116">
        <v>40</v>
      </c>
      <c r="E80" s="53" t="s">
        <v>20</v>
      </c>
      <c r="F80" s="53" t="s">
        <v>868</v>
      </c>
      <c r="G80" s="165">
        <v>406000</v>
      </c>
      <c r="H80" s="53" t="s">
        <v>25</v>
      </c>
      <c r="I80" s="31" t="s">
        <v>1246</v>
      </c>
      <c r="J80" s="31"/>
      <c r="K80" s="31"/>
      <c r="L80" s="31">
        <f t="shared" si="8"/>
        <v>40</v>
      </c>
      <c r="M80" s="31" t="s">
        <v>1247</v>
      </c>
      <c r="N80" s="31"/>
      <c r="O80" s="31"/>
      <c r="P80" s="31"/>
      <c r="Q80" s="31"/>
      <c r="R80" s="31" t="s">
        <v>1249</v>
      </c>
      <c r="S80" s="31"/>
      <c r="T80" s="31" t="str">
        <f t="shared" si="7"/>
        <v>Cước vận chuyển vỏ container 40 từ bãi JJ, Hải Phòng đến Nam Đình Vũ, Hải Phòng</v>
      </c>
      <c r="U80" s="31"/>
    </row>
    <row r="81" spans="1:21" s="29" customFormat="1" ht="18" hidden="1" customHeight="1" x14ac:dyDescent="0.25">
      <c r="A81" s="44">
        <v>72</v>
      </c>
      <c r="B81" s="54">
        <v>46113</v>
      </c>
      <c r="C81" s="53" t="s">
        <v>929</v>
      </c>
      <c r="D81" s="116">
        <v>40</v>
      </c>
      <c r="E81" s="53" t="s">
        <v>20</v>
      </c>
      <c r="F81" s="53" t="s">
        <v>868</v>
      </c>
      <c r="G81" s="165">
        <v>406000</v>
      </c>
      <c r="H81" s="53" t="s">
        <v>25</v>
      </c>
      <c r="I81" s="31" t="s">
        <v>1246</v>
      </c>
      <c r="J81" s="31"/>
      <c r="K81" s="31"/>
      <c r="L81" s="31">
        <f t="shared" si="8"/>
        <v>40</v>
      </c>
      <c r="M81" s="31" t="s">
        <v>1247</v>
      </c>
      <c r="N81" s="31"/>
      <c r="O81" s="31"/>
      <c r="P81" s="31"/>
      <c r="Q81" s="31"/>
      <c r="R81" s="31" t="s">
        <v>1249</v>
      </c>
      <c r="S81" s="31"/>
      <c r="T81" s="31" t="str">
        <f t="shared" si="7"/>
        <v>Cước vận chuyển vỏ container 40 từ bãi JJ, Hải Phòng đến Nam Đình Vũ, Hải Phòng</v>
      </c>
      <c r="U81" s="31"/>
    </row>
    <row r="82" spans="1:21" s="29" customFormat="1" ht="18" hidden="1" customHeight="1" x14ac:dyDescent="0.25">
      <c r="A82" s="44">
        <v>73</v>
      </c>
      <c r="B82" s="54">
        <v>46113</v>
      </c>
      <c r="C82" s="53" t="s">
        <v>930</v>
      </c>
      <c r="D82" s="116">
        <v>40</v>
      </c>
      <c r="E82" s="53" t="s">
        <v>20</v>
      </c>
      <c r="F82" s="53" t="s">
        <v>868</v>
      </c>
      <c r="G82" s="165">
        <v>406000</v>
      </c>
      <c r="H82" s="53" t="s">
        <v>25</v>
      </c>
      <c r="I82" s="31" t="s">
        <v>1246</v>
      </c>
      <c r="J82" s="31"/>
      <c r="K82" s="31"/>
      <c r="L82" s="31">
        <f t="shared" si="8"/>
        <v>40</v>
      </c>
      <c r="M82" s="31" t="s">
        <v>1247</v>
      </c>
      <c r="N82" s="31"/>
      <c r="O82" s="31"/>
      <c r="P82" s="31"/>
      <c r="Q82" s="31"/>
      <c r="R82" s="31" t="s">
        <v>1249</v>
      </c>
      <c r="S82" s="31"/>
      <c r="T82" s="31" t="str">
        <f t="shared" si="7"/>
        <v>Cước vận chuyển vỏ container 40 từ bãi JJ, Hải Phòng đến Nam Đình Vũ, Hải Phòng</v>
      </c>
      <c r="U82" s="31"/>
    </row>
    <row r="83" spans="1:21" s="29" customFormat="1" ht="18" hidden="1" customHeight="1" x14ac:dyDescent="0.25">
      <c r="A83" s="44">
        <v>74</v>
      </c>
      <c r="B83" s="54">
        <v>46113</v>
      </c>
      <c r="C83" s="53" t="s">
        <v>931</v>
      </c>
      <c r="D83" s="116">
        <v>40</v>
      </c>
      <c r="E83" s="53" t="s">
        <v>20</v>
      </c>
      <c r="F83" s="53" t="s">
        <v>868</v>
      </c>
      <c r="G83" s="165">
        <v>406000</v>
      </c>
      <c r="H83" s="53" t="s">
        <v>25</v>
      </c>
      <c r="I83" s="31" t="s">
        <v>1246</v>
      </c>
      <c r="J83" s="31"/>
      <c r="K83" s="31"/>
      <c r="L83" s="31">
        <f t="shared" si="8"/>
        <v>40</v>
      </c>
      <c r="M83" s="31" t="s">
        <v>1247</v>
      </c>
      <c r="N83" s="31"/>
      <c r="O83" s="31"/>
      <c r="P83" s="31"/>
      <c r="Q83" s="31"/>
      <c r="R83" s="31" t="s">
        <v>1249</v>
      </c>
      <c r="S83" s="31"/>
      <c r="T83" s="31" t="str">
        <f t="shared" si="7"/>
        <v>Cước vận chuyển vỏ container 40 từ bãi JJ, Hải Phòng đến Nam Đình Vũ, Hải Phòng</v>
      </c>
      <c r="U83" s="31"/>
    </row>
    <row r="84" spans="1:21" s="29" customFormat="1" ht="18" hidden="1" customHeight="1" x14ac:dyDescent="0.25">
      <c r="A84" s="44">
        <v>75</v>
      </c>
      <c r="B84" s="54">
        <v>46113</v>
      </c>
      <c r="C84" s="53" t="s">
        <v>942</v>
      </c>
      <c r="D84" s="53">
        <v>20</v>
      </c>
      <c r="E84" s="53" t="s">
        <v>20</v>
      </c>
      <c r="F84" s="53" t="s">
        <v>868</v>
      </c>
      <c r="G84" s="165">
        <v>221000</v>
      </c>
      <c r="H84" s="53" t="s">
        <v>30</v>
      </c>
      <c r="I84" s="31" t="s">
        <v>1246</v>
      </c>
      <c r="J84" s="31"/>
      <c r="K84" s="31"/>
      <c r="L84" s="31">
        <f t="shared" ref="L84:L87" si="9">D84</f>
        <v>20</v>
      </c>
      <c r="M84" s="31" t="s">
        <v>1247</v>
      </c>
      <c r="N84" s="31"/>
      <c r="O84" s="31"/>
      <c r="P84" s="31"/>
      <c r="Q84" s="31"/>
      <c r="R84" s="31" t="s">
        <v>1249</v>
      </c>
      <c r="S84" s="31"/>
      <c r="T84" s="31" t="str">
        <f t="shared" si="7"/>
        <v>Cước vận chuyển vỏ container 20 từ bãi JJ, Hải Phòng đến Nam Đình Vũ, Hải Phòng</v>
      </c>
      <c r="U84" s="31"/>
    </row>
    <row r="85" spans="1:21" s="29" customFormat="1" ht="18" hidden="1" customHeight="1" x14ac:dyDescent="0.25">
      <c r="A85" s="44">
        <v>76</v>
      </c>
      <c r="B85" s="54">
        <v>46113</v>
      </c>
      <c r="C85" s="53" t="s">
        <v>943</v>
      </c>
      <c r="D85" s="53">
        <v>20</v>
      </c>
      <c r="E85" s="53" t="s">
        <v>20</v>
      </c>
      <c r="F85" s="53" t="s">
        <v>868</v>
      </c>
      <c r="G85" s="165">
        <v>221000</v>
      </c>
      <c r="H85" s="53" t="s">
        <v>30</v>
      </c>
      <c r="I85" s="31" t="s">
        <v>1246</v>
      </c>
      <c r="J85" s="31"/>
      <c r="K85" s="31"/>
      <c r="L85" s="31">
        <f t="shared" si="9"/>
        <v>20</v>
      </c>
      <c r="M85" s="31" t="s">
        <v>1247</v>
      </c>
      <c r="N85" s="31"/>
      <c r="O85" s="31"/>
      <c r="P85" s="31"/>
      <c r="Q85" s="31"/>
      <c r="R85" s="31" t="s">
        <v>1249</v>
      </c>
      <c r="S85" s="31"/>
      <c r="T85" s="31" t="str">
        <f t="shared" si="7"/>
        <v>Cước vận chuyển vỏ container 20 từ bãi JJ, Hải Phòng đến Nam Đình Vũ, Hải Phòng</v>
      </c>
      <c r="U85" s="31"/>
    </row>
    <row r="86" spans="1:21" s="29" customFormat="1" ht="18" hidden="1" customHeight="1" x14ac:dyDescent="0.25">
      <c r="A86" s="44">
        <v>77</v>
      </c>
      <c r="B86" s="54">
        <v>46113</v>
      </c>
      <c r="C86" s="53" t="s">
        <v>944</v>
      </c>
      <c r="D86" s="53">
        <v>20</v>
      </c>
      <c r="E86" s="53" t="s">
        <v>20</v>
      </c>
      <c r="F86" s="53" t="s">
        <v>868</v>
      </c>
      <c r="G86" s="165">
        <v>221000</v>
      </c>
      <c r="H86" s="53" t="s">
        <v>30</v>
      </c>
      <c r="I86" s="31" t="s">
        <v>1246</v>
      </c>
      <c r="J86" s="31"/>
      <c r="K86" s="31"/>
      <c r="L86" s="31">
        <f t="shared" si="9"/>
        <v>20</v>
      </c>
      <c r="M86" s="31" t="s">
        <v>1247</v>
      </c>
      <c r="N86" s="31"/>
      <c r="O86" s="31"/>
      <c r="P86" s="31"/>
      <c r="Q86" s="31"/>
      <c r="R86" s="31" t="s">
        <v>1249</v>
      </c>
      <c r="S86" s="31"/>
      <c r="T86" s="31" t="str">
        <f t="shared" si="7"/>
        <v>Cước vận chuyển vỏ container 20 từ bãi JJ, Hải Phòng đến Nam Đình Vũ, Hải Phòng</v>
      </c>
      <c r="U86" s="31"/>
    </row>
    <row r="87" spans="1:21" s="29" customFormat="1" ht="18" hidden="1" customHeight="1" x14ac:dyDescent="0.25">
      <c r="A87" s="44">
        <v>78</v>
      </c>
      <c r="B87" s="54">
        <v>46113</v>
      </c>
      <c r="C87" s="53" t="s">
        <v>945</v>
      </c>
      <c r="D87" s="53">
        <v>20</v>
      </c>
      <c r="E87" s="53" t="s">
        <v>20</v>
      </c>
      <c r="F87" s="53" t="s">
        <v>868</v>
      </c>
      <c r="G87" s="165">
        <v>221000</v>
      </c>
      <c r="H87" s="53" t="s">
        <v>30</v>
      </c>
      <c r="I87" s="31" t="s">
        <v>1246</v>
      </c>
      <c r="J87" s="31"/>
      <c r="K87" s="31"/>
      <c r="L87" s="31">
        <f t="shared" si="9"/>
        <v>20</v>
      </c>
      <c r="M87" s="31" t="s">
        <v>1247</v>
      </c>
      <c r="N87" s="31"/>
      <c r="O87" s="31"/>
      <c r="P87" s="31"/>
      <c r="Q87" s="31"/>
      <c r="R87" s="31" t="s">
        <v>1249</v>
      </c>
      <c r="S87" s="31"/>
      <c r="T87" s="31" t="str">
        <f t="shared" si="7"/>
        <v>Cước vận chuyển vỏ container 20 từ bãi JJ, Hải Phòng đến Nam Đình Vũ, Hải Phòng</v>
      </c>
      <c r="U87" s="31"/>
    </row>
    <row r="88" spans="1:21" s="29" customFormat="1" ht="18" hidden="1" customHeight="1" x14ac:dyDescent="0.25">
      <c r="A88" s="44">
        <v>79</v>
      </c>
      <c r="B88" s="54">
        <v>46113</v>
      </c>
      <c r="C88" s="53" t="s">
        <v>946</v>
      </c>
      <c r="D88" s="53">
        <v>40</v>
      </c>
      <c r="E88" s="53" t="s">
        <v>20</v>
      </c>
      <c r="F88" s="53" t="s">
        <v>868</v>
      </c>
      <c r="G88" s="165">
        <v>406000</v>
      </c>
      <c r="H88" s="53" t="s">
        <v>30</v>
      </c>
      <c r="I88" s="31" t="s">
        <v>1246</v>
      </c>
      <c r="J88" s="31"/>
      <c r="K88" s="31"/>
      <c r="L88" s="31">
        <f>D88</f>
        <v>40</v>
      </c>
      <c r="M88" s="31" t="s">
        <v>1247</v>
      </c>
      <c r="N88" s="31"/>
      <c r="O88" s="31"/>
      <c r="P88" s="31"/>
      <c r="Q88" s="31"/>
      <c r="R88" s="31" t="s">
        <v>1249</v>
      </c>
      <c r="S88" s="31"/>
      <c r="T88" s="31" t="str">
        <f t="shared" si="7"/>
        <v>Cước vận chuyển vỏ container 40 từ bãi JJ, Hải Phòng đến Nam Đình Vũ, Hải Phòng</v>
      </c>
      <c r="U88" s="31"/>
    </row>
    <row r="89" spans="1:21" s="29" customFormat="1" ht="18" hidden="1" customHeight="1" x14ac:dyDescent="0.25">
      <c r="A89" s="44">
        <v>80</v>
      </c>
      <c r="B89" s="54">
        <v>46113</v>
      </c>
      <c r="C89" s="53" t="s">
        <v>947</v>
      </c>
      <c r="D89" s="53">
        <v>20</v>
      </c>
      <c r="E89" s="53" t="s">
        <v>20</v>
      </c>
      <c r="F89" s="53" t="s">
        <v>868</v>
      </c>
      <c r="G89" s="165">
        <v>221000</v>
      </c>
      <c r="H89" s="53" t="s">
        <v>1032</v>
      </c>
      <c r="I89" s="31" t="s">
        <v>1246</v>
      </c>
      <c r="J89" s="31"/>
      <c r="K89" s="31"/>
      <c r="L89" s="31">
        <f t="shared" ref="L89:L98" si="10">D89</f>
        <v>20</v>
      </c>
      <c r="M89" s="31" t="s">
        <v>1247</v>
      </c>
      <c r="N89" s="31"/>
      <c r="O89" s="31"/>
      <c r="P89" s="31"/>
      <c r="Q89" s="31"/>
      <c r="R89" s="31" t="s">
        <v>1249</v>
      </c>
      <c r="S89" s="31"/>
      <c r="T89" s="31" t="str">
        <f t="shared" si="7"/>
        <v>Cước vận chuyển vỏ container 20 từ bãi JJ, Hải Phòng đến Nam Đình Vũ, Hải Phòng</v>
      </c>
      <c r="U89" s="31"/>
    </row>
    <row r="90" spans="1:21" s="29" customFormat="1" ht="18" hidden="1" customHeight="1" x14ac:dyDescent="0.25">
      <c r="A90" s="44">
        <v>81</v>
      </c>
      <c r="B90" s="54">
        <v>46113</v>
      </c>
      <c r="C90" s="53" t="s">
        <v>948</v>
      </c>
      <c r="D90" s="53">
        <v>20</v>
      </c>
      <c r="E90" s="53" t="s">
        <v>20</v>
      </c>
      <c r="F90" s="53" t="s">
        <v>868</v>
      </c>
      <c r="G90" s="119">
        <v>221000</v>
      </c>
      <c r="H90" s="53" t="s">
        <v>1032</v>
      </c>
      <c r="I90" s="31" t="s">
        <v>1246</v>
      </c>
      <c r="J90" s="31"/>
      <c r="K90" s="31"/>
      <c r="L90" s="31">
        <f t="shared" si="10"/>
        <v>20</v>
      </c>
      <c r="M90" s="31" t="s">
        <v>1247</v>
      </c>
      <c r="N90" s="31"/>
      <c r="O90" s="31"/>
      <c r="P90" s="31"/>
      <c r="Q90" s="31"/>
      <c r="R90" s="31" t="s">
        <v>1249</v>
      </c>
      <c r="S90" s="31"/>
      <c r="T90" s="31" t="str">
        <f t="shared" si="7"/>
        <v>Cước vận chuyển vỏ container 20 từ bãi JJ, Hải Phòng đến Nam Đình Vũ, Hải Phòng</v>
      </c>
      <c r="U90" s="31"/>
    </row>
    <row r="91" spans="1:21" s="29" customFormat="1" ht="18" hidden="1" customHeight="1" x14ac:dyDescent="0.25">
      <c r="A91" s="44">
        <v>82</v>
      </c>
      <c r="B91" s="54">
        <v>46113</v>
      </c>
      <c r="C91" s="53" t="s">
        <v>949</v>
      </c>
      <c r="D91" s="53">
        <v>20</v>
      </c>
      <c r="E91" s="53" t="s">
        <v>20</v>
      </c>
      <c r="F91" s="53" t="s">
        <v>868</v>
      </c>
      <c r="G91" s="119">
        <v>221000</v>
      </c>
      <c r="H91" s="53" t="s">
        <v>1032</v>
      </c>
      <c r="I91" s="31" t="s">
        <v>1246</v>
      </c>
      <c r="J91" s="31"/>
      <c r="K91" s="31"/>
      <c r="L91" s="31">
        <f t="shared" si="10"/>
        <v>20</v>
      </c>
      <c r="M91" s="31" t="s">
        <v>1247</v>
      </c>
      <c r="N91" s="31"/>
      <c r="O91" s="31"/>
      <c r="P91" s="31"/>
      <c r="Q91" s="31"/>
      <c r="R91" s="31" t="s">
        <v>1249</v>
      </c>
      <c r="S91" s="31"/>
      <c r="T91" s="31" t="str">
        <f t="shared" si="7"/>
        <v>Cước vận chuyển vỏ container 20 từ bãi JJ, Hải Phòng đến Nam Đình Vũ, Hải Phòng</v>
      </c>
      <c r="U91" s="31"/>
    </row>
    <row r="92" spans="1:21" s="29" customFormat="1" ht="18" hidden="1" customHeight="1" x14ac:dyDescent="0.25">
      <c r="A92" s="44">
        <v>83</v>
      </c>
      <c r="B92" s="54">
        <v>46113</v>
      </c>
      <c r="C92" s="53" t="s">
        <v>950</v>
      </c>
      <c r="D92" s="53">
        <v>20</v>
      </c>
      <c r="E92" s="53" t="s">
        <v>20</v>
      </c>
      <c r="F92" s="53" t="s">
        <v>868</v>
      </c>
      <c r="G92" s="119">
        <v>221000</v>
      </c>
      <c r="H92" s="53" t="s">
        <v>1032</v>
      </c>
      <c r="I92" s="31" t="s">
        <v>1246</v>
      </c>
      <c r="J92" s="31"/>
      <c r="K92" s="31"/>
      <c r="L92" s="31">
        <f t="shared" si="10"/>
        <v>20</v>
      </c>
      <c r="M92" s="31" t="s">
        <v>1247</v>
      </c>
      <c r="N92" s="31"/>
      <c r="O92" s="31"/>
      <c r="P92" s="31"/>
      <c r="Q92" s="31"/>
      <c r="R92" s="31" t="s">
        <v>1249</v>
      </c>
      <c r="S92" s="31"/>
      <c r="T92" s="31" t="str">
        <f t="shared" si="7"/>
        <v>Cước vận chuyển vỏ container 20 từ bãi JJ, Hải Phòng đến Nam Đình Vũ, Hải Phòng</v>
      </c>
      <c r="U92" s="31"/>
    </row>
    <row r="93" spans="1:21" s="29" customFormat="1" ht="18" hidden="1" customHeight="1" x14ac:dyDescent="0.25">
      <c r="A93" s="44">
        <v>84</v>
      </c>
      <c r="B93" s="54">
        <v>46113</v>
      </c>
      <c r="C93" s="53" t="s">
        <v>951</v>
      </c>
      <c r="D93" s="53">
        <v>20</v>
      </c>
      <c r="E93" s="53" t="s">
        <v>20</v>
      </c>
      <c r="F93" s="53" t="s">
        <v>868</v>
      </c>
      <c r="G93" s="119">
        <v>221000</v>
      </c>
      <c r="H93" s="53" t="s">
        <v>1032</v>
      </c>
      <c r="I93" s="31" t="s">
        <v>1246</v>
      </c>
      <c r="J93" s="31"/>
      <c r="K93" s="31"/>
      <c r="L93" s="31">
        <f t="shared" si="10"/>
        <v>20</v>
      </c>
      <c r="M93" s="31" t="s">
        <v>1247</v>
      </c>
      <c r="N93" s="31"/>
      <c r="O93" s="31"/>
      <c r="P93" s="31"/>
      <c r="Q93" s="31"/>
      <c r="R93" s="31" t="s">
        <v>1249</v>
      </c>
      <c r="S93" s="31"/>
      <c r="T93" s="31" t="str">
        <f t="shared" si="7"/>
        <v>Cước vận chuyển vỏ container 20 từ bãi JJ, Hải Phòng đến Nam Đình Vũ, Hải Phòng</v>
      </c>
      <c r="U93" s="31"/>
    </row>
    <row r="94" spans="1:21" s="29" customFormat="1" ht="18" hidden="1" customHeight="1" x14ac:dyDescent="0.25">
      <c r="A94" s="44">
        <v>85</v>
      </c>
      <c r="B94" s="54">
        <v>46113</v>
      </c>
      <c r="C94" s="53" t="s">
        <v>952</v>
      </c>
      <c r="D94" s="53">
        <v>20</v>
      </c>
      <c r="E94" s="53" t="s">
        <v>20</v>
      </c>
      <c r="F94" s="53" t="s">
        <v>868</v>
      </c>
      <c r="G94" s="119">
        <v>221000</v>
      </c>
      <c r="H94" s="53" t="s">
        <v>1032</v>
      </c>
      <c r="I94" s="31" t="s">
        <v>1246</v>
      </c>
      <c r="J94" s="31"/>
      <c r="K94" s="31"/>
      <c r="L94" s="31">
        <f t="shared" si="10"/>
        <v>20</v>
      </c>
      <c r="M94" s="31" t="s">
        <v>1247</v>
      </c>
      <c r="N94" s="31"/>
      <c r="O94" s="31"/>
      <c r="P94" s="31"/>
      <c r="Q94" s="31"/>
      <c r="R94" s="31" t="s">
        <v>1249</v>
      </c>
      <c r="S94" s="31"/>
      <c r="T94" s="31" t="str">
        <f t="shared" si="7"/>
        <v>Cước vận chuyển vỏ container 20 từ bãi JJ, Hải Phòng đến Nam Đình Vũ, Hải Phòng</v>
      </c>
      <c r="U94" s="31"/>
    </row>
    <row r="95" spans="1:21" s="29" customFormat="1" ht="18" hidden="1" customHeight="1" x14ac:dyDescent="0.25">
      <c r="A95" s="44">
        <v>86</v>
      </c>
      <c r="B95" s="54">
        <v>46113</v>
      </c>
      <c r="C95" s="53" t="s">
        <v>953</v>
      </c>
      <c r="D95" s="53">
        <v>20</v>
      </c>
      <c r="E95" s="53" t="s">
        <v>20</v>
      </c>
      <c r="F95" s="53" t="s">
        <v>868</v>
      </c>
      <c r="G95" s="119">
        <v>221000</v>
      </c>
      <c r="H95" s="53" t="s">
        <v>1032</v>
      </c>
      <c r="I95" s="31" t="s">
        <v>1246</v>
      </c>
      <c r="J95" s="31"/>
      <c r="K95" s="31"/>
      <c r="L95" s="31">
        <f t="shared" si="10"/>
        <v>20</v>
      </c>
      <c r="M95" s="31" t="s">
        <v>1247</v>
      </c>
      <c r="N95" s="31"/>
      <c r="O95" s="31"/>
      <c r="P95" s="31"/>
      <c r="Q95" s="31"/>
      <c r="R95" s="31" t="s">
        <v>1249</v>
      </c>
      <c r="S95" s="31"/>
      <c r="T95" s="31" t="str">
        <f t="shared" si="7"/>
        <v>Cước vận chuyển vỏ container 20 từ bãi JJ, Hải Phòng đến Nam Đình Vũ, Hải Phòng</v>
      </c>
      <c r="U95" s="31"/>
    </row>
    <row r="96" spans="1:21" s="29" customFormat="1" ht="18" hidden="1" customHeight="1" x14ac:dyDescent="0.25">
      <c r="A96" s="44">
        <v>87</v>
      </c>
      <c r="B96" s="54">
        <v>46113</v>
      </c>
      <c r="C96" s="53" t="s">
        <v>954</v>
      </c>
      <c r="D96" s="53">
        <v>20</v>
      </c>
      <c r="E96" s="53" t="s">
        <v>20</v>
      </c>
      <c r="F96" s="53" t="s">
        <v>868</v>
      </c>
      <c r="G96" s="119">
        <v>221000</v>
      </c>
      <c r="H96" s="53" t="s">
        <v>1032</v>
      </c>
      <c r="I96" s="31" t="s">
        <v>1246</v>
      </c>
      <c r="J96" s="31"/>
      <c r="K96" s="31"/>
      <c r="L96" s="31">
        <f t="shared" si="10"/>
        <v>20</v>
      </c>
      <c r="M96" s="31" t="s">
        <v>1247</v>
      </c>
      <c r="N96" s="31"/>
      <c r="O96" s="31"/>
      <c r="P96" s="31"/>
      <c r="Q96" s="31"/>
      <c r="R96" s="31" t="s">
        <v>1249</v>
      </c>
      <c r="S96" s="31"/>
      <c r="T96" s="31" t="str">
        <f t="shared" si="7"/>
        <v>Cước vận chuyển vỏ container 20 từ bãi JJ, Hải Phòng đến Nam Đình Vũ, Hải Phòng</v>
      </c>
      <c r="U96" s="31"/>
    </row>
    <row r="97" spans="1:21" s="29" customFormat="1" ht="18" hidden="1" customHeight="1" x14ac:dyDescent="0.25">
      <c r="A97" s="44">
        <v>88</v>
      </c>
      <c r="B97" s="43">
        <v>46113</v>
      </c>
      <c r="C97" s="53" t="s">
        <v>987</v>
      </c>
      <c r="D97" s="53">
        <v>40</v>
      </c>
      <c r="E97" s="53" t="s">
        <v>20</v>
      </c>
      <c r="F97" s="53" t="s">
        <v>868</v>
      </c>
      <c r="G97" s="165">
        <v>406000</v>
      </c>
      <c r="H97" s="53" t="s">
        <v>21</v>
      </c>
      <c r="I97" s="31" t="s">
        <v>1246</v>
      </c>
      <c r="J97" s="31"/>
      <c r="K97" s="31"/>
      <c r="L97" s="31">
        <f t="shared" si="10"/>
        <v>40</v>
      </c>
      <c r="M97" s="31" t="s">
        <v>1247</v>
      </c>
      <c r="N97" s="31"/>
      <c r="O97" s="31"/>
      <c r="P97" s="31"/>
      <c r="Q97" s="31"/>
      <c r="R97" s="31" t="s">
        <v>1249</v>
      </c>
      <c r="S97" s="31"/>
      <c r="T97" s="31" t="str">
        <f t="shared" si="7"/>
        <v>Cước vận chuyển vỏ container 40 từ bãi JJ, Hải Phòng đến Nam Đình Vũ, Hải Phòng</v>
      </c>
      <c r="U97" s="31"/>
    </row>
    <row r="98" spans="1:21" s="29" customFormat="1" ht="18" hidden="1" customHeight="1" x14ac:dyDescent="0.25">
      <c r="A98" s="44">
        <v>89</v>
      </c>
      <c r="B98" s="43">
        <v>46113</v>
      </c>
      <c r="C98" s="53" t="s">
        <v>988</v>
      </c>
      <c r="D98" s="53">
        <v>40</v>
      </c>
      <c r="E98" s="53" t="s">
        <v>20</v>
      </c>
      <c r="F98" s="53" t="s">
        <v>868</v>
      </c>
      <c r="G98" s="165">
        <v>406000</v>
      </c>
      <c r="H98" s="53" t="s">
        <v>21</v>
      </c>
      <c r="I98" s="31" t="s">
        <v>1246</v>
      </c>
      <c r="J98" s="31"/>
      <c r="K98" s="31"/>
      <c r="L98" s="31">
        <f t="shared" si="10"/>
        <v>40</v>
      </c>
      <c r="M98" s="31" t="s">
        <v>1247</v>
      </c>
      <c r="N98" s="31"/>
      <c r="O98" s="31"/>
      <c r="P98" s="31"/>
      <c r="Q98" s="31"/>
      <c r="R98" s="31" t="s">
        <v>1249</v>
      </c>
      <c r="S98" s="31"/>
      <c r="T98" s="31" t="str">
        <f t="shared" si="7"/>
        <v>Cước vận chuyển vỏ container 40 từ bãi JJ, Hải Phòng đến Nam Đình Vũ, Hải Phòng</v>
      </c>
      <c r="U98" s="31"/>
    </row>
    <row r="99" spans="1:21" s="29" customFormat="1" ht="18" hidden="1" customHeight="1" x14ac:dyDescent="0.25">
      <c r="A99" s="44">
        <v>90</v>
      </c>
      <c r="B99" s="43">
        <v>46113</v>
      </c>
      <c r="C99" s="53" t="s">
        <v>989</v>
      </c>
      <c r="D99" s="53">
        <v>20</v>
      </c>
      <c r="E99" s="53" t="s">
        <v>20</v>
      </c>
      <c r="F99" s="53" t="s">
        <v>868</v>
      </c>
      <c r="G99" s="119">
        <v>221000</v>
      </c>
      <c r="H99" s="53" t="s">
        <v>21</v>
      </c>
      <c r="I99" s="31" t="s">
        <v>1246</v>
      </c>
      <c r="J99" s="31"/>
      <c r="K99" s="31"/>
      <c r="L99" s="31">
        <f t="shared" ref="L99:L108" si="11">D99</f>
        <v>20</v>
      </c>
      <c r="M99" s="31" t="s">
        <v>1247</v>
      </c>
      <c r="N99" s="31"/>
      <c r="O99" s="31"/>
      <c r="P99" s="31"/>
      <c r="Q99" s="31"/>
      <c r="R99" s="31" t="s">
        <v>1249</v>
      </c>
      <c r="S99" s="31"/>
      <c r="T99" s="31" t="str">
        <f t="shared" si="7"/>
        <v>Cước vận chuyển vỏ container 20 từ bãi JJ, Hải Phòng đến Nam Đình Vũ, Hải Phòng</v>
      </c>
      <c r="U99" s="31"/>
    </row>
    <row r="100" spans="1:21" s="29" customFormat="1" ht="18" hidden="1" customHeight="1" x14ac:dyDescent="0.25">
      <c r="A100" s="44">
        <v>91</v>
      </c>
      <c r="B100" s="43">
        <v>46113</v>
      </c>
      <c r="C100" s="53" t="s">
        <v>990</v>
      </c>
      <c r="D100" s="53">
        <v>20</v>
      </c>
      <c r="E100" s="53" t="s">
        <v>20</v>
      </c>
      <c r="F100" s="53" t="s">
        <v>868</v>
      </c>
      <c r="G100" s="119">
        <v>221000</v>
      </c>
      <c r="H100" s="53" t="s">
        <v>21</v>
      </c>
      <c r="I100" s="31" t="s">
        <v>1246</v>
      </c>
      <c r="J100" s="31"/>
      <c r="K100" s="31"/>
      <c r="L100" s="31">
        <f t="shared" si="11"/>
        <v>20</v>
      </c>
      <c r="M100" s="31" t="s">
        <v>1247</v>
      </c>
      <c r="N100" s="31"/>
      <c r="O100" s="31"/>
      <c r="P100" s="31"/>
      <c r="Q100" s="31"/>
      <c r="R100" s="31" t="s">
        <v>1249</v>
      </c>
      <c r="S100" s="31"/>
      <c r="T100" s="31" t="str">
        <f t="shared" si="7"/>
        <v>Cước vận chuyển vỏ container 20 từ bãi JJ, Hải Phòng đến Nam Đình Vũ, Hải Phòng</v>
      </c>
      <c r="U100" s="31"/>
    </row>
    <row r="101" spans="1:21" s="29" customFormat="1" ht="18" hidden="1" customHeight="1" x14ac:dyDescent="0.25">
      <c r="A101" s="44">
        <v>92</v>
      </c>
      <c r="B101" s="43">
        <v>46113</v>
      </c>
      <c r="C101" s="53" t="s">
        <v>991</v>
      </c>
      <c r="D101" s="53">
        <v>20</v>
      </c>
      <c r="E101" s="53" t="s">
        <v>20</v>
      </c>
      <c r="F101" s="53" t="s">
        <v>868</v>
      </c>
      <c r="G101" s="119">
        <v>221000</v>
      </c>
      <c r="H101" s="53" t="s">
        <v>21</v>
      </c>
      <c r="I101" s="31" t="s">
        <v>1246</v>
      </c>
      <c r="J101" s="31"/>
      <c r="K101" s="31"/>
      <c r="L101" s="31">
        <f t="shared" si="11"/>
        <v>20</v>
      </c>
      <c r="M101" s="31" t="s">
        <v>1247</v>
      </c>
      <c r="N101" s="31"/>
      <c r="O101" s="31"/>
      <c r="P101" s="31"/>
      <c r="Q101" s="31"/>
      <c r="R101" s="31" t="s">
        <v>1249</v>
      </c>
      <c r="S101" s="31"/>
      <c r="T101" s="31" t="str">
        <f t="shared" si="7"/>
        <v>Cước vận chuyển vỏ container 20 từ bãi JJ, Hải Phòng đến Nam Đình Vũ, Hải Phòng</v>
      </c>
      <c r="U101" s="31"/>
    </row>
    <row r="102" spans="1:21" s="29" customFormat="1" ht="18" hidden="1" customHeight="1" x14ac:dyDescent="0.25">
      <c r="A102" s="44">
        <v>93</v>
      </c>
      <c r="B102" s="43">
        <v>46113</v>
      </c>
      <c r="C102" s="53" t="s">
        <v>992</v>
      </c>
      <c r="D102" s="53">
        <v>20</v>
      </c>
      <c r="E102" s="53" t="s">
        <v>20</v>
      </c>
      <c r="F102" s="53" t="s">
        <v>868</v>
      </c>
      <c r="G102" s="119">
        <v>221000</v>
      </c>
      <c r="H102" s="53" t="s">
        <v>21</v>
      </c>
      <c r="I102" s="31" t="s">
        <v>1246</v>
      </c>
      <c r="J102" s="31"/>
      <c r="K102" s="31"/>
      <c r="L102" s="31">
        <f t="shared" si="11"/>
        <v>20</v>
      </c>
      <c r="M102" s="31" t="s">
        <v>1247</v>
      </c>
      <c r="N102" s="31"/>
      <c r="O102" s="31"/>
      <c r="P102" s="31"/>
      <c r="Q102" s="31"/>
      <c r="R102" s="31" t="s">
        <v>1249</v>
      </c>
      <c r="S102" s="31"/>
      <c r="T102" s="31" t="str">
        <f t="shared" si="7"/>
        <v>Cước vận chuyển vỏ container 20 từ bãi JJ, Hải Phòng đến Nam Đình Vũ, Hải Phòng</v>
      </c>
      <c r="U102" s="31"/>
    </row>
    <row r="103" spans="1:21" s="29" customFormat="1" ht="18" hidden="1" customHeight="1" x14ac:dyDescent="0.25">
      <c r="A103" s="44">
        <v>94</v>
      </c>
      <c r="B103" s="177">
        <v>46118</v>
      </c>
      <c r="C103" s="116" t="s">
        <v>880</v>
      </c>
      <c r="D103" s="116">
        <v>40</v>
      </c>
      <c r="E103" s="116" t="s">
        <v>20</v>
      </c>
      <c r="F103" s="53" t="s">
        <v>868</v>
      </c>
      <c r="G103" s="187">
        <v>428000</v>
      </c>
      <c r="H103" s="53" t="s">
        <v>28</v>
      </c>
      <c r="I103" s="31" t="s">
        <v>1246</v>
      </c>
      <c r="J103" s="31"/>
      <c r="K103" s="31"/>
      <c r="L103" s="31">
        <f t="shared" si="11"/>
        <v>40</v>
      </c>
      <c r="M103" s="31" t="s">
        <v>1247</v>
      </c>
      <c r="N103" s="31"/>
      <c r="O103" s="31"/>
      <c r="P103" s="31"/>
      <c r="Q103" s="31"/>
      <c r="R103" s="31" t="s">
        <v>1249</v>
      </c>
      <c r="S103" s="31"/>
      <c r="T103" s="31" t="str">
        <f t="shared" si="7"/>
        <v>Cước vận chuyển vỏ container 40 từ bãi JJ, Hải Phòng đến Nam Đình Vũ, Hải Phòng</v>
      </c>
      <c r="U103" s="31"/>
    </row>
    <row r="104" spans="1:21" s="29" customFormat="1" ht="18" hidden="1" customHeight="1" x14ac:dyDescent="0.25">
      <c r="A104" s="44">
        <v>95</v>
      </c>
      <c r="B104" s="177">
        <v>46118</v>
      </c>
      <c r="C104" s="116" t="s">
        <v>881</v>
      </c>
      <c r="D104" s="116">
        <v>40</v>
      </c>
      <c r="E104" s="116" t="s">
        <v>20</v>
      </c>
      <c r="F104" s="53" t="s">
        <v>868</v>
      </c>
      <c r="G104" s="187">
        <v>428000</v>
      </c>
      <c r="H104" s="53" t="s">
        <v>28</v>
      </c>
      <c r="I104" s="31" t="s">
        <v>1246</v>
      </c>
      <c r="J104" s="31"/>
      <c r="K104" s="31"/>
      <c r="L104" s="31">
        <f t="shared" si="11"/>
        <v>40</v>
      </c>
      <c r="M104" s="31" t="s">
        <v>1247</v>
      </c>
      <c r="N104" s="31"/>
      <c r="O104" s="31"/>
      <c r="P104" s="31"/>
      <c r="Q104" s="31"/>
      <c r="R104" s="31" t="s">
        <v>1249</v>
      </c>
      <c r="S104" s="31"/>
      <c r="T104" s="31" t="str">
        <f t="shared" si="7"/>
        <v>Cước vận chuyển vỏ container 40 từ bãi JJ, Hải Phòng đến Nam Đình Vũ, Hải Phòng</v>
      </c>
      <c r="U104" s="31"/>
    </row>
    <row r="105" spans="1:21" s="29" customFormat="1" ht="18" hidden="1" customHeight="1" x14ac:dyDescent="0.25">
      <c r="A105" s="44">
        <v>96</v>
      </c>
      <c r="B105" s="177">
        <v>46118</v>
      </c>
      <c r="C105" s="116" t="s">
        <v>882</v>
      </c>
      <c r="D105" s="116">
        <v>40</v>
      </c>
      <c r="E105" s="116" t="s">
        <v>20</v>
      </c>
      <c r="F105" s="53" t="s">
        <v>868</v>
      </c>
      <c r="G105" s="187">
        <v>428000</v>
      </c>
      <c r="H105" s="53" t="s">
        <v>28</v>
      </c>
      <c r="I105" s="31" t="s">
        <v>1246</v>
      </c>
      <c r="J105" s="31"/>
      <c r="K105" s="31"/>
      <c r="L105" s="31">
        <f t="shared" si="11"/>
        <v>40</v>
      </c>
      <c r="M105" s="31" t="s">
        <v>1247</v>
      </c>
      <c r="N105" s="31"/>
      <c r="O105" s="31"/>
      <c r="P105" s="31"/>
      <c r="Q105" s="31"/>
      <c r="R105" s="31" t="s">
        <v>1249</v>
      </c>
      <c r="S105" s="31"/>
      <c r="T105" s="31" t="str">
        <f t="shared" si="7"/>
        <v>Cước vận chuyển vỏ container 40 từ bãi JJ, Hải Phòng đến Nam Đình Vũ, Hải Phòng</v>
      </c>
      <c r="U105" s="31"/>
    </row>
    <row r="106" spans="1:21" s="29" customFormat="1" ht="18" hidden="1" customHeight="1" x14ac:dyDescent="0.25">
      <c r="A106" s="44">
        <v>97</v>
      </c>
      <c r="B106" s="177">
        <v>46118</v>
      </c>
      <c r="C106" s="116" t="s">
        <v>883</v>
      </c>
      <c r="D106" s="116">
        <v>40</v>
      </c>
      <c r="E106" s="116" t="s">
        <v>20</v>
      </c>
      <c r="F106" s="53" t="s">
        <v>868</v>
      </c>
      <c r="G106" s="187">
        <v>428000</v>
      </c>
      <c r="H106" s="53" t="s">
        <v>28</v>
      </c>
      <c r="I106" s="31" t="s">
        <v>1246</v>
      </c>
      <c r="J106" s="31"/>
      <c r="K106" s="31"/>
      <c r="L106" s="31">
        <f t="shared" si="11"/>
        <v>40</v>
      </c>
      <c r="M106" s="31" t="s">
        <v>1247</v>
      </c>
      <c r="N106" s="31"/>
      <c r="O106" s="31"/>
      <c r="P106" s="31"/>
      <c r="Q106" s="31"/>
      <c r="R106" s="31" t="s">
        <v>1249</v>
      </c>
      <c r="S106" s="31"/>
      <c r="T106" s="31" t="str">
        <f t="shared" si="7"/>
        <v>Cước vận chuyển vỏ container 40 từ bãi JJ, Hải Phòng đến Nam Đình Vũ, Hải Phòng</v>
      </c>
      <c r="U106" s="31"/>
    </row>
    <row r="107" spans="1:21" s="29" customFormat="1" ht="18" hidden="1" customHeight="1" x14ac:dyDescent="0.25">
      <c r="A107" s="44">
        <v>98</v>
      </c>
      <c r="B107" s="177">
        <v>46118</v>
      </c>
      <c r="C107" s="116" t="s">
        <v>884</v>
      </c>
      <c r="D107" s="116">
        <v>40</v>
      </c>
      <c r="E107" s="116" t="s">
        <v>20</v>
      </c>
      <c r="F107" s="53" t="s">
        <v>868</v>
      </c>
      <c r="G107" s="187">
        <v>428000</v>
      </c>
      <c r="H107" s="53" t="s">
        <v>28</v>
      </c>
      <c r="I107" s="31" t="s">
        <v>1246</v>
      </c>
      <c r="J107" s="31"/>
      <c r="K107" s="31"/>
      <c r="L107" s="31">
        <f t="shared" si="11"/>
        <v>40</v>
      </c>
      <c r="M107" s="31" t="s">
        <v>1247</v>
      </c>
      <c r="N107" s="31"/>
      <c r="O107" s="31"/>
      <c r="P107" s="31"/>
      <c r="Q107" s="31"/>
      <c r="R107" s="31" t="s">
        <v>1249</v>
      </c>
      <c r="S107" s="31"/>
      <c r="T107" s="31" t="str">
        <f t="shared" si="7"/>
        <v>Cước vận chuyển vỏ container 40 từ bãi JJ, Hải Phòng đến Nam Đình Vũ, Hải Phòng</v>
      </c>
      <c r="U107" s="31"/>
    </row>
    <row r="108" spans="1:21" s="29" customFormat="1" ht="18" hidden="1" customHeight="1" x14ac:dyDescent="0.25">
      <c r="A108" s="44">
        <v>99</v>
      </c>
      <c r="B108" s="177">
        <v>46118</v>
      </c>
      <c r="C108" s="116" t="s">
        <v>885</v>
      </c>
      <c r="D108" s="116">
        <v>40</v>
      </c>
      <c r="E108" s="116" t="s">
        <v>20</v>
      </c>
      <c r="F108" s="53" t="s">
        <v>868</v>
      </c>
      <c r="G108" s="187">
        <v>428000</v>
      </c>
      <c r="H108" s="53" t="s">
        <v>28</v>
      </c>
      <c r="I108" s="31" t="s">
        <v>1246</v>
      </c>
      <c r="J108" s="31"/>
      <c r="K108" s="31"/>
      <c r="L108" s="31">
        <f t="shared" si="11"/>
        <v>40</v>
      </c>
      <c r="M108" s="31" t="s">
        <v>1247</v>
      </c>
      <c r="N108" s="31"/>
      <c r="O108" s="31"/>
      <c r="P108" s="31"/>
      <c r="Q108" s="31"/>
      <c r="R108" s="31" t="s">
        <v>1249</v>
      </c>
      <c r="S108" s="31"/>
      <c r="T108" s="31" t="str">
        <f t="shared" si="7"/>
        <v>Cước vận chuyển vỏ container 40 từ bãi JJ, Hải Phòng đến Nam Đình Vũ, Hải Phòng</v>
      </c>
      <c r="U108" s="31"/>
    </row>
    <row r="109" spans="1:21" s="29" customFormat="1" ht="18" hidden="1" customHeight="1" x14ac:dyDescent="0.25">
      <c r="A109" s="44">
        <v>100</v>
      </c>
      <c r="B109" s="177">
        <v>46118</v>
      </c>
      <c r="C109" s="116" t="s">
        <v>886</v>
      </c>
      <c r="D109" s="116">
        <v>20</v>
      </c>
      <c r="E109" s="116" t="s">
        <v>20</v>
      </c>
      <c r="F109" s="53" t="s">
        <v>868</v>
      </c>
      <c r="G109" s="124">
        <v>234000</v>
      </c>
      <c r="H109" s="53" t="s">
        <v>28</v>
      </c>
      <c r="I109" s="31" t="s">
        <v>1246</v>
      </c>
      <c r="J109" s="31"/>
      <c r="K109" s="31"/>
      <c r="L109" s="31">
        <f t="shared" ref="L109:L139" si="12">D109</f>
        <v>20</v>
      </c>
      <c r="M109" s="31" t="s">
        <v>1247</v>
      </c>
      <c r="N109" s="31"/>
      <c r="O109" s="31"/>
      <c r="P109" s="31"/>
      <c r="Q109" s="31"/>
      <c r="R109" s="31" t="s">
        <v>1249</v>
      </c>
      <c r="S109" s="31"/>
      <c r="T109" s="31" t="str">
        <f t="shared" si="7"/>
        <v>Cước vận chuyển vỏ container 20 từ bãi JJ, Hải Phòng đến Nam Đình Vũ, Hải Phòng</v>
      </c>
      <c r="U109" s="31"/>
    </row>
    <row r="110" spans="1:21" s="29" customFormat="1" ht="18" hidden="1" customHeight="1" x14ac:dyDescent="0.25">
      <c r="A110" s="44">
        <v>101</v>
      </c>
      <c r="B110" s="177">
        <v>46118</v>
      </c>
      <c r="C110" s="116" t="s">
        <v>887</v>
      </c>
      <c r="D110" s="116">
        <v>20</v>
      </c>
      <c r="E110" s="116" t="s">
        <v>20</v>
      </c>
      <c r="F110" s="53" t="s">
        <v>868</v>
      </c>
      <c r="G110" s="124">
        <v>234000</v>
      </c>
      <c r="H110" s="53" t="s">
        <v>28</v>
      </c>
      <c r="I110" s="31" t="s">
        <v>1246</v>
      </c>
      <c r="J110" s="31"/>
      <c r="K110" s="31"/>
      <c r="L110" s="31">
        <f t="shared" si="12"/>
        <v>20</v>
      </c>
      <c r="M110" s="31" t="s">
        <v>1247</v>
      </c>
      <c r="N110" s="31"/>
      <c r="O110" s="31"/>
      <c r="P110" s="31"/>
      <c r="Q110" s="31"/>
      <c r="R110" s="31" t="s">
        <v>1249</v>
      </c>
      <c r="S110" s="31"/>
      <c r="T110" s="31" t="str">
        <f t="shared" si="7"/>
        <v>Cước vận chuyển vỏ container 20 từ bãi JJ, Hải Phòng đến Nam Đình Vũ, Hải Phòng</v>
      </c>
      <c r="U110" s="31"/>
    </row>
    <row r="111" spans="1:21" s="29" customFormat="1" ht="18" hidden="1" customHeight="1" x14ac:dyDescent="0.25">
      <c r="A111" s="44">
        <v>102</v>
      </c>
      <c r="B111" s="177">
        <v>46118</v>
      </c>
      <c r="C111" s="116" t="s">
        <v>888</v>
      </c>
      <c r="D111" s="116">
        <v>40</v>
      </c>
      <c r="E111" s="116" t="s">
        <v>20</v>
      </c>
      <c r="F111" s="53" t="s">
        <v>868</v>
      </c>
      <c r="G111" s="187">
        <v>428000</v>
      </c>
      <c r="H111" s="53" t="s">
        <v>19</v>
      </c>
      <c r="I111" s="31" t="s">
        <v>1246</v>
      </c>
      <c r="J111" s="31"/>
      <c r="K111" s="31"/>
      <c r="L111" s="31">
        <f t="shared" si="12"/>
        <v>40</v>
      </c>
      <c r="M111" s="31" t="s">
        <v>1247</v>
      </c>
      <c r="N111" s="31"/>
      <c r="O111" s="31"/>
      <c r="P111" s="31"/>
      <c r="Q111" s="31"/>
      <c r="R111" s="31" t="s">
        <v>1249</v>
      </c>
      <c r="S111" s="31"/>
      <c r="T111" s="31" t="str">
        <f t="shared" si="7"/>
        <v>Cước vận chuyển vỏ container 40 từ bãi JJ, Hải Phòng đến Nam Đình Vũ, Hải Phòng</v>
      </c>
      <c r="U111" s="31"/>
    </row>
    <row r="112" spans="1:21" s="29" customFormat="1" ht="18" hidden="1" customHeight="1" x14ac:dyDescent="0.25">
      <c r="A112" s="44">
        <v>103</v>
      </c>
      <c r="B112" s="177">
        <v>46118</v>
      </c>
      <c r="C112" s="116" t="s">
        <v>889</v>
      </c>
      <c r="D112" s="116">
        <v>40</v>
      </c>
      <c r="E112" s="116" t="s">
        <v>20</v>
      </c>
      <c r="F112" s="53" t="s">
        <v>868</v>
      </c>
      <c r="G112" s="187">
        <v>428000</v>
      </c>
      <c r="H112" s="53" t="s">
        <v>19</v>
      </c>
      <c r="I112" s="31" t="s">
        <v>1246</v>
      </c>
      <c r="J112" s="31"/>
      <c r="K112" s="31"/>
      <c r="L112" s="31">
        <f t="shared" si="12"/>
        <v>40</v>
      </c>
      <c r="M112" s="31" t="s">
        <v>1247</v>
      </c>
      <c r="N112" s="31"/>
      <c r="O112" s="31"/>
      <c r="P112" s="31"/>
      <c r="Q112" s="31"/>
      <c r="R112" s="31" t="s">
        <v>1249</v>
      </c>
      <c r="S112" s="31"/>
      <c r="T112" s="31" t="str">
        <f t="shared" si="7"/>
        <v>Cước vận chuyển vỏ container 40 từ bãi JJ, Hải Phòng đến Nam Đình Vũ, Hải Phòng</v>
      </c>
      <c r="U112" s="31"/>
    </row>
    <row r="113" spans="1:21" s="29" customFormat="1" ht="18" hidden="1" customHeight="1" x14ac:dyDescent="0.25">
      <c r="A113" s="44">
        <v>104</v>
      </c>
      <c r="B113" s="177">
        <v>46118</v>
      </c>
      <c r="C113" s="116" t="s">
        <v>890</v>
      </c>
      <c r="D113" s="116">
        <v>40</v>
      </c>
      <c r="E113" s="116" t="s">
        <v>20</v>
      </c>
      <c r="F113" s="53" t="s">
        <v>868</v>
      </c>
      <c r="G113" s="187">
        <v>428000</v>
      </c>
      <c r="H113" s="53" t="s">
        <v>19</v>
      </c>
      <c r="I113" s="31" t="s">
        <v>1246</v>
      </c>
      <c r="J113" s="31"/>
      <c r="K113" s="31"/>
      <c r="L113" s="31">
        <f t="shared" si="12"/>
        <v>40</v>
      </c>
      <c r="M113" s="31" t="s">
        <v>1247</v>
      </c>
      <c r="N113" s="31"/>
      <c r="O113" s="31"/>
      <c r="P113" s="31"/>
      <c r="Q113" s="31"/>
      <c r="R113" s="31" t="s">
        <v>1249</v>
      </c>
      <c r="S113" s="31"/>
      <c r="T113" s="31" t="str">
        <f t="shared" si="7"/>
        <v>Cước vận chuyển vỏ container 40 từ bãi JJ, Hải Phòng đến Nam Đình Vũ, Hải Phòng</v>
      </c>
      <c r="U113" s="31"/>
    </row>
    <row r="114" spans="1:21" s="29" customFormat="1" ht="18" hidden="1" customHeight="1" x14ac:dyDescent="0.25">
      <c r="A114" s="44">
        <v>105</v>
      </c>
      <c r="B114" s="177">
        <v>46118</v>
      </c>
      <c r="C114" s="116" t="s">
        <v>891</v>
      </c>
      <c r="D114" s="116">
        <v>40</v>
      </c>
      <c r="E114" s="116" t="s">
        <v>20</v>
      </c>
      <c r="F114" s="53" t="s">
        <v>868</v>
      </c>
      <c r="G114" s="187">
        <v>428000</v>
      </c>
      <c r="H114" s="53" t="s">
        <v>19</v>
      </c>
      <c r="I114" s="31" t="s">
        <v>1246</v>
      </c>
      <c r="J114" s="31"/>
      <c r="K114" s="31"/>
      <c r="L114" s="31">
        <f t="shared" si="12"/>
        <v>40</v>
      </c>
      <c r="M114" s="31" t="s">
        <v>1247</v>
      </c>
      <c r="N114" s="31"/>
      <c r="O114" s="31"/>
      <c r="P114" s="31"/>
      <c r="Q114" s="31"/>
      <c r="R114" s="31" t="s">
        <v>1249</v>
      </c>
      <c r="S114" s="31"/>
      <c r="T114" s="31" t="str">
        <f t="shared" si="7"/>
        <v>Cước vận chuyển vỏ container 40 từ bãi JJ, Hải Phòng đến Nam Đình Vũ, Hải Phòng</v>
      </c>
      <c r="U114" s="31"/>
    </row>
    <row r="115" spans="1:21" s="29" customFormat="1" ht="18" hidden="1" customHeight="1" x14ac:dyDescent="0.25">
      <c r="A115" s="44">
        <v>106</v>
      </c>
      <c r="B115" s="177">
        <v>46118</v>
      </c>
      <c r="C115" s="116" t="s">
        <v>892</v>
      </c>
      <c r="D115" s="116">
        <v>40</v>
      </c>
      <c r="E115" s="116" t="s">
        <v>20</v>
      </c>
      <c r="F115" s="53" t="s">
        <v>868</v>
      </c>
      <c r="G115" s="187">
        <v>428000</v>
      </c>
      <c r="H115" s="53" t="s">
        <v>19</v>
      </c>
      <c r="I115" s="31" t="s">
        <v>1246</v>
      </c>
      <c r="J115" s="31"/>
      <c r="K115" s="31"/>
      <c r="L115" s="31">
        <f t="shared" si="12"/>
        <v>40</v>
      </c>
      <c r="M115" s="31" t="s">
        <v>1247</v>
      </c>
      <c r="N115" s="31"/>
      <c r="O115" s="31"/>
      <c r="P115" s="31"/>
      <c r="Q115" s="31"/>
      <c r="R115" s="31" t="s">
        <v>1249</v>
      </c>
      <c r="S115" s="31"/>
      <c r="T115" s="31" t="str">
        <f t="shared" si="7"/>
        <v>Cước vận chuyển vỏ container 40 từ bãi JJ, Hải Phòng đến Nam Đình Vũ, Hải Phòng</v>
      </c>
      <c r="U115" s="31"/>
    </row>
    <row r="116" spans="1:21" s="29" customFormat="1" ht="18" hidden="1" customHeight="1" x14ac:dyDescent="0.25">
      <c r="A116" s="44">
        <v>107</v>
      </c>
      <c r="B116" s="48">
        <v>46118</v>
      </c>
      <c r="C116" s="44" t="s">
        <v>893</v>
      </c>
      <c r="D116" s="90">
        <v>40</v>
      </c>
      <c r="E116" s="53" t="s">
        <v>20</v>
      </c>
      <c r="F116" s="53" t="s">
        <v>868</v>
      </c>
      <c r="G116" s="187">
        <v>428000</v>
      </c>
      <c r="H116" s="53" t="s">
        <v>828</v>
      </c>
      <c r="I116" s="31" t="s">
        <v>1246</v>
      </c>
      <c r="J116" s="31"/>
      <c r="K116" s="31"/>
      <c r="L116" s="31">
        <f t="shared" si="12"/>
        <v>40</v>
      </c>
      <c r="M116" s="31" t="s">
        <v>1247</v>
      </c>
      <c r="N116" s="31"/>
      <c r="O116" s="31"/>
      <c r="P116" s="31"/>
      <c r="Q116" s="31"/>
      <c r="R116" s="31" t="s">
        <v>1249</v>
      </c>
      <c r="S116" s="31"/>
      <c r="T116" s="31" t="str">
        <f t="shared" si="7"/>
        <v>Cước vận chuyển vỏ container 40 từ bãi JJ, Hải Phòng đến Nam Đình Vũ, Hải Phòng</v>
      </c>
      <c r="U116" s="31"/>
    </row>
    <row r="117" spans="1:21" s="29" customFormat="1" ht="18" hidden="1" customHeight="1" x14ac:dyDescent="0.25">
      <c r="A117" s="44">
        <v>108</v>
      </c>
      <c r="B117" s="48">
        <v>46118</v>
      </c>
      <c r="C117" s="44" t="s">
        <v>894</v>
      </c>
      <c r="D117" s="90">
        <v>40</v>
      </c>
      <c r="E117" s="53" t="s">
        <v>20</v>
      </c>
      <c r="F117" s="53" t="s">
        <v>868</v>
      </c>
      <c r="G117" s="187">
        <v>428000</v>
      </c>
      <c r="H117" s="53" t="s">
        <v>828</v>
      </c>
      <c r="I117" s="31" t="s">
        <v>1246</v>
      </c>
      <c r="J117" s="31"/>
      <c r="K117" s="31"/>
      <c r="L117" s="31">
        <f t="shared" si="12"/>
        <v>40</v>
      </c>
      <c r="M117" s="31" t="s">
        <v>1247</v>
      </c>
      <c r="N117" s="31"/>
      <c r="O117" s="31"/>
      <c r="P117" s="31"/>
      <c r="Q117" s="31"/>
      <c r="R117" s="31" t="s">
        <v>1249</v>
      </c>
      <c r="S117" s="31"/>
      <c r="T117" s="31" t="str">
        <f t="shared" si="7"/>
        <v>Cước vận chuyển vỏ container 40 từ bãi JJ, Hải Phòng đến Nam Đình Vũ, Hải Phòng</v>
      </c>
      <c r="U117" s="31"/>
    </row>
    <row r="118" spans="1:21" s="29" customFormat="1" ht="18" hidden="1" customHeight="1" x14ac:dyDescent="0.25">
      <c r="A118" s="44">
        <v>109</v>
      </c>
      <c r="B118" s="48">
        <v>46118</v>
      </c>
      <c r="C118" s="44" t="s">
        <v>895</v>
      </c>
      <c r="D118" s="90">
        <v>40</v>
      </c>
      <c r="E118" s="53" t="s">
        <v>20</v>
      </c>
      <c r="F118" s="53" t="s">
        <v>868</v>
      </c>
      <c r="G118" s="187">
        <v>428000</v>
      </c>
      <c r="H118" s="53" t="s">
        <v>828</v>
      </c>
      <c r="I118" s="31" t="s">
        <v>1246</v>
      </c>
      <c r="J118" s="31"/>
      <c r="K118" s="31"/>
      <c r="L118" s="31">
        <f t="shared" si="12"/>
        <v>40</v>
      </c>
      <c r="M118" s="31" t="s">
        <v>1247</v>
      </c>
      <c r="N118" s="31"/>
      <c r="O118" s="31"/>
      <c r="P118" s="31"/>
      <c r="Q118" s="31"/>
      <c r="R118" s="31" t="s">
        <v>1249</v>
      </c>
      <c r="S118" s="31"/>
      <c r="T118" s="31" t="str">
        <f t="shared" si="7"/>
        <v>Cước vận chuyển vỏ container 40 từ bãi JJ, Hải Phòng đến Nam Đình Vũ, Hải Phòng</v>
      </c>
      <c r="U118" s="31"/>
    </row>
    <row r="119" spans="1:21" s="29" customFormat="1" ht="18" hidden="1" customHeight="1" x14ac:dyDescent="0.25">
      <c r="A119" s="44">
        <v>110</v>
      </c>
      <c r="B119" s="48">
        <v>46118</v>
      </c>
      <c r="C119" s="44" t="s">
        <v>896</v>
      </c>
      <c r="D119" s="90">
        <v>40</v>
      </c>
      <c r="E119" s="53" t="s">
        <v>20</v>
      </c>
      <c r="F119" s="53" t="s">
        <v>868</v>
      </c>
      <c r="G119" s="187">
        <v>428000</v>
      </c>
      <c r="H119" s="53" t="s">
        <v>828</v>
      </c>
      <c r="I119" s="31" t="s">
        <v>1246</v>
      </c>
      <c r="J119" s="31"/>
      <c r="K119" s="31"/>
      <c r="L119" s="31">
        <f t="shared" si="12"/>
        <v>40</v>
      </c>
      <c r="M119" s="31" t="s">
        <v>1247</v>
      </c>
      <c r="N119" s="31"/>
      <c r="O119" s="31"/>
      <c r="P119" s="31"/>
      <c r="Q119" s="31"/>
      <c r="R119" s="31" t="s">
        <v>1249</v>
      </c>
      <c r="S119" s="31"/>
      <c r="T119" s="31" t="str">
        <f t="shared" si="7"/>
        <v>Cước vận chuyển vỏ container 40 từ bãi JJ, Hải Phòng đến Nam Đình Vũ, Hải Phòng</v>
      </c>
      <c r="U119" s="31"/>
    </row>
    <row r="120" spans="1:21" s="29" customFormat="1" ht="18" hidden="1" customHeight="1" x14ac:dyDescent="0.25">
      <c r="A120" s="44">
        <v>111</v>
      </c>
      <c r="B120" s="48">
        <v>46118</v>
      </c>
      <c r="C120" s="44" t="s">
        <v>897</v>
      </c>
      <c r="D120" s="90">
        <v>40</v>
      </c>
      <c r="E120" s="53" t="s">
        <v>20</v>
      </c>
      <c r="F120" s="53" t="s">
        <v>868</v>
      </c>
      <c r="G120" s="187">
        <v>428000</v>
      </c>
      <c r="H120" s="53" t="s">
        <v>828</v>
      </c>
      <c r="I120" s="31" t="s">
        <v>1246</v>
      </c>
      <c r="J120" s="31"/>
      <c r="K120" s="31"/>
      <c r="L120" s="31">
        <f t="shared" si="12"/>
        <v>40</v>
      </c>
      <c r="M120" s="31" t="s">
        <v>1247</v>
      </c>
      <c r="N120" s="31"/>
      <c r="O120" s="31"/>
      <c r="P120" s="31"/>
      <c r="Q120" s="31"/>
      <c r="R120" s="31" t="s">
        <v>1249</v>
      </c>
      <c r="S120" s="31"/>
      <c r="T120" s="31" t="str">
        <f t="shared" si="7"/>
        <v>Cước vận chuyển vỏ container 40 từ bãi JJ, Hải Phòng đến Nam Đình Vũ, Hải Phòng</v>
      </c>
      <c r="U120" s="31"/>
    </row>
    <row r="121" spans="1:21" s="29" customFormat="1" ht="18" hidden="1" customHeight="1" x14ac:dyDescent="0.25">
      <c r="A121" s="44">
        <v>112</v>
      </c>
      <c r="B121" s="48">
        <v>46118</v>
      </c>
      <c r="C121" s="44" t="s">
        <v>898</v>
      </c>
      <c r="D121" s="90">
        <v>40</v>
      </c>
      <c r="E121" s="53" t="s">
        <v>20</v>
      </c>
      <c r="F121" s="53" t="s">
        <v>868</v>
      </c>
      <c r="G121" s="187">
        <v>428000</v>
      </c>
      <c r="H121" s="53" t="s">
        <v>828</v>
      </c>
      <c r="I121" s="31" t="s">
        <v>1246</v>
      </c>
      <c r="J121" s="31"/>
      <c r="K121" s="31"/>
      <c r="L121" s="31">
        <f t="shared" si="12"/>
        <v>40</v>
      </c>
      <c r="M121" s="31" t="s">
        <v>1247</v>
      </c>
      <c r="N121" s="31"/>
      <c r="O121" s="31"/>
      <c r="P121" s="31"/>
      <c r="Q121" s="31"/>
      <c r="R121" s="31" t="s">
        <v>1249</v>
      </c>
      <c r="S121" s="31"/>
      <c r="T121" s="31" t="str">
        <f t="shared" si="7"/>
        <v>Cước vận chuyển vỏ container 40 từ bãi JJ, Hải Phòng đến Nam Đình Vũ, Hải Phòng</v>
      </c>
      <c r="U121" s="31"/>
    </row>
    <row r="122" spans="1:21" s="29" customFormat="1" ht="18" hidden="1" customHeight="1" x14ac:dyDescent="0.25">
      <c r="A122" s="44">
        <v>113</v>
      </c>
      <c r="B122" s="48">
        <v>46118</v>
      </c>
      <c r="C122" s="44" t="s">
        <v>899</v>
      </c>
      <c r="D122" s="90">
        <v>40</v>
      </c>
      <c r="E122" s="53" t="s">
        <v>20</v>
      </c>
      <c r="F122" s="53" t="s">
        <v>868</v>
      </c>
      <c r="G122" s="187">
        <v>428000</v>
      </c>
      <c r="H122" s="53" t="s">
        <v>828</v>
      </c>
      <c r="I122" s="31" t="s">
        <v>1246</v>
      </c>
      <c r="J122" s="31"/>
      <c r="K122" s="31"/>
      <c r="L122" s="31">
        <f t="shared" si="12"/>
        <v>40</v>
      </c>
      <c r="M122" s="31" t="s">
        <v>1247</v>
      </c>
      <c r="N122" s="31"/>
      <c r="O122" s="31"/>
      <c r="P122" s="31"/>
      <c r="Q122" s="31"/>
      <c r="R122" s="31" t="s">
        <v>1249</v>
      </c>
      <c r="S122" s="31"/>
      <c r="T122" s="31" t="str">
        <f t="shared" si="7"/>
        <v>Cước vận chuyển vỏ container 40 từ bãi JJ, Hải Phòng đến Nam Đình Vũ, Hải Phòng</v>
      </c>
      <c r="U122" s="31"/>
    </row>
    <row r="123" spans="1:21" s="29" customFormat="1" ht="18" hidden="1" customHeight="1" x14ac:dyDescent="0.25">
      <c r="A123" s="44">
        <v>114</v>
      </c>
      <c r="B123" s="48">
        <v>46118</v>
      </c>
      <c r="C123" s="44" t="s">
        <v>900</v>
      </c>
      <c r="D123" s="90">
        <v>40</v>
      </c>
      <c r="E123" s="53" t="s">
        <v>20</v>
      </c>
      <c r="F123" s="53" t="s">
        <v>868</v>
      </c>
      <c r="G123" s="187">
        <v>428000</v>
      </c>
      <c r="H123" s="53" t="s">
        <v>828</v>
      </c>
      <c r="I123" s="31" t="s">
        <v>1246</v>
      </c>
      <c r="J123" s="31"/>
      <c r="K123" s="31"/>
      <c r="L123" s="31">
        <f t="shared" si="12"/>
        <v>40</v>
      </c>
      <c r="M123" s="31" t="s">
        <v>1247</v>
      </c>
      <c r="N123" s="31"/>
      <c r="O123" s="31"/>
      <c r="P123" s="31"/>
      <c r="Q123" s="31"/>
      <c r="R123" s="31" t="s">
        <v>1249</v>
      </c>
      <c r="S123" s="31"/>
      <c r="T123" s="31" t="str">
        <f t="shared" si="7"/>
        <v>Cước vận chuyển vỏ container 40 từ bãi JJ, Hải Phòng đến Nam Đình Vũ, Hải Phòng</v>
      </c>
      <c r="U123" s="31"/>
    </row>
    <row r="124" spans="1:21" s="29" customFormat="1" ht="18" hidden="1" customHeight="1" x14ac:dyDescent="0.25">
      <c r="A124" s="44">
        <v>115</v>
      </c>
      <c r="B124" s="48">
        <v>46118</v>
      </c>
      <c r="C124" s="44" t="s">
        <v>901</v>
      </c>
      <c r="D124" s="90">
        <v>40</v>
      </c>
      <c r="E124" s="53" t="s">
        <v>20</v>
      </c>
      <c r="F124" s="53" t="s">
        <v>868</v>
      </c>
      <c r="G124" s="187">
        <v>428000</v>
      </c>
      <c r="H124" s="53" t="s">
        <v>828</v>
      </c>
      <c r="I124" s="31" t="s">
        <v>1246</v>
      </c>
      <c r="J124" s="31"/>
      <c r="K124" s="31"/>
      <c r="L124" s="31">
        <f t="shared" si="12"/>
        <v>40</v>
      </c>
      <c r="M124" s="31" t="s">
        <v>1247</v>
      </c>
      <c r="N124" s="31"/>
      <c r="O124" s="31"/>
      <c r="P124" s="31"/>
      <c r="Q124" s="31"/>
      <c r="R124" s="31" t="s">
        <v>1249</v>
      </c>
      <c r="S124" s="31"/>
      <c r="T124" s="31" t="str">
        <f t="shared" si="7"/>
        <v>Cước vận chuyển vỏ container 40 từ bãi JJ, Hải Phòng đến Nam Đình Vũ, Hải Phòng</v>
      </c>
      <c r="U124" s="31"/>
    </row>
    <row r="125" spans="1:21" s="29" customFormat="1" ht="18" hidden="1" customHeight="1" x14ac:dyDescent="0.25">
      <c r="A125" s="44">
        <v>116</v>
      </c>
      <c r="B125" s="48">
        <v>46118</v>
      </c>
      <c r="C125" s="44" t="s">
        <v>902</v>
      </c>
      <c r="D125" s="90">
        <v>40</v>
      </c>
      <c r="E125" s="53" t="s">
        <v>20</v>
      </c>
      <c r="F125" s="53" t="s">
        <v>868</v>
      </c>
      <c r="G125" s="187">
        <v>428000</v>
      </c>
      <c r="H125" s="53" t="s">
        <v>828</v>
      </c>
      <c r="I125" s="31" t="s">
        <v>1246</v>
      </c>
      <c r="J125" s="31"/>
      <c r="K125" s="31"/>
      <c r="L125" s="31">
        <f t="shared" si="12"/>
        <v>40</v>
      </c>
      <c r="M125" s="31" t="s">
        <v>1247</v>
      </c>
      <c r="N125" s="31"/>
      <c r="O125" s="31"/>
      <c r="P125" s="31"/>
      <c r="Q125" s="31"/>
      <c r="R125" s="31" t="s">
        <v>1249</v>
      </c>
      <c r="S125" s="31"/>
      <c r="T125" s="31" t="str">
        <f t="shared" si="7"/>
        <v>Cước vận chuyển vỏ container 40 từ bãi JJ, Hải Phòng đến Nam Đình Vũ, Hải Phòng</v>
      </c>
      <c r="U125" s="31"/>
    </row>
    <row r="126" spans="1:21" s="29" customFormat="1" ht="18" hidden="1" customHeight="1" x14ac:dyDescent="0.25">
      <c r="A126" s="44">
        <v>117</v>
      </c>
      <c r="B126" s="48">
        <v>46118</v>
      </c>
      <c r="C126" s="44" t="s">
        <v>903</v>
      </c>
      <c r="D126" s="90">
        <v>40</v>
      </c>
      <c r="E126" s="53" t="s">
        <v>20</v>
      </c>
      <c r="F126" s="53" t="s">
        <v>868</v>
      </c>
      <c r="G126" s="187">
        <v>428000</v>
      </c>
      <c r="H126" s="53" t="s">
        <v>828</v>
      </c>
      <c r="I126" s="31" t="s">
        <v>1246</v>
      </c>
      <c r="J126" s="31"/>
      <c r="K126" s="31"/>
      <c r="L126" s="31">
        <f t="shared" si="12"/>
        <v>40</v>
      </c>
      <c r="M126" s="31" t="s">
        <v>1247</v>
      </c>
      <c r="N126" s="31"/>
      <c r="O126" s="31"/>
      <c r="P126" s="31"/>
      <c r="Q126" s="31"/>
      <c r="R126" s="31" t="s">
        <v>1249</v>
      </c>
      <c r="S126" s="31"/>
      <c r="T126" s="31" t="str">
        <f t="shared" si="7"/>
        <v>Cước vận chuyển vỏ container 40 từ bãi JJ, Hải Phòng đến Nam Đình Vũ, Hải Phòng</v>
      </c>
      <c r="U126" s="31"/>
    </row>
    <row r="127" spans="1:21" s="29" customFormat="1" ht="18" hidden="1" customHeight="1" x14ac:dyDescent="0.25">
      <c r="A127" s="44">
        <v>118</v>
      </c>
      <c r="B127" s="48">
        <v>46118</v>
      </c>
      <c r="C127" s="44" t="s">
        <v>904</v>
      </c>
      <c r="D127" s="90">
        <v>40</v>
      </c>
      <c r="E127" s="53" t="s">
        <v>20</v>
      </c>
      <c r="F127" s="53" t="s">
        <v>868</v>
      </c>
      <c r="G127" s="187">
        <v>428000</v>
      </c>
      <c r="H127" s="53" t="s">
        <v>828</v>
      </c>
      <c r="I127" s="31" t="s">
        <v>1246</v>
      </c>
      <c r="J127" s="31"/>
      <c r="K127" s="31"/>
      <c r="L127" s="31">
        <f t="shared" si="12"/>
        <v>40</v>
      </c>
      <c r="M127" s="31" t="s">
        <v>1247</v>
      </c>
      <c r="N127" s="31"/>
      <c r="O127" s="31"/>
      <c r="P127" s="31"/>
      <c r="Q127" s="31"/>
      <c r="R127" s="31" t="s">
        <v>1249</v>
      </c>
      <c r="S127" s="31"/>
      <c r="T127" s="31" t="str">
        <f t="shared" si="7"/>
        <v>Cước vận chuyển vỏ container 40 từ bãi JJ, Hải Phòng đến Nam Đình Vũ, Hải Phòng</v>
      </c>
      <c r="U127" s="31"/>
    </row>
    <row r="128" spans="1:21" s="29" customFormat="1" ht="18" hidden="1" customHeight="1" x14ac:dyDescent="0.25">
      <c r="A128" s="44">
        <v>119</v>
      </c>
      <c r="B128" s="54">
        <v>46118</v>
      </c>
      <c r="C128" s="53" t="s">
        <v>914</v>
      </c>
      <c r="D128" s="116">
        <v>40</v>
      </c>
      <c r="E128" s="53" t="s">
        <v>20</v>
      </c>
      <c r="F128" s="53" t="s">
        <v>868</v>
      </c>
      <c r="G128" s="187">
        <v>428000</v>
      </c>
      <c r="H128" s="53" t="s">
        <v>25</v>
      </c>
      <c r="I128" s="31" t="s">
        <v>1246</v>
      </c>
      <c r="J128" s="31"/>
      <c r="K128" s="31"/>
      <c r="L128" s="31">
        <f t="shared" si="12"/>
        <v>40</v>
      </c>
      <c r="M128" s="31" t="s">
        <v>1247</v>
      </c>
      <c r="N128" s="31"/>
      <c r="O128" s="31"/>
      <c r="P128" s="31"/>
      <c r="Q128" s="31"/>
      <c r="R128" s="31" t="s">
        <v>1249</v>
      </c>
      <c r="S128" s="31"/>
      <c r="T128" s="31" t="str">
        <f t="shared" si="7"/>
        <v>Cước vận chuyển vỏ container 40 từ bãi JJ, Hải Phòng đến Nam Đình Vũ, Hải Phòng</v>
      </c>
      <c r="U128" s="31"/>
    </row>
    <row r="129" spans="1:21" s="29" customFormat="1" ht="18" hidden="1" customHeight="1" x14ac:dyDescent="0.25">
      <c r="A129" s="44">
        <v>120</v>
      </c>
      <c r="B129" s="54">
        <v>46118</v>
      </c>
      <c r="C129" s="53" t="s">
        <v>915</v>
      </c>
      <c r="D129" s="116">
        <v>40</v>
      </c>
      <c r="E129" s="53" t="s">
        <v>20</v>
      </c>
      <c r="F129" s="53" t="s">
        <v>868</v>
      </c>
      <c r="G129" s="187">
        <v>428000</v>
      </c>
      <c r="H129" s="53" t="s">
        <v>25</v>
      </c>
      <c r="I129" s="31" t="s">
        <v>1246</v>
      </c>
      <c r="J129" s="31"/>
      <c r="K129" s="31"/>
      <c r="L129" s="31">
        <f t="shared" si="12"/>
        <v>40</v>
      </c>
      <c r="M129" s="31" t="s">
        <v>1247</v>
      </c>
      <c r="N129" s="31"/>
      <c r="O129" s="31"/>
      <c r="P129" s="31"/>
      <c r="Q129" s="31"/>
      <c r="R129" s="31" t="s">
        <v>1249</v>
      </c>
      <c r="S129" s="31"/>
      <c r="T129" s="31" t="str">
        <f t="shared" si="7"/>
        <v>Cước vận chuyển vỏ container 40 từ bãi JJ, Hải Phòng đến Nam Đình Vũ, Hải Phòng</v>
      </c>
      <c r="U129" s="31"/>
    </row>
    <row r="130" spans="1:21" s="29" customFormat="1" ht="18" hidden="1" customHeight="1" x14ac:dyDescent="0.25">
      <c r="A130" s="44">
        <v>121</v>
      </c>
      <c r="B130" s="54">
        <v>46118</v>
      </c>
      <c r="C130" s="53" t="s">
        <v>916</v>
      </c>
      <c r="D130" s="116">
        <v>40</v>
      </c>
      <c r="E130" s="53" t="s">
        <v>20</v>
      </c>
      <c r="F130" s="53" t="s">
        <v>868</v>
      </c>
      <c r="G130" s="187">
        <v>428000</v>
      </c>
      <c r="H130" s="53" t="s">
        <v>25</v>
      </c>
      <c r="I130" s="31" t="s">
        <v>1246</v>
      </c>
      <c r="J130" s="31"/>
      <c r="K130" s="31"/>
      <c r="L130" s="31">
        <f t="shared" si="12"/>
        <v>40</v>
      </c>
      <c r="M130" s="31" t="s">
        <v>1247</v>
      </c>
      <c r="N130" s="31"/>
      <c r="O130" s="31"/>
      <c r="P130" s="31"/>
      <c r="Q130" s="31"/>
      <c r="R130" s="31" t="s">
        <v>1249</v>
      </c>
      <c r="S130" s="31"/>
      <c r="T130" s="31" t="str">
        <f t="shared" si="7"/>
        <v>Cước vận chuyển vỏ container 40 từ bãi JJ, Hải Phòng đến Nam Đình Vũ, Hải Phòng</v>
      </c>
      <c r="U130" s="31"/>
    </row>
    <row r="131" spans="1:21" s="29" customFormat="1" ht="18" hidden="1" customHeight="1" x14ac:dyDescent="0.25">
      <c r="A131" s="44">
        <v>122</v>
      </c>
      <c r="B131" s="54">
        <v>46118</v>
      </c>
      <c r="C131" s="53" t="s">
        <v>917</v>
      </c>
      <c r="D131" s="116">
        <v>40</v>
      </c>
      <c r="E131" s="53" t="s">
        <v>20</v>
      </c>
      <c r="F131" s="53" t="s">
        <v>868</v>
      </c>
      <c r="G131" s="187">
        <v>428000</v>
      </c>
      <c r="H131" s="53" t="s">
        <v>25</v>
      </c>
      <c r="I131" s="31" t="s">
        <v>1246</v>
      </c>
      <c r="J131" s="31"/>
      <c r="K131" s="31"/>
      <c r="L131" s="31">
        <f t="shared" si="12"/>
        <v>40</v>
      </c>
      <c r="M131" s="31" t="s">
        <v>1247</v>
      </c>
      <c r="N131" s="31"/>
      <c r="O131" s="31"/>
      <c r="P131" s="31"/>
      <c r="Q131" s="31"/>
      <c r="R131" s="31" t="s">
        <v>1249</v>
      </c>
      <c r="S131" s="31"/>
      <c r="T131" s="31" t="str">
        <f t="shared" si="7"/>
        <v>Cước vận chuyển vỏ container 40 từ bãi JJ, Hải Phòng đến Nam Đình Vũ, Hải Phòng</v>
      </c>
      <c r="U131" s="31"/>
    </row>
    <row r="132" spans="1:21" s="29" customFormat="1" ht="18" hidden="1" customHeight="1" x14ac:dyDescent="0.25">
      <c r="A132" s="44">
        <v>123</v>
      </c>
      <c r="B132" s="54">
        <v>46118</v>
      </c>
      <c r="C132" s="53" t="s">
        <v>918</v>
      </c>
      <c r="D132" s="116">
        <v>40</v>
      </c>
      <c r="E132" s="53" t="s">
        <v>20</v>
      </c>
      <c r="F132" s="53" t="s">
        <v>868</v>
      </c>
      <c r="G132" s="187">
        <v>428000</v>
      </c>
      <c r="H132" s="53" t="s">
        <v>25</v>
      </c>
      <c r="I132" s="31" t="s">
        <v>1246</v>
      </c>
      <c r="J132" s="31"/>
      <c r="K132" s="31"/>
      <c r="L132" s="31">
        <f t="shared" si="12"/>
        <v>40</v>
      </c>
      <c r="M132" s="31" t="s">
        <v>1247</v>
      </c>
      <c r="N132" s="31"/>
      <c r="O132" s="31"/>
      <c r="P132" s="31"/>
      <c r="Q132" s="31"/>
      <c r="R132" s="31" t="s">
        <v>1249</v>
      </c>
      <c r="S132" s="31"/>
      <c r="T132" s="31" t="str">
        <f t="shared" si="7"/>
        <v>Cước vận chuyển vỏ container 40 từ bãi JJ, Hải Phòng đến Nam Đình Vũ, Hải Phòng</v>
      </c>
      <c r="U132" s="31"/>
    </row>
    <row r="133" spans="1:21" s="29" customFormat="1" ht="18" hidden="1" customHeight="1" x14ac:dyDescent="0.25">
      <c r="A133" s="44">
        <v>124</v>
      </c>
      <c r="B133" s="54">
        <v>46118</v>
      </c>
      <c r="C133" s="53" t="s">
        <v>919</v>
      </c>
      <c r="D133" s="116">
        <v>40</v>
      </c>
      <c r="E133" s="53" t="s">
        <v>20</v>
      </c>
      <c r="F133" s="53" t="s">
        <v>868</v>
      </c>
      <c r="G133" s="187">
        <v>428000</v>
      </c>
      <c r="H133" s="53" t="s">
        <v>25</v>
      </c>
      <c r="I133" s="31" t="s">
        <v>1246</v>
      </c>
      <c r="J133" s="31"/>
      <c r="K133" s="31"/>
      <c r="L133" s="31">
        <f t="shared" si="12"/>
        <v>40</v>
      </c>
      <c r="M133" s="31" t="s">
        <v>1247</v>
      </c>
      <c r="N133" s="31"/>
      <c r="O133" s="31"/>
      <c r="P133" s="31"/>
      <c r="Q133" s="31"/>
      <c r="R133" s="31" t="s">
        <v>1249</v>
      </c>
      <c r="S133" s="31"/>
      <c r="T133" s="31" t="str">
        <f t="shared" si="7"/>
        <v>Cước vận chuyển vỏ container 40 từ bãi JJ, Hải Phòng đến Nam Đình Vũ, Hải Phòng</v>
      </c>
      <c r="U133" s="31"/>
    </row>
    <row r="134" spans="1:21" s="29" customFormat="1" ht="18" hidden="1" customHeight="1" x14ac:dyDescent="0.25">
      <c r="A134" s="44">
        <v>125</v>
      </c>
      <c r="B134" s="54">
        <v>46118</v>
      </c>
      <c r="C134" s="53" t="s">
        <v>920</v>
      </c>
      <c r="D134" s="116">
        <v>40</v>
      </c>
      <c r="E134" s="53" t="s">
        <v>20</v>
      </c>
      <c r="F134" s="53" t="s">
        <v>868</v>
      </c>
      <c r="G134" s="187">
        <v>428000</v>
      </c>
      <c r="H134" s="53" t="s">
        <v>25</v>
      </c>
      <c r="I134" s="31" t="s">
        <v>1246</v>
      </c>
      <c r="J134" s="31"/>
      <c r="K134" s="31"/>
      <c r="L134" s="31">
        <f t="shared" si="12"/>
        <v>40</v>
      </c>
      <c r="M134" s="31" t="s">
        <v>1247</v>
      </c>
      <c r="N134" s="31"/>
      <c r="O134" s="31"/>
      <c r="P134" s="31"/>
      <c r="Q134" s="31"/>
      <c r="R134" s="31" t="s">
        <v>1249</v>
      </c>
      <c r="S134" s="31"/>
      <c r="T134" s="31" t="str">
        <f t="shared" si="7"/>
        <v>Cước vận chuyển vỏ container 40 từ bãi JJ, Hải Phòng đến Nam Đình Vũ, Hải Phòng</v>
      </c>
      <c r="U134" s="31"/>
    </row>
    <row r="135" spans="1:21" s="29" customFormat="1" ht="18" hidden="1" customHeight="1" x14ac:dyDescent="0.25">
      <c r="A135" s="44">
        <v>126</v>
      </c>
      <c r="B135" s="54">
        <v>46118</v>
      </c>
      <c r="C135" s="53" t="s">
        <v>921</v>
      </c>
      <c r="D135" s="116">
        <v>40</v>
      </c>
      <c r="E135" s="53" t="s">
        <v>20</v>
      </c>
      <c r="F135" s="53" t="s">
        <v>868</v>
      </c>
      <c r="G135" s="187">
        <v>428000</v>
      </c>
      <c r="H135" s="53" t="s">
        <v>25</v>
      </c>
      <c r="I135" s="31" t="s">
        <v>1246</v>
      </c>
      <c r="J135" s="31"/>
      <c r="K135" s="31"/>
      <c r="L135" s="31">
        <f t="shared" si="12"/>
        <v>40</v>
      </c>
      <c r="M135" s="31" t="s">
        <v>1247</v>
      </c>
      <c r="N135" s="31"/>
      <c r="O135" s="31"/>
      <c r="P135" s="31"/>
      <c r="Q135" s="31"/>
      <c r="R135" s="31" t="s">
        <v>1249</v>
      </c>
      <c r="S135" s="31"/>
      <c r="T135" s="31" t="str">
        <f t="shared" si="7"/>
        <v>Cước vận chuyển vỏ container 40 từ bãi JJ, Hải Phòng đến Nam Đình Vũ, Hải Phòng</v>
      </c>
      <c r="U135" s="31"/>
    </row>
    <row r="136" spans="1:21" s="29" customFormat="1" ht="18" hidden="1" customHeight="1" x14ac:dyDescent="0.25">
      <c r="A136" s="44">
        <v>127</v>
      </c>
      <c r="B136" s="54">
        <v>46118</v>
      </c>
      <c r="C136" s="53" t="s">
        <v>922</v>
      </c>
      <c r="D136" s="116">
        <v>40</v>
      </c>
      <c r="E136" s="53" t="s">
        <v>20</v>
      </c>
      <c r="F136" s="53" t="s">
        <v>868</v>
      </c>
      <c r="G136" s="187">
        <v>428000</v>
      </c>
      <c r="H136" s="53" t="s">
        <v>25</v>
      </c>
      <c r="I136" s="31" t="s">
        <v>1246</v>
      </c>
      <c r="J136" s="31"/>
      <c r="K136" s="31"/>
      <c r="L136" s="31">
        <f t="shared" si="12"/>
        <v>40</v>
      </c>
      <c r="M136" s="31" t="s">
        <v>1247</v>
      </c>
      <c r="N136" s="31"/>
      <c r="O136" s="31"/>
      <c r="P136" s="31"/>
      <c r="Q136" s="31"/>
      <c r="R136" s="31" t="s">
        <v>1249</v>
      </c>
      <c r="S136" s="31"/>
      <c r="T136" s="31" t="str">
        <f t="shared" si="7"/>
        <v>Cước vận chuyển vỏ container 40 từ bãi JJ, Hải Phòng đến Nam Đình Vũ, Hải Phòng</v>
      </c>
      <c r="U136" s="31"/>
    </row>
    <row r="137" spans="1:21" s="29" customFormat="1" ht="18" hidden="1" customHeight="1" x14ac:dyDescent="0.25">
      <c r="A137" s="44">
        <v>128</v>
      </c>
      <c r="B137" s="54">
        <v>46118</v>
      </c>
      <c r="C137" s="53" t="s">
        <v>923</v>
      </c>
      <c r="D137" s="116">
        <v>40</v>
      </c>
      <c r="E137" s="53" t="s">
        <v>20</v>
      </c>
      <c r="F137" s="53" t="s">
        <v>868</v>
      </c>
      <c r="G137" s="187">
        <v>428000</v>
      </c>
      <c r="H137" s="53" t="s">
        <v>25</v>
      </c>
      <c r="I137" s="31" t="s">
        <v>1246</v>
      </c>
      <c r="J137" s="31"/>
      <c r="K137" s="31"/>
      <c r="L137" s="31">
        <f t="shared" si="12"/>
        <v>40</v>
      </c>
      <c r="M137" s="31" t="s">
        <v>1247</v>
      </c>
      <c r="N137" s="31"/>
      <c r="O137" s="31"/>
      <c r="P137" s="31"/>
      <c r="Q137" s="31"/>
      <c r="R137" s="31" t="s">
        <v>1249</v>
      </c>
      <c r="S137" s="31"/>
      <c r="T137" s="31" t="str">
        <f t="shared" si="7"/>
        <v>Cước vận chuyển vỏ container 40 từ bãi JJ, Hải Phòng đến Nam Đình Vũ, Hải Phòng</v>
      </c>
      <c r="U137" s="31"/>
    </row>
    <row r="138" spans="1:21" s="29" customFormat="1" ht="18" hidden="1" customHeight="1" x14ac:dyDescent="0.25">
      <c r="A138" s="44">
        <v>129</v>
      </c>
      <c r="B138" s="54">
        <v>46118</v>
      </c>
      <c r="C138" s="53" t="s">
        <v>924</v>
      </c>
      <c r="D138" s="116">
        <v>40</v>
      </c>
      <c r="E138" s="53" t="s">
        <v>20</v>
      </c>
      <c r="F138" s="53" t="s">
        <v>868</v>
      </c>
      <c r="G138" s="187">
        <v>428000</v>
      </c>
      <c r="H138" s="53" t="s">
        <v>25</v>
      </c>
      <c r="I138" s="31" t="s">
        <v>1246</v>
      </c>
      <c r="J138" s="31"/>
      <c r="K138" s="31"/>
      <c r="L138" s="31">
        <f t="shared" si="12"/>
        <v>40</v>
      </c>
      <c r="M138" s="31" t="s">
        <v>1247</v>
      </c>
      <c r="N138" s="31"/>
      <c r="O138" s="31"/>
      <c r="P138" s="31"/>
      <c r="Q138" s="31"/>
      <c r="R138" s="31" t="s">
        <v>1249</v>
      </c>
      <c r="S138" s="31"/>
      <c r="T138" s="31" t="str">
        <f t="shared" si="7"/>
        <v>Cước vận chuyển vỏ container 40 từ bãi JJ, Hải Phòng đến Nam Đình Vũ, Hải Phòng</v>
      </c>
      <c r="U138" s="31"/>
    </row>
    <row r="139" spans="1:21" s="29" customFormat="1" ht="18" hidden="1" customHeight="1" x14ac:dyDescent="0.25">
      <c r="A139" s="44">
        <v>130</v>
      </c>
      <c r="B139" s="54">
        <v>46118</v>
      </c>
      <c r="C139" s="53" t="s">
        <v>932</v>
      </c>
      <c r="D139" s="53">
        <v>40</v>
      </c>
      <c r="E139" s="53" t="s">
        <v>20</v>
      </c>
      <c r="F139" s="53" t="s">
        <v>868</v>
      </c>
      <c r="G139" s="187">
        <v>428000</v>
      </c>
      <c r="H139" s="53" t="s">
        <v>30</v>
      </c>
      <c r="I139" s="31" t="s">
        <v>1246</v>
      </c>
      <c r="J139" s="31"/>
      <c r="K139" s="31"/>
      <c r="L139" s="31">
        <f t="shared" si="12"/>
        <v>40</v>
      </c>
      <c r="M139" s="31" t="s">
        <v>1247</v>
      </c>
      <c r="N139" s="31"/>
      <c r="O139" s="31"/>
      <c r="P139" s="31"/>
      <c r="Q139" s="31"/>
      <c r="R139" s="31" t="s">
        <v>1249</v>
      </c>
      <c r="S139" s="31"/>
      <c r="T139" s="31" t="str">
        <f t="shared" ref="T139:T202" si="13">I139&amp;" "&amp;L139&amp;""&amp;" "&amp;M139</f>
        <v>Cước vận chuyển vỏ container 40 từ bãi JJ, Hải Phòng đến Nam Đình Vũ, Hải Phòng</v>
      </c>
      <c r="U139" s="31"/>
    </row>
    <row r="140" spans="1:21" s="29" customFormat="1" ht="18" hidden="1" customHeight="1" x14ac:dyDescent="0.25">
      <c r="A140" s="44">
        <v>131</v>
      </c>
      <c r="B140" s="54">
        <v>46118</v>
      </c>
      <c r="C140" s="53" t="s">
        <v>933</v>
      </c>
      <c r="D140" s="53">
        <v>20</v>
      </c>
      <c r="E140" s="53" t="s">
        <v>20</v>
      </c>
      <c r="F140" s="53" t="s">
        <v>868</v>
      </c>
      <c r="G140" s="124">
        <v>234000</v>
      </c>
      <c r="H140" s="53" t="s">
        <v>30</v>
      </c>
      <c r="I140" s="31" t="s">
        <v>1246</v>
      </c>
      <c r="J140" s="31"/>
      <c r="K140" s="31"/>
      <c r="L140" s="31">
        <f>D140</f>
        <v>20</v>
      </c>
      <c r="M140" s="31" t="s">
        <v>1247</v>
      </c>
      <c r="N140" s="31"/>
      <c r="O140" s="31"/>
      <c r="P140" s="31"/>
      <c r="Q140" s="31"/>
      <c r="R140" s="31" t="s">
        <v>1249</v>
      </c>
      <c r="S140" s="31"/>
      <c r="T140" s="31" t="str">
        <f t="shared" si="13"/>
        <v>Cước vận chuyển vỏ container 20 từ bãi JJ, Hải Phòng đến Nam Đình Vũ, Hải Phòng</v>
      </c>
      <c r="U140" s="31"/>
    </row>
    <row r="141" spans="1:21" s="29" customFormat="1" ht="18" hidden="1" customHeight="1" x14ac:dyDescent="0.25">
      <c r="A141" s="44">
        <v>132</v>
      </c>
      <c r="B141" s="54">
        <v>46118</v>
      </c>
      <c r="C141" s="53" t="s">
        <v>934</v>
      </c>
      <c r="D141" s="53">
        <v>40</v>
      </c>
      <c r="E141" s="53" t="s">
        <v>20</v>
      </c>
      <c r="F141" s="53" t="s">
        <v>868</v>
      </c>
      <c r="G141" s="187">
        <v>428000</v>
      </c>
      <c r="H141" s="53" t="s">
        <v>30</v>
      </c>
      <c r="I141" s="31" t="s">
        <v>1246</v>
      </c>
      <c r="J141" s="31"/>
      <c r="K141" s="31"/>
      <c r="L141" s="31">
        <f t="shared" ref="L141:L147" si="14">D141</f>
        <v>40</v>
      </c>
      <c r="M141" s="31" t="s">
        <v>1247</v>
      </c>
      <c r="N141" s="31"/>
      <c r="O141" s="31"/>
      <c r="P141" s="31"/>
      <c r="Q141" s="31"/>
      <c r="R141" s="31" t="s">
        <v>1249</v>
      </c>
      <c r="S141" s="31"/>
      <c r="T141" s="31" t="str">
        <f t="shared" si="13"/>
        <v>Cước vận chuyển vỏ container 40 từ bãi JJ, Hải Phòng đến Nam Đình Vũ, Hải Phòng</v>
      </c>
      <c r="U141" s="31"/>
    </row>
    <row r="142" spans="1:21" s="29" customFormat="1" ht="18" hidden="1" customHeight="1" x14ac:dyDescent="0.25">
      <c r="A142" s="44">
        <v>133</v>
      </c>
      <c r="B142" s="54">
        <v>46118</v>
      </c>
      <c r="C142" s="53" t="s">
        <v>935</v>
      </c>
      <c r="D142" s="53">
        <v>40</v>
      </c>
      <c r="E142" s="53" t="s">
        <v>20</v>
      </c>
      <c r="F142" s="53" t="s">
        <v>868</v>
      </c>
      <c r="G142" s="187">
        <v>428000</v>
      </c>
      <c r="H142" s="53" t="s">
        <v>30</v>
      </c>
      <c r="I142" s="31" t="s">
        <v>1246</v>
      </c>
      <c r="J142" s="31"/>
      <c r="K142" s="31"/>
      <c r="L142" s="31">
        <f t="shared" si="14"/>
        <v>40</v>
      </c>
      <c r="M142" s="31" t="s">
        <v>1247</v>
      </c>
      <c r="N142" s="31"/>
      <c r="O142" s="31"/>
      <c r="P142" s="31"/>
      <c r="Q142" s="31"/>
      <c r="R142" s="31" t="s">
        <v>1249</v>
      </c>
      <c r="S142" s="31"/>
      <c r="T142" s="31" t="str">
        <f t="shared" si="13"/>
        <v>Cước vận chuyển vỏ container 40 từ bãi JJ, Hải Phòng đến Nam Đình Vũ, Hải Phòng</v>
      </c>
      <c r="U142" s="31"/>
    </row>
    <row r="143" spans="1:21" s="29" customFormat="1" ht="18" hidden="1" customHeight="1" x14ac:dyDescent="0.25">
      <c r="A143" s="44">
        <v>134</v>
      </c>
      <c r="B143" s="54">
        <v>46118</v>
      </c>
      <c r="C143" s="53" t="s">
        <v>936</v>
      </c>
      <c r="D143" s="53">
        <v>40</v>
      </c>
      <c r="E143" s="53" t="s">
        <v>20</v>
      </c>
      <c r="F143" s="53" t="s">
        <v>868</v>
      </c>
      <c r="G143" s="187">
        <v>428000</v>
      </c>
      <c r="H143" s="53" t="s">
        <v>30</v>
      </c>
      <c r="I143" s="31" t="s">
        <v>1246</v>
      </c>
      <c r="J143" s="31"/>
      <c r="K143" s="31"/>
      <c r="L143" s="31">
        <f t="shared" si="14"/>
        <v>40</v>
      </c>
      <c r="M143" s="31" t="s">
        <v>1247</v>
      </c>
      <c r="N143" s="31"/>
      <c r="O143" s="31"/>
      <c r="P143" s="31"/>
      <c r="Q143" s="31"/>
      <c r="R143" s="31" t="s">
        <v>1249</v>
      </c>
      <c r="S143" s="31"/>
      <c r="T143" s="31" t="str">
        <f t="shared" si="13"/>
        <v>Cước vận chuyển vỏ container 40 từ bãi JJ, Hải Phòng đến Nam Đình Vũ, Hải Phòng</v>
      </c>
      <c r="U143" s="31"/>
    </row>
    <row r="144" spans="1:21" s="29" customFormat="1" ht="18" hidden="1" customHeight="1" x14ac:dyDescent="0.25">
      <c r="A144" s="44">
        <v>135</v>
      </c>
      <c r="B144" s="54">
        <v>46118</v>
      </c>
      <c r="C144" s="53" t="s">
        <v>937</v>
      </c>
      <c r="D144" s="53">
        <v>40</v>
      </c>
      <c r="E144" s="53" t="s">
        <v>20</v>
      </c>
      <c r="F144" s="53" t="s">
        <v>868</v>
      </c>
      <c r="G144" s="187">
        <v>428000</v>
      </c>
      <c r="H144" s="53" t="s">
        <v>30</v>
      </c>
      <c r="I144" s="31" t="s">
        <v>1246</v>
      </c>
      <c r="J144" s="31"/>
      <c r="K144" s="31"/>
      <c r="L144" s="31">
        <f t="shared" si="14"/>
        <v>40</v>
      </c>
      <c r="M144" s="31" t="s">
        <v>1247</v>
      </c>
      <c r="N144" s="31"/>
      <c r="O144" s="31"/>
      <c r="P144" s="31"/>
      <c r="Q144" s="31"/>
      <c r="R144" s="31" t="s">
        <v>1249</v>
      </c>
      <c r="S144" s="31"/>
      <c r="T144" s="31" t="str">
        <f t="shared" si="13"/>
        <v>Cước vận chuyển vỏ container 40 từ bãi JJ, Hải Phòng đến Nam Đình Vũ, Hải Phòng</v>
      </c>
      <c r="U144" s="31"/>
    </row>
    <row r="145" spans="1:21" s="29" customFormat="1" ht="18" hidden="1" customHeight="1" x14ac:dyDescent="0.25">
      <c r="A145" s="44">
        <v>136</v>
      </c>
      <c r="B145" s="54">
        <v>46118</v>
      </c>
      <c r="C145" s="53" t="s">
        <v>938</v>
      </c>
      <c r="D145" s="53">
        <v>40</v>
      </c>
      <c r="E145" s="53" t="s">
        <v>20</v>
      </c>
      <c r="F145" s="53" t="s">
        <v>868</v>
      </c>
      <c r="G145" s="187">
        <v>428000</v>
      </c>
      <c r="H145" s="53" t="s">
        <v>30</v>
      </c>
      <c r="I145" s="31" t="s">
        <v>1246</v>
      </c>
      <c r="J145" s="31"/>
      <c r="K145" s="31"/>
      <c r="L145" s="31">
        <f t="shared" si="14"/>
        <v>40</v>
      </c>
      <c r="M145" s="31" t="s">
        <v>1247</v>
      </c>
      <c r="N145" s="31"/>
      <c r="O145" s="31"/>
      <c r="P145" s="31"/>
      <c r="Q145" s="31"/>
      <c r="R145" s="31" t="s">
        <v>1249</v>
      </c>
      <c r="S145" s="31"/>
      <c r="T145" s="31" t="str">
        <f t="shared" si="13"/>
        <v>Cước vận chuyển vỏ container 40 từ bãi JJ, Hải Phòng đến Nam Đình Vũ, Hải Phòng</v>
      </c>
      <c r="U145" s="31"/>
    </row>
    <row r="146" spans="1:21" s="29" customFormat="1" ht="18" hidden="1" customHeight="1" x14ac:dyDescent="0.25">
      <c r="A146" s="44">
        <v>137</v>
      </c>
      <c r="B146" s="54">
        <v>46118</v>
      </c>
      <c r="C146" s="53" t="s">
        <v>939</v>
      </c>
      <c r="D146" s="53">
        <v>40</v>
      </c>
      <c r="E146" s="53" t="s">
        <v>20</v>
      </c>
      <c r="F146" s="53" t="s">
        <v>868</v>
      </c>
      <c r="G146" s="187">
        <v>428000</v>
      </c>
      <c r="H146" s="53" t="s">
        <v>30</v>
      </c>
      <c r="I146" s="31" t="s">
        <v>1246</v>
      </c>
      <c r="J146" s="31"/>
      <c r="K146" s="31"/>
      <c r="L146" s="31">
        <f t="shared" si="14"/>
        <v>40</v>
      </c>
      <c r="M146" s="31" t="s">
        <v>1247</v>
      </c>
      <c r="N146" s="31"/>
      <c r="O146" s="31"/>
      <c r="P146" s="31"/>
      <c r="Q146" s="31"/>
      <c r="R146" s="31" t="s">
        <v>1249</v>
      </c>
      <c r="S146" s="31"/>
      <c r="T146" s="31" t="str">
        <f t="shared" si="13"/>
        <v>Cước vận chuyển vỏ container 40 từ bãi JJ, Hải Phòng đến Nam Đình Vũ, Hải Phòng</v>
      </c>
      <c r="U146" s="31"/>
    </row>
    <row r="147" spans="1:21" s="29" customFormat="1" ht="18" hidden="1" customHeight="1" x14ac:dyDescent="0.25">
      <c r="A147" s="44">
        <v>138</v>
      </c>
      <c r="B147" s="54">
        <v>46118</v>
      </c>
      <c r="C147" s="53" t="s">
        <v>940</v>
      </c>
      <c r="D147" s="53">
        <v>40</v>
      </c>
      <c r="E147" s="53" t="s">
        <v>20</v>
      </c>
      <c r="F147" s="53" t="s">
        <v>868</v>
      </c>
      <c r="G147" s="187">
        <v>428000</v>
      </c>
      <c r="H147" s="53" t="s">
        <v>30</v>
      </c>
      <c r="I147" s="31" t="s">
        <v>1246</v>
      </c>
      <c r="J147" s="31"/>
      <c r="K147" s="31"/>
      <c r="L147" s="31">
        <f t="shared" si="14"/>
        <v>40</v>
      </c>
      <c r="M147" s="31" t="s">
        <v>1247</v>
      </c>
      <c r="N147" s="31"/>
      <c r="O147" s="31"/>
      <c r="P147" s="31"/>
      <c r="Q147" s="31"/>
      <c r="R147" s="31" t="s">
        <v>1249</v>
      </c>
      <c r="S147" s="31"/>
      <c r="T147" s="31" t="str">
        <f t="shared" si="13"/>
        <v>Cước vận chuyển vỏ container 40 từ bãi JJ, Hải Phòng đến Nam Đình Vũ, Hải Phòng</v>
      </c>
      <c r="U147" s="31"/>
    </row>
    <row r="148" spans="1:21" s="29" customFormat="1" ht="18" hidden="1" customHeight="1" x14ac:dyDescent="0.25">
      <c r="A148" s="44">
        <v>139</v>
      </c>
      <c r="B148" s="54">
        <v>46118</v>
      </c>
      <c r="C148" s="53" t="s">
        <v>941</v>
      </c>
      <c r="D148" s="53">
        <v>20</v>
      </c>
      <c r="E148" s="53" t="s">
        <v>20</v>
      </c>
      <c r="F148" s="53" t="s">
        <v>868</v>
      </c>
      <c r="G148" s="124">
        <v>234000</v>
      </c>
      <c r="H148" s="53" t="s">
        <v>30</v>
      </c>
      <c r="I148" s="31" t="s">
        <v>1246</v>
      </c>
      <c r="J148" s="31"/>
      <c r="K148" s="31"/>
      <c r="L148" s="31">
        <f>D148</f>
        <v>20</v>
      </c>
      <c r="M148" s="31" t="s">
        <v>1247</v>
      </c>
      <c r="N148" s="31"/>
      <c r="O148" s="31"/>
      <c r="P148" s="31"/>
      <c r="Q148" s="31"/>
      <c r="R148" s="31" t="s">
        <v>1249</v>
      </c>
      <c r="S148" s="31"/>
      <c r="T148" s="31" t="str">
        <f t="shared" si="13"/>
        <v>Cước vận chuyển vỏ container 20 từ bãi JJ, Hải Phòng đến Nam Đình Vũ, Hải Phòng</v>
      </c>
      <c r="U148" s="31"/>
    </row>
    <row r="149" spans="1:21" s="29" customFormat="1" ht="18" hidden="1" customHeight="1" x14ac:dyDescent="0.25">
      <c r="A149" s="44">
        <v>140</v>
      </c>
      <c r="B149" s="43">
        <v>46118</v>
      </c>
      <c r="C149" s="53" t="s">
        <v>984</v>
      </c>
      <c r="D149" s="53">
        <v>40</v>
      </c>
      <c r="E149" s="53" t="s">
        <v>20</v>
      </c>
      <c r="F149" s="53" t="s">
        <v>868</v>
      </c>
      <c r="G149" s="187">
        <v>428000</v>
      </c>
      <c r="H149" s="53" t="s">
        <v>268</v>
      </c>
      <c r="I149" s="31" t="s">
        <v>1246</v>
      </c>
      <c r="J149" s="31"/>
      <c r="K149" s="31"/>
      <c r="L149" s="31">
        <f t="shared" ref="L149:L157" si="15">D149</f>
        <v>40</v>
      </c>
      <c r="M149" s="31" t="s">
        <v>1247</v>
      </c>
      <c r="N149" s="31"/>
      <c r="O149" s="31"/>
      <c r="P149" s="31"/>
      <c r="Q149" s="31"/>
      <c r="R149" s="31" t="s">
        <v>1249</v>
      </c>
      <c r="S149" s="31"/>
      <c r="T149" s="31" t="str">
        <f t="shared" si="13"/>
        <v>Cước vận chuyển vỏ container 40 từ bãi JJ, Hải Phòng đến Nam Đình Vũ, Hải Phòng</v>
      </c>
      <c r="U149" s="31"/>
    </row>
    <row r="150" spans="1:21" s="29" customFormat="1" ht="18" hidden="1" customHeight="1" x14ac:dyDescent="0.25">
      <c r="A150" s="44">
        <v>141</v>
      </c>
      <c r="B150" s="43">
        <v>46118</v>
      </c>
      <c r="C150" s="53" t="s">
        <v>985</v>
      </c>
      <c r="D150" s="53">
        <v>40</v>
      </c>
      <c r="E150" s="53" t="s">
        <v>20</v>
      </c>
      <c r="F150" s="53" t="s">
        <v>868</v>
      </c>
      <c r="G150" s="187">
        <v>428000</v>
      </c>
      <c r="H150" s="53" t="s">
        <v>268</v>
      </c>
      <c r="I150" s="31" t="s">
        <v>1246</v>
      </c>
      <c r="J150" s="31"/>
      <c r="K150" s="31"/>
      <c r="L150" s="31">
        <f t="shared" si="15"/>
        <v>40</v>
      </c>
      <c r="M150" s="31" t="s">
        <v>1247</v>
      </c>
      <c r="N150" s="31"/>
      <c r="O150" s="31"/>
      <c r="P150" s="31"/>
      <c r="Q150" s="31"/>
      <c r="R150" s="31" t="s">
        <v>1249</v>
      </c>
      <c r="S150" s="31"/>
      <c r="T150" s="31" t="str">
        <f t="shared" si="13"/>
        <v>Cước vận chuyển vỏ container 40 từ bãi JJ, Hải Phòng đến Nam Đình Vũ, Hải Phòng</v>
      </c>
      <c r="U150" s="31"/>
    </row>
    <row r="151" spans="1:21" s="29" customFormat="1" ht="18" hidden="1" customHeight="1" x14ac:dyDescent="0.25">
      <c r="A151" s="44">
        <v>142</v>
      </c>
      <c r="B151" s="43">
        <v>46118</v>
      </c>
      <c r="C151" s="53" t="s">
        <v>986</v>
      </c>
      <c r="D151" s="53">
        <v>40</v>
      </c>
      <c r="E151" s="53" t="s">
        <v>20</v>
      </c>
      <c r="F151" s="53" t="s">
        <v>868</v>
      </c>
      <c r="G151" s="187">
        <v>428000</v>
      </c>
      <c r="H151" s="53" t="s">
        <v>268</v>
      </c>
      <c r="I151" s="31" t="s">
        <v>1246</v>
      </c>
      <c r="J151" s="31"/>
      <c r="K151" s="31"/>
      <c r="L151" s="31">
        <f t="shared" si="15"/>
        <v>40</v>
      </c>
      <c r="M151" s="31" t="s">
        <v>1247</v>
      </c>
      <c r="N151" s="31"/>
      <c r="O151" s="31"/>
      <c r="P151" s="31"/>
      <c r="Q151" s="31"/>
      <c r="R151" s="31" t="s">
        <v>1249</v>
      </c>
      <c r="S151" s="31"/>
      <c r="T151" s="31" t="str">
        <f t="shared" si="13"/>
        <v>Cước vận chuyển vỏ container 40 từ bãi JJ, Hải Phòng đến Nam Đình Vũ, Hải Phòng</v>
      </c>
      <c r="U151" s="31"/>
    </row>
    <row r="152" spans="1:21" s="29" customFormat="1" ht="18" hidden="1" customHeight="1" x14ac:dyDescent="0.25">
      <c r="A152" s="44">
        <v>143</v>
      </c>
      <c r="B152" s="43">
        <v>46128</v>
      </c>
      <c r="C152" s="53" t="s">
        <v>965</v>
      </c>
      <c r="D152" s="53">
        <v>40</v>
      </c>
      <c r="E152" s="53" t="s">
        <v>20</v>
      </c>
      <c r="F152" s="53" t="s">
        <v>868</v>
      </c>
      <c r="G152" s="183">
        <v>385000</v>
      </c>
      <c r="H152" s="53" t="s">
        <v>30</v>
      </c>
      <c r="I152" s="31" t="s">
        <v>1246</v>
      </c>
      <c r="J152" s="31"/>
      <c r="K152" s="31"/>
      <c r="L152" s="31">
        <f t="shared" si="15"/>
        <v>40</v>
      </c>
      <c r="M152" s="31" t="s">
        <v>1247</v>
      </c>
      <c r="N152" s="31"/>
      <c r="O152" s="31"/>
      <c r="P152" s="31"/>
      <c r="Q152" s="31"/>
      <c r="R152" s="31" t="s">
        <v>1249</v>
      </c>
      <c r="S152" s="31"/>
      <c r="T152" s="31" t="str">
        <f t="shared" si="13"/>
        <v>Cước vận chuyển vỏ container 40 từ bãi JJ, Hải Phòng đến Nam Đình Vũ, Hải Phòng</v>
      </c>
      <c r="U152" s="31"/>
    </row>
    <row r="153" spans="1:21" s="29" customFormat="1" ht="18" hidden="1" customHeight="1" x14ac:dyDescent="0.25">
      <c r="A153" s="44">
        <v>144</v>
      </c>
      <c r="B153" s="43">
        <v>46128</v>
      </c>
      <c r="C153" s="53" t="s">
        <v>966</v>
      </c>
      <c r="D153" s="53">
        <v>40</v>
      </c>
      <c r="E153" s="53" t="s">
        <v>20</v>
      </c>
      <c r="F153" s="53" t="s">
        <v>868</v>
      </c>
      <c r="G153" s="183">
        <v>385000</v>
      </c>
      <c r="H153" s="53" t="s">
        <v>30</v>
      </c>
      <c r="I153" s="31" t="s">
        <v>1246</v>
      </c>
      <c r="J153" s="31"/>
      <c r="K153" s="31"/>
      <c r="L153" s="31">
        <f t="shared" si="15"/>
        <v>40</v>
      </c>
      <c r="M153" s="31" t="s">
        <v>1247</v>
      </c>
      <c r="N153" s="31"/>
      <c r="O153" s="31"/>
      <c r="P153" s="31"/>
      <c r="Q153" s="31"/>
      <c r="R153" s="31" t="s">
        <v>1249</v>
      </c>
      <c r="S153" s="31"/>
      <c r="T153" s="31" t="str">
        <f t="shared" si="13"/>
        <v>Cước vận chuyển vỏ container 40 từ bãi JJ, Hải Phòng đến Nam Đình Vũ, Hải Phòng</v>
      </c>
      <c r="U153" s="31"/>
    </row>
    <row r="154" spans="1:21" s="29" customFormat="1" ht="18" hidden="1" customHeight="1" x14ac:dyDescent="0.25">
      <c r="A154" s="44">
        <v>145</v>
      </c>
      <c r="B154" s="43">
        <v>46128</v>
      </c>
      <c r="C154" s="53" t="s">
        <v>967</v>
      </c>
      <c r="D154" s="53">
        <v>40</v>
      </c>
      <c r="E154" s="53" t="s">
        <v>20</v>
      </c>
      <c r="F154" s="53" t="s">
        <v>868</v>
      </c>
      <c r="G154" s="183">
        <v>385000</v>
      </c>
      <c r="H154" s="53" t="s">
        <v>30</v>
      </c>
      <c r="I154" s="31" t="s">
        <v>1246</v>
      </c>
      <c r="J154" s="31"/>
      <c r="K154" s="31"/>
      <c r="L154" s="31">
        <f t="shared" si="15"/>
        <v>40</v>
      </c>
      <c r="M154" s="31" t="s">
        <v>1247</v>
      </c>
      <c r="N154" s="31"/>
      <c r="O154" s="31"/>
      <c r="P154" s="31"/>
      <c r="Q154" s="31"/>
      <c r="R154" s="31" t="s">
        <v>1249</v>
      </c>
      <c r="S154" s="31"/>
      <c r="T154" s="31" t="str">
        <f t="shared" si="13"/>
        <v>Cước vận chuyển vỏ container 40 từ bãi JJ, Hải Phòng đến Nam Đình Vũ, Hải Phòng</v>
      </c>
      <c r="U154" s="31"/>
    </row>
    <row r="155" spans="1:21" s="29" customFormat="1" ht="18" hidden="1" customHeight="1" x14ac:dyDescent="0.25">
      <c r="A155" s="44">
        <v>146</v>
      </c>
      <c r="B155" s="43">
        <v>46128</v>
      </c>
      <c r="C155" s="53" t="s">
        <v>968</v>
      </c>
      <c r="D155" s="53">
        <v>40</v>
      </c>
      <c r="E155" s="53" t="s">
        <v>20</v>
      </c>
      <c r="F155" s="53" t="s">
        <v>868</v>
      </c>
      <c r="G155" s="183">
        <v>385000</v>
      </c>
      <c r="H155" s="53" t="s">
        <v>30</v>
      </c>
      <c r="I155" s="31" t="s">
        <v>1246</v>
      </c>
      <c r="J155" s="31"/>
      <c r="K155" s="31"/>
      <c r="L155" s="31">
        <f t="shared" si="15"/>
        <v>40</v>
      </c>
      <c r="M155" s="31" t="s">
        <v>1247</v>
      </c>
      <c r="N155" s="31"/>
      <c r="O155" s="31"/>
      <c r="P155" s="31"/>
      <c r="Q155" s="31"/>
      <c r="R155" s="31" t="s">
        <v>1249</v>
      </c>
      <c r="S155" s="31"/>
      <c r="T155" s="31" t="str">
        <f t="shared" si="13"/>
        <v>Cước vận chuyển vỏ container 40 từ bãi JJ, Hải Phòng đến Nam Đình Vũ, Hải Phòng</v>
      </c>
      <c r="U155" s="31"/>
    </row>
    <row r="156" spans="1:21" s="29" customFormat="1" ht="18" hidden="1" customHeight="1" x14ac:dyDescent="0.25">
      <c r="A156" s="44">
        <v>147</v>
      </c>
      <c r="B156" s="43">
        <v>46128</v>
      </c>
      <c r="C156" s="53" t="s">
        <v>969</v>
      </c>
      <c r="D156" s="53">
        <v>40</v>
      </c>
      <c r="E156" s="53" t="s">
        <v>20</v>
      </c>
      <c r="F156" s="53" t="s">
        <v>868</v>
      </c>
      <c r="G156" s="183">
        <v>385000</v>
      </c>
      <c r="H156" s="53" t="s">
        <v>30</v>
      </c>
      <c r="I156" s="31" t="s">
        <v>1246</v>
      </c>
      <c r="J156" s="31"/>
      <c r="K156" s="31"/>
      <c r="L156" s="31">
        <f t="shared" si="15"/>
        <v>40</v>
      </c>
      <c r="M156" s="31" t="s">
        <v>1247</v>
      </c>
      <c r="N156" s="31"/>
      <c r="O156" s="31"/>
      <c r="P156" s="31"/>
      <c r="Q156" s="31"/>
      <c r="R156" s="31" t="s">
        <v>1249</v>
      </c>
      <c r="S156" s="31"/>
      <c r="T156" s="31" t="str">
        <f t="shared" si="13"/>
        <v>Cước vận chuyển vỏ container 40 từ bãi JJ, Hải Phòng đến Nam Đình Vũ, Hải Phòng</v>
      </c>
      <c r="U156" s="31"/>
    </row>
    <row r="157" spans="1:21" s="29" customFormat="1" ht="18" hidden="1" customHeight="1" x14ac:dyDescent="0.25">
      <c r="A157" s="44">
        <v>148</v>
      </c>
      <c r="B157" s="43">
        <v>46128</v>
      </c>
      <c r="C157" s="53" t="s">
        <v>970</v>
      </c>
      <c r="D157" s="53">
        <v>40</v>
      </c>
      <c r="E157" s="53" t="s">
        <v>20</v>
      </c>
      <c r="F157" s="53" t="s">
        <v>868</v>
      </c>
      <c r="G157" s="183">
        <v>385000</v>
      </c>
      <c r="H157" s="53" t="s">
        <v>30</v>
      </c>
      <c r="I157" s="31" t="s">
        <v>1246</v>
      </c>
      <c r="J157" s="31"/>
      <c r="K157" s="31"/>
      <c r="L157" s="31">
        <f t="shared" si="15"/>
        <v>40</v>
      </c>
      <c r="M157" s="31" t="s">
        <v>1247</v>
      </c>
      <c r="N157" s="31"/>
      <c r="O157" s="31"/>
      <c r="P157" s="31"/>
      <c r="Q157" s="31"/>
      <c r="R157" s="31" t="s">
        <v>1249</v>
      </c>
      <c r="S157" s="31"/>
      <c r="T157" s="31" t="str">
        <f t="shared" si="13"/>
        <v>Cước vận chuyển vỏ container 40 từ bãi JJ, Hải Phòng đến Nam Đình Vũ, Hải Phòng</v>
      </c>
      <c r="U157" s="31"/>
    </row>
    <row r="158" spans="1:21" s="29" customFormat="1" ht="18" hidden="1" customHeight="1" x14ac:dyDescent="0.25">
      <c r="A158" s="44">
        <v>149</v>
      </c>
      <c r="B158" s="43">
        <v>46128</v>
      </c>
      <c r="C158" s="53" t="s">
        <v>971</v>
      </c>
      <c r="D158" s="53">
        <v>20</v>
      </c>
      <c r="E158" s="53" t="s">
        <v>20</v>
      </c>
      <c r="F158" s="53" t="s">
        <v>868</v>
      </c>
      <c r="G158" s="190">
        <v>209000</v>
      </c>
      <c r="H158" s="53" t="s">
        <v>30</v>
      </c>
      <c r="I158" s="31" t="s">
        <v>1246</v>
      </c>
      <c r="J158" s="31"/>
      <c r="K158" s="31"/>
      <c r="L158" s="31">
        <f t="shared" ref="L158:L173" si="16">D158</f>
        <v>20</v>
      </c>
      <c r="M158" s="31" t="s">
        <v>1247</v>
      </c>
      <c r="N158" s="31"/>
      <c r="O158" s="31"/>
      <c r="P158" s="31"/>
      <c r="Q158" s="31"/>
      <c r="R158" s="31" t="s">
        <v>1249</v>
      </c>
      <c r="S158" s="31"/>
      <c r="T158" s="31" t="str">
        <f t="shared" si="13"/>
        <v>Cước vận chuyển vỏ container 20 từ bãi JJ, Hải Phòng đến Nam Đình Vũ, Hải Phòng</v>
      </c>
      <c r="U158" s="31"/>
    </row>
    <row r="159" spans="1:21" s="29" customFormat="1" ht="18" hidden="1" customHeight="1" x14ac:dyDescent="0.25">
      <c r="A159" s="44">
        <v>150</v>
      </c>
      <c r="B159" s="43">
        <v>46128</v>
      </c>
      <c r="C159" s="53" t="s">
        <v>972</v>
      </c>
      <c r="D159" s="53">
        <v>20</v>
      </c>
      <c r="E159" s="53" t="s">
        <v>20</v>
      </c>
      <c r="F159" s="53" t="s">
        <v>868</v>
      </c>
      <c r="G159" s="190">
        <v>209000</v>
      </c>
      <c r="H159" s="53" t="s">
        <v>30</v>
      </c>
      <c r="I159" s="31" t="s">
        <v>1246</v>
      </c>
      <c r="J159" s="31"/>
      <c r="K159" s="31"/>
      <c r="L159" s="31">
        <f t="shared" si="16"/>
        <v>20</v>
      </c>
      <c r="M159" s="31" t="s">
        <v>1247</v>
      </c>
      <c r="N159" s="31"/>
      <c r="O159" s="31"/>
      <c r="P159" s="31"/>
      <c r="Q159" s="31"/>
      <c r="R159" s="31" t="s">
        <v>1249</v>
      </c>
      <c r="S159" s="31"/>
      <c r="T159" s="31" t="str">
        <f t="shared" si="13"/>
        <v>Cước vận chuyển vỏ container 20 từ bãi JJ, Hải Phòng đến Nam Đình Vũ, Hải Phòng</v>
      </c>
      <c r="U159" s="31"/>
    </row>
    <row r="160" spans="1:21" s="29" customFormat="1" ht="18" hidden="1" customHeight="1" x14ac:dyDescent="0.25">
      <c r="A160" s="44">
        <v>151</v>
      </c>
      <c r="B160" s="43">
        <v>46128</v>
      </c>
      <c r="C160" s="53" t="s">
        <v>973</v>
      </c>
      <c r="D160" s="53">
        <v>20</v>
      </c>
      <c r="E160" s="53" t="s">
        <v>20</v>
      </c>
      <c r="F160" s="53" t="s">
        <v>868</v>
      </c>
      <c r="G160" s="190">
        <v>209000</v>
      </c>
      <c r="H160" s="53" t="s">
        <v>30</v>
      </c>
      <c r="I160" s="31" t="s">
        <v>1246</v>
      </c>
      <c r="J160" s="31"/>
      <c r="K160" s="31"/>
      <c r="L160" s="31">
        <f t="shared" si="16"/>
        <v>20</v>
      </c>
      <c r="M160" s="31" t="s">
        <v>1247</v>
      </c>
      <c r="N160" s="31"/>
      <c r="O160" s="31"/>
      <c r="P160" s="31"/>
      <c r="Q160" s="31"/>
      <c r="R160" s="31" t="s">
        <v>1249</v>
      </c>
      <c r="S160" s="31"/>
      <c r="T160" s="31" t="str">
        <f t="shared" si="13"/>
        <v>Cước vận chuyển vỏ container 20 từ bãi JJ, Hải Phòng đến Nam Đình Vũ, Hải Phòng</v>
      </c>
      <c r="U160" s="31"/>
    </row>
    <row r="161" spans="1:21" s="29" customFormat="1" ht="18" hidden="1" customHeight="1" x14ac:dyDescent="0.25">
      <c r="A161" s="44">
        <v>152</v>
      </c>
      <c r="B161" s="43">
        <v>46128</v>
      </c>
      <c r="C161" s="53" t="s">
        <v>974</v>
      </c>
      <c r="D161" s="53">
        <v>20</v>
      </c>
      <c r="E161" s="53" t="s">
        <v>20</v>
      </c>
      <c r="F161" s="53" t="s">
        <v>868</v>
      </c>
      <c r="G161" s="190">
        <v>209000</v>
      </c>
      <c r="H161" s="53" t="s">
        <v>30</v>
      </c>
      <c r="I161" s="31" t="s">
        <v>1246</v>
      </c>
      <c r="J161" s="31"/>
      <c r="K161" s="31"/>
      <c r="L161" s="31">
        <f t="shared" si="16"/>
        <v>20</v>
      </c>
      <c r="M161" s="31" t="s">
        <v>1247</v>
      </c>
      <c r="N161" s="31"/>
      <c r="O161" s="31"/>
      <c r="P161" s="31"/>
      <c r="Q161" s="31"/>
      <c r="R161" s="31" t="s">
        <v>1249</v>
      </c>
      <c r="S161" s="31"/>
      <c r="T161" s="31" t="str">
        <f t="shared" si="13"/>
        <v>Cước vận chuyển vỏ container 20 từ bãi JJ, Hải Phòng đến Nam Đình Vũ, Hải Phòng</v>
      </c>
      <c r="U161" s="31"/>
    </row>
    <row r="162" spans="1:21" s="29" customFormat="1" ht="18" hidden="1" customHeight="1" x14ac:dyDescent="0.25">
      <c r="A162" s="44">
        <v>153</v>
      </c>
      <c r="B162" s="43">
        <v>46128</v>
      </c>
      <c r="C162" s="53" t="s">
        <v>975</v>
      </c>
      <c r="D162" s="53">
        <v>40</v>
      </c>
      <c r="E162" s="53" t="s">
        <v>20</v>
      </c>
      <c r="F162" s="53" t="s">
        <v>868</v>
      </c>
      <c r="G162" s="183">
        <v>385000</v>
      </c>
      <c r="H162" s="53" t="s">
        <v>842</v>
      </c>
      <c r="I162" s="31" t="s">
        <v>1246</v>
      </c>
      <c r="J162" s="31"/>
      <c r="K162" s="31"/>
      <c r="L162" s="31">
        <f t="shared" si="16"/>
        <v>40</v>
      </c>
      <c r="M162" s="31" t="s">
        <v>1247</v>
      </c>
      <c r="N162" s="31"/>
      <c r="O162" s="31"/>
      <c r="P162" s="31"/>
      <c r="Q162" s="31"/>
      <c r="R162" s="31" t="s">
        <v>1249</v>
      </c>
      <c r="S162" s="31"/>
      <c r="T162" s="31" t="str">
        <f t="shared" si="13"/>
        <v>Cước vận chuyển vỏ container 40 từ bãi JJ, Hải Phòng đến Nam Đình Vũ, Hải Phòng</v>
      </c>
      <c r="U162" s="31"/>
    </row>
    <row r="163" spans="1:21" s="29" customFormat="1" ht="18" hidden="1" customHeight="1" x14ac:dyDescent="0.25">
      <c r="A163" s="44">
        <v>154</v>
      </c>
      <c r="B163" s="43">
        <v>46128</v>
      </c>
      <c r="C163" s="53" t="s">
        <v>976</v>
      </c>
      <c r="D163" s="53">
        <v>40</v>
      </c>
      <c r="E163" s="53" t="s">
        <v>20</v>
      </c>
      <c r="F163" s="53" t="s">
        <v>868</v>
      </c>
      <c r="G163" s="183">
        <v>385000</v>
      </c>
      <c r="H163" s="53" t="s">
        <v>842</v>
      </c>
      <c r="I163" s="31" t="s">
        <v>1246</v>
      </c>
      <c r="J163" s="31"/>
      <c r="K163" s="31"/>
      <c r="L163" s="31">
        <f t="shared" si="16"/>
        <v>40</v>
      </c>
      <c r="M163" s="31" t="s">
        <v>1247</v>
      </c>
      <c r="N163" s="31"/>
      <c r="O163" s="31"/>
      <c r="P163" s="31"/>
      <c r="Q163" s="31"/>
      <c r="R163" s="31" t="s">
        <v>1249</v>
      </c>
      <c r="S163" s="31"/>
      <c r="T163" s="31" t="str">
        <f t="shared" si="13"/>
        <v>Cước vận chuyển vỏ container 40 từ bãi JJ, Hải Phòng đến Nam Đình Vũ, Hải Phòng</v>
      </c>
      <c r="U163" s="31"/>
    </row>
    <row r="164" spans="1:21" s="29" customFormat="1" ht="18" hidden="1" customHeight="1" x14ac:dyDescent="0.25">
      <c r="A164" s="44">
        <v>155</v>
      </c>
      <c r="B164" s="43">
        <v>46128</v>
      </c>
      <c r="C164" s="53" t="s">
        <v>977</v>
      </c>
      <c r="D164" s="53">
        <v>40</v>
      </c>
      <c r="E164" s="53" t="s">
        <v>20</v>
      </c>
      <c r="F164" s="53" t="s">
        <v>868</v>
      </c>
      <c r="G164" s="183">
        <v>385000</v>
      </c>
      <c r="H164" s="53" t="s">
        <v>842</v>
      </c>
      <c r="I164" s="31" t="s">
        <v>1246</v>
      </c>
      <c r="J164" s="31"/>
      <c r="K164" s="31"/>
      <c r="L164" s="31">
        <f t="shared" si="16"/>
        <v>40</v>
      </c>
      <c r="M164" s="31" t="s">
        <v>1247</v>
      </c>
      <c r="N164" s="31"/>
      <c r="O164" s="31"/>
      <c r="P164" s="31"/>
      <c r="Q164" s="31"/>
      <c r="R164" s="31" t="s">
        <v>1249</v>
      </c>
      <c r="S164" s="31"/>
      <c r="T164" s="31" t="str">
        <f t="shared" si="13"/>
        <v>Cước vận chuyển vỏ container 40 từ bãi JJ, Hải Phòng đến Nam Đình Vũ, Hải Phòng</v>
      </c>
      <c r="U164" s="31"/>
    </row>
    <row r="165" spans="1:21" s="29" customFormat="1" ht="18" hidden="1" customHeight="1" x14ac:dyDescent="0.25">
      <c r="A165" s="44">
        <v>156</v>
      </c>
      <c r="B165" s="43">
        <v>46128</v>
      </c>
      <c r="C165" s="53" t="s">
        <v>978</v>
      </c>
      <c r="D165" s="53">
        <v>40</v>
      </c>
      <c r="E165" s="53" t="s">
        <v>20</v>
      </c>
      <c r="F165" s="53" t="s">
        <v>868</v>
      </c>
      <c r="G165" s="183">
        <v>385000</v>
      </c>
      <c r="H165" s="53" t="s">
        <v>842</v>
      </c>
      <c r="I165" s="31" t="s">
        <v>1246</v>
      </c>
      <c r="J165" s="31"/>
      <c r="K165" s="31"/>
      <c r="L165" s="31">
        <f t="shared" si="16"/>
        <v>40</v>
      </c>
      <c r="M165" s="31" t="s">
        <v>1247</v>
      </c>
      <c r="N165" s="31"/>
      <c r="O165" s="31"/>
      <c r="P165" s="31"/>
      <c r="Q165" s="31"/>
      <c r="R165" s="31" t="s">
        <v>1249</v>
      </c>
      <c r="S165" s="31"/>
      <c r="T165" s="31" t="str">
        <f t="shared" si="13"/>
        <v>Cước vận chuyển vỏ container 40 từ bãi JJ, Hải Phòng đến Nam Đình Vũ, Hải Phòng</v>
      </c>
      <c r="U165" s="31"/>
    </row>
    <row r="166" spans="1:21" s="29" customFormat="1" ht="18" hidden="1" customHeight="1" x14ac:dyDescent="0.25">
      <c r="A166" s="44">
        <v>157</v>
      </c>
      <c r="B166" s="43">
        <v>46128</v>
      </c>
      <c r="C166" s="53" t="s">
        <v>979</v>
      </c>
      <c r="D166" s="53">
        <v>40</v>
      </c>
      <c r="E166" s="53" t="s">
        <v>20</v>
      </c>
      <c r="F166" s="53" t="s">
        <v>868</v>
      </c>
      <c r="G166" s="183">
        <v>385000</v>
      </c>
      <c r="H166" s="53" t="s">
        <v>268</v>
      </c>
      <c r="I166" s="31" t="s">
        <v>1246</v>
      </c>
      <c r="J166" s="31"/>
      <c r="K166" s="31"/>
      <c r="L166" s="31">
        <f t="shared" si="16"/>
        <v>40</v>
      </c>
      <c r="M166" s="31" t="s">
        <v>1247</v>
      </c>
      <c r="N166" s="31"/>
      <c r="O166" s="31"/>
      <c r="P166" s="31"/>
      <c r="Q166" s="31"/>
      <c r="R166" s="31" t="s">
        <v>1249</v>
      </c>
      <c r="S166" s="31"/>
      <c r="T166" s="31" t="str">
        <f t="shared" si="13"/>
        <v>Cước vận chuyển vỏ container 40 từ bãi JJ, Hải Phòng đến Nam Đình Vũ, Hải Phòng</v>
      </c>
      <c r="U166" s="31"/>
    </row>
    <row r="167" spans="1:21" s="29" customFormat="1" ht="18" hidden="1" customHeight="1" x14ac:dyDescent="0.25">
      <c r="A167" s="44">
        <v>158</v>
      </c>
      <c r="B167" s="43">
        <v>46128</v>
      </c>
      <c r="C167" s="53" t="s">
        <v>980</v>
      </c>
      <c r="D167" s="53">
        <v>40</v>
      </c>
      <c r="E167" s="53" t="s">
        <v>20</v>
      </c>
      <c r="F167" s="53" t="s">
        <v>868</v>
      </c>
      <c r="G167" s="183">
        <v>385000</v>
      </c>
      <c r="H167" s="53" t="s">
        <v>268</v>
      </c>
      <c r="I167" s="31" t="s">
        <v>1246</v>
      </c>
      <c r="J167" s="31"/>
      <c r="K167" s="31"/>
      <c r="L167" s="31">
        <f t="shared" si="16"/>
        <v>40</v>
      </c>
      <c r="M167" s="31" t="s">
        <v>1247</v>
      </c>
      <c r="N167" s="31"/>
      <c r="O167" s="31"/>
      <c r="P167" s="31"/>
      <c r="Q167" s="31"/>
      <c r="R167" s="31" t="s">
        <v>1249</v>
      </c>
      <c r="S167" s="31"/>
      <c r="T167" s="31" t="str">
        <f t="shared" si="13"/>
        <v>Cước vận chuyển vỏ container 40 từ bãi JJ, Hải Phòng đến Nam Đình Vũ, Hải Phòng</v>
      </c>
      <c r="U167" s="31"/>
    </row>
    <row r="168" spans="1:21" s="29" customFormat="1" ht="18" hidden="1" customHeight="1" x14ac:dyDescent="0.25">
      <c r="A168" s="44">
        <v>159</v>
      </c>
      <c r="B168" s="43">
        <v>46128</v>
      </c>
      <c r="C168" s="53" t="s">
        <v>981</v>
      </c>
      <c r="D168" s="53">
        <v>40</v>
      </c>
      <c r="E168" s="53" t="s">
        <v>20</v>
      </c>
      <c r="F168" s="53" t="s">
        <v>868</v>
      </c>
      <c r="G168" s="183">
        <v>385000</v>
      </c>
      <c r="H168" s="53" t="s">
        <v>35</v>
      </c>
      <c r="I168" s="31" t="s">
        <v>1246</v>
      </c>
      <c r="J168" s="31"/>
      <c r="K168" s="31"/>
      <c r="L168" s="31">
        <f t="shared" si="16"/>
        <v>40</v>
      </c>
      <c r="M168" s="31" t="s">
        <v>1247</v>
      </c>
      <c r="N168" s="31"/>
      <c r="O168" s="31"/>
      <c r="P168" s="31"/>
      <c r="Q168" s="31"/>
      <c r="R168" s="31" t="s">
        <v>1249</v>
      </c>
      <c r="S168" s="31"/>
      <c r="T168" s="31" t="str">
        <f t="shared" si="13"/>
        <v>Cước vận chuyển vỏ container 40 từ bãi JJ, Hải Phòng đến Nam Đình Vũ, Hải Phòng</v>
      </c>
      <c r="U168" s="31"/>
    </row>
    <row r="169" spans="1:21" s="29" customFormat="1" ht="18" hidden="1" customHeight="1" x14ac:dyDescent="0.25">
      <c r="A169" s="44">
        <v>160</v>
      </c>
      <c r="B169" s="43">
        <v>46128</v>
      </c>
      <c r="C169" s="53" t="s">
        <v>982</v>
      </c>
      <c r="D169" s="53">
        <v>40</v>
      </c>
      <c r="E169" s="53" t="s">
        <v>20</v>
      </c>
      <c r="F169" s="53" t="s">
        <v>868</v>
      </c>
      <c r="G169" s="183">
        <v>385000</v>
      </c>
      <c r="H169" s="53" t="s">
        <v>35</v>
      </c>
      <c r="I169" s="31" t="s">
        <v>1246</v>
      </c>
      <c r="J169" s="31"/>
      <c r="K169" s="31"/>
      <c r="L169" s="31">
        <f t="shared" si="16"/>
        <v>40</v>
      </c>
      <c r="M169" s="31" t="s">
        <v>1247</v>
      </c>
      <c r="N169" s="31"/>
      <c r="O169" s="31"/>
      <c r="P169" s="31"/>
      <c r="Q169" s="31"/>
      <c r="R169" s="31" t="s">
        <v>1249</v>
      </c>
      <c r="S169" s="31"/>
      <c r="T169" s="31" t="str">
        <f t="shared" si="13"/>
        <v>Cước vận chuyển vỏ container 40 từ bãi JJ, Hải Phòng đến Nam Đình Vũ, Hải Phòng</v>
      </c>
      <c r="U169" s="31"/>
    </row>
    <row r="170" spans="1:21" s="29" customFormat="1" ht="18" hidden="1" customHeight="1" x14ac:dyDescent="0.25">
      <c r="A170" s="44">
        <v>161</v>
      </c>
      <c r="B170" s="43">
        <v>46128</v>
      </c>
      <c r="C170" s="53" t="s">
        <v>983</v>
      </c>
      <c r="D170" s="53">
        <v>40</v>
      </c>
      <c r="E170" s="53" t="s">
        <v>20</v>
      </c>
      <c r="F170" s="164" t="s">
        <v>868</v>
      </c>
      <c r="G170" s="183">
        <v>385000</v>
      </c>
      <c r="H170" s="53" t="s">
        <v>35</v>
      </c>
      <c r="I170" s="31" t="s">
        <v>1246</v>
      </c>
      <c r="J170" s="31"/>
      <c r="K170" s="31"/>
      <c r="L170" s="31">
        <f t="shared" si="16"/>
        <v>40</v>
      </c>
      <c r="M170" s="31" t="s">
        <v>1247</v>
      </c>
      <c r="N170" s="31"/>
      <c r="O170" s="31"/>
      <c r="P170" s="31"/>
      <c r="Q170" s="31"/>
      <c r="R170" s="31" t="s">
        <v>1249</v>
      </c>
      <c r="S170" s="31"/>
      <c r="T170" s="31" t="str">
        <f t="shared" si="13"/>
        <v>Cước vận chuyển vỏ container 40 từ bãi JJ, Hải Phòng đến Nam Đình Vũ, Hải Phòng</v>
      </c>
      <c r="U170" s="31"/>
    </row>
    <row r="171" spans="1:21" s="29" customFormat="1" ht="18" hidden="1" customHeight="1" x14ac:dyDescent="0.25">
      <c r="A171" s="44">
        <v>162</v>
      </c>
      <c r="B171" s="43">
        <v>46128</v>
      </c>
      <c r="C171" s="53" t="s">
        <v>993</v>
      </c>
      <c r="D171" s="90">
        <v>40</v>
      </c>
      <c r="E171" s="53" t="s">
        <v>20</v>
      </c>
      <c r="F171" s="164" t="s">
        <v>868</v>
      </c>
      <c r="G171" s="183">
        <v>385000</v>
      </c>
      <c r="H171" s="53" t="s">
        <v>22</v>
      </c>
      <c r="I171" s="31" t="s">
        <v>1246</v>
      </c>
      <c r="J171" s="31"/>
      <c r="K171" s="31"/>
      <c r="L171" s="31">
        <f t="shared" si="16"/>
        <v>40</v>
      </c>
      <c r="M171" s="31" t="s">
        <v>1247</v>
      </c>
      <c r="N171" s="31"/>
      <c r="O171" s="31"/>
      <c r="P171" s="31"/>
      <c r="Q171" s="31"/>
      <c r="R171" s="31" t="s">
        <v>1249</v>
      </c>
      <c r="S171" s="31"/>
      <c r="T171" s="31" t="str">
        <f t="shared" si="13"/>
        <v>Cước vận chuyển vỏ container 40 từ bãi JJ, Hải Phòng đến Nam Đình Vũ, Hải Phòng</v>
      </c>
      <c r="U171" s="31"/>
    </row>
    <row r="172" spans="1:21" s="29" customFormat="1" ht="18" hidden="1" customHeight="1" x14ac:dyDescent="0.25">
      <c r="A172" s="44">
        <v>163</v>
      </c>
      <c r="B172" s="43">
        <v>46128</v>
      </c>
      <c r="C172" s="53" t="s">
        <v>994</v>
      </c>
      <c r="D172" s="90">
        <v>40</v>
      </c>
      <c r="E172" s="53" t="s">
        <v>20</v>
      </c>
      <c r="F172" s="164" t="s">
        <v>868</v>
      </c>
      <c r="G172" s="183">
        <v>385000</v>
      </c>
      <c r="H172" s="53" t="s">
        <v>22</v>
      </c>
      <c r="I172" s="31" t="s">
        <v>1246</v>
      </c>
      <c r="J172" s="31"/>
      <c r="K172" s="31"/>
      <c r="L172" s="31">
        <f t="shared" si="16"/>
        <v>40</v>
      </c>
      <c r="M172" s="31" t="s">
        <v>1247</v>
      </c>
      <c r="N172" s="31"/>
      <c r="O172" s="31"/>
      <c r="P172" s="31"/>
      <c r="Q172" s="31"/>
      <c r="R172" s="31" t="s">
        <v>1249</v>
      </c>
      <c r="S172" s="31"/>
      <c r="T172" s="31" t="str">
        <f t="shared" si="13"/>
        <v>Cước vận chuyển vỏ container 40 từ bãi JJ, Hải Phòng đến Nam Đình Vũ, Hải Phòng</v>
      </c>
      <c r="U172" s="31"/>
    </row>
    <row r="173" spans="1:21" s="29" customFormat="1" ht="18" hidden="1" customHeight="1" x14ac:dyDescent="0.25">
      <c r="A173" s="44">
        <v>164</v>
      </c>
      <c r="B173" s="43">
        <v>46128</v>
      </c>
      <c r="C173" s="53" t="s">
        <v>995</v>
      </c>
      <c r="D173" s="90">
        <v>40</v>
      </c>
      <c r="E173" s="53" t="s">
        <v>20</v>
      </c>
      <c r="F173" s="164" t="s">
        <v>868</v>
      </c>
      <c r="G173" s="183">
        <v>385000</v>
      </c>
      <c r="H173" s="53" t="s">
        <v>22</v>
      </c>
      <c r="I173" s="31" t="s">
        <v>1246</v>
      </c>
      <c r="J173" s="31"/>
      <c r="K173" s="31"/>
      <c r="L173" s="31">
        <f t="shared" si="16"/>
        <v>40</v>
      </c>
      <c r="M173" s="31" t="s">
        <v>1247</v>
      </c>
      <c r="N173" s="31"/>
      <c r="O173" s="31"/>
      <c r="P173" s="31"/>
      <c r="Q173" s="31"/>
      <c r="R173" s="31" t="s">
        <v>1249</v>
      </c>
      <c r="S173" s="31"/>
      <c r="T173" s="31" t="str">
        <f t="shared" si="13"/>
        <v>Cước vận chuyển vỏ container 40 từ bãi JJ, Hải Phòng đến Nam Đình Vũ, Hải Phòng</v>
      </c>
      <c r="U173" s="31"/>
    </row>
    <row r="174" spans="1:21" s="29" customFormat="1" ht="18" hidden="1" customHeight="1" x14ac:dyDescent="0.25">
      <c r="A174" s="44">
        <v>165</v>
      </c>
      <c r="B174" s="43">
        <v>46128</v>
      </c>
      <c r="C174" s="130" t="s">
        <v>996</v>
      </c>
      <c r="D174" s="90">
        <v>20</v>
      </c>
      <c r="E174" s="53" t="s">
        <v>20</v>
      </c>
      <c r="F174" s="164" t="s">
        <v>868</v>
      </c>
      <c r="G174" s="190">
        <v>209000</v>
      </c>
      <c r="H174" s="53" t="s">
        <v>22</v>
      </c>
      <c r="I174" s="31" t="s">
        <v>1246</v>
      </c>
      <c r="J174" s="31"/>
      <c r="K174" s="31"/>
      <c r="L174" s="31">
        <f t="shared" ref="L174:L177" si="17">D174</f>
        <v>20</v>
      </c>
      <c r="M174" s="31" t="s">
        <v>1247</v>
      </c>
      <c r="N174" s="31"/>
      <c r="O174" s="31"/>
      <c r="P174" s="31"/>
      <c r="Q174" s="31"/>
      <c r="R174" s="31" t="s">
        <v>1249</v>
      </c>
      <c r="S174" s="31"/>
      <c r="T174" s="31" t="str">
        <f t="shared" si="13"/>
        <v>Cước vận chuyển vỏ container 20 từ bãi JJ, Hải Phòng đến Nam Đình Vũ, Hải Phòng</v>
      </c>
      <c r="U174" s="31"/>
    </row>
    <row r="175" spans="1:21" s="29" customFormat="1" ht="18" hidden="1" customHeight="1" x14ac:dyDescent="0.25">
      <c r="A175" s="44">
        <v>166</v>
      </c>
      <c r="B175" s="43">
        <v>46128</v>
      </c>
      <c r="C175" s="130" t="s">
        <v>997</v>
      </c>
      <c r="D175" s="90">
        <v>20</v>
      </c>
      <c r="E175" s="53" t="s">
        <v>20</v>
      </c>
      <c r="F175" s="164" t="s">
        <v>868</v>
      </c>
      <c r="G175" s="190">
        <v>209000</v>
      </c>
      <c r="H175" s="53" t="s">
        <v>22</v>
      </c>
      <c r="I175" s="31" t="s">
        <v>1246</v>
      </c>
      <c r="J175" s="31"/>
      <c r="K175" s="31"/>
      <c r="L175" s="31">
        <f t="shared" si="17"/>
        <v>20</v>
      </c>
      <c r="M175" s="31" t="s">
        <v>1247</v>
      </c>
      <c r="N175" s="31"/>
      <c r="O175" s="31"/>
      <c r="P175" s="31"/>
      <c r="Q175" s="31"/>
      <c r="R175" s="31" t="s">
        <v>1249</v>
      </c>
      <c r="S175" s="31"/>
      <c r="T175" s="31" t="str">
        <f t="shared" si="13"/>
        <v>Cước vận chuyển vỏ container 20 từ bãi JJ, Hải Phòng đến Nam Đình Vũ, Hải Phòng</v>
      </c>
      <c r="U175" s="31"/>
    </row>
    <row r="176" spans="1:21" s="29" customFormat="1" ht="18" hidden="1" customHeight="1" x14ac:dyDescent="0.25">
      <c r="A176" s="44">
        <v>167</v>
      </c>
      <c r="B176" s="43">
        <v>46128</v>
      </c>
      <c r="C176" s="130" t="s">
        <v>998</v>
      </c>
      <c r="D176" s="90">
        <v>40</v>
      </c>
      <c r="E176" s="53" t="s">
        <v>20</v>
      </c>
      <c r="F176" s="164" t="s">
        <v>868</v>
      </c>
      <c r="G176" s="183">
        <v>385000</v>
      </c>
      <c r="H176" s="53" t="s">
        <v>21</v>
      </c>
      <c r="I176" s="31" t="s">
        <v>1246</v>
      </c>
      <c r="J176" s="31"/>
      <c r="K176" s="31"/>
      <c r="L176" s="31">
        <f t="shared" si="17"/>
        <v>40</v>
      </c>
      <c r="M176" s="31" t="s">
        <v>1247</v>
      </c>
      <c r="N176" s="31"/>
      <c r="O176" s="31"/>
      <c r="P176" s="31"/>
      <c r="Q176" s="31"/>
      <c r="R176" s="31" t="s">
        <v>1249</v>
      </c>
      <c r="S176" s="31"/>
      <c r="T176" s="31" t="str">
        <f t="shared" si="13"/>
        <v>Cước vận chuyển vỏ container 40 từ bãi JJ, Hải Phòng đến Nam Đình Vũ, Hải Phòng</v>
      </c>
      <c r="U176" s="31"/>
    </row>
    <row r="177" spans="1:21" s="29" customFormat="1" ht="18" hidden="1" customHeight="1" x14ac:dyDescent="0.25">
      <c r="A177" s="44">
        <v>168</v>
      </c>
      <c r="B177" s="43">
        <v>46128</v>
      </c>
      <c r="C177" s="130" t="s">
        <v>999</v>
      </c>
      <c r="D177" s="90">
        <v>40</v>
      </c>
      <c r="E177" s="53" t="s">
        <v>20</v>
      </c>
      <c r="F177" s="164" t="s">
        <v>868</v>
      </c>
      <c r="G177" s="183">
        <v>385000</v>
      </c>
      <c r="H177" s="53" t="s">
        <v>21</v>
      </c>
      <c r="I177" s="31" t="s">
        <v>1246</v>
      </c>
      <c r="J177" s="31"/>
      <c r="K177" s="31"/>
      <c r="L177" s="31">
        <f t="shared" si="17"/>
        <v>40</v>
      </c>
      <c r="M177" s="31" t="s">
        <v>1247</v>
      </c>
      <c r="N177" s="31"/>
      <c r="O177" s="31"/>
      <c r="P177" s="31"/>
      <c r="Q177" s="31"/>
      <c r="R177" s="31" t="s">
        <v>1249</v>
      </c>
      <c r="S177" s="31"/>
      <c r="T177" s="31" t="str">
        <f t="shared" si="13"/>
        <v>Cước vận chuyển vỏ container 40 từ bãi JJ, Hải Phòng đến Nam Đình Vũ, Hải Phòng</v>
      </c>
      <c r="U177" s="31"/>
    </row>
    <row r="178" spans="1:21" s="29" customFormat="1" ht="18" hidden="1" customHeight="1" x14ac:dyDescent="0.25">
      <c r="A178" s="44">
        <v>169</v>
      </c>
      <c r="B178" s="43">
        <v>46128</v>
      </c>
      <c r="C178" s="130" t="s">
        <v>1000</v>
      </c>
      <c r="D178" s="90">
        <v>20</v>
      </c>
      <c r="E178" s="53" t="s">
        <v>20</v>
      </c>
      <c r="F178" s="164" t="s">
        <v>868</v>
      </c>
      <c r="G178" s="190">
        <v>209000</v>
      </c>
      <c r="H178" s="53" t="s">
        <v>25</v>
      </c>
      <c r="I178" s="31" t="s">
        <v>1246</v>
      </c>
      <c r="J178" s="31"/>
      <c r="K178" s="31"/>
      <c r="L178" s="31">
        <f t="shared" ref="L178:L189" si="18">D178</f>
        <v>20</v>
      </c>
      <c r="M178" s="31" t="s">
        <v>1247</v>
      </c>
      <c r="N178" s="31"/>
      <c r="O178" s="31"/>
      <c r="P178" s="31"/>
      <c r="Q178" s="31"/>
      <c r="R178" s="31" t="s">
        <v>1249</v>
      </c>
      <c r="S178" s="31"/>
      <c r="T178" s="31" t="str">
        <f t="shared" si="13"/>
        <v>Cước vận chuyển vỏ container 20 từ bãi JJ, Hải Phòng đến Nam Đình Vũ, Hải Phòng</v>
      </c>
      <c r="U178" s="31"/>
    </row>
    <row r="179" spans="1:21" s="29" customFormat="1" ht="18" hidden="1" customHeight="1" x14ac:dyDescent="0.25">
      <c r="A179" s="44">
        <v>170</v>
      </c>
      <c r="B179" s="43">
        <v>46128</v>
      </c>
      <c r="C179" s="130" t="s">
        <v>1001</v>
      </c>
      <c r="D179" s="90">
        <v>20</v>
      </c>
      <c r="E179" s="53" t="s">
        <v>20</v>
      </c>
      <c r="F179" s="164" t="s">
        <v>868</v>
      </c>
      <c r="G179" s="190">
        <v>209000</v>
      </c>
      <c r="H179" s="53" t="s">
        <v>25</v>
      </c>
      <c r="I179" s="31" t="s">
        <v>1246</v>
      </c>
      <c r="J179" s="31"/>
      <c r="K179" s="31"/>
      <c r="L179" s="31">
        <f t="shared" si="18"/>
        <v>20</v>
      </c>
      <c r="M179" s="31" t="s">
        <v>1247</v>
      </c>
      <c r="N179" s="31"/>
      <c r="O179" s="31"/>
      <c r="P179" s="31"/>
      <c r="Q179" s="31"/>
      <c r="R179" s="31" t="s">
        <v>1249</v>
      </c>
      <c r="S179" s="31"/>
      <c r="T179" s="31" t="str">
        <f t="shared" si="13"/>
        <v>Cước vận chuyển vỏ container 20 từ bãi JJ, Hải Phòng đến Nam Đình Vũ, Hải Phòng</v>
      </c>
      <c r="U179" s="31"/>
    </row>
    <row r="180" spans="1:21" s="29" customFormat="1" ht="18" hidden="1" customHeight="1" x14ac:dyDescent="0.25">
      <c r="A180" s="44">
        <v>171</v>
      </c>
      <c r="B180" s="43">
        <v>46128</v>
      </c>
      <c r="C180" s="130" t="s">
        <v>1002</v>
      </c>
      <c r="D180" s="90">
        <v>40</v>
      </c>
      <c r="E180" s="53" t="s">
        <v>20</v>
      </c>
      <c r="F180" s="164" t="s">
        <v>868</v>
      </c>
      <c r="G180" s="183">
        <v>385000</v>
      </c>
      <c r="H180" s="53" t="s">
        <v>25</v>
      </c>
      <c r="I180" s="31" t="s">
        <v>1246</v>
      </c>
      <c r="J180" s="31"/>
      <c r="K180" s="31"/>
      <c r="L180" s="31">
        <f t="shared" si="18"/>
        <v>40</v>
      </c>
      <c r="M180" s="31" t="s">
        <v>1247</v>
      </c>
      <c r="N180" s="31"/>
      <c r="O180" s="31"/>
      <c r="P180" s="31"/>
      <c r="Q180" s="31"/>
      <c r="R180" s="31" t="s">
        <v>1249</v>
      </c>
      <c r="S180" s="31"/>
      <c r="T180" s="31" t="str">
        <f t="shared" si="13"/>
        <v>Cước vận chuyển vỏ container 40 từ bãi JJ, Hải Phòng đến Nam Đình Vũ, Hải Phòng</v>
      </c>
      <c r="U180" s="31"/>
    </row>
    <row r="181" spans="1:21" s="29" customFormat="1" ht="18" hidden="1" customHeight="1" x14ac:dyDescent="0.25">
      <c r="A181" s="44">
        <v>172</v>
      </c>
      <c r="B181" s="43">
        <v>46128</v>
      </c>
      <c r="C181" s="130" t="s">
        <v>1003</v>
      </c>
      <c r="D181" s="90">
        <v>40</v>
      </c>
      <c r="E181" s="53" t="s">
        <v>20</v>
      </c>
      <c r="F181" s="164" t="s">
        <v>868</v>
      </c>
      <c r="G181" s="183">
        <v>385000</v>
      </c>
      <c r="H181" s="53" t="s">
        <v>25</v>
      </c>
      <c r="I181" s="31" t="s">
        <v>1246</v>
      </c>
      <c r="J181" s="31"/>
      <c r="K181" s="31"/>
      <c r="L181" s="31">
        <f t="shared" si="18"/>
        <v>40</v>
      </c>
      <c r="M181" s="31" t="s">
        <v>1247</v>
      </c>
      <c r="N181" s="31"/>
      <c r="O181" s="31"/>
      <c r="P181" s="31"/>
      <c r="Q181" s="31"/>
      <c r="R181" s="31" t="s">
        <v>1249</v>
      </c>
      <c r="S181" s="31"/>
      <c r="T181" s="31" t="str">
        <f t="shared" si="13"/>
        <v>Cước vận chuyển vỏ container 40 từ bãi JJ, Hải Phòng đến Nam Đình Vũ, Hải Phòng</v>
      </c>
      <c r="U181" s="31"/>
    </row>
    <row r="182" spans="1:21" s="29" customFormat="1" ht="18" hidden="1" customHeight="1" x14ac:dyDescent="0.25">
      <c r="A182" s="44">
        <v>173</v>
      </c>
      <c r="B182" s="43">
        <v>46128</v>
      </c>
      <c r="C182" s="130" t="s">
        <v>1004</v>
      </c>
      <c r="D182" s="90">
        <v>40</v>
      </c>
      <c r="E182" s="53" t="s">
        <v>20</v>
      </c>
      <c r="F182" s="164" t="s">
        <v>868</v>
      </c>
      <c r="G182" s="183">
        <v>385000</v>
      </c>
      <c r="H182" s="53" t="s">
        <v>25</v>
      </c>
      <c r="I182" s="31" t="s">
        <v>1246</v>
      </c>
      <c r="J182" s="31"/>
      <c r="K182" s="31"/>
      <c r="L182" s="31">
        <f t="shared" si="18"/>
        <v>40</v>
      </c>
      <c r="M182" s="31" t="s">
        <v>1247</v>
      </c>
      <c r="N182" s="31"/>
      <c r="O182" s="31"/>
      <c r="P182" s="31"/>
      <c r="Q182" s="31"/>
      <c r="R182" s="31" t="s">
        <v>1249</v>
      </c>
      <c r="S182" s="31"/>
      <c r="T182" s="31" t="str">
        <f t="shared" si="13"/>
        <v>Cước vận chuyển vỏ container 40 từ bãi JJ, Hải Phòng đến Nam Đình Vũ, Hải Phòng</v>
      </c>
      <c r="U182" s="31"/>
    </row>
    <row r="183" spans="1:21" s="29" customFormat="1" ht="18" hidden="1" customHeight="1" x14ac:dyDescent="0.25">
      <c r="A183" s="44">
        <v>174</v>
      </c>
      <c r="B183" s="43">
        <v>46128</v>
      </c>
      <c r="C183" s="130" t="s">
        <v>1005</v>
      </c>
      <c r="D183" s="90">
        <v>40</v>
      </c>
      <c r="E183" s="53" t="s">
        <v>20</v>
      </c>
      <c r="F183" s="164" t="s">
        <v>868</v>
      </c>
      <c r="G183" s="183">
        <v>385000</v>
      </c>
      <c r="H183" s="53" t="s">
        <v>25</v>
      </c>
      <c r="I183" s="31" t="s">
        <v>1246</v>
      </c>
      <c r="J183" s="31"/>
      <c r="K183" s="31"/>
      <c r="L183" s="31">
        <f t="shared" si="18"/>
        <v>40</v>
      </c>
      <c r="M183" s="31" t="s">
        <v>1247</v>
      </c>
      <c r="N183" s="31"/>
      <c r="O183" s="31"/>
      <c r="P183" s="31"/>
      <c r="Q183" s="31"/>
      <c r="R183" s="31" t="s">
        <v>1249</v>
      </c>
      <c r="S183" s="31"/>
      <c r="T183" s="31" t="str">
        <f t="shared" si="13"/>
        <v>Cước vận chuyển vỏ container 40 từ bãi JJ, Hải Phòng đến Nam Đình Vũ, Hải Phòng</v>
      </c>
      <c r="U183" s="31"/>
    </row>
    <row r="184" spans="1:21" s="29" customFormat="1" ht="18" hidden="1" customHeight="1" x14ac:dyDescent="0.25">
      <c r="A184" s="44">
        <v>175</v>
      </c>
      <c r="B184" s="43">
        <v>46128</v>
      </c>
      <c r="C184" s="130" t="s">
        <v>1006</v>
      </c>
      <c r="D184" s="90">
        <v>40</v>
      </c>
      <c r="E184" s="53" t="s">
        <v>20</v>
      </c>
      <c r="F184" s="164" t="s">
        <v>868</v>
      </c>
      <c r="G184" s="183">
        <v>385000</v>
      </c>
      <c r="H184" s="53" t="s">
        <v>25</v>
      </c>
      <c r="I184" s="31" t="s">
        <v>1246</v>
      </c>
      <c r="J184" s="31"/>
      <c r="K184" s="31"/>
      <c r="L184" s="31">
        <f t="shared" si="18"/>
        <v>40</v>
      </c>
      <c r="M184" s="31" t="s">
        <v>1247</v>
      </c>
      <c r="N184" s="31"/>
      <c r="O184" s="31"/>
      <c r="P184" s="31"/>
      <c r="Q184" s="31"/>
      <c r="R184" s="31" t="s">
        <v>1249</v>
      </c>
      <c r="S184" s="31"/>
      <c r="T184" s="31" t="str">
        <f t="shared" si="13"/>
        <v>Cước vận chuyển vỏ container 40 từ bãi JJ, Hải Phòng đến Nam Đình Vũ, Hải Phòng</v>
      </c>
      <c r="U184" s="31"/>
    </row>
    <row r="185" spans="1:21" s="29" customFormat="1" ht="18" hidden="1" customHeight="1" x14ac:dyDescent="0.25">
      <c r="A185" s="44">
        <v>176</v>
      </c>
      <c r="B185" s="43">
        <v>46128</v>
      </c>
      <c r="C185" s="130" t="s">
        <v>1007</v>
      </c>
      <c r="D185" s="90">
        <v>40</v>
      </c>
      <c r="E185" s="53" t="s">
        <v>20</v>
      </c>
      <c r="F185" s="164" t="s">
        <v>868</v>
      </c>
      <c r="G185" s="183">
        <v>385000</v>
      </c>
      <c r="H185" s="53" t="s">
        <v>25</v>
      </c>
      <c r="I185" s="31" t="s">
        <v>1246</v>
      </c>
      <c r="J185" s="31"/>
      <c r="K185" s="31"/>
      <c r="L185" s="31">
        <f t="shared" si="18"/>
        <v>40</v>
      </c>
      <c r="M185" s="31" t="s">
        <v>1247</v>
      </c>
      <c r="N185" s="31"/>
      <c r="O185" s="31"/>
      <c r="P185" s="31"/>
      <c r="Q185" s="31"/>
      <c r="R185" s="31" t="s">
        <v>1249</v>
      </c>
      <c r="S185" s="31"/>
      <c r="T185" s="31" t="str">
        <f t="shared" si="13"/>
        <v>Cước vận chuyển vỏ container 40 từ bãi JJ, Hải Phòng đến Nam Đình Vũ, Hải Phòng</v>
      </c>
      <c r="U185" s="31"/>
    </row>
    <row r="186" spans="1:21" s="29" customFormat="1" ht="18" hidden="1" customHeight="1" x14ac:dyDescent="0.25">
      <c r="A186" s="44">
        <v>177</v>
      </c>
      <c r="B186" s="43">
        <v>46128</v>
      </c>
      <c r="C186" s="130" t="s">
        <v>1008</v>
      </c>
      <c r="D186" s="90">
        <v>40</v>
      </c>
      <c r="E186" s="53" t="s">
        <v>20</v>
      </c>
      <c r="F186" s="164" t="s">
        <v>868</v>
      </c>
      <c r="G186" s="183">
        <v>385000</v>
      </c>
      <c r="H186" s="53" t="s">
        <v>25</v>
      </c>
      <c r="I186" s="31" t="s">
        <v>1246</v>
      </c>
      <c r="J186" s="31"/>
      <c r="K186" s="31"/>
      <c r="L186" s="31">
        <f t="shared" si="18"/>
        <v>40</v>
      </c>
      <c r="M186" s="31" t="s">
        <v>1247</v>
      </c>
      <c r="N186" s="31"/>
      <c r="O186" s="31"/>
      <c r="P186" s="31"/>
      <c r="Q186" s="31"/>
      <c r="R186" s="31" t="s">
        <v>1249</v>
      </c>
      <c r="S186" s="31"/>
      <c r="T186" s="31" t="str">
        <f t="shared" si="13"/>
        <v>Cước vận chuyển vỏ container 40 từ bãi JJ, Hải Phòng đến Nam Đình Vũ, Hải Phòng</v>
      </c>
      <c r="U186" s="31"/>
    </row>
    <row r="187" spans="1:21" s="29" customFormat="1" ht="18" hidden="1" customHeight="1" x14ac:dyDescent="0.25">
      <c r="A187" s="44">
        <v>178</v>
      </c>
      <c r="B187" s="43">
        <v>46128</v>
      </c>
      <c r="C187" s="130" t="s">
        <v>1009</v>
      </c>
      <c r="D187" s="90">
        <v>40</v>
      </c>
      <c r="E187" s="53" t="s">
        <v>20</v>
      </c>
      <c r="F187" s="164" t="s">
        <v>868</v>
      </c>
      <c r="G187" s="183">
        <v>385000</v>
      </c>
      <c r="H187" s="53" t="s">
        <v>25</v>
      </c>
      <c r="I187" s="31" t="s">
        <v>1246</v>
      </c>
      <c r="J187" s="31"/>
      <c r="K187" s="31"/>
      <c r="L187" s="31">
        <f t="shared" si="18"/>
        <v>40</v>
      </c>
      <c r="M187" s="31" t="s">
        <v>1247</v>
      </c>
      <c r="N187" s="31"/>
      <c r="O187" s="31"/>
      <c r="P187" s="31"/>
      <c r="Q187" s="31"/>
      <c r="R187" s="31" t="s">
        <v>1249</v>
      </c>
      <c r="S187" s="31"/>
      <c r="T187" s="31" t="str">
        <f t="shared" si="13"/>
        <v>Cước vận chuyển vỏ container 40 từ bãi JJ, Hải Phòng đến Nam Đình Vũ, Hải Phòng</v>
      </c>
      <c r="U187" s="31"/>
    </row>
    <row r="188" spans="1:21" s="29" customFormat="1" ht="18" hidden="1" customHeight="1" x14ac:dyDescent="0.25">
      <c r="A188" s="44">
        <v>179</v>
      </c>
      <c r="B188" s="43">
        <v>46128.423483796294</v>
      </c>
      <c r="C188" s="130" t="s">
        <v>955</v>
      </c>
      <c r="D188" s="53">
        <v>40</v>
      </c>
      <c r="E188" s="53" t="s">
        <v>20</v>
      </c>
      <c r="F188" s="164" t="s">
        <v>868</v>
      </c>
      <c r="G188" s="183">
        <v>385000</v>
      </c>
      <c r="H188" s="41" t="s">
        <v>267</v>
      </c>
      <c r="I188" s="31" t="s">
        <v>1246</v>
      </c>
      <c r="J188" s="31"/>
      <c r="K188" s="31"/>
      <c r="L188" s="31">
        <f t="shared" si="18"/>
        <v>40</v>
      </c>
      <c r="M188" s="31" t="s">
        <v>1247</v>
      </c>
      <c r="N188" s="31"/>
      <c r="O188" s="31"/>
      <c r="P188" s="31"/>
      <c r="Q188" s="31"/>
      <c r="R188" s="31" t="s">
        <v>1249</v>
      </c>
      <c r="S188" s="31"/>
      <c r="T188" s="31" t="str">
        <f t="shared" si="13"/>
        <v>Cước vận chuyển vỏ container 40 từ bãi JJ, Hải Phòng đến Nam Đình Vũ, Hải Phòng</v>
      </c>
      <c r="U188" s="31"/>
    </row>
    <row r="189" spans="1:21" s="29" customFormat="1" ht="18" hidden="1" customHeight="1" x14ac:dyDescent="0.25">
      <c r="A189" s="44">
        <v>180</v>
      </c>
      <c r="B189" s="43">
        <v>46128.423483796294</v>
      </c>
      <c r="C189" s="130" t="s">
        <v>956</v>
      </c>
      <c r="D189" s="53">
        <v>40</v>
      </c>
      <c r="E189" s="53" t="s">
        <v>20</v>
      </c>
      <c r="F189" s="164" t="s">
        <v>868</v>
      </c>
      <c r="G189" s="183">
        <v>385000</v>
      </c>
      <c r="H189" s="41" t="s">
        <v>267</v>
      </c>
      <c r="I189" s="31" t="s">
        <v>1246</v>
      </c>
      <c r="J189" s="31"/>
      <c r="K189" s="31"/>
      <c r="L189" s="31">
        <f t="shared" si="18"/>
        <v>40</v>
      </c>
      <c r="M189" s="31" t="s">
        <v>1247</v>
      </c>
      <c r="N189" s="31"/>
      <c r="O189" s="31"/>
      <c r="P189" s="31"/>
      <c r="Q189" s="31"/>
      <c r="R189" s="31" t="s">
        <v>1249</v>
      </c>
      <c r="S189" s="31"/>
      <c r="T189" s="31" t="str">
        <f t="shared" si="13"/>
        <v>Cước vận chuyển vỏ container 40 từ bãi JJ, Hải Phòng đến Nam Đình Vũ, Hải Phòng</v>
      </c>
      <c r="U189" s="31"/>
    </row>
    <row r="190" spans="1:21" s="29" customFormat="1" ht="18" hidden="1" customHeight="1" x14ac:dyDescent="0.25">
      <c r="A190" s="44">
        <v>181</v>
      </c>
      <c r="B190" s="43">
        <v>46128.423483796294</v>
      </c>
      <c r="C190" s="130" t="s">
        <v>957</v>
      </c>
      <c r="D190" s="53">
        <v>20</v>
      </c>
      <c r="E190" s="53" t="s">
        <v>20</v>
      </c>
      <c r="F190" s="164" t="s">
        <v>868</v>
      </c>
      <c r="G190" s="190">
        <v>209000</v>
      </c>
      <c r="H190" s="41" t="s">
        <v>267</v>
      </c>
      <c r="I190" s="31" t="s">
        <v>1246</v>
      </c>
      <c r="J190" s="31"/>
      <c r="K190" s="31"/>
      <c r="L190" s="31">
        <f t="shared" ref="L190:L202" si="19">D190</f>
        <v>20</v>
      </c>
      <c r="M190" s="31" t="s">
        <v>1247</v>
      </c>
      <c r="N190" s="31"/>
      <c r="O190" s="31"/>
      <c r="P190" s="31"/>
      <c r="Q190" s="31"/>
      <c r="R190" s="31" t="s">
        <v>1249</v>
      </c>
      <c r="S190" s="31"/>
      <c r="T190" s="31" t="str">
        <f t="shared" si="13"/>
        <v>Cước vận chuyển vỏ container 20 từ bãi JJ, Hải Phòng đến Nam Đình Vũ, Hải Phòng</v>
      </c>
      <c r="U190" s="31"/>
    </row>
    <row r="191" spans="1:21" s="29" customFormat="1" ht="18" hidden="1" customHeight="1" x14ac:dyDescent="0.25">
      <c r="A191" s="44">
        <v>182</v>
      </c>
      <c r="B191" s="43">
        <v>46128.423483796294</v>
      </c>
      <c r="C191" s="130" t="s">
        <v>958</v>
      </c>
      <c r="D191" s="53">
        <v>20</v>
      </c>
      <c r="E191" s="53" t="s">
        <v>20</v>
      </c>
      <c r="F191" s="164" t="s">
        <v>868</v>
      </c>
      <c r="G191" s="190">
        <v>209000</v>
      </c>
      <c r="H191" s="41" t="s">
        <v>267</v>
      </c>
      <c r="I191" s="31" t="s">
        <v>1246</v>
      </c>
      <c r="J191" s="31"/>
      <c r="K191" s="31"/>
      <c r="L191" s="31">
        <f t="shared" si="19"/>
        <v>20</v>
      </c>
      <c r="M191" s="31" t="s">
        <v>1247</v>
      </c>
      <c r="N191" s="31"/>
      <c r="O191" s="31"/>
      <c r="P191" s="31"/>
      <c r="Q191" s="31"/>
      <c r="R191" s="31" t="s">
        <v>1249</v>
      </c>
      <c r="S191" s="31"/>
      <c r="T191" s="31" t="str">
        <f t="shared" si="13"/>
        <v>Cước vận chuyển vỏ container 20 từ bãi JJ, Hải Phòng đến Nam Đình Vũ, Hải Phòng</v>
      </c>
      <c r="U191" s="31"/>
    </row>
    <row r="192" spans="1:21" s="29" customFormat="1" ht="18" hidden="1" customHeight="1" x14ac:dyDescent="0.25">
      <c r="A192" s="44">
        <v>183</v>
      </c>
      <c r="B192" s="43">
        <v>46128.423483796294</v>
      </c>
      <c r="C192" s="130" t="s">
        <v>959</v>
      </c>
      <c r="D192" s="53">
        <v>20</v>
      </c>
      <c r="E192" s="53" t="s">
        <v>20</v>
      </c>
      <c r="F192" s="164" t="s">
        <v>868</v>
      </c>
      <c r="G192" s="190">
        <v>209000</v>
      </c>
      <c r="H192" s="41" t="s">
        <v>267</v>
      </c>
      <c r="I192" s="31" t="s">
        <v>1246</v>
      </c>
      <c r="J192" s="31"/>
      <c r="K192" s="31"/>
      <c r="L192" s="31">
        <f t="shared" si="19"/>
        <v>20</v>
      </c>
      <c r="M192" s="31" t="s">
        <v>1247</v>
      </c>
      <c r="N192" s="31"/>
      <c r="O192" s="31"/>
      <c r="P192" s="31"/>
      <c r="Q192" s="31"/>
      <c r="R192" s="31" t="s">
        <v>1249</v>
      </c>
      <c r="S192" s="31"/>
      <c r="T192" s="31" t="str">
        <f t="shared" si="13"/>
        <v>Cước vận chuyển vỏ container 20 từ bãi JJ, Hải Phòng đến Nam Đình Vũ, Hải Phòng</v>
      </c>
      <c r="U192" s="31"/>
    </row>
    <row r="193" spans="1:21" s="29" customFormat="1" ht="18" hidden="1" customHeight="1" x14ac:dyDescent="0.25">
      <c r="A193" s="44">
        <v>184</v>
      </c>
      <c r="B193" s="43">
        <v>46128.423483796294</v>
      </c>
      <c r="C193" s="130" t="s">
        <v>960</v>
      </c>
      <c r="D193" s="53">
        <v>20</v>
      </c>
      <c r="E193" s="53" t="s">
        <v>20</v>
      </c>
      <c r="F193" s="164" t="s">
        <v>868</v>
      </c>
      <c r="G193" s="190">
        <v>209000</v>
      </c>
      <c r="H193" s="41" t="s">
        <v>267</v>
      </c>
      <c r="I193" s="31" t="s">
        <v>1246</v>
      </c>
      <c r="J193" s="31"/>
      <c r="K193" s="31"/>
      <c r="L193" s="31">
        <f t="shared" si="19"/>
        <v>20</v>
      </c>
      <c r="M193" s="31" t="s">
        <v>1247</v>
      </c>
      <c r="N193" s="31"/>
      <c r="O193" s="31"/>
      <c r="P193" s="31"/>
      <c r="Q193" s="31"/>
      <c r="R193" s="31" t="s">
        <v>1249</v>
      </c>
      <c r="S193" s="31"/>
      <c r="T193" s="31" t="str">
        <f t="shared" si="13"/>
        <v>Cước vận chuyển vỏ container 20 từ bãi JJ, Hải Phòng đến Nam Đình Vũ, Hải Phòng</v>
      </c>
      <c r="U193" s="31"/>
    </row>
    <row r="194" spans="1:21" s="29" customFormat="1" ht="18" hidden="1" customHeight="1" x14ac:dyDescent="0.25">
      <c r="A194" s="44">
        <v>185</v>
      </c>
      <c r="B194" s="43">
        <v>46128.423483796294</v>
      </c>
      <c r="C194" s="130" t="s">
        <v>961</v>
      </c>
      <c r="D194" s="53">
        <v>20</v>
      </c>
      <c r="E194" s="53" t="s">
        <v>20</v>
      </c>
      <c r="F194" s="164" t="s">
        <v>868</v>
      </c>
      <c r="G194" s="190">
        <v>209000</v>
      </c>
      <c r="H194" s="41" t="s">
        <v>267</v>
      </c>
      <c r="I194" s="31" t="s">
        <v>1246</v>
      </c>
      <c r="J194" s="31"/>
      <c r="K194" s="31"/>
      <c r="L194" s="31">
        <f t="shared" si="19"/>
        <v>20</v>
      </c>
      <c r="M194" s="31" t="s">
        <v>1247</v>
      </c>
      <c r="N194" s="31"/>
      <c r="O194" s="31"/>
      <c r="P194" s="31"/>
      <c r="Q194" s="31"/>
      <c r="R194" s="31" t="s">
        <v>1249</v>
      </c>
      <c r="S194" s="31"/>
      <c r="T194" s="31" t="str">
        <f t="shared" si="13"/>
        <v>Cước vận chuyển vỏ container 20 từ bãi JJ, Hải Phòng đến Nam Đình Vũ, Hải Phòng</v>
      </c>
      <c r="U194" s="31"/>
    </row>
    <row r="195" spans="1:21" s="29" customFormat="1" ht="18" hidden="1" customHeight="1" x14ac:dyDescent="0.25">
      <c r="A195" s="44">
        <v>186</v>
      </c>
      <c r="B195" s="43">
        <v>46128.423483796294</v>
      </c>
      <c r="C195" s="130" t="s">
        <v>962</v>
      </c>
      <c r="D195" s="53">
        <v>20</v>
      </c>
      <c r="E195" s="53" t="s">
        <v>20</v>
      </c>
      <c r="F195" s="164" t="s">
        <v>868</v>
      </c>
      <c r="G195" s="190">
        <v>209000</v>
      </c>
      <c r="H195" s="41" t="s">
        <v>267</v>
      </c>
      <c r="I195" s="31" t="s">
        <v>1246</v>
      </c>
      <c r="J195" s="31"/>
      <c r="K195" s="31"/>
      <c r="L195" s="31">
        <f t="shared" si="19"/>
        <v>20</v>
      </c>
      <c r="M195" s="31" t="s">
        <v>1247</v>
      </c>
      <c r="N195" s="31"/>
      <c r="O195" s="31"/>
      <c r="P195" s="31"/>
      <c r="Q195" s="31"/>
      <c r="R195" s="31" t="s">
        <v>1249</v>
      </c>
      <c r="S195" s="31"/>
      <c r="T195" s="31" t="str">
        <f t="shared" si="13"/>
        <v>Cước vận chuyển vỏ container 20 từ bãi JJ, Hải Phòng đến Nam Đình Vũ, Hải Phòng</v>
      </c>
      <c r="U195" s="31"/>
    </row>
    <row r="196" spans="1:21" s="29" customFormat="1" ht="18" customHeight="1" x14ac:dyDescent="0.25">
      <c r="A196" s="44">
        <v>187</v>
      </c>
      <c r="B196" s="43">
        <v>46128.932604166665</v>
      </c>
      <c r="C196" s="130" t="s">
        <v>963</v>
      </c>
      <c r="D196" s="53">
        <v>40</v>
      </c>
      <c r="E196" s="53" t="s">
        <v>20</v>
      </c>
      <c r="F196" s="164" t="s">
        <v>868</v>
      </c>
      <c r="G196" s="183">
        <v>385000</v>
      </c>
      <c r="H196" s="53" t="s">
        <v>23</v>
      </c>
      <c r="I196" s="31" t="s">
        <v>1246</v>
      </c>
      <c r="J196" s="31"/>
      <c r="K196" s="31"/>
      <c r="L196" s="31">
        <f t="shared" si="19"/>
        <v>40</v>
      </c>
      <c r="M196" s="31" t="s">
        <v>1247</v>
      </c>
      <c r="N196" s="31"/>
      <c r="O196" s="31"/>
      <c r="P196" s="31"/>
      <c r="Q196" s="31"/>
      <c r="R196" s="31" t="s">
        <v>1249</v>
      </c>
      <c r="S196" s="31"/>
      <c r="T196" s="31" t="str">
        <f t="shared" si="13"/>
        <v>Cước vận chuyển vỏ container 40 từ bãi JJ, Hải Phòng đến Nam Đình Vũ, Hải Phòng</v>
      </c>
      <c r="U196" s="31"/>
    </row>
    <row r="197" spans="1:21" s="29" customFormat="1" ht="18" customHeight="1" x14ac:dyDescent="0.25">
      <c r="A197" s="44">
        <v>188</v>
      </c>
      <c r="B197" s="43">
        <v>46128.932604166665</v>
      </c>
      <c r="C197" s="130" t="s">
        <v>964</v>
      </c>
      <c r="D197" s="53">
        <v>40</v>
      </c>
      <c r="E197" s="53" t="s">
        <v>20</v>
      </c>
      <c r="F197" s="164" t="s">
        <v>868</v>
      </c>
      <c r="G197" s="183">
        <v>385000</v>
      </c>
      <c r="H197" s="53" t="s">
        <v>23</v>
      </c>
      <c r="I197" s="31" t="s">
        <v>1246</v>
      </c>
      <c r="J197" s="31"/>
      <c r="K197" s="31"/>
      <c r="L197" s="31">
        <f t="shared" si="19"/>
        <v>40</v>
      </c>
      <c r="M197" s="31" t="s">
        <v>1247</v>
      </c>
      <c r="N197" s="31"/>
      <c r="O197" s="31"/>
      <c r="P197" s="31"/>
      <c r="Q197" s="31"/>
      <c r="R197" s="31" t="s">
        <v>1249</v>
      </c>
      <c r="S197" s="31"/>
      <c r="T197" s="31" t="str">
        <f t="shared" si="13"/>
        <v>Cước vận chuyển vỏ container 40 từ bãi JJ, Hải Phòng đến Nam Đình Vũ, Hải Phòng</v>
      </c>
      <c r="U197" s="31"/>
    </row>
    <row r="198" spans="1:21" s="29" customFormat="1" ht="18" hidden="1" customHeight="1" x14ac:dyDescent="0.25">
      <c r="A198" s="44">
        <v>189</v>
      </c>
      <c r="B198" s="43">
        <v>46129</v>
      </c>
      <c r="C198" s="130" t="s">
        <v>1010</v>
      </c>
      <c r="D198" s="90">
        <v>40</v>
      </c>
      <c r="E198" s="53" t="s">
        <v>20</v>
      </c>
      <c r="F198" s="164" t="s">
        <v>868</v>
      </c>
      <c r="G198" s="183">
        <v>385000</v>
      </c>
      <c r="H198" s="53" t="s">
        <v>28</v>
      </c>
      <c r="I198" s="31" t="s">
        <v>1246</v>
      </c>
      <c r="J198" s="31"/>
      <c r="K198" s="31"/>
      <c r="L198" s="31">
        <f t="shared" si="19"/>
        <v>40</v>
      </c>
      <c r="M198" s="31" t="s">
        <v>1247</v>
      </c>
      <c r="N198" s="31"/>
      <c r="O198" s="31"/>
      <c r="P198" s="31"/>
      <c r="Q198" s="31"/>
      <c r="R198" s="31" t="s">
        <v>1249</v>
      </c>
      <c r="S198" s="31"/>
      <c r="T198" s="31" t="str">
        <f t="shared" si="13"/>
        <v>Cước vận chuyển vỏ container 40 từ bãi JJ, Hải Phòng đến Nam Đình Vũ, Hải Phòng</v>
      </c>
      <c r="U198" s="31"/>
    </row>
    <row r="199" spans="1:21" s="29" customFormat="1" ht="18" hidden="1" customHeight="1" x14ac:dyDescent="0.25">
      <c r="A199" s="44">
        <v>190</v>
      </c>
      <c r="B199" s="43">
        <v>46129</v>
      </c>
      <c r="C199" s="130" t="s">
        <v>1011</v>
      </c>
      <c r="D199" s="90">
        <v>40</v>
      </c>
      <c r="E199" s="53" t="s">
        <v>20</v>
      </c>
      <c r="F199" s="164" t="s">
        <v>868</v>
      </c>
      <c r="G199" s="183">
        <v>385000</v>
      </c>
      <c r="H199" s="53" t="s">
        <v>28</v>
      </c>
      <c r="I199" s="31" t="s">
        <v>1246</v>
      </c>
      <c r="J199" s="31"/>
      <c r="K199" s="31"/>
      <c r="L199" s="31">
        <f t="shared" si="19"/>
        <v>40</v>
      </c>
      <c r="M199" s="31" t="s">
        <v>1247</v>
      </c>
      <c r="N199" s="31"/>
      <c r="O199" s="31"/>
      <c r="P199" s="31"/>
      <c r="Q199" s="31"/>
      <c r="R199" s="31" t="s">
        <v>1249</v>
      </c>
      <c r="S199" s="31"/>
      <c r="T199" s="31" t="str">
        <f t="shared" si="13"/>
        <v>Cước vận chuyển vỏ container 40 từ bãi JJ, Hải Phòng đến Nam Đình Vũ, Hải Phòng</v>
      </c>
      <c r="U199" s="31"/>
    </row>
    <row r="200" spans="1:21" s="29" customFormat="1" ht="18" hidden="1" customHeight="1" x14ac:dyDescent="0.25">
      <c r="A200" s="44">
        <v>191</v>
      </c>
      <c r="B200" s="43">
        <v>46129</v>
      </c>
      <c r="C200" s="130" t="s">
        <v>1012</v>
      </c>
      <c r="D200" s="90">
        <v>40</v>
      </c>
      <c r="E200" s="53" t="s">
        <v>20</v>
      </c>
      <c r="F200" s="164" t="s">
        <v>868</v>
      </c>
      <c r="G200" s="183">
        <v>385000</v>
      </c>
      <c r="H200" s="53" t="s">
        <v>28</v>
      </c>
      <c r="I200" s="31" t="s">
        <v>1246</v>
      </c>
      <c r="J200" s="31"/>
      <c r="K200" s="31"/>
      <c r="L200" s="31">
        <f t="shared" si="19"/>
        <v>40</v>
      </c>
      <c r="M200" s="31" t="s">
        <v>1247</v>
      </c>
      <c r="N200" s="31"/>
      <c r="O200" s="31"/>
      <c r="P200" s="31"/>
      <c r="Q200" s="31"/>
      <c r="R200" s="31" t="s">
        <v>1249</v>
      </c>
      <c r="S200" s="31"/>
      <c r="T200" s="31" t="str">
        <f t="shared" si="13"/>
        <v>Cước vận chuyển vỏ container 40 từ bãi JJ, Hải Phòng đến Nam Đình Vũ, Hải Phòng</v>
      </c>
      <c r="U200" s="31"/>
    </row>
    <row r="201" spans="1:21" s="29" customFormat="1" ht="18" hidden="1" customHeight="1" x14ac:dyDescent="0.25">
      <c r="A201" s="44">
        <v>192</v>
      </c>
      <c r="B201" s="43">
        <v>46129</v>
      </c>
      <c r="C201" s="130" t="s">
        <v>1013</v>
      </c>
      <c r="D201" s="90">
        <v>40</v>
      </c>
      <c r="E201" s="53" t="s">
        <v>20</v>
      </c>
      <c r="F201" s="164" t="s">
        <v>868</v>
      </c>
      <c r="G201" s="183">
        <v>385000</v>
      </c>
      <c r="H201" s="53" t="s">
        <v>28</v>
      </c>
      <c r="I201" s="31" t="s">
        <v>1246</v>
      </c>
      <c r="J201" s="31"/>
      <c r="K201" s="31"/>
      <c r="L201" s="31">
        <f t="shared" si="19"/>
        <v>40</v>
      </c>
      <c r="M201" s="31" t="s">
        <v>1247</v>
      </c>
      <c r="N201" s="31"/>
      <c r="O201" s="31"/>
      <c r="P201" s="31"/>
      <c r="Q201" s="31"/>
      <c r="R201" s="31" t="s">
        <v>1249</v>
      </c>
      <c r="S201" s="31"/>
      <c r="T201" s="31" t="str">
        <f t="shared" si="13"/>
        <v>Cước vận chuyển vỏ container 40 từ bãi JJ, Hải Phòng đến Nam Đình Vũ, Hải Phòng</v>
      </c>
      <c r="U201" s="31"/>
    </row>
    <row r="202" spans="1:21" s="29" customFormat="1" ht="18" hidden="1" customHeight="1" x14ac:dyDescent="0.25">
      <c r="A202" s="44">
        <v>193</v>
      </c>
      <c r="B202" s="43">
        <v>46129</v>
      </c>
      <c r="C202" s="130" t="s">
        <v>1014</v>
      </c>
      <c r="D202" s="90">
        <v>40</v>
      </c>
      <c r="E202" s="53" t="s">
        <v>20</v>
      </c>
      <c r="F202" s="164" t="s">
        <v>868</v>
      </c>
      <c r="G202" s="183">
        <v>385000</v>
      </c>
      <c r="H202" s="53" t="s">
        <v>28</v>
      </c>
      <c r="I202" s="31" t="s">
        <v>1246</v>
      </c>
      <c r="J202" s="31"/>
      <c r="K202" s="31"/>
      <c r="L202" s="31">
        <f t="shared" si="19"/>
        <v>40</v>
      </c>
      <c r="M202" s="31" t="s">
        <v>1247</v>
      </c>
      <c r="N202" s="31"/>
      <c r="O202" s="31"/>
      <c r="P202" s="31"/>
      <c r="Q202" s="31"/>
      <c r="R202" s="31" t="s">
        <v>1249</v>
      </c>
      <c r="S202" s="31"/>
      <c r="T202" s="31" t="str">
        <f t="shared" si="13"/>
        <v>Cước vận chuyển vỏ container 40 từ bãi JJ, Hải Phòng đến Nam Đình Vũ, Hải Phòng</v>
      </c>
      <c r="U202" s="31"/>
    </row>
    <row r="203" spans="1:21" s="29" customFormat="1" ht="18" hidden="1" customHeight="1" x14ac:dyDescent="0.25">
      <c r="A203" s="44">
        <v>194</v>
      </c>
      <c r="B203" s="43">
        <v>46129</v>
      </c>
      <c r="C203" s="130" t="s">
        <v>1015</v>
      </c>
      <c r="D203" s="90">
        <v>20</v>
      </c>
      <c r="E203" s="53" t="s">
        <v>20</v>
      </c>
      <c r="F203" s="164" t="s">
        <v>868</v>
      </c>
      <c r="G203" s="190">
        <v>209000</v>
      </c>
      <c r="H203" s="53" t="s">
        <v>28</v>
      </c>
      <c r="I203" s="31" t="s">
        <v>1246</v>
      </c>
      <c r="J203" s="31"/>
      <c r="K203" s="31"/>
      <c r="L203" s="31">
        <f t="shared" ref="L203:L215" si="20">D203</f>
        <v>20</v>
      </c>
      <c r="M203" s="31" t="s">
        <v>1247</v>
      </c>
      <c r="N203" s="31"/>
      <c r="O203" s="31"/>
      <c r="P203" s="31"/>
      <c r="Q203" s="31"/>
      <c r="R203" s="31" t="s">
        <v>1249</v>
      </c>
      <c r="S203" s="31"/>
      <c r="T203" s="31" t="str">
        <f t="shared" ref="T203:T266" si="21">I203&amp;" "&amp;L203&amp;""&amp;" "&amp;M203</f>
        <v>Cước vận chuyển vỏ container 20 từ bãi JJ, Hải Phòng đến Nam Đình Vũ, Hải Phòng</v>
      </c>
      <c r="U203" s="31"/>
    </row>
    <row r="204" spans="1:21" s="29" customFormat="1" ht="18" hidden="1" customHeight="1" x14ac:dyDescent="0.25">
      <c r="A204" s="44">
        <v>195</v>
      </c>
      <c r="B204" s="43">
        <v>46129</v>
      </c>
      <c r="C204" s="130" t="s">
        <v>1016</v>
      </c>
      <c r="D204" s="90">
        <v>20</v>
      </c>
      <c r="E204" s="53" t="s">
        <v>20</v>
      </c>
      <c r="F204" s="164" t="s">
        <v>868</v>
      </c>
      <c r="G204" s="190">
        <v>209000</v>
      </c>
      <c r="H204" s="53" t="s">
        <v>28</v>
      </c>
      <c r="I204" s="31" t="s">
        <v>1246</v>
      </c>
      <c r="J204" s="31"/>
      <c r="K204" s="31"/>
      <c r="L204" s="31">
        <f t="shared" si="20"/>
        <v>20</v>
      </c>
      <c r="M204" s="31" t="s">
        <v>1247</v>
      </c>
      <c r="N204" s="31"/>
      <c r="O204" s="31"/>
      <c r="P204" s="31"/>
      <c r="Q204" s="31"/>
      <c r="R204" s="31" t="s">
        <v>1249</v>
      </c>
      <c r="S204" s="31"/>
      <c r="T204" s="31" t="str">
        <f t="shared" si="21"/>
        <v>Cước vận chuyển vỏ container 20 từ bãi JJ, Hải Phòng đến Nam Đình Vũ, Hải Phòng</v>
      </c>
      <c r="U204" s="31"/>
    </row>
    <row r="205" spans="1:21" s="29" customFormat="1" ht="18" hidden="1" customHeight="1" x14ac:dyDescent="0.25">
      <c r="A205" s="44">
        <v>196</v>
      </c>
      <c r="B205" s="43">
        <v>46129</v>
      </c>
      <c r="C205" s="130" t="s">
        <v>1017</v>
      </c>
      <c r="D205" s="90">
        <v>20</v>
      </c>
      <c r="E205" s="53" t="s">
        <v>20</v>
      </c>
      <c r="F205" s="164" t="s">
        <v>868</v>
      </c>
      <c r="G205" s="190">
        <v>209000</v>
      </c>
      <c r="H205" s="53" t="s">
        <v>28</v>
      </c>
      <c r="I205" s="31" t="s">
        <v>1246</v>
      </c>
      <c r="J205" s="31"/>
      <c r="K205" s="31"/>
      <c r="L205" s="31">
        <f t="shared" si="20"/>
        <v>20</v>
      </c>
      <c r="M205" s="31" t="s">
        <v>1247</v>
      </c>
      <c r="N205" s="31"/>
      <c r="O205" s="31"/>
      <c r="P205" s="31"/>
      <c r="Q205" s="31"/>
      <c r="R205" s="31" t="s">
        <v>1249</v>
      </c>
      <c r="S205" s="31"/>
      <c r="T205" s="31" t="str">
        <f t="shared" si="21"/>
        <v>Cước vận chuyển vỏ container 20 từ bãi JJ, Hải Phòng đến Nam Đình Vũ, Hải Phòng</v>
      </c>
      <c r="U205" s="31"/>
    </row>
    <row r="206" spans="1:21" s="29" customFormat="1" ht="18" hidden="1" customHeight="1" x14ac:dyDescent="0.25">
      <c r="A206" s="44">
        <v>197</v>
      </c>
      <c r="B206" s="43">
        <v>46129</v>
      </c>
      <c r="C206" s="130" t="s">
        <v>1018</v>
      </c>
      <c r="D206" s="90">
        <v>20</v>
      </c>
      <c r="E206" s="53" t="s">
        <v>20</v>
      </c>
      <c r="F206" s="164" t="s">
        <v>868</v>
      </c>
      <c r="G206" s="190">
        <v>209000</v>
      </c>
      <c r="H206" s="53" t="s">
        <v>28</v>
      </c>
      <c r="I206" s="31" t="s">
        <v>1246</v>
      </c>
      <c r="J206" s="31"/>
      <c r="K206" s="31"/>
      <c r="L206" s="31">
        <f t="shared" si="20"/>
        <v>20</v>
      </c>
      <c r="M206" s="31" t="s">
        <v>1247</v>
      </c>
      <c r="N206" s="31"/>
      <c r="O206" s="31"/>
      <c r="P206" s="31"/>
      <c r="Q206" s="31"/>
      <c r="R206" s="31" t="s">
        <v>1249</v>
      </c>
      <c r="S206" s="31"/>
      <c r="T206" s="31" t="str">
        <f t="shared" si="21"/>
        <v>Cước vận chuyển vỏ container 20 từ bãi JJ, Hải Phòng đến Nam Đình Vũ, Hải Phòng</v>
      </c>
      <c r="U206" s="31"/>
    </row>
    <row r="207" spans="1:21" s="29" customFormat="1" ht="18" hidden="1" customHeight="1" x14ac:dyDescent="0.25">
      <c r="A207" s="44">
        <v>198</v>
      </c>
      <c r="B207" s="43">
        <v>46129</v>
      </c>
      <c r="C207" s="130" t="s">
        <v>1019</v>
      </c>
      <c r="D207" s="90">
        <v>20</v>
      </c>
      <c r="E207" s="53" t="s">
        <v>20</v>
      </c>
      <c r="F207" s="164" t="s">
        <v>868</v>
      </c>
      <c r="G207" s="190">
        <v>209000</v>
      </c>
      <c r="H207" s="53" t="s">
        <v>28</v>
      </c>
      <c r="I207" s="31" t="s">
        <v>1246</v>
      </c>
      <c r="J207" s="31"/>
      <c r="K207" s="31"/>
      <c r="L207" s="31">
        <f t="shared" si="20"/>
        <v>20</v>
      </c>
      <c r="M207" s="31" t="s">
        <v>1247</v>
      </c>
      <c r="N207" s="31"/>
      <c r="O207" s="31"/>
      <c r="P207" s="31"/>
      <c r="Q207" s="31"/>
      <c r="R207" s="31" t="s">
        <v>1249</v>
      </c>
      <c r="S207" s="31"/>
      <c r="T207" s="31" t="str">
        <f t="shared" si="21"/>
        <v>Cước vận chuyển vỏ container 20 từ bãi JJ, Hải Phòng đến Nam Đình Vũ, Hải Phòng</v>
      </c>
      <c r="U207" s="31"/>
    </row>
    <row r="208" spans="1:21" s="29" customFormat="1" ht="18" hidden="1" customHeight="1" x14ac:dyDescent="0.25">
      <c r="A208" s="44">
        <v>199</v>
      </c>
      <c r="B208" s="43">
        <v>46129</v>
      </c>
      <c r="C208" s="130" t="s">
        <v>1020</v>
      </c>
      <c r="D208" s="90">
        <v>20</v>
      </c>
      <c r="E208" s="53" t="s">
        <v>20</v>
      </c>
      <c r="F208" s="164" t="s">
        <v>868</v>
      </c>
      <c r="G208" s="190">
        <v>209000</v>
      </c>
      <c r="H208" s="53" t="s">
        <v>28</v>
      </c>
      <c r="I208" s="31" t="s">
        <v>1246</v>
      </c>
      <c r="J208" s="31"/>
      <c r="K208" s="31"/>
      <c r="L208" s="31">
        <f t="shared" si="20"/>
        <v>20</v>
      </c>
      <c r="M208" s="31" t="s">
        <v>1247</v>
      </c>
      <c r="N208" s="31"/>
      <c r="O208" s="31"/>
      <c r="P208" s="31"/>
      <c r="Q208" s="31"/>
      <c r="R208" s="31" t="s">
        <v>1249</v>
      </c>
      <c r="S208" s="31"/>
      <c r="T208" s="31" t="str">
        <f t="shared" si="21"/>
        <v>Cước vận chuyển vỏ container 20 từ bãi JJ, Hải Phòng đến Nam Đình Vũ, Hải Phòng</v>
      </c>
      <c r="U208" s="31"/>
    </row>
    <row r="209" spans="1:21" s="29" customFormat="1" ht="18" hidden="1" customHeight="1" x14ac:dyDescent="0.25">
      <c r="A209" s="44">
        <v>200</v>
      </c>
      <c r="B209" s="43">
        <v>46129</v>
      </c>
      <c r="C209" s="130" t="s">
        <v>1021</v>
      </c>
      <c r="D209" s="90">
        <v>20</v>
      </c>
      <c r="E209" s="53" t="s">
        <v>20</v>
      </c>
      <c r="F209" s="164" t="s">
        <v>868</v>
      </c>
      <c r="G209" s="190">
        <v>209000</v>
      </c>
      <c r="H209" s="53" t="s">
        <v>267</v>
      </c>
      <c r="I209" s="31" t="s">
        <v>1246</v>
      </c>
      <c r="J209" s="31"/>
      <c r="K209" s="31"/>
      <c r="L209" s="31">
        <f t="shared" si="20"/>
        <v>20</v>
      </c>
      <c r="M209" s="31" t="s">
        <v>1247</v>
      </c>
      <c r="N209" s="31"/>
      <c r="O209" s="31"/>
      <c r="P209" s="31"/>
      <c r="Q209" s="31"/>
      <c r="R209" s="31" t="s">
        <v>1249</v>
      </c>
      <c r="S209" s="31"/>
      <c r="T209" s="31" t="str">
        <f t="shared" si="21"/>
        <v>Cước vận chuyển vỏ container 20 từ bãi JJ, Hải Phòng đến Nam Đình Vũ, Hải Phòng</v>
      </c>
      <c r="U209" s="31"/>
    </row>
    <row r="210" spans="1:21" s="29" customFormat="1" ht="18" hidden="1" customHeight="1" x14ac:dyDescent="0.25">
      <c r="A210" s="44">
        <v>201</v>
      </c>
      <c r="B210" s="43">
        <v>46129</v>
      </c>
      <c r="C210" s="130" t="s">
        <v>1022</v>
      </c>
      <c r="D210" s="90">
        <v>20</v>
      </c>
      <c r="E210" s="53" t="s">
        <v>20</v>
      </c>
      <c r="F210" s="164" t="s">
        <v>868</v>
      </c>
      <c r="G210" s="190">
        <v>209000</v>
      </c>
      <c r="H210" s="53" t="s">
        <v>267</v>
      </c>
      <c r="I210" s="31" t="s">
        <v>1246</v>
      </c>
      <c r="J210" s="31"/>
      <c r="K210" s="31"/>
      <c r="L210" s="31">
        <f t="shared" si="20"/>
        <v>20</v>
      </c>
      <c r="M210" s="31" t="s">
        <v>1247</v>
      </c>
      <c r="N210" s="31"/>
      <c r="O210" s="31"/>
      <c r="P210" s="31"/>
      <c r="Q210" s="31"/>
      <c r="R210" s="31" t="s">
        <v>1249</v>
      </c>
      <c r="S210" s="31"/>
      <c r="T210" s="31" t="str">
        <f t="shared" si="21"/>
        <v>Cước vận chuyển vỏ container 20 từ bãi JJ, Hải Phòng đến Nam Đình Vũ, Hải Phòng</v>
      </c>
      <c r="U210" s="31"/>
    </row>
    <row r="211" spans="1:21" s="29" customFormat="1" ht="18" hidden="1" customHeight="1" x14ac:dyDescent="0.25">
      <c r="A211" s="44">
        <v>202</v>
      </c>
      <c r="B211" s="43">
        <v>46129</v>
      </c>
      <c r="C211" s="130" t="s">
        <v>1023</v>
      </c>
      <c r="D211" s="90">
        <v>40</v>
      </c>
      <c r="E211" s="53" t="s">
        <v>20</v>
      </c>
      <c r="F211" s="164" t="s">
        <v>868</v>
      </c>
      <c r="G211" s="183">
        <v>385000</v>
      </c>
      <c r="H211" s="53" t="s">
        <v>267</v>
      </c>
      <c r="I211" s="31" t="s">
        <v>1246</v>
      </c>
      <c r="J211" s="31"/>
      <c r="K211" s="31"/>
      <c r="L211" s="31">
        <f t="shared" si="20"/>
        <v>40</v>
      </c>
      <c r="M211" s="31" t="s">
        <v>1247</v>
      </c>
      <c r="N211" s="31"/>
      <c r="O211" s="31"/>
      <c r="P211" s="31"/>
      <c r="Q211" s="31"/>
      <c r="R211" s="31" t="s">
        <v>1249</v>
      </c>
      <c r="S211" s="31"/>
      <c r="T211" s="31" t="str">
        <f t="shared" si="21"/>
        <v>Cước vận chuyển vỏ container 40 từ bãi JJ, Hải Phòng đến Nam Đình Vũ, Hải Phòng</v>
      </c>
      <c r="U211" s="31"/>
    </row>
    <row r="212" spans="1:21" s="29" customFormat="1" ht="18" hidden="1" customHeight="1" x14ac:dyDescent="0.25">
      <c r="A212" s="44">
        <v>203</v>
      </c>
      <c r="B212" s="43">
        <v>46129</v>
      </c>
      <c r="C212" s="130" t="s">
        <v>1024</v>
      </c>
      <c r="D212" s="90">
        <v>40</v>
      </c>
      <c r="E212" s="53" t="s">
        <v>20</v>
      </c>
      <c r="F212" s="164" t="s">
        <v>868</v>
      </c>
      <c r="G212" s="183">
        <v>385000</v>
      </c>
      <c r="H212" s="53" t="s">
        <v>267</v>
      </c>
      <c r="I212" s="31" t="s">
        <v>1246</v>
      </c>
      <c r="J212" s="31"/>
      <c r="K212" s="31"/>
      <c r="L212" s="31">
        <f t="shared" si="20"/>
        <v>40</v>
      </c>
      <c r="M212" s="31" t="s">
        <v>1247</v>
      </c>
      <c r="N212" s="31"/>
      <c r="O212" s="31"/>
      <c r="P212" s="31"/>
      <c r="Q212" s="31"/>
      <c r="R212" s="31" t="s">
        <v>1249</v>
      </c>
      <c r="S212" s="31"/>
      <c r="T212" s="31" t="str">
        <f t="shared" si="21"/>
        <v>Cước vận chuyển vỏ container 40 từ bãi JJ, Hải Phòng đến Nam Đình Vũ, Hải Phòng</v>
      </c>
      <c r="U212" s="31"/>
    </row>
    <row r="213" spans="1:21" s="29" customFormat="1" ht="18" hidden="1" customHeight="1" x14ac:dyDescent="0.25">
      <c r="A213" s="44">
        <v>204</v>
      </c>
      <c r="B213" s="43">
        <v>46129</v>
      </c>
      <c r="C213" s="130" t="s">
        <v>1025</v>
      </c>
      <c r="D213" s="90">
        <v>40</v>
      </c>
      <c r="E213" s="53" t="s">
        <v>20</v>
      </c>
      <c r="F213" s="164" t="s">
        <v>868</v>
      </c>
      <c r="G213" s="183">
        <v>385000</v>
      </c>
      <c r="H213" s="53" t="s">
        <v>267</v>
      </c>
      <c r="I213" s="31" t="s">
        <v>1246</v>
      </c>
      <c r="J213" s="31"/>
      <c r="K213" s="31"/>
      <c r="L213" s="31">
        <f t="shared" si="20"/>
        <v>40</v>
      </c>
      <c r="M213" s="31" t="s">
        <v>1247</v>
      </c>
      <c r="N213" s="31"/>
      <c r="O213" s="31"/>
      <c r="P213" s="31"/>
      <c r="Q213" s="31"/>
      <c r="R213" s="31" t="s">
        <v>1249</v>
      </c>
      <c r="S213" s="31"/>
      <c r="T213" s="31" t="str">
        <f t="shared" si="21"/>
        <v>Cước vận chuyển vỏ container 40 từ bãi JJ, Hải Phòng đến Nam Đình Vũ, Hải Phòng</v>
      </c>
      <c r="U213" s="31"/>
    </row>
    <row r="214" spans="1:21" s="29" customFormat="1" ht="18" hidden="1" customHeight="1" x14ac:dyDescent="0.25">
      <c r="A214" s="44">
        <v>205</v>
      </c>
      <c r="B214" s="43">
        <v>46129</v>
      </c>
      <c r="C214" s="130" t="s">
        <v>1026</v>
      </c>
      <c r="D214" s="90">
        <v>40</v>
      </c>
      <c r="E214" s="90" t="s">
        <v>20</v>
      </c>
      <c r="F214" s="164" t="s">
        <v>868</v>
      </c>
      <c r="G214" s="183">
        <v>385000</v>
      </c>
      <c r="H214" s="53" t="s">
        <v>267</v>
      </c>
      <c r="I214" s="31" t="s">
        <v>1246</v>
      </c>
      <c r="J214" s="31"/>
      <c r="K214" s="31"/>
      <c r="L214" s="31">
        <f t="shared" si="20"/>
        <v>40</v>
      </c>
      <c r="M214" s="31" t="s">
        <v>1247</v>
      </c>
      <c r="N214" s="31"/>
      <c r="O214" s="31"/>
      <c r="P214" s="31"/>
      <c r="Q214" s="31"/>
      <c r="R214" s="31" t="s">
        <v>1249</v>
      </c>
      <c r="S214" s="31"/>
      <c r="T214" s="31" t="str">
        <f t="shared" si="21"/>
        <v>Cước vận chuyển vỏ container 40 từ bãi JJ, Hải Phòng đến Nam Đình Vũ, Hải Phòng</v>
      </c>
      <c r="U214" s="31"/>
    </row>
    <row r="215" spans="1:21" s="29" customFormat="1" ht="18" hidden="1" customHeight="1" x14ac:dyDescent="0.25">
      <c r="A215" s="44">
        <v>206</v>
      </c>
      <c r="B215" s="43">
        <v>46129</v>
      </c>
      <c r="C215" s="130" t="s">
        <v>1027</v>
      </c>
      <c r="D215" s="90">
        <v>40</v>
      </c>
      <c r="E215" s="90" t="s">
        <v>20</v>
      </c>
      <c r="F215" s="164" t="s">
        <v>868</v>
      </c>
      <c r="G215" s="183">
        <v>385000</v>
      </c>
      <c r="H215" s="53" t="s">
        <v>267</v>
      </c>
      <c r="I215" s="31" t="s">
        <v>1246</v>
      </c>
      <c r="J215" s="31"/>
      <c r="K215" s="31"/>
      <c r="L215" s="31">
        <f t="shared" si="20"/>
        <v>40</v>
      </c>
      <c r="M215" s="31" t="s">
        <v>1247</v>
      </c>
      <c r="N215" s="31"/>
      <c r="O215" s="31"/>
      <c r="P215" s="31"/>
      <c r="Q215" s="31"/>
      <c r="R215" s="31" t="s">
        <v>1249</v>
      </c>
      <c r="S215" s="31"/>
      <c r="T215" s="31" t="str">
        <f t="shared" si="21"/>
        <v>Cước vận chuyển vỏ container 40 từ bãi JJ, Hải Phòng đến Nam Đình Vũ, Hải Phòng</v>
      </c>
      <c r="U215" s="31"/>
    </row>
    <row r="216" spans="1:21" s="29" customFormat="1" ht="18" hidden="1" customHeight="1" x14ac:dyDescent="0.25">
      <c r="A216" s="44">
        <v>207</v>
      </c>
      <c r="B216" s="43">
        <v>46129</v>
      </c>
      <c r="C216" s="130" t="s">
        <v>1028</v>
      </c>
      <c r="D216" s="90">
        <v>20</v>
      </c>
      <c r="E216" s="90" t="s">
        <v>20</v>
      </c>
      <c r="F216" s="164" t="s">
        <v>868</v>
      </c>
      <c r="G216" s="190">
        <v>209000</v>
      </c>
      <c r="H216" s="53" t="s">
        <v>267</v>
      </c>
      <c r="I216" s="31" t="s">
        <v>1246</v>
      </c>
      <c r="J216" s="31"/>
      <c r="K216" s="31"/>
      <c r="L216" s="31">
        <f t="shared" ref="L216:L224" si="22">D216</f>
        <v>20</v>
      </c>
      <c r="M216" s="31" t="s">
        <v>1247</v>
      </c>
      <c r="N216" s="31"/>
      <c r="O216" s="31"/>
      <c r="P216" s="31"/>
      <c r="Q216" s="31"/>
      <c r="R216" s="31" t="s">
        <v>1249</v>
      </c>
      <c r="S216" s="31"/>
      <c r="T216" s="31" t="str">
        <f t="shared" si="21"/>
        <v>Cước vận chuyển vỏ container 20 từ bãi JJ, Hải Phòng đến Nam Đình Vũ, Hải Phòng</v>
      </c>
      <c r="U216" s="31"/>
    </row>
    <row r="217" spans="1:21" s="29" customFormat="1" ht="18" hidden="1" customHeight="1" x14ac:dyDescent="0.25">
      <c r="A217" s="44">
        <v>208</v>
      </c>
      <c r="B217" s="43">
        <v>46129</v>
      </c>
      <c r="C217" s="130" t="s">
        <v>1029</v>
      </c>
      <c r="D217" s="90">
        <v>20</v>
      </c>
      <c r="E217" s="90" t="s">
        <v>20</v>
      </c>
      <c r="F217" s="164" t="s">
        <v>868</v>
      </c>
      <c r="G217" s="190">
        <v>209000</v>
      </c>
      <c r="H217" s="53" t="s">
        <v>267</v>
      </c>
      <c r="I217" s="31" t="s">
        <v>1246</v>
      </c>
      <c r="J217" s="31"/>
      <c r="K217" s="31"/>
      <c r="L217" s="31">
        <f t="shared" si="22"/>
        <v>20</v>
      </c>
      <c r="M217" s="31" t="s">
        <v>1247</v>
      </c>
      <c r="N217" s="31"/>
      <c r="O217" s="31"/>
      <c r="P217" s="31"/>
      <c r="Q217" s="31"/>
      <c r="R217" s="31" t="s">
        <v>1249</v>
      </c>
      <c r="S217" s="31"/>
      <c r="T217" s="31" t="str">
        <f t="shared" si="21"/>
        <v>Cước vận chuyển vỏ container 20 từ bãi JJ, Hải Phòng đến Nam Đình Vũ, Hải Phòng</v>
      </c>
      <c r="U217" s="31"/>
    </row>
    <row r="218" spans="1:21" s="29" customFormat="1" ht="18" hidden="1" customHeight="1" x14ac:dyDescent="0.25">
      <c r="A218" s="44">
        <v>209</v>
      </c>
      <c r="B218" s="43">
        <v>46129</v>
      </c>
      <c r="C218" s="173" t="s">
        <v>1030</v>
      </c>
      <c r="D218" s="90">
        <v>20</v>
      </c>
      <c r="E218" s="90" t="s">
        <v>20</v>
      </c>
      <c r="F218" s="164" t="s">
        <v>868</v>
      </c>
      <c r="G218" s="190">
        <v>209000</v>
      </c>
      <c r="H218" s="53" t="s">
        <v>267</v>
      </c>
      <c r="I218" s="31" t="s">
        <v>1246</v>
      </c>
      <c r="J218" s="31"/>
      <c r="K218" s="31"/>
      <c r="L218" s="31">
        <f t="shared" si="22"/>
        <v>20</v>
      </c>
      <c r="M218" s="31" t="s">
        <v>1247</v>
      </c>
      <c r="N218" s="31"/>
      <c r="O218" s="31"/>
      <c r="P218" s="31"/>
      <c r="Q218" s="31"/>
      <c r="R218" s="31" t="s">
        <v>1249</v>
      </c>
      <c r="S218" s="31"/>
      <c r="T218" s="31" t="str">
        <f t="shared" si="21"/>
        <v>Cước vận chuyển vỏ container 20 từ bãi JJ, Hải Phòng đến Nam Đình Vũ, Hải Phòng</v>
      </c>
      <c r="U218" s="31"/>
    </row>
    <row r="219" spans="1:21" s="29" customFormat="1" ht="18" hidden="1" customHeight="1" x14ac:dyDescent="0.25">
      <c r="A219" s="44">
        <v>210</v>
      </c>
      <c r="B219" s="178">
        <v>46129</v>
      </c>
      <c r="C219" s="53" t="s">
        <v>1031</v>
      </c>
      <c r="D219" s="174">
        <v>20</v>
      </c>
      <c r="E219" s="174" t="s">
        <v>20</v>
      </c>
      <c r="F219" s="175" t="s">
        <v>868</v>
      </c>
      <c r="G219" s="190">
        <v>209000</v>
      </c>
      <c r="H219" s="53" t="s">
        <v>267</v>
      </c>
      <c r="I219" s="31" t="s">
        <v>1246</v>
      </c>
      <c r="J219" s="31"/>
      <c r="K219" s="31"/>
      <c r="L219" s="31">
        <f t="shared" si="22"/>
        <v>20</v>
      </c>
      <c r="M219" s="31" t="s">
        <v>1247</v>
      </c>
      <c r="N219" s="31"/>
      <c r="O219" s="31"/>
      <c r="P219" s="31"/>
      <c r="Q219" s="31"/>
      <c r="R219" s="31" t="s">
        <v>1249</v>
      </c>
      <c r="S219" s="31"/>
      <c r="T219" s="31" t="str">
        <f t="shared" si="21"/>
        <v>Cước vận chuyển vỏ container 20 từ bãi JJ, Hải Phòng đến Nam Đình Vũ, Hải Phòng</v>
      </c>
      <c r="U219" s="31"/>
    </row>
    <row r="220" spans="1:21" s="29" customFormat="1" ht="18" hidden="1" customHeight="1" x14ac:dyDescent="0.25">
      <c r="A220" s="44">
        <v>211</v>
      </c>
      <c r="B220" s="43">
        <v>46128</v>
      </c>
      <c r="C220" s="43" t="s">
        <v>1078</v>
      </c>
      <c r="D220" s="53">
        <v>20</v>
      </c>
      <c r="E220" s="43" t="s">
        <v>20</v>
      </c>
      <c r="F220" s="53" t="s">
        <v>868</v>
      </c>
      <c r="G220" s="190">
        <v>209000</v>
      </c>
      <c r="H220" s="53" t="s">
        <v>28</v>
      </c>
      <c r="I220" s="31" t="s">
        <v>1246</v>
      </c>
      <c r="J220" s="31"/>
      <c r="K220" s="31"/>
      <c r="L220" s="31">
        <f t="shared" si="22"/>
        <v>20</v>
      </c>
      <c r="M220" s="31" t="s">
        <v>1247</v>
      </c>
      <c r="N220" s="31"/>
      <c r="O220" s="31"/>
      <c r="P220" s="31"/>
      <c r="Q220" s="31"/>
      <c r="R220" s="31" t="s">
        <v>1249</v>
      </c>
      <c r="S220" s="31"/>
      <c r="T220" s="31" t="str">
        <f t="shared" si="21"/>
        <v>Cước vận chuyển vỏ container 20 từ bãi JJ, Hải Phòng đến Nam Đình Vũ, Hải Phòng</v>
      </c>
      <c r="U220" s="31"/>
    </row>
    <row r="221" spans="1:21" s="29" customFormat="1" ht="18" hidden="1" customHeight="1" x14ac:dyDescent="0.25">
      <c r="A221" s="44">
        <v>212</v>
      </c>
      <c r="B221" s="43">
        <v>46128</v>
      </c>
      <c r="C221" s="43" t="s">
        <v>1079</v>
      </c>
      <c r="D221" s="53">
        <v>20</v>
      </c>
      <c r="E221" s="43" t="s">
        <v>20</v>
      </c>
      <c r="F221" s="53" t="s">
        <v>868</v>
      </c>
      <c r="G221" s="190">
        <v>209000</v>
      </c>
      <c r="H221" s="53" t="s">
        <v>28</v>
      </c>
      <c r="I221" s="31" t="s">
        <v>1246</v>
      </c>
      <c r="J221" s="31"/>
      <c r="K221" s="31"/>
      <c r="L221" s="31">
        <f t="shared" si="22"/>
        <v>20</v>
      </c>
      <c r="M221" s="31" t="s">
        <v>1247</v>
      </c>
      <c r="N221" s="31"/>
      <c r="O221" s="31"/>
      <c r="P221" s="31"/>
      <c r="Q221" s="31"/>
      <c r="R221" s="31" t="s">
        <v>1249</v>
      </c>
      <c r="S221" s="31"/>
      <c r="T221" s="31" t="str">
        <f t="shared" si="21"/>
        <v>Cước vận chuyển vỏ container 20 từ bãi JJ, Hải Phòng đến Nam Đình Vũ, Hải Phòng</v>
      </c>
      <c r="U221" s="31"/>
    </row>
    <row r="222" spans="1:21" s="29" customFormat="1" ht="18" hidden="1" customHeight="1" x14ac:dyDescent="0.25">
      <c r="A222" s="44">
        <v>213</v>
      </c>
      <c r="B222" s="43">
        <v>46128</v>
      </c>
      <c r="C222" s="43" t="s">
        <v>1080</v>
      </c>
      <c r="D222" s="53">
        <v>40</v>
      </c>
      <c r="E222" s="43" t="s">
        <v>20</v>
      </c>
      <c r="F222" s="53" t="s">
        <v>868</v>
      </c>
      <c r="G222" s="183">
        <v>385000</v>
      </c>
      <c r="H222" s="53" t="s">
        <v>28</v>
      </c>
      <c r="I222" s="31" t="s">
        <v>1246</v>
      </c>
      <c r="J222" s="31"/>
      <c r="K222" s="31"/>
      <c r="L222" s="31">
        <f t="shared" si="22"/>
        <v>40</v>
      </c>
      <c r="M222" s="31" t="s">
        <v>1247</v>
      </c>
      <c r="N222" s="31"/>
      <c r="O222" s="31"/>
      <c r="P222" s="31"/>
      <c r="Q222" s="31"/>
      <c r="R222" s="31" t="s">
        <v>1249</v>
      </c>
      <c r="S222" s="31"/>
      <c r="T222" s="31" t="str">
        <f t="shared" si="21"/>
        <v>Cước vận chuyển vỏ container 40 từ bãi JJ, Hải Phòng đến Nam Đình Vũ, Hải Phòng</v>
      </c>
      <c r="U222" s="31"/>
    </row>
    <row r="223" spans="1:21" s="29" customFormat="1" ht="18" hidden="1" customHeight="1" x14ac:dyDescent="0.25">
      <c r="A223" s="44">
        <v>214</v>
      </c>
      <c r="B223" s="43">
        <v>46128</v>
      </c>
      <c r="C223" s="43" t="s">
        <v>1081</v>
      </c>
      <c r="D223" s="53">
        <v>40</v>
      </c>
      <c r="E223" s="43" t="s">
        <v>20</v>
      </c>
      <c r="F223" s="53" t="s">
        <v>868</v>
      </c>
      <c r="G223" s="183">
        <v>385000</v>
      </c>
      <c r="H223" s="53" t="s">
        <v>28</v>
      </c>
      <c r="I223" s="31" t="s">
        <v>1246</v>
      </c>
      <c r="J223" s="31"/>
      <c r="K223" s="31"/>
      <c r="L223" s="31">
        <f t="shared" si="22"/>
        <v>40</v>
      </c>
      <c r="M223" s="31" t="s">
        <v>1247</v>
      </c>
      <c r="N223" s="31"/>
      <c r="O223" s="31"/>
      <c r="P223" s="31"/>
      <c r="Q223" s="31"/>
      <c r="R223" s="31" t="s">
        <v>1249</v>
      </c>
      <c r="S223" s="31"/>
      <c r="T223" s="31" t="str">
        <f t="shared" si="21"/>
        <v>Cước vận chuyển vỏ container 40 từ bãi JJ, Hải Phòng đến Nam Đình Vũ, Hải Phòng</v>
      </c>
      <c r="U223" s="31"/>
    </row>
    <row r="224" spans="1:21" s="29" customFormat="1" ht="18" hidden="1" customHeight="1" x14ac:dyDescent="0.25">
      <c r="A224" s="44">
        <v>215</v>
      </c>
      <c r="B224" s="43">
        <v>46128</v>
      </c>
      <c r="C224" s="43" t="s">
        <v>1082</v>
      </c>
      <c r="D224" s="53">
        <v>40</v>
      </c>
      <c r="E224" s="43" t="s">
        <v>20</v>
      </c>
      <c r="F224" s="53" t="s">
        <v>868</v>
      </c>
      <c r="G224" s="183">
        <v>385000</v>
      </c>
      <c r="H224" s="53" t="s">
        <v>28</v>
      </c>
      <c r="I224" s="31" t="s">
        <v>1246</v>
      </c>
      <c r="J224" s="31"/>
      <c r="K224" s="31"/>
      <c r="L224" s="31">
        <f t="shared" si="22"/>
        <v>40</v>
      </c>
      <c r="M224" s="31" t="s">
        <v>1247</v>
      </c>
      <c r="N224" s="31"/>
      <c r="O224" s="31"/>
      <c r="P224" s="31"/>
      <c r="Q224" s="31"/>
      <c r="R224" s="31" t="s">
        <v>1249</v>
      </c>
      <c r="S224" s="31"/>
      <c r="T224" s="31" t="str">
        <f t="shared" si="21"/>
        <v>Cước vận chuyển vỏ container 40 từ bãi JJ, Hải Phòng đến Nam Đình Vũ, Hải Phòng</v>
      </c>
      <c r="U224" s="31"/>
    </row>
    <row r="225" spans="1:21" s="29" customFormat="1" ht="18" hidden="1" customHeight="1" x14ac:dyDescent="0.25">
      <c r="A225" s="44">
        <v>216</v>
      </c>
      <c r="B225" s="43">
        <v>46113</v>
      </c>
      <c r="C225" s="43" t="s">
        <v>1083</v>
      </c>
      <c r="D225" s="53">
        <v>20</v>
      </c>
      <c r="E225" s="43" t="s">
        <v>20</v>
      </c>
      <c r="F225" s="53" t="s">
        <v>868</v>
      </c>
      <c r="G225" s="119">
        <v>221000</v>
      </c>
      <c r="H225" s="53" t="s">
        <v>28</v>
      </c>
      <c r="I225" s="31" t="s">
        <v>1246</v>
      </c>
      <c r="J225" s="31"/>
      <c r="K225" s="31"/>
      <c r="L225" s="31">
        <f t="shared" ref="L225:L228" si="23">D225</f>
        <v>20</v>
      </c>
      <c r="M225" s="31" t="s">
        <v>1247</v>
      </c>
      <c r="N225" s="31"/>
      <c r="O225" s="31"/>
      <c r="P225" s="31"/>
      <c r="Q225" s="31"/>
      <c r="R225" s="31" t="s">
        <v>1249</v>
      </c>
      <c r="S225" s="31"/>
      <c r="T225" s="31" t="str">
        <f t="shared" si="21"/>
        <v>Cước vận chuyển vỏ container 20 từ bãi JJ, Hải Phòng đến Nam Đình Vũ, Hải Phòng</v>
      </c>
      <c r="U225" s="31"/>
    </row>
    <row r="226" spans="1:21" s="29" customFormat="1" ht="18" hidden="1" customHeight="1" x14ac:dyDescent="0.25">
      <c r="A226" s="44">
        <v>217</v>
      </c>
      <c r="B226" s="43">
        <v>46113</v>
      </c>
      <c r="C226" s="43" t="s">
        <v>1084</v>
      </c>
      <c r="D226" s="53">
        <v>20</v>
      </c>
      <c r="E226" s="43" t="s">
        <v>20</v>
      </c>
      <c r="F226" s="53" t="s">
        <v>868</v>
      </c>
      <c r="G226" s="119">
        <v>221000</v>
      </c>
      <c r="H226" s="53" t="s">
        <v>28</v>
      </c>
      <c r="I226" s="31" t="s">
        <v>1246</v>
      </c>
      <c r="J226" s="31"/>
      <c r="K226" s="31"/>
      <c r="L226" s="31">
        <f t="shared" si="23"/>
        <v>20</v>
      </c>
      <c r="M226" s="31" t="s">
        <v>1247</v>
      </c>
      <c r="N226" s="31"/>
      <c r="O226" s="31"/>
      <c r="P226" s="31"/>
      <c r="Q226" s="31"/>
      <c r="R226" s="31" t="s">
        <v>1249</v>
      </c>
      <c r="S226" s="31"/>
      <c r="T226" s="31" t="str">
        <f t="shared" si="21"/>
        <v>Cước vận chuyển vỏ container 20 từ bãi JJ, Hải Phòng đến Nam Đình Vũ, Hải Phòng</v>
      </c>
      <c r="U226" s="31"/>
    </row>
    <row r="227" spans="1:21" s="29" customFormat="1" ht="18" hidden="1" customHeight="1" x14ac:dyDescent="0.25">
      <c r="A227" s="44">
        <v>218</v>
      </c>
      <c r="B227" s="43">
        <v>46113</v>
      </c>
      <c r="C227" s="43" t="s">
        <v>1085</v>
      </c>
      <c r="D227" s="53">
        <v>20</v>
      </c>
      <c r="E227" s="43" t="s">
        <v>20</v>
      </c>
      <c r="F227" s="53" t="s">
        <v>868</v>
      </c>
      <c r="G227" s="119">
        <v>221000</v>
      </c>
      <c r="H227" s="53" t="s">
        <v>28</v>
      </c>
      <c r="I227" s="31" t="s">
        <v>1246</v>
      </c>
      <c r="J227" s="31"/>
      <c r="K227" s="31"/>
      <c r="L227" s="31">
        <f t="shared" si="23"/>
        <v>20</v>
      </c>
      <c r="M227" s="31" t="s">
        <v>1247</v>
      </c>
      <c r="N227" s="31"/>
      <c r="O227" s="31"/>
      <c r="P227" s="31"/>
      <c r="Q227" s="31"/>
      <c r="R227" s="31" t="s">
        <v>1249</v>
      </c>
      <c r="S227" s="31"/>
      <c r="T227" s="31" t="str">
        <f t="shared" si="21"/>
        <v>Cước vận chuyển vỏ container 20 từ bãi JJ, Hải Phòng đến Nam Đình Vũ, Hải Phòng</v>
      </c>
      <c r="U227" s="31"/>
    </row>
    <row r="228" spans="1:21" s="29" customFormat="1" ht="18" hidden="1" customHeight="1" x14ac:dyDescent="0.25">
      <c r="A228" s="44">
        <v>219</v>
      </c>
      <c r="B228" s="43">
        <v>46113</v>
      </c>
      <c r="C228" s="43" t="s">
        <v>1086</v>
      </c>
      <c r="D228" s="53">
        <v>20</v>
      </c>
      <c r="E228" s="43" t="s">
        <v>20</v>
      </c>
      <c r="F228" s="53" t="s">
        <v>868</v>
      </c>
      <c r="G228" s="119">
        <v>221000</v>
      </c>
      <c r="H228" s="53" t="s">
        <v>28</v>
      </c>
      <c r="I228" s="31" t="s">
        <v>1246</v>
      </c>
      <c r="J228" s="31"/>
      <c r="K228" s="31"/>
      <c r="L228" s="31">
        <f t="shared" si="23"/>
        <v>20</v>
      </c>
      <c r="M228" s="31" t="s">
        <v>1247</v>
      </c>
      <c r="N228" s="31"/>
      <c r="O228" s="31"/>
      <c r="P228" s="31"/>
      <c r="Q228" s="31"/>
      <c r="R228" s="31" t="s">
        <v>1249</v>
      </c>
      <c r="S228" s="31"/>
      <c r="T228" s="31" t="str">
        <f t="shared" si="21"/>
        <v>Cước vận chuyển vỏ container 20 từ bãi JJ, Hải Phòng đến Nam Đình Vũ, Hải Phòng</v>
      </c>
      <c r="U228" s="31"/>
    </row>
    <row r="229" spans="1:21" s="29" customFormat="1" ht="18" hidden="1" customHeight="1" x14ac:dyDescent="0.25">
      <c r="A229" s="44">
        <v>220</v>
      </c>
      <c r="B229" s="43">
        <v>46113</v>
      </c>
      <c r="C229" s="43" t="s">
        <v>1087</v>
      </c>
      <c r="D229" s="53">
        <v>40</v>
      </c>
      <c r="E229" s="43" t="s">
        <v>20</v>
      </c>
      <c r="F229" s="53" t="s">
        <v>868</v>
      </c>
      <c r="G229" s="165">
        <v>406000</v>
      </c>
      <c r="H229" s="53" t="s">
        <v>28</v>
      </c>
      <c r="I229" s="31" t="s">
        <v>1246</v>
      </c>
      <c r="J229" s="31"/>
      <c r="K229" s="31"/>
      <c r="L229" s="31">
        <f>D229</f>
        <v>40</v>
      </c>
      <c r="M229" s="31" t="s">
        <v>1247</v>
      </c>
      <c r="N229" s="31"/>
      <c r="O229" s="31"/>
      <c r="P229" s="31"/>
      <c r="Q229" s="31"/>
      <c r="R229" s="31" t="s">
        <v>1249</v>
      </c>
      <c r="S229" s="31"/>
      <c r="T229" s="31" t="str">
        <f t="shared" si="21"/>
        <v>Cước vận chuyển vỏ container 40 từ bãi JJ, Hải Phòng đến Nam Đình Vũ, Hải Phòng</v>
      </c>
      <c r="U229" s="31"/>
    </row>
    <row r="230" spans="1:21" s="29" customFormat="1" ht="18" hidden="1" customHeight="1" x14ac:dyDescent="0.25">
      <c r="A230" s="44">
        <v>221</v>
      </c>
      <c r="B230" s="43">
        <v>46113</v>
      </c>
      <c r="C230" s="43" t="s">
        <v>1088</v>
      </c>
      <c r="D230" s="53">
        <v>20</v>
      </c>
      <c r="E230" s="43" t="s">
        <v>20</v>
      </c>
      <c r="F230" s="53" t="s">
        <v>868</v>
      </c>
      <c r="G230" s="119">
        <v>221000</v>
      </c>
      <c r="H230" s="41" t="s">
        <v>15</v>
      </c>
      <c r="I230" s="31" t="s">
        <v>1246</v>
      </c>
      <c r="J230" s="31"/>
      <c r="K230" s="31"/>
      <c r="L230" s="31">
        <f t="shared" ref="L230:L231" si="24">D230</f>
        <v>20</v>
      </c>
      <c r="M230" s="31" t="s">
        <v>1247</v>
      </c>
      <c r="N230" s="31"/>
      <c r="O230" s="31"/>
      <c r="P230" s="31"/>
      <c r="Q230" s="31"/>
      <c r="R230" s="31" t="s">
        <v>1249</v>
      </c>
      <c r="S230" s="31"/>
      <c r="T230" s="31" t="str">
        <f t="shared" si="21"/>
        <v>Cước vận chuyển vỏ container 20 từ bãi JJ, Hải Phòng đến Nam Đình Vũ, Hải Phòng</v>
      </c>
      <c r="U230" s="31"/>
    </row>
    <row r="231" spans="1:21" s="29" customFormat="1" ht="18" hidden="1" customHeight="1" x14ac:dyDescent="0.25">
      <c r="A231" s="44">
        <v>222</v>
      </c>
      <c r="B231" s="43">
        <v>46113</v>
      </c>
      <c r="C231" s="43" t="s">
        <v>1089</v>
      </c>
      <c r="D231" s="53">
        <v>20</v>
      </c>
      <c r="E231" s="43" t="s">
        <v>20</v>
      </c>
      <c r="F231" s="53" t="s">
        <v>868</v>
      </c>
      <c r="G231" s="119">
        <v>221000</v>
      </c>
      <c r="H231" s="41" t="s">
        <v>15</v>
      </c>
      <c r="I231" s="31" t="s">
        <v>1246</v>
      </c>
      <c r="J231" s="31"/>
      <c r="K231" s="31"/>
      <c r="L231" s="31">
        <f t="shared" si="24"/>
        <v>20</v>
      </c>
      <c r="M231" s="31" t="s">
        <v>1247</v>
      </c>
      <c r="N231" s="31"/>
      <c r="O231" s="31"/>
      <c r="P231" s="31"/>
      <c r="Q231" s="31"/>
      <c r="R231" s="31" t="s">
        <v>1249</v>
      </c>
      <c r="S231" s="31"/>
      <c r="T231" s="31" t="str">
        <f t="shared" si="21"/>
        <v>Cước vận chuyển vỏ container 20 từ bãi JJ, Hải Phòng đến Nam Đình Vũ, Hải Phòng</v>
      </c>
      <c r="U231" s="31"/>
    </row>
    <row r="232" spans="1:21" s="29" customFormat="1" ht="18" hidden="1" customHeight="1" x14ac:dyDescent="0.25">
      <c r="A232" s="44">
        <v>223</v>
      </c>
      <c r="B232" s="43">
        <v>46129</v>
      </c>
      <c r="C232" s="43" t="s">
        <v>1090</v>
      </c>
      <c r="D232" s="53">
        <v>40</v>
      </c>
      <c r="E232" s="43" t="s">
        <v>20</v>
      </c>
      <c r="F232" s="53" t="s">
        <v>868</v>
      </c>
      <c r="G232" s="183">
        <v>385000</v>
      </c>
      <c r="H232" s="53" t="s">
        <v>30</v>
      </c>
      <c r="I232" s="31" t="s">
        <v>1246</v>
      </c>
      <c r="J232" s="31"/>
      <c r="K232" s="31"/>
      <c r="L232" s="31">
        <f>D232</f>
        <v>40</v>
      </c>
      <c r="M232" s="31" t="s">
        <v>1247</v>
      </c>
      <c r="N232" s="31"/>
      <c r="O232" s="31"/>
      <c r="P232" s="31"/>
      <c r="Q232" s="31"/>
      <c r="R232" s="31" t="s">
        <v>1249</v>
      </c>
      <c r="S232" s="31"/>
      <c r="T232" s="31" t="str">
        <f t="shared" si="21"/>
        <v>Cước vận chuyển vỏ container 40 từ bãi JJ, Hải Phòng đến Nam Đình Vũ, Hải Phòng</v>
      </c>
      <c r="U232" s="31"/>
    </row>
    <row r="233" spans="1:21" s="29" customFormat="1" ht="18" hidden="1" customHeight="1" x14ac:dyDescent="0.25">
      <c r="A233" s="44">
        <v>224</v>
      </c>
      <c r="B233" s="43">
        <v>46129</v>
      </c>
      <c r="C233" s="43" t="s">
        <v>1091</v>
      </c>
      <c r="D233" s="53">
        <v>20</v>
      </c>
      <c r="E233" s="43" t="s">
        <v>20</v>
      </c>
      <c r="F233" s="53" t="s">
        <v>868</v>
      </c>
      <c r="G233" s="190">
        <v>209000</v>
      </c>
      <c r="H233" s="53" t="s">
        <v>30</v>
      </c>
      <c r="I233" s="31" t="s">
        <v>1246</v>
      </c>
      <c r="J233" s="31"/>
      <c r="K233" s="31"/>
      <c r="L233" s="31">
        <f t="shared" ref="L233:L242" si="25">D233</f>
        <v>20</v>
      </c>
      <c r="M233" s="31" t="s">
        <v>1247</v>
      </c>
      <c r="N233" s="31"/>
      <c r="O233" s="31"/>
      <c r="P233" s="31"/>
      <c r="Q233" s="31"/>
      <c r="R233" s="31" t="s">
        <v>1249</v>
      </c>
      <c r="S233" s="31"/>
      <c r="T233" s="31" t="str">
        <f t="shared" si="21"/>
        <v>Cước vận chuyển vỏ container 20 từ bãi JJ, Hải Phòng đến Nam Đình Vũ, Hải Phòng</v>
      </c>
      <c r="U233" s="31"/>
    </row>
    <row r="234" spans="1:21" s="29" customFormat="1" ht="18" hidden="1" customHeight="1" x14ac:dyDescent="0.25">
      <c r="A234" s="44">
        <v>225</v>
      </c>
      <c r="B234" s="43">
        <v>46129</v>
      </c>
      <c r="C234" s="43" t="s">
        <v>1092</v>
      </c>
      <c r="D234" s="53">
        <v>20</v>
      </c>
      <c r="E234" s="43" t="s">
        <v>20</v>
      </c>
      <c r="F234" s="53" t="s">
        <v>868</v>
      </c>
      <c r="G234" s="190">
        <v>209000</v>
      </c>
      <c r="H234" s="53" t="s">
        <v>30</v>
      </c>
      <c r="I234" s="31" t="s">
        <v>1246</v>
      </c>
      <c r="J234" s="31"/>
      <c r="K234" s="31"/>
      <c r="L234" s="31">
        <f t="shared" si="25"/>
        <v>20</v>
      </c>
      <c r="M234" s="31" t="s">
        <v>1247</v>
      </c>
      <c r="N234" s="31"/>
      <c r="O234" s="31"/>
      <c r="P234" s="31"/>
      <c r="Q234" s="31"/>
      <c r="R234" s="31" t="s">
        <v>1249</v>
      </c>
      <c r="S234" s="31"/>
      <c r="T234" s="31" t="str">
        <f t="shared" si="21"/>
        <v>Cước vận chuyển vỏ container 20 từ bãi JJ, Hải Phòng đến Nam Đình Vũ, Hải Phòng</v>
      </c>
      <c r="U234" s="31"/>
    </row>
    <row r="235" spans="1:21" s="29" customFormat="1" ht="18" hidden="1" customHeight="1" x14ac:dyDescent="0.25">
      <c r="A235" s="44">
        <v>226</v>
      </c>
      <c r="B235" s="43">
        <v>46129</v>
      </c>
      <c r="C235" s="43" t="s">
        <v>1093</v>
      </c>
      <c r="D235" s="53">
        <v>20</v>
      </c>
      <c r="E235" s="43" t="s">
        <v>20</v>
      </c>
      <c r="F235" s="53" t="s">
        <v>868</v>
      </c>
      <c r="G235" s="190">
        <v>209000</v>
      </c>
      <c r="H235" s="53" t="s">
        <v>30</v>
      </c>
      <c r="I235" s="31" t="s">
        <v>1246</v>
      </c>
      <c r="J235" s="31"/>
      <c r="K235" s="31"/>
      <c r="L235" s="31">
        <f t="shared" si="25"/>
        <v>20</v>
      </c>
      <c r="M235" s="31" t="s">
        <v>1247</v>
      </c>
      <c r="N235" s="31"/>
      <c r="O235" s="31"/>
      <c r="P235" s="31"/>
      <c r="Q235" s="31"/>
      <c r="R235" s="31" t="s">
        <v>1249</v>
      </c>
      <c r="S235" s="31"/>
      <c r="T235" s="31" t="str">
        <f t="shared" si="21"/>
        <v>Cước vận chuyển vỏ container 20 từ bãi JJ, Hải Phòng đến Nam Đình Vũ, Hải Phòng</v>
      </c>
      <c r="U235" s="31"/>
    </row>
    <row r="236" spans="1:21" s="29" customFormat="1" ht="18" hidden="1" customHeight="1" x14ac:dyDescent="0.25">
      <c r="A236" s="44">
        <v>227</v>
      </c>
      <c r="B236" s="43">
        <v>46129</v>
      </c>
      <c r="C236" s="43" t="s">
        <v>1094</v>
      </c>
      <c r="D236" s="53">
        <v>20</v>
      </c>
      <c r="E236" s="43" t="s">
        <v>20</v>
      </c>
      <c r="F236" s="53" t="s">
        <v>868</v>
      </c>
      <c r="G236" s="190">
        <v>209000</v>
      </c>
      <c r="H236" s="53" t="s">
        <v>30</v>
      </c>
      <c r="I236" s="31" t="s">
        <v>1246</v>
      </c>
      <c r="J236" s="31"/>
      <c r="K236" s="31"/>
      <c r="L236" s="31">
        <f t="shared" si="25"/>
        <v>20</v>
      </c>
      <c r="M236" s="31" t="s">
        <v>1247</v>
      </c>
      <c r="N236" s="31"/>
      <c r="O236" s="31"/>
      <c r="P236" s="31"/>
      <c r="Q236" s="31"/>
      <c r="R236" s="31" t="s">
        <v>1249</v>
      </c>
      <c r="S236" s="31"/>
      <c r="T236" s="31" t="str">
        <f t="shared" si="21"/>
        <v>Cước vận chuyển vỏ container 20 từ bãi JJ, Hải Phòng đến Nam Đình Vũ, Hải Phòng</v>
      </c>
      <c r="U236" s="31"/>
    </row>
    <row r="237" spans="1:21" s="29" customFormat="1" ht="18" hidden="1" customHeight="1" x14ac:dyDescent="0.25">
      <c r="A237" s="44">
        <v>228</v>
      </c>
      <c r="B237" s="43">
        <v>46129</v>
      </c>
      <c r="C237" s="43" t="s">
        <v>1095</v>
      </c>
      <c r="D237" s="53">
        <v>20</v>
      </c>
      <c r="E237" s="43" t="s">
        <v>20</v>
      </c>
      <c r="F237" s="53" t="s">
        <v>868</v>
      </c>
      <c r="G237" s="190">
        <v>209000</v>
      </c>
      <c r="H237" s="53" t="s">
        <v>30</v>
      </c>
      <c r="I237" s="31" t="s">
        <v>1246</v>
      </c>
      <c r="J237" s="31"/>
      <c r="K237" s="31"/>
      <c r="L237" s="31">
        <f t="shared" si="25"/>
        <v>20</v>
      </c>
      <c r="M237" s="31" t="s">
        <v>1247</v>
      </c>
      <c r="N237" s="31"/>
      <c r="O237" s="31"/>
      <c r="P237" s="31"/>
      <c r="Q237" s="31"/>
      <c r="R237" s="31" t="s">
        <v>1249</v>
      </c>
      <c r="S237" s="31"/>
      <c r="T237" s="31" t="str">
        <f t="shared" si="21"/>
        <v>Cước vận chuyển vỏ container 20 từ bãi JJ, Hải Phòng đến Nam Đình Vũ, Hải Phòng</v>
      </c>
      <c r="U237" s="31"/>
    </row>
    <row r="238" spans="1:21" s="29" customFormat="1" ht="18" hidden="1" customHeight="1" x14ac:dyDescent="0.25">
      <c r="A238" s="44">
        <v>229</v>
      </c>
      <c r="B238" s="43">
        <v>46129</v>
      </c>
      <c r="C238" s="43" t="s">
        <v>1096</v>
      </c>
      <c r="D238" s="53">
        <v>20</v>
      </c>
      <c r="E238" s="43" t="s">
        <v>20</v>
      </c>
      <c r="F238" s="53" t="s">
        <v>868</v>
      </c>
      <c r="G238" s="190">
        <v>209000</v>
      </c>
      <c r="H238" s="53" t="s">
        <v>30</v>
      </c>
      <c r="I238" s="31" t="s">
        <v>1246</v>
      </c>
      <c r="J238" s="31"/>
      <c r="K238" s="31"/>
      <c r="L238" s="31">
        <f t="shared" si="25"/>
        <v>20</v>
      </c>
      <c r="M238" s="31" t="s">
        <v>1247</v>
      </c>
      <c r="N238" s="31"/>
      <c r="O238" s="31"/>
      <c r="P238" s="31"/>
      <c r="Q238" s="31"/>
      <c r="R238" s="31" t="s">
        <v>1249</v>
      </c>
      <c r="S238" s="31"/>
      <c r="T238" s="31" t="str">
        <f t="shared" si="21"/>
        <v>Cước vận chuyển vỏ container 20 từ bãi JJ, Hải Phòng đến Nam Đình Vũ, Hải Phòng</v>
      </c>
      <c r="U238" s="31"/>
    </row>
    <row r="239" spans="1:21" s="29" customFormat="1" ht="18" hidden="1" customHeight="1" x14ac:dyDescent="0.25">
      <c r="A239" s="44">
        <v>230</v>
      </c>
      <c r="B239" s="43">
        <v>46129</v>
      </c>
      <c r="C239" s="43" t="s">
        <v>1097</v>
      </c>
      <c r="D239" s="53">
        <v>20</v>
      </c>
      <c r="E239" s="43" t="s">
        <v>20</v>
      </c>
      <c r="F239" s="53" t="s">
        <v>868</v>
      </c>
      <c r="G239" s="190">
        <v>209000</v>
      </c>
      <c r="H239" s="53" t="s">
        <v>30</v>
      </c>
      <c r="I239" s="31" t="s">
        <v>1246</v>
      </c>
      <c r="J239" s="31"/>
      <c r="K239" s="31"/>
      <c r="L239" s="31">
        <f t="shared" si="25"/>
        <v>20</v>
      </c>
      <c r="M239" s="31" t="s">
        <v>1247</v>
      </c>
      <c r="N239" s="31"/>
      <c r="O239" s="31"/>
      <c r="P239" s="31"/>
      <c r="Q239" s="31"/>
      <c r="R239" s="31" t="s">
        <v>1249</v>
      </c>
      <c r="S239" s="31"/>
      <c r="T239" s="31" t="str">
        <f t="shared" si="21"/>
        <v>Cước vận chuyển vỏ container 20 từ bãi JJ, Hải Phòng đến Nam Đình Vũ, Hải Phòng</v>
      </c>
      <c r="U239" s="31"/>
    </row>
    <row r="240" spans="1:21" s="29" customFormat="1" ht="18" hidden="1" customHeight="1" x14ac:dyDescent="0.25">
      <c r="A240" s="44">
        <v>231</v>
      </c>
      <c r="B240" s="43">
        <v>46129</v>
      </c>
      <c r="C240" s="43" t="s">
        <v>1098</v>
      </c>
      <c r="D240" s="53">
        <v>20</v>
      </c>
      <c r="E240" s="43" t="s">
        <v>20</v>
      </c>
      <c r="F240" s="53" t="s">
        <v>868</v>
      </c>
      <c r="G240" s="190">
        <v>209000</v>
      </c>
      <c r="H240" s="53" t="s">
        <v>30</v>
      </c>
      <c r="I240" s="31" t="s">
        <v>1246</v>
      </c>
      <c r="J240" s="31"/>
      <c r="K240" s="31"/>
      <c r="L240" s="31">
        <f t="shared" si="25"/>
        <v>20</v>
      </c>
      <c r="M240" s="31" t="s">
        <v>1247</v>
      </c>
      <c r="N240" s="31"/>
      <c r="O240" s="31"/>
      <c r="P240" s="31"/>
      <c r="Q240" s="31"/>
      <c r="R240" s="31" t="s">
        <v>1249</v>
      </c>
      <c r="S240" s="31"/>
      <c r="T240" s="31" t="str">
        <f t="shared" si="21"/>
        <v>Cước vận chuyển vỏ container 20 từ bãi JJ, Hải Phòng đến Nam Đình Vũ, Hải Phòng</v>
      </c>
      <c r="U240" s="31"/>
    </row>
    <row r="241" spans="1:21" s="29" customFormat="1" ht="18" hidden="1" customHeight="1" x14ac:dyDescent="0.25">
      <c r="A241" s="44">
        <v>232</v>
      </c>
      <c r="B241" s="43">
        <v>46129</v>
      </c>
      <c r="C241" s="43" t="s">
        <v>1099</v>
      </c>
      <c r="D241" s="53">
        <v>40</v>
      </c>
      <c r="E241" s="43" t="s">
        <v>20</v>
      </c>
      <c r="F241" s="53" t="s">
        <v>868</v>
      </c>
      <c r="G241" s="183">
        <v>385000</v>
      </c>
      <c r="H241" s="53" t="s">
        <v>30</v>
      </c>
      <c r="I241" s="31" t="s">
        <v>1246</v>
      </c>
      <c r="J241" s="31"/>
      <c r="K241" s="31"/>
      <c r="L241" s="31">
        <f t="shared" si="25"/>
        <v>40</v>
      </c>
      <c r="M241" s="31" t="s">
        <v>1247</v>
      </c>
      <c r="N241" s="31"/>
      <c r="O241" s="31"/>
      <c r="P241" s="31"/>
      <c r="Q241" s="31"/>
      <c r="R241" s="31" t="s">
        <v>1249</v>
      </c>
      <c r="S241" s="31"/>
      <c r="T241" s="31" t="str">
        <f t="shared" si="21"/>
        <v>Cước vận chuyển vỏ container 40 từ bãi JJ, Hải Phòng đến Nam Đình Vũ, Hải Phòng</v>
      </c>
      <c r="U241" s="31"/>
    </row>
    <row r="242" spans="1:21" s="29" customFormat="1" ht="18" hidden="1" customHeight="1" x14ac:dyDescent="0.25">
      <c r="A242" s="44">
        <v>233</v>
      </c>
      <c r="B242" s="43">
        <v>46129</v>
      </c>
      <c r="C242" s="43" t="s">
        <v>1100</v>
      </c>
      <c r="D242" s="53">
        <v>40</v>
      </c>
      <c r="E242" s="43" t="s">
        <v>20</v>
      </c>
      <c r="F242" s="53" t="s">
        <v>868</v>
      </c>
      <c r="G242" s="183">
        <v>385000</v>
      </c>
      <c r="H242" s="53" t="s">
        <v>30</v>
      </c>
      <c r="I242" s="31" t="s">
        <v>1246</v>
      </c>
      <c r="J242" s="31"/>
      <c r="K242" s="31"/>
      <c r="L242" s="31">
        <f t="shared" si="25"/>
        <v>40</v>
      </c>
      <c r="M242" s="31" t="s">
        <v>1247</v>
      </c>
      <c r="N242" s="31"/>
      <c r="O242" s="31"/>
      <c r="P242" s="31"/>
      <c r="Q242" s="31"/>
      <c r="R242" s="31" t="s">
        <v>1249</v>
      </c>
      <c r="S242" s="31"/>
      <c r="T242" s="31" t="str">
        <f t="shared" si="21"/>
        <v>Cước vận chuyển vỏ container 40 từ bãi JJ, Hải Phòng đến Nam Đình Vũ, Hải Phòng</v>
      </c>
      <c r="U242" s="31"/>
    </row>
    <row r="243" spans="1:21" s="29" customFormat="1" ht="18" hidden="1" customHeight="1" x14ac:dyDescent="0.25">
      <c r="A243" s="44">
        <v>234</v>
      </c>
      <c r="B243" s="43">
        <v>46129</v>
      </c>
      <c r="C243" s="43" t="s">
        <v>1101</v>
      </c>
      <c r="D243" s="53">
        <v>20</v>
      </c>
      <c r="E243" s="43" t="s">
        <v>20</v>
      </c>
      <c r="F243" s="53" t="s">
        <v>868</v>
      </c>
      <c r="G243" s="190">
        <v>209000</v>
      </c>
      <c r="H243" s="53" t="s">
        <v>30</v>
      </c>
      <c r="I243" s="31" t="s">
        <v>1246</v>
      </c>
      <c r="J243" s="31"/>
      <c r="K243" s="31"/>
      <c r="L243" s="31">
        <f>D243</f>
        <v>20</v>
      </c>
      <c r="M243" s="31" t="s">
        <v>1247</v>
      </c>
      <c r="N243" s="31"/>
      <c r="O243" s="31"/>
      <c r="P243" s="31"/>
      <c r="Q243" s="31"/>
      <c r="R243" s="31" t="s">
        <v>1249</v>
      </c>
      <c r="S243" s="31"/>
      <c r="T243" s="31" t="str">
        <f t="shared" si="21"/>
        <v>Cước vận chuyển vỏ container 20 từ bãi JJ, Hải Phòng đến Nam Đình Vũ, Hải Phòng</v>
      </c>
      <c r="U243" s="31"/>
    </row>
    <row r="244" spans="1:21" s="29" customFormat="1" ht="18" hidden="1" customHeight="1" x14ac:dyDescent="0.25">
      <c r="A244" s="44">
        <v>235</v>
      </c>
      <c r="B244" s="43">
        <v>46118</v>
      </c>
      <c r="C244" s="43" t="s">
        <v>1102</v>
      </c>
      <c r="D244" s="53">
        <v>40</v>
      </c>
      <c r="E244" s="43" t="s">
        <v>20</v>
      </c>
      <c r="F244" s="53" t="s">
        <v>868</v>
      </c>
      <c r="G244" s="187">
        <v>428000</v>
      </c>
      <c r="H244" s="53" t="s">
        <v>842</v>
      </c>
      <c r="I244" s="31" t="s">
        <v>1246</v>
      </c>
      <c r="J244" s="31"/>
      <c r="K244" s="31"/>
      <c r="L244" s="31">
        <f t="shared" ref="L244:L247" si="26">D244</f>
        <v>40</v>
      </c>
      <c r="M244" s="31" t="s">
        <v>1247</v>
      </c>
      <c r="N244" s="31"/>
      <c r="O244" s="31"/>
      <c r="P244" s="31"/>
      <c r="Q244" s="31"/>
      <c r="R244" s="31" t="s">
        <v>1249</v>
      </c>
      <c r="S244" s="31"/>
      <c r="T244" s="31" t="str">
        <f t="shared" si="21"/>
        <v>Cước vận chuyển vỏ container 40 từ bãi JJ, Hải Phòng đến Nam Đình Vũ, Hải Phòng</v>
      </c>
      <c r="U244" s="31"/>
    </row>
    <row r="245" spans="1:21" s="29" customFormat="1" ht="18" hidden="1" customHeight="1" x14ac:dyDescent="0.25">
      <c r="A245" s="44">
        <v>236</v>
      </c>
      <c r="B245" s="43">
        <v>46118</v>
      </c>
      <c r="C245" s="43" t="s">
        <v>1103</v>
      </c>
      <c r="D245" s="53">
        <v>40</v>
      </c>
      <c r="E245" s="43" t="s">
        <v>20</v>
      </c>
      <c r="F245" s="53" t="s">
        <v>868</v>
      </c>
      <c r="G245" s="187">
        <v>428000</v>
      </c>
      <c r="H245" s="53" t="s">
        <v>842</v>
      </c>
      <c r="I245" s="31" t="s">
        <v>1246</v>
      </c>
      <c r="J245" s="31"/>
      <c r="K245" s="31"/>
      <c r="L245" s="31">
        <f t="shared" si="26"/>
        <v>40</v>
      </c>
      <c r="M245" s="31" t="s">
        <v>1247</v>
      </c>
      <c r="N245" s="31"/>
      <c r="O245" s="31"/>
      <c r="P245" s="31"/>
      <c r="Q245" s="31"/>
      <c r="R245" s="31" t="s">
        <v>1249</v>
      </c>
      <c r="S245" s="31"/>
      <c r="T245" s="31" t="str">
        <f t="shared" si="21"/>
        <v>Cước vận chuyển vỏ container 40 từ bãi JJ, Hải Phòng đến Nam Đình Vũ, Hải Phòng</v>
      </c>
      <c r="U245" s="31"/>
    </row>
    <row r="246" spans="1:21" s="29" customFormat="1" ht="18" hidden="1" customHeight="1" x14ac:dyDescent="0.25">
      <c r="A246" s="44">
        <v>237</v>
      </c>
      <c r="B246" s="43">
        <v>46118</v>
      </c>
      <c r="C246" s="43" t="s">
        <v>1104</v>
      </c>
      <c r="D246" s="53">
        <v>40</v>
      </c>
      <c r="E246" s="43" t="s">
        <v>20</v>
      </c>
      <c r="F246" s="53" t="s">
        <v>868</v>
      </c>
      <c r="G246" s="187">
        <v>428000</v>
      </c>
      <c r="H246" s="53" t="s">
        <v>842</v>
      </c>
      <c r="I246" s="31" t="s">
        <v>1246</v>
      </c>
      <c r="J246" s="31"/>
      <c r="K246" s="31"/>
      <c r="L246" s="31">
        <f t="shared" si="26"/>
        <v>40</v>
      </c>
      <c r="M246" s="31" t="s">
        <v>1247</v>
      </c>
      <c r="N246" s="31"/>
      <c r="O246" s="31"/>
      <c r="P246" s="31"/>
      <c r="Q246" s="31"/>
      <c r="R246" s="31" t="s">
        <v>1249</v>
      </c>
      <c r="S246" s="31"/>
      <c r="T246" s="31" t="str">
        <f t="shared" si="21"/>
        <v>Cước vận chuyển vỏ container 40 từ bãi JJ, Hải Phòng đến Nam Đình Vũ, Hải Phòng</v>
      </c>
      <c r="U246" s="31"/>
    </row>
    <row r="247" spans="1:21" s="29" customFormat="1" ht="18" hidden="1" customHeight="1" x14ac:dyDescent="0.25">
      <c r="A247" s="44">
        <v>238</v>
      </c>
      <c r="B247" s="43">
        <v>46118</v>
      </c>
      <c r="C247" s="43" t="s">
        <v>1105</v>
      </c>
      <c r="D247" s="53">
        <v>40</v>
      </c>
      <c r="E247" s="43" t="s">
        <v>20</v>
      </c>
      <c r="F247" s="53" t="s">
        <v>868</v>
      </c>
      <c r="G247" s="187">
        <v>428000</v>
      </c>
      <c r="H247" s="53" t="s">
        <v>842</v>
      </c>
      <c r="I247" s="31" t="s">
        <v>1246</v>
      </c>
      <c r="J247" s="31"/>
      <c r="K247" s="31"/>
      <c r="L247" s="31">
        <f t="shared" si="26"/>
        <v>40</v>
      </c>
      <c r="M247" s="31" t="s">
        <v>1247</v>
      </c>
      <c r="N247" s="31"/>
      <c r="O247" s="31"/>
      <c r="P247" s="31"/>
      <c r="Q247" s="31"/>
      <c r="R247" s="31" t="s">
        <v>1249</v>
      </c>
      <c r="S247" s="31"/>
      <c r="T247" s="31" t="str">
        <f t="shared" si="21"/>
        <v>Cước vận chuyển vỏ container 40 từ bãi JJ, Hải Phòng đến Nam Đình Vũ, Hải Phòng</v>
      </c>
      <c r="U247" s="31"/>
    </row>
    <row r="248" spans="1:21" s="29" customFormat="1" ht="18" hidden="1" customHeight="1" x14ac:dyDescent="0.25">
      <c r="A248" s="44">
        <v>239</v>
      </c>
      <c r="B248" s="43">
        <v>46113</v>
      </c>
      <c r="C248" s="43" t="s">
        <v>1106</v>
      </c>
      <c r="D248" s="53">
        <v>20</v>
      </c>
      <c r="E248" s="43" t="s">
        <v>20</v>
      </c>
      <c r="F248" s="53" t="s">
        <v>868</v>
      </c>
      <c r="G248" s="119">
        <v>221000</v>
      </c>
      <c r="H248" s="53" t="s">
        <v>26</v>
      </c>
      <c r="I248" s="31" t="s">
        <v>1246</v>
      </c>
      <c r="J248" s="31"/>
      <c r="K248" s="31"/>
      <c r="L248" s="31">
        <f t="shared" ref="L248:L256" si="27">D248</f>
        <v>20</v>
      </c>
      <c r="M248" s="31" t="s">
        <v>1247</v>
      </c>
      <c r="N248" s="31"/>
      <c r="O248" s="31"/>
      <c r="P248" s="31"/>
      <c r="Q248" s="31"/>
      <c r="R248" s="31" t="s">
        <v>1249</v>
      </c>
      <c r="S248" s="31"/>
      <c r="T248" s="31" t="str">
        <f t="shared" si="21"/>
        <v>Cước vận chuyển vỏ container 20 từ bãi JJ, Hải Phòng đến Nam Đình Vũ, Hải Phòng</v>
      </c>
      <c r="U248" s="31"/>
    </row>
    <row r="249" spans="1:21" s="29" customFormat="1" ht="18" hidden="1" customHeight="1" x14ac:dyDescent="0.25">
      <c r="A249" s="44">
        <v>240</v>
      </c>
      <c r="B249" s="43">
        <v>46113</v>
      </c>
      <c r="C249" s="43" t="s">
        <v>1107</v>
      </c>
      <c r="D249" s="53">
        <v>20</v>
      </c>
      <c r="E249" s="43" t="s">
        <v>20</v>
      </c>
      <c r="F249" s="53" t="s">
        <v>868</v>
      </c>
      <c r="G249" s="119">
        <v>221000</v>
      </c>
      <c r="H249" s="53" t="s">
        <v>26</v>
      </c>
      <c r="I249" s="31" t="s">
        <v>1246</v>
      </c>
      <c r="J249" s="31"/>
      <c r="K249" s="31"/>
      <c r="L249" s="31">
        <f t="shared" si="27"/>
        <v>20</v>
      </c>
      <c r="M249" s="31" t="s">
        <v>1247</v>
      </c>
      <c r="N249" s="31"/>
      <c r="O249" s="31"/>
      <c r="P249" s="31"/>
      <c r="Q249" s="31"/>
      <c r="R249" s="31" t="s">
        <v>1249</v>
      </c>
      <c r="S249" s="31"/>
      <c r="T249" s="31" t="str">
        <f t="shared" si="21"/>
        <v>Cước vận chuyển vỏ container 20 từ bãi JJ, Hải Phòng đến Nam Đình Vũ, Hải Phòng</v>
      </c>
      <c r="U249" s="31"/>
    </row>
    <row r="250" spans="1:21" s="29" customFormat="1" ht="18" hidden="1" customHeight="1" x14ac:dyDescent="0.25">
      <c r="A250" s="44">
        <v>241</v>
      </c>
      <c r="B250" s="43">
        <v>46113</v>
      </c>
      <c r="C250" s="43" t="s">
        <v>1108</v>
      </c>
      <c r="D250" s="53">
        <v>20</v>
      </c>
      <c r="E250" s="43" t="s">
        <v>20</v>
      </c>
      <c r="F250" s="53" t="s">
        <v>868</v>
      </c>
      <c r="G250" s="119">
        <v>221000</v>
      </c>
      <c r="H250" s="53" t="s">
        <v>26</v>
      </c>
      <c r="I250" s="31" t="s">
        <v>1246</v>
      </c>
      <c r="J250" s="31"/>
      <c r="K250" s="31"/>
      <c r="L250" s="31">
        <f t="shared" si="27"/>
        <v>20</v>
      </c>
      <c r="M250" s="31" t="s">
        <v>1247</v>
      </c>
      <c r="N250" s="31"/>
      <c r="O250" s="31"/>
      <c r="P250" s="31"/>
      <c r="Q250" s="31"/>
      <c r="R250" s="31" t="s">
        <v>1249</v>
      </c>
      <c r="S250" s="31"/>
      <c r="T250" s="31" t="str">
        <f t="shared" si="21"/>
        <v>Cước vận chuyển vỏ container 20 từ bãi JJ, Hải Phòng đến Nam Đình Vũ, Hải Phòng</v>
      </c>
      <c r="U250" s="31"/>
    </row>
    <row r="251" spans="1:21" s="29" customFormat="1" ht="18" hidden="1" customHeight="1" x14ac:dyDescent="0.25">
      <c r="A251" s="44">
        <v>242</v>
      </c>
      <c r="B251" s="43">
        <v>46113</v>
      </c>
      <c r="C251" s="43" t="s">
        <v>1109</v>
      </c>
      <c r="D251" s="53">
        <v>20</v>
      </c>
      <c r="E251" s="43" t="s">
        <v>20</v>
      </c>
      <c r="F251" s="53" t="s">
        <v>868</v>
      </c>
      <c r="G251" s="119">
        <v>221000</v>
      </c>
      <c r="H251" s="53" t="s">
        <v>26</v>
      </c>
      <c r="I251" s="31" t="s">
        <v>1246</v>
      </c>
      <c r="J251" s="31"/>
      <c r="K251" s="31"/>
      <c r="L251" s="31">
        <f t="shared" si="27"/>
        <v>20</v>
      </c>
      <c r="M251" s="31" t="s">
        <v>1247</v>
      </c>
      <c r="N251" s="31"/>
      <c r="O251" s="31"/>
      <c r="P251" s="31"/>
      <c r="Q251" s="31"/>
      <c r="R251" s="31" t="s">
        <v>1249</v>
      </c>
      <c r="S251" s="31"/>
      <c r="T251" s="31" t="str">
        <f t="shared" si="21"/>
        <v>Cước vận chuyển vỏ container 20 từ bãi JJ, Hải Phòng đến Nam Đình Vũ, Hải Phòng</v>
      </c>
      <c r="U251" s="31"/>
    </row>
    <row r="252" spans="1:21" s="29" customFormat="1" ht="18" hidden="1" customHeight="1" x14ac:dyDescent="0.25">
      <c r="A252" s="44">
        <v>243</v>
      </c>
      <c r="B252" s="43">
        <v>46113</v>
      </c>
      <c r="C252" s="43" t="s">
        <v>1110</v>
      </c>
      <c r="D252" s="191">
        <v>20</v>
      </c>
      <c r="E252" s="43" t="s">
        <v>20</v>
      </c>
      <c r="F252" s="53" t="s">
        <v>868</v>
      </c>
      <c r="G252" s="119">
        <v>221000</v>
      </c>
      <c r="H252" s="53" t="s">
        <v>26</v>
      </c>
      <c r="I252" s="31" t="s">
        <v>1246</v>
      </c>
      <c r="J252" s="31"/>
      <c r="K252" s="31"/>
      <c r="L252" s="31">
        <f t="shared" si="27"/>
        <v>20</v>
      </c>
      <c r="M252" s="31" t="s">
        <v>1247</v>
      </c>
      <c r="N252" s="31"/>
      <c r="O252" s="31"/>
      <c r="P252" s="31"/>
      <c r="Q252" s="31"/>
      <c r="R252" s="31" t="s">
        <v>1249</v>
      </c>
      <c r="S252" s="31"/>
      <c r="T252" s="31" t="str">
        <f t="shared" si="21"/>
        <v>Cước vận chuyển vỏ container 20 từ bãi JJ, Hải Phòng đến Nam Đình Vũ, Hải Phòng</v>
      </c>
      <c r="U252" s="31"/>
    </row>
    <row r="253" spans="1:21" s="29" customFormat="1" ht="18" hidden="1" customHeight="1" x14ac:dyDescent="0.25">
      <c r="A253" s="44">
        <v>244</v>
      </c>
      <c r="B253" s="43">
        <v>46118</v>
      </c>
      <c r="C253" s="43" t="s">
        <v>1111</v>
      </c>
      <c r="D253" s="53">
        <v>40</v>
      </c>
      <c r="E253" s="43" t="s">
        <v>20</v>
      </c>
      <c r="F253" s="53" t="s">
        <v>868</v>
      </c>
      <c r="G253" s="187">
        <v>428000</v>
      </c>
      <c r="H253" s="53" t="s">
        <v>26</v>
      </c>
      <c r="I253" s="31" t="s">
        <v>1246</v>
      </c>
      <c r="J253" s="31"/>
      <c r="K253" s="31"/>
      <c r="L253" s="31">
        <f t="shared" si="27"/>
        <v>40</v>
      </c>
      <c r="M253" s="31" t="s">
        <v>1247</v>
      </c>
      <c r="N253" s="31"/>
      <c r="O253" s="31"/>
      <c r="P253" s="31"/>
      <c r="Q253" s="31"/>
      <c r="R253" s="31" t="s">
        <v>1249</v>
      </c>
      <c r="S253" s="31"/>
      <c r="T253" s="31" t="str">
        <f t="shared" si="21"/>
        <v>Cước vận chuyển vỏ container 40 từ bãi JJ, Hải Phòng đến Nam Đình Vũ, Hải Phòng</v>
      </c>
      <c r="U253" s="31"/>
    </row>
    <row r="254" spans="1:21" s="29" customFormat="1" ht="18" hidden="1" customHeight="1" x14ac:dyDescent="0.25">
      <c r="A254" s="44">
        <v>245</v>
      </c>
      <c r="B254" s="43">
        <v>46118</v>
      </c>
      <c r="C254" s="43" t="s">
        <v>1112</v>
      </c>
      <c r="D254" s="53">
        <v>40</v>
      </c>
      <c r="E254" s="43" t="s">
        <v>20</v>
      </c>
      <c r="F254" s="53" t="s">
        <v>868</v>
      </c>
      <c r="G254" s="187">
        <v>428000</v>
      </c>
      <c r="H254" s="53" t="s">
        <v>26</v>
      </c>
      <c r="I254" s="31" t="s">
        <v>1246</v>
      </c>
      <c r="J254" s="31"/>
      <c r="K254" s="31"/>
      <c r="L254" s="31">
        <f t="shared" si="27"/>
        <v>40</v>
      </c>
      <c r="M254" s="31" t="s">
        <v>1247</v>
      </c>
      <c r="N254" s="31"/>
      <c r="O254" s="31"/>
      <c r="P254" s="31"/>
      <c r="Q254" s="31"/>
      <c r="R254" s="31" t="s">
        <v>1249</v>
      </c>
      <c r="S254" s="31"/>
      <c r="T254" s="31" t="str">
        <f t="shared" si="21"/>
        <v>Cước vận chuyển vỏ container 40 từ bãi JJ, Hải Phòng đến Nam Đình Vũ, Hải Phòng</v>
      </c>
      <c r="U254" s="31"/>
    </row>
    <row r="255" spans="1:21" s="29" customFormat="1" ht="18" hidden="1" customHeight="1" x14ac:dyDescent="0.25">
      <c r="A255" s="44">
        <v>246</v>
      </c>
      <c r="B255" s="43">
        <v>46118</v>
      </c>
      <c r="C255" s="43" t="s">
        <v>1113</v>
      </c>
      <c r="D255" s="53">
        <v>40</v>
      </c>
      <c r="E255" s="43" t="s">
        <v>20</v>
      </c>
      <c r="F255" s="53" t="s">
        <v>868</v>
      </c>
      <c r="G255" s="187">
        <v>428000</v>
      </c>
      <c r="H255" s="53" t="s">
        <v>26</v>
      </c>
      <c r="I255" s="31" t="s">
        <v>1246</v>
      </c>
      <c r="J255" s="31"/>
      <c r="K255" s="31"/>
      <c r="L255" s="31">
        <f t="shared" si="27"/>
        <v>40</v>
      </c>
      <c r="M255" s="31" t="s">
        <v>1247</v>
      </c>
      <c r="N255" s="31"/>
      <c r="O255" s="31"/>
      <c r="P255" s="31"/>
      <c r="Q255" s="31"/>
      <c r="R255" s="31" t="s">
        <v>1249</v>
      </c>
      <c r="S255" s="31"/>
      <c r="T255" s="31" t="str">
        <f t="shared" si="21"/>
        <v>Cước vận chuyển vỏ container 40 từ bãi JJ, Hải Phòng đến Nam Đình Vũ, Hải Phòng</v>
      </c>
      <c r="U255" s="31"/>
    </row>
    <row r="256" spans="1:21" s="29" customFormat="1" ht="18" hidden="1" customHeight="1" x14ac:dyDescent="0.25">
      <c r="A256" s="44">
        <v>247</v>
      </c>
      <c r="B256" s="43">
        <v>46118</v>
      </c>
      <c r="C256" s="43" t="s">
        <v>1114</v>
      </c>
      <c r="D256" s="53">
        <v>40</v>
      </c>
      <c r="E256" s="43" t="s">
        <v>20</v>
      </c>
      <c r="F256" s="53" t="s">
        <v>868</v>
      </c>
      <c r="G256" s="187">
        <v>428000</v>
      </c>
      <c r="H256" s="53" t="s">
        <v>26</v>
      </c>
      <c r="I256" s="31" t="s">
        <v>1246</v>
      </c>
      <c r="J256" s="31"/>
      <c r="K256" s="31"/>
      <c r="L256" s="31">
        <f t="shared" si="27"/>
        <v>40</v>
      </c>
      <c r="M256" s="31" t="s">
        <v>1247</v>
      </c>
      <c r="N256" s="31"/>
      <c r="O256" s="31"/>
      <c r="P256" s="31"/>
      <c r="Q256" s="31"/>
      <c r="R256" s="31" t="s">
        <v>1249</v>
      </c>
      <c r="S256" s="31"/>
      <c r="T256" s="31" t="str">
        <f t="shared" si="21"/>
        <v>Cước vận chuyển vỏ container 40 từ bãi JJ, Hải Phòng đến Nam Đình Vũ, Hải Phòng</v>
      </c>
      <c r="U256" s="31"/>
    </row>
    <row r="257" spans="1:21" s="29" customFormat="1" ht="18" hidden="1" customHeight="1" x14ac:dyDescent="0.25">
      <c r="A257" s="44">
        <v>248</v>
      </c>
      <c r="B257" s="43">
        <v>46128</v>
      </c>
      <c r="C257" s="43" t="s">
        <v>1115</v>
      </c>
      <c r="D257" s="53">
        <v>20</v>
      </c>
      <c r="E257" s="43" t="s">
        <v>20</v>
      </c>
      <c r="F257" s="53" t="s">
        <v>868</v>
      </c>
      <c r="G257" s="190">
        <v>209000</v>
      </c>
      <c r="H257" s="53" t="s">
        <v>828</v>
      </c>
      <c r="I257" s="31" t="s">
        <v>1246</v>
      </c>
      <c r="J257" s="31"/>
      <c r="K257" s="31"/>
      <c r="L257" s="31">
        <f t="shared" ref="L257:L265" si="28">D257</f>
        <v>20</v>
      </c>
      <c r="M257" s="31" t="s">
        <v>1247</v>
      </c>
      <c r="N257" s="31"/>
      <c r="O257" s="31"/>
      <c r="P257" s="31"/>
      <c r="Q257" s="31"/>
      <c r="R257" s="31" t="s">
        <v>1249</v>
      </c>
      <c r="S257" s="31"/>
      <c r="T257" s="31" t="str">
        <f t="shared" si="21"/>
        <v>Cước vận chuyển vỏ container 20 từ bãi JJ, Hải Phòng đến Nam Đình Vũ, Hải Phòng</v>
      </c>
      <c r="U257" s="31"/>
    </row>
    <row r="258" spans="1:21" s="29" customFormat="1" ht="18" hidden="1" customHeight="1" x14ac:dyDescent="0.25">
      <c r="A258" s="44">
        <v>249</v>
      </c>
      <c r="B258" s="43">
        <v>46128</v>
      </c>
      <c r="C258" s="43" t="s">
        <v>1116</v>
      </c>
      <c r="D258" s="53">
        <v>20</v>
      </c>
      <c r="E258" s="43" t="s">
        <v>20</v>
      </c>
      <c r="F258" s="53" t="s">
        <v>868</v>
      </c>
      <c r="G258" s="190">
        <v>209000</v>
      </c>
      <c r="H258" s="53" t="s">
        <v>828</v>
      </c>
      <c r="I258" s="31" t="s">
        <v>1246</v>
      </c>
      <c r="J258" s="31"/>
      <c r="K258" s="31"/>
      <c r="L258" s="31">
        <f t="shared" si="28"/>
        <v>20</v>
      </c>
      <c r="M258" s="31" t="s">
        <v>1247</v>
      </c>
      <c r="N258" s="31"/>
      <c r="O258" s="31"/>
      <c r="P258" s="31"/>
      <c r="Q258" s="31"/>
      <c r="R258" s="31" t="s">
        <v>1249</v>
      </c>
      <c r="S258" s="31"/>
      <c r="T258" s="31" t="str">
        <f t="shared" si="21"/>
        <v>Cước vận chuyển vỏ container 20 từ bãi JJ, Hải Phòng đến Nam Đình Vũ, Hải Phòng</v>
      </c>
      <c r="U258" s="31"/>
    </row>
    <row r="259" spans="1:21" s="29" customFormat="1" ht="18" hidden="1" customHeight="1" x14ac:dyDescent="0.25">
      <c r="A259" s="44">
        <v>250</v>
      </c>
      <c r="B259" s="43">
        <v>46128</v>
      </c>
      <c r="C259" s="43" t="s">
        <v>1117</v>
      </c>
      <c r="D259" s="53">
        <v>40</v>
      </c>
      <c r="E259" s="43" t="s">
        <v>20</v>
      </c>
      <c r="F259" s="53" t="s">
        <v>868</v>
      </c>
      <c r="G259" s="183">
        <v>385000</v>
      </c>
      <c r="H259" s="53" t="s">
        <v>828</v>
      </c>
      <c r="I259" s="31" t="s">
        <v>1246</v>
      </c>
      <c r="J259" s="31"/>
      <c r="K259" s="31"/>
      <c r="L259" s="31">
        <f t="shared" si="28"/>
        <v>40</v>
      </c>
      <c r="M259" s="31" t="s">
        <v>1247</v>
      </c>
      <c r="N259" s="31"/>
      <c r="O259" s="31"/>
      <c r="P259" s="31"/>
      <c r="Q259" s="31"/>
      <c r="R259" s="31" t="s">
        <v>1249</v>
      </c>
      <c r="S259" s="31"/>
      <c r="T259" s="31" t="str">
        <f t="shared" si="21"/>
        <v>Cước vận chuyển vỏ container 40 từ bãi JJ, Hải Phòng đến Nam Đình Vũ, Hải Phòng</v>
      </c>
      <c r="U259" s="31"/>
    </row>
    <row r="260" spans="1:21" s="29" customFormat="1" ht="18" hidden="1" customHeight="1" x14ac:dyDescent="0.25">
      <c r="A260" s="44">
        <v>251</v>
      </c>
      <c r="B260" s="43">
        <v>46128</v>
      </c>
      <c r="C260" s="43" t="s">
        <v>1118</v>
      </c>
      <c r="D260" s="53">
        <v>40</v>
      </c>
      <c r="E260" s="43" t="s">
        <v>20</v>
      </c>
      <c r="F260" s="53" t="s">
        <v>868</v>
      </c>
      <c r="G260" s="183">
        <v>385000</v>
      </c>
      <c r="H260" s="53" t="s">
        <v>828</v>
      </c>
      <c r="I260" s="31" t="s">
        <v>1246</v>
      </c>
      <c r="J260" s="31"/>
      <c r="K260" s="31"/>
      <c r="L260" s="31">
        <f t="shared" si="28"/>
        <v>40</v>
      </c>
      <c r="M260" s="31" t="s">
        <v>1247</v>
      </c>
      <c r="N260" s="31"/>
      <c r="O260" s="31"/>
      <c r="P260" s="31"/>
      <c r="Q260" s="31"/>
      <c r="R260" s="31" t="s">
        <v>1249</v>
      </c>
      <c r="S260" s="31"/>
      <c r="T260" s="31" t="str">
        <f t="shared" si="21"/>
        <v>Cước vận chuyển vỏ container 40 từ bãi JJ, Hải Phòng đến Nam Đình Vũ, Hải Phòng</v>
      </c>
      <c r="U260" s="31"/>
    </row>
    <row r="261" spans="1:21" s="29" customFormat="1" ht="18" hidden="1" customHeight="1" x14ac:dyDescent="0.25">
      <c r="A261" s="44">
        <v>252</v>
      </c>
      <c r="B261" s="43">
        <v>46128</v>
      </c>
      <c r="C261" s="43" t="s">
        <v>1119</v>
      </c>
      <c r="D261" s="53">
        <v>40</v>
      </c>
      <c r="E261" s="43" t="s">
        <v>20</v>
      </c>
      <c r="F261" s="53" t="s">
        <v>868</v>
      </c>
      <c r="G261" s="183">
        <v>385000</v>
      </c>
      <c r="H261" s="53" t="s">
        <v>828</v>
      </c>
      <c r="I261" s="31" t="s">
        <v>1246</v>
      </c>
      <c r="J261" s="31"/>
      <c r="K261" s="31"/>
      <c r="L261" s="31">
        <f t="shared" si="28"/>
        <v>40</v>
      </c>
      <c r="M261" s="31" t="s">
        <v>1247</v>
      </c>
      <c r="N261" s="31"/>
      <c r="O261" s="31"/>
      <c r="P261" s="31"/>
      <c r="Q261" s="31"/>
      <c r="R261" s="31" t="s">
        <v>1249</v>
      </c>
      <c r="S261" s="31"/>
      <c r="T261" s="31" t="str">
        <f t="shared" si="21"/>
        <v>Cước vận chuyển vỏ container 40 từ bãi JJ, Hải Phòng đến Nam Đình Vũ, Hải Phòng</v>
      </c>
      <c r="U261" s="31"/>
    </row>
    <row r="262" spans="1:21" s="29" customFormat="1" ht="18" hidden="1" customHeight="1" x14ac:dyDescent="0.25">
      <c r="A262" s="44">
        <v>253</v>
      </c>
      <c r="B262" s="43">
        <v>46128</v>
      </c>
      <c r="C262" s="43" t="s">
        <v>1120</v>
      </c>
      <c r="D262" s="53">
        <v>40</v>
      </c>
      <c r="E262" s="43" t="s">
        <v>20</v>
      </c>
      <c r="F262" s="53" t="s">
        <v>868</v>
      </c>
      <c r="G262" s="183">
        <v>385000</v>
      </c>
      <c r="H262" s="53" t="s">
        <v>828</v>
      </c>
      <c r="I262" s="31" t="s">
        <v>1246</v>
      </c>
      <c r="J262" s="31"/>
      <c r="K262" s="31"/>
      <c r="L262" s="31">
        <f t="shared" si="28"/>
        <v>40</v>
      </c>
      <c r="M262" s="31" t="s">
        <v>1247</v>
      </c>
      <c r="N262" s="31"/>
      <c r="O262" s="31"/>
      <c r="P262" s="31"/>
      <c r="Q262" s="31"/>
      <c r="R262" s="31" t="s">
        <v>1249</v>
      </c>
      <c r="S262" s="31"/>
      <c r="T262" s="31" t="str">
        <f t="shared" si="21"/>
        <v>Cước vận chuyển vỏ container 40 từ bãi JJ, Hải Phòng đến Nam Đình Vũ, Hải Phòng</v>
      </c>
      <c r="U262" s="31"/>
    </row>
    <row r="263" spans="1:21" s="29" customFormat="1" ht="18" hidden="1" customHeight="1" x14ac:dyDescent="0.25">
      <c r="A263" s="44">
        <v>254</v>
      </c>
      <c r="B263" s="43">
        <v>46128</v>
      </c>
      <c r="C263" s="43" t="s">
        <v>1121</v>
      </c>
      <c r="D263" s="53">
        <v>40</v>
      </c>
      <c r="E263" s="43" t="s">
        <v>20</v>
      </c>
      <c r="F263" s="53" t="s">
        <v>868</v>
      </c>
      <c r="G263" s="183">
        <v>385000</v>
      </c>
      <c r="H263" s="53" t="s">
        <v>828</v>
      </c>
      <c r="I263" s="31" t="s">
        <v>1246</v>
      </c>
      <c r="J263" s="31"/>
      <c r="K263" s="31"/>
      <c r="L263" s="31">
        <f t="shared" si="28"/>
        <v>40</v>
      </c>
      <c r="M263" s="31" t="s">
        <v>1247</v>
      </c>
      <c r="N263" s="31"/>
      <c r="O263" s="31"/>
      <c r="P263" s="31"/>
      <c r="Q263" s="31"/>
      <c r="R263" s="31" t="s">
        <v>1249</v>
      </c>
      <c r="S263" s="31"/>
      <c r="T263" s="31" t="str">
        <f t="shared" si="21"/>
        <v>Cước vận chuyển vỏ container 40 từ bãi JJ, Hải Phòng đến Nam Đình Vũ, Hải Phòng</v>
      </c>
      <c r="U263" s="31"/>
    </row>
    <row r="264" spans="1:21" s="29" customFormat="1" ht="18" hidden="1" customHeight="1" x14ac:dyDescent="0.25">
      <c r="A264" s="44">
        <v>255</v>
      </c>
      <c r="B264" s="43">
        <v>46128</v>
      </c>
      <c r="C264" s="43" t="s">
        <v>1122</v>
      </c>
      <c r="D264" s="53">
        <v>40</v>
      </c>
      <c r="E264" s="43" t="s">
        <v>20</v>
      </c>
      <c r="F264" s="53" t="s">
        <v>868</v>
      </c>
      <c r="G264" s="183">
        <v>385000</v>
      </c>
      <c r="H264" s="53" t="s">
        <v>828</v>
      </c>
      <c r="I264" s="31" t="s">
        <v>1246</v>
      </c>
      <c r="J264" s="31"/>
      <c r="K264" s="31"/>
      <c r="L264" s="31">
        <f t="shared" si="28"/>
        <v>40</v>
      </c>
      <c r="M264" s="31" t="s">
        <v>1247</v>
      </c>
      <c r="N264" s="31"/>
      <c r="O264" s="31"/>
      <c r="P264" s="31"/>
      <c r="Q264" s="31"/>
      <c r="R264" s="31" t="s">
        <v>1249</v>
      </c>
      <c r="S264" s="31"/>
      <c r="T264" s="31" t="str">
        <f t="shared" si="21"/>
        <v>Cước vận chuyển vỏ container 40 từ bãi JJ, Hải Phòng đến Nam Đình Vũ, Hải Phòng</v>
      </c>
      <c r="U264" s="31"/>
    </row>
    <row r="265" spans="1:21" s="29" customFormat="1" ht="18" hidden="1" customHeight="1" x14ac:dyDescent="0.25">
      <c r="A265" s="44">
        <v>256</v>
      </c>
      <c r="B265" s="43">
        <v>46128</v>
      </c>
      <c r="C265" s="43" t="s">
        <v>1123</v>
      </c>
      <c r="D265" s="53">
        <v>40</v>
      </c>
      <c r="E265" s="43" t="s">
        <v>20</v>
      </c>
      <c r="F265" s="53" t="s">
        <v>868</v>
      </c>
      <c r="G265" s="183">
        <v>385000</v>
      </c>
      <c r="H265" s="53" t="s">
        <v>828</v>
      </c>
      <c r="I265" s="31" t="s">
        <v>1246</v>
      </c>
      <c r="J265" s="31"/>
      <c r="K265" s="31"/>
      <c r="L265" s="31">
        <f t="shared" si="28"/>
        <v>40</v>
      </c>
      <c r="M265" s="31" t="s">
        <v>1247</v>
      </c>
      <c r="N265" s="31"/>
      <c r="O265" s="31"/>
      <c r="P265" s="31"/>
      <c r="Q265" s="31"/>
      <c r="R265" s="31" t="s">
        <v>1249</v>
      </c>
      <c r="S265" s="31"/>
      <c r="T265" s="31" t="str">
        <f t="shared" si="21"/>
        <v>Cước vận chuyển vỏ container 40 từ bãi JJ, Hải Phòng đến Nam Đình Vũ, Hải Phòng</v>
      </c>
      <c r="U265" s="31"/>
    </row>
    <row r="266" spans="1:21" s="29" customFormat="1" ht="18" hidden="1" customHeight="1" x14ac:dyDescent="0.25">
      <c r="A266" s="44">
        <v>257</v>
      </c>
      <c r="B266" s="43">
        <v>46134</v>
      </c>
      <c r="C266" s="43" t="s">
        <v>1124</v>
      </c>
      <c r="D266" s="53">
        <v>20</v>
      </c>
      <c r="E266" s="43" t="s">
        <v>20</v>
      </c>
      <c r="F266" s="53" t="s">
        <v>868</v>
      </c>
      <c r="G266" s="188">
        <v>198000</v>
      </c>
      <c r="H266" s="53" t="s">
        <v>828</v>
      </c>
      <c r="I266" s="31" t="s">
        <v>1246</v>
      </c>
      <c r="J266" s="31"/>
      <c r="K266" s="31"/>
      <c r="L266" s="31">
        <f t="shared" ref="L266:L273" si="29">D266</f>
        <v>20</v>
      </c>
      <c r="M266" s="31" t="s">
        <v>1247</v>
      </c>
      <c r="N266" s="31"/>
      <c r="O266" s="31"/>
      <c r="P266" s="31"/>
      <c r="Q266" s="31"/>
      <c r="R266" s="31" t="s">
        <v>1249</v>
      </c>
      <c r="S266" s="31"/>
      <c r="T266" s="31" t="str">
        <f t="shared" si="21"/>
        <v>Cước vận chuyển vỏ container 20 từ bãi JJ, Hải Phòng đến Nam Đình Vũ, Hải Phòng</v>
      </c>
      <c r="U266" s="31"/>
    </row>
    <row r="267" spans="1:21" s="29" customFormat="1" ht="18" hidden="1" customHeight="1" x14ac:dyDescent="0.25">
      <c r="A267" s="44">
        <v>258</v>
      </c>
      <c r="B267" s="43">
        <v>46134</v>
      </c>
      <c r="C267" s="43" t="s">
        <v>1125</v>
      </c>
      <c r="D267" s="53">
        <v>20</v>
      </c>
      <c r="E267" s="43" t="s">
        <v>20</v>
      </c>
      <c r="F267" s="53" t="s">
        <v>868</v>
      </c>
      <c r="G267" s="188">
        <v>198000</v>
      </c>
      <c r="H267" s="53" t="s">
        <v>828</v>
      </c>
      <c r="I267" s="31" t="s">
        <v>1246</v>
      </c>
      <c r="J267" s="31"/>
      <c r="K267" s="31"/>
      <c r="L267" s="31">
        <f t="shared" si="29"/>
        <v>20</v>
      </c>
      <c r="M267" s="31" t="s">
        <v>1247</v>
      </c>
      <c r="N267" s="31"/>
      <c r="O267" s="31"/>
      <c r="P267" s="31"/>
      <c r="Q267" s="31"/>
      <c r="R267" s="31" t="s">
        <v>1249</v>
      </c>
      <c r="S267" s="31"/>
      <c r="T267" s="31" t="str">
        <f t="shared" ref="T267:T330" si="30">I267&amp;" "&amp;L267&amp;""&amp;" "&amp;M267</f>
        <v>Cước vận chuyển vỏ container 20 từ bãi JJ, Hải Phòng đến Nam Đình Vũ, Hải Phòng</v>
      </c>
      <c r="U267" s="31"/>
    </row>
    <row r="268" spans="1:21" s="29" customFormat="1" ht="18" hidden="1" customHeight="1" x14ac:dyDescent="0.25">
      <c r="A268" s="44">
        <v>259</v>
      </c>
      <c r="B268" s="43">
        <v>46134</v>
      </c>
      <c r="C268" s="43" t="s">
        <v>1126</v>
      </c>
      <c r="D268" s="53">
        <v>20</v>
      </c>
      <c r="E268" s="43" t="s">
        <v>20</v>
      </c>
      <c r="F268" s="53" t="s">
        <v>868</v>
      </c>
      <c r="G268" s="188">
        <v>198000</v>
      </c>
      <c r="H268" s="53" t="s">
        <v>828</v>
      </c>
      <c r="I268" s="31" t="s">
        <v>1246</v>
      </c>
      <c r="J268" s="31"/>
      <c r="K268" s="31"/>
      <c r="L268" s="31">
        <f t="shared" si="29"/>
        <v>20</v>
      </c>
      <c r="M268" s="31" t="s">
        <v>1247</v>
      </c>
      <c r="N268" s="31"/>
      <c r="O268" s="31"/>
      <c r="P268" s="31"/>
      <c r="Q268" s="31"/>
      <c r="R268" s="31" t="s">
        <v>1249</v>
      </c>
      <c r="S268" s="31"/>
      <c r="T268" s="31" t="str">
        <f t="shared" si="30"/>
        <v>Cước vận chuyển vỏ container 20 từ bãi JJ, Hải Phòng đến Nam Đình Vũ, Hải Phòng</v>
      </c>
      <c r="U268" s="31"/>
    </row>
    <row r="269" spans="1:21" s="29" customFormat="1" ht="18" hidden="1" customHeight="1" x14ac:dyDescent="0.25">
      <c r="A269" s="44">
        <v>260</v>
      </c>
      <c r="B269" s="43">
        <v>46134</v>
      </c>
      <c r="C269" s="43" t="s">
        <v>1127</v>
      </c>
      <c r="D269" s="53">
        <v>20</v>
      </c>
      <c r="E269" s="43" t="s">
        <v>20</v>
      </c>
      <c r="F269" s="53" t="s">
        <v>868</v>
      </c>
      <c r="G269" s="188">
        <v>198000</v>
      </c>
      <c r="H269" s="53" t="s">
        <v>828</v>
      </c>
      <c r="I269" s="31" t="s">
        <v>1246</v>
      </c>
      <c r="J269" s="31"/>
      <c r="K269" s="31"/>
      <c r="L269" s="31">
        <f t="shared" si="29"/>
        <v>20</v>
      </c>
      <c r="M269" s="31" t="s">
        <v>1247</v>
      </c>
      <c r="N269" s="31"/>
      <c r="O269" s="31"/>
      <c r="P269" s="31"/>
      <c r="Q269" s="31"/>
      <c r="R269" s="31" t="s">
        <v>1249</v>
      </c>
      <c r="S269" s="31"/>
      <c r="T269" s="31" t="str">
        <f t="shared" si="30"/>
        <v>Cước vận chuyển vỏ container 20 từ bãi JJ, Hải Phòng đến Nam Đình Vũ, Hải Phòng</v>
      </c>
      <c r="U269" s="31"/>
    </row>
    <row r="270" spans="1:21" s="29" customFormat="1" ht="18" hidden="1" customHeight="1" x14ac:dyDescent="0.25">
      <c r="A270" s="44">
        <v>261</v>
      </c>
      <c r="B270" s="43">
        <v>46134</v>
      </c>
      <c r="C270" s="43" t="s">
        <v>1128</v>
      </c>
      <c r="D270" s="53">
        <v>40</v>
      </c>
      <c r="E270" s="43" t="s">
        <v>20</v>
      </c>
      <c r="F270" s="53" t="s">
        <v>868</v>
      </c>
      <c r="G270" s="176">
        <v>365000</v>
      </c>
      <c r="H270" s="53" t="s">
        <v>828</v>
      </c>
      <c r="I270" s="31" t="s">
        <v>1246</v>
      </c>
      <c r="J270" s="31"/>
      <c r="K270" s="31"/>
      <c r="L270" s="31">
        <f t="shared" si="29"/>
        <v>40</v>
      </c>
      <c r="M270" s="31" t="s">
        <v>1247</v>
      </c>
      <c r="N270" s="31"/>
      <c r="O270" s="31"/>
      <c r="P270" s="31"/>
      <c r="Q270" s="31"/>
      <c r="R270" s="31" t="s">
        <v>1249</v>
      </c>
      <c r="S270" s="31"/>
      <c r="T270" s="31" t="str">
        <f t="shared" si="30"/>
        <v>Cước vận chuyển vỏ container 40 từ bãi JJ, Hải Phòng đến Nam Đình Vũ, Hải Phòng</v>
      </c>
      <c r="U270" s="31"/>
    </row>
    <row r="271" spans="1:21" s="29" customFormat="1" ht="18" hidden="1" customHeight="1" x14ac:dyDescent="0.25">
      <c r="A271" s="44">
        <v>262</v>
      </c>
      <c r="B271" s="43">
        <v>46134</v>
      </c>
      <c r="C271" s="43" t="s">
        <v>1129</v>
      </c>
      <c r="D271" s="53">
        <v>40</v>
      </c>
      <c r="E271" s="43" t="s">
        <v>20</v>
      </c>
      <c r="F271" s="53" t="s">
        <v>868</v>
      </c>
      <c r="G271" s="176">
        <v>365000</v>
      </c>
      <c r="H271" s="53" t="s">
        <v>828</v>
      </c>
      <c r="I271" s="31" t="s">
        <v>1246</v>
      </c>
      <c r="J271" s="31"/>
      <c r="K271" s="31"/>
      <c r="L271" s="31">
        <f t="shared" si="29"/>
        <v>40</v>
      </c>
      <c r="M271" s="31" t="s">
        <v>1247</v>
      </c>
      <c r="N271" s="31"/>
      <c r="O271" s="31"/>
      <c r="P271" s="31"/>
      <c r="Q271" s="31"/>
      <c r="R271" s="31" t="s">
        <v>1249</v>
      </c>
      <c r="S271" s="31"/>
      <c r="T271" s="31" t="str">
        <f t="shared" si="30"/>
        <v>Cước vận chuyển vỏ container 40 từ bãi JJ, Hải Phòng đến Nam Đình Vũ, Hải Phòng</v>
      </c>
      <c r="U271" s="31"/>
    </row>
    <row r="272" spans="1:21" s="29" customFormat="1" ht="18" hidden="1" customHeight="1" x14ac:dyDescent="0.25">
      <c r="A272" s="44">
        <v>263</v>
      </c>
      <c r="B272" s="43">
        <v>46134</v>
      </c>
      <c r="C272" s="43" t="s">
        <v>1130</v>
      </c>
      <c r="D272" s="53">
        <v>40</v>
      </c>
      <c r="E272" s="43" t="s">
        <v>20</v>
      </c>
      <c r="F272" s="53" t="s">
        <v>868</v>
      </c>
      <c r="G272" s="176">
        <v>365000</v>
      </c>
      <c r="H272" s="53" t="s">
        <v>828</v>
      </c>
      <c r="I272" s="31" t="s">
        <v>1246</v>
      </c>
      <c r="J272" s="31"/>
      <c r="K272" s="31"/>
      <c r="L272" s="31">
        <f t="shared" si="29"/>
        <v>40</v>
      </c>
      <c r="M272" s="31" t="s">
        <v>1247</v>
      </c>
      <c r="N272" s="31"/>
      <c r="O272" s="31"/>
      <c r="P272" s="31"/>
      <c r="Q272" s="31"/>
      <c r="R272" s="31" t="s">
        <v>1249</v>
      </c>
      <c r="S272" s="31"/>
      <c r="T272" s="31" t="str">
        <f t="shared" si="30"/>
        <v>Cước vận chuyển vỏ container 40 từ bãi JJ, Hải Phòng đến Nam Đình Vũ, Hải Phòng</v>
      </c>
      <c r="U272" s="31"/>
    </row>
    <row r="273" spans="1:21" s="29" customFormat="1" ht="18" hidden="1" customHeight="1" x14ac:dyDescent="0.25">
      <c r="A273" s="44">
        <v>264</v>
      </c>
      <c r="B273" s="43">
        <v>46113</v>
      </c>
      <c r="C273" s="53" t="s">
        <v>1131</v>
      </c>
      <c r="D273" s="90">
        <v>40</v>
      </c>
      <c r="E273" s="90" t="s">
        <v>20</v>
      </c>
      <c r="F273" s="90" t="s">
        <v>868</v>
      </c>
      <c r="G273" s="165">
        <v>406000</v>
      </c>
      <c r="H273" s="53" t="s">
        <v>35</v>
      </c>
      <c r="I273" s="31" t="s">
        <v>1246</v>
      </c>
      <c r="J273" s="31"/>
      <c r="K273" s="31"/>
      <c r="L273" s="31">
        <f t="shared" si="29"/>
        <v>40</v>
      </c>
      <c r="M273" s="31" t="s">
        <v>1247</v>
      </c>
      <c r="N273" s="31"/>
      <c r="O273" s="31"/>
      <c r="P273" s="31"/>
      <c r="Q273" s="31"/>
      <c r="R273" s="31" t="s">
        <v>1249</v>
      </c>
      <c r="S273" s="31"/>
      <c r="T273" s="31" t="str">
        <f t="shared" si="30"/>
        <v>Cước vận chuyển vỏ container 40 từ bãi JJ, Hải Phòng đến Nam Đình Vũ, Hải Phòng</v>
      </c>
      <c r="U273" s="31"/>
    </row>
    <row r="274" spans="1:21" s="29" customFormat="1" ht="18" hidden="1" customHeight="1" x14ac:dyDescent="0.25">
      <c r="A274" s="44">
        <v>265</v>
      </c>
      <c r="B274" s="43">
        <v>46129</v>
      </c>
      <c r="C274" s="43" t="s">
        <v>1132</v>
      </c>
      <c r="D274" s="90">
        <v>20</v>
      </c>
      <c r="E274" s="90" t="s">
        <v>20</v>
      </c>
      <c r="F274" s="90" t="s">
        <v>868</v>
      </c>
      <c r="G274" s="190">
        <v>209000</v>
      </c>
      <c r="H274" s="53" t="s">
        <v>25</v>
      </c>
      <c r="I274" s="31" t="s">
        <v>1246</v>
      </c>
      <c r="J274" s="31"/>
      <c r="K274" s="31"/>
      <c r="L274" s="31">
        <f t="shared" ref="L274:L293" si="31">D274</f>
        <v>20</v>
      </c>
      <c r="M274" s="31" t="s">
        <v>1247</v>
      </c>
      <c r="N274" s="31"/>
      <c r="O274" s="31"/>
      <c r="P274" s="31"/>
      <c r="Q274" s="31"/>
      <c r="R274" s="31" t="s">
        <v>1249</v>
      </c>
      <c r="S274" s="31"/>
      <c r="T274" s="31" t="str">
        <f t="shared" si="30"/>
        <v>Cước vận chuyển vỏ container 20 từ bãi JJ, Hải Phòng đến Nam Đình Vũ, Hải Phòng</v>
      </c>
      <c r="U274" s="31"/>
    </row>
    <row r="275" spans="1:21" s="29" customFormat="1" ht="18" hidden="1" customHeight="1" x14ac:dyDescent="0.25">
      <c r="A275" s="44">
        <v>266</v>
      </c>
      <c r="B275" s="43">
        <v>46129</v>
      </c>
      <c r="C275" s="43" t="s">
        <v>1133</v>
      </c>
      <c r="D275" s="90">
        <v>20</v>
      </c>
      <c r="E275" s="90" t="s">
        <v>20</v>
      </c>
      <c r="F275" s="90" t="s">
        <v>868</v>
      </c>
      <c r="G275" s="190">
        <v>209000</v>
      </c>
      <c r="H275" s="53" t="s">
        <v>25</v>
      </c>
      <c r="I275" s="31" t="s">
        <v>1246</v>
      </c>
      <c r="J275" s="31"/>
      <c r="K275" s="31"/>
      <c r="L275" s="31">
        <f t="shared" si="31"/>
        <v>20</v>
      </c>
      <c r="M275" s="31" t="s">
        <v>1247</v>
      </c>
      <c r="N275" s="31"/>
      <c r="O275" s="31"/>
      <c r="P275" s="31"/>
      <c r="Q275" s="31"/>
      <c r="R275" s="31" t="s">
        <v>1249</v>
      </c>
      <c r="S275" s="31"/>
      <c r="T275" s="31" t="str">
        <f t="shared" si="30"/>
        <v>Cước vận chuyển vỏ container 20 từ bãi JJ, Hải Phòng đến Nam Đình Vũ, Hải Phòng</v>
      </c>
      <c r="U275" s="31"/>
    </row>
    <row r="276" spans="1:21" s="29" customFormat="1" ht="18" hidden="1" customHeight="1" x14ac:dyDescent="0.25">
      <c r="A276" s="44">
        <v>267</v>
      </c>
      <c r="B276" s="43">
        <v>46129</v>
      </c>
      <c r="C276" s="43" t="s">
        <v>1134</v>
      </c>
      <c r="D276" s="90">
        <v>20</v>
      </c>
      <c r="E276" s="90" t="s">
        <v>20</v>
      </c>
      <c r="F276" s="90" t="s">
        <v>868</v>
      </c>
      <c r="G276" s="190">
        <v>209000</v>
      </c>
      <c r="H276" s="53" t="s">
        <v>25</v>
      </c>
      <c r="I276" s="31" t="s">
        <v>1246</v>
      </c>
      <c r="J276" s="31"/>
      <c r="K276" s="31"/>
      <c r="L276" s="31">
        <f t="shared" si="31"/>
        <v>20</v>
      </c>
      <c r="M276" s="31" t="s">
        <v>1247</v>
      </c>
      <c r="N276" s="31"/>
      <c r="O276" s="31"/>
      <c r="P276" s="31"/>
      <c r="Q276" s="31"/>
      <c r="R276" s="31" t="s">
        <v>1249</v>
      </c>
      <c r="S276" s="31"/>
      <c r="T276" s="31" t="str">
        <f t="shared" si="30"/>
        <v>Cước vận chuyển vỏ container 20 từ bãi JJ, Hải Phòng đến Nam Đình Vũ, Hải Phòng</v>
      </c>
      <c r="U276" s="31"/>
    </row>
    <row r="277" spans="1:21" s="29" customFormat="1" ht="18" hidden="1" customHeight="1" x14ac:dyDescent="0.25">
      <c r="A277" s="44">
        <v>268</v>
      </c>
      <c r="B277" s="43">
        <v>46129</v>
      </c>
      <c r="C277" s="43" t="s">
        <v>1135</v>
      </c>
      <c r="D277" s="90">
        <v>20</v>
      </c>
      <c r="E277" s="90" t="s">
        <v>20</v>
      </c>
      <c r="F277" s="90" t="s">
        <v>868</v>
      </c>
      <c r="G277" s="190">
        <v>209000</v>
      </c>
      <c r="H277" s="53" t="s">
        <v>25</v>
      </c>
      <c r="I277" s="31" t="s">
        <v>1246</v>
      </c>
      <c r="J277" s="31"/>
      <c r="K277" s="31"/>
      <c r="L277" s="31">
        <f t="shared" si="31"/>
        <v>20</v>
      </c>
      <c r="M277" s="31" t="s">
        <v>1247</v>
      </c>
      <c r="N277" s="31"/>
      <c r="O277" s="31"/>
      <c r="P277" s="31"/>
      <c r="Q277" s="31"/>
      <c r="R277" s="31" t="s">
        <v>1249</v>
      </c>
      <c r="S277" s="31"/>
      <c r="T277" s="31" t="str">
        <f t="shared" si="30"/>
        <v>Cước vận chuyển vỏ container 20 từ bãi JJ, Hải Phòng đến Nam Đình Vũ, Hải Phòng</v>
      </c>
      <c r="U277" s="31"/>
    </row>
    <row r="278" spans="1:21" s="29" customFormat="1" ht="18" hidden="1" customHeight="1" x14ac:dyDescent="0.25">
      <c r="A278" s="44">
        <v>269</v>
      </c>
      <c r="B278" s="43">
        <v>46129</v>
      </c>
      <c r="C278" s="43" t="s">
        <v>1136</v>
      </c>
      <c r="D278" s="90">
        <v>20</v>
      </c>
      <c r="E278" s="90" t="s">
        <v>20</v>
      </c>
      <c r="F278" s="90" t="s">
        <v>868</v>
      </c>
      <c r="G278" s="190">
        <v>209000</v>
      </c>
      <c r="H278" s="53" t="s">
        <v>25</v>
      </c>
      <c r="I278" s="31" t="s">
        <v>1246</v>
      </c>
      <c r="J278" s="31"/>
      <c r="K278" s="31"/>
      <c r="L278" s="31">
        <f t="shared" si="31"/>
        <v>20</v>
      </c>
      <c r="M278" s="31" t="s">
        <v>1247</v>
      </c>
      <c r="N278" s="31"/>
      <c r="O278" s="31"/>
      <c r="P278" s="31"/>
      <c r="Q278" s="31"/>
      <c r="R278" s="31" t="s">
        <v>1249</v>
      </c>
      <c r="S278" s="31"/>
      <c r="T278" s="31" t="str">
        <f t="shared" si="30"/>
        <v>Cước vận chuyển vỏ container 20 từ bãi JJ, Hải Phòng đến Nam Đình Vũ, Hải Phòng</v>
      </c>
      <c r="U278" s="31"/>
    </row>
    <row r="279" spans="1:21" s="29" customFormat="1" ht="18" hidden="1" customHeight="1" x14ac:dyDescent="0.25">
      <c r="A279" s="44">
        <v>270</v>
      </c>
      <c r="B279" s="43">
        <v>46129</v>
      </c>
      <c r="C279" s="43" t="s">
        <v>1137</v>
      </c>
      <c r="D279" s="90">
        <v>20</v>
      </c>
      <c r="E279" s="90" t="s">
        <v>20</v>
      </c>
      <c r="F279" s="90" t="s">
        <v>868</v>
      </c>
      <c r="G279" s="190">
        <v>209000</v>
      </c>
      <c r="H279" s="53" t="s">
        <v>25</v>
      </c>
      <c r="I279" s="31" t="s">
        <v>1246</v>
      </c>
      <c r="J279" s="31"/>
      <c r="K279" s="31"/>
      <c r="L279" s="31">
        <f t="shared" si="31"/>
        <v>20</v>
      </c>
      <c r="M279" s="31" t="s">
        <v>1247</v>
      </c>
      <c r="N279" s="31"/>
      <c r="O279" s="31"/>
      <c r="P279" s="31"/>
      <c r="Q279" s="31"/>
      <c r="R279" s="31" t="s">
        <v>1249</v>
      </c>
      <c r="S279" s="31"/>
      <c r="T279" s="31" t="str">
        <f t="shared" si="30"/>
        <v>Cước vận chuyển vỏ container 20 từ bãi JJ, Hải Phòng đến Nam Đình Vũ, Hải Phòng</v>
      </c>
      <c r="U279" s="31"/>
    </row>
    <row r="280" spans="1:21" s="29" customFormat="1" ht="18" hidden="1" customHeight="1" x14ac:dyDescent="0.25">
      <c r="A280" s="44">
        <v>271</v>
      </c>
      <c r="B280" s="43">
        <v>46129</v>
      </c>
      <c r="C280" s="43" t="s">
        <v>1138</v>
      </c>
      <c r="D280" s="90">
        <v>40</v>
      </c>
      <c r="E280" s="90" t="s">
        <v>20</v>
      </c>
      <c r="F280" s="90" t="s">
        <v>868</v>
      </c>
      <c r="G280" s="183">
        <v>385000</v>
      </c>
      <c r="H280" s="53" t="s">
        <v>25</v>
      </c>
      <c r="I280" s="31" t="s">
        <v>1246</v>
      </c>
      <c r="J280" s="31"/>
      <c r="K280" s="31"/>
      <c r="L280" s="31">
        <f t="shared" si="31"/>
        <v>40</v>
      </c>
      <c r="M280" s="31" t="s">
        <v>1247</v>
      </c>
      <c r="N280" s="31"/>
      <c r="O280" s="31"/>
      <c r="P280" s="31"/>
      <c r="Q280" s="31"/>
      <c r="R280" s="31" t="s">
        <v>1249</v>
      </c>
      <c r="S280" s="31"/>
      <c r="T280" s="31" t="str">
        <f t="shared" si="30"/>
        <v>Cước vận chuyển vỏ container 40 từ bãi JJ, Hải Phòng đến Nam Đình Vũ, Hải Phòng</v>
      </c>
      <c r="U280" s="31"/>
    </row>
    <row r="281" spans="1:21" s="29" customFormat="1" ht="18" hidden="1" customHeight="1" x14ac:dyDescent="0.25">
      <c r="A281" s="44">
        <v>272</v>
      </c>
      <c r="B281" s="43">
        <v>46129</v>
      </c>
      <c r="C281" s="43" t="s">
        <v>1139</v>
      </c>
      <c r="D281" s="90">
        <v>40</v>
      </c>
      <c r="E281" s="90" t="s">
        <v>20</v>
      </c>
      <c r="F281" s="90" t="s">
        <v>868</v>
      </c>
      <c r="G281" s="183">
        <v>385000</v>
      </c>
      <c r="H281" s="53" t="s">
        <v>25</v>
      </c>
      <c r="I281" s="31" t="s">
        <v>1246</v>
      </c>
      <c r="J281" s="31"/>
      <c r="K281" s="31"/>
      <c r="L281" s="31">
        <f t="shared" si="31"/>
        <v>40</v>
      </c>
      <c r="M281" s="31" t="s">
        <v>1247</v>
      </c>
      <c r="N281" s="31"/>
      <c r="O281" s="31"/>
      <c r="P281" s="31"/>
      <c r="Q281" s="31"/>
      <c r="R281" s="31" t="s">
        <v>1249</v>
      </c>
      <c r="S281" s="31"/>
      <c r="T281" s="31" t="str">
        <f t="shared" si="30"/>
        <v>Cước vận chuyển vỏ container 40 từ bãi JJ, Hải Phòng đến Nam Đình Vũ, Hải Phòng</v>
      </c>
      <c r="U281" s="31"/>
    </row>
    <row r="282" spans="1:21" s="29" customFormat="1" ht="18" hidden="1" customHeight="1" x14ac:dyDescent="0.25">
      <c r="A282" s="44">
        <v>273</v>
      </c>
      <c r="B282" s="43">
        <v>46129</v>
      </c>
      <c r="C282" s="43" t="s">
        <v>1140</v>
      </c>
      <c r="D282" s="90">
        <v>40</v>
      </c>
      <c r="E282" s="90" t="s">
        <v>20</v>
      </c>
      <c r="F282" s="90" t="s">
        <v>868</v>
      </c>
      <c r="G282" s="183">
        <v>385000</v>
      </c>
      <c r="H282" s="53" t="s">
        <v>25</v>
      </c>
      <c r="I282" s="31" t="s">
        <v>1246</v>
      </c>
      <c r="J282" s="31"/>
      <c r="K282" s="31"/>
      <c r="L282" s="31">
        <f t="shared" si="31"/>
        <v>40</v>
      </c>
      <c r="M282" s="31" t="s">
        <v>1247</v>
      </c>
      <c r="N282" s="31"/>
      <c r="O282" s="31"/>
      <c r="P282" s="31"/>
      <c r="Q282" s="31"/>
      <c r="R282" s="31" t="s">
        <v>1249</v>
      </c>
      <c r="S282" s="31"/>
      <c r="T282" s="31" t="str">
        <f t="shared" si="30"/>
        <v>Cước vận chuyển vỏ container 40 từ bãi JJ, Hải Phòng đến Nam Đình Vũ, Hải Phòng</v>
      </c>
      <c r="U282" s="31"/>
    </row>
    <row r="283" spans="1:21" s="29" customFormat="1" ht="18" hidden="1" customHeight="1" x14ac:dyDescent="0.25">
      <c r="A283" s="44">
        <v>274</v>
      </c>
      <c r="B283" s="43">
        <v>46129</v>
      </c>
      <c r="C283" s="43" t="s">
        <v>1141</v>
      </c>
      <c r="D283" s="90">
        <v>40</v>
      </c>
      <c r="E283" s="90" t="s">
        <v>20</v>
      </c>
      <c r="F283" s="90" t="s">
        <v>868</v>
      </c>
      <c r="G283" s="183">
        <v>385000</v>
      </c>
      <c r="H283" s="53" t="s">
        <v>25</v>
      </c>
      <c r="I283" s="31" t="s">
        <v>1246</v>
      </c>
      <c r="J283" s="31"/>
      <c r="K283" s="31"/>
      <c r="L283" s="31">
        <f t="shared" si="31"/>
        <v>40</v>
      </c>
      <c r="M283" s="31" t="s">
        <v>1247</v>
      </c>
      <c r="N283" s="31"/>
      <c r="O283" s="31"/>
      <c r="P283" s="31"/>
      <c r="Q283" s="31"/>
      <c r="R283" s="31" t="s">
        <v>1249</v>
      </c>
      <c r="S283" s="31"/>
      <c r="T283" s="31" t="str">
        <f t="shared" si="30"/>
        <v>Cước vận chuyển vỏ container 40 từ bãi JJ, Hải Phòng đến Nam Đình Vũ, Hải Phòng</v>
      </c>
      <c r="U283" s="31"/>
    </row>
    <row r="284" spans="1:21" s="29" customFormat="1" ht="18" hidden="1" customHeight="1" x14ac:dyDescent="0.25">
      <c r="A284" s="44">
        <v>275</v>
      </c>
      <c r="B284" s="43">
        <v>46129</v>
      </c>
      <c r="C284" s="43" t="s">
        <v>1142</v>
      </c>
      <c r="D284" s="90">
        <v>40</v>
      </c>
      <c r="E284" s="90" t="s">
        <v>20</v>
      </c>
      <c r="F284" s="90" t="s">
        <v>868</v>
      </c>
      <c r="G284" s="183">
        <v>385000</v>
      </c>
      <c r="H284" s="53" t="s">
        <v>25</v>
      </c>
      <c r="I284" s="31" t="s">
        <v>1246</v>
      </c>
      <c r="J284" s="31"/>
      <c r="K284" s="31"/>
      <c r="L284" s="31">
        <f t="shared" si="31"/>
        <v>40</v>
      </c>
      <c r="M284" s="31" t="s">
        <v>1247</v>
      </c>
      <c r="N284" s="31"/>
      <c r="O284" s="31"/>
      <c r="P284" s="31"/>
      <c r="Q284" s="31"/>
      <c r="R284" s="31" t="s">
        <v>1249</v>
      </c>
      <c r="S284" s="31"/>
      <c r="T284" s="31" t="str">
        <f t="shared" si="30"/>
        <v>Cước vận chuyển vỏ container 40 từ bãi JJ, Hải Phòng đến Nam Đình Vũ, Hải Phòng</v>
      </c>
      <c r="U284" s="31"/>
    </row>
    <row r="285" spans="1:21" s="29" customFormat="1" ht="18" hidden="1" customHeight="1" x14ac:dyDescent="0.25">
      <c r="A285" s="44">
        <v>276</v>
      </c>
      <c r="B285" s="43">
        <v>46129</v>
      </c>
      <c r="C285" s="43" t="s">
        <v>1143</v>
      </c>
      <c r="D285" s="90">
        <v>40</v>
      </c>
      <c r="E285" s="90" t="s">
        <v>20</v>
      </c>
      <c r="F285" s="90" t="s">
        <v>868</v>
      </c>
      <c r="G285" s="183">
        <v>385000</v>
      </c>
      <c r="H285" s="53" t="s">
        <v>25</v>
      </c>
      <c r="I285" s="31" t="s">
        <v>1246</v>
      </c>
      <c r="J285" s="31"/>
      <c r="K285" s="31"/>
      <c r="L285" s="31">
        <f t="shared" si="31"/>
        <v>40</v>
      </c>
      <c r="M285" s="31" t="s">
        <v>1247</v>
      </c>
      <c r="N285" s="31"/>
      <c r="O285" s="31"/>
      <c r="P285" s="31"/>
      <c r="Q285" s="31"/>
      <c r="R285" s="31" t="s">
        <v>1249</v>
      </c>
      <c r="S285" s="31"/>
      <c r="T285" s="31" t="str">
        <f t="shared" si="30"/>
        <v>Cước vận chuyển vỏ container 40 từ bãi JJ, Hải Phòng đến Nam Đình Vũ, Hải Phòng</v>
      </c>
      <c r="U285" s="31"/>
    </row>
    <row r="286" spans="1:21" s="29" customFormat="1" ht="18" customHeight="1" x14ac:dyDescent="0.25">
      <c r="A286" s="44">
        <v>277</v>
      </c>
      <c r="B286" s="54">
        <v>46135</v>
      </c>
      <c r="C286" s="43" t="s">
        <v>1144</v>
      </c>
      <c r="D286" s="90">
        <v>40</v>
      </c>
      <c r="E286" s="90" t="s">
        <v>20</v>
      </c>
      <c r="F286" s="90" t="s">
        <v>868</v>
      </c>
      <c r="G286" s="176">
        <v>365000</v>
      </c>
      <c r="H286" s="53" t="s">
        <v>23</v>
      </c>
      <c r="I286" s="31" t="s">
        <v>1246</v>
      </c>
      <c r="J286" s="31"/>
      <c r="K286" s="31"/>
      <c r="L286" s="31">
        <f t="shared" si="31"/>
        <v>40</v>
      </c>
      <c r="M286" s="31" t="s">
        <v>1247</v>
      </c>
      <c r="N286" s="31"/>
      <c r="O286" s="31"/>
      <c r="P286" s="31"/>
      <c r="Q286" s="31"/>
      <c r="R286" s="31" t="s">
        <v>1249</v>
      </c>
      <c r="S286" s="31"/>
      <c r="T286" s="31" t="str">
        <f t="shared" si="30"/>
        <v>Cước vận chuyển vỏ container 40 từ bãi JJ, Hải Phòng đến Nam Đình Vũ, Hải Phòng</v>
      </c>
      <c r="U286" s="31"/>
    </row>
    <row r="287" spans="1:21" s="29" customFormat="1" ht="18" customHeight="1" x14ac:dyDescent="0.25">
      <c r="A287" s="44">
        <v>278</v>
      </c>
      <c r="B287" s="54">
        <v>46135</v>
      </c>
      <c r="C287" s="43" t="s">
        <v>1145</v>
      </c>
      <c r="D287" s="90">
        <v>40</v>
      </c>
      <c r="E287" s="90" t="s">
        <v>20</v>
      </c>
      <c r="F287" s="90" t="s">
        <v>868</v>
      </c>
      <c r="G287" s="176">
        <v>365000</v>
      </c>
      <c r="H287" s="53" t="s">
        <v>23</v>
      </c>
      <c r="I287" s="31" t="s">
        <v>1246</v>
      </c>
      <c r="J287" s="31"/>
      <c r="K287" s="31"/>
      <c r="L287" s="31">
        <f t="shared" si="31"/>
        <v>40</v>
      </c>
      <c r="M287" s="31" t="s">
        <v>1247</v>
      </c>
      <c r="N287" s="31"/>
      <c r="O287" s="31"/>
      <c r="P287" s="31"/>
      <c r="Q287" s="31"/>
      <c r="R287" s="31" t="s">
        <v>1249</v>
      </c>
      <c r="S287" s="31"/>
      <c r="T287" s="31" t="str">
        <f t="shared" si="30"/>
        <v>Cước vận chuyển vỏ container 40 từ bãi JJ, Hải Phòng đến Nam Đình Vũ, Hải Phòng</v>
      </c>
      <c r="U287" s="31"/>
    </row>
    <row r="288" spans="1:21" s="29" customFormat="1" ht="18" customHeight="1" x14ac:dyDescent="0.25">
      <c r="A288" s="44">
        <v>279</v>
      </c>
      <c r="B288" s="54">
        <v>46135</v>
      </c>
      <c r="C288" s="43" t="s">
        <v>1146</v>
      </c>
      <c r="D288" s="90">
        <v>40</v>
      </c>
      <c r="E288" s="90" t="s">
        <v>20</v>
      </c>
      <c r="F288" s="90" t="s">
        <v>868</v>
      </c>
      <c r="G288" s="176">
        <v>365000</v>
      </c>
      <c r="H288" s="53" t="s">
        <v>23</v>
      </c>
      <c r="I288" s="31" t="s">
        <v>1246</v>
      </c>
      <c r="J288" s="31"/>
      <c r="K288" s="31"/>
      <c r="L288" s="31">
        <f t="shared" si="31"/>
        <v>40</v>
      </c>
      <c r="M288" s="31" t="s">
        <v>1247</v>
      </c>
      <c r="N288" s="31"/>
      <c r="O288" s="31"/>
      <c r="P288" s="31"/>
      <c r="Q288" s="31"/>
      <c r="R288" s="31" t="s">
        <v>1249</v>
      </c>
      <c r="S288" s="31"/>
      <c r="T288" s="31" t="str">
        <f t="shared" si="30"/>
        <v>Cước vận chuyển vỏ container 40 từ bãi JJ, Hải Phòng đến Nam Đình Vũ, Hải Phòng</v>
      </c>
      <c r="U288" s="31"/>
    </row>
    <row r="289" spans="1:21" s="29" customFormat="1" ht="18" hidden="1" customHeight="1" x14ac:dyDescent="0.25">
      <c r="A289" s="44">
        <v>280</v>
      </c>
      <c r="B289" s="54">
        <v>46134</v>
      </c>
      <c r="C289" s="43" t="s">
        <v>1147</v>
      </c>
      <c r="D289" s="90">
        <v>40</v>
      </c>
      <c r="E289" s="90" t="s">
        <v>20</v>
      </c>
      <c r="F289" s="90" t="s">
        <v>868</v>
      </c>
      <c r="G289" s="176">
        <v>365000</v>
      </c>
      <c r="H289" s="53" t="s">
        <v>267</v>
      </c>
      <c r="I289" s="31" t="s">
        <v>1246</v>
      </c>
      <c r="J289" s="31"/>
      <c r="K289" s="31"/>
      <c r="L289" s="31">
        <f t="shared" si="31"/>
        <v>40</v>
      </c>
      <c r="M289" s="31" t="s">
        <v>1247</v>
      </c>
      <c r="N289" s="31"/>
      <c r="O289" s="31"/>
      <c r="P289" s="31"/>
      <c r="Q289" s="31"/>
      <c r="R289" s="31" t="s">
        <v>1249</v>
      </c>
      <c r="S289" s="31"/>
      <c r="T289" s="31" t="str">
        <f t="shared" si="30"/>
        <v>Cước vận chuyển vỏ container 40 từ bãi JJ, Hải Phòng đến Nam Đình Vũ, Hải Phòng</v>
      </c>
      <c r="U289" s="31"/>
    </row>
    <row r="290" spans="1:21" s="29" customFormat="1" ht="18" hidden="1" customHeight="1" x14ac:dyDescent="0.25">
      <c r="A290" s="44">
        <v>281</v>
      </c>
      <c r="B290" s="54">
        <v>46134</v>
      </c>
      <c r="C290" s="118" t="s">
        <v>1148</v>
      </c>
      <c r="D290" s="90">
        <v>40</v>
      </c>
      <c r="E290" s="90" t="s">
        <v>20</v>
      </c>
      <c r="F290" s="90" t="s">
        <v>868</v>
      </c>
      <c r="G290" s="176">
        <v>365000</v>
      </c>
      <c r="H290" s="53" t="s">
        <v>267</v>
      </c>
      <c r="I290" s="31" t="s">
        <v>1246</v>
      </c>
      <c r="J290" s="31"/>
      <c r="K290" s="31"/>
      <c r="L290" s="31">
        <f t="shared" si="31"/>
        <v>40</v>
      </c>
      <c r="M290" s="31" t="s">
        <v>1247</v>
      </c>
      <c r="N290" s="31"/>
      <c r="O290" s="31"/>
      <c r="P290" s="31"/>
      <c r="Q290" s="31"/>
      <c r="R290" s="31" t="s">
        <v>1249</v>
      </c>
      <c r="S290" s="31"/>
      <c r="T290" s="31" t="str">
        <f t="shared" si="30"/>
        <v>Cước vận chuyển vỏ container 40 từ bãi JJ, Hải Phòng đến Nam Đình Vũ, Hải Phòng</v>
      </c>
      <c r="U290" s="31"/>
    </row>
    <row r="291" spans="1:21" s="29" customFormat="1" ht="18" hidden="1" customHeight="1" x14ac:dyDescent="0.25">
      <c r="A291" s="44">
        <v>282</v>
      </c>
      <c r="B291" s="54">
        <v>46134</v>
      </c>
      <c r="C291" s="118" t="s">
        <v>1149</v>
      </c>
      <c r="D291" s="90">
        <v>40</v>
      </c>
      <c r="E291" s="90" t="s">
        <v>20</v>
      </c>
      <c r="F291" s="90" t="s">
        <v>868</v>
      </c>
      <c r="G291" s="176">
        <v>365000</v>
      </c>
      <c r="H291" s="53" t="s">
        <v>267</v>
      </c>
      <c r="I291" s="31" t="s">
        <v>1246</v>
      </c>
      <c r="J291" s="31"/>
      <c r="K291" s="31"/>
      <c r="L291" s="31">
        <f t="shared" si="31"/>
        <v>40</v>
      </c>
      <c r="M291" s="31" t="s">
        <v>1247</v>
      </c>
      <c r="N291" s="31"/>
      <c r="O291" s="31"/>
      <c r="P291" s="31"/>
      <c r="Q291" s="31"/>
      <c r="R291" s="31" t="s">
        <v>1249</v>
      </c>
      <c r="S291" s="31"/>
      <c r="T291" s="31" t="str">
        <f t="shared" si="30"/>
        <v>Cước vận chuyển vỏ container 40 từ bãi JJ, Hải Phòng đến Nam Đình Vũ, Hải Phòng</v>
      </c>
      <c r="U291" s="31"/>
    </row>
    <row r="292" spans="1:21" s="29" customFormat="1" ht="18" hidden="1" customHeight="1" x14ac:dyDescent="0.25">
      <c r="A292" s="44">
        <v>283</v>
      </c>
      <c r="B292" s="54">
        <v>46134</v>
      </c>
      <c r="C292" s="118" t="s">
        <v>1150</v>
      </c>
      <c r="D292" s="90">
        <v>40</v>
      </c>
      <c r="E292" s="90" t="s">
        <v>20</v>
      </c>
      <c r="F292" s="90" t="s">
        <v>868</v>
      </c>
      <c r="G292" s="176">
        <v>365000</v>
      </c>
      <c r="H292" s="53" t="s">
        <v>267</v>
      </c>
      <c r="I292" s="31" t="s">
        <v>1246</v>
      </c>
      <c r="J292" s="31"/>
      <c r="K292" s="31"/>
      <c r="L292" s="31">
        <f t="shared" si="31"/>
        <v>40</v>
      </c>
      <c r="M292" s="31" t="s">
        <v>1247</v>
      </c>
      <c r="N292" s="31"/>
      <c r="O292" s="31"/>
      <c r="P292" s="31"/>
      <c r="Q292" s="31"/>
      <c r="R292" s="31" t="s">
        <v>1249</v>
      </c>
      <c r="S292" s="31"/>
      <c r="T292" s="31" t="str">
        <f t="shared" si="30"/>
        <v>Cước vận chuyển vỏ container 40 từ bãi JJ, Hải Phòng đến Nam Đình Vũ, Hải Phòng</v>
      </c>
      <c r="U292" s="31"/>
    </row>
    <row r="293" spans="1:21" s="29" customFormat="1" ht="18" hidden="1" customHeight="1" x14ac:dyDescent="0.25">
      <c r="A293" s="44">
        <v>284</v>
      </c>
      <c r="B293" s="54">
        <v>46134</v>
      </c>
      <c r="C293" s="118" t="s">
        <v>1151</v>
      </c>
      <c r="D293" s="90">
        <v>40</v>
      </c>
      <c r="E293" s="90" t="s">
        <v>20</v>
      </c>
      <c r="F293" s="90" t="s">
        <v>868</v>
      </c>
      <c r="G293" s="176">
        <v>365000</v>
      </c>
      <c r="H293" s="53" t="s">
        <v>267</v>
      </c>
      <c r="I293" s="31" t="s">
        <v>1246</v>
      </c>
      <c r="J293" s="31"/>
      <c r="K293" s="31"/>
      <c r="L293" s="31">
        <f t="shared" si="31"/>
        <v>40</v>
      </c>
      <c r="M293" s="31" t="s">
        <v>1247</v>
      </c>
      <c r="N293" s="31"/>
      <c r="O293" s="31"/>
      <c r="P293" s="31"/>
      <c r="Q293" s="31"/>
      <c r="R293" s="31" t="s">
        <v>1249</v>
      </c>
      <c r="S293" s="31"/>
      <c r="T293" s="31" t="str">
        <f t="shared" si="30"/>
        <v>Cước vận chuyển vỏ container 40 từ bãi JJ, Hải Phòng đến Nam Đình Vũ, Hải Phòng</v>
      </c>
      <c r="U293" s="31"/>
    </row>
    <row r="294" spans="1:21" s="29" customFormat="1" ht="18" hidden="1" customHeight="1" x14ac:dyDescent="0.25">
      <c r="A294" s="44">
        <v>285</v>
      </c>
      <c r="B294" s="54">
        <v>46135</v>
      </c>
      <c r="C294" s="118" t="s">
        <v>1152</v>
      </c>
      <c r="D294" s="90">
        <v>20</v>
      </c>
      <c r="E294" s="90" t="s">
        <v>20</v>
      </c>
      <c r="F294" s="90" t="s">
        <v>868</v>
      </c>
      <c r="G294" s="188">
        <v>198000</v>
      </c>
      <c r="H294" s="53" t="s">
        <v>16</v>
      </c>
      <c r="I294" s="31" t="s">
        <v>1246</v>
      </c>
      <c r="J294" s="31"/>
      <c r="K294" s="31"/>
      <c r="L294" s="31">
        <f t="shared" ref="L294:L322" si="32">D294</f>
        <v>20</v>
      </c>
      <c r="M294" s="31" t="s">
        <v>1247</v>
      </c>
      <c r="N294" s="31"/>
      <c r="O294" s="31"/>
      <c r="P294" s="31"/>
      <c r="Q294" s="31"/>
      <c r="R294" s="31" t="s">
        <v>1249</v>
      </c>
      <c r="S294" s="31"/>
      <c r="T294" s="31" t="str">
        <f t="shared" si="30"/>
        <v>Cước vận chuyển vỏ container 20 từ bãi JJ, Hải Phòng đến Nam Đình Vũ, Hải Phòng</v>
      </c>
      <c r="U294" s="31"/>
    </row>
    <row r="295" spans="1:21" s="29" customFormat="1" ht="18" hidden="1" customHeight="1" x14ac:dyDescent="0.25">
      <c r="A295" s="44">
        <v>286</v>
      </c>
      <c r="B295" s="54">
        <v>46135</v>
      </c>
      <c r="C295" s="118" t="s">
        <v>1153</v>
      </c>
      <c r="D295" s="90">
        <v>20</v>
      </c>
      <c r="E295" s="90" t="s">
        <v>20</v>
      </c>
      <c r="F295" s="90" t="s">
        <v>868</v>
      </c>
      <c r="G295" s="188">
        <v>198000</v>
      </c>
      <c r="H295" s="53" t="s">
        <v>16</v>
      </c>
      <c r="I295" s="31" t="s">
        <v>1246</v>
      </c>
      <c r="J295" s="31"/>
      <c r="K295" s="31"/>
      <c r="L295" s="31">
        <f t="shared" si="32"/>
        <v>20</v>
      </c>
      <c r="M295" s="31" t="s">
        <v>1247</v>
      </c>
      <c r="N295" s="31"/>
      <c r="O295" s="31"/>
      <c r="P295" s="31"/>
      <c r="Q295" s="31"/>
      <c r="R295" s="31" t="s">
        <v>1249</v>
      </c>
      <c r="S295" s="31"/>
      <c r="T295" s="31" t="str">
        <f t="shared" si="30"/>
        <v>Cước vận chuyển vỏ container 20 từ bãi JJ, Hải Phòng đến Nam Đình Vũ, Hải Phòng</v>
      </c>
      <c r="U295" s="31"/>
    </row>
    <row r="296" spans="1:21" s="29" customFormat="1" ht="18" hidden="1" customHeight="1" x14ac:dyDescent="0.25">
      <c r="A296" s="44">
        <v>287</v>
      </c>
      <c r="B296" s="54">
        <v>46135</v>
      </c>
      <c r="C296" s="118" t="s">
        <v>1154</v>
      </c>
      <c r="D296" s="90">
        <v>20</v>
      </c>
      <c r="E296" s="90" t="s">
        <v>20</v>
      </c>
      <c r="F296" s="90" t="s">
        <v>868</v>
      </c>
      <c r="G296" s="188">
        <v>198000</v>
      </c>
      <c r="H296" s="53" t="s">
        <v>16</v>
      </c>
      <c r="I296" s="31" t="s">
        <v>1246</v>
      </c>
      <c r="J296" s="31"/>
      <c r="K296" s="31"/>
      <c r="L296" s="31">
        <f t="shared" si="32"/>
        <v>20</v>
      </c>
      <c r="M296" s="31" t="s">
        <v>1247</v>
      </c>
      <c r="N296" s="31"/>
      <c r="O296" s="31"/>
      <c r="P296" s="31"/>
      <c r="Q296" s="31"/>
      <c r="R296" s="31" t="s">
        <v>1249</v>
      </c>
      <c r="S296" s="31"/>
      <c r="T296" s="31" t="str">
        <f t="shared" si="30"/>
        <v>Cước vận chuyển vỏ container 20 từ bãi JJ, Hải Phòng đến Nam Đình Vũ, Hải Phòng</v>
      </c>
      <c r="U296" s="31"/>
    </row>
    <row r="297" spans="1:21" s="29" customFormat="1" ht="18" hidden="1" customHeight="1" x14ac:dyDescent="0.25">
      <c r="A297" s="44">
        <v>288</v>
      </c>
      <c r="B297" s="54">
        <v>46135</v>
      </c>
      <c r="C297" s="118" t="s">
        <v>1155</v>
      </c>
      <c r="D297" s="90">
        <v>20</v>
      </c>
      <c r="E297" s="90" t="s">
        <v>20</v>
      </c>
      <c r="F297" s="90" t="s">
        <v>868</v>
      </c>
      <c r="G297" s="188">
        <v>198000</v>
      </c>
      <c r="H297" s="53" t="s">
        <v>16</v>
      </c>
      <c r="I297" s="31" t="s">
        <v>1246</v>
      </c>
      <c r="J297" s="31"/>
      <c r="K297" s="31"/>
      <c r="L297" s="31">
        <f t="shared" si="32"/>
        <v>20</v>
      </c>
      <c r="M297" s="31" t="s">
        <v>1247</v>
      </c>
      <c r="N297" s="31"/>
      <c r="O297" s="31"/>
      <c r="P297" s="31"/>
      <c r="Q297" s="31"/>
      <c r="R297" s="31" t="s">
        <v>1249</v>
      </c>
      <c r="S297" s="31"/>
      <c r="T297" s="31" t="str">
        <f t="shared" si="30"/>
        <v>Cước vận chuyển vỏ container 20 từ bãi JJ, Hải Phòng đến Nam Đình Vũ, Hải Phòng</v>
      </c>
      <c r="U297" s="31"/>
    </row>
    <row r="298" spans="1:21" s="29" customFormat="1" ht="18" hidden="1" customHeight="1" x14ac:dyDescent="0.25">
      <c r="A298" s="44">
        <v>289</v>
      </c>
      <c r="B298" s="54">
        <v>46135</v>
      </c>
      <c r="C298" s="118" t="s">
        <v>1156</v>
      </c>
      <c r="D298" s="90">
        <v>20</v>
      </c>
      <c r="E298" s="90" t="s">
        <v>20</v>
      </c>
      <c r="F298" s="90" t="s">
        <v>868</v>
      </c>
      <c r="G298" s="188">
        <v>198000</v>
      </c>
      <c r="H298" s="53" t="s">
        <v>16</v>
      </c>
      <c r="I298" s="31" t="s">
        <v>1246</v>
      </c>
      <c r="J298" s="31"/>
      <c r="K298" s="31"/>
      <c r="L298" s="31">
        <f t="shared" si="32"/>
        <v>20</v>
      </c>
      <c r="M298" s="31" t="s">
        <v>1247</v>
      </c>
      <c r="N298" s="31"/>
      <c r="O298" s="31"/>
      <c r="P298" s="31"/>
      <c r="Q298" s="31"/>
      <c r="R298" s="31" t="s">
        <v>1249</v>
      </c>
      <c r="S298" s="31"/>
      <c r="T298" s="31" t="str">
        <f t="shared" si="30"/>
        <v>Cước vận chuyển vỏ container 20 từ bãi JJ, Hải Phòng đến Nam Đình Vũ, Hải Phòng</v>
      </c>
      <c r="U298" s="31"/>
    </row>
    <row r="299" spans="1:21" s="29" customFormat="1" ht="18" hidden="1" customHeight="1" x14ac:dyDescent="0.25">
      <c r="A299" s="44">
        <v>290</v>
      </c>
      <c r="B299" s="54">
        <v>46135</v>
      </c>
      <c r="C299" s="118" t="s">
        <v>1157</v>
      </c>
      <c r="D299" s="90">
        <v>20</v>
      </c>
      <c r="E299" s="90" t="s">
        <v>20</v>
      </c>
      <c r="F299" s="90" t="s">
        <v>868</v>
      </c>
      <c r="G299" s="188">
        <v>198000</v>
      </c>
      <c r="H299" s="53" t="s">
        <v>16</v>
      </c>
      <c r="I299" s="31" t="s">
        <v>1246</v>
      </c>
      <c r="J299" s="31"/>
      <c r="K299" s="31"/>
      <c r="L299" s="31">
        <f t="shared" si="32"/>
        <v>20</v>
      </c>
      <c r="M299" s="31" t="s">
        <v>1247</v>
      </c>
      <c r="N299" s="31"/>
      <c r="O299" s="31"/>
      <c r="P299" s="31"/>
      <c r="Q299" s="31"/>
      <c r="R299" s="31" t="s">
        <v>1249</v>
      </c>
      <c r="S299" s="31"/>
      <c r="T299" s="31" t="str">
        <f t="shared" si="30"/>
        <v>Cước vận chuyển vỏ container 20 từ bãi JJ, Hải Phòng đến Nam Đình Vũ, Hải Phòng</v>
      </c>
      <c r="U299" s="31"/>
    </row>
    <row r="300" spans="1:21" s="29" customFormat="1" ht="18" hidden="1" customHeight="1" x14ac:dyDescent="0.25">
      <c r="A300" s="44">
        <v>291</v>
      </c>
      <c r="B300" s="54">
        <v>46135</v>
      </c>
      <c r="C300" s="118" t="s">
        <v>1158</v>
      </c>
      <c r="D300" s="90">
        <v>40</v>
      </c>
      <c r="E300" s="90" t="s">
        <v>20</v>
      </c>
      <c r="F300" s="90" t="s">
        <v>868</v>
      </c>
      <c r="G300" s="176">
        <v>365000</v>
      </c>
      <c r="H300" s="53" t="s">
        <v>16</v>
      </c>
      <c r="I300" s="31" t="s">
        <v>1246</v>
      </c>
      <c r="J300" s="31"/>
      <c r="K300" s="31"/>
      <c r="L300" s="31">
        <f t="shared" si="32"/>
        <v>40</v>
      </c>
      <c r="M300" s="31" t="s">
        <v>1247</v>
      </c>
      <c r="N300" s="31"/>
      <c r="O300" s="31"/>
      <c r="P300" s="31"/>
      <c r="Q300" s="31"/>
      <c r="R300" s="31" t="s">
        <v>1249</v>
      </c>
      <c r="S300" s="31"/>
      <c r="T300" s="31" t="str">
        <f t="shared" si="30"/>
        <v>Cước vận chuyển vỏ container 40 từ bãi JJ, Hải Phòng đến Nam Đình Vũ, Hải Phòng</v>
      </c>
      <c r="U300" s="31"/>
    </row>
    <row r="301" spans="1:21" s="29" customFormat="1" ht="18" hidden="1" customHeight="1" x14ac:dyDescent="0.25">
      <c r="A301" s="44">
        <v>292</v>
      </c>
      <c r="B301" s="54">
        <v>46135</v>
      </c>
      <c r="C301" s="44" t="s">
        <v>1159</v>
      </c>
      <c r="D301" s="90">
        <v>40</v>
      </c>
      <c r="E301" s="90" t="s">
        <v>20</v>
      </c>
      <c r="F301" s="90" t="s">
        <v>868</v>
      </c>
      <c r="G301" s="176">
        <v>365000</v>
      </c>
      <c r="H301" s="53" t="s">
        <v>16</v>
      </c>
      <c r="I301" s="31" t="s">
        <v>1246</v>
      </c>
      <c r="J301" s="31"/>
      <c r="K301" s="31"/>
      <c r="L301" s="31">
        <f t="shared" si="32"/>
        <v>40</v>
      </c>
      <c r="M301" s="31" t="s">
        <v>1247</v>
      </c>
      <c r="N301" s="31"/>
      <c r="O301" s="31"/>
      <c r="P301" s="31"/>
      <c r="Q301" s="31"/>
      <c r="R301" s="31" t="s">
        <v>1249</v>
      </c>
      <c r="S301" s="31"/>
      <c r="T301" s="31" t="str">
        <f t="shared" si="30"/>
        <v>Cước vận chuyển vỏ container 40 từ bãi JJ, Hải Phòng đến Nam Đình Vũ, Hải Phòng</v>
      </c>
      <c r="U301" s="31"/>
    </row>
    <row r="302" spans="1:21" s="29" customFormat="1" ht="18" hidden="1" customHeight="1" x14ac:dyDescent="0.25">
      <c r="A302" s="44">
        <v>293</v>
      </c>
      <c r="B302" s="54">
        <v>46134</v>
      </c>
      <c r="C302" s="44" t="s">
        <v>1160</v>
      </c>
      <c r="D302" s="90">
        <v>40</v>
      </c>
      <c r="E302" s="90" t="s">
        <v>20</v>
      </c>
      <c r="F302" s="90" t="s">
        <v>868</v>
      </c>
      <c r="G302" s="176">
        <v>365000</v>
      </c>
      <c r="H302" s="53" t="s">
        <v>16</v>
      </c>
      <c r="I302" s="31" t="s">
        <v>1246</v>
      </c>
      <c r="J302" s="31"/>
      <c r="K302" s="31"/>
      <c r="L302" s="31">
        <f t="shared" si="32"/>
        <v>40</v>
      </c>
      <c r="M302" s="31" t="s">
        <v>1247</v>
      </c>
      <c r="N302" s="31"/>
      <c r="O302" s="31"/>
      <c r="P302" s="31"/>
      <c r="Q302" s="31"/>
      <c r="R302" s="31" t="s">
        <v>1249</v>
      </c>
      <c r="S302" s="31"/>
      <c r="T302" s="31" t="str">
        <f t="shared" si="30"/>
        <v>Cước vận chuyển vỏ container 40 từ bãi JJ, Hải Phòng đến Nam Đình Vũ, Hải Phòng</v>
      </c>
      <c r="U302" s="31"/>
    </row>
    <row r="303" spans="1:21" s="29" customFormat="1" ht="18" hidden="1" customHeight="1" x14ac:dyDescent="0.25">
      <c r="A303" s="44">
        <v>294</v>
      </c>
      <c r="B303" s="54">
        <v>46134</v>
      </c>
      <c r="C303" s="44" t="s">
        <v>1161</v>
      </c>
      <c r="D303" s="90">
        <v>40</v>
      </c>
      <c r="E303" s="90" t="s">
        <v>20</v>
      </c>
      <c r="F303" s="90" t="s">
        <v>868</v>
      </c>
      <c r="G303" s="176">
        <v>365000</v>
      </c>
      <c r="H303" s="53" t="s">
        <v>16</v>
      </c>
      <c r="I303" s="31" t="s">
        <v>1246</v>
      </c>
      <c r="J303" s="31"/>
      <c r="K303" s="31"/>
      <c r="L303" s="31">
        <f t="shared" si="32"/>
        <v>40</v>
      </c>
      <c r="M303" s="31" t="s">
        <v>1247</v>
      </c>
      <c r="N303" s="31"/>
      <c r="O303" s="31"/>
      <c r="P303" s="31"/>
      <c r="Q303" s="31"/>
      <c r="R303" s="31" t="s">
        <v>1249</v>
      </c>
      <c r="S303" s="31"/>
      <c r="T303" s="31" t="str">
        <f t="shared" si="30"/>
        <v>Cước vận chuyển vỏ container 40 từ bãi JJ, Hải Phòng đến Nam Đình Vũ, Hải Phòng</v>
      </c>
      <c r="U303" s="31"/>
    </row>
    <row r="304" spans="1:21" s="29" customFormat="1" ht="18" hidden="1" customHeight="1" x14ac:dyDescent="0.25">
      <c r="A304" s="44">
        <v>295</v>
      </c>
      <c r="B304" s="54">
        <v>46134</v>
      </c>
      <c r="C304" s="44" t="s">
        <v>1162</v>
      </c>
      <c r="D304" s="90">
        <v>40</v>
      </c>
      <c r="E304" s="90" t="s">
        <v>20</v>
      </c>
      <c r="F304" s="90" t="s">
        <v>868</v>
      </c>
      <c r="G304" s="176">
        <v>365000</v>
      </c>
      <c r="H304" s="53" t="s">
        <v>16</v>
      </c>
      <c r="I304" s="31" t="s">
        <v>1246</v>
      </c>
      <c r="J304" s="31"/>
      <c r="K304" s="31"/>
      <c r="L304" s="31">
        <f t="shared" si="32"/>
        <v>40</v>
      </c>
      <c r="M304" s="31" t="s">
        <v>1247</v>
      </c>
      <c r="N304" s="31"/>
      <c r="O304" s="31"/>
      <c r="P304" s="31"/>
      <c r="Q304" s="31"/>
      <c r="R304" s="31" t="s">
        <v>1249</v>
      </c>
      <c r="S304" s="31"/>
      <c r="T304" s="31" t="str">
        <f t="shared" si="30"/>
        <v>Cước vận chuyển vỏ container 40 từ bãi JJ, Hải Phòng đến Nam Đình Vũ, Hải Phòng</v>
      </c>
      <c r="U304" s="31"/>
    </row>
    <row r="305" spans="1:21" s="29" customFormat="1" ht="18" hidden="1" customHeight="1" x14ac:dyDescent="0.25">
      <c r="A305" s="44">
        <v>296</v>
      </c>
      <c r="B305" s="54">
        <v>46134</v>
      </c>
      <c r="C305" s="44" t="s">
        <v>1163</v>
      </c>
      <c r="D305" s="53">
        <v>40</v>
      </c>
      <c r="E305" s="90" t="s">
        <v>20</v>
      </c>
      <c r="F305" s="53" t="s">
        <v>868</v>
      </c>
      <c r="G305" s="176">
        <v>365000</v>
      </c>
      <c r="H305" s="53" t="s">
        <v>22</v>
      </c>
      <c r="I305" s="31" t="s">
        <v>1246</v>
      </c>
      <c r="J305" s="31"/>
      <c r="K305" s="31"/>
      <c r="L305" s="31">
        <f t="shared" si="32"/>
        <v>40</v>
      </c>
      <c r="M305" s="31" t="s">
        <v>1247</v>
      </c>
      <c r="N305" s="31"/>
      <c r="O305" s="31"/>
      <c r="P305" s="31"/>
      <c r="Q305" s="31"/>
      <c r="R305" s="31" t="s">
        <v>1249</v>
      </c>
      <c r="S305" s="31"/>
      <c r="T305" s="31" t="str">
        <f t="shared" si="30"/>
        <v>Cước vận chuyển vỏ container 40 từ bãi JJ, Hải Phòng đến Nam Đình Vũ, Hải Phòng</v>
      </c>
      <c r="U305" s="31"/>
    </row>
    <row r="306" spans="1:21" s="29" customFormat="1" ht="18" hidden="1" customHeight="1" x14ac:dyDescent="0.25">
      <c r="A306" s="44">
        <v>297</v>
      </c>
      <c r="B306" s="54">
        <v>46134</v>
      </c>
      <c r="C306" s="44" t="s">
        <v>1164</v>
      </c>
      <c r="D306" s="53">
        <v>40</v>
      </c>
      <c r="E306" s="90" t="s">
        <v>20</v>
      </c>
      <c r="F306" s="53" t="s">
        <v>868</v>
      </c>
      <c r="G306" s="176">
        <v>365000</v>
      </c>
      <c r="H306" s="53" t="s">
        <v>22</v>
      </c>
      <c r="I306" s="31" t="s">
        <v>1246</v>
      </c>
      <c r="J306" s="31"/>
      <c r="K306" s="31"/>
      <c r="L306" s="31">
        <f t="shared" si="32"/>
        <v>40</v>
      </c>
      <c r="M306" s="31" t="s">
        <v>1247</v>
      </c>
      <c r="N306" s="31"/>
      <c r="O306" s="31"/>
      <c r="P306" s="31"/>
      <c r="Q306" s="31"/>
      <c r="R306" s="31" t="s">
        <v>1249</v>
      </c>
      <c r="S306" s="31"/>
      <c r="T306" s="31" t="str">
        <f t="shared" si="30"/>
        <v>Cước vận chuyển vỏ container 40 từ bãi JJ, Hải Phòng đến Nam Đình Vũ, Hải Phòng</v>
      </c>
      <c r="U306" s="31"/>
    </row>
    <row r="307" spans="1:21" s="29" customFormat="1" ht="18" hidden="1" customHeight="1" x14ac:dyDescent="0.25">
      <c r="A307" s="44">
        <v>298</v>
      </c>
      <c r="B307" s="54">
        <v>46134</v>
      </c>
      <c r="C307" s="44" t="s">
        <v>1165</v>
      </c>
      <c r="D307" s="53">
        <v>40</v>
      </c>
      <c r="E307" s="90" t="s">
        <v>20</v>
      </c>
      <c r="F307" s="53" t="s">
        <v>868</v>
      </c>
      <c r="G307" s="176">
        <v>365000</v>
      </c>
      <c r="H307" s="53" t="s">
        <v>22</v>
      </c>
      <c r="I307" s="31" t="s">
        <v>1246</v>
      </c>
      <c r="J307" s="31"/>
      <c r="K307" s="31"/>
      <c r="L307" s="31">
        <f t="shared" si="32"/>
        <v>40</v>
      </c>
      <c r="M307" s="31" t="s">
        <v>1247</v>
      </c>
      <c r="N307" s="31"/>
      <c r="O307" s="31"/>
      <c r="P307" s="31"/>
      <c r="Q307" s="31"/>
      <c r="R307" s="31" t="s">
        <v>1249</v>
      </c>
      <c r="S307" s="31"/>
      <c r="T307" s="31" t="str">
        <f t="shared" si="30"/>
        <v>Cước vận chuyển vỏ container 40 từ bãi JJ, Hải Phòng đến Nam Đình Vũ, Hải Phòng</v>
      </c>
      <c r="U307" s="31"/>
    </row>
    <row r="308" spans="1:21" s="29" customFormat="1" ht="18" hidden="1" customHeight="1" x14ac:dyDescent="0.25">
      <c r="A308" s="44">
        <v>299</v>
      </c>
      <c r="B308" s="54">
        <v>46134</v>
      </c>
      <c r="C308" s="44" t="s">
        <v>1166</v>
      </c>
      <c r="D308" s="53">
        <v>40</v>
      </c>
      <c r="E308" s="90" t="s">
        <v>20</v>
      </c>
      <c r="F308" s="53" t="s">
        <v>868</v>
      </c>
      <c r="G308" s="176">
        <v>365000</v>
      </c>
      <c r="H308" s="53" t="s">
        <v>22</v>
      </c>
      <c r="I308" s="31" t="s">
        <v>1246</v>
      </c>
      <c r="J308" s="31"/>
      <c r="K308" s="31"/>
      <c r="L308" s="31">
        <f t="shared" si="32"/>
        <v>40</v>
      </c>
      <c r="M308" s="31" t="s">
        <v>1247</v>
      </c>
      <c r="N308" s="31"/>
      <c r="O308" s="31"/>
      <c r="P308" s="31"/>
      <c r="Q308" s="31"/>
      <c r="R308" s="31" t="s">
        <v>1249</v>
      </c>
      <c r="S308" s="31"/>
      <c r="T308" s="31" t="str">
        <f t="shared" si="30"/>
        <v>Cước vận chuyển vỏ container 40 từ bãi JJ, Hải Phòng đến Nam Đình Vũ, Hải Phòng</v>
      </c>
      <c r="U308" s="31"/>
    </row>
    <row r="309" spans="1:21" s="29" customFormat="1" ht="18" hidden="1" customHeight="1" x14ac:dyDescent="0.25">
      <c r="A309" s="44">
        <v>300</v>
      </c>
      <c r="B309" s="54">
        <v>46134</v>
      </c>
      <c r="C309" s="44" t="s">
        <v>1167</v>
      </c>
      <c r="D309" s="53">
        <v>40</v>
      </c>
      <c r="E309" s="90" t="s">
        <v>20</v>
      </c>
      <c r="F309" s="53" t="s">
        <v>868</v>
      </c>
      <c r="G309" s="176">
        <v>365000</v>
      </c>
      <c r="H309" s="53" t="s">
        <v>22</v>
      </c>
      <c r="I309" s="31" t="s">
        <v>1246</v>
      </c>
      <c r="J309" s="31"/>
      <c r="K309" s="31"/>
      <c r="L309" s="31">
        <f t="shared" si="32"/>
        <v>40</v>
      </c>
      <c r="M309" s="31" t="s">
        <v>1247</v>
      </c>
      <c r="N309" s="31"/>
      <c r="O309" s="31"/>
      <c r="P309" s="31"/>
      <c r="Q309" s="31"/>
      <c r="R309" s="31" t="s">
        <v>1249</v>
      </c>
      <c r="S309" s="31"/>
      <c r="T309" s="31" t="str">
        <f t="shared" si="30"/>
        <v>Cước vận chuyển vỏ container 40 từ bãi JJ, Hải Phòng đến Nam Đình Vũ, Hải Phòng</v>
      </c>
      <c r="U309" s="31"/>
    </row>
    <row r="310" spans="1:21" s="29" customFormat="1" ht="18" hidden="1" customHeight="1" x14ac:dyDescent="0.25">
      <c r="A310" s="44">
        <v>301</v>
      </c>
      <c r="B310" s="54">
        <v>46134</v>
      </c>
      <c r="C310" s="44" t="s">
        <v>1168</v>
      </c>
      <c r="D310" s="53">
        <v>40</v>
      </c>
      <c r="E310" s="90" t="s">
        <v>20</v>
      </c>
      <c r="F310" s="53" t="s">
        <v>868</v>
      </c>
      <c r="G310" s="176">
        <v>365000</v>
      </c>
      <c r="H310" s="53" t="s">
        <v>22</v>
      </c>
      <c r="I310" s="31" t="s">
        <v>1246</v>
      </c>
      <c r="J310" s="31"/>
      <c r="K310" s="31"/>
      <c r="L310" s="31">
        <f t="shared" si="32"/>
        <v>40</v>
      </c>
      <c r="M310" s="31" t="s">
        <v>1247</v>
      </c>
      <c r="N310" s="31"/>
      <c r="O310" s="31"/>
      <c r="P310" s="31"/>
      <c r="Q310" s="31"/>
      <c r="R310" s="31" t="s">
        <v>1249</v>
      </c>
      <c r="S310" s="31"/>
      <c r="T310" s="31" t="str">
        <f t="shared" si="30"/>
        <v>Cước vận chuyển vỏ container 40 từ bãi JJ, Hải Phòng đến Nam Đình Vũ, Hải Phòng</v>
      </c>
      <c r="U310" s="31"/>
    </row>
    <row r="311" spans="1:21" s="29" customFormat="1" ht="18" hidden="1" customHeight="1" x14ac:dyDescent="0.25">
      <c r="A311" s="44">
        <v>302</v>
      </c>
      <c r="B311" s="54">
        <v>46129</v>
      </c>
      <c r="C311" s="44" t="s">
        <v>1169</v>
      </c>
      <c r="D311" s="53">
        <v>40</v>
      </c>
      <c r="E311" s="90" t="s">
        <v>20</v>
      </c>
      <c r="F311" s="53" t="s">
        <v>868</v>
      </c>
      <c r="G311" s="183">
        <v>385000</v>
      </c>
      <c r="H311" s="53" t="s">
        <v>22</v>
      </c>
      <c r="I311" s="31" t="s">
        <v>1246</v>
      </c>
      <c r="J311" s="31"/>
      <c r="K311" s="31"/>
      <c r="L311" s="31">
        <f t="shared" si="32"/>
        <v>40</v>
      </c>
      <c r="M311" s="31" t="s">
        <v>1247</v>
      </c>
      <c r="N311" s="31"/>
      <c r="O311" s="31"/>
      <c r="P311" s="31"/>
      <c r="Q311" s="31"/>
      <c r="R311" s="31" t="s">
        <v>1249</v>
      </c>
      <c r="S311" s="31"/>
      <c r="T311" s="31" t="str">
        <f t="shared" si="30"/>
        <v>Cước vận chuyển vỏ container 40 từ bãi JJ, Hải Phòng đến Nam Đình Vũ, Hải Phòng</v>
      </c>
      <c r="U311" s="31"/>
    </row>
    <row r="312" spans="1:21" s="29" customFormat="1" ht="18" hidden="1" customHeight="1" x14ac:dyDescent="0.25">
      <c r="A312" s="44">
        <v>303</v>
      </c>
      <c r="B312" s="54">
        <v>46129</v>
      </c>
      <c r="C312" s="44" t="s">
        <v>1170</v>
      </c>
      <c r="D312" s="53">
        <v>40</v>
      </c>
      <c r="E312" s="90" t="s">
        <v>20</v>
      </c>
      <c r="F312" s="53" t="s">
        <v>868</v>
      </c>
      <c r="G312" s="183">
        <v>385000</v>
      </c>
      <c r="H312" s="53" t="s">
        <v>22</v>
      </c>
      <c r="I312" s="31" t="s">
        <v>1246</v>
      </c>
      <c r="J312" s="31"/>
      <c r="K312" s="31"/>
      <c r="L312" s="31">
        <f t="shared" si="32"/>
        <v>40</v>
      </c>
      <c r="M312" s="31" t="s">
        <v>1247</v>
      </c>
      <c r="N312" s="31"/>
      <c r="O312" s="31"/>
      <c r="P312" s="31"/>
      <c r="Q312" s="31"/>
      <c r="R312" s="31" t="s">
        <v>1249</v>
      </c>
      <c r="S312" s="31"/>
      <c r="T312" s="31" t="str">
        <f t="shared" si="30"/>
        <v>Cước vận chuyển vỏ container 40 từ bãi JJ, Hải Phòng đến Nam Đình Vũ, Hải Phòng</v>
      </c>
      <c r="U312" s="31"/>
    </row>
    <row r="313" spans="1:21" s="29" customFormat="1" ht="18" hidden="1" customHeight="1" x14ac:dyDescent="0.25">
      <c r="A313" s="44">
        <v>304</v>
      </c>
      <c r="B313" s="54">
        <v>46129</v>
      </c>
      <c r="C313" s="44" t="s">
        <v>1171</v>
      </c>
      <c r="D313" s="53">
        <v>40</v>
      </c>
      <c r="E313" s="90" t="s">
        <v>20</v>
      </c>
      <c r="F313" s="53" t="s">
        <v>868</v>
      </c>
      <c r="G313" s="183">
        <v>385000</v>
      </c>
      <c r="H313" s="53" t="s">
        <v>22</v>
      </c>
      <c r="I313" s="31" t="s">
        <v>1246</v>
      </c>
      <c r="J313" s="31"/>
      <c r="K313" s="31"/>
      <c r="L313" s="31">
        <f t="shared" si="32"/>
        <v>40</v>
      </c>
      <c r="M313" s="31" t="s">
        <v>1247</v>
      </c>
      <c r="N313" s="31"/>
      <c r="O313" s="31"/>
      <c r="P313" s="31"/>
      <c r="Q313" s="31"/>
      <c r="R313" s="31" t="s">
        <v>1249</v>
      </c>
      <c r="S313" s="31"/>
      <c r="T313" s="31" t="str">
        <f t="shared" si="30"/>
        <v>Cước vận chuyển vỏ container 40 từ bãi JJ, Hải Phòng đến Nam Đình Vũ, Hải Phòng</v>
      </c>
      <c r="U313" s="31"/>
    </row>
    <row r="314" spans="1:21" s="29" customFormat="1" ht="18" hidden="1" customHeight="1" x14ac:dyDescent="0.25">
      <c r="A314" s="44">
        <v>305</v>
      </c>
      <c r="B314" s="54">
        <v>46129</v>
      </c>
      <c r="C314" s="44" t="s">
        <v>1172</v>
      </c>
      <c r="D314" s="53">
        <v>40</v>
      </c>
      <c r="E314" s="90" t="s">
        <v>20</v>
      </c>
      <c r="F314" s="53" t="s">
        <v>868</v>
      </c>
      <c r="G314" s="183">
        <v>385000</v>
      </c>
      <c r="H314" s="53" t="s">
        <v>22</v>
      </c>
      <c r="I314" s="31" t="s">
        <v>1246</v>
      </c>
      <c r="J314" s="31"/>
      <c r="K314" s="31"/>
      <c r="L314" s="31">
        <f t="shared" si="32"/>
        <v>40</v>
      </c>
      <c r="M314" s="31" t="s">
        <v>1247</v>
      </c>
      <c r="N314" s="31"/>
      <c r="O314" s="31"/>
      <c r="P314" s="31"/>
      <c r="Q314" s="31"/>
      <c r="R314" s="31" t="s">
        <v>1249</v>
      </c>
      <c r="S314" s="31"/>
      <c r="T314" s="31" t="str">
        <f t="shared" si="30"/>
        <v>Cước vận chuyển vỏ container 40 từ bãi JJ, Hải Phòng đến Nam Đình Vũ, Hải Phòng</v>
      </c>
      <c r="U314" s="31"/>
    </row>
    <row r="315" spans="1:21" s="29" customFormat="1" ht="18" hidden="1" customHeight="1" x14ac:dyDescent="0.25">
      <c r="A315" s="44">
        <v>306</v>
      </c>
      <c r="B315" s="54">
        <v>46129</v>
      </c>
      <c r="C315" s="44" t="s">
        <v>1173</v>
      </c>
      <c r="D315" s="53">
        <v>40</v>
      </c>
      <c r="E315" s="90" t="s">
        <v>20</v>
      </c>
      <c r="F315" s="53" t="s">
        <v>868</v>
      </c>
      <c r="G315" s="183">
        <v>385000</v>
      </c>
      <c r="H315" s="53" t="s">
        <v>22</v>
      </c>
      <c r="I315" s="31" t="s">
        <v>1246</v>
      </c>
      <c r="J315" s="31"/>
      <c r="K315" s="31"/>
      <c r="L315" s="31">
        <f t="shared" si="32"/>
        <v>40</v>
      </c>
      <c r="M315" s="31" t="s">
        <v>1247</v>
      </c>
      <c r="N315" s="31"/>
      <c r="O315" s="31"/>
      <c r="P315" s="31"/>
      <c r="Q315" s="31"/>
      <c r="R315" s="31" t="s">
        <v>1249</v>
      </c>
      <c r="S315" s="31"/>
      <c r="T315" s="31" t="str">
        <f t="shared" si="30"/>
        <v>Cước vận chuyển vỏ container 40 từ bãi JJ, Hải Phòng đến Nam Đình Vũ, Hải Phòng</v>
      </c>
      <c r="U315" s="31"/>
    </row>
    <row r="316" spans="1:21" s="29" customFormat="1" ht="18" hidden="1" customHeight="1" x14ac:dyDescent="0.25">
      <c r="A316" s="44">
        <v>307</v>
      </c>
      <c r="B316" s="54">
        <v>46134</v>
      </c>
      <c r="C316" s="44" t="s">
        <v>1174</v>
      </c>
      <c r="D316" s="53">
        <v>40</v>
      </c>
      <c r="E316" s="53" t="s">
        <v>20</v>
      </c>
      <c r="F316" s="53" t="s">
        <v>868</v>
      </c>
      <c r="G316" s="176">
        <v>365000</v>
      </c>
      <c r="H316" s="53" t="s">
        <v>19</v>
      </c>
      <c r="I316" s="31" t="s">
        <v>1246</v>
      </c>
      <c r="J316" s="31"/>
      <c r="K316" s="31"/>
      <c r="L316" s="31">
        <f t="shared" si="32"/>
        <v>40</v>
      </c>
      <c r="M316" s="31" t="s">
        <v>1247</v>
      </c>
      <c r="N316" s="31"/>
      <c r="O316" s="31"/>
      <c r="P316" s="31"/>
      <c r="Q316" s="31"/>
      <c r="R316" s="31" t="s">
        <v>1249</v>
      </c>
      <c r="S316" s="31"/>
      <c r="T316" s="31" t="str">
        <f t="shared" si="30"/>
        <v>Cước vận chuyển vỏ container 40 từ bãi JJ, Hải Phòng đến Nam Đình Vũ, Hải Phòng</v>
      </c>
      <c r="U316" s="31"/>
    </row>
    <row r="317" spans="1:21" s="29" customFormat="1" ht="18" hidden="1" customHeight="1" x14ac:dyDescent="0.25">
      <c r="A317" s="44">
        <v>308</v>
      </c>
      <c r="B317" s="54">
        <v>46134</v>
      </c>
      <c r="C317" s="44" t="s">
        <v>1175</v>
      </c>
      <c r="D317" s="53">
        <v>40</v>
      </c>
      <c r="E317" s="53" t="s">
        <v>20</v>
      </c>
      <c r="F317" s="53" t="s">
        <v>868</v>
      </c>
      <c r="G317" s="176">
        <v>365000</v>
      </c>
      <c r="H317" s="53" t="s">
        <v>19</v>
      </c>
      <c r="I317" s="31" t="s">
        <v>1246</v>
      </c>
      <c r="J317" s="31"/>
      <c r="K317" s="31"/>
      <c r="L317" s="31">
        <f t="shared" si="32"/>
        <v>40</v>
      </c>
      <c r="M317" s="31" t="s">
        <v>1247</v>
      </c>
      <c r="N317" s="31"/>
      <c r="O317" s="31"/>
      <c r="P317" s="31"/>
      <c r="Q317" s="31"/>
      <c r="R317" s="31" t="s">
        <v>1249</v>
      </c>
      <c r="S317" s="31"/>
      <c r="T317" s="31" t="str">
        <f t="shared" si="30"/>
        <v>Cước vận chuyển vỏ container 40 từ bãi JJ, Hải Phòng đến Nam Đình Vũ, Hải Phòng</v>
      </c>
      <c r="U317" s="31"/>
    </row>
    <row r="318" spans="1:21" s="29" customFormat="1" ht="18" hidden="1" customHeight="1" x14ac:dyDescent="0.25">
      <c r="A318" s="44">
        <v>309</v>
      </c>
      <c r="B318" s="54">
        <v>46134</v>
      </c>
      <c r="C318" s="44" t="s">
        <v>1176</v>
      </c>
      <c r="D318" s="53">
        <v>40</v>
      </c>
      <c r="E318" s="53" t="s">
        <v>20</v>
      </c>
      <c r="F318" s="53" t="s">
        <v>868</v>
      </c>
      <c r="G318" s="176">
        <v>365000</v>
      </c>
      <c r="H318" s="53" t="s">
        <v>19</v>
      </c>
      <c r="I318" s="31" t="s">
        <v>1246</v>
      </c>
      <c r="J318" s="31"/>
      <c r="K318" s="31"/>
      <c r="L318" s="31">
        <f t="shared" si="32"/>
        <v>40</v>
      </c>
      <c r="M318" s="31" t="s">
        <v>1247</v>
      </c>
      <c r="N318" s="31"/>
      <c r="O318" s="31"/>
      <c r="P318" s="31"/>
      <c r="Q318" s="31"/>
      <c r="R318" s="31" t="s">
        <v>1249</v>
      </c>
      <c r="S318" s="31"/>
      <c r="T318" s="31" t="str">
        <f t="shared" si="30"/>
        <v>Cước vận chuyển vỏ container 40 từ bãi JJ, Hải Phòng đến Nam Đình Vũ, Hải Phòng</v>
      </c>
      <c r="U318" s="31"/>
    </row>
    <row r="319" spans="1:21" s="29" customFormat="1" ht="18" hidden="1" customHeight="1" x14ac:dyDescent="0.25">
      <c r="A319" s="44">
        <v>310</v>
      </c>
      <c r="B319" s="54">
        <v>46128</v>
      </c>
      <c r="C319" s="44" t="s">
        <v>1177</v>
      </c>
      <c r="D319" s="53">
        <v>40</v>
      </c>
      <c r="E319" s="53" t="s">
        <v>20</v>
      </c>
      <c r="F319" s="53" t="s">
        <v>868</v>
      </c>
      <c r="G319" s="183">
        <v>385000</v>
      </c>
      <c r="H319" s="53" t="s">
        <v>19</v>
      </c>
      <c r="I319" s="31" t="s">
        <v>1246</v>
      </c>
      <c r="J319" s="31"/>
      <c r="K319" s="31"/>
      <c r="L319" s="31">
        <f t="shared" si="32"/>
        <v>40</v>
      </c>
      <c r="M319" s="31" t="s">
        <v>1247</v>
      </c>
      <c r="N319" s="31"/>
      <c r="O319" s="31"/>
      <c r="P319" s="31"/>
      <c r="Q319" s="31"/>
      <c r="R319" s="31" t="s">
        <v>1249</v>
      </c>
      <c r="S319" s="31"/>
      <c r="T319" s="31" t="str">
        <f t="shared" si="30"/>
        <v>Cước vận chuyển vỏ container 40 từ bãi JJ, Hải Phòng đến Nam Đình Vũ, Hải Phòng</v>
      </c>
      <c r="U319" s="31"/>
    </row>
    <row r="320" spans="1:21" s="29" customFormat="1" ht="18" hidden="1" customHeight="1" x14ac:dyDescent="0.25">
      <c r="A320" s="44">
        <v>311</v>
      </c>
      <c r="B320" s="54">
        <v>46128</v>
      </c>
      <c r="C320" s="44" t="s">
        <v>1178</v>
      </c>
      <c r="D320" s="53">
        <v>40</v>
      </c>
      <c r="E320" s="53" t="s">
        <v>20</v>
      </c>
      <c r="F320" s="53" t="s">
        <v>868</v>
      </c>
      <c r="G320" s="183">
        <v>385000</v>
      </c>
      <c r="H320" s="53" t="s">
        <v>19</v>
      </c>
      <c r="I320" s="31" t="s">
        <v>1246</v>
      </c>
      <c r="J320" s="31"/>
      <c r="K320" s="31"/>
      <c r="L320" s="31">
        <f t="shared" si="32"/>
        <v>40</v>
      </c>
      <c r="M320" s="31" t="s">
        <v>1247</v>
      </c>
      <c r="N320" s="31"/>
      <c r="O320" s="31"/>
      <c r="P320" s="31"/>
      <c r="Q320" s="31"/>
      <c r="R320" s="31" t="s">
        <v>1249</v>
      </c>
      <c r="S320" s="31"/>
      <c r="T320" s="31" t="str">
        <f t="shared" si="30"/>
        <v>Cước vận chuyển vỏ container 40 từ bãi JJ, Hải Phòng đến Nam Đình Vũ, Hải Phòng</v>
      </c>
      <c r="U320" s="31"/>
    </row>
    <row r="321" spans="1:21" s="29" customFormat="1" ht="18" hidden="1" customHeight="1" x14ac:dyDescent="0.25">
      <c r="A321" s="44">
        <v>312</v>
      </c>
      <c r="B321" s="54">
        <v>46128</v>
      </c>
      <c r="C321" s="44" t="s">
        <v>1179</v>
      </c>
      <c r="D321" s="53">
        <v>40</v>
      </c>
      <c r="E321" s="53" t="s">
        <v>20</v>
      </c>
      <c r="F321" s="53" t="s">
        <v>868</v>
      </c>
      <c r="G321" s="183">
        <v>385000</v>
      </c>
      <c r="H321" s="53" t="s">
        <v>19</v>
      </c>
      <c r="I321" s="31" t="s">
        <v>1246</v>
      </c>
      <c r="J321" s="31"/>
      <c r="K321" s="31"/>
      <c r="L321" s="31">
        <f t="shared" si="32"/>
        <v>40</v>
      </c>
      <c r="M321" s="31" t="s">
        <v>1247</v>
      </c>
      <c r="N321" s="31"/>
      <c r="O321" s="31"/>
      <c r="P321" s="31"/>
      <c r="Q321" s="31"/>
      <c r="R321" s="31" t="s">
        <v>1249</v>
      </c>
      <c r="S321" s="31"/>
      <c r="T321" s="31" t="str">
        <f t="shared" si="30"/>
        <v>Cước vận chuyển vỏ container 40 từ bãi JJ, Hải Phòng đến Nam Đình Vũ, Hải Phòng</v>
      </c>
      <c r="U321" s="31"/>
    </row>
    <row r="322" spans="1:21" s="29" customFormat="1" ht="18" hidden="1" customHeight="1" x14ac:dyDescent="0.25">
      <c r="A322" s="44">
        <v>313</v>
      </c>
      <c r="B322" s="54">
        <v>46135</v>
      </c>
      <c r="C322" s="44" t="s">
        <v>1180</v>
      </c>
      <c r="D322" s="53">
        <v>40</v>
      </c>
      <c r="E322" s="53" t="s">
        <v>20</v>
      </c>
      <c r="F322" s="53" t="s">
        <v>868</v>
      </c>
      <c r="G322" s="176">
        <v>365000</v>
      </c>
      <c r="H322" s="53" t="s">
        <v>15</v>
      </c>
      <c r="I322" s="31" t="s">
        <v>1246</v>
      </c>
      <c r="J322" s="31"/>
      <c r="K322" s="31"/>
      <c r="L322" s="31">
        <f t="shared" si="32"/>
        <v>40</v>
      </c>
      <c r="M322" s="31" t="s">
        <v>1247</v>
      </c>
      <c r="N322" s="31"/>
      <c r="O322" s="31"/>
      <c r="P322" s="31"/>
      <c r="Q322" s="31"/>
      <c r="R322" s="31" t="s">
        <v>1249</v>
      </c>
      <c r="S322" s="31"/>
      <c r="T322" s="31" t="str">
        <f t="shared" si="30"/>
        <v>Cước vận chuyển vỏ container 40 từ bãi JJ, Hải Phòng đến Nam Đình Vũ, Hải Phòng</v>
      </c>
      <c r="U322" s="31"/>
    </row>
    <row r="323" spans="1:21" s="29" customFormat="1" ht="18" hidden="1" customHeight="1" x14ac:dyDescent="0.25">
      <c r="A323" s="44">
        <v>314</v>
      </c>
      <c r="B323" s="54">
        <v>46135</v>
      </c>
      <c r="C323" s="44" t="s">
        <v>1181</v>
      </c>
      <c r="D323" s="53">
        <v>20</v>
      </c>
      <c r="E323" s="53" t="s">
        <v>20</v>
      </c>
      <c r="F323" s="53" t="s">
        <v>868</v>
      </c>
      <c r="G323" s="188">
        <v>198000</v>
      </c>
      <c r="H323" s="53" t="s">
        <v>15</v>
      </c>
      <c r="I323" s="31" t="s">
        <v>1246</v>
      </c>
      <c r="J323" s="31"/>
      <c r="K323" s="31"/>
      <c r="L323" s="31">
        <f t="shared" ref="L323:L326" si="33">D323</f>
        <v>20</v>
      </c>
      <c r="M323" s="31" t="s">
        <v>1247</v>
      </c>
      <c r="N323" s="31"/>
      <c r="O323" s="31"/>
      <c r="P323" s="31"/>
      <c r="Q323" s="31"/>
      <c r="R323" s="31" t="s">
        <v>1249</v>
      </c>
      <c r="S323" s="31"/>
      <c r="T323" s="31" t="str">
        <f t="shared" si="30"/>
        <v>Cước vận chuyển vỏ container 20 từ bãi JJ, Hải Phòng đến Nam Đình Vũ, Hải Phòng</v>
      </c>
      <c r="U323" s="31"/>
    </row>
    <row r="324" spans="1:21" s="29" customFormat="1" ht="18" hidden="1" customHeight="1" x14ac:dyDescent="0.25">
      <c r="A324" s="44">
        <v>315</v>
      </c>
      <c r="B324" s="54">
        <v>46135</v>
      </c>
      <c r="C324" s="44" t="s">
        <v>1182</v>
      </c>
      <c r="D324" s="53">
        <v>20</v>
      </c>
      <c r="E324" s="53" t="s">
        <v>20</v>
      </c>
      <c r="F324" s="53" t="s">
        <v>868</v>
      </c>
      <c r="G324" s="188">
        <v>198000</v>
      </c>
      <c r="H324" s="53" t="s">
        <v>15</v>
      </c>
      <c r="I324" s="31" t="s">
        <v>1246</v>
      </c>
      <c r="J324" s="31"/>
      <c r="K324" s="31"/>
      <c r="L324" s="31">
        <f t="shared" si="33"/>
        <v>20</v>
      </c>
      <c r="M324" s="31" t="s">
        <v>1247</v>
      </c>
      <c r="N324" s="31"/>
      <c r="O324" s="31"/>
      <c r="P324" s="31"/>
      <c r="Q324" s="31"/>
      <c r="R324" s="31" t="s">
        <v>1249</v>
      </c>
      <c r="S324" s="31"/>
      <c r="T324" s="31" t="str">
        <f t="shared" si="30"/>
        <v>Cước vận chuyển vỏ container 20 từ bãi JJ, Hải Phòng đến Nam Đình Vũ, Hải Phòng</v>
      </c>
      <c r="U324" s="31"/>
    </row>
    <row r="325" spans="1:21" s="29" customFormat="1" ht="18" hidden="1" customHeight="1" x14ac:dyDescent="0.25">
      <c r="A325" s="44">
        <v>316</v>
      </c>
      <c r="B325" s="54">
        <v>46134</v>
      </c>
      <c r="C325" s="44" t="s">
        <v>1183</v>
      </c>
      <c r="D325" s="53">
        <v>40</v>
      </c>
      <c r="E325" s="53" t="s">
        <v>20</v>
      </c>
      <c r="F325" s="53" t="s">
        <v>868</v>
      </c>
      <c r="G325" s="176">
        <v>365000</v>
      </c>
      <c r="H325" s="53" t="s">
        <v>15</v>
      </c>
      <c r="I325" s="31" t="s">
        <v>1246</v>
      </c>
      <c r="J325" s="31"/>
      <c r="K325" s="31"/>
      <c r="L325" s="31">
        <f t="shared" si="33"/>
        <v>40</v>
      </c>
      <c r="M325" s="31" t="s">
        <v>1247</v>
      </c>
      <c r="N325" s="31"/>
      <c r="O325" s="31"/>
      <c r="P325" s="31"/>
      <c r="Q325" s="31"/>
      <c r="R325" s="31" t="s">
        <v>1249</v>
      </c>
      <c r="S325" s="31"/>
      <c r="T325" s="31" t="str">
        <f t="shared" si="30"/>
        <v>Cước vận chuyển vỏ container 40 từ bãi JJ, Hải Phòng đến Nam Đình Vũ, Hải Phòng</v>
      </c>
      <c r="U325" s="31"/>
    </row>
    <row r="326" spans="1:21" s="29" customFormat="1" ht="18" hidden="1" customHeight="1" x14ac:dyDescent="0.25">
      <c r="A326" s="44">
        <v>317</v>
      </c>
      <c r="B326" s="54">
        <v>46135</v>
      </c>
      <c r="C326" s="44" t="s">
        <v>1184</v>
      </c>
      <c r="D326" s="53">
        <v>40</v>
      </c>
      <c r="E326" s="53" t="s">
        <v>20</v>
      </c>
      <c r="F326" s="53" t="s">
        <v>868</v>
      </c>
      <c r="G326" s="176">
        <v>365000</v>
      </c>
      <c r="H326" s="53" t="s">
        <v>268</v>
      </c>
      <c r="I326" s="31" t="s">
        <v>1246</v>
      </c>
      <c r="J326" s="31"/>
      <c r="K326" s="31"/>
      <c r="L326" s="31">
        <f t="shared" si="33"/>
        <v>40</v>
      </c>
      <c r="M326" s="31" t="s">
        <v>1247</v>
      </c>
      <c r="N326" s="31"/>
      <c r="O326" s="31"/>
      <c r="P326" s="31"/>
      <c r="Q326" s="31"/>
      <c r="R326" s="31" t="s">
        <v>1249</v>
      </c>
      <c r="S326" s="31"/>
      <c r="T326" s="31" t="str">
        <f t="shared" si="30"/>
        <v>Cước vận chuyển vỏ container 40 từ bãi JJ, Hải Phòng đến Nam Đình Vũ, Hải Phòng</v>
      </c>
      <c r="U326" s="31"/>
    </row>
    <row r="327" spans="1:21" s="29" customFormat="1" ht="18" hidden="1" customHeight="1" x14ac:dyDescent="0.25">
      <c r="A327" s="44">
        <v>318</v>
      </c>
      <c r="B327" s="54">
        <v>46135</v>
      </c>
      <c r="C327" s="44" t="s">
        <v>1185</v>
      </c>
      <c r="D327" s="53">
        <v>20</v>
      </c>
      <c r="E327" s="53" t="s">
        <v>20</v>
      </c>
      <c r="F327" s="53" t="s">
        <v>868</v>
      </c>
      <c r="G327" s="188">
        <v>198000</v>
      </c>
      <c r="H327" s="53" t="s">
        <v>842</v>
      </c>
      <c r="I327" s="31" t="s">
        <v>1246</v>
      </c>
      <c r="J327" s="31"/>
      <c r="K327" s="31"/>
      <c r="L327" s="31">
        <f t="shared" ref="L327:L344" si="34">D327</f>
        <v>20</v>
      </c>
      <c r="M327" s="31" t="s">
        <v>1247</v>
      </c>
      <c r="N327" s="31"/>
      <c r="O327" s="31"/>
      <c r="P327" s="31"/>
      <c r="Q327" s="31"/>
      <c r="R327" s="31" t="s">
        <v>1249</v>
      </c>
      <c r="S327" s="31"/>
      <c r="T327" s="31" t="str">
        <f t="shared" si="30"/>
        <v>Cước vận chuyển vỏ container 20 từ bãi JJ, Hải Phòng đến Nam Đình Vũ, Hải Phòng</v>
      </c>
      <c r="U327" s="31"/>
    </row>
    <row r="328" spans="1:21" s="29" customFormat="1" ht="18" hidden="1" customHeight="1" x14ac:dyDescent="0.25">
      <c r="A328" s="44">
        <v>319</v>
      </c>
      <c r="B328" s="54">
        <v>46135</v>
      </c>
      <c r="C328" s="44" t="s">
        <v>1186</v>
      </c>
      <c r="D328" s="53">
        <v>20</v>
      </c>
      <c r="E328" s="53" t="s">
        <v>20</v>
      </c>
      <c r="F328" s="53" t="s">
        <v>868</v>
      </c>
      <c r="G328" s="188">
        <v>198000</v>
      </c>
      <c r="H328" s="53" t="s">
        <v>842</v>
      </c>
      <c r="I328" s="31" t="s">
        <v>1246</v>
      </c>
      <c r="J328" s="31"/>
      <c r="K328" s="31"/>
      <c r="L328" s="31">
        <f t="shared" si="34"/>
        <v>20</v>
      </c>
      <c r="M328" s="31" t="s">
        <v>1247</v>
      </c>
      <c r="N328" s="31"/>
      <c r="O328" s="31"/>
      <c r="P328" s="31"/>
      <c r="Q328" s="31"/>
      <c r="R328" s="31" t="s">
        <v>1249</v>
      </c>
      <c r="S328" s="31"/>
      <c r="T328" s="31" t="str">
        <f t="shared" si="30"/>
        <v>Cước vận chuyển vỏ container 20 từ bãi JJ, Hải Phòng đến Nam Đình Vũ, Hải Phòng</v>
      </c>
      <c r="U328" s="31"/>
    </row>
    <row r="329" spans="1:21" s="29" customFormat="1" ht="18" hidden="1" customHeight="1" x14ac:dyDescent="0.25">
      <c r="A329" s="44">
        <v>320</v>
      </c>
      <c r="B329" s="54">
        <v>46135</v>
      </c>
      <c r="C329" s="44" t="s">
        <v>1187</v>
      </c>
      <c r="D329" s="53">
        <v>20</v>
      </c>
      <c r="E329" s="53" t="s">
        <v>20</v>
      </c>
      <c r="F329" s="53" t="s">
        <v>868</v>
      </c>
      <c r="G329" s="188">
        <v>198000</v>
      </c>
      <c r="H329" s="53" t="s">
        <v>842</v>
      </c>
      <c r="I329" s="31" t="s">
        <v>1246</v>
      </c>
      <c r="J329" s="31"/>
      <c r="K329" s="31"/>
      <c r="L329" s="31">
        <f t="shared" si="34"/>
        <v>20</v>
      </c>
      <c r="M329" s="31" t="s">
        <v>1247</v>
      </c>
      <c r="N329" s="31"/>
      <c r="O329" s="31"/>
      <c r="P329" s="31"/>
      <c r="Q329" s="31"/>
      <c r="R329" s="31" t="s">
        <v>1249</v>
      </c>
      <c r="S329" s="31"/>
      <c r="T329" s="31" t="str">
        <f t="shared" si="30"/>
        <v>Cước vận chuyển vỏ container 20 từ bãi JJ, Hải Phòng đến Nam Đình Vũ, Hải Phòng</v>
      </c>
      <c r="U329" s="31"/>
    </row>
    <row r="330" spans="1:21" s="29" customFormat="1" ht="18" hidden="1" customHeight="1" x14ac:dyDescent="0.25">
      <c r="A330" s="44">
        <v>321</v>
      </c>
      <c r="B330" s="54">
        <v>46135</v>
      </c>
      <c r="C330" s="44" t="s">
        <v>1188</v>
      </c>
      <c r="D330" s="53">
        <v>20</v>
      </c>
      <c r="E330" s="53" t="s">
        <v>20</v>
      </c>
      <c r="F330" s="53" t="s">
        <v>868</v>
      </c>
      <c r="G330" s="188">
        <v>198000</v>
      </c>
      <c r="H330" s="53" t="s">
        <v>842</v>
      </c>
      <c r="I330" s="31" t="s">
        <v>1246</v>
      </c>
      <c r="J330" s="31"/>
      <c r="K330" s="31"/>
      <c r="L330" s="31">
        <f t="shared" si="34"/>
        <v>20</v>
      </c>
      <c r="M330" s="31" t="s">
        <v>1247</v>
      </c>
      <c r="N330" s="31"/>
      <c r="O330" s="31"/>
      <c r="P330" s="31"/>
      <c r="Q330" s="31"/>
      <c r="R330" s="31" t="s">
        <v>1249</v>
      </c>
      <c r="S330" s="31"/>
      <c r="T330" s="31" t="str">
        <f t="shared" si="30"/>
        <v>Cước vận chuyển vỏ container 20 từ bãi JJ, Hải Phòng đến Nam Đình Vũ, Hải Phòng</v>
      </c>
      <c r="U330" s="31"/>
    </row>
    <row r="331" spans="1:21" s="29" customFormat="1" ht="18" hidden="1" customHeight="1" x14ac:dyDescent="0.25">
      <c r="A331" s="44">
        <v>322</v>
      </c>
      <c r="B331" s="54">
        <v>46135</v>
      </c>
      <c r="C331" s="44" t="s">
        <v>1189</v>
      </c>
      <c r="D331" s="53">
        <v>20</v>
      </c>
      <c r="E331" s="53" t="s">
        <v>20</v>
      </c>
      <c r="F331" s="53" t="s">
        <v>868</v>
      </c>
      <c r="G331" s="188">
        <v>198000</v>
      </c>
      <c r="H331" s="53" t="s">
        <v>842</v>
      </c>
      <c r="I331" s="31" t="s">
        <v>1246</v>
      </c>
      <c r="J331" s="31"/>
      <c r="K331" s="31"/>
      <c r="L331" s="31">
        <f t="shared" si="34"/>
        <v>20</v>
      </c>
      <c r="M331" s="31" t="s">
        <v>1247</v>
      </c>
      <c r="N331" s="31"/>
      <c r="O331" s="31"/>
      <c r="P331" s="31"/>
      <c r="Q331" s="31"/>
      <c r="R331" s="31" t="s">
        <v>1249</v>
      </c>
      <c r="S331" s="31"/>
      <c r="T331" s="31" t="str">
        <f t="shared" ref="T331:T388" si="35">I331&amp;" "&amp;L331&amp;""&amp;" "&amp;M331</f>
        <v>Cước vận chuyển vỏ container 20 từ bãi JJ, Hải Phòng đến Nam Đình Vũ, Hải Phòng</v>
      </c>
      <c r="U331" s="31"/>
    </row>
    <row r="332" spans="1:21" s="29" customFormat="1" ht="18" hidden="1" customHeight="1" x14ac:dyDescent="0.25">
      <c r="A332" s="44">
        <v>323</v>
      </c>
      <c r="B332" s="54">
        <v>46135</v>
      </c>
      <c r="C332" s="44" t="s">
        <v>1190</v>
      </c>
      <c r="D332" s="53">
        <v>20</v>
      </c>
      <c r="E332" s="53" t="s">
        <v>20</v>
      </c>
      <c r="F332" s="53" t="s">
        <v>868</v>
      </c>
      <c r="G332" s="188">
        <v>198000</v>
      </c>
      <c r="H332" s="53" t="s">
        <v>842</v>
      </c>
      <c r="I332" s="31" t="s">
        <v>1246</v>
      </c>
      <c r="J332" s="31"/>
      <c r="K332" s="31"/>
      <c r="L332" s="31">
        <f t="shared" si="34"/>
        <v>20</v>
      </c>
      <c r="M332" s="31" t="s">
        <v>1247</v>
      </c>
      <c r="N332" s="31"/>
      <c r="O332" s="31"/>
      <c r="P332" s="31"/>
      <c r="Q332" s="31"/>
      <c r="R332" s="31" t="s">
        <v>1249</v>
      </c>
      <c r="S332" s="31"/>
      <c r="T332" s="31" t="str">
        <f t="shared" si="35"/>
        <v>Cước vận chuyển vỏ container 20 từ bãi JJ, Hải Phòng đến Nam Đình Vũ, Hải Phòng</v>
      </c>
      <c r="U332" s="31"/>
    </row>
    <row r="333" spans="1:21" s="29" customFormat="1" ht="18" hidden="1" customHeight="1" x14ac:dyDescent="0.25">
      <c r="A333" s="44">
        <v>324</v>
      </c>
      <c r="B333" s="54">
        <v>46135</v>
      </c>
      <c r="C333" s="44" t="s">
        <v>1191</v>
      </c>
      <c r="D333" s="53">
        <v>20</v>
      </c>
      <c r="E333" s="53" t="s">
        <v>20</v>
      </c>
      <c r="F333" s="53" t="s">
        <v>868</v>
      </c>
      <c r="G333" s="188">
        <v>198000</v>
      </c>
      <c r="H333" s="53" t="s">
        <v>842</v>
      </c>
      <c r="I333" s="31" t="s">
        <v>1246</v>
      </c>
      <c r="J333" s="31"/>
      <c r="K333" s="31"/>
      <c r="L333" s="31">
        <f t="shared" si="34"/>
        <v>20</v>
      </c>
      <c r="M333" s="31" t="s">
        <v>1247</v>
      </c>
      <c r="N333" s="31"/>
      <c r="O333" s="31"/>
      <c r="P333" s="31"/>
      <c r="Q333" s="31"/>
      <c r="R333" s="31" t="s">
        <v>1249</v>
      </c>
      <c r="S333" s="31"/>
      <c r="T333" s="31" t="str">
        <f t="shared" si="35"/>
        <v>Cước vận chuyển vỏ container 20 từ bãi JJ, Hải Phòng đến Nam Đình Vũ, Hải Phòng</v>
      </c>
      <c r="U333" s="31"/>
    </row>
    <row r="334" spans="1:21" s="29" customFormat="1" ht="18" hidden="1" customHeight="1" x14ac:dyDescent="0.25">
      <c r="A334" s="44">
        <v>325</v>
      </c>
      <c r="B334" s="54">
        <v>46135</v>
      </c>
      <c r="C334" s="44" t="s">
        <v>1192</v>
      </c>
      <c r="D334" s="53">
        <v>20</v>
      </c>
      <c r="E334" s="53" t="s">
        <v>20</v>
      </c>
      <c r="F334" s="53" t="s">
        <v>868</v>
      </c>
      <c r="G334" s="188">
        <v>198000</v>
      </c>
      <c r="H334" s="53" t="s">
        <v>842</v>
      </c>
      <c r="I334" s="31" t="s">
        <v>1246</v>
      </c>
      <c r="J334" s="31"/>
      <c r="K334" s="31"/>
      <c r="L334" s="31">
        <f t="shared" si="34"/>
        <v>20</v>
      </c>
      <c r="M334" s="31" t="s">
        <v>1247</v>
      </c>
      <c r="N334" s="31"/>
      <c r="O334" s="31"/>
      <c r="P334" s="31"/>
      <c r="Q334" s="31"/>
      <c r="R334" s="31" t="s">
        <v>1249</v>
      </c>
      <c r="S334" s="31"/>
      <c r="T334" s="31" t="str">
        <f t="shared" si="35"/>
        <v>Cước vận chuyển vỏ container 20 từ bãi JJ, Hải Phòng đến Nam Đình Vũ, Hải Phòng</v>
      </c>
      <c r="U334" s="31"/>
    </row>
    <row r="335" spans="1:21" s="29" customFormat="1" ht="18" hidden="1" customHeight="1" x14ac:dyDescent="0.25">
      <c r="A335" s="44">
        <v>326</v>
      </c>
      <c r="B335" s="54">
        <v>46135</v>
      </c>
      <c r="C335" s="44" t="s">
        <v>1193</v>
      </c>
      <c r="D335" s="53">
        <v>20</v>
      </c>
      <c r="E335" s="53" t="s">
        <v>20</v>
      </c>
      <c r="F335" s="53" t="s">
        <v>868</v>
      </c>
      <c r="G335" s="188">
        <v>198000</v>
      </c>
      <c r="H335" s="53" t="s">
        <v>842</v>
      </c>
      <c r="I335" s="31" t="s">
        <v>1246</v>
      </c>
      <c r="J335" s="31"/>
      <c r="K335" s="31"/>
      <c r="L335" s="31">
        <f t="shared" si="34"/>
        <v>20</v>
      </c>
      <c r="M335" s="31" t="s">
        <v>1247</v>
      </c>
      <c r="N335" s="31"/>
      <c r="O335" s="31"/>
      <c r="P335" s="31"/>
      <c r="Q335" s="31"/>
      <c r="R335" s="31" t="s">
        <v>1249</v>
      </c>
      <c r="S335" s="31"/>
      <c r="T335" s="31" t="str">
        <f t="shared" si="35"/>
        <v>Cước vận chuyển vỏ container 20 từ bãi JJ, Hải Phòng đến Nam Đình Vũ, Hải Phòng</v>
      </c>
      <c r="U335" s="31"/>
    </row>
    <row r="336" spans="1:21" s="29" customFormat="1" ht="18" hidden="1" customHeight="1" x14ac:dyDescent="0.25">
      <c r="A336" s="44">
        <v>327</v>
      </c>
      <c r="B336" s="54">
        <v>46135</v>
      </c>
      <c r="C336" s="44" t="s">
        <v>1194</v>
      </c>
      <c r="D336" s="53">
        <v>20</v>
      </c>
      <c r="E336" s="53" t="s">
        <v>20</v>
      </c>
      <c r="F336" s="53" t="s">
        <v>868</v>
      </c>
      <c r="G336" s="188">
        <v>198000</v>
      </c>
      <c r="H336" s="53" t="s">
        <v>842</v>
      </c>
      <c r="I336" s="31" t="s">
        <v>1246</v>
      </c>
      <c r="J336" s="31"/>
      <c r="K336" s="31"/>
      <c r="L336" s="31">
        <f t="shared" si="34"/>
        <v>20</v>
      </c>
      <c r="M336" s="31" t="s">
        <v>1247</v>
      </c>
      <c r="N336" s="31"/>
      <c r="O336" s="31"/>
      <c r="P336" s="31"/>
      <c r="Q336" s="31"/>
      <c r="R336" s="31" t="s">
        <v>1249</v>
      </c>
      <c r="S336" s="31"/>
      <c r="T336" s="31" t="str">
        <f t="shared" si="35"/>
        <v>Cước vận chuyển vỏ container 20 từ bãi JJ, Hải Phòng đến Nam Đình Vũ, Hải Phòng</v>
      </c>
      <c r="U336" s="31"/>
    </row>
    <row r="337" spans="1:21" s="29" customFormat="1" ht="18" hidden="1" customHeight="1" x14ac:dyDescent="0.25">
      <c r="A337" s="44">
        <v>328</v>
      </c>
      <c r="B337" s="54">
        <v>46134</v>
      </c>
      <c r="C337" s="44" t="s">
        <v>1195</v>
      </c>
      <c r="D337" s="53">
        <v>40</v>
      </c>
      <c r="E337" s="53" t="s">
        <v>20</v>
      </c>
      <c r="F337" s="53" t="s">
        <v>868</v>
      </c>
      <c r="G337" s="176">
        <v>365000</v>
      </c>
      <c r="H337" s="53" t="s">
        <v>842</v>
      </c>
      <c r="I337" s="31" t="s">
        <v>1246</v>
      </c>
      <c r="J337" s="31"/>
      <c r="K337" s="31"/>
      <c r="L337" s="31">
        <f t="shared" si="34"/>
        <v>40</v>
      </c>
      <c r="M337" s="31" t="s">
        <v>1247</v>
      </c>
      <c r="N337" s="31"/>
      <c r="O337" s="31"/>
      <c r="P337" s="31"/>
      <c r="Q337" s="31"/>
      <c r="R337" s="31" t="s">
        <v>1249</v>
      </c>
      <c r="S337" s="31"/>
      <c r="T337" s="31" t="str">
        <f t="shared" si="35"/>
        <v>Cước vận chuyển vỏ container 40 từ bãi JJ, Hải Phòng đến Nam Đình Vũ, Hải Phòng</v>
      </c>
      <c r="U337" s="31"/>
    </row>
    <row r="338" spans="1:21" s="29" customFormat="1" ht="18" hidden="1" customHeight="1" x14ac:dyDescent="0.25">
      <c r="A338" s="44">
        <v>329</v>
      </c>
      <c r="B338" s="54">
        <v>46134</v>
      </c>
      <c r="C338" s="44" t="s">
        <v>1196</v>
      </c>
      <c r="D338" s="53">
        <v>40</v>
      </c>
      <c r="E338" s="53" t="s">
        <v>20</v>
      </c>
      <c r="F338" s="53" t="s">
        <v>868</v>
      </c>
      <c r="G338" s="176">
        <v>365000</v>
      </c>
      <c r="H338" s="53" t="s">
        <v>842</v>
      </c>
      <c r="I338" s="31" t="s">
        <v>1246</v>
      </c>
      <c r="J338" s="31"/>
      <c r="L338" s="31">
        <f t="shared" si="34"/>
        <v>40</v>
      </c>
      <c r="M338" s="31" t="s">
        <v>1247</v>
      </c>
      <c r="R338" s="31" t="s">
        <v>1249</v>
      </c>
      <c r="T338" s="31" t="str">
        <f t="shared" si="35"/>
        <v>Cước vận chuyển vỏ container 40 từ bãi JJ, Hải Phòng đến Nam Đình Vũ, Hải Phòng</v>
      </c>
      <c r="U338" s="31"/>
    </row>
    <row r="339" spans="1:21" s="29" customFormat="1" ht="18" hidden="1" customHeight="1" x14ac:dyDescent="0.25">
      <c r="A339" s="44">
        <v>330</v>
      </c>
      <c r="B339" s="54">
        <v>46134</v>
      </c>
      <c r="C339" s="44" t="s">
        <v>1197</v>
      </c>
      <c r="D339" s="53">
        <v>40</v>
      </c>
      <c r="E339" s="53" t="s">
        <v>20</v>
      </c>
      <c r="F339" s="53" t="s">
        <v>868</v>
      </c>
      <c r="G339" s="176">
        <v>365000</v>
      </c>
      <c r="H339" s="53" t="s">
        <v>28</v>
      </c>
      <c r="I339" s="31" t="s">
        <v>1246</v>
      </c>
      <c r="J339" s="31"/>
      <c r="L339" s="31">
        <f t="shared" si="34"/>
        <v>40</v>
      </c>
      <c r="M339" s="31" t="s">
        <v>1247</v>
      </c>
      <c r="R339" s="31" t="s">
        <v>1249</v>
      </c>
      <c r="T339" s="31" t="str">
        <f t="shared" si="35"/>
        <v>Cước vận chuyển vỏ container 40 từ bãi JJ, Hải Phòng đến Nam Đình Vũ, Hải Phòng</v>
      </c>
      <c r="U339" s="31"/>
    </row>
    <row r="340" spans="1:21" s="29" customFormat="1" ht="18" hidden="1" customHeight="1" x14ac:dyDescent="0.25">
      <c r="A340" s="44">
        <v>331</v>
      </c>
      <c r="B340" s="54">
        <v>46134</v>
      </c>
      <c r="C340" s="44" t="s">
        <v>1198</v>
      </c>
      <c r="D340" s="53">
        <v>40</v>
      </c>
      <c r="E340" s="53" t="s">
        <v>20</v>
      </c>
      <c r="F340" s="53" t="s">
        <v>868</v>
      </c>
      <c r="G340" s="176">
        <v>365000</v>
      </c>
      <c r="H340" s="53" t="s">
        <v>28</v>
      </c>
      <c r="I340" s="31" t="s">
        <v>1246</v>
      </c>
      <c r="J340" s="31"/>
      <c r="L340" s="31">
        <f t="shared" si="34"/>
        <v>40</v>
      </c>
      <c r="M340" s="31" t="s">
        <v>1247</v>
      </c>
      <c r="R340" s="31" t="s">
        <v>1249</v>
      </c>
      <c r="T340" s="31" t="str">
        <f t="shared" si="35"/>
        <v>Cước vận chuyển vỏ container 40 từ bãi JJ, Hải Phòng đến Nam Đình Vũ, Hải Phòng</v>
      </c>
      <c r="U340" s="31"/>
    </row>
    <row r="341" spans="1:21" s="29" customFormat="1" ht="18" hidden="1" customHeight="1" x14ac:dyDescent="0.25">
      <c r="A341" s="44">
        <v>332</v>
      </c>
      <c r="B341" s="54">
        <v>46134</v>
      </c>
      <c r="C341" s="44" t="s">
        <v>1199</v>
      </c>
      <c r="D341" s="53">
        <v>40</v>
      </c>
      <c r="E341" s="53" t="s">
        <v>20</v>
      </c>
      <c r="F341" s="53" t="s">
        <v>868</v>
      </c>
      <c r="G341" s="176">
        <v>365000</v>
      </c>
      <c r="H341" s="53" t="s">
        <v>28</v>
      </c>
      <c r="I341" s="31" t="s">
        <v>1246</v>
      </c>
      <c r="J341" s="31"/>
      <c r="L341" s="31">
        <f t="shared" si="34"/>
        <v>40</v>
      </c>
      <c r="M341" s="31" t="s">
        <v>1247</v>
      </c>
      <c r="R341" s="31" t="s">
        <v>1249</v>
      </c>
      <c r="T341" s="31" t="str">
        <f t="shared" si="35"/>
        <v>Cước vận chuyển vỏ container 40 từ bãi JJ, Hải Phòng đến Nam Đình Vũ, Hải Phòng</v>
      </c>
      <c r="U341" s="31"/>
    </row>
    <row r="342" spans="1:21" s="29" customFormat="1" ht="18" hidden="1" customHeight="1" x14ac:dyDescent="0.25">
      <c r="A342" s="44">
        <v>333</v>
      </c>
      <c r="B342" s="54">
        <v>46134</v>
      </c>
      <c r="C342" s="44" t="s">
        <v>1200</v>
      </c>
      <c r="D342" s="53">
        <v>40</v>
      </c>
      <c r="E342" s="53" t="s">
        <v>20</v>
      </c>
      <c r="F342" s="53" t="s">
        <v>868</v>
      </c>
      <c r="G342" s="176">
        <v>365000</v>
      </c>
      <c r="H342" s="53" t="s">
        <v>28</v>
      </c>
      <c r="I342" s="31" t="s">
        <v>1246</v>
      </c>
      <c r="J342" s="31"/>
      <c r="L342" s="31">
        <f t="shared" si="34"/>
        <v>40</v>
      </c>
      <c r="M342" s="31" t="s">
        <v>1247</v>
      </c>
      <c r="R342" s="31" t="s">
        <v>1249</v>
      </c>
      <c r="T342" s="31" t="str">
        <f t="shared" si="35"/>
        <v>Cước vận chuyển vỏ container 40 từ bãi JJ, Hải Phòng đến Nam Đình Vũ, Hải Phòng</v>
      </c>
      <c r="U342" s="31"/>
    </row>
    <row r="343" spans="1:21" s="29" customFormat="1" ht="18" hidden="1" customHeight="1" x14ac:dyDescent="0.25">
      <c r="A343" s="44">
        <v>334</v>
      </c>
      <c r="B343" s="54">
        <v>46134</v>
      </c>
      <c r="C343" s="44" t="s">
        <v>1201</v>
      </c>
      <c r="D343" s="53">
        <v>40</v>
      </c>
      <c r="E343" s="53" t="s">
        <v>20</v>
      </c>
      <c r="F343" s="53" t="s">
        <v>868</v>
      </c>
      <c r="G343" s="176">
        <v>365000</v>
      </c>
      <c r="H343" s="53" t="s">
        <v>28</v>
      </c>
      <c r="I343" s="31" t="s">
        <v>1246</v>
      </c>
      <c r="J343" s="31"/>
      <c r="L343" s="31">
        <f t="shared" si="34"/>
        <v>40</v>
      </c>
      <c r="M343" s="31" t="s">
        <v>1247</v>
      </c>
      <c r="R343" s="31" t="s">
        <v>1249</v>
      </c>
      <c r="T343" s="31" t="str">
        <f t="shared" si="35"/>
        <v>Cước vận chuyển vỏ container 40 từ bãi JJ, Hải Phòng đến Nam Đình Vũ, Hải Phòng</v>
      </c>
      <c r="U343" s="31"/>
    </row>
    <row r="344" spans="1:21" s="29" customFormat="1" ht="18" hidden="1" customHeight="1" x14ac:dyDescent="0.25">
      <c r="A344" s="44">
        <v>335</v>
      </c>
      <c r="B344" s="54">
        <v>46134</v>
      </c>
      <c r="C344" s="44" t="s">
        <v>1202</v>
      </c>
      <c r="D344" s="53">
        <v>40</v>
      </c>
      <c r="E344" s="53" t="s">
        <v>20</v>
      </c>
      <c r="F344" s="53" t="s">
        <v>868</v>
      </c>
      <c r="G344" s="176">
        <v>365000</v>
      </c>
      <c r="H344" s="53" t="s">
        <v>28</v>
      </c>
      <c r="I344" s="31" t="s">
        <v>1246</v>
      </c>
      <c r="J344" s="31"/>
      <c r="L344" s="31">
        <f t="shared" si="34"/>
        <v>40</v>
      </c>
      <c r="M344" s="31" t="s">
        <v>1247</v>
      </c>
      <c r="R344" s="31" t="s">
        <v>1249</v>
      </c>
      <c r="T344" s="31" t="str">
        <f t="shared" si="35"/>
        <v>Cước vận chuyển vỏ container 40 từ bãi JJ, Hải Phòng đến Nam Đình Vũ, Hải Phòng</v>
      </c>
      <c r="U344" s="31"/>
    </row>
    <row r="345" spans="1:21" s="29" customFormat="1" ht="18" hidden="1" customHeight="1" x14ac:dyDescent="0.25">
      <c r="A345" s="44">
        <v>336</v>
      </c>
      <c r="B345" s="54">
        <v>46134</v>
      </c>
      <c r="C345" s="44" t="s">
        <v>1203</v>
      </c>
      <c r="D345" s="53">
        <v>20</v>
      </c>
      <c r="E345" s="53" t="s">
        <v>20</v>
      </c>
      <c r="F345" s="53" t="s">
        <v>868</v>
      </c>
      <c r="G345" s="188">
        <v>198000</v>
      </c>
      <c r="H345" s="53" t="s">
        <v>28</v>
      </c>
      <c r="I345" s="31" t="s">
        <v>1246</v>
      </c>
      <c r="J345" s="31"/>
      <c r="L345" s="31">
        <f t="shared" ref="L345:L359" si="36">D345</f>
        <v>20</v>
      </c>
      <c r="M345" s="31" t="s">
        <v>1247</v>
      </c>
      <c r="R345" s="31" t="s">
        <v>1249</v>
      </c>
      <c r="T345" s="31" t="str">
        <f t="shared" si="35"/>
        <v>Cước vận chuyển vỏ container 20 từ bãi JJ, Hải Phòng đến Nam Đình Vũ, Hải Phòng</v>
      </c>
      <c r="U345" s="31"/>
    </row>
    <row r="346" spans="1:21" s="29" customFormat="1" ht="18" hidden="1" customHeight="1" x14ac:dyDescent="0.25">
      <c r="A346" s="44">
        <v>337</v>
      </c>
      <c r="B346" s="54">
        <v>46134</v>
      </c>
      <c r="C346" s="44" t="s">
        <v>1204</v>
      </c>
      <c r="D346" s="53">
        <v>20</v>
      </c>
      <c r="E346" s="53" t="s">
        <v>20</v>
      </c>
      <c r="F346" s="53" t="s">
        <v>868</v>
      </c>
      <c r="G346" s="188">
        <v>198000</v>
      </c>
      <c r="H346" s="53" t="s">
        <v>28</v>
      </c>
      <c r="I346" s="31" t="s">
        <v>1246</v>
      </c>
      <c r="J346" s="31"/>
      <c r="L346" s="31">
        <f t="shared" si="36"/>
        <v>20</v>
      </c>
      <c r="M346" s="31" t="s">
        <v>1247</v>
      </c>
      <c r="R346" s="31" t="s">
        <v>1249</v>
      </c>
      <c r="T346" s="31" t="str">
        <f t="shared" si="35"/>
        <v>Cước vận chuyển vỏ container 20 từ bãi JJ, Hải Phòng đến Nam Đình Vũ, Hải Phòng</v>
      </c>
      <c r="U346" s="31"/>
    </row>
    <row r="347" spans="1:21" s="29" customFormat="1" ht="18" hidden="1" customHeight="1" x14ac:dyDescent="0.25">
      <c r="A347" s="44">
        <v>338</v>
      </c>
      <c r="B347" s="54">
        <v>46134</v>
      </c>
      <c r="C347" s="44" t="s">
        <v>1205</v>
      </c>
      <c r="D347" s="53">
        <v>20</v>
      </c>
      <c r="E347" s="53" t="s">
        <v>20</v>
      </c>
      <c r="F347" s="53" t="s">
        <v>868</v>
      </c>
      <c r="G347" s="188">
        <v>198000</v>
      </c>
      <c r="H347" s="53" t="s">
        <v>28</v>
      </c>
      <c r="I347" s="31" t="s">
        <v>1246</v>
      </c>
      <c r="J347" s="31"/>
      <c r="L347" s="31">
        <f t="shared" si="36"/>
        <v>20</v>
      </c>
      <c r="M347" s="31" t="s">
        <v>1247</v>
      </c>
      <c r="R347" s="31" t="s">
        <v>1249</v>
      </c>
      <c r="T347" s="31" t="str">
        <f t="shared" si="35"/>
        <v>Cước vận chuyển vỏ container 20 từ bãi JJ, Hải Phòng đến Nam Đình Vũ, Hải Phòng</v>
      </c>
      <c r="U347" s="31"/>
    </row>
    <row r="348" spans="1:21" s="29" customFormat="1" ht="18" hidden="1" customHeight="1" x14ac:dyDescent="0.25">
      <c r="A348" s="44">
        <v>339</v>
      </c>
      <c r="B348" s="54">
        <v>46134</v>
      </c>
      <c r="C348" s="44" t="s">
        <v>1206</v>
      </c>
      <c r="D348" s="53">
        <v>20</v>
      </c>
      <c r="E348" s="53" t="s">
        <v>20</v>
      </c>
      <c r="F348" s="53" t="s">
        <v>868</v>
      </c>
      <c r="G348" s="188">
        <v>198000</v>
      </c>
      <c r="H348" s="53" t="s">
        <v>28</v>
      </c>
      <c r="I348" s="31" t="s">
        <v>1246</v>
      </c>
      <c r="J348" s="31"/>
      <c r="L348" s="31">
        <f t="shared" si="36"/>
        <v>20</v>
      </c>
      <c r="M348" s="31" t="s">
        <v>1247</v>
      </c>
      <c r="R348" s="31" t="s">
        <v>1249</v>
      </c>
      <c r="T348" s="31" t="str">
        <f t="shared" si="35"/>
        <v>Cước vận chuyển vỏ container 20 từ bãi JJ, Hải Phòng đến Nam Đình Vũ, Hải Phòng</v>
      </c>
      <c r="U348" s="31"/>
    </row>
    <row r="349" spans="1:21" s="29" customFormat="1" ht="18" hidden="1" customHeight="1" x14ac:dyDescent="0.25">
      <c r="A349" s="44">
        <v>340</v>
      </c>
      <c r="B349" s="54">
        <v>46134</v>
      </c>
      <c r="C349" s="44" t="s">
        <v>1207</v>
      </c>
      <c r="D349" s="53">
        <v>20</v>
      </c>
      <c r="E349" s="53" t="s">
        <v>20</v>
      </c>
      <c r="F349" s="53" t="s">
        <v>868</v>
      </c>
      <c r="G349" s="188">
        <v>198000</v>
      </c>
      <c r="H349" s="53" t="s">
        <v>30</v>
      </c>
      <c r="I349" s="31" t="s">
        <v>1246</v>
      </c>
      <c r="J349" s="31"/>
      <c r="L349" s="31">
        <f t="shared" si="36"/>
        <v>20</v>
      </c>
      <c r="M349" s="31" t="s">
        <v>1247</v>
      </c>
      <c r="R349" s="31" t="s">
        <v>1249</v>
      </c>
      <c r="T349" s="31" t="str">
        <f t="shared" si="35"/>
        <v>Cước vận chuyển vỏ container 20 từ bãi JJ, Hải Phòng đến Nam Đình Vũ, Hải Phòng</v>
      </c>
      <c r="U349" s="31"/>
    </row>
    <row r="350" spans="1:21" s="29" customFormat="1" ht="18" hidden="1" customHeight="1" x14ac:dyDescent="0.25">
      <c r="A350" s="44">
        <v>341</v>
      </c>
      <c r="B350" s="54">
        <v>46134</v>
      </c>
      <c r="C350" s="44" t="s">
        <v>1208</v>
      </c>
      <c r="D350" s="53">
        <v>20</v>
      </c>
      <c r="E350" s="53" t="s">
        <v>20</v>
      </c>
      <c r="F350" s="53" t="s">
        <v>868</v>
      </c>
      <c r="G350" s="188">
        <v>198000</v>
      </c>
      <c r="H350" s="53" t="s">
        <v>30</v>
      </c>
      <c r="I350" s="31" t="s">
        <v>1246</v>
      </c>
      <c r="J350" s="31"/>
      <c r="L350" s="31">
        <f t="shared" si="36"/>
        <v>20</v>
      </c>
      <c r="M350" s="31" t="s">
        <v>1247</v>
      </c>
      <c r="R350" s="31" t="s">
        <v>1249</v>
      </c>
      <c r="T350" s="31" t="str">
        <f t="shared" si="35"/>
        <v>Cước vận chuyển vỏ container 20 từ bãi JJ, Hải Phòng đến Nam Đình Vũ, Hải Phòng</v>
      </c>
      <c r="U350" s="31"/>
    </row>
    <row r="351" spans="1:21" s="29" customFormat="1" ht="18" hidden="1" customHeight="1" x14ac:dyDescent="0.25">
      <c r="A351" s="44">
        <v>342</v>
      </c>
      <c r="B351" s="54">
        <v>46134</v>
      </c>
      <c r="C351" s="44" t="s">
        <v>1209</v>
      </c>
      <c r="D351" s="53">
        <v>40</v>
      </c>
      <c r="E351" s="53" t="s">
        <v>20</v>
      </c>
      <c r="F351" s="53" t="s">
        <v>868</v>
      </c>
      <c r="G351" s="176">
        <v>365000</v>
      </c>
      <c r="H351" s="53" t="s">
        <v>30</v>
      </c>
      <c r="I351" s="31" t="s">
        <v>1246</v>
      </c>
      <c r="J351" s="31"/>
      <c r="L351" s="31">
        <f t="shared" si="36"/>
        <v>40</v>
      </c>
      <c r="M351" s="31" t="s">
        <v>1247</v>
      </c>
      <c r="R351" s="31" t="s">
        <v>1249</v>
      </c>
      <c r="T351" s="31" t="str">
        <f t="shared" si="35"/>
        <v>Cước vận chuyển vỏ container 40 từ bãi JJ, Hải Phòng đến Nam Đình Vũ, Hải Phòng</v>
      </c>
      <c r="U351" s="31"/>
    </row>
    <row r="352" spans="1:21" s="29" customFormat="1" ht="18" hidden="1" customHeight="1" x14ac:dyDescent="0.25">
      <c r="A352" s="44">
        <v>343</v>
      </c>
      <c r="B352" s="54">
        <v>46134</v>
      </c>
      <c r="C352" s="44" t="s">
        <v>1210</v>
      </c>
      <c r="D352" s="53">
        <v>40</v>
      </c>
      <c r="E352" s="53" t="s">
        <v>20</v>
      </c>
      <c r="F352" s="53" t="s">
        <v>868</v>
      </c>
      <c r="G352" s="176">
        <v>365000</v>
      </c>
      <c r="H352" s="53" t="s">
        <v>30</v>
      </c>
      <c r="I352" s="31" t="s">
        <v>1246</v>
      </c>
      <c r="J352" s="31"/>
      <c r="L352" s="31">
        <f t="shared" si="36"/>
        <v>40</v>
      </c>
      <c r="M352" s="31" t="s">
        <v>1247</v>
      </c>
      <c r="R352" s="31" t="s">
        <v>1249</v>
      </c>
      <c r="T352" s="31" t="str">
        <f t="shared" si="35"/>
        <v>Cước vận chuyển vỏ container 40 từ bãi JJ, Hải Phòng đến Nam Đình Vũ, Hải Phòng</v>
      </c>
      <c r="U352" s="31"/>
    </row>
    <row r="353" spans="1:21" s="29" customFormat="1" ht="18" hidden="1" customHeight="1" x14ac:dyDescent="0.25">
      <c r="A353" s="44">
        <v>344</v>
      </c>
      <c r="B353" s="54">
        <v>46134</v>
      </c>
      <c r="C353" s="44" t="s">
        <v>1211</v>
      </c>
      <c r="D353" s="53">
        <v>40</v>
      </c>
      <c r="E353" s="53" t="s">
        <v>20</v>
      </c>
      <c r="F353" s="53" t="s">
        <v>868</v>
      </c>
      <c r="G353" s="176">
        <v>365000</v>
      </c>
      <c r="H353" s="53" t="s">
        <v>30</v>
      </c>
      <c r="I353" s="31" t="s">
        <v>1246</v>
      </c>
      <c r="J353" s="31"/>
      <c r="L353" s="31">
        <f t="shared" si="36"/>
        <v>40</v>
      </c>
      <c r="M353" s="31" t="s">
        <v>1247</v>
      </c>
      <c r="R353" s="31" t="s">
        <v>1249</v>
      </c>
      <c r="T353" s="31" t="str">
        <f t="shared" si="35"/>
        <v>Cước vận chuyển vỏ container 40 từ bãi JJ, Hải Phòng đến Nam Đình Vũ, Hải Phòng</v>
      </c>
      <c r="U353" s="31"/>
    </row>
    <row r="354" spans="1:21" s="29" customFormat="1" ht="18" hidden="1" customHeight="1" x14ac:dyDescent="0.25">
      <c r="A354" s="44">
        <v>345</v>
      </c>
      <c r="B354" s="54">
        <v>46134</v>
      </c>
      <c r="C354" s="44" t="s">
        <v>1212</v>
      </c>
      <c r="D354" s="53">
        <v>40</v>
      </c>
      <c r="E354" s="53" t="s">
        <v>20</v>
      </c>
      <c r="F354" s="53" t="s">
        <v>868</v>
      </c>
      <c r="G354" s="176">
        <v>365000</v>
      </c>
      <c r="H354" s="53" t="s">
        <v>30</v>
      </c>
      <c r="I354" s="31" t="s">
        <v>1246</v>
      </c>
      <c r="J354" s="31"/>
      <c r="L354" s="31">
        <f t="shared" si="36"/>
        <v>40</v>
      </c>
      <c r="M354" s="31" t="s">
        <v>1247</v>
      </c>
      <c r="R354" s="31" t="s">
        <v>1249</v>
      </c>
      <c r="T354" s="31" t="str">
        <f t="shared" si="35"/>
        <v>Cước vận chuyển vỏ container 40 từ bãi JJ, Hải Phòng đến Nam Đình Vũ, Hải Phòng</v>
      </c>
      <c r="U354" s="31"/>
    </row>
    <row r="355" spans="1:21" s="29" customFormat="1" ht="18" hidden="1" customHeight="1" x14ac:dyDescent="0.25">
      <c r="A355" s="44">
        <v>346</v>
      </c>
      <c r="B355" s="54">
        <v>46134</v>
      </c>
      <c r="C355" s="44" t="s">
        <v>1213</v>
      </c>
      <c r="D355" s="53">
        <v>40</v>
      </c>
      <c r="E355" s="53" t="s">
        <v>20</v>
      </c>
      <c r="F355" s="53" t="s">
        <v>868</v>
      </c>
      <c r="G355" s="176">
        <v>365000</v>
      </c>
      <c r="H355" s="53" t="s">
        <v>30</v>
      </c>
      <c r="I355" s="31" t="s">
        <v>1246</v>
      </c>
      <c r="J355" s="31"/>
      <c r="L355" s="31">
        <f t="shared" si="36"/>
        <v>40</v>
      </c>
      <c r="M355" s="31" t="s">
        <v>1247</v>
      </c>
      <c r="R355" s="31" t="s">
        <v>1249</v>
      </c>
      <c r="T355" s="31" t="str">
        <f t="shared" si="35"/>
        <v>Cước vận chuyển vỏ container 40 từ bãi JJ, Hải Phòng đến Nam Đình Vũ, Hải Phòng</v>
      </c>
      <c r="U355" s="31"/>
    </row>
    <row r="356" spans="1:21" s="29" customFormat="1" ht="18" hidden="1" customHeight="1" x14ac:dyDescent="0.25">
      <c r="A356" s="44">
        <v>347</v>
      </c>
      <c r="B356" s="54">
        <v>46134</v>
      </c>
      <c r="C356" s="44" t="s">
        <v>1214</v>
      </c>
      <c r="D356" s="53">
        <v>40</v>
      </c>
      <c r="E356" s="53" t="s">
        <v>20</v>
      </c>
      <c r="F356" s="53" t="s">
        <v>868</v>
      </c>
      <c r="G356" s="176">
        <v>365000</v>
      </c>
      <c r="H356" s="53" t="s">
        <v>30</v>
      </c>
      <c r="I356" s="31" t="s">
        <v>1246</v>
      </c>
      <c r="J356" s="31"/>
      <c r="L356" s="31">
        <f t="shared" si="36"/>
        <v>40</v>
      </c>
      <c r="M356" s="31" t="s">
        <v>1247</v>
      </c>
      <c r="R356" s="31" t="s">
        <v>1249</v>
      </c>
      <c r="T356" s="31" t="str">
        <f t="shared" si="35"/>
        <v>Cước vận chuyển vỏ container 40 từ bãi JJ, Hải Phòng đến Nam Đình Vũ, Hải Phòng</v>
      </c>
      <c r="U356" s="31"/>
    </row>
    <row r="357" spans="1:21" s="29" customFormat="1" ht="18" hidden="1" customHeight="1" x14ac:dyDescent="0.25">
      <c r="A357" s="44">
        <v>348</v>
      </c>
      <c r="B357" s="54">
        <v>46134</v>
      </c>
      <c r="C357" s="44" t="s">
        <v>1215</v>
      </c>
      <c r="D357" s="53">
        <v>40</v>
      </c>
      <c r="E357" s="53" t="s">
        <v>20</v>
      </c>
      <c r="F357" s="53" t="s">
        <v>868</v>
      </c>
      <c r="G357" s="176">
        <v>365000</v>
      </c>
      <c r="H357" s="53" t="s">
        <v>552</v>
      </c>
      <c r="I357" s="31" t="s">
        <v>1246</v>
      </c>
      <c r="J357" s="31"/>
      <c r="L357" s="31">
        <f t="shared" si="36"/>
        <v>40</v>
      </c>
      <c r="M357" s="31" t="s">
        <v>1247</v>
      </c>
      <c r="R357" s="31" t="s">
        <v>1249</v>
      </c>
      <c r="T357" s="31" t="str">
        <f t="shared" si="35"/>
        <v>Cước vận chuyển vỏ container 40 từ bãi JJ, Hải Phòng đến Nam Đình Vũ, Hải Phòng</v>
      </c>
      <c r="U357" s="31"/>
    </row>
    <row r="358" spans="1:21" s="29" customFormat="1" ht="18" hidden="1" customHeight="1" x14ac:dyDescent="0.25">
      <c r="A358" s="44">
        <v>349</v>
      </c>
      <c r="B358" s="54">
        <v>46134</v>
      </c>
      <c r="C358" s="44" t="s">
        <v>1216</v>
      </c>
      <c r="D358" s="53">
        <v>40</v>
      </c>
      <c r="E358" s="53" t="s">
        <v>20</v>
      </c>
      <c r="F358" s="53" t="s">
        <v>868</v>
      </c>
      <c r="G358" s="176">
        <v>365000</v>
      </c>
      <c r="H358" s="53" t="s">
        <v>552</v>
      </c>
      <c r="I358" s="31" t="s">
        <v>1246</v>
      </c>
      <c r="J358" s="31"/>
      <c r="L358" s="31">
        <f t="shared" si="36"/>
        <v>40</v>
      </c>
      <c r="M358" s="31" t="s">
        <v>1247</v>
      </c>
      <c r="R358" s="31" t="s">
        <v>1249</v>
      </c>
      <c r="T358" s="31" t="str">
        <f t="shared" si="35"/>
        <v>Cước vận chuyển vỏ container 40 từ bãi JJ, Hải Phòng đến Nam Đình Vũ, Hải Phòng</v>
      </c>
      <c r="U358" s="31"/>
    </row>
    <row r="359" spans="1:21" s="29" customFormat="1" ht="18" hidden="1" customHeight="1" x14ac:dyDescent="0.25">
      <c r="A359" s="44">
        <v>350</v>
      </c>
      <c r="B359" s="54">
        <v>46134</v>
      </c>
      <c r="C359" s="44" t="s">
        <v>1217</v>
      </c>
      <c r="D359" s="53">
        <v>40</v>
      </c>
      <c r="E359" s="53" t="s">
        <v>20</v>
      </c>
      <c r="F359" s="53" t="s">
        <v>868</v>
      </c>
      <c r="G359" s="176">
        <v>365000</v>
      </c>
      <c r="H359" s="53" t="s">
        <v>552</v>
      </c>
      <c r="I359" s="31" t="s">
        <v>1246</v>
      </c>
      <c r="J359" s="31"/>
      <c r="L359" s="31">
        <f t="shared" si="36"/>
        <v>40</v>
      </c>
      <c r="M359" s="31" t="s">
        <v>1247</v>
      </c>
      <c r="R359" s="31" t="s">
        <v>1249</v>
      </c>
      <c r="T359" s="31" t="str">
        <f t="shared" si="35"/>
        <v>Cước vận chuyển vỏ container 40 từ bãi JJ, Hải Phòng đến Nam Đình Vũ, Hải Phòng</v>
      </c>
      <c r="U359" s="31"/>
    </row>
    <row r="360" spans="1:21" s="29" customFormat="1" ht="18" hidden="1" customHeight="1" x14ac:dyDescent="0.25">
      <c r="A360" s="44">
        <v>351</v>
      </c>
      <c r="B360" s="54">
        <v>46135</v>
      </c>
      <c r="C360" s="44" t="s">
        <v>1218</v>
      </c>
      <c r="D360" s="53">
        <v>20</v>
      </c>
      <c r="E360" s="53" t="s">
        <v>20</v>
      </c>
      <c r="F360" s="53" t="s">
        <v>868</v>
      </c>
      <c r="G360" s="188">
        <v>198000</v>
      </c>
      <c r="H360" s="53" t="s">
        <v>30</v>
      </c>
      <c r="I360" s="31" t="s">
        <v>1246</v>
      </c>
      <c r="J360" s="31"/>
      <c r="L360" s="31">
        <f t="shared" ref="L360:L376" si="37">D360</f>
        <v>20</v>
      </c>
      <c r="M360" s="31" t="s">
        <v>1247</v>
      </c>
      <c r="R360" s="31" t="s">
        <v>1249</v>
      </c>
      <c r="T360" s="31" t="str">
        <f t="shared" si="35"/>
        <v>Cước vận chuyển vỏ container 20 từ bãi JJ, Hải Phòng đến Nam Đình Vũ, Hải Phòng</v>
      </c>
      <c r="U360" s="31"/>
    </row>
    <row r="361" spans="1:21" s="29" customFormat="1" ht="18" hidden="1" customHeight="1" x14ac:dyDescent="0.25">
      <c r="A361" s="44">
        <v>352</v>
      </c>
      <c r="B361" s="54">
        <v>46135</v>
      </c>
      <c r="C361" s="44" t="s">
        <v>1219</v>
      </c>
      <c r="D361" s="53">
        <v>20</v>
      </c>
      <c r="E361" s="53" t="s">
        <v>20</v>
      </c>
      <c r="F361" s="53" t="s">
        <v>868</v>
      </c>
      <c r="G361" s="188">
        <v>198000</v>
      </c>
      <c r="H361" s="53" t="s">
        <v>30</v>
      </c>
      <c r="I361" s="31" t="s">
        <v>1246</v>
      </c>
      <c r="J361" s="31"/>
      <c r="L361" s="31">
        <f t="shared" si="37"/>
        <v>20</v>
      </c>
      <c r="M361" s="31" t="s">
        <v>1247</v>
      </c>
      <c r="R361" s="31" t="s">
        <v>1249</v>
      </c>
      <c r="T361" s="31" t="str">
        <f t="shared" si="35"/>
        <v>Cước vận chuyển vỏ container 20 từ bãi JJ, Hải Phòng đến Nam Đình Vũ, Hải Phòng</v>
      </c>
      <c r="U361" s="31"/>
    </row>
    <row r="362" spans="1:21" s="29" customFormat="1" ht="18" hidden="1" customHeight="1" x14ac:dyDescent="0.25">
      <c r="A362" s="44">
        <v>353</v>
      </c>
      <c r="B362" s="54">
        <v>46135</v>
      </c>
      <c r="C362" s="44" t="s">
        <v>1220</v>
      </c>
      <c r="D362" s="53">
        <v>20</v>
      </c>
      <c r="E362" s="53" t="s">
        <v>20</v>
      </c>
      <c r="F362" s="53" t="s">
        <v>868</v>
      </c>
      <c r="G362" s="188">
        <v>198000</v>
      </c>
      <c r="H362" s="53" t="s">
        <v>30</v>
      </c>
      <c r="I362" s="31" t="s">
        <v>1246</v>
      </c>
      <c r="J362" s="31"/>
      <c r="L362" s="31">
        <f t="shared" si="37"/>
        <v>20</v>
      </c>
      <c r="M362" s="31" t="s">
        <v>1247</v>
      </c>
      <c r="R362" s="31" t="s">
        <v>1249</v>
      </c>
      <c r="T362" s="31" t="str">
        <f t="shared" si="35"/>
        <v>Cước vận chuyển vỏ container 20 từ bãi JJ, Hải Phòng đến Nam Đình Vũ, Hải Phòng</v>
      </c>
      <c r="U362" s="31"/>
    </row>
    <row r="363" spans="1:21" s="29" customFormat="1" ht="18" hidden="1" customHeight="1" x14ac:dyDescent="0.25">
      <c r="A363" s="44">
        <v>354</v>
      </c>
      <c r="B363" s="54">
        <v>46135</v>
      </c>
      <c r="C363" s="44" t="s">
        <v>1221</v>
      </c>
      <c r="D363" s="53">
        <v>20</v>
      </c>
      <c r="E363" s="53" t="s">
        <v>20</v>
      </c>
      <c r="F363" s="53" t="s">
        <v>868</v>
      </c>
      <c r="G363" s="188">
        <v>198000</v>
      </c>
      <c r="H363" s="53" t="s">
        <v>30</v>
      </c>
      <c r="I363" s="31" t="s">
        <v>1246</v>
      </c>
      <c r="J363" s="31"/>
      <c r="L363" s="31">
        <f t="shared" si="37"/>
        <v>20</v>
      </c>
      <c r="M363" s="31" t="s">
        <v>1247</v>
      </c>
      <c r="R363" s="31" t="s">
        <v>1249</v>
      </c>
      <c r="T363" s="31" t="str">
        <f t="shared" si="35"/>
        <v>Cước vận chuyển vỏ container 20 từ bãi JJ, Hải Phòng đến Nam Đình Vũ, Hải Phòng</v>
      </c>
      <c r="U363" s="31"/>
    </row>
    <row r="364" spans="1:21" s="29" customFormat="1" ht="18" hidden="1" customHeight="1" x14ac:dyDescent="0.25">
      <c r="A364" s="44">
        <v>355</v>
      </c>
      <c r="B364" s="54">
        <v>46135</v>
      </c>
      <c r="C364" s="44" t="s">
        <v>1222</v>
      </c>
      <c r="D364" s="53">
        <v>20</v>
      </c>
      <c r="E364" s="53" t="s">
        <v>20</v>
      </c>
      <c r="F364" s="53" t="s">
        <v>868</v>
      </c>
      <c r="G364" s="188">
        <v>198000</v>
      </c>
      <c r="H364" s="53" t="s">
        <v>30</v>
      </c>
      <c r="I364" s="31" t="s">
        <v>1246</v>
      </c>
      <c r="J364" s="31"/>
      <c r="L364" s="31">
        <f t="shared" si="37"/>
        <v>20</v>
      </c>
      <c r="M364" s="31" t="s">
        <v>1247</v>
      </c>
      <c r="R364" s="31" t="s">
        <v>1249</v>
      </c>
      <c r="T364" s="31" t="str">
        <f t="shared" si="35"/>
        <v>Cước vận chuyển vỏ container 20 từ bãi JJ, Hải Phòng đến Nam Đình Vũ, Hải Phòng</v>
      </c>
      <c r="U364" s="31"/>
    </row>
    <row r="365" spans="1:21" s="29" customFormat="1" ht="18" hidden="1" customHeight="1" x14ac:dyDescent="0.25">
      <c r="A365" s="44">
        <v>356</v>
      </c>
      <c r="B365" s="54">
        <v>46135</v>
      </c>
      <c r="C365" s="44" t="s">
        <v>1223</v>
      </c>
      <c r="D365" s="53">
        <v>20</v>
      </c>
      <c r="E365" s="53" t="s">
        <v>20</v>
      </c>
      <c r="F365" s="53" t="s">
        <v>868</v>
      </c>
      <c r="G365" s="188">
        <v>198000</v>
      </c>
      <c r="H365" s="53" t="s">
        <v>30</v>
      </c>
      <c r="I365" s="31" t="s">
        <v>1246</v>
      </c>
      <c r="J365" s="31"/>
      <c r="L365" s="31">
        <f t="shared" si="37"/>
        <v>20</v>
      </c>
      <c r="M365" s="31" t="s">
        <v>1247</v>
      </c>
      <c r="R365" s="31" t="s">
        <v>1249</v>
      </c>
      <c r="T365" s="31" t="str">
        <f t="shared" si="35"/>
        <v>Cước vận chuyển vỏ container 20 từ bãi JJ, Hải Phòng đến Nam Đình Vũ, Hải Phòng</v>
      </c>
      <c r="U365" s="31"/>
    </row>
    <row r="366" spans="1:21" s="29" customFormat="1" ht="18" hidden="1" customHeight="1" x14ac:dyDescent="0.25">
      <c r="A366" s="44">
        <v>357</v>
      </c>
      <c r="B366" s="54">
        <v>46135</v>
      </c>
      <c r="C366" s="44" t="s">
        <v>1224</v>
      </c>
      <c r="D366" s="53">
        <v>20</v>
      </c>
      <c r="E366" s="53" t="s">
        <v>20</v>
      </c>
      <c r="F366" s="53" t="s">
        <v>868</v>
      </c>
      <c r="G366" s="188">
        <v>198000</v>
      </c>
      <c r="H366" s="53" t="s">
        <v>30</v>
      </c>
      <c r="I366" s="31" t="s">
        <v>1246</v>
      </c>
      <c r="J366" s="31"/>
      <c r="L366" s="31">
        <f t="shared" si="37"/>
        <v>20</v>
      </c>
      <c r="M366" s="31" t="s">
        <v>1247</v>
      </c>
      <c r="R366" s="31" t="s">
        <v>1249</v>
      </c>
      <c r="T366" s="31" t="str">
        <f t="shared" si="35"/>
        <v>Cước vận chuyển vỏ container 20 từ bãi JJ, Hải Phòng đến Nam Đình Vũ, Hải Phòng</v>
      </c>
      <c r="U366" s="31"/>
    </row>
    <row r="367" spans="1:21" s="29" customFormat="1" ht="18" hidden="1" customHeight="1" x14ac:dyDescent="0.25">
      <c r="A367" s="44">
        <v>358</v>
      </c>
      <c r="B367" s="54">
        <v>46135</v>
      </c>
      <c r="C367" s="44" t="s">
        <v>1225</v>
      </c>
      <c r="D367" s="53">
        <v>20</v>
      </c>
      <c r="E367" s="53" t="s">
        <v>20</v>
      </c>
      <c r="F367" s="53" t="s">
        <v>868</v>
      </c>
      <c r="G367" s="188">
        <v>198000</v>
      </c>
      <c r="H367" s="53" t="s">
        <v>30</v>
      </c>
      <c r="I367" s="31" t="s">
        <v>1246</v>
      </c>
      <c r="J367" s="31"/>
      <c r="L367" s="31">
        <f t="shared" si="37"/>
        <v>20</v>
      </c>
      <c r="M367" s="31" t="s">
        <v>1247</v>
      </c>
      <c r="R367" s="31" t="s">
        <v>1249</v>
      </c>
      <c r="T367" s="31" t="str">
        <f t="shared" si="35"/>
        <v>Cước vận chuyển vỏ container 20 từ bãi JJ, Hải Phòng đến Nam Đình Vũ, Hải Phòng</v>
      </c>
      <c r="U367" s="31"/>
    </row>
    <row r="368" spans="1:21" s="29" customFormat="1" ht="18" hidden="1" customHeight="1" x14ac:dyDescent="0.25">
      <c r="A368" s="44">
        <v>359</v>
      </c>
      <c r="B368" s="54">
        <v>46135</v>
      </c>
      <c r="C368" s="44" t="s">
        <v>1226</v>
      </c>
      <c r="D368" s="53">
        <v>20</v>
      </c>
      <c r="E368" s="53" t="s">
        <v>20</v>
      </c>
      <c r="F368" s="53" t="s">
        <v>868</v>
      </c>
      <c r="G368" s="188">
        <v>198000</v>
      </c>
      <c r="H368" s="53" t="s">
        <v>30</v>
      </c>
      <c r="I368" s="31" t="s">
        <v>1246</v>
      </c>
      <c r="J368" s="31"/>
      <c r="L368" s="31">
        <f t="shared" si="37"/>
        <v>20</v>
      </c>
      <c r="M368" s="31" t="s">
        <v>1247</v>
      </c>
      <c r="R368" s="31" t="s">
        <v>1249</v>
      </c>
      <c r="T368" s="31" t="str">
        <f t="shared" si="35"/>
        <v>Cước vận chuyển vỏ container 20 từ bãi JJ, Hải Phòng đến Nam Đình Vũ, Hải Phòng</v>
      </c>
      <c r="U368" s="31"/>
    </row>
    <row r="369" spans="1:21" s="29" customFormat="1" ht="18" hidden="1" customHeight="1" x14ac:dyDescent="0.25">
      <c r="A369" s="44">
        <v>360</v>
      </c>
      <c r="B369" s="54">
        <v>46135</v>
      </c>
      <c r="C369" s="44" t="s">
        <v>1227</v>
      </c>
      <c r="D369" s="53">
        <v>20</v>
      </c>
      <c r="E369" s="53" t="s">
        <v>20</v>
      </c>
      <c r="F369" s="53" t="s">
        <v>868</v>
      </c>
      <c r="G369" s="188">
        <v>198000</v>
      </c>
      <c r="H369" s="53" t="s">
        <v>30</v>
      </c>
      <c r="I369" s="31" t="s">
        <v>1246</v>
      </c>
      <c r="J369" s="31"/>
      <c r="L369" s="31">
        <f t="shared" si="37"/>
        <v>20</v>
      </c>
      <c r="M369" s="31" t="s">
        <v>1247</v>
      </c>
      <c r="R369" s="31" t="s">
        <v>1249</v>
      </c>
      <c r="T369" s="31" t="str">
        <f t="shared" si="35"/>
        <v>Cước vận chuyển vỏ container 20 từ bãi JJ, Hải Phòng đến Nam Đình Vũ, Hải Phòng</v>
      </c>
      <c r="U369" s="31"/>
    </row>
    <row r="370" spans="1:21" s="29" customFormat="1" ht="18" hidden="1" customHeight="1" x14ac:dyDescent="0.25">
      <c r="A370" s="44">
        <v>361</v>
      </c>
      <c r="B370" s="54">
        <v>46135</v>
      </c>
      <c r="C370" s="44" t="s">
        <v>1228</v>
      </c>
      <c r="D370" s="53">
        <v>20</v>
      </c>
      <c r="E370" s="53" t="s">
        <v>20</v>
      </c>
      <c r="F370" s="53" t="s">
        <v>868</v>
      </c>
      <c r="G370" s="188">
        <v>198000</v>
      </c>
      <c r="H370" s="53" t="s">
        <v>30</v>
      </c>
      <c r="I370" s="31" t="s">
        <v>1246</v>
      </c>
      <c r="J370" s="31"/>
      <c r="L370" s="31">
        <f t="shared" si="37"/>
        <v>20</v>
      </c>
      <c r="M370" s="31" t="s">
        <v>1247</v>
      </c>
      <c r="R370" s="31" t="s">
        <v>1249</v>
      </c>
      <c r="T370" s="31" t="str">
        <f t="shared" si="35"/>
        <v>Cước vận chuyển vỏ container 20 từ bãi JJ, Hải Phòng đến Nam Đình Vũ, Hải Phòng</v>
      </c>
      <c r="U370" s="31"/>
    </row>
    <row r="371" spans="1:21" s="29" customFormat="1" ht="18" hidden="1" customHeight="1" x14ac:dyDescent="0.25">
      <c r="A371" s="44">
        <v>362</v>
      </c>
      <c r="B371" s="54">
        <v>46135</v>
      </c>
      <c r="C371" s="44" t="s">
        <v>1229</v>
      </c>
      <c r="D371" s="53">
        <v>20</v>
      </c>
      <c r="E371" s="53" t="s">
        <v>20</v>
      </c>
      <c r="F371" s="53" t="s">
        <v>868</v>
      </c>
      <c r="G371" s="188">
        <v>198000</v>
      </c>
      <c r="H371" s="53" t="s">
        <v>30</v>
      </c>
      <c r="I371" s="31" t="s">
        <v>1246</v>
      </c>
      <c r="J371" s="31"/>
      <c r="L371" s="31">
        <f t="shared" si="37"/>
        <v>20</v>
      </c>
      <c r="M371" s="31" t="s">
        <v>1247</v>
      </c>
      <c r="R371" s="31" t="s">
        <v>1249</v>
      </c>
      <c r="T371" s="31" t="str">
        <f t="shared" si="35"/>
        <v>Cước vận chuyển vỏ container 20 từ bãi JJ, Hải Phòng đến Nam Đình Vũ, Hải Phòng</v>
      </c>
      <c r="U371" s="31"/>
    </row>
    <row r="372" spans="1:21" s="29" customFormat="1" ht="18" hidden="1" customHeight="1" x14ac:dyDescent="0.25">
      <c r="A372" s="44">
        <v>363</v>
      </c>
      <c r="B372" s="54">
        <v>46135</v>
      </c>
      <c r="C372" s="44" t="s">
        <v>1230</v>
      </c>
      <c r="D372" s="53">
        <v>20</v>
      </c>
      <c r="E372" s="53" t="s">
        <v>20</v>
      </c>
      <c r="F372" s="53" t="s">
        <v>868</v>
      </c>
      <c r="G372" s="188">
        <v>198000</v>
      </c>
      <c r="H372" s="53" t="s">
        <v>22</v>
      </c>
      <c r="I372" s="31" t="s">
        <v>1246</v>
      </c>
      <c r="J372" s="31"/>
      <c r="L372" s="31">
        <f t="shared" si="37"/>
        <v>20</v>
      </c>
      <c r="M372" s="31" t="s">
        <v>1247</v>
      </c>
      <c r="R372" s="31" t="s">
        <v>1249</v>
      </c>
      <c r="T372" s="31" t="str">
        <f t="shared" si="35"/>
        <v>Cước vận chuyển vỏ container 20 từ bãi JJ, Hải Phòng đến Nam Đình Vũ, Hải Phòng</v>
      </c>
      <c r="U372" s="31"/>
    </row>
    <row r="373" spans="1:21" s="29" customFormat="1" ht="18" hidden="1" customHeight="1" x14ac:dyDescent="0.25">
      <c r="A373" s="44">
        <v>364</v>
      </c>
      <c r="B373" s="54">
        <v>46135</v>
      </c>
      <c r="C373" s="44" t="s">
        <v>1231</v>
      </c>
      <c r="D373" s="53">
        <v>20</v>
      </c>
      <c r="E373" s="53" t="s">
        <v>20</v>
      </c>
      <c r="F373" s="53" t="s">
        <v>868</v>
      </c>
      <c r="G373" s="188">
        <v>198000</v>
      </c>
      <c r="H373" s="53" t="s">
        <v>22</v>
      </c>
      <c r="I373" s="31" t="s">
        <v>1246</v>
      </c>
      <c r="J373" s="31"/>
      <c r="L373" s="31">
        <f t="shared" si="37"/>
        <v>20</v>
      </c>
      <c r="M373" s="31" t="s">
        <v>1247</v>
      </c>
      <c r="R373" s="31" t="s">
        <v>1249</v>
      </c>
      <c r="T373" s="31" t="str">
        <f t="shared" si="35"/>
        <v>Cước vận chuyển vỏ container 20 từ bãi JJ, Hải Phòng đến Nam Đình Vũ, Hải Phòng</v>
      </c>
      <c r="U373" s="31"/>
    </row>
    <row r="374" spans="1:21" s="29" customFormat="1" ht="18" hidden="1" customHeight="1" x14ac:dyDescent="0.25">
      <c r="A374" s="44">
        <v>365</v>
      </c>
      <c r="B374" s="54">
        <v>46135</v>
      </c>
      <c r="C374" s="44" t="s">
        <v>1232</v>
      </c>
      <c r="D374" s="53">
        <v>40</v>
      </c>
      <c r="E374" s="53" t="s">
        <v>20</v>
      </c>
      <c r="F374" s="53" t="s">
        <v>868</v>
      </c>
      <c r="G374" s="176">
        <v>365000</v>
      </c>
      <c r="H374" s="53" t="s">
        <v>22</v>
      </c>
      <c r="I374" s="31" t="s">
        <v>1246</v>
      </c>
      <c r="J374" s="31"/>
      <c r="L374" s="31">
        <f t="shared" si="37"/>
        <v>40</v>
      </c>
      <c r="M374" s="31" t="s">
        <v>1247</v>
      </c>
      <c r="R374" s="31" t="s">
        <v>1249</v>
      </c>
      <c r="T374" s="31" t="str">
        <f t="shared" si="35"/>
        <v>Cước vận chuyển vỏ container 40 từ bãi JJ, Hải Phòng đến Nam Đình Vũ, Hải Phòng</v>
      </c>
      <c r="U374" s="31"/>
    </row>
    <row r="375" spans="1:21" s="29" customFormat="1" ht="18" hidden="1" customHeight="1" x14ac:dyDescent="0.25">
      <c r="A375" s="44">
        <v>366</v>
      </c>
      <c r="B375" s="54">
        <v>46134</v>
      </c>
      <c r="C375" s="44" t="s">
        <v>1233</v>
      </c>
      <c r="D375" s="53">
        <v>40</v>
      </c>
      <c r="E375" s="53" t="s">
        <v>20</v>
      </c>
      <c r="F375" s="53" t="s">
        <v>868</v>
      </c>
      <c r="G375" s="176">
        <v>365000</v>
      </c>
      <c r="H375" s="53" t="s">
        <v>26</v>
      </c>
      <c r="I375" s="31" t="s">
        <v>1246</v>
      </c>
      <c r="J375" s="31"/>
      <c r="L375" s="31">
        <f t="shared" si="37"/>
        <v>40</v>
      </c>
      <c r="M375" s="31" t="s">
        <v>1247</v>
      </c>
      <c r="R375" s="31" t="s">
        <v>1249</v>
      </c>
      <c r="T375" s="31" t="str">
        <f t="shared" si="35"/>
        <v>Cước vận chuyển vỏ container 40 từ bãi JJ, Hải Phòng đến Nam Đình Vũ, Hải Phòng</v>
      </c>
      <c r="U375" s="31"/>
    </row>
    <row r="376" spans="1:21" s="29" customFormat="1" ht="18" hidden="1" customHeight="1" x14ac:dyDescent="0.25">
      <c r="A376" s="44">
        <v>367</v>
      </c>
      <c r="B376" s="54">
        <v>46134</v>
      </c>
      <c r="C376" s="44" t="s">
        <v>1234</v>
      </c>
      <c r="D376" s="53">
        <v>40</v>
      </c>
      <c r="E376" s="53" t="s">
        <v>20</v>
      </c>
      <c r="F376" s="53" t="s">
        <v>868</v>
      </c>
      <c r="G376" s="176">
        <v>365000</v>
      </c>
      <c r="H376" s="53" t="s">
        <v>26</v>
      </c>
      <c r="I376" s="31" t="s">
        <v>1246</v>
      </c>
      <c r="J376" s="31"/>
      <c r="L376" s="31">
        <f t="shared" si="37"/>
        <v>40</v>
      </c>
      <c r="M376" s="31" t="s">
        <v>1247</v>
      </c>
      <c r="R376" s="31" t="s">
        <v>1249</v>
      </c>
      <c r="T376" s="31" t="str">
        <f t="shared" si="35"/>
        <v>Cước vận chuyển vỏ container 40 từ bãi JJ, Hải Phòng đến Nam Đình Vũ, Hải Phòng</v>
      </c>
      <c r="U376" s="31"/>
    </row>
    <row r="377" spans="1:21" s="29" customFormat="1" ht="18" hidden="1" customHeight="1" x14ac:dyDescent="0.25">
      <c r="A377" s="44">
        <v>368</v>
      </c>
      <c r="B377" s="54">
        <v>46134</v>
      </c>
      <c r="C377" s="44" t="s">
        <v>1235</v>
      </c>
      <c r="D377" s="53">
        <v>20</v>
      </c>
      <c r="E377" s="53" t="s">
        <v>20</v>
      </c>
      <c r="F377" s="53" t="s">
        <v>868</v>
      </c>
      <c r="G377" s="188">
        <v>198000</v>
      </c>
      <c r="H377" s="53" t="s">
        <v>26</v>
      </c>
      <c r="I377" s="31" t="s">
        <v>1246</v>
      </c>
      <c r="J377" s="31"/>
      <c r="L377" s="31">
        <f t="shared" ref="L377:L384" si="38">D377</f>
        <v>20</v>
      </c>
      <c r="M377" s="31" t="s">
        <v>1247</v>
      </c>
      <c r="R377" s="31" t="s">
        <v>1249</v>
      </c>
      <c r="T377" s="31" t="str">
        <f t="shared" si="35"/>
        <v>Cước vận chuyển vỏ container 20 từ bãi JJ, Hải Phòng đến Nam Đình Vũ, Hải Phòng</v>
      </c>
      <c r="U377" s="31"/>
    </row>
    <row r="378" spans="1:21" s="29" customFormat="1" ht="18" hidden="1" customHeight="1" x14ac:dyDescent="0.25">
      <c r="A378" s="44">
        <v>369</v>
      </c>
      <c r="B378" s="54">
        <v>46134</v>
      </c>
      <c r="C378" s="44" t="s">
        <v>1236</v>
      </c>
      <c r="D378" s="53">
        <v>20</v>
      </c>
      <c r="E378" s="53" t="s">
        <v>20</v>
      </c>
      <c r="F378" s="53" t="s">
        <v>868</v>
      </c>
      <c r="G378" s="188">
        <v>198000</v>
      </c>
      <c r="H378" s="53" t="s">
        <v>26</v>
      </c>
      <c r="I378" s="31" t="s">
        <v>1246</v>
      </c>
      <c r="J378" s="31"/>
      <c r="L378" s="31">
        <f t="shared" si="38"/>
        <v>20</v>
      </c>
      <c r="M378" s="31" t="s">
        <v>1247</v>
      </c>
      <c r="R378" s="31" t="s">
        <v>1249</v>
      </c>
      <c r="T378" s="31" t="str">
        <f t="shared" si="35"/>
        <v>Cước vận chuyển vỏ container 20 từ bãi JJ, Hải Phòng đến Nam Đình Vũ, Hải Phòng</v>
      </c>
      <c r="U378" s="31"/>
    </row>
    <row r="379" spans="1:21" s="29" customFormat="1" ht="18" hidden="1" customHeight="1" x14ac:dyDescent="0.25">
      <c r="A379" s="44">
        <v>370</v>
      </c>
      <c r="B379" s="54">
        <v>46134</v>
      </c>
      <c r="C379" s="44" t="s">
        <v>1237</v>
      </c>
      <c r="D379" s="53">
        <v>20</v>
      </c>
      <c r="E379" s="53" t="s">
        <v>20</v>
      </c>
      <c r="F379" s="53" t="s">
        <v>868</v>
      </c>
      <c r="G379" s="188">
        <v>198000</v>
      </c>
      <c r="H379" s="53" t="s">
        <v>26</v>
      </c>
      <c r="I379" s="31" t="s">
        <v>1246</v>
      </c>
      <c r="J379" s="31"/>
      <c r="L379" s="31">
        <f t="shared" si="38"/>
        <v>20</v>
      </c>
      <c r="M379" s="31" t="s">
        <v>1247</v>
      </c>
      <c r="R379" s="31" t="s">
        <v>1249</v>
      </c>
      <c r="T379" s="31" t="str">
        <f t="shared" si="35"/>
        <v>Cước vận chuyển vỏ container 20 từ bãi JJ, Hải Phòng đến Nam Đình Vũ, Hải Phòng</v>
      </c>
      <c r="U379" s="31"/>
    </row>
    <row r="380" spans="1:21" s="29" customFormat="1" ht="18" hidden="1" customHeight="1" x14ac:dyDescent="0.25">
      <c r="A380" s="44">
        <v>371</v>
      </c>
      <c r="B380" s="54">
        <v>46134</v>
      </c>
      <c r="C380" s="44" t="s">
        <v>1238</v>
      </c>
      <c r="D380" s="53">
        <v>20</v>
      </c>
      <c r="E380" s="53" t="s">
        <v>20</v>
      </c>
      <c r="F380" s="53" t="s">
        <v>868</v>
      </c>
      <c r="G380" s="188">
        <v>198000</v>
      </c>
      <c r="H380" s="53" t="s">
        <v>26</v>
      </c>
      <c r="I380" s="31" t="s">
        <v>1246</v>
      </c>
      <c r="J380" s="31"/>
      <c r="L380" s="31">
        <f t="shared" si="38"/>
        <v>20</v>
      </c>
      <c r="M380" s="31" t="s">
        <v>1247</v>
      </c>
      <c r="R380" s="31" t="s">
        <v>1249</v>
      </c>
      <c r="T380" s="31" t="str">
        <f t="shared" si="35"/>
        <v>Cước vận chuyển vỏ container 20 từ bãi JJ, Hải Phòng đến Nam Đình Vũ, Hải Phòng</v>
      </c>
      <c r="U380" s="31"/>
    </row>
    <row r="381" spans="1:21" s="29" customFormat="1" ht="18" hidden="1" customHeight="1" x14ac:dyDescent="0.25">
      <c r="A381" s="44">
        <v>372</v>
      </c>
      <c r="B381" s="54">
        <v>46134</v>
      </c>
      <c r="C381" s="44" t="s">
        <v>1239</v>
      </c>
      <c r="D381" s="53">
        <v>20</v>
      </c>
      <c r="E381" s="53" t="s">
        <v>20</v>
      </c>
      <c r="F381" s="53" t="s">
        <v>868</v>
      </c>
      <c r="G381" s="188">
        <v>198000</v>
      </c>
      <c r="H381" s="53" t="s">
        <v>26</v>
      </c>
      <c r="I381" s="31" t="s">
        <v>1246</v>
      </c>
      <c r="J381" s="31"/>
      <c r="L381" s="31">
        <f t="shared" si="38"/>
        <v>20</v>
      </c>
      <c r="M381" s="31" t="s">
        <v>1247</v>
      </c>
      <c r="R381" s="31" t="s">
        <v>1249</v>
      </c>
      <c r="T381" s="31" t="str">
        <f t="shared" si="35"/>
        <v>Cước vận chuyển vỏ container 20 từ bãi JJ, Hải Phòng đến Nam Đình Vũ, Hải Phòng</v>
      </c>
      <c r="U381" s="31"/>
    </row>
    <row r="382" spans="1:21" s="29" customFormat="1" ht="18" hidden="1" customHeight="1" x14ac:dyDescent="0.25">
      <c r="A382" s="44">
        <v>373</v>
      </c>
      <c r="B382" s="54">
        <v>46134</v>
      </c>
      <c r="C382" s="44" t="s">
        <v>1240</v>
      </c>
      <c r="D382" s="53">
        <v>20</v>
      </c>
      <c r="E382" s="53" t="s">
        <v>20</v>
      </c>
      <c r="F382" s="53" t="s">
        <v>868</v>
      </c>
      <c r="G382" s="188">
        <v>198000</v>
      </c>
      <c r="H382" s="53" t="s">
        <v>26</v>
      </c>
      <c r="I382" s="31" t="s">
        <v>1246</v>
      </c>
      <c r="J382" s="31"/>
      <c r="L382" s="31">
        <f t="shared" si="38"/>
        <v>20</v>
      </c>
      <c r="M382" s="31" t="s">
        <v>1247</v>
      </c>
      <c r="R382" s="31" t="s">
        <v>1249</v>
      </c>
      <c r="T382" s="31" t="str">
        <f t="shared" si="35"/>
        <v>Cước vận chuyển vỏ container 20 từ bãi JJ, Hải Phòng đến Nam Đình Vũ, Hải Phòng</v>
      </c>
      <c r="U382" s="31"/>
    </row>
    <row r="383" spans="1:21" s="29" customFormat="1" ht="18" hidden="1" customHeight="1" x14ac:dyDescent="0.25">
      <c r="A383" s="44">
        <v>374</v>
      </c>
      <c r="B383" s="54">
        <v>46134</v>
      </c>
      <c r="C383" s="44" t="s">
        <v>1241</v>
      </c>
      <c r="D383" s="53">
        <v>20</v>
      </c>
      <c r="E383" s="53" t="s">
        <v>20</v>
      </c>
      <c r="F383" s="53" t="s">
        <v>868</v>
      </c>
      <c r="G383" s="188">
        <v>198000</v>
      </c>
      <c r="H383" s="53" t="s">
        <v>26</v>
      </c>
      <c r="I383" s="31" t="s">
        <v>1246</v>
      </c>
      <c r="J383" s="31"/>
      <c r="L383" s="31">
        <f t="shared" si="38"/>
        <v>20</v>
      </c>
      <c r="M383" s="31" t="s">
        <v>1247</v>
      </c>
      <c r="R383" s="31" t="s">
        <v>1249</v>
      </c>
      <c r="T383" s="31" t="str">
        <f t="shared" si="35"/>
        <v>Cước vận chuyển vỏ container 20 từ bãi JJ, Hải Phòng đến Nam Đình Vũ, Hải Phòng</v>
      </c>
      <c r="U383" s="31"/>
    </row>
    <row r="384" spans="1:21" s="29" customFormat="1" ht="18" hidden="1" customHeight="1" x14ac:dyDescent="0.25">
      <c r="A384" s="44">
        <v>375</v>
      </c>
      <c r="B384" s="54">
        <v>46134</v>
      </c>
      <c r="C384" s="44" t="s">
        <v>1242</v>
      </c>
      <c r="D384" s="53">
        <v>20</v>
      </c>
      <c r="E384" s="53" t="s">
        <v>20</v>
      </c>
      <c r="F384" s="53" t="s">
        <v>868</v>
      </c>
      <c r="G384" s="188">
        <v>198000</v>
      </c>
      <c r="H384" s="53" t="s">
        <v>26</v>
      </c>
      <c r="I384" s="31" t="s">
        <v>1246</v>
      </c>
      <c r="J384" s="31"/>
      <c r="L384" s="31">
        <f t="shared" si="38"/>
        <v>20</v>
      </c>
      <c r="M384" s="31" t="s">
        <v>1247</v>
      </c>
      <c r="R384" s="31" t="s">
        <v>1249</v>
      </c>
      <c r="T384" s="31" t="str">
        <f t="shared" si="35"/>
        <v>Cước vận chuyển vỏ container 20 từ bãi JJ, Hải Phòng đến Nam Đình Vũ, Hải Phòng</v>
      </c>
      <c r="U384" s="31"/>
    </row>
    <row r="385" spans="1:21" s="29" customFormat="1" ht="18" hidden="1" customHeight="1" x14ac:dyDescent="0.25">
      <c r="A385" s="44">
        <v>376</v>
      </c>
      <c r="B385" s="54">
        <v>46118</v>
      </c>
      <c r="C385" s="122" t="s">
        <v>1243</v>
      </c>
      <c r="D385" s="53">
        <v>40</v>
      </c>
      <c r="E385" s="53" t="s">
        <v>20</v>
      </c>
      <c r="F385" s="53" t="s">
        <v>868</v>
      </c>
      <c r="G385" s="187">
        <v>428000</v>
      </c>
      <c r="H385" s="53" t="s">
        <v>30</v>
      </c>
      <c r="I385" s="31" t="s">
        <v>1246</v>
      </c>
      <c r="J385" s="31"/>
      <c r="L385" s="31">
        <f>D385</f>
        <v>40</v>
      </c>
      <c r="M385" s="31" t="s">
        <v>1247</v>
      </c>
      <c r="R385" s="31" t="s">
        <v>1249</v>
      </c>
      <c r="T385" s="31" t="str">
        <f t="shared" si="35"/>
        <v>Cước vận chuyển vỏ container 40 từ bãi JJ, Hải Phòng đến Nam Đình Vũ, Hải Phòng</v>
      </c>
      <c r="U385" s="31"/>
    </row>
    <row r="386" spans="1:21" s="29" customFormat="1" ht="18" hidden="1" customHeight="1" x14ac:dyDescent="0.25">
      <c r="A386" s="44">
        <v>377</v>
      </c>
      <c r="B386" s="127">
        <v>46135</v>
      </c>
      <c r="C386" s="44" t="s">
        <v>1244</v>
      </c>
      <c r="D386" s="186">
        <v>20</v>
      </c>
      <c r="E386" s="186" t="s">
        <v>20</v>
      </c>
      <c r="F386" s="186" t="s">
        <v>868</v>
      </c>
      <c r="G386" s="189">
        <v>198000</v>
      </c>
      <c r="H386" s="186" t="s">
        <v>22</v>
      </c>
      <c r="I386" s="31" t="s">
        <v>1246</v>
      </c>
      <c r="J386" s="31"/>
      <c r="L386" s="31">
        <f t="shared" ref="L386:L387" si="39">D386</f>
        <v>20</v>
      </c>
      <c r="M386" s="31" t="s">
        <v>1247</v>
      </c>
      <c r="R386" s="31" t="s">
        <v>1249</v>
      </c>
      <c r="T386" s="31" t="str">
        <f t="shared" si="35"/>
        <v>Cước vận chuyển vỏ container 20 từ bãi JJ, Hải Phòng đến Nam Đình Vũ, Hải Phòng</v>
      </c>
      <c r="U386" s="31"/>
    </row>
    <row r="387" spans="1:21" s="29" customFormat="1" ht="18" hidden="1" customHeight="1" x14ac:dyDescent="0.25">
      <c r="A387" s="44">
        <v>378</v>
      </c>
      <c r="B387" s="127">
        <v>46135</v>
      </c>
      <c r="C387" s="44" t="s">
        <v>1245</v>
      </c>
      <c r="D387" s="186">
        <v>20</v>
      </c>
      <c r="E387" s="186" t="s">
        <v>20</v>
      </c>
      <c r="F387" s="186" t="s">
        <v>868</v>
      </c>
      <c r="G387" s="189">
        <v>198000</v>
      </c>
      <c r="H387" s="186" t="s">
        <v>22</v>
      </c>
      <c r="I387" s="31" t="s">
        <v>1246</v>
      </c>
      <c r="J387" s="31"/>
      <c r="L387" s="31">
        <f t="shared" si="39"/>
        <v>20</v>
      </c>
      <c r="M387" s="31" t="s">
        <v>1247</v>
      </c>
      <c r="R387" s="31" t="s">
        <v>1249</v>
      </c>
      <c r="T387" s="31" t="str">
        <f t="shared" si="35"/>
        <v>Cước vận chuyển vỏ container 20 từ bãi JJ, Hải Phòng đến Nam Đình Vũ, Hải Phòng</v>
      </c>
      <c r="U387" s="31"/>
    </row>
    <row r="388" spans="1:21" s="29" customFormat="1" ht="18" hidden="1" customHeight="1" x14ac:dyDescent="0.25">
      <c r="A388" s="44">
        <v>379</v>
      </c>
      <c r="B388" s="54"/>
      <c r="C388" s="53"/>
      <c r="D388" s="53"/>
      <c r="E388" s="53"/>
      <c r="F388" s="53"/>
      <c r="G388" s="166"/>
      <c r="H388" s="53"/>
      <c r="I388" s="31"/>
      <c r="J388" s="31"/>
      <c r="R388" s="31" t="s">
        <v>1249</v>
      </c>
      <c r="T388" s="31" t="str">
        <f t="shared" si="35"/>
        <v xml:space="preserve">  </v>
      </c>
      <c r="U388" s="31"/>
    </row>
    <row r="389" spans="1:21" s="5" customFormat="1" ht="19.5" hidden="1" customHeight="1" x14ac:dyDescent="0.25">
      <c r="A389" s="222" t="s">
        <v>17</v>
      </c>
      <c r="B389" s="222"/>
      <c r="C389" s="222"/>
      <c r="D389" s="222"/>
      <c r="E389" s="222"/>
      <c r="F389" s="222"/>
      <c r="G389" s="167">
        <f>SUM(G10:G388)</f>
        <v>122175000</v>
      </c>
      <c r="H389" s="147"/>
      <c r="I389" s="8"/>
      <c r="J389" s="8"/>
      <c r="R389" s="31" t="s">
        <v>1249</v>
      </c>
      <c r="T389" s="8"/>
      <c r="U389" s="8"/>
    </row>
    <row r="390" spans="1:21" ht="16.5" hidden="1" customHeight="1" x14ac:dyDescent="0.25">
      <c r="A390" s="148" t="s">
        <v>18</v>
      </c>
      <c r="B390" s="149"/>
      <c r="C390" s="150"/>
      <c r="D390" s="151"/>
      <c r="E390" s="151"/>
      <c r="F390" s="53"/>
      <c r="G390" s="168"/>
      <c r="H390" s="152"/>
      <c r="R390" s="31" t="s">
        <v>1249</v>
      </c>
    </row>
    <row r="391" spans="1:21" s="3" customFormat="1" hidden="1" x14ac:dyDescent="0.25">
      <c r="C391" s="1"/>
      <c r="F391" s="38"/>
      <c r="G391" s="184"/>
      <c r="H391" s="22"/>
      <c r="I391" s="31" t="s">
        <v>1246</v>
      </c>
      <c r="J391" s="8"/>
      <c r="R391" s="31" t="s">
        <v>1249</v>
      </c>
      <c r="T391" s="8"/>
      <c r="U391" s="8"/>
    </row>
    <row r="392" spans="1:21" s="12" customFormat="1" hidden="1" x14ac:dyDescent="0.25">
      <c r="A392" s="39"/>
      <c r="B392" s="33"/>
      <c r="C392" s="6"/>
      <c r="F392" s="212" t="s">
        <v>855</v>
      </c>
      <c r="G392" s="213"/>
      <c r="H392" s="212"/>
      <c r="I392" s="31" t="s">
        <v>1246</v>
      </c>
      <c r="J392" s="8"/>
      <c r="R392" s="31" t="s">
        <v>1249</v>
      </c>
      <c r="T392" s="8"/>
      <c r="U392" s="8"/>
    </row>
    <row r="393" spans="1:21" s="3" customFormat="1" ht="35.25" hidden="1" customHeight="1" x14ac:dyDescent="0.25">
      <c r="A393" s="172"/>
      <c r="B393" s="172"/>
      <c r="C393" s="172"/>
      <c r="D393" s="172"/>
      <c r="E393" s="34"/>
      <c r="F393" s="214" t="s">
        <v>0</v>
      </c>
      <c r="G393" s="215"/>
      <c r="H393" s="214"/>
      <c r="I393" s="31"/>
      <c r="J393" s="8"/>
      <c r="R393" s="31" t="s">
        <v>1249</v>
      </c>
      <c r="T393" s="8"/>
      <c r="U393" s="8"/>
    </row>
    <row r="394" spans="1:21" x14ac:dyDescent="0.25">
      <c r="A394" s="172"/>
      <c r="B394" s="172"/>
      <c r="C394" s="172"/>
      <c r="D394" s="172"/>
      <c r="H394" s="22"/>
      <c r="I394" s="31"/>
      <c r="R394" s="31" t="s">
        <v>1249</v>
      </c>
    </row>
    <row r="395" spans="1:21" x14ac:dyDescent="0.25">
      <c r="A395" s="172"/>
      <c r="B395" s="172"/>
      <c r="C395" s="172"/>
      <c r="D395" s="172"/>
      <c r="E395" s="172"/>
      <c r="F395" s="172"/>
      <c r="H395" s="22"/>
      <c r="I395" s="31"/>
      <c r="R395" s="31" t="s">
        <v>1249</v>
      </c>
    </row>
    <row r="396" spans="1:21" x14ac:dyDescent="0.25">
      <c r="A396" s="172"/>
      <c r="B396" s="172"/>
      <c r="C396" s="172"/>
      <c r="D396" s="172"/>
      <c r="E396" s="172"/>
      <c r="F396" s="172"/>
      <c r="G396" s="185"/>
      <c r="H396" s="172"/>
      <c r="I396" s="31"/>
      <c r="R396" s="31" t="s">
        <v>1249</v>
      </c>
    </row>
    <row r="397" spans="1:21" x14ac:dyDescent="0.25">
      <c r="A397" s="172"/>
      <c r="B397" s="172"/>
      <c r="C397" s="172"/>
      <c r="D397" s="172"/>
      <c r="E397" s="172"/>
      <c r="F397" s="172"/>
      <c r="G397" s="185"/>
      <c r="H397" s="172"/>
      <c r="I397" s="31"/>
      <c r="R397" s="31" t="s">
        <v>1249</v>
      </c>
    </row>
    <row r="398" spans="1:21" x14ac:dyDescent="0.25">
      <c r="A398" s="172"/>
      <c r="B398" s="172"/>
      <c r="C398" s="172"/>
      <c r="D398" s="172"/>
      <c r="E398" s="172"/>
      <c r="F398" s="172"/>
      <c r="G398" s="185"/>
      <c r="H398" s="172"/>
      <c r="I398" s="31"/>
      <c r="R398" s="31" t="s">
        <v>1249</v>
      </c>
    </row>
    <row r="399" spans="1:21" x14ac:dyDescent="0.25">
      <c r="A399" s="172"/>
      <c r="B399" s="172"/>
      <c r="C399"/>
      <c r="D399"/>
      <c r="E399"/>
      <c r="F399" s="172"/>
      <c r="G399" s="185"/>
      <c r="H399" s="172"/>
      <c r="I399" s="31"/>
      <c r="R399" s="31" t="s">
        <v>1249</v>
      </c>
    </row>
    <row r="400" spans="1:21" x14ac:dyDescent="0.25">
      <c r="A400" s="172"/>
      <c r="B400" s="172"/>
      <c r="C400"/>
      <c r="D400"/>
      <c r="E400"/>
      <c r="F400" s="172"/>
      <c r="G400" s="185"/>
      <c r="H400" s="172"/>
      <c r="I400" s="31"/>
    </row>
    <row r="401" spans="1:9" x14ac:dyDescent="0.25">
      <c r="A401" s="172"/>
      <c r="B401" s="172"/>
      <c r="C401"/>
      <c r="D401"/>
      <c r="E401"/>
      <c r="F401" s="172"/>
      <c r="G401" s="185"/>
      <c r="H401" s="172"/>
      <c r="I401" s="31"/>
    </row>
    <row r="402" spans="1:9" x14ac:dyDescent="0.25">
      <c r="A402" s="172"/>
      <c r="B402" s="172"/>
      <c r="C402"/>
      <c r="D402"/>
      <c r="E402"/>
      <c r="F402" s="172"/>
      <c r="G402" s="185"/>
      <c r="H402" s="172"/>
      <c r="I402" s="31"/>
    </row>
    <row r="403" spans="1:9" x14ac:dyDescent="0.25">
      <c r="A403" s="172"/>
      <c r="B403" s="172"/>
      <c r="C403"/>
      <c r="D403"/>
      <c r="E403"/>
      <c r="F403" s="172"/>
      <c r="G403" s="185"/>
      <c r="H403" s="172"/>
      <c r="I403" s="31"/>
    </row>
    <row r="404" spans="1:9" x14ac:dyDescent="0.25">
      <c r="A404" s="172"/>
      <c r="B404" s="172"/>
      <c r="C404"/>
      <c r="D404"/>
      <c r="E404"/>
      <c r="F404" s="172"/>
      <c r="G404" s="185"/>
      <c r="H404" s="172"/>
      <c r="I404" s="31"/>
    </row>
    <row r="405" spans="1:9" x14ac:dyDescent="0.25">
      <c r="A405" s="172"/>
      <c r="B405" s="172"/>
      <c r="C405"/>
      <c r="D405"/>
      <c r="E405"/>
      <c r="F405" s="172"/>
      <c r="G405" s="185"/>
      <c r="H405" s="172"/>
      <c r="I405" s="31"/>
    </row>
    <row r="406" spans="1:9" x14ac:dyDescent="0.25">
      <c r="A406" s="172"/>
      <c r="B406" s="172"/>
      <c r="C406"/>
      <c r="D406"/>
      <c r="E406"/>
      <c r="F406" s="172"/>
      <c r="G406" s="185"/>
      <c r="H406" s="172"/>
      <c r="I406" s="31"/>
    </row>
    <row r="407" spans="1:9" x14ac:dyDescent="0.25">
      <c r="A407" s="172"/>
      <c r="B407" s="172"/>
      <c r="C407"/>
      <c r="D407"/>
      <c r="E407"/>
      <c r="F407" s="172"/>
      <c r="G407" s="185"/>
      <c r="H407" s="172"/>
      <c r="I407" s="31"/>
    </row>
    <row r="408" spans="1:9" x14ac:dyDescent="0.25">
      <c r="A408" s="172"/>
      <c r="B408" s="172"/>
      <c r="C408"/>
      <c r="D408"/>
      <c r="E408"/>
      <c r="F408" s="172"/>
      <c r="G408" s="185"/>
      <c r="H408" s="172"/>
      <c r="I408" s="31"/>
    </row>
    <row r="409" spans="1:9" x14ac:dyDescent="0.25">
      <c r="A409" s="172"/>
      <c r="B409" s="172"/>
      <c r="C409"/>
      <c r="D409"/>
      <c r="E409"/>
      <c r="F409" s="8"/>
      <c r="H409" s="8"/>
      <c r="I409" s="31"/>
    </row>
    <row r="410" spans="1:9" x14ac:dyDescent="0.25">
      <c r="A410" s="172"/>
      <c r="B410" s="172"/>
      <c r="C410"/>
      <c r="D410"/>
      <c r="E410"/>
      <c r="F410" s="8"/>
      <c r="H410" s="8"/>
      <c r="I410" s="31"/>
    </row>
    <row r="411" spans="1:9" x14ac:dyDescent="0.25">
      <c r="A411" s="172"/>
      <c r="B411" s="172"/>
      <c r="C411"/>
      <c r="D411"/>
      <c r="E411"/>
      <c r="F411" s="8"/>
      <c r="H411" s="8"/>
      <c r="I411" s="31"/>
    </row>
    <row r="412" spans="1:9" x14ac:dyDescent="0.25">
      <c r="A412" s="172"/>
      <c r="B412" s="172"/>
      <c r="C412"/>
      <c r="D412"/>
      <c r="E412"/>
      <c r="F412" s="8"/>
      <c r="H412" s="8"/>
      <c r="I412" s="31"/>
    </row>
    <row r="413" spans="1:9" x14ac:dyDescent="0.25">
      <c r="A413" s="172"/>
      <c r="B413" s="172"/>
      <c r="C413"/>
      <c r="D413"/>
      <c r="E413"/>
      <c r="F413" s="8"/>
      <c r="H413" s="8"/>
      <c r="I413" s="31"/>
    </row>
    <row r="414" spans="1:9" x14ac:dyDescent="0.25">
      <c r="A414" s="172"/>
      <c r="B414" s="172"/>
      <c r="C414"/>
      <c r="D414"/>
      <c r="E414"/>
      <c r="F414" s="8"/>
      <c r="H414" s="8"/>
      <c r="I414" s="31"/>
    </row>
    <row r="415" spans="1:9" x14ac:dyDescent="0.25">
      <c r="A415" s="172"/>
      <c r="B415" s="172"/>
      <c r="C415"/>
      <c r="D415"/>
      <c r="E415"/>
      <c r="F415" s="8"/>
      <c r="H415" s="8"/>
      <c r="I415" s="31"/>
    </row>
    <row r="416" spans="1:9" x14ac:dyDescent="0.25">
      <c r="A416" s="172"/>
      <c r="B416" s="172"/>
      <c r="C416"/>
      <c r="D416"/>
      <c r="E416"/>
      <c r="F416" s="8"/>
      <c r="H416" s="8"/>
      <c r="I416" s="31"/>
    </row>
    <row r="417" spans="1:9" x14ac:dyDescent="0.25">
      <c r="A417" s="172"/>
      <c r="B417" s="172"/>
      <c r="C417"/>
      <c r="D417"/>
      <c r="E417"/>
      <c r="F417" s="8"/>
      <c r="H417" s="8"/>
      <c r="I417" s="31"/>
    </row>
    <row r="418" spans="1:9" x14ac:dyDescent="0.25">
      <c r="A418" s="172"/>
      <c r="B418" s="172"/>
      <c r="C418"/>
      <c r="D418"/>
      <c r="E418"/>
      <c r="F418" s="8"/>
      <c r="H418" s="8"/>
      <c r="I418" s="31"/>
    </row>
    <row r="419" spans="1:9" x14ac:dyDescent="0.25">
      <c r="A419" s="172"/>
      <c r="B419" s="172"/>
      <c r="C419"/>
      <c r="D419"/>
      <c r="E419"/>
      <c r="F419" s="8"/>
      <c r="H419" s="8"/>
      <c r="I419" s="31"/>
    </row>
    <row r="420" spans="1:9" x14ac:dyDescent="0.25">
      <c r="A420" s="172"/>
      <c r="B420" s="172"/>
      <c r="C420"/>
      <c r="D420"/>
      <c r="E420"/>
      <c r="F420" s="8"/>
      <c r="H420" s="8"/>
      <c r="I420" s="31"/>
    </row>
    <row r="421" spans="1:9" x14ac:dyDescent="0.25">
      <c r="A421" s="172"/>
      <c r="B421" s="172"/>
      <c r="C421"/>
      <c r="D421"/>
      <c r="E421"/>
      <c r="F421" s="8"/>
      <c r="H421" s="8"/>
      <c r="I421" s="31"/>
    </row>
    <row r="422" spans="1:9" x14ac:dyDescent="0.25">
      <c r="A422" s="172"/>
      <c r="B422" s="172"/>
      <c r="C422"/>
      <c r="D422"/>
      <c r="E422"/>
      <c r="F422" s="8"/>
      <c r="H422" s="8"/>
      <c r="I422" s="31"/>
    </row>
    <row r="423" spans="1:9" x14ac:dyDescent="0.25">
      <c r="A423" s="172"/>
      <c r="B423" s="172"/>
      <c r="C423"/>
      <c r="D423"/>
      <c r="E423"/>
      <c r="F423" s="8"/>
      <c r="H423" s="8"/>
      <c r="I423" s="31"/>
    </row>
    <row r="424" spans="1:9" x14ac:dyDescent="0.25">
      <c r="A424" s="172"/>
      <c r="B424" s="172"/>
      <c r="C424"/>
      <c r="D424"/>
      <c r="E424"/>
      <c r="F424" s="8"/>
      <c r="H424" s="8"/>
      <c r="I424" s="31"/>
    </row>
    <row r="425" spans="1:9" x14ac:dyDescent="0.25">
      <c r="A425" s="172"/>
      <c r="B425" s="172"/>
      <c r="C425"/>
      <c r="D425"/>
      <c r="E425"/>
      <c r="F425" s="8"/>
      <c r="H425" s="8"/>
      <c r="I425" s="31"/>
    </row>
    <row r="426" spans="1:9" x14ac:dyDescent="0.25">
      <c r="A426" s="172"/>
      <c r="B426" s="172"/>
      <c r="C426"/>
      <c r="D426"/>
      <c r="E426"/>
      <c r="F426" s="8"/>
      <c r="H426" s="8"/>
      <c r="I426" s="31"/>
    </row>
    <row r="427" spans="1:9" x14ac:dyDescent="0.25">
      <c r="A427" s="172"/>
      <c r="B427" s="172"/>
      <c r="C427"/>
      <c r="D427"/>
      <c r="E427"/>
      <c r="F427" s="8"/>
      <c r="H427" s="8"/>
      <c r="I427" s="31"/>
    </row>
    <row r="428" spans="1:9" x14ac:dyDescent="0.25">
      <c r="A428" s="172"/>
      <c r="B428" s="172"/>
      <c r="C428"/>
      <c r="D428"/>
      <c r="E428"/>
      <c r="F428" s="8"/>
      <c r="H428" s="8"/>
      <c r="I428" s="31"/>
    </row>
    <row r="429" spans="1:9" x14ac:dyDescent="0.25">
      <c r="A429" s="172"/>
      <c r="B429" s="172"/>
      <c r="C429"/>
      <c r="D429"/>
      <c r="E429"/>
      <c r="F429" s="8"/>
      <c r="H429" s="8"/>
      <c r="I429" s="31"/>
    </row>
    <row r="430" spans="1:9" x14ac:dyDescent="0.25">
      <c r="A430" s="172"/>
      <c r="B430" s="172"/>
      <c r="C430"/>
      <c r="D430"/>
      <c r="E430"/>
      <c r="F430" s="8"/>
      <c r="H430" s="8"/>
      <c r="I430" s="31"/>
    </row>
    <row r="431" spans="1:9" x14ac:dyDescent="0.25">
      <c r="A431" s="172"/>
      <c r="B431" s="172"/>
      <c r="C431"/>
      <c r="D431"/>
      <c r="E431"/>
      <c r="F431" s="8"/>
      <c r="H431" s="8"/>
      <c r="I431" s="31"/>
    </row>
    <row r="432" spans="1:9" x14ac:dyDescent="0.25">
      <c r="A432" s="172"/>
      <c r="B432" s="172"/>
      <c r="C432"/>
      <c r="D432"/>
      <c r="E432"/>
      <c r="F432" s="8"/>
      <c r="H432" s="8"/>
      <c r="I432" s="31"/>
    </row>
    <row r="433" spans="1:9" x14ac:dyDescent="0.25">
      <c r="A433" s="172"/>
      <c r="B433" s="172"/>
      <c r="C433"/>
      <c r="D433"/>
      <c r="E433"/>
      <c r="F433" s="8"/>
      <c r="H433" s="8"/>
      <c r="I433" s="31"/>
    </row>
    <row r="434" spans="1:9" x14ac:dyDescent="0.25">
      <c r="A434" s="172"/>
      <c r="B434" s="172"/>
      <c r="C434"/>
      <c r="D434"/>
      <c r="E434"/>
      <c r="F434" s="8"/>
      <c r="H434" s="8"/>
      <c r="I434" s="31"/>
    </row>
    <row r="435" spans="1:9" x14ac:dyDescent="0.25">
      <c r="A435" s="172"/>
      <c r="B435" s="172"/>
      <c r="C435"/>
      <c r="D435"/>
      <c r="E435"/>
      <c r="F435" s="8"/>
      <c r="H435" s="8"/>
      <c r="I435" s="31"/>
    </row>
    <row r="436" spans="1:9" x14ac:dyDescent="0.25">
      <c r="A436" s="172"/>
      <c r="B436" s="172"/>
      <c r="C436"/>
      <c r="D436"/>
      <c r="E436"/>
      <c r="F436" s="8"/>
      <c r="H436" s="8"/>
      <c r="I436" s="31"/>
    </row>
    <row r="437" spans="1:9" x14ac:dyDescent="0.25">
      <c r="A437" s="172"/>
      <c r="B437" s="172"/>
      <c r="C437"/>
      <c r="D437"/>
      <c r="E437"/>
      <c r="F437" s="8"/>
      <c r="H437" s="8"/>
      <c r="I437" s="31"/>
    </row>
    <row r="438" spans="1:9" x14ac:dyDescent="0.25">
      <c r="A438" s="172"/>
      <c r="B438" s="172"/>
      <c r="C438"/>
      <c r="D438"/>
      <c r="E438"/>
      <c r="F438" s="8"/>
      <c r="H438" s="8"/>
      <c r="I438" s="31"/>
    </row>
    <row r="439" spans="1:9" x14ac:dyDescent="0.25">
      <c r="A439" s="172"/>
      <c r="B439" s="172"/>
      <c r="C439"/>
      <c r="D439"/>
      <c r="E439"/>
      <c r="F439" s="8"/>
      <c r="H439" s="8"/>
      <c r="I439" s="31"/>
    </row>
    <row r="440" spans="1:9" x14ac:dyDescent="0.25">
      <c r="A440" s="172"/>
      <c r="B440" s="172"/>
      <c r="C440"/>
      <c r="D440"/>
      <c r="E440"/>
      <c r="F440" s="8"/>
      <c r="H440" s="8"/>
      <c r="I440" s="31"/>
    </row>
    <row r="441" spans="1:9" x14ac:dyDescent="0.25">
      <c r="A441" s="172"/>
      <c r="B441" s="172"/>
      <c r="C441"/>
      <c r="D441"/>
      <c r="E441"/>
      <c r="F441" s="8"/>
      <c r="H441" s="8"/>
      <c r="I441" s="31"/>
    </row>
    <row r="442" spans="1:9" x14ac:dyDescent="0.25">
      <c r="A442" s="172"/>
      <c r="B442" s="172"/>
      <c r="C442"/>
      <c r="D442"/>
      <c r="E442"/>
      <c r="F442" s="8"/>
      <c r="H442" s="8"/>
      <c r="I442" s="31"/>
    </row>
    <row r="443" spans="1:9" x14ac:dyDescent="0.25">
      <c r="A443" s="172"/>
      <c r="B443" s="172"/>
      <c r="C443"/>
      <c r="D443"/>
      <c r="E443"/>
      <c r="F443" s="8"/>
      <c r="H443" s="8"/>
      <c r="I443" s="31"/>
    </row>
    <row r="444" spans="1:9" x14ac:dyDescent="0.25">
      <c r="A444" s="172"/>
      <c r="B444" s="172"/>
      <c r="C444"/>
      <c r="D444"/>
      <c r="E444"/>
      <c r="F444" s="8"/>
      <c r="H444" s="8"/>
      <c r="I444" s="31"/>
    </row>
    <row r="445" spans="1:9" x14ac:dyDescent="0.25">
      <c r="A445" s="172"/>
      <c r="B445" s="172"/>
      <c r="C445"/>
      <c r="D445"/>
      <c r="E445"/>
      <c r="F445" s="8"/>
      <c r="H445" s="8"/>
      <c r="I445" s="31"/>
    </row>
    <row r="446" spans="1:9" x14ac:dyDescent="0.25">
      <c r="A446" s="172"/>
      <c r="B446" s="172"/>
      <c r="C446"/>
      <c r="D446"/>
      <c r="E446"/>
      <c r="F446" s="8"/>
      <c r="H446" s="8"/>
      <c r="I446" s="31"/>
    </row>
    <row r="447" spans="1:9" x14ac:dyDescent="0.25">
      <c r="A447" s="172"/>
      <c r="B447" s="172"/>
      <c r="C447"/>
      <c r="D447"/>
      <c r="E447"/>
      <c r="F447" s="8"/>
      <c r="H447" s="8"/>
      <c r="I447" s="31"/>
    </row>
    <row r="448" spans="1:9" x14ac:dyDescent="0.25">
      <c r="A448" s="172"/>
      <c r="B448" s="172"/>
      <c r="C448"/>
      <c r="D448"/>
      <c r="E448"/>
      <c r="F448" s="8"/>
      <c r="H448" s="8"/>
      <c r="I448" s="31"/>
    </row>
    <row r="449" spans="1:9" x14ac:dyDescent="0.25">
      <c r="A449" s="172"/>
      <c r="B449" s="172"/>
      <c r="C449"/>
      <c r="D449"/>
      <c r="E449"/>
      <c r="F449" s="8"/>
      <c r="H449" s="8"/>
      <c r="I449" s="31"/>
    </row>
    <row r="450" spans="1:9" x14ac:dyDescent="0.25">
      <c r="A450" s="172"/>
      <c r="B450" s="172"/>
      <c r="C450"/>
      <c r="D450"/>
      <c r="E450"/>
      <c r="F450" s="8"/>
      <c r="H450" s="8"/>
      <c r="I450" s="31"/>
    </row>
    <row r="451" spans="1:9" x14ac:dyDescent="0.25">
      <c r="A451" s="172"/>
      <c r="B451" s="172"/>
      <c r="C451"/>
      <c r="D451"/>
      <c r="E451"/>
      <c r="F451" s="8"/>
      <c r="H451" s="8"/>
      <c r="I451" s="31"/>
    </row>
    <row r="452" spans="1:9" x14ac:dyDescent="0.25">
      <c r="A452" s="172"/>
      <c r="B452" s="172"/>
      <c r="C452"/>
      <c r="D452"/>
      <c r="E452"/>
      <c r="F452" s="8"/>
      <c r="H452" s="8"/>
      <c r="I452" s="31"/>
    </row>
    <row r="453" spans="1:9" x14ac:dyDescent="0.25">
      <c r="A453" s="172"/>
      <c r="B453" s="172"/>
      <c r="C453"/>
      <c r="D453"/>
      <c r="E453"/>
      <c r="F453" s="8"/>
      <c r="H453" s="8"/>
      <c r="I453" s="31"/>
    </row>
    <row r="454" spans="1:9" x14ac:dyDescent="0.25">
      <c r="A454" s="172"/>
      <c r="B454" s="172"/>
      <c r="C454"/>
      <c r="D454"/>
      <c r="E454"/>
      <c r="F454" s="8"/>
      <c r="H454" s="8"/>
      <c r="I454" s="31"/>
    </row>
    <row r="455" spans="1:9" x14ac:dyDescent="0.25">
      <c r="A455" s="172"/>
      <c r="B455" s="172"/>
      <c r="C455"/>
      <c r="D455"/>
      <c r="E455"/>
      <c r="F455" s="8"/>
      <c r="H455" s="8"/>
      <c r="I455" s="31"/>
    </row>
    <row r="456" spans="1:9" x14ac:dyDescent="0.25">
      <c r="A456" s="172"/>
      <c r="B456" s="172"/>
      <c r="C456"/>
      <c r="D456"/>
      <c r="E456"/>
      <c r="F456" s="172"/>
      <c r="G456" s="185"/>
      <c r="H456" s="172"/>
    </row>
    <row r="457" spans="1:9" x14ac:dyDescent="0.25">
      <c r="A457" s="172"/>
      <c r="B457" s="172"/>
      <c r="C457"/>
      <c r="D457"/>
      <c r="E457"/>
      <c r="F457" s="172"/>
      <c r="G457" s="185"/>
      <c r="H457" s="172"/>
    </row>
    <row r="458" spans="1:9" x14ac:dyDescent="0.25">
      <c r="A458" s="172"/>
      <c r="B458" s="172"/>
      <c r="C458"/>
      <c r="D458"/>
      <c r="E458"/>
      <c r="F458" s="172"/>
      <c r="G458" s="185"/>
      <c r="H458" s="172"/>
    </row>
    <row r="459" spans="1:9" x14ac:dyDescent="0.25">
      <c r="A459" s="172"/>
      <c r="B459" s="172"/>
      <c r="C459"/>
      <c r="D459"/>
      <c r="E459"/>
      <c r="F459" s="172"/>
      <c r="G459" s="185"/>
      <c r="H459" s="172"/>
    </row>
    <row r="460" spans="1:9" x14ac:dyDescent="0.25">
      <c r="A460" s="172"/>
      <c r="B460" s="172"/>
      <c r="C460"/>
      <c r="D460"/>
      <c r="E460"/>
      <c r="F460" s="172"/>
      <c r="G460" s="185"/>
      <c r="H460" s="172"/>
    </row>
    <row r="461" spans="1:9" x14ac:dyDescent="0.25">
      <c r="A461" s="172"/>
      <c r="B461" s="172"/>
      <c r="C461"/>
      <c r="D461"/>
      <c r="E461"/>
      <c r="F461" s="172"/>
      <c r="G461" s="185"/>
      <c r="H461" s="172"/>
    </row>
    <row r="462" spans="1:9" x14ac:dyDescent="0.25">
      <c r="A462" s="172"/>
      <c r="B462" s="172"/>
      <c r="C462"/>
      <c r="D462"/>
      <c r="E462"/>
      <c r="F462" s="172"/>
      <c r="G462" s="185"/>
      <c r="H462" s="172"/>
    </row>
    <row r="463" spans="1:9" x14ac:dyDescent="0.25">
      <c r="A463" s="172"/>
      <c r="B463" s="172"/>
      <c r="C463"/>
      <c r="D463"/>
      <c r="E463"/>
      <c r="F463" s="172"/>
      <c r="G463" s="185"/>
      <c r="H463" s="172"/>
    </row>
    <row r="464" spans="1:9" x14ac:dyDescent="0.25">
      <c r="A464" s="172"/>
      <c r="B464" s="172"/>
      <c r="C464"/>
      <c r="D464"/>
      <c r="E464"/>
      <c r="F464" s="172"/>
      <c r="G464" s="185"/>
      <c r="H464" s="172"/>
    </row>
    <row r="465" spans="1:8" x14ac:dyDescent="0.25">
      <c r="A465" s="172"/>
      <c r="B465" s="172"/>
      <c r="C465"/>
      <c r="D465"/>
      <c r="E465"/>
      <c r="F465" s="172"/>
      <c r="G465" s="185"/>
      <c r="H465" s="172"/>
    </row>
    <row r="466" spans="1:8" x14ac:dyDescent="0.25">
      <c r="A466" s="172"/>
      <c r="B466" s="172"/>
      <c r="C466"/>
      <c r="D466"/>
      <c r="E466"/>
      <c r="F466" s="172"/>
      <c r="G466" s="185"/>
      <c r="H466" s="172"/>
    </row>
    <row r="467" spans="1:8" x14ac:dyDescent="0.25">
      <c r="A467" s="172"/>
      <c r="B467" s="172"/>
      <c r="C467"/>
      <c r="D467"/>
      <c r="E467"/>
      <c r="F467" s="172"/>
      <c r="G467" s="185"/>
      <c r="H467" s="172"/>
    </row>
    <row r="468" spans="1:8" x14ac:dyDescent="0.25">
      <c r="A468" s="172"/>
      <c r="B468" s="172"/>
      <c r="C468"/>
      <c r="D468"/>
      <c r="E468"/>
      <c r="F468" s="172"/>
      <c r="G468" s="185"/>
      <c r="H468" s="172"/>
    </row>
    <row r="469" spans="1:8" x14ac:dyDescent="0.25">
      <c r="A469" s="172"/>
      <c r="B469" s="172"/>
      <c r="C469"/>
      <c r="D469"/>
      <c r="E469"/>
      <c r="F469" s="172"/>
      <c r="G469" s="185"/>
      <c r="H469" s="172"/>
    </row>
    <row r="470" spans="1:8" x14ac:dyDescent="0.25">
      <c r="A470" s="172"/>
      <c r="B470" s="172"/>
      <c r="C470"/>
      <c r="D470"/>
      <c r="E470"/>
      <c r="F470" s="172"/>
      <c r="G470" s="185"/>
      <c r="H470" s="172"/>
    </row>
    <row r="471" spans="1:8" x14ac:dyDescent="0.25">
      <c r="A471" s="172"/>
      <c r="B471" s="172"/>
      <c r="C471"/>
      <c r="D471"/>
      <c r="E471"/>
      <c r="F471" s="172"/>
      <c r="G471" s="185"/>
      <c r="H471" s="172"/>
    </row>
    <row r="472" spans="1:8" x14ac:dyDescent="0.25">
      <c r="A472" s="172"/>
      <c r="B472" s="172"/>
      <c r="C472"/>
      <c r="D472"/>
      <c r="E472"/>
      <c r="F472" s="172"/>
      <c r="G472" s="185"/>
      <c r="H472" s="172"/>
    </row>
    <row r="473" spans="1:8" x14ac:dyDescent="0.25">
      <c r="A473" s="172"/>
      <c r="B473" s="172"/>
      <c r="C473" s="42"/>
      <c r="D473" s="42"/>
      <c r="E473" s="42"/>
      <c r="F473" s="172"/>
      <c r="G473" s="185"/>
      <c r="H473" s="172"/>
    </row>
    <row r="474" spans="1:8" x14ac:dyDescent="0.25">
      <c r="A474" s="172"/>
      <c r="B474" s="172"/>
      <c r="C474" s="42"/>
      <c r="D474" s="42"/>
      <c r="E474" s="42"/>
      <c r="F474" s="172"/>
      <c r="G474" s="185"/>
      <c r="H474" s="172"/>
    </row>
    <row r="475" spans="1:8" x14ac:dyDescent="0.25">
      <c r="A475" s="172"/>
      <c r="B475" s="172"/>
      <c r="C475" s="42"/>
      <c r="D475" s="42"/>
      <c r="E475" s="42"/>
      <c r="F475" s="172"/>
      <c r="G475" s="185"/>
      <c r="H475" s="172"/>
    </row>
    <row r="476" spans="1:8" x14ac:dyDescent="0.25">
      <c r="A476" s="172"/>
      <c r="B476" s="172"/>
      <c r="C476" s="42"/>
      <c r="D476" s="42"/>
      <c r="E476" s="42"/>
      <c r="F476" s="172"/>
      <c r="G476" s="185"/>
      <c r="H476" s="172"/>
    </row>
    <row r="477" spans="1:8" x14ac:dyDescent="0.25">
      <c r="A477" s="172"/>
      <c r="B477" s="172"/>
      <c r="C477" s="42"/>
      <c r="D477" s="42"/>
      <c r="E477" s="42"/>
      <c r="F477" s="172"/>
      <c r="G477" s="185"/>
      <c r="H477" s="172"/>
    </row>
    <row r="478" spans="1:8" x14ac:dyDescent="0.25">
      <c r="A478" s="172"/>
      <c r="B478" s="172"/>
      <c r="C478" s="42"/>
      <c r="D478" s="42"/>
      <c r="E478" s="42"/>
      <c r="F478" s="172"/>
      <c r="G478" s="185"/>
      <c r="H478" s="172"/>
    </row>
    <row r="479" spans="1:8" x14ac:dyDescent="0.25">
      <c r="A479" s="172"/>
      <c r="B479" s="172"/>
      <c r="C479" s="42"/>
      <c r="D479" s="42"/>
      <c r="E479" s="42"/>
      <c r="F479" s="172"/>
      <c r="G479" s="185"/>
      <c r="H479" s="172"/>
    </row>
    <row r="480" spans="1:8" x14ac:dyDescent="0.25">
      <c r="A480" s="172"/>
      <c r="B480" s="172"/>
      <c r="C480" s="42"/>
      <c r="D480" s="42"/>
      <c r="E480" s="42"/>
      <c r="F480" s="172"/>
      <c r="G480" s="185"/>
      <c r="H480" s="172"/>
    </row>
    <row r="481" spans="1:8" x14ac:dyDescent="0.25">
      <c r="A481" s="172"/>
      <c r="B481" s="172"/>
      <c r="C481" s="42"/>
      <c r="D481" s="42"/>
      <c r="E481" s="42"/>
      <c r="F481" s="172"/>
      <c r="G481" s="185"/>
      <c r="H481" s="172"/>
    </row>
    <row r="482" spans="1:8" x14ac:dyDescent="0.25">
      <c r="A482" s="172"/>
      <c r="B482" s="172"/>
      <c r="C482" s="42"/>
      <c r="D482" s="42"/>
      <c r="E482" s="42"/>
      <c r="F482" s="172"/>
      <c r="G482" s="185"/>
      <c r="H482" s="172"/>
    </row>
    <row r="483" spans="1:8" x14ac:dyDescent="0.25">
      <c r="A483" s="172"/>
      <c r="B483" s="172"/>
      <c r="C483" s="42"/>
      <c r="D483" s="42"/>
      <c r="E483" s="42"/>
      <c r="F483" s="172"/>
      <c r="G483" s="185"/>
      <c r="H483" s="172"/>
    </row>
    <row r="484" spans="1:8" x14ac:dyDescent="0.25">
      <c r="A484" s="172"/>
      <c r="B484" s="172"/>
      <c r="C484" s="42"/>
      <c r="D484" s="42"/>
      <c r="E484" s="42"/>
      <c r="F484" s="172"/>
      <c r="G484" s="185"/>
      <c r="H484" s="172"/>
    </row>
    <row r="485" spans="1:8" x14ac:dyDescent="0.25">
      <c r="A485" s="172"/>
      <c r="B485" s="172"/>
      <c r="C485" s="42"/>
      <c r="D485" s="42"/>
      <c r="E485" s="42"/>
      <c r="F485" s="172"/>
      <c r="G485" s="185"/>
      <c r="H485" s="172"/>
    </row>
    <row r="486" spans="1:8" x14ac:dyDescent="0.25">
      <c r="A486" s="172"/>
      <c r="B486" s="172"/>
      <c r="C486" s="42"/>
      <c r="D486" s="42"/>
      <c r="E486" s="42"/>
      <c r="F486" s="172"/>
      <c r="G486" s="185"/>
      <c r="H486" s="172"/>
    </row>
    <row r="487" spans="1:8" x14ac:dyDescent="0.25">
      <c r="A487" s="172"/>
      <c r="B487" s="172"/>
      <c r="C487" s="42"/>
      <c r="D487" s="42"/>
      <c r="E487" s="42"/>
      <c r="F487" s="172"/>
      <c r="G487" s="185"/>
      <c r="H487" s="172"/>
    </row>
    <row r="488" spans="1:8" x14ac:dyDescent="0.25">
      <c r="A488" s="172"/>
      <c r="B488" s="172"/>
      <c r="C488" s="42"/>
      <c r="D488" s="42"/>
      <c r="E488" s="42"/>
      <c r="F488" s="172"/>
      <c r="G488" s="185"/>
      <c r="H488" s="172"/>
    </row>
    <row r="489" spans="1:8" x14ac:dyDescent="0.25">
      <c r="A489" s="172"/>
      <c r="B489" s="172"/>
      <c r="C489" s="42"/>
      <c r="D489" s="42"/>
      <c r="E489" s="42"/>
      <c r="F489" s="172"/>
      <c r="G489" s="185"/>
      <c r="H489" s="172"/>
    </row>
    <row r="490" spans="1:8" x14ac:dyDescent="0.25">
      <c r="A490" s="172"/>
      <c r="B490" s="172"/>
      <c r="C490" s="42"/>
      <c r="D490" s="42"/>
      <c r="E490" s="42"/>
      <c r="F490" s="172"/>
      <c r="G490" s="185"/>
      <c r="H490" s="172"/>
    </row>
    <row r="491" spans="1:8" x14ac:dyDescent="0.25">
      <c r="A491" s="172"/>
      <c r="B491" s="172"/>
      <c r="C491" s="42"/>
      <c r="D491" s="42"/>
      <c r="E491" s="42"/>
      <c r="F491" s="172"/>
      <c r="G491" s="185"/>
      <c r="H491" s="172"/>
    </row>
    <row r="492" spans="1:8" x14ac:dyDescent="0.25">
      <c r="A492" s="172"/>
      <c r="B492" s="172"/>
      <c r="C492" s="42"/>
      <c r="D492" s="42"/>
      <c r="E492" s="42"/>
      <c r="F492" s="172"/>
      <c r="G492" s="185"/>
      <c r="H492" s="172"/>
    </row>
    <row r="493" spans="1:8" x14ac:dyDescent="0.25">
      <c r="A493" s="172"/>
      <c r="B493" s="172"/>
      <c r="C493" s="42"/>
      <c r="D493" s="42"/>
      <c r="E493" s="42"/>
      <c r="F493" s="172"/>
      <c r="G493" s="185"/>
      <c r="H493" s="172"/>
    </row>
    <row r="494" spans="1:8" x14ac:dyDescent="0.25">
      <c r="A494" s="172"/>
      <c r="B494" s="172"/>
      <c r="C494" s="42"/>
      <c r="D494" s="42"/>
      <c r="E494" s="42"/>
      <c r="F494" s="172"/>
      <c r="G494" s="185"/>
      <c r="H494" s="172"/>
    </row>
    <row r="495" spans="1:8" x14ac:dyDescent="0.25">
      <c r="A495" s="172"/>
      <c r="B495" s="172"/>
      <c r="C495" s="42"/>
      <c r="D495" s="42"/>
      <c r="E495" s="42"/>
      <c r="F495" s="172"/>
      <c r="G495" s="185"/>
      <c r="H495" s="172"/>
    </row>
    <row r="496" spans="1:8" x14ac:dyDescent="0.25">
      <c r="A496" s="172"/>
      <c r="B496" s="172"/>
      <c r="C496" s="42"/>
      <c r="D496" s="42"/>
      <c r="E496" s="42"/>
      <c r="F496" s="172"/>
      <c r="G496" s="185"/>
      <c r="H496" s="172"/>
    </row>
    <row r="497" spans="1:8" x14ac:dyDescent="0.25">
      <c r="A497" s="172"/>
      <c r="B497" s="172"/>
      <c r="C497" s="42"/>
      <c r="D497" s="42"/>
      <c r="E497" s="42"/>
      <c r="F497" s="172"/>
      <c r="G497" s="185"/>
      <c r="H497" s="172"/>
    </row>
    <row r="498" spans="1:8" x14ac:dyDescent="0.25">
      <c r="A498" s="172"/>
      <c r="B498" s="172"/>
      <c r="C498" s="42"/>
      <c r="D498" s="42"/>
      <c r="E498" s="42"/>
      <c r="F498" s="172"/>
      <c r="G498" s="185"/>
      <c r="H498" s="172"/>
    </row>
    <row r="499" spans="1:8" x14ac:dyDescent="0.25">
      <c r="A499" s="172"/>
      <c r="B499" s="172"/>
      <c r="C499" s="42"/>
      <c r="D499" s="42"/>
      <c r="E499" s="42"/>
      <c r="F499" s="172"/>
      <c r="G499" s="185"/>
      <c r="H499" s="172"/>
    </row>
    <row r="500" spans="1:8" x14ac:dyDescent="0.25">
      <c r="A500" s="172"/>
      <c r="B500" s="172"/>
      <c r="C500" s="42"/>
      <c r="D500" s="42"/>
      <c r="E500" s="42"/>
      <c r="F500" s="172"/>
      <c r="G500" s="185"/>
      <c r="H500" s="172"/>
    </row>
    <row r="501" spans="1:8" x14ac:dyDescent="0.25">
      <c r="A501" s="172"/>
      <c r="B501" s="172"/>
      <c r="C501" s="42"/>
      <c r="D501" s="42"/>
      <c r="E501" s="42"/>
      <c r="F501" s="172"/>
      <c r="G501" s="185"/>
      <c r="H501" s="172"/>
    </row>
    <row r="502" spans="1:8" x14ac:dyDescent="0.25">
      <c r="A502" s="172"/>
      <c r="B502" s="172"/>
      <c r="C502" s="42"/>
      <c r="D502" s="42"/>
      <c r="E502" s="42"/>
      <c r="F502" s="172"/>
      <c r="G502" s="185"/>
      <c r="H502" s="172"/>
    </row>
    <row r="503" spans="1:8" x14ac:dyDescent="0.25">
      <c r="A503" s="172"/>
      <c r="B503" s="172"/>
      <c r="C503" s="42"/>
      <c r="D503" s="42"/>
      <c r="E503" s="42"/>
      <c r="F503" s="172"/>
      <c r="G503" s="185"/>
      <c r="H503" s="172"/>
    </row>
    <row r="504" spans="1:8" x14ac:dyDescent="0.25">
      <c r="A504" s="172"/>
      <c r="B504" s="172"/>
      <c r="C504" s="42"/>
      <c r="D504" s="42"/>
      <c r="E504" s="42"/>
      <c r="F504" s="172"/>
      <c r="G504" s="185"/>
      <c r="H504" s="172"/>
    </row>
    <row r="505" spans="1:8" x14ac:dyDescent="0.25">
      <c r="A505" s="172"/>
      <c r="B505" s="172"/>
      <c r="C505" s="42"/>
      <c r="D505" s="42"/>
      <c r="E505" s="42"/>
      <c r="F505" s="172"/>
      <c r="G505" s="185"/>
      <c r="H505" s="172"/>
    </row>
    <row r="506" spans="1:8" x14ac:dyDescent="0.25">
      <c r="A506" s="172"/>
      <c r="B506" s="172"/>
      <c r="C506" s="42"/>
      <c r="D506" s="42"/>
      <c r="E506" s="42"/>
      <c r="F506" s="172"/>
      <c r="G506" s="185"/>
      <c r="H506" s="172"/>
    </row>
    <row r="507" spans="1:8" x14ac:dyDescent="0.25">
      <c r="A507" s="172"/>
      <c r="B507" s="172"/>
      <c r="C507" s="42"/>
      <c r="D507" s="42"/>
      <c r="E507" s="42"/>
      <c r="F507" s="172"/>
      <c r="G507" s="185"/>
      <c r="H507" s="172"/>
    </row>
    <row r="508" spans="1:8" x14ac:dyDescent="0.25">
      <c r="A508" s="172"/>
      <c r="B508" s="172"/>
      <c r="C508" s="42"/>
      <c r="D508" s="42"/>
      <c r="E508" s="42"/>
      <c r="F508" s="172"/>
      <c r="G508" s="185"/>
      <c r="H508" s="172"/>
    </row>
    <row r="509" spans="1:8" x14ac:dyDescent="0.25">
      <c r="A509" s="172"/>
      <c r="B509" s="172"/>
      <c r="C509" s="42"/>
      <c r="D509" s="42"/>
      <c r="E509" s="42"/>
      <c r="F509" s="172"/>
      <c r="G509" s="185"/>
      <c r="H509" s="172"/>
    </row>
    <row r="510" spans="1:8" x14ac:dyDescent="0.25">
      <c r="A510" s="172"/>
      <c r="B510" s="172"/>
      <c r="C510" s="42"/>
      <c r="D510" s="42"/>
      <c r="E510" s="42"/>
      <c r="F510" s="172"/>
      <c r="G510" s="185"/>
      <c r="H510" s="172"/>
    </row>
    <row r="511" spans="1:8" x14ac:dyDescent="0.25">
      <c r="A511" s="172"/>
      <c r="B511" s="172"/>
      <c r="C511" s="42"/>
      <c r="D511" s="42"/>
      <c r="E511" s="42"/>
      <c r="F511" s="172"/>
      <c r="G511" s="185"/>
      <c r="H511" s="172"/>
    </row>
    <row r="512" spans="1:8" x14ac:dyDescent="0.25">
      <c r="A512" s="172"/>
      <c r="B512" s="172"/>
      <c r="C512" s="42"/>
      <c r="D512" s="42"/>
      <c r="E512" s="42"/>
      <c r="F512" s="172"/>
      <c r="G512" s="185"/>
      <c r="H512" s="172"/>
    </row>
    <row r="513" spans="1:8" x14ac:dyDescent="0.25">
      <c r="A513" s="172"/>
      <c r="B513" s="172"/>
      <c r="C513" s="42"/>
      <c r="D513" s="42"/>
      <c r="E513" s="42"/>
      <c r="F513" s="172"/>
      <c r="G513" s="185"/>
      <c r="H513" s="172"/>
    </row>
    <row r="514" spans="1:8" x14ac:dyDescent="0.25">
      <c r="A514" s="172"/>
      <c r="B514" s="172"/>
      <c r="C514" s="42"/>
      <c r="D514" s="42"/>
      <c r="E514" s="42"/>
      <c r="F514" s="172"/>
      <c r="G514" s="185"/>
      <c r="H514" s="172"/>
    </row>
    <row r="515" spans="1:8" x14ac:dyDescent="0.25">
      <c r="A515" s="172"/>
      <c r="B515" s="172"/>
      <c r="C515" s="42"/>
      <c r="D515" s="42"/>
      <c r="E515" s="42"/>
      <c r="F515" s="172"/>
      <c r="G515" s="185"/>
      <c r="H515" s="172"/>
    </row>
    <row r="516" spans="1:8" x14ac:dyDescent="0.25">
      <c r="A516" s="172"/>
      <c r="B516" s="172"/>
      <c r="C516" s="42"/>
      <c r="D516" s="42"/>
      <c r="E516" s="42"/>
      <c r="F516" s="172"/>
      <c r="G516" s="185"/>
      <c r="H516" s="172"/>
    </row>
    <row r="517" spans="1:8" x14ac:dyDescent="0.25">
      <c r="A517" s="172"/>
      <c r="B517" s="172"/>
      <c r="C517" s="42"/>
      <c r="D517" s="42"/>
      <c r="E517" s="42"/>
      <c r="F517" s="172"/>
      <c r="G517" s="185"/>
      <c r="H517" s="172"/>
    </row>
    <row r="518" spans="1:8" x14ac:dyDescent="0.25">
      <c r="A518" s="172"/>
      <c r="B518" s="172"/>
      <c r="C518" s="42"/>
      <c r="D518" s="42"/>
      <c r="E518" s="42"/>
      <c r="F518" s="172"/>
      <c r="G518" s="185"/>
      <c r="H518" s="172"/>
    </row>
    <row r="519" spans="1:8" x14ac:dyDescent="0.25">
      <c r="A519" s="172"/>
      <c r="B519" s="172"/>
      <c r="C519" s="42"/>
      <c r="D519" s="42"/>
      <c r="E519" s="42"/>
      <c r="F519" s="172"/>
      <c r="G519" s="185"/>
      <c r="H519" s="172"/>
    </row>
    <row r="520" spans="1:8" x14ac:dyDescent="0.25">
      <c r="A520" s="172"/>
      <c r="B520" s="172"/>
      <c r="C520" s="42"/>
      <c r="D520" s="42"/>
      <c r="E520" s="42"/>
      <c r="F520" s="172"/>
      <c r="G520" s="185"/>
      <c r="H520" s="172"/>
    </row>
    <row r="521" spans="1:8" x14ac:dyDescent="0.25">
      <c r="A521" s="172"/>
      <c r="B521" s="172"/>
      <c r="C521" s="42"/>
      <c r="D521" s="42"/>
      <c r="E521" s="42"/>
      <c r="F521" s="172"/>
      <c r="G521" s="185"/>
      <c r="H521" s="172"/>
    </row>
    <row r="522" spans="1:8" x14ac:dyDescent="0.25">
      <c r="A522" s="172"/>
      <c r="B522" s="172"/>
      <c r="C522" s="42"/>
      <c r="D522" s="42"/>
      <c r="E522" s="42"/>
      <c r="F522" s="172"/>
      <c r="G522" s="185"/>
      <c r="H522" s="172"/>
    </row>
    <row r="523" spans="1:8" x14ac:dyDescent="0.25">
      <c r="A523" s="172"/>
      <c r="B523" s="172"/>
      <c r="C523" s="42"/>
      <c r="D523" s="42"/>
      <c r="E523" s="42"/>
      <c r="F523" s="172"/>
      <c r="G523" s="185"/>
      <c r="H523" s="172"/>
    </row>
    <row r="524" spans="1:8" x14ac:dyDescent="0.25">
      <c r="A524" s="172"/>
      <c r="B524" s="172"/>
      <c r="C524" s="42"/>
      <c r="D524" s="42"/>
      <c r="E524" s="42"/>
      <c r="F524" s="172"/>
      <c r="G524" s="185"/>
      <c r="H524" s="172"/>
    </row>
    <row r="525" spans="1:8" x14ac:dyDescent="0.25">
      <c r="A525" s="172"/>
      <c r="B525" s="172"/>
      <c r="C525" s="42"/>
      <c r="D525" s="42"/>
      <c r="E525" s="42"/>
      <c r="F525" s="172"/>
      <c r="G525" s="185"/>
      <c r="H525" s="172"/>
    </row>
    <row r="526" spans="1:8" x14ac:dyDescent="0.25">
      <c r="A526" s="172"/>
      <c r="B526" s="172"/>
      <c r="C526" s="42"/>
      <c r="D526" s="42"/>
      <c r="E526" s="42"/>
      <c r="F526" s="172"/>
      <c r="G526" s="185"/>
      <c r="H526" s="172"/>
    </row>
    <row r="527" spans="1:8" x14ac:dyDescent="0.25">
      <c r="A527" s="172"/>
      <c r="B527" s="172"/>
      <c r="C527" s="42"/>
      <c r="D527" s="42"/>
      <c r="E527" s="42"/>
      <c r="F527" s="172"/>
      <c r="G527" s="185"/>
      <c r="H527" s="172"/>
    </row>
    <row r="528" spans="1:8" x14ac:dyDescent="0.25">
      <c r="A528" s="172"/>
      <c r="B528" s="172"/>
      <c r="C528" s="42"/>
      <c r="D528" s="42"/>
      <c r="E528" s="42"/>
      <c r="F528" s="172"/>
      <c r="G528" s="185"/>
      <c r="H528" s="172"/>
    </row>
    <row r="529" spans="1:8" x14ac:dyDescent="0.25">
      <c r="A529" s="172"/>
      <c r="B529" s="172"/>
      <c r="C529" s="42"/>
      <c r="D529" s="42"/>
      <c r="E529" s="42"/>
      <c r="F529" s="172"/>
      <c r="G529" s="185"/>
      <c r="H529" s="172"/>
    </row>
    <row r="530" spans="1:8" x14ac:dyDescent="0.25">
      <c r="A530" s="172"/>
      <c r="B530" s="172"/>
      <c r="C530" s="42"/>
      <c r="D530" s="42"/>
      <c r="E530" s="42"/>
      <c r="F530" s="172"/>
      <c r="G530" s="185"/>
      <c r="H530" s="172"/>
    </row>
    <row r="531" spans="1:8" x14ac:dyDescent="0.25">
      <c r="A531" s="172"/>
      <c r="B531" s="172"/>
      <c r="C531" s="42"/>
      <c r="D531" s="42"/>
      <c r="E531" s="42"/>
      <c r="F531" s="172"/>
      <c r="G531" s="185"/>
      <c r="H531" s="172"/>
    </row>
    <row r="532" spans="1:8" x14ac:dyDescent="0.25">
      <c r="A532" s="172"/>
      <c r="B532" s="172"/>
      <c r="C532" s="42"/>
      <c r="D532" s="42"/>
      <c r="E532" s="42"/>
      <c r="F532" s="172"/>
      <c r="G532" s="185"/>
      <c r="H532" s="172"/>
    </row>
    <row r="533" spans="1:8" x14ac:dyDescent="0.25">
      <c r="A533" s="172"/>
      <c r="B533" s="172"/>
      <c r="C533" s="42"/>
      <c r="D533" s="42"/>
      <c r="E533" s="42"/>
      <c r="F533" s="172"/>
      <c r="G533" s="185"/>
      <c r="H533" s="172"/>
    </row>
    <row r="534" spans="1:8" x14ac:dyDescent="0.25">
      <c r="A534" s="172"/>
      <c r="B534" s="172"/>
      <c r="C534" s="42"/>
      <c r="D534" s="42"/>
      <c r="E534" s="42"/>
      <c r="F534" s="172"/>
      <c r="G534" s="185"/>
      <c r="H534" s="172"/>
    </row>
    <row r="535" spans="1:8" x14ac:dyDescent="0.25">
      <c r="A535" s="172"/>
      <c r="B535" s="172"/>
      <c r="C535" s="42"/>
      <c r="D535" s="42"/>
      <c r="E535" s="42"/>
      <c r="F535" s="172"/>
      <c r="G535" s="185"/>
      <c r="H535" s="172"/>
    </row>
    <row r="536" spans="1:8" x14ac:dyDescent="0.25">
      <c r="A536" s="172"/>
      <c r="B536" s="172"/>
      <c r="C536" s="42"/>
      <c r="D536" s="42"/>
      <c r="E536" s="42"/>
      <c r="F536" s="172"/>
      <c r="G536" s="185"/>
      <c r="H536" s="172"/>
    </row>
    <row r="537" spans="1:8" x14ac:dyDescent="0.25">
      <c r="A537" s="172"/>
      <c r="B537" s="172"/>
      <c r="C537" s="42"/>
      <c r="D537" s="42"/>
      <c r="E537" s="42"/>
      <c r="F537" s="172"/>
      <c r="G537" s="185"/>
      <c r="H537" s="172"/>
    </row>
    <row r="538" spans="1:8" x14ac:dyDescent="0.25">
      <c r="A538" s="172"/>
      <c r="B538" s="172"/>
      <c r="C538" s="42"/>
      <c r="D538" s="42"/>
      <c r="E538" s="42"/>
      <c r="F538" s="172"/>
      <c r="G538" s="185"/>
      <c r="H538" s="172"/>
    </row>
    <row r="539" spans="1:8" x14ac:dyDescent="0.25">
      <c r="A539" s="172"/>
      <c r="B539" s="172"/>
      <c r="C539" s="42"/>
      <c r="D539" s="42"/>
      <c r="E539" s="42"/>
      <c r="F539" s="172"/>
      <c r="G539" s="185"/>
      <c r="H539" s="172"/>
    </row>
    <row r="540" spans="1:8" x14ac:dyDescent="0.25">
      <c r="A540" s="172"/>
      <c r="B540" s="172"/>
      <c r="C540" s="42"/>
      <c r="D540" s="42"/>
      <c r="E540" s="42"/>
      <c r="F540" s="172"/>
      <c r="G540" s="185"/>
      <c r="H540" s="172"/>
    </row>
    <row r="541" spans="1:8" x14ac:dyDescent="0.25">
      <c r="A541" s="172"/>
      <c r="B541" s="172"/>
      <c r="C541" s="42"/>
      <c r="D541" s="42"/>
      <c r="E541" s="42"/>
      <c r="F541" s="172"/>
      <c r="G541" s="185"/>
      <c r="H541" s="172"/>
    </row>
    <row r="542" spans="1:8" x14ac:dyDescent="0.25">
      <c r="A542" s="172"/>
      <c r="B542" s="172"/>
      <c r="C542" s="42"/>
      <c r="D542" s="42"/>
      <c r="E542" s="42"/>
      <c r="F542" s="172"/>
      <c r="G542" s="185"/>
      <c r="H542" s="172"/>
    </row>
    <row r="543" spans="1:8" x14ac:dyDescent="0.25">
      <c r="A543" s="172"/>
      <c r="B543" s="172"/>
      <c r="C543" s="42"/>
      <c r="D543" s="42"/>
      <c r="E543" s="42"/>
      <c r="F543" s="172"/>
      <c r="G543" s="185"/>
      <c r="H543" s="172"/>
    </row>
    <row r="544" spans="1:8" x14ac:dyDescent="0.25">
      <c r="A544" s="172"/>
      <c r="B544" s="172"/>
      <c r="C544" s="42"/>
      <c r="D544" s="42"/>
      <c r="E544" s="42"/>
      <c r="F544" s="172"/>
      <c r="G544" s="185"/>
      <c r="H544" s="172"/>
    </row>
    <row r="545" spans="1:8" x14ac:dyDescent="0.25">
      <c r="A545" s="172"/>
      <c r="B545" s="172"/>
      <c r="C545" s="42"/>
      <c r="D545" s="42"/>
      <c r="E545" s="42"/>
      <c r="F545" s="172"/>
      <c r="G545" s="185"/>
      <c r="H545" s="172"/>
    </row>
    <row r="546" spans="1:8" x14ac:dyDescent="0.25">
      <c r="A546" s="172"/>
      <c r="B546" s="172"/>
      <c r="C546" s="42"/>
      <c r="D546" s="42"/>
      <c r="E546" s="42"/>
      <c r="F546" s="172"/>
      <c r="G546" s="185"/>
      <c r="H546" s="172"/>
    </row>
    <row r="547" spans="1:8" x14ac:dyDescent="0.25">
      <c r="A547" s="172"/>
      <c r="B547" s="172"/>
      <c r="C547" s="42"/>
      <c r="D547" s="42"/>
      <c r="E547" s="42"/>
      <c r="F547" s="172"/>
      <c r="G547" s="185"/>
      <c r="H547" s="172"/>
    </row>
    <row r="548" spans="1:8" x14ac:dyDescent="0.25">
      <c r="A548" s="172"/>
      <c r="B548" s="172"/>
      <c r="C548" s="42"/>
      <c r="D548" s="42"/>
      <c r="E548" s="42"/>
      <c r="F548" s="172"/>
      <c r="G548" s="185"/>
      <c r="H548" s="172"/>
    </row>
    <row r="549" spans="1:8" x14ac:dyDescent="0.25">
      <c r="A549" s="172"/>
      <c r="B549" s="172"/>
      <c r="C549" s="42"/>
      <c r="D549" s="42"/>
      <c r="E549" s="42"/>
      <c r="F549" s="172"/>
      <c r="G549" s="185"/>
      <c r="H549" s="172"/>
    </row>
    <row r="550" spans="1:8" x14ac:dyDescent="0.25">
      <c r="A550" s="172"/>
      <c r="B550" s="172"/>
      <c r="C550" s="42"/>
      <c r="D550" s="42"/>
      <c r="E550" s="42"/>
      <c r="F550" s="172"/>
      <c r="G550" s="185"/>
      <c r="H550" s="172"/>
    </row>
    <row r="551" spans="1:8" x14ac:dyDescent="0.25">
      <c r="A551" s="172"/>
      <c r="B551" s="172"/>
      <c r="C551" s="42"/>
      <c r="D551" s="42"/>
      <c r="E551" s="42"/>
      <c r="F551" s="172"/>
      <c r="G551" s="185"/>
      <c r="H551" s="172"/>
    </row>
    <row r="552" spans="1:8" x14ac:dyDescent="0.25">
      <c r="A552" s="172"/>
      <c r="B552" s="172"/>
      <c r="C552" s="42"/>
      <c r="D552" s="42"/>
      <c r="E552" s="42"/>
      <c r="F552" s="172"/>
      <c r="G552" s="185"/>
      <c r="H552" s="172"/>
    </row>
    <row r="553" spans="1:8" x14ac:dyDescent="0.25">
      <c r="A553" s="172"/>
      <c r="B553" s="172"/>
      <c r="C553" s="42"/>
      <c r="D553" s="42"/>
      <c r="E553" s="42"/>
      <c r="F553" s="172"/>
      <c r="G553" s="185"/>
      <c r="H553" s="172"/>
    </row>
    <row r="554" spans="1:8" x14ac:dyDescent="0.25">
      <c r="A554" s="172"/>
      <c r="B554" s="172"/>
      <c r="C554" s="42"/>
      <c r="D554" s="42"/>
      <c r="E554" s="42"/>
      <c r="F554" s="172"/>
      <c r="G554" s="185"/>
      <c r="H554" s="172"/>
    </row>
    <row r="555" spans="1:8" x14ac:dyDescent="0.25">
      <c r="A555" s="172"/>
      <c r="B555" s="172"/>
      <c r="C555" s="42"/>
      <c r="D555" s="42"/>
      <c r="E555" s="42"/>
      <c r="F555" s="172"/>
      <c r="G555" s="185"/>
      <c r="H555" s="172"/>
    </row>
    <row r="556" spans="1:8" x14ac:dyDescent="0.25">
      <c r="A556" s="172"/>
      <c r="B556" s="172"/>
      <c r="C556" s="42"/>
      <c r="D556" s="42"/>
      <c r="E556" s="42"/>
      <c r="F556" s="172"/>
      <c r="G556" s="185"/>
      <c r="H556" s="172"/>
    </row>
    <row r="557" spans="1:8" x14ac:dyDescent="0.25">
      <c r="A557" s="172"/>
      <c r="B557" s="172"/>
      <c r="C557" s="42"/>
      <c r="D557" s="42"/>
      <c r="E557" s="42"/>
      <c r="F557" s="172"/>
      <c r="G557" s="185"/>
      <c r="H557" s="172"/>
    </row>
    <row r="558" spans="1:8" x14ac:dyDescent="0.25">
      <c r="A558" s="172"/>
      <c r="B558" s="172"/>
      <c r="C558" s="42"/>
      <c r="D558" s="42"/>
      <c r="E558" s="42"/>
      <c r="F558" s="172"/>
      <c r="G558" s="185"/>
      <c r="H558" s="172"/>
    </row>
    <row r="559" spans="1:8" x14ac:dyDescent="0.25">
      <c r="A559" s="172"/>
      <c r="B559" s="172"/>
      <c r="C559" s="42"/>
      <c r="D559" s="42"/>
      <c r="E559" s="42"/>
      <c r="F559" s="172"/>
      <c r="G559" s="185"/>
      <c r="H559" s="172"/>
    </row>
    <row r="560" spans="1:8" x14ac:dyDescent="0.25">
      <c r="A560" s="172"/>
      <c r="B560" s="172"/>
      <c r="C560" s="42"/>
      <c r="D560" s="42"/>
      <c r="E560" s="42"/>
      <c r="F560" s="172"/>
      <c r="G560" s="185"/>
      <c r="H560" s="172"/>
    </row>
    <row r="561" spans="1:8" x14ac:dyDescent="0.25">
      <c r="A561" s="172"/>
      <c r="B561" s="172"/>
      <c r="C561" s="42"/>
      <c r="D561" s="42"/>
      <c r="E561" s="42"/>
      <c r="F561" s="172"/>
      <c r="G561" s="185"/>
      <c r="H561" s="172"/>
    </row>
    <row r="562" spans="1:8" x14ac:dyDescent="0.25">
      <c r="A562" s="172"/>
      <c r="B562" s="172"/>
      <c r="C562" s="42"/>
      <c r="D562" s="42"/>
      <c r="E562" s="42"/>
      <c r="F562" s="172"/>
      <c r="G562" s="185"/>
      <c r="H562" s="172"/>
    </row>
    <row r="563" spans="1:8" x14ac:dyDescent="0.25">
      <c r="A563" s="172"/>
      <c r="B563" s="172"/>
      <c r="C563" s="42"/>
      <c r="D563" s="42"/>
      <c r="E563" s="42"/>
      <c r="F563" s="172"/>
      <c r="G563" s="185"/>
      <c r="H563" s="172"/>
    </row>
    <row r="564" spans="1:8" x14ac:dyDescent="0.25">
      <c r="A564" s="172"/>
      <c r="B564" s="172"/>
      <c r="C564" s="42"/>
      <c r="D564" s="42"/>
      <c r="E564" s="42"/>
      <c r="F564" s="172"/>
      <c r="G564" s="185"/>
      <c r="H564" s="172"/>
    </row>
    <row r="565" spans="1:8" x14ac:dyDescent="0.25">
      <c r="A565" s="172"/>
      <c r="B565" s="172"/>
      <c r="C565" s="42"/>
      <c r="D565" s="42"/>
      <c r="E565" s="42"/>
      <c r="F565" s="172"/>
      <c r="G565" s="185"/>
      <c r="H565" s="172"/>
    </row>
    <row r="566" spans="1:8" x14ac:dyDescent="0.25">
      <c r="A566" s="172"/>
      <c r="B566" s="172"/>
      <c r="C566" s="42"/>
      <c r="D566" s="42"/>
      <c r="E566" s="42"/>
      <c r="F566" s="172"/>
      <c r="G566" s="185"/>
      <c r="H566" s="172"/>
    </row>
    <row r="567" spans="1:8" x14ac:dyDescent="0.25">
      <c r="A567" s="172"/>
      <c r="B567" s="172"/>
      <c r="C567" s="42"/>
      <c r="D567" s="42"/>
      <c r="E567" s="42"/>
      <c r="F567" s="172"/>
      <c r="G567" s="185"/>
      <c r="H567" s="172"/>
    </row>
    <row r="568" spans="1:8" x14ac:dyDescent="0.25">
      <c r="A568" s="172"/>
      <c r="B568" s="172"/>
      <c r="C568" s="42"/>
      <c r="D568" s="42"/>
      <c r="E568" s="42"/>
      <c r="F568" s="172"/>
      <c r="G568" s="185"/>
      <c r="H568" s="172"/>
    </row>
    <row r="569" spans="1:8" x14ac:dyDescent="0.25">
      <c r="A569" s="172"/>
      <c r="B569" s="172"/>
      <c r="C569" s="42"/>
      <c r="D569" s="42"/>
      <c r="E569" s="42"/>
      <c r="F569" s="172"/>
      <c r="G569" s="185"/>
      <c r="H569" s="172"/>
    </row>
    <row r="570" spans="1:8" x14ac:dyDescent="0.25">
      <c r="A570" s="172"/>
      <c r="B570" s="172"/>
      <c r="C570" s="42"/>
      <c r="D570" s="42"/>
      <c r="E570" s="42"/>
      <c r="F570" s="172"/>
      <c r="G570" s="185"/>
      <c r="H570" s="172"/>
    </row>
    <row r="571" spans="1:8" x14ac:dyDescent="0.25">
      <c r="A571" s="172"/>
      <c r="B571" s="172"/>
      <c r="C571" s="42"/>
      <c r="D571" s="42"/>
      <c r="E571" s="42"/>
      <c r="F571" s="172"/>
      <c r="G571" s="185"/>
      <c r="H571" s="172"/>
    </row>
    <row r="572" spans="1:8" x14ac:dyDescent="0.25">
      <c r="A572" s="172"/>
      <c r="B572" s="172"/>
      <c r="C572" s="42"/>
      <c r="D572" s="42"/>
      <c r="E572" s="42"/>
      <c r="F572" s="172"/>
      <c r="G572" s="185"/>
      <c r="H572" s="172"/>
    </row>
    <row r="573" spans="1:8" x14ac:dyDescent="0.25">
      <c r="A573" s="172"/>
      <c r="B573" s="172"/>
      <c r="C573" s="42"/>
      <c r="D573" s="42"/>
      <c r="E573" s="42"/>
      <c r="F573" s="172"/>
      <c r="G573" s="185"/>
      <c r="H573" s="172"/>
    </row>
    <row r="574" spans="1:8" x14ac:dyDescent="0.25">
      <c r="A574" s="172"/>
      <c r="B574" s="172"/>
      <c r="C574" s="42"/>
      <c r="D574" s="42"/>
      <c r="E574" s="42"/>
      <c r="F574" s="172"/>
      <c r="G574" s="185"/>
      <c r="H574" s="172"/>
    </row>
    <row r="575" spans="1:8" x14ac:dyDescent="0.25">
      <c r="A575" s="172"/>
      <c r="B575" s="172"/>
      <c r="C575" s="42"/>
      <c r="D575" s="42"/>
      <c r="E575" s="42"/>
      <c r="F575" s="172"/>
      <c r="G575" s="185"/>
      <c r="H575" s="172"/>
    </row>
    <row r="576" spans="1:8" x14ac:dyDescent="0.25">
      <c r="A576" s="172"/>
      <c r="B576" s="172"/>
      <c r="C576" s="42"/>
      <c r="D576" s="42"/>
      <c r="E576" s="42"/>
      <c r="F576" s="172"/>
      <c r="G576" s="185"/>
      <c r="H576" s="172"/>
    </row>
    <row r="577" spans="1:8" x14ac:dyDescent="0.25">
      <c r="A577" s="172"/>
      <c r="B577" s="172"/>
      <c r="C577" s="42"/>
      <c r="D577" s="42"/>
      <c r="E577" s="42"/>
      <c r="F577" s="172"/>
      <c r="G577" s="185"/>
      <c r="H577" s="172"/>
    </row>
    <row r="578" spans="1:8" x14ac:dyDescent="0.25">
      <c r="A578" s="172"/>
      <c r="B578" s="172"/>
      <c r="C578" s="42"/>
      <c r="D578" s="42"/>
      <c r="E578" s="42"/>
      <c r="F578" s="172"/>
      <c r="G578" s="185"/>
      <c r="H578" s="172"/>
    </row>
    <row r="579" spans="1:8" x14ac:dyDescent="0.25">
      <c r="A579" s="172"/>
      <c r="B579" s="172"/>
      <c r="C579" s="42"/>
      <c r="D579" s="42"/>
      <c r="E579" s="42"/>
      <c r="F579" s="172"/>
      <c r="G579" s="185"/>
      <c r="H579" s="172"/>
    </row>
    <row r="580" spans="1:8" x14ac:dyDescent="0.25">
      <c r="A580" s="172"/>
      <c r="B580" s="172"/>
      <c r="C580" s="42"/>
      <c r="D580" s="42"/>
      <c r="E580" s="42"/>
      <c r="F580" s="172"/>
      <c r="G580" s="185"/>
      <c r="H580" s="172"/>
    </row>
    <row r="581" spans="1:8" x14ac:dyDescent="0.25">
      <c r="A581" s="172"/>
      <c r="B581" s="172"/>
      <c r="C581" s="42"/>
      <c r="D581" s="42"/>
      <c r="E581" s="42"/>
      <c r="F581" s="172"/>
      <c r="G581" s="185"/>
      <c r="H581" s="172"/>
    </row>
    <row r="582" spans="1:8" x14ac:dyDescent="0.25">
      <c r="A582" s="172"/>
      <c r="B582" s="172"/>
      <c r="C582" s="42"/>
      <c r="D582" s="42"/>
      <c r="E582" s="42"/>
      <c r="F582" s="172"/>
      <c r="G582" s="185"/>
      <c r="H582" s="172"/>
    </row>
    <row r="583" spans="1:8" x14ac:dyDescent="0.25">
      <c r="A583" s="172"/>
      <c r="B583" s="172"/>
      <c r="C583" s="42"/>
      <c r="D583" s="42"/>
      <c r="E583" s="42"/>
      <c r="F583" s="172"/>
      <c r="G583" s="185"/>
      <c r="H583" s="172"/>
    </row>
    <row r="584" spans="1:8" x14ac:dyDescent="0.25">
      <c r="A584" s="172"/>
      <c r="B584" s="172"/>
      <c r="C584" s="42"/>
      <c r="D584" s="42"/>
      <c r="E584" s="42"/>
      <c r="F584" s="172"/>
      <c r="G584" s="185"/>
      <c r="H584" s="172"/>
    </row>
    <row r="585" spans="1:8" x14ac:dyDescent="0.25">
      <c r="A585" s="172"/>
      <c r="B585" s="172"/>
      <c r="C585" s="42"/>
      <c r="D585" s="42"/>
      <c r="E585" s="42"/>
      <c r="F585" s="172"/>
      <c r="G585" s="185"/>
      <c r="H585" s="172"/>
    </row>
    <row r="586" spans="1:8" x14ac:dyDescent="0.25">
      <c r="A586" s="172"/>
      <c r="B586" s="172"/>
      <c r="C586" s="42"/>
      <c r="D586" s="42"/>
      <c r="E586" s="42"/>
      <c r="F586" s="172"/>
      <c r="G586" s="185"/>
      <c r="H586" s="172"/>
    </row>
    <row r="587" spans="1:8" x14ac:dyDescent="0.25">
      <c r="A587" s="172"/>
      <c r="B587" s="172"/>
      <c r="C587" s="42"/>
      <c r="D587" s="42"/>
      <c r="E587" s="42"/>
      <c r="F587" s="172"/>
      <c r="G587" s="185"/>
      <c r="H587" s="172"/>
    </row>
    <row r="588" spans="1:8" x14ac:dyDescent="0.25">
      <c r="A588" s="172"/>
      <c r="B588" s="172"/>
      <c r="C588" s="42"/>
      <c r="D588" s="42"/>
      <c r="E588" s="42"/>
      <c r="F588" s="172"/>
      <c r="G588" s="185"/>
      <c r="H588" s="172"/>
    </row>
    <row r="589" spans="1:8" x14ac:dyDescent="0.25">
      <c r="A589" s="172"/>
      <c r="B589" s="172"/>
      <c r="C589" s="42"/>
      <c r="D589" s="42"/>
      <c r="E589" s="42"/>
      <c r="F589" s="172"/>
      <c r="G589" s="185"/>
      <c r="H589" s="172"/>
    </row>
    <row r="590" spans="1:8" x14ac:dyDescent="0.25">
      <c r="A590" s="172"/>
      <c r="B590" s="172"/>
      <c r="C590" s="42"/>
      <c r="D590" s="42"/>
      <c r="E590" s="42"/>
      <c r="F590" s="172"/>
      <c r="G590" s="185"/>
      <c r="H590" s="172"/>
    </row>
    <row r="591" spans="1:8" x14ac:dyDescent="0.25">
      <c r="A591" s="172"/>
      <c r="B591" s="172"/>
      <c r="C591" s="42"/>
      <c r="D591" s="42"/>
      <c r="E591" s="42"/>
      <c r="F591" s="172"/>
      <c r="G591" s="185"/>
      <c r="H591" s="172"/>
    </row>
    <row r="592" spans="1:8" x14ac:dyDescent="0.25">
      <c r="A592" s="172"/>
      <c r="B592" s="172"/>
      <c r="C592" s="42"/>
      <c r="D592" s="42"/>
      <c r="E592" s="42"/>
      <c r="F592" s="172"/>
      <c r="G592" s="185"/>
      <c r="H592" s="172"/>
    </row>
    <row r="593" spans="1:8" x14ac:dyDescent="0.25">
      <c r="A593" s="172"/>
      <c r="B593" s="172"/>
      <c r="C593" s="42"/>
      <c r="D593" s="42"/>
      <c r="E593" s="42"/>
      <c r="F593" s="172"/>
      <c r="G593" s="185"/>
      <c r="H593" s="172"/>
    </row>
    <row r="594" spans="1:8" x14ac:dyDescent="0.25">
      <c r="A594" s="172"/>
      <c r="B594" s="172"/>
      <c r="C594" s="42"/>
      <c r="D594" s="42"/>
      <c r="E594" s="42"/>
      <c r="F594" s="172"/>
      <c r="G594" s="185"/>
      <c r="H594" s="172"/>
    </row>
    <row r="595" spans="1:8" x14ac:dyDescent="0.25">
      <c r="A595" s="172"/>
      <c r="B595" s="172"/>
      <c r="C595" s="42"/>
      <c r="D595" s="42"/>
      <c r="E595" s="42"/>
      <c r="F595" s="172"/>
      <c r="G595" s="185"/>
      <c r="H595" s="172"/>
    </row>
    <row r="596" spans="1:8" x14ac:dyDescent="0.25">
      <c r="A596" s="172"/>
      <c r="B596" s="172"/>
      <c r="C596" s="42"/>
      <c r="D596" s="42"/>
      <c r="E596" s="42"/>
      <c r="F596" s="172"/>
      <c r="G596" s="185"/>
      <c r="H596" s="172"/>
    </row>
    <row r="597" spans="1:8" x14ac:dyDescent="0.25">
      <c r="A597" s="172"/>
      <c r="B597" s="172"/>
      <c r="C597" s="42"/>
      <c r="D597" s="42"/>
      <c r="E597" s="42"/>
      <c r="F597" s="172"/>
      <c r="G597" s="185"/>
      <c r="H597" s="172"/>
    </row>
    <row r="598" spans="1:8" x14ac:dyDescent="0.25">
      <c r="A598" s="172"/>
      <c r="B598" s="172"/>
      <c r="C598" s="42"/>
      <c r="D598" s="42"/>
      <c r="E598" s="42"/>
      <c r="F598" s="172"/>
      <c r="G598" s="185"/>
      <c r="H598" s="172"/>
    </row>
    <row r="599" spans="1:8" x14ac:dyDescent="0.25">
      <c r="A599" s="172"/>
      <c r="B599" s="172"/>
      <c r="C599" s="42"/>
      <c r="D599" s="42"/>
      <c r="E599" s="42"/>
      <c r="F599" s="172"/>
      <c r="G599" s="185"/>
      <c r="H599" s="172"/>
    </row>
    <row r="600" spans="1:8" x14ac:dyDescent="0.25">
      <c r="A600" s="172"/>
      <c r="B600" s="172"/>
      <c r="C600" s="42"/>
      <c r="D600" s="42"/>
      <c r="E600" s="42"/>
      <c r="F600" s="172"/>
      <c r="G600" s="185"/>
      <c r="H600" s="172"/>
    </row>
    <row r="601" spans="1:8" x14ac:dyDescent="0.25">
      <c r="A601" s="172"/>
      <c r="B601" s="172"/>
      <c r="C601" s="42"/>
      <c r="D601" s="42"/>
      <c r="E601" s="42"/>
      <c r="F601" s="172"/>
      <c r="G601" s="185"/>
      <c r="H601" s="172"/>
    </row>
    <row r="602" spans="1:8" x14ac:dyDescent="0.25">
      <c r="A602" s="172"/>
      <c r="B602" s="172"/>
      <c r="C602" s="42"/>
      <c r="D602" s="42"/>
      <c r="E602" s="42"/>
      <c r="F602" s="172"/>
      <c r="G602" s="185"/>
      <c r="H602" s="172"/>
    </row>
    <row r="603" spans="1:8" x14ac:dyDescent="0.25">
      <c r="A603" s="172"/>
      <c r="B603" s="172"/>
      <c r="C603" s="42"/>
      <c r="D603" s="42"/>
      <c r="E603" s="42"/>
      <c r="F603" s="172"/>
      <c r="G603" s="185"/>
      <c r="H603" s="172"/>
    </row>
    <row r="604" spans="1:8" x14ac:dyDescent="0.25">
      <c r="A604" s="172"/>
      <c r="B604" s="172"/>
      <c r="C604" s="42"/>
      <c r="D604" s="42"/>
      <c r="E604" s="42"/>
      <c r="F604" s="172"/>
      <c r="G604" s="185"/>
      <c r="H604" s="172"/>
    </row>
    <row r="605" spans="1:8" x14ac:dyDescent="0.25">
      <c r="A605" s="172"/>
      <c r="B605" s="172"/>
      <c r="C605" s="42"/>
      <c r="D605" s="42"/>
      <c r="E605" s="42"/>
      <c r="F605" s="172"/>
      <c r="G605" s="185"/>
      <c r="H605" s="172"/>
    </row>
    <row r="606" spans="1:8" x14ac:dyDescent="0.25">
      <c r="A606" s="172"/>
      <c r="B606" s="172"/>
      <c r="C606" s="42"/>
      <c r="D606" s="42"/>
      <c r="E606" s="42"/>
      <c r="F606" s="172"/>
      <c r="G606" s="185"/>
      <c r="H606" s="172"/>
    </row>
    <row r="607" spans="1:8" x14ac:dyDescent="0.25">
      <c r="A607" s="172"/>
      <c r="B607" s="172"/>
      <c r="C607" s="42"/>
      <c r="D607" s="42"/>
      <c r="E607" s="42"/>
      <c r="F607" s="172"/>
      <c r="G607" s="185"/>
      <c r="H607" s="172"/>
    </row>
    <row r="608" spans="1:8" x14ac:dyDescent="0.25">
      <c r="A608" s="172"/>
      <c r="B608" s="172"/>
      <c r="C608" s="42"/>
      <c r="D608" s="42"/>
      <c r="E608" s="42"/>
      <c r="F608" s="172"/>
      <c r="G608" s="185"/>
      <c r="H608" s="172"/>
    </row>
    <row r="609" spans="1:8" x14ac:dyDescent="0.25">
      <c r="A609" s="172"/>
      <c r="B609" s="172"/>
      <c r="C609" s="42"/>
      <c r="D609" s="42"/>
      <c r="E609" s="42"/>
      <c r="F609" s="172"/>
      <c r="G609" s="185"/>
      <c r="H609" s="172"/>
    </row>
    <row r="610" spans="1:8" x14ac:dyDescent="0.25">
      <c r="A610" s="172"/>
      <c r="B610" s="172"/>
      <c r="C610" s="42"/>
      <c r="D610" s="42"/>
      <c r="E610" s="42"/>
      <c r="F610" s="172"/>
      <c r="G610" s="185"/>
      <c r="H610" s="172"/>
    </row>
    <row r="611" spans="1:8" x14ac:dyDescent="0.25">
      <c r="A611" s="172"/>
      <c r="B611" s="172"/>
      <c r="C611" s="42"/>
      <c r="D611" s="42"/>
      <c r="E611" s="42"/>
      <c r="F611" s="172"/>
      <c r="G611" s="185"/>
      <c r="H611" s="172"/>
    </row>
    <row r="612" spans="1:8" x14ac:dyDescent="0.25">
      <c r="A612" s="172"/>
      <c r="B612" s="172"/>
      <c r="C612" s="42"/>
      <c r="D612" s="42"/>
      <c r="E612" s="42"/>
      <c r="F612" s="172"/>
      <c r="G612" s="185"/>
      <c r="H612" s="172"/>
    </row>
    <row r="613" spans="1:8" x14ac:dyDescent="0.25">
      <c r="A613" s="172"/>
      <c r="B613" s="172"/>
      <c r="C613" s="42"/>
      <c r="D613" s="42"/>
      <c r="E613" s="42"/>
      <c r="F613" s="172"/>
      <c r="G613" s="185"/>
      <c r="H613" s="172"/>
    </row>
    <row r="614" spans="1:8" x14ac:dyDescent="0.25">
      <c r="A614" s="172"/>
      <c r="B614" s="172"/>
      <c r="C614" s="42"/>
      <c r="D614" s="42"/>
      <c r="E614" s="42"/>
      <c r="F614" s="172"/>
      <c r="G614" s="185"/>
      <c r="H614" s="172"/>
    </row>
    <row r="615" spans="1:8" x14ac:dyDescent="0.25">
      <c r="A615" s="172"/>
      <c r="B615" s="172"/>
      <c r="C615" s="42"/>
      <c r="D615" s="42"/>
      <c r="E615" s="42"/>
      <c r="F615" s="172"/>
      <c r="G615" s="185"/>
      <c r="H615" s="172"/>
    </row>
    <row r="616" spans="1:8" x14ac:dyDescent="0.25">
      <c r="A616" s="172"/>
      <c r="B616" s="172"/>
      <c r="C616" s="42"/>
      <c r="D616" s="42"/>
      <c r="E616" s="42"/>
      <c r="F616" s="172"/>
      <c r="G616" s="185"/>
      <c r="H616" s="172"/>
    </row>
    <row r="617" spans="1:8" x14ac:dyDescent="0.25">
      <c r="A617" s="172"/>
      <c r="B617" s="172"/>
      <c r="C617" s="42"/>
      <c r="D617" s="42"/>
      <c r="E617" s="42"/>
      <c r="F617" s="172"/>
      <c r="G617" s="185"/>
      <c r="H617" s="172"/>
    </row>
    <row r="618" spans="1:8" x14ac:dyDescent="0.25">
      <c r="A618" s="172"/>
      <c r="B618" s="172"/>
      <c r="C618" s="42"/>
      <c r="D618" s="42"/>
      <c r="E618" s="42"/>
      <c r="F618" s="172"/>
      <c r="G618" s="185"/>
      <c r="H618" s="172"/>
    </row>
    <row r="619" spans="1:8" x14ac:dyDescent="0.25">
      <c r="A619" s="172"/>
      <c r="B619" s="172"/>
      <c r="C619" s="42"/>
      <c r="D619" s="42"/>
      <c r="E619" s="42"/>
      <c r="F619" s="172"/>
      <c r="G619" s="185"/>
      <c r="H619" s="172"/>
    </row>
    <row r="620" spans="1:8" x14ac:dyDescent="0.25">
      <c r="A620" s="172"/>
      <c r="B620" s="172"/>
      <c r="C620" s="42"/>
      <c r="D620" s="42"/>
      <c r="E620" s="42"/>
      <c r="F620" s="172"/>
      <c r="G620" s="185"/>
      <c r="H620" s="172"/>
    </row>
    <row r="621" spans="1:8" x14ac:dyDescent="0.25">
      <c r="A621" s="172"/>
      <c r="B621" s="172"/>
      <c r="C621" s="42"/>
      <c r="D621" s="42"/>
      <c r="E621" s="42"/>
      <c r="F621" s="172"/>
      <c r="G621" s="185"/>
      <c r="H621" s="172"/>
    </row>
    <row r="622" spans="1:8" x14ac:dyDescent="0.25">
      <c r="A622" s="172"/>
      <c r="B622" s="172"/>
      <c r="C622" s="42"/>
      <c r="D622" s="42"/>
      <c r="E622" s="42"/>
      <c r="F622" s="172"/>
      <c r="G622" s="185"/>
      <c r="H622" s="172"/>
    </row>
    <row r="623" spans="1:8" x14ac:dyDescent="0.25">
      <c r="A623" s="172"/>
      <c r="B623" s="172"/>
      <c r="C623" s="42"/>
      <c r="D623" s="42"/>
      <c r="E623" s="42"/>
      <c r="F623" s="172"/>
      <c r="G623" s="185"/>
      <c r="H623" s="172"/>
    </row>
    <row r="624" spans="1:8" x14ac:dyDescent="0.25">
      <c r="A624" s="172"/>
      <c r="B624" s="172"/>
      <c r="C624" s="42"/>
      <c r="D624" s="42"/>
      <c r="E624" s="42"/>
      <c r="F624" s="172"/>
      <c r="G624" s="185"/>
      <c r="H624" s="172"/>
    </row>
    <row r="625" spans="1:8" x14ac:dyDescent="0.25">
      <c r="A625" s="172"/>
      <c r="B625" s="172"/>
      <c r="C625" s="42"/>
      <c r="D625" s="42"/>
      <c r="E625" s="42"/>
      <c r="F625" s="172"/>
      <c r="G625" s="185"/>
      <c r="H625" s="172"/>
    </row>
    <row r="626" spans="1:8" x14ac:dyDescent="0.25">
      <c r="A626" s="172"/>
      <c r="B626" s="172"/>
      <c r="C626" s="42"/>
      <c r="D626" s="42"/>
      <c r="E626" s="42"/>
      <c r="F626" s="172"/>
      <c r="G626" s="185"/>
      <c r="H626" s="172"/>
    </row>
    <row r="627" spans="1:8" x14ac:dyDescent="0.25">
      <c r="A627" s="172"/>
      <c r="B627" s="172"/>
      <c r="C627" s="42"/>
      <c r="D627" s="42"/>
      <c r="E627" s="42"/>
      <c r="F627" s="172"/>
      <c r="G627" s="185"/>
      <c r="H627" s="172"/>
    </row>
    <row r="628" spans="1:8" x14ac:dyDescent="0.25">
      <c r="A628" s="172"/>
      <c r="B628" s="172"/>
      <c r="C628" s="42"/>
      <c r="D628" s="42"/>
      <c r="E628" s="42"/>
      <c r="F628" s="172"/>
      <c r="G628" s="185"/>
      <c r="H628" s="172"/>
    </row>
    <row r="629" spans="1:8" x14ac:dyDescent="0.25">
      <c r="A629" s="172"/>
      <c r="B629" s="172"/>
      <c r="C629" s="42"/>
      <c r="D629" s="42"/>
      <c r="E629" s="42"/>
      <c r="F629" s="172"/>
      <c r="G629" s="185"/>
      <c r="H629" s="172"/>
    </row>
    <row r="630" spans="1:8" x14ac:dyDescent="0.25">
      <c r="A630" s="172"/>
      <c r="B630" s="172"/>
      <c r="C630" s="42"/>
      <c r="D630" s="42"/>
      <c r="E630" s="42"/>
      <c r="F630" s="172"/>
      <c r="G630" s="185"/>
      <c r="H630" s="172"/>
    </row>
    <row r="631" spans="1:8" x14ac:dyDescent="0.25">
      <c r="A631" s="172"/>
      <c r="B631" s="172"/>
      <c r="C631" s="42"/>
      <c r="D631" s="42"/>
      <c r="E631" s="42"/>
      <c r="F631" s="172"/>
      <c r="G631" s="185"/>
      <c r="H631" s="172"/>
    </row>
    <row r="632" spans="1:8" x14ac:dyDescent="0.25">
      <c r="A632" s="172"/>
      <c r="B632" s="172"/>
      <c r="C632" s="42"/>
      <c r="D632" s="42"/>
      <c r="E632" s="42"/>
      <c r="F632" s="172"/>
      <c r="G632" s="185"/>
      <c r="H632" s="172"/>
    </row>
    <row r="633" spans="1:8" x14ac:dyDescent="0.25">
      <c r="A633" s="172"/>
      <c r="B633" s="172"/>
      <c r="C633" s="42"/>
      <c r="D633" s="42"/>
      <c r="E633" s="42"/>
      <c r="F633" s="172"/>
      <c r="G633" s="185"/>
      <c r="H633" s="172"/>
    </row>
    <row r="634" spans="1:8" x14ac:dyDescent="0.25">
      <c r="A634" s="172"/>
      <c r="B634" s="172"/>
      <c r="C634" s="42"/>
      <c r="D634" s="42"/>
      <c r="E634" s="42"/>
      <c r="F634" s="172"/>
      <c r="G634" s="185"/>
      <c r="H634" s="172"/>
    </row>
    <row r="635" spans="1:8" x14ac:dyDescent="0.25">
      <c r="A635" s="172"/>
      <c r="B635" s="172"/>
      <c r="C635" s="42"/>
      <c r="D635" s="42"/>
      <c r="E635" s="42"/>
      <c r="F635" s="172"/>
      <c r="G635" s="185"/>
      <c r="H635" s="172"/>
    </row>
    <row r="636" spans="1:8" x14ac:dyDescent="0.25">
      <c r="A636" s="172"/>
      <c r="B636" s="172"/>
      <c r="C636" s="42"/>
      <c r="D636" s="42"/>
      <c r="E636" s="42"/>
      <c r="F636" s="172"/>
      <c r="G636" s="185"/>
      <c r="H636" s="172"/>
    </row>
    <row r="637" spans="1:8" x14ac:dyDescent="0.25">
      <c r="A637" s="172"/>
      <c r="B637" s="172"/>
      <c r="C637" s="42"/>
      <c r="D637" s="42"/>
      <c r="E637" s="42"/>
      <c r="F637" s="172"/>
      <c r="G637" s="185"/>
      <c r="H637" s="172"/>
    </row>
    <row r="638" spans="1:8" x14ac:dyDescent="0.25">
      <c r="A638" s="172"/>
      <c r="B638" s="172"/>
      <c r="C638" s="42"/>
      <c r="D638" s="42"/>
      <c r="E638" s="42"/>
      <c r="F638" s="172"/>
      <c r="G638" s="185"/>
      <c r="H638" s="172"/>
    </row>
    <row r="639" spans="1:8" x14ac:dyDescent="0.25">
      <c r="A639" s="172"/>
      <c r="B639" s="172"/>
      <c r="C639" s="42"/>
      <c r="D639" s="42"/>
      <c r="E639" s="42"/>
      <c r="F639" s="172"/>
      <c r="G639" s="185"/>
      <c r="H639" s="172"/>
    </row>
    <row r="640" spans="1:8" x14ac:dyDescent="0.25">
      <c r="A640" s="172"/>
      <c r="B640" s="172"/>
      <c r="C640" s="42"/>
      <c r="D640" s="42"/>
      <c r="E640" s="42"/>
      <c r="F640" s="172"/>
      <c r="G640" s="185"/>
      <c r="H640" s="172"/>
    </row>
    <row r="641" spans="1:8" x14ac:dyDescent="0.25">
      <c r="A641" s="172"/>
      <c r="B641" s="172"/>
      <c r="C641" s="42"/>
      <c r="D641" s="42"/>
      <c r="E641" s="42"/>
      <c r="F641" s="172"/>
      <c r="G641" s="185"/>
      <c r="H641" s="172"/>
    </row>
    <row r="642" spans="1:8" x14ac:dyDescent="0.25">
      <c r="A642" s="172"/>
      <c r="B642" s="172"/>
      <c r="C642" s="42"/>
      <c r="D642" s="42"/>
      <c r="E642" s="42"/>
      <c r="F642" s="172"/>
      <c r="G642" s="185"/>
      <c r="H642" s="172"/>
    </row>
    <row r="643" spans="1:8" x14ac:dyDescent="0.25">
      <c r="A643" s="172"/>
      <c r="B643" s="172"/>
      <c r="C643" s="42"/>
      <c r="D643" s="42"/>
      <c r="E643" s="42"/>
      <c r="F643" s="172"/>
      <c r="G643" s="185"/>
      <c r="H643" s="172"/>
    </row>
    <row r="644" spans="1:8" x14ac:dyDescent="0.25">
      <c r="A644" s="172"/>
      <c r="B644" s="172"/>
      <c r="C644" s="42"/>
      <c r="D644" s="42"/>
      <c r="E644" s="42"/>
      <c r="F644" s="172"/>
      <c r="G644" s="185"/>
      <c r="H644" s="172"/>
    </row>
    <row r="645" spans="1:8" x14ac:dyDescent="0.25">
      <c r="A645" s="172"/>
      <c r="B645" s="172"/>
      <c r="C645" s="42"/>
      <c r="D645" s="42"/>
      <c r="E645" s="42"/>
      <c r="F645" s="172"/>
      <c r="G645" s="185"/>
      <c r="H645" s="172"/>
    </row>
    <row r="646" spans="1:8" x14ac:dyDescent="0.25">
      <c r="A646" s="172"/>
      <c r="B646" s="172"/>
      <c r="C646" s="42"/>
      <c r="D646" s="42"/>
      <c r="E646" s="42"/>
      <c r="F646" s="172"/>
      <c r="G646" s="185"/>
      <c r="H646" s="172"/>
    </row>
    <row r="647" spans="1:8" x14ac:dyDescent="0.25">
      <c r="A647" s="172"/>
      <c r="B647" s="172"/>
      <c r="C647" s="42"/>
      <c r="D647" s="42"/>
      <c r="E647" s="42"/>
      <c r="F647" s="172"/>
      <c r="G647" s="185"/>
      <c r="H647" s="172"/>
    </row>
    <row r="648" spans="1:8" x14ac:dyDescent="0.25">
      <c r="A648" s="172"/>
      <c r="B648" s="172"/>
      <c r="C648" s="42"/>
      <c r="D648" s="42"/>
      <c r="E648" s="42"/>
      <c r="F648" s="172"/>
      <c r="G648" s="185"/>
      <c r="H648" s="172"/>
    </row>
    <row r="649" spans="1:8" x14ac:dyDescent="0.25">
      <c r="A649" s="172"/>
      <c r="B649" s="172"/>
      <c r="C649" s="42"/>
      <c r="D649" s="42"/>
      <c r="E649" s="42"/>
      <c r="F649" s="172"/>
      <c r="G649" s="185"/>
      <c r="H649" s="172"/>
    </row>
    <row r="650" spans="1:8" x14ac:dyDescent="0.25">
      <c r="A650" s="172"/>
      <c r="B650" s="172"/>
      <c r="C650" s="42"/>
      <c r="D650" s="42"/>
      <c r="E650" s="42"/>
      <c r="F650" s="172"/>
      <c r="G650" s="185"/>
      <c r="H650" s="172"/>
    </row>
    <row r="651" spans="1:8" x14ac:dyDescent="0.25">
      <c r="A651" s="172"/>
      <c r="B651" s="172"/>
      <c r="C651" s="42"/>
      <c r="D651" s="42"/>
      <c r="E651" s="42"/>
      <c r="F651" s="172"/>
      <c r="G651" s="185"/>
      <c r="H651" s="172"/>
    </row>
    <row r="652" spans="1:8" x14ac:dyDescent="0.25">
      <c r="A652" s="172"/>
      <c r="B652" s="172"/>
      <c r="C652" s="42"/>
      <c r="D652" s="42"/>
      <c r="E652" s="42"/>
      <c r="F652" s="172"/>
      <c r="G652" s="185"/>
      <c r="H652" s="172"/>
    </row>
    <row r="653" spans="1:8" x14ac:dyDescent="0.25">
      <c r="A653" s="172"/>
      <c r="B653" s="172"/>
      <c r="C653" s="42"/>
      <c r="D653" s="42"/>
      <c r="E653" s="42"/>
      <c r="F653" s="172"/>
      <c r="G653" s="185"/>
      <c r="H653" s="172"/>
    </row>
    <row r="654" spans="1:8" x14ac:dyDescent="0.25">
      <c r="A654" s="172"/>
      <c r="B654" s="172"/>
      <c r="C654" s="42"/>
      <c r="D654" s="42"/>
      <c r="E654" s="42"/>
      <c r="F654" s="172"/>
      <c r="G654" s="185"/>
      <c r="H654" s="172"/>
    </row>
    <row r="655" spans="1:8" x14ac:dyDescent="0.25">
      <c r="A655" s="172"/>
      <c r="B655" s="172"/>
      <c r="C655" s="42"/>
      <c r="D655" s="42"/>
      <c r="E655" s="42"/>
      <c r="F655" s="172"/>
      <c r="G655" s="185"/>
      <c r="H655" s="172"/>
    </row>
    <row r="656" spans="1:8" x14ac:dyDescent="0.25">
      <c r="A656" s="172"/>
      <c r="B656" s="172"/>
      <c r="C656" s="42"/>
      <c r="D656" s="42"/>
      <c r="E656" s="42"/>
      <c r="F656" s="172"/>
      <c r="G656" s="185"/>
      <c r="H656" s="172"/>
    </row>
    <row r="657" spans="1:8" x14ac:dyDescent="0.25">
      <c r="A657" s="172"/>
      <c r="B657" s="172"/>
      <c r="C657" s="42"/>
      <c r="D657" s="42"/>
      <c r="E657" s="42"/>
      <c r="F657" s="172"/>
      <c r="G657" s="185"/>
      <c r="H657" s="172"/>
    </row>
    <row r="658" spans="1:8" x14ac:dyDescent="0.25">
      <c r="A658" s="172"/>
      <c r="B658" s="172"/>
      <c r="C658" s="42"/>
      <c r="D658" s="42"/>
      <c r="E658" s="42"/>
      <c r="F658" s="172"/>
      <c r="G658" s="185"/>
      <c r="H658" s="172"/>
    </row>
    <row r="659" spans="1:8" x14ac:dyDescent="0.25">
      <c r="A659" s="172"/>
      <c r="B659" s="172"/>
      <c r="C659" s="42"/>
      <c r="D659" s="42"/>
      <c r="E659" s="42"/>
      <c r="F659" s="172"/>
      <c r="G659" s="185"/>
      <c r="H659" s="172"/>
    </row>
    <row r="660" spans="1:8" x14ac:dyDescent="0.25">
      <c r="A660" s="172"/>
      <c r="B660" s="172"/>
      <c r="C660" s="42"/>
      <c r="D660" s="42"/>
      <c r="E660" s="42"/>
      <c r="F660" s="172"/>
      <c r="G660" s="185"/>
      <c r="H660" s="172"/>
    </row>
    <row r="661" spans="1:8" x14ac:dyDescent="0.25">
      <c r="A661" s="172"/>
      <c r="B661" s="172"/>
      <c r="C661" s="42"/>
      <c r="D661" s="42"/>
      <c r="E661" s="42"/>
      <c r="F661" s="172"/>
      <c r="G661" s="185"/>
      <c r="H661" s="172"/>
    </row>
    <row r="662" spans="1:8" x14ac:dyDescent="0.25">
      <c r="A662" s="172"/>
      <c r="B662" s="172"/>
      <c r="C662" s="42"/>
      <c r="D662" s="42"/>
      <c r="E662" s="42"/>
      <c r="F662" s="172"/>
      <c r="G662" s="185"/>
      <c r="H662" s="172"/>
    </row>
    <row r="663" spans="1:8" x14ac:dyDescent="0.25">
      <c r="A663" s="172"/>
      <c r="B663" s="172"/>
      <c r="C663" s="42"/>
      <c r="D663" s="42"/>
      <c r="E663" s="42"/>
      <c r="F663" s="172"/>
      <c r="G663" s="185"/>
      <c r="H663" s="172"/>
    </row>
    <row r="664" spans="1:8" x14ac:dyDescent="0.25">
      <c r="A664" s="172"/>
      <c r="B664" s="172"/>
      <c r="C664" s="42"/>
      <c r="D664" s="42"/>
      <c r="E664" s="42"/>
      <c r="F664" s="172"/>
      <c r="G664" s="185"/>
      <c r="H664" s="172"/>
    </row>
    <row r="665" spans="1:8" x14ac:dyDescent="0.25">
      <c r="A665" s="172"/>
      <c r="B665" s="172"/>
      <c r="C665" s="42"/>
      <c r="D665" s="42"/>
      <c r="E665" s="42"/>
      <c r="F665" s="172"/>
      <c r="G665" s="185"/>
      <c r="H665" s="172"/>
    </row>
    <row r="666" spans="1:8" x14ac:dyDescent="0.25">
      <c r="A666" s="172"/>
      <c r="B666" s="172"/>
      <c r="C666" s="42"/>
      <c r="D666" s="42"/>
      <c r="E666" s="42"/>
      <c r="F666" s="172"/>
      <c r="G666" s="185"/>
      <c r="H666" s="172"/>
    </row>
    <row r="667" spans="1:8" x14ac:dyDescent="0.25">
      <c r="A667" s="172"/>
      <c r="B667" s="172"/>
      <c r="C667" s="42"/>
      <c r="D667" s="42"/>
      <c r="E667" s="42"/>
      <c r="F667" s="172"/>
      <c r="G667" s="185"/>
      <c r="H667" s="172"/>
    </row>
    <row r="668" spans="1:8" x14ac:dyDescent="0.25">
      <c r="A668" s="172"/>
      <c r="B668" s="172"/>
      <c r="C668" s="42"/>
      <c r="D668" s="42"/>
      <c r="E668" s="42"/>
      <c r="F668" s="172"/>
      <c r="G668" s="185"/>
      <c r="H668" s="172"/>
    </row>
    <row r="669" spans="1:8" x14ac:dyDescent="0.25">
      <c r="A669" s="172"/>
      <c r="B669" s="172"/>
      <c r="C669" s="42"/>
      <c r="D669" s="42"/>
      <c r="E669" s="42"/>
      <c r="F669" s="172"/>
      <c r="G669" s="185"/>
      <c r="H669" s="172"/>
    </row>
    <row r="670" spans="1:8" x14ac:dyDescent="0.25">
      <c r="A670" s="172"/>
      <c r="B670" s="172"/>
      <c r="C670" s="42"/>
      <c r="D670" s="42"/>
      <c r="E670" s="42"/>
      <c r="F670" s="172"/>
      <c r="G670" s="185"/>
      <c r="H670" s="172"/>
    </row>
    <row r="671" spans="1:8" x14ac:dyDescent="0.25">
      <c r="A671" s="172"/>
      <c r="B671" s="172"/>
      <c r="C671" s="42"/>
      <c r="D671" s="42"/>
      <c r="E671" s="42"/>
      <c r="F671" s="172"/>
      <c r="G671" s="185"/>
      <c r="H671" s="172"/>
    </row>
    <row r="672" spans="1:8" x14ac:dyDescent="0.25">
      <c r="A672" s="172"/>
      <c r="B672" s="172"/>
      <c r="C672" s="42"/>
      <c r="D672" s="42"/>
      <c r="E672" s="42"/>
      <c r="F672" s="172"/>
      <c r="G672" s="185"/>
      <c r="H672" s="172"/>
    </row>
    <row r="673" spans="1:8" x14ac:dyDescent="0.25">
      <c r="A673" s="172"/>
      <c r="B673" s="172"/>
      <c r="C673" s="42"/>
      <c r="D673" s="42"/>
      <c r="E673" s="42"/>
      <c r="F673" s="172"/>
      <c r="G673" s="185"/>
      <c r="H673" s="172"/>
    </row>
    <row r="674" spans="1:8" x14ac:dyDescent="0.25">
      <c r="A674" s="172"/>
      <c r="B674" s="172"/>
      <c r="C674" s="42"/>
      <c r="D674" s="42"/>
      <c r="E674" s="42"/>
      <c r="F674" s="172"/>
      <c r="G674" s="185"/>
      <c r="H674" s="172"/>
    </row>
    <row r="675" spans="1:8" x14ac:dyDescent="0.25">
      <c r="A675" s="172"/>
      <c r="B675" s="172"/>
      <c r="C675" s="42"/>
      <c r="D675" s="42"/>
      <c r="E675" s="42"/>
      <c r="F675" s="172"/>
      <c r="G675" s="185"/>
      <c r="H675" s="172"/>
    </row>
    <row r="676" spans="1:8" x14ac:dyDescent="0.25">
      <c r="A676" s="172"/>
      <c r="B676" s="172"/>
      <c r="C676" s="42"/>
      <c r="D676" s="42"/>
      <c r="E676" s="42"/>
      <c r="F676" s="172"/>
      <c r="G676" s="185"/>
      <c r="H676" s="172"/>
    </row>
    <row r="677" spans="1:8" x14ac:dyDescent="0.25">
      <c r="A677" s="172"/>
      <c r="B677" s="172"/>
      <c r="C677" s="42"/>
      <c r="D677" s="42"/>
      <c r="E677" s="42"/>
      <c r="F677" s="172"/>
      <c r="G677" s="185"/>
      <c r="H677" s="172"/>
    </row>
    <row r="678" spans="1:8" x14ac:dyDescent="0.25">
      <c r="A678" s="172"/>
      <c r="B678" s="172"/>
      <c r="C678" s="42"/>
      <c r="D678" s="42"/>
      <c r="E678" s="42"/>
      <c r="F678" s="172"/>
      <c r="G678" s="185"/>
      <c r="H678" s="172"/>
    </row>
    <row r="679" spans="1:8" x14ac:dyDescent="0.25">
      <c r="A679" s="172"/>
      <c r="B679" s="172"/>
      <c r="C679" s="42"/>
      <c r="D679" s="42"/>
      <c r="E679" s="42"/>
      <c r="F679" s="172"/>
      <c r="G679" s="185"/>
      <c r="H679" s="172"/>
    </row>
    <row r="680" spans="1:8" x14ac:dyDescent="0.25">
      <c r="A680" s="172"/>
      <c r="B680" s="172"/>
      <c r="C680" s="42"/>
      <c r="D680" s="42"/>
      <c r="E680" s="42"/>
      <c r="F680" s="172"/>
      <c r="G680" s="185"/>
      <c r="H680" s="172"/>
    </row>
    <row r="681" spans="1:8" x14ac:dyDescent="0.25">
      <c r="A681" s="172"/>
      <c r="B681" s="172"/>
      <c r="C681" s="42"/>
      <c r="D681" s="42"/>
      <c r="E681" s="42"/>
      <c r="F681" s="172"/>
      <c r="G681" s="185"/>
      <c r="H681" s="172"/>
    </row>
    <row r="682" spans="1:8" x14ac:dyDescent="0.25">
      <c r="A682" s="172"/>
      <c r="B682" s="172"/>
      <c r="C682" s="42"/>
      <c r="D682" s="42"/>
      <c r="E682" s="42"/>
      <c r="F682" s="172"/>
      <c r="G682" s="185"/>
      <c r="H682" s="172"/>
    </row>
    <row r="683" spans="1:8" x14ac:dyDescent="0.25">
      <c r="A683" s="172"/>
      <c r="B683" s="172"/>
      <c r="C683" s="42"/>
      <c r="D683" s="42"/>
      <c r="E683" s="42"/>
      <c r="F683" s="172"/>
      <c r="G683" s="185"/>
      <c r="H683" s="172"/>
    </row>
    <row r="684" spans="1:8" x14ac:dyDescent="0.25">
      <c r="A684" s="172"/>
      <c r="B684" s="172"/>
      <c r="C684" s="42"/>
      <c r="D684" s="42"/>
      <c r="E684" s="42"/>
      <c r="F684" s="172"/>
      <c r="G684" s="185"/>
      <c r="H684" s="172"/>
    </row>
    <row r="685" spans="1:8" x14ac:dyDescent="0.25">
      <c r="A685" s="172"/>
      <c r="B685" s="172"/>
      <c r="C685" s="42"/>
      <c r="D685" s="42"/>
      <c r="E685" s="42"/>
      <c r="F685" s="172"/>
      <c r="G685" s="185"/>
      <c r="H685" s="172"/>
    </row>
    <row r="686" spans="1:8" x14ac:dyDescent="0.25">
      <c r="A686" s="172"/>
      <c r="B686" s="172"/>
      <c r="C686" s="42"/>
      <c r="D686" s="42"/>
      <c r="E686" s="42"/>
      <c r="F686" s="172"/>
      <c r="G686" s="185"/>
      <c r="H686" s="172"/>
    </row>
    <row r="687" spans="1:8" x14ac:dyDescent="0.25">
      <c r="A687" s="172"/>
      <c r="B687" s="172"/>
      <c r="C687" s="42"/>
      <c r="D687" s="42"/>
      <c r="E687" s="42"/>
      <c r="F687" s="172"/>
      <c r="G687" s="185"/>
      <c r="H687" s="172"/>
    </row>
    <row r="688" spans="1:8" x14ac:dyDescent="0.25">
      <c r="A688" s="172"/>
      <c r="B688" s="172"/>
      <c r="C688" s="42"/>
      <c r="D688" s="42"/>
      <c r="E688" s="42"/>
      <c r="F688" s="172"/>
      <c r="G688" s="185"/>
      <c r="H688" s="172"/>
    </row>
    <row r="689" spans="1:8" x14ac:dyDescent="0.25">
      <c r="A689" s="172"/>
      <c r="B689" s="172"/>
      <c r="C689" s="42"/>
      <c r="D689" s="42"/>
      <c r="E689" s="42"/>
      <c r="F689" s="172"/>
      <c r="G689" s="185"/>
      <c r="H689" s="172"/>
    </row>
    <row r="690" spans="1:8" x14ac:dyDescent="0.25">
      <c r="A690" s="172"/>
      <c r="B690" s="172"/>
      <c r="C690" s="42"/>
      <c r="D690" s="42"/>
      <c r="E690" s="42"/>
      <c r="F690" s="172"/>
      <c r="G690" s="185"/>
      <c r="H690" s="172"/>
    </row>
    <row r="691" spans="1:8" x14ac:dyDescent="0.25">
      <c r="A691" s="172"/>
      <c r="B691" s="172"/>
      <c r="C691" s="42"/>
      <c r="D691" s="42"/>
      <c r="E691" s="42"/>
      <c r="F691" s="172"/>
      <c r="G691" s="185"/>
      <c r="H691" s="172"/>
    </row>
    <row r="692" spans="1:8" x14ac:dyDescent="0.25">
      <c r="A692" s="172"/>
      <c r="B692" s="172"/>
      <c r="C692" s="42"/>
      <c r="D692" s="42"/>
      <c r="E692" s="42"/>
      <c r="F692" s="172"/>
      <c r="G692" s="185"/>
      <c r="H692" s="172"/>
    </row>
    <row r="693" spans="1:8" x14ac:dyDescent="0.25">
      <c r="A693" s="172"/>
      <c r="B693" s="172"/>
      <c r="C693" s="42"/>
      <c r="D693" s="42"/>
      <c r="E693" s="42"/>
      <c r="F693" s="172"/>
      <c r="G693" s="185"/>
      <c r="H693" s="172"/>
    </row>
    <row r="694" spans="1:8" x14ac:dyDescent="0.25">
      <c r="A694" s="172"/>
      <c r="B694" s="172"/>
      <c r="C694" s="42"/>
      <c r="D694" s="42"/>
      <c r="E694" s="42"/>
      <c r="F694" s="172"/>
      <c r="G694" s="185"/>
      <c r="H694" s="172"/>
    </row>
    <row r="695" spans="1:8" x14ac:dyDescent="0.25">
      <c r="A695" s="172"/>
      <c r="B695" s="172"/>
      <c r="C695" s="42"/>
      <c r="D695" s="42"/>
      <c r="E695" s="42"/>
      <c r="F695" s="172"/>
      <c r="G695" s="185"/>
      <c r="H695" s="172"/>
    </row>
    <row r="696" spans="1:8" x14ac:dyDescent="0.25">
      <c r="A696" s="172"/>
      <c r="B696" s="172"/>
      <c r="C696" s="42"/>
      <c r="D696" s="42"/>
      <c r="E696" s="42"/>
      <c r="F696" s="172"/>
      <c r="G696" s="185"/>
      <c r="H696" s="172"/>
    </row>
    <row r="697" spans="1:8" x14ac:dyDescent="0.25">
      <c r="A697" s="172"/>
      <c r="B697" s="172"/>
      <c r="C697" s="42"/>
      <c r="D697" s="42"/>
      <c r="E697" s="42"/>
      <c r="F697" s="172"/>
      <c r="G697" s="185"/>
      <c r="H697" s="172"/>
    </row>
    <row r="698" spans="1:8" x14ac:dyDescent="0.25">
      <c r="A698" s="172"/>
      <c r="B698" s="172"/>
      <c r="C698" s="42"/>
      <c r="D698" s="42"/>
      <c r="E698" s="42"/>
      <c r="F698" s="172"/>
      <c r="G698" s="185"/>
      <c r="H698" s="172"/>
    </row>
    <row r="699" spans="1:8" x14ac:dyDescent="0.25">
      <c r="A699" s="172"/>
      <c r="B699" s="172"/>
      <c r="C699" s="42"/>
      <c r="D699" s="42"/>
      <c r="E699" s="42"/>
      <c r="F699" s="172"/>
      <c r="G699" s="185"/>
      <c r="H699" s="172"/>
    </row>
    <row r="700" spans="1:8" x14ac:dyDescent="0.25">
      <c r="A700" s="172"/>
      <c r="B700" s="172"/>
      <c r="C700" s="42"/>
      <c r="D700" s="42"/>
      <c r="E700" s="42"/>
      <c r="F700" s="172"/>
      <c r="G700" s="185"/>
      <c r="H700" s="172"/>
    </row>
    <row r="701" spans="1:8" x14ac:dyDescent="0.25">
      <c r="A701" s="172"/>
      <c r="B701" s="172"/>
      <c r="C701" s="42"/>
      <c r="D701" s="42"/>
      <c r="E701" s="42"/>
      <c r="F701" s="172"/>
      <c r="G701" s="185"/>
      <c r="H701" s="172"/>
    </row>
    <row r="702" spans="1:8" x14ac:dyDescent="0.25">
      <c r="A702" s="172"/>
      <c r="B702" s="172"/>
      <c r="C702" s="42"/>
      <c r="D702" s="42"/>
      <c r="E702" s="42"/>
      <c r="F702" s="172"/>
      <c r="G702" s="185"/>
      <c r="H702" s="172"/>
    </row>
    <row r="703" spans="1:8" x14ac:dyDescent="0.25">
      <c r="A703" s="172"/>
      <c r="B703" s="172"/>
      <c r="C703" s="42"/>
      <c r="D703" s="42"/>
      <c r="E703" s="42"/>
      <c r="F703" s="172"/>
      <c r="G703" s="185"/>
      <c r="H703" s="172"/>
    </row>
    <row r="704" spans="1:8" x14ac:dyDescent="0.25">
      <c r="A704" s="172"/>
      <c r="B704" s="172"/>
      <c r="C704" s="42"/>
      <c r="D704" s="42"/>
      <c r="E704" s="42"/>
      <c r="F704" s="172"/>
      <c r="G704" s="185"/>
      <c r="H704" s="172"/>
    </row>
    <row r="705" spans="1:8" x14ac:dyDescent="0.25">
      <c r="A705" s="172"/>
      <c r="B705" s="172"/>
      <c r="C705" s="42"/>
      <c r="D705" s="42"/>
      <c r="E705" s="42"/>
      <c r="F705" s="172"/>
      <c r="G705" s="185"/>
      <c r="H705" s="172"/>
    </row>
    <row r="706" spans="1:8" x14ac:dyDescent="0.25">
      <c r="A706" s="172"/>
      <c r="B706" s="172"/>
      <c r="C706" s="42"/>
      <c r="D706" s="42"/>
      <c r="E706" s="42"/>
      <c r="F706" s="172"/>
      <c r="G706" s="185"/>
      <c r="H706" s="172"/>
    </row>
    <row r="707" spans="1:8" x14ac:dyDescent="0.25">
      <c r="A707" s="172"/>
      <c r="B707" s="172"/>
      <c r="C707" s="42"/>
      <c r="D707" s="42"/>
      <c r="E707" s="42"/>
      <c r="F707" s="172"/>
      <c r="G707" s="185"/>
      <c r="H707" s="172"/>
    </row>
    <row r="708" spans="1:8" x14ac:dyDescent="0.25">
      <c r="A708" s="172"/>
      <c r="B708" s="172"/>
      <c r="C708" s="42"/>
      <c r="D708" s="42"/>
      <c r="E708" s="42"/>
      <c r="F708" s="172"/>
      <c r="G708" s="185"/>
      <c r="H708" s="172"/>
    </row>
    <row r="709" spans="1:8" x14ac:dyDescent="0.25">
      <c r="A709" s="172"/>
      <c r="B709" s="172"/>
      <c r="C709" s="42"/>
      <c r="D709" s="42"/>
      <c r="E709" s="42"/>
      <c r="F709" s="172"/>
      <c r="G709" s="185"/>
      <c r="H709" s="172"/>
    </row>
    <row r="710" spans="1:8" x14ac:dyDescent="0.25">
      <c r="A710" s="172"/>
      <c r="B710" s="172"/>
      <c r="C710" s="42"/>
      <c r="D710" s="42"/>
      <c r="E710" s="42"/>
      <c r="F710" s="172"/>
      <c r="G710" s="185"/>
      <c r="H710" s="172"/>
    </row>
    <row r="711" spans="1:8" x14ac:dyDescent="0.25">
      <c r="A711" s="172"/>
      <c r="B711" s="172"/>
      <c r="C711" s="42"/>
      <c r="D711" s="42"/>
      <c r="E711" s="42"/>
      <c r="F711" s="172"/>
      <c r="G711" s="185"/>
      <c r="H711" s="172"/>
    </row>
    <row r="712" spans="1:8" x14ac:dyDescent="0.25">
      <c r="A712" s="172"/>
      <c r="B712" s="172"/>
      <c r="C712" s="42"/>
      <c r="D712" s="42"/>
      <c r="E712" s="42"/>
      <c r="F712" s="172"/>
      <c r="G712" s="185"/>
      <c r="H712" s="172"/>
    </row>
    <row r="713" spans="1:8" x14ac:dyDescent="0.25">
      <c r="A713" s="172"/>
      <c r="B713" s="172"/>
      <c r="C713" s="42"/>
      <c r="D713" s="42"/>
      <c r="E713" s="42"/>
      <c r="F713" s="172"/>
      <c r="G713" s="185"/>
      <c r="H713" s="172"/>
    </row>
    <row r="714" spans="1:8" x14ac:dyDescent="0.25">
      <c r="A714" s="172"/>
      <c r="B714" s="172"/>
      <c r="C714" s="42"/>
      <c r="D714" s="42"/>
      <c r="E714" s="42"/>
      <c r="F714" s="172"/>
      <c r="G714" s="185"/>
      <c r="H714" s="172"/>
    </row>
    <row r="715" spans="1:8" x14ac:dyDescent="0.25">
      <c r="A715" s="172"/>
      <c r="B715" s="172"/>
      <c r="C715" s="42"/>
      <c r="D715" s="42"/>
      <c r="E715" s="42"/>
      <c r="F715" s="172"/>
      <c r="G715" s="185"/>
      <c r="H715" s="172"/>
    </row>
    <row r="716" spans="1:8" x14ac:dyDescent="0.25">
      <c r="A716" s="172"/>
      <c r="B716" s="172"/>
      <c r="C716" s="42"/>
      <c r="D716" s="42"/>
      <c r="E716" s="42"/>
      <c r="F716" s="172"/>
      <c r="G716" s="185"/>
      <c r="H716" s="172"/>
    </row>
    <row r="717" spans="1:8" x14ac:dyDescent="0.25">
      <c r="A717" s="172"/>
      <c r="B717" s="172"/>
      <c r="C717" s="42"/>
      <c r="D717" s="42"/>
      <c r="E717" s="42"/>
      <c r="F717" s="172"/>
      <c r="G717" s="185"/>
      <c r="H717" s="172"/>
    </row>
    <row r="718" spans="1:8" x14ac:dyDescent="0.25">
      <c r="A718" s="172"/>
      <c r="B718" s="172"/>
      <c r="C718" s="42"/>
      <c r="D718" s="42"/>
      <c r="E718" s="42"/>
      <c r="F718" s="172"/>
      <c r="G718" s="185"/>
      <c r="H718" s="172"/>
    </row>
    <row r="719" spans="1:8" x14ac:dyDescent="0.25">
      <c r="A719" s="172"/>
      <c r="B719" s="172"/>
      <c r="C719" s="42"/>
      <c r="D719" s="42"/>
      <c r="E719" s="42"/>
      <c r="F719" s="172"/>
      <c r="G719" s="185"/>
      <c r="H719" s="172"/>
    </row>
    <row r="720" spans="1:8" x14ac:dyDescent="0.25">
      <c r="A720" s="172"/>
      <c r="B720" s="172"/>
      <c r="C720" s="42"/>
      <c r="D720" s="42"/>
      <c r="E720" s="42"/>
      <c r="F720" s="172"/>
      <c r="G720" s="185"/>
      <c r="H720" s="172"/>
    </row>
    <row r="721" spans="1:8" x14ac:dyDescent="0.25">
      <c r="A721" s="172"/>
      <c r="B721" s="172"/>
      <c r="C721" s="42"/>
      <c r="D721" s="42"/>
      <c r="E721" s="42"/>
      <c r="F721" s="172"/>
      <c r="G721" s="185"/>
      <c r="H721" s="172"/>
    </row>
    <row r="722" spans="1:8" x14ac:dyDescent="0.25">
      <c r="A722" s="172"/>
      <c r="B722" s="172"/>
      <c r="C722" s="42"/>
      <c r="D722" s="42"/>
      <c r="E722" s="42"/>
      <c r="F722" s="172"/>
      <c r="G722" s="185"/>
      <c r="H722" s="172"/>
    </row>
    <row r="723" spans="1:8" x14ac:dyDescent="0.25">
      <c r="A723" s="172"/>
      <c r="B723" s="172"/>
      <c r="C723" s="42"/>
      <c r="D723" s="42"/>
      <c r="E723" s="42"/>
      <c r="F723" s="172"/>
      <c r="G723" s="185"/>
      <c r="H723" s="172"/>
    </row>
    <row r="724" spans="1:8" x14ac:dyDescent="0.25">
      <c r="A724" s="172"/>
      <c r="B724" s="172"/>
      <c r="C724" s="42"/>
      <c r="D724" s="42"/>
      <c r="E724" s="42"/>
      <c r="F724" s="172"/>
      <c r="G724" s="185"/>
      <c r="H724" s="172"/>
    </row>
    <row r="725" spans="1:8" x14ac:dyDescent="0.25">
      <c r="A725" s="172"/>
      <c r="B725" s="172"/>
      <c r="C725" s="42"/>
      <c r="D725" s="42"/>
      <c r="E725" s="42"/>
      <c r="F725" s="172"/>
      <c r="G725" s="185"/>
      <c r="H725" s="172"/>
    </row>
    <row r="726" spans="1:8" x14ac:dyDescent="0.25">
      <c r="A726" s="172"/>
      <c r="B726" s="172"/>
      <c r="C726" s="42"/>
      <c r="D726" s="42"/>
      <c r="E726" s="42"/>
      <c r="F726" s="172"/>
      <c r="G726" s="185"/>
      <c r="H726" s="172"/>
    </row>
    <row r="727" spans="1:8" x14ac:dyDescent="0.25">
      <c r="A727" s="172"/>
      <c r="B727" s="172"/>
      <c r="C727" s="42"/>
      <c r="D727" s="42"/>
      <c r="E727" s="42"/>
      <c r="F727" s="172"/>
      <c r="G727" s="185"/>
      <c r="H727" s="172"/>
    </row>
    <row r="728" spans="1:8" x14ac:dyDescent="0.25">
      <c r="A728" s="172"/>
      <c r="B728" s="172"/>
      <c r="C728" s="42"/>
      <c r="D728" s="42"/>
      <c r="E728" s="42"/>
      <c r="F728" s="172"/>
      <c r="G728" s="185"/>
      <c r="H728" s="172"/>
    </row>
    <row r="729" spans="1:8" x14ac:dyDescent="0.25">
      <c r="A729" s="172"/>
      <c r="B729" s="172"/>
      <c r="C729" s="42"/>
      <c r="D729" s="42"/>
      <c r="E729" s="42"/>
      <c r="F729" s="172"/>
      <c r="G729" s="185"/>
      <c r="H729" s="172"/>
    </row>
    <row r="730" spans="1:8" x14ac:dyDescent="0.25">
      <c r="A730" s="172"/>
      <c r="B730" s="172"/>
      <c r="C730" s="42"/>
      <c r="D730" s="42"/>
      <c r="E730" s="42"/>
      <c r="F730" s="172"/>
      <c r="G730" s="185"/>
      <c r="H730" s="172"/>
    </row>
    <row r="731" spans="1:8" x14ac:dyDescent="0.25">
      <c r="A731" s="172"/>
      <c r="B731" s="172"/>
      <c r="C731" s="42"/>
      <c r="D731" s="42"/>
      <c r="E731" s="42"/>
      <c r="F731" s="172"/>
      <c r="G731" s="185"/>
      <c r="H731" s="172"/>
    </row>
    <row r="732" spans="1:8" x14ac:dyDescent="0.25">
      <c r="A732" s="172"/>
      <c r="B732" s="172"/>
      <c r="C732" s="42"/>
      <c r="D732" s="42"/>
      <c r="E732" s="42"/>
      <c r="F732" s="172"/>
      <c r="G732" s="185"/>
      <c r="H732" s="172"/>
    </row>
    <row r="733" spans="1:8" x14ac:dyDescent="0.25">
      <c r="A733" s="172"/>
      <c r="B733" s="172"/>
      <c r="C733" s="42"/>
      <c r="D733" s="42"/>
      <c r="E733" s="42"/>
      <c r="F733" s="172"/>
      <c r="G733" s="185"/>
      <c r="H733" s="172"/>
    </row>
    <row r="734" spans="1:8" x14ac:dyDescent="0.25">
      <c r="A734" s="172"/>
      <c r="B734" s="172"/>
      <c r="C734" s="42"/>
      <c r="D734" s="42"/>
      <c r="E734" s="42"/>
      <c r="F734" s="172"/>
      <c r="G734" s="185"/>
      <c r="H734" s="172"/>
    </row>
    <row r="735" spans="1:8" x14ac:dyDescent="0.25">
      <c r="A735" s="172"/>
      <c r="B735" s="172"/>
      <c r="C735" s="42"/>
      <c r="D735" s="42"/>
      <c r="E735" s="42"/>
      <c r="F735" s="172"/>
      <c r="G735" s="185"/>
      <c r="H735" s="172"/>
    </row>
    <row r="736" spans="1:8" x14ac:dyDescent="0.25">
      <c r="A736" s="172"/>
      <c r="B736" s="172"/>
      <c r="C736" s="42"/>
      <c r="D736" s="42"/>
      <c r="E736" s="42"/>
      <c r="F736" s="172"/>
      <c r="G736" s="185"/>
      <c r="H736" s="172"/>
    </row>
    <row r="737" spans="1:8" x14ac:dyDescent="0.25">
      <c r="A737" s="172"/>
      <c r="B737" s="172"/>
      <c r="C737" s="42"/>
      <c r="D737" s="42"/>
      <c r="E737" s="42"/>
      <c r="F737" s="172"/>
      <c r="G737" s="185"/>
      <c r="H737" s="172"/>
    </row>
    <row r="738" spans="1:8" x14ac:dyDescent="0.25">
      <c r="A738" s="172"/>
      <c r="B738" s="172"/>
      <c r="C738" s="42"/>
      <c r="D738" s="42"/>
      <c r="E738" s="42"/>
      <c r="F738" s="172"/>
      <c r="G738" s="185"/>
      <c r="H738" s="172"/>
    </row>
    <row r="739" spans="1:8" x14ac:dyDescent="0.25">
      <c r="A739" s="172"/>
      <c r="B739" s="172"/>
      <c r="C739" s="42"/>
      <c r="D739" s="42"/>
      <c r="E739" s="42"/>
      <c r="F739" s="172"/>
      <c r="G739" s="185"/>
      <c r="H739" s="172"/>
    </row>
    <row r="740" spans="1:8" x14ac:dyDescent="0.25">
      <c r="A740" s="172"/>
      <c r="B740" s="172"/>
      <c r="C740" s="42"/>
      <c r="D740" s="42"/>
      <c r="E740" s="42"/>
      <c r="F740" s="172"/>
      <c r="G740" s="185"/>
      <c r="H740" s="172"/>
    </row>
    <row r="741" spans="1:8" x14ac:dyDescent="0.25">
      <c r="A741" s="172"/>
      <c r="B741" s="172"/>
      <c r="C741" s="42"/>
      <c r="D741" s="42"/>
      <c r="E741" s="42"/>
      <c r="F741" s="172"/>
      <c r="G741" s="185"/>
      <c r="H741" s="172"/>
    </row>
    <row r="742" spans="1:8" x14ac:dyDescent="0.25">
      <c r="A742" s="172"/>
      <c r="B742" s="172"/>
      <c r="C742" s="42"/>
      <c r="D742" s="42"/>
      <c r="E742" s="42"/>
      <c r="F742" s="172"/>
      <c r="G742" s="185"/>
      <c r="H742" s="172"/>
    </row>
    <row r="743" spans="1:8" x14ac:dyDescent="0.25">
      <c r="A743" s="172"/>
      <c r="B743" s="172"/>
      <c r="C743" s="42"/>
      <c r="D743" s="42"/>
      <c r="E743" s="42"/>
      <c r="F743" s="172"/>
      <c r="G743" s="185"/>
      <c r="H743" s="172"/>
    </row>
    <row r="744" spans="1:8" x14ac:dyDescent="0.25">
      <c r="A744" s="172"/>
      <c r="B744" s="172"/>
      <c r="C744" s="42"/>
      <c r="D744" s="42"/>
      <c r="E744" s="42"/>
      <c r="F744" s="172"/>
      <c r="G744" s="185"/>
      <c r="H744" s="172"/>
    </row>
    <row r="745" spans="1:8" x14ac:dyDescent="0.25">
      <c r="A745" s="172"/>
      <c r="B745" s="172"/>
      <c r="C745" s="42"/>
      <c r="D745" s="42"/>
      <c r="E745" s="42"/>
      <c r="F745" s="172"/>
      <c r="G745" s="185"/>
      <c r="H745" s="172"/>
    </row>
    <row r="746" spans="1:8" x14ac:dyDescent="0.25">
      <c r="B746" s="172"/>
      <c r="C746" s="42"/>
      <c r="D746" s="42"/>
      <c r="E746" s="42"/>
      <c r="F746" s="172"/>
      <c r="G746" s="185"/>
      <c r="H746" s="172"/>
    </row>
    <row r="747" spans="1:8" x14ac:dyDescent="0.25">
      <c r="B747" s="172"/>
      <c r="C747" s="42"/>
      <c r="D747" s="42"/>
      <c r="E747" s="42"/>
      <c r="F747" s="172"/>
      <c r="G747" s="185"/>
      <c r="H747" s="172"/>
    </row>
    <row r="748" spans="1:8" x14ac:dyDescent="0.25">
      <c r="B748" s="172"/>
      <c r="C748" s="42"/>
      <c r="D748" s="42"/>
      <c r="E748" s="42"/>
      <c r="F748" s="172"/>
      <c r="G748" s="185"/>
      <c r="H748" s="172"/>
    </row>
    <row r="749" spans="1:8" x14ac:dyDescent="0.25">
      <c r="B749" s="172"/>
      <c r="C749" s="42"/>
      <c r="D749" s="42"/>
      <c r="E749" s="42"/>
      <c r="F749" s="172"/>
      <c r="G749" s="185"/>
      <c r="H749" s="172"/>
    </row>
    <row r="750" spans="1:8" x14ac:dyDescent="0.25">
      <c r="B750" s="172"/>
      <c r="C750" s="42"/>
      <c r="D750" s="42"/>
      <c r="E750" s="42"/>
      <c r="F750" s="172"/>
      <c r="G750" s="185"/>
      <c r="H750" s="172"/>
    </row>
    <row r="751" spans="1:8" x14ac:dyDescent="0.25">
      <c r="B751" s="172"/>
      <c r="C751" s="42"/>
      <c r="D751" s="42"/>
      <c r="E751" s="42"/>
      <c r="F751" s="172"/>
      <c r="G751" s="185"/>
      <c r="H751" s="172"/>
    </row>
    <row r="752" spans="1:8" x14ac:dyDescent="0.25">
      <c r="B752" s="172"/>
      <c r="C752" s="42"/>
      <c r="D752" s="42"/>
      <c r="E752" s="42"/>
      <c r="F752" s="172"/>
      <c r="G752" s="185"/>
      <c r="H752" s="172"/>
    </row>
    <row r="753" spans="2:8" x14ac:dyDescent="0.25">
      <c r="B753" s="172"/>
      <c r="C753" s="42"/>
      <c r="D753" s="42"/>
      <c r="E753" s="42"/>
      <c r="F753" s="172"/>
      <c r="G753" s="185"/>
      <c r="H753" s="172"/>
    </row>
    <row r="754" spans="2:8" x14ac:dyDescent="0.25">
      <c r="B754" s="172"/>
      <c r="C754" s="42"/>
      <c r="D754" s="42"/>
      <c r="E754" s="42"/>
      <c r="F754" s="172"/>
      <c r="G754" s="185"/>
      <c r="H754" s="172"/>
    </row>
    <row r="755" spans="2:8" x14ac:dyDescent="0.25">
      <c r="B755" s="172"/>
      <c r="C755" s="42"/>
      <c r="D755" s="42"/>
      <c r="E755" s="42"/>
      <c r="F755" s="172"/>
      <c r="G755" s="185"/>
      <c r="H755" s="172"/>
    </row>
    <row r="756" spans="2:8" x14ac:dyDescent="0.25">
      <c r="B756" s="172"/>
      <c r="C756" s="42"/>
      <c r="D756" s="42"/>
      <c r="E756" s="42"/>
      <c r="F756" s="172"/>
      <c r="G756" s="185"/>
      <c r="H756" s="172"/>
    </row>
    <row r="757" spans="2:8" x14ac:dyDescent="0.25">
      <c r="B757" s="172"/>
      <c r="C757" s="42"/>
      <c r="D757" s="42"/>
      <c r="E757" s="42"/>
      <c r="F757" s="172"/>
      <c r="G757" s="185"/>
      <c r="H757" s="172"/>
    </row>
    <row r="758" spans="2:8" x14ac:dyDescent="0.25">
      <c r="B758" s="172"/>
      <c r="C758" s="42"/>
      <c r="D758" s="42"/>
      <c r="E758" s="42"/>
      <c r="F758" s="172"/>
      <c r="G758" s="185"/>
      <c r="H758" s="172"/>
    </row>
    <row r="759" spans="2:8" x14ac:dyDescent="0.25">
      <c r="B759" s="172"/>
      <c r="C759" s="42"/>
      <c r="D759" s="42"/>
      <c r="E759" s="42"/>
      <c r="F759" s="172"/>
      <c r="G759" s="185"/>
      <c r="H759" s="172"/>
    </row>
    <row r="760" spans="2:8" x14ac:dyDescent="0.25">
      <c r="B760" s="172"/>
      <c r="C760" s="42"/>
      <c r="D760" s="42"/>
      <c r="E760" s="42"/>
      <c r="F760" s="172"/>
      <c r="G760" s="185"/>
      <c r="H760" s="172"/>
    </row>
    <row r="761" spans="2:8" x14ac:dyDescent="0.25">
      <c r="B761" s="172"/>
      <c r="C761" s="42"/>
      <c r="D761" s="42"/>
      <c r="E761" s="42"/>
      <c r="F761" s="172"/>
      <c r="G761" s="185"/>
      <c r="H761" s="172"/>
    </row>
    <row r="762" spans="2:8" x14ac:dyDescent="0.25">
      <c r="B762" s="172"/>
      <c r="C762" s="42"/>
      <c r="D762" s="42"/>
      <c r="E762" s="42"/>
      <c r="F762" s="172"/>
      <c r="G762" s="185"/>
      <c r="H762" s="172"/>
    </row>
    <row r="763" spans="2:8" x14ac:dyDescent="0.25">
      <c r="B763" s="172"/>
      <c r="C763" s="42"/>
      <c r="D763" s="42"/>
      <c r="E763" s="42"/>
      <c r="F763" s="172"/>
      <c r="G763" s="185"/>
      <c r="H763" s="172"/>
    </row>
    <row r="764" spans="2:8" x14ac:dyDescent="0.25">
      <c r="B764" s="172"/>
      <c r="C764" s="42"/>
      <c r="D764" s="42"/>
      <c r="E764" s="42"/>
      <c r="F764" s="172"/>
      <c r="G764" s="185"/>
      <c r="H764" s="172"/>
    </row>
    <row r="765" spans="2:8" x14ac:dyDescent="0.25">
      <c r="B765" s="172"/>
      <c r="C765" s="42"/>
      <c r="D765" s="42"/>
      <c r="E765" s="42"/>
      <c r="F765" s="172"/>
      <c r="G765" s="185"/>
      <c r="H765" s="172"/>
    </row>
    <row r="766" spans="2:8" x14ac:dyDescent="0.25">
      <c r="B766" s="172"/>
      <c r="C766" s="42"/>
      <c r="D766" s="42"/>
      <c r="E766" s="42"/>
      <c r="F766" s="172"/>
      <c r="G766" s="185"/>
      <c r="H766" s="172"/>
    </row>
    <row r="767" spans="2:8" x14ac:dyDescent="0.25">
      <c r="B767" s="172"/>
      <c r="C767" s="172"/>
      <c r="D767" s="172"/>
      <c r="E767" s="172"/>
      <c r="F767" s="172"/>
      <c r="G767" s="185"/>
      <c r="H767" s="172"/>
    </row>
    <row r="768" spans="2:8" x14ac:dyDescent="0.25">
      <c r="B768" s="172"/>
      <c r="C768" s="172"/>
      <c r="D768" s="172"/>
      <c r="E768" s="172"/>
      <c r="F768" s="172"/>
      <c r="G768" s="185"/>
      <c r="H768" s="172"/>
    </row>
    <row r="769" spans="2:8" x14ac:dyDescent="0.25">
      <c r="B769" s="172"/>
      <c r="C769" s="172"/>
      <c r="D769" s="172"/>
      <c r="E769" s="172"/>
      <c r="F769" s="172"/>
      <c r="G769" s="185"/>
      <c r="H769" s="172"/>
    </row>
    <row r="770" spans="2:8" x14ac:dyDescent="0.25">
      <c r="B770" s="172"/>
      <c r="C770" s="172"/>
      <c r="D770" s="172"/>
      <c r="E770" s="172"/>
      <c r="F770" s="172"/>
      <c r="G770" s="185"/>
      <c r="H770" s="172"/>
    </row>
    <row r="771" spans="2:8" x14ac:dyDescent="0.25">
      <c r="B771" s="172"/>
      <c r="C771" s="172"/>
      <c r="D771" s="172"/>
      <c r="E771" s="172"/>
      <c r="F771" s="172"/>
      <c r="G771" s="185"/>
      <c r="H771" s="172"/>
    </row>
    <row r="772" spans="2:8" x14ac:dyDescent="0.25">
      <c r="B772" s="172"/>
      <c r="C772" s="172"/>
      <c r="D772" s="172"/>
      <c r="E772" s="172"/>
      <c r="F772" s="172"/>
      <c r="G772" s="185"/>
      <c r="H772" s="172"/>
    </row>
    <row r="773" spans="2:8" x14ac:dyDescent="0.25">
      <c r="B773" s="172"/>
      <c r="C773" s="172"/>
      <c r="D773" s="172"/>
      <c r="E773" s="172"/>
      <c r="F773" s="172"/>
      <c r="G773" s="185"/>
      <c r="H773" s="172"/>
    </row>
    <row r="774" spans="2:8" x14ac:dyDescent="0.25">
      <c r="B774" s="172"/>
      <c r="C774" s="172"/>
      <c r="D774" s="172"/>
      <c r="E774" s="172"/>
      <c r="F774" s="172"/>
      <c r="G774" s="185"/>
      <c r="H774" s="172"/>
    </row>
    <row r="775" spans="2:8" x14ac:dyDescent="0.25">
      <c r="B775" s="172"/>
      <c r="C775" s="172"/>
      <c r="D775" s="172"/>
      <c r="E775" s="172"/>
      <c r="F775" s="172"/>
      <c r="G775" s="185"/>
      <c r="H775" s="172"/>
    </row>
    <row r="776" spans="2:8" x14ac:dyDescent="0.25">
      <c r="B776" s="172"/>
      <c r="C776" s="172"/>
      <c r="D776" s="172"/>
      <c r="E776" s="172"/>
      <c r="F776" s="172"/>
      <c r="G776" s="185"/>
      <c r="H776" s="172"/>
    </row>
    <row r="777" spans="2:8" x14ac:dyDescent="0.25">
      <c r="B777" s="172"/>
      <c r="C777" s="172"/>
      <c r="D777" s="172"/>
      <c r="E777" s="172"/>
      <c r="F777" s="172"/>
      <c r="G777" s="185"/>
      <c r="H777" s="172"/>
    </row>
    <row r="778" spans="2:8" x14ac:dyDescent="0.25">
      <c r="B778" s="172"/>
      <c r="C778" s="172"/>
      <c r="D778" s="172"/>
      <c r="E778" s="172"/>
      <c r="F778" s="172"/>
      <c r="G778" s="185"/>
      <c r="H778" s="172"/>
    </row>
    <row r="779" spans="2:8" x14ac:dyDescent="0.25">
      <c r="B779" s="172"/>
      <c r="C779" s="172"/>
      <c r="D779" s="172"/>
      <c r="E779" s="172"/>
      <c r="F779" s="172"/>
      <c r="G779" s="185"/>
      <c r="H779" s="172"/>
    </row>
    <row r="780" spans="2:8" x14ac:dyDescent="0.25">
      <c r="B780" s="172"/>
      <c r="C780" s="172"/>
      <c r="D780" s="172"/>
      <c r="E780" s="172"/>
      <c r="F780" s="172"/>
      <c r="G780" s="185"/>
      <c r="H780" s="172"/>
    </row>
    <row r="781" spans="2:8" x14ac:dyDescent="0.25">
      <c r="B781" s="172"/>
      <c r="C781" s="172"/>
      <c r="D781" s="172"/>
      <c r="E781" s="172"/>
      <c r="F781" s="172"/>
      <c r="G781" s="185"/>
      <c r="H781" s="172"/>
    </row>
    <row r="782" spans="2:8" x14ac:dyDescent="0.25">
      <c r="B782" s="172"/>
      <c r="C782" s="172"/>
      <c r="D782" s="172"/>
      <c r="E782" s="172"/>
      <c r="F782" s="172"/>
      <c r="G782" s="185"/>
      <c r="H782" s="172"/>
    </row>
    <row r="783" spans="2:8" x14ac:dyDescent="0.25">
      <c r="B783" s="172"/>
      <c r="C783" s="172"/>
      <c r="D783" s="172"/>
      <c r="E783" s="172"/>
      <c r="F783" s="172"/>
      <c r="G783" s="185"/>
      <c r="H783" s="172"/>
    </row>
    <row r="784" spans="2:8" x14ac:dyDescent="0.25">
      <c r="B784" s="172"/>
      <c r="C784" s="172"/>
      <c r="D784" s="172"/>
      <c r="E784" s="172"/>
      <c r="F784" s="172"/>
      <c r="G784" s="185"/>
      <c r="H784" s="172"/>
    </row>
    <row r="785" spans="2:8" x14ac:dyDescent="0.25">
      <c r="B785" s="172"/>
      <c r="C785" s="172"/>
      <c r="D785" s="172"/>
      <c r="E785" s="172"/>
      <c r="F785" s="172"/>
      <c r="G785" s="185"/>
      <c r="H785" s="172"/>
    </row>
    <row r="786" spans="2:8" x14ac:dyDescent="0.25">
      <c r="B786" s="172"/>
      <c r="C786" s="172"/>
      <c r="D786" s="172"/>
      <c r="E786" s="172"/>
      <c r="F786" s="172"/>
      <c r="G786" s="185"/>
      <c r="H786" s="172"/>
    </row>
    <row r="787" spans="2:8" x14ac:dyDescent="0.25">
      <c r="B787" s="172"/>
      <c r="C787" s="172"/>
      <c r="D787" s="172"/>
      <c r="E787" s="172"/>
      <c r="F787" s="172"/>
      <c r="G787" s="185"/>
      <c r="H787" s="172"/>
    </row>
    <row r="788" spans="2:8" x14ac:dyDescent="0.25">
      <c r="B788" s="172"/>
      <c r="C788" s="172"/>
      <c r="D788" s="172"/>
      <c r="E788" s="172"/>
      <c r="F788" s="172"/>
      <c r="G788" s="185"/>
      <c r="H788" s="172"/>
    </row>
    <row r="789" spans="2:8" x14ac:dyDescent="0.25">
      <c r="B789" s="172"/>
      <c r="C789" s="172"/>
      <c r="D789" s="172"/>
      <c r="E789" s="172"/>
      <c r="F789" s="172"/>
      <c r="G789" s="185"/>
      <c r="H789" s="172"/>
    </row>
    <row r="790" spans="2:8" x14ac:dyDescent="0.25">
      <c r="B790" s="172"/>
      <c r="C790" s="172"/>
      <c r="D790" s="172"/>
      <c r="E790" s="172"/>
      <c r="F790" s="172"/>
      <c r="G790" s="185"/>
      <c r="H790" s="172"/>
    </row>
    <row r="791" spans="2:8" x14ac:dyDescent="0.25">
      <c r="B791" s="172"/>
      <c r="C791" s="172"/>
      <c r="D791" s="172"/>
      <c r="E791" s="172"/>
      <c r="F791" s="172"/>
      <c r="G791" s="185"/>
      <c r="H791" s="172"/>
    </row>
    <row r="792" spans="2:8" x14ac:dyDescent="0.25">
      <c r="B792" s="172"/>
      <c r="C792" s="172"/>
      <c r="D792" s="172"/>
      <c r="E792" s="172"/>
      <c r="F792" s="172"/>
      <c r="G792" s="185"/>
      <c r="H792" s="172"/>
    </row>
    <row r="793" spans="2:8" x14ac:dyDescent="0.25">
      <c r="B793" s="172"/>
      <c r="C793" s="172"/>
      <c r="D793" s="172"/>
      <c r="E793" s="172"/>
      <c r="F793" s="172"/>
      <c r="G793" s="185"/>
      <c r="H793" s="172"/>
    </row>
    <row r="794" spans="2:8" x14ac:dyDescent="0.25">
      <c r="B794" s="172"/>
      <c r="C794" s="172"/>
      <c r="D794" s="172"/>
      <c r="E794" s="172"/>
      <c r="F794" s="172"/>
      <c r="G794" s="185"/>
      <c r="H794" s="172"/>
    </row>
    <row r="795" spans="2:8" x14ac:dyDescent="0.25">
      <c r="B795" s="172"/>
      <c r="C795" s="172"/>
      <c r="D795" s="172"/>
      <c r="E795" s="172"/>
      <c r="F795" s="172"/>
      <c r="G795" s="185"/>
      <c r="H795" s="172"/>
    </row>
    <row r="796" spans="2:8" x14ac:dyDescent="0.25">
      <c r="B796" s="172"/>
      <c r="C796" s="172"/>
      <c r="D796" s="172"/>
      <c r="E796" s="172"/>
      <c r="F796" s="172"/>
      <c r="G796" s="185"/>
      <c r="H796" s="172"/>
    </row>
    <row r="797" spans="2:8" x14ac:dyDescent="0.25">
      <c r="B797" s="172"/>
      <c r="C797" s="172"/>
      <c r="D797" s="172"/>
      <c r="E797" s="172"/>
      <c r="F797" s="172"/>
      <c r="G797" s="185"/>
      <c r="H797" s="172"/>
    </row>
    <row r="798" spans="2:8" x14ac:dyDescent="0.25">
      <c r="B798" s="172"/>
      <c r="C798" s="172"/>
      <c r="D798" s="172"/>
      <c r="E798" s="172"/>
      <c r="F798" s="172"/>
      <c r="G798" s="185"/>
      <c r="H798" s="172"/>
    </row>
    <row r="799" spans="2:8" x14ac:dyDescent="0.25">
      <c r="B799" s="172"/>
      <c r="C799" s="172"/>
      <c r="D799" s="172"/>
      <c r="E799" s="172"/>
      <c r="F799" s="172"/>
      <c r="G799" s="185"/>
      <c r="H799" s="172"/>
    </row>
    <row r="800" spans="2:8" x14ac:dyDescent="0.25">
      <c r="B800" s="172"/>
      <c r="C800" s="172"/>
      <c r="D800" s="172"/>
      <c r="E800" s="172"/>
      <c r="F800" s="172"/>
      <c r="G800" s="185"/>
      <c r="H800" s="172"/>
    </row>
    <row r="801" spans="2:8" x14ac:dyDescent="0.25">
      <c r="B801" s="172"/>
      <c r="C801" s="172"/>
      <c r="D801" s="172"/>
      <c r="E801" s="172"/>
      <c r="F801" s="172"/>
      <c r="G801" s="185"/>
      <c r="H801" s="172"/>
    </row>
    <row r="802" spans="2:8" x14ac:dyDescent="0.25">
      <c r="B802" s="172"/>
      <c r="C802" s="172"/>
      <c r="D802" s="172"/>
      <c r="E802" s="172"/>
      <c r="F802" s="172"/>
      <c r="G802" s="185"/>
      <c r="H802" s="172"/>
    </row>
    <row r="803" spans="2:8" x14ac:dyDescent="0.25">
      <c r="B803" s="172"/>
      <c r="C803" s="172"/>
      <c r="D803" s="172"/>
      <c r="E803" s="172"/>
      <c r="F803" s="172"/>
      <c r="G803" s="185"/>
      <c r="H803" s="172"/>
    </row>
    <row r="804" spans="2:8" x14ac:dyDescent="0.25">
      <c r="B804" s="172"/>
      <c r="C804" s="172"/>
      <c r="D804" s="172"/>
      <c r="E804" s="172"/>
      <c r="F804" s="172"/>
      <c r="G804" s="185"/>
      <c r="H804" s="172"/>
    </row>
    <row r="805" spans="2:8" x14ac:dyDescent="0.25">
      <c r="B805" s="172"/>
      <c r="C805" s="172"/>
      <c r="D805" s="172"/>
      <c r="E805" s="172"/>
      <c r="F805" s="172"/>
      <c r="G805" s="185"/>
      <c r="H805" s="172"/>
    </row>
    <row r="806" spans="2:8" x14ac:dyDescent="0.25">
      <c r="B806" s="172"/>
      <c r="C806" s="172"/>
      <c r="D806" s="172"/>
      <c r="E806" s="172"/>
      <c r="F806" s="172"/>
      <c r="G806" s="185"/>
      <c r="H806" s="172"/>
    </row>
    <row r="807" spans="2:8" x14ac:dyDescent="0.25">
      <c r="B807" s="172"/>
      <c r="C807" s="172"/>
      <c r="D807" s="172"/>
      <c r="E807" s="172"/>
      <c r="F807" s="172"/>
      <c r="G807" s="185"/>
      <c r="H807" s="172"/>
    </row>
    <row r="808" spans="2:8" x14ac:dyDescent="0.25">
      <c r="B808" s="172"/>
      <c r="C808" s="172"/>
      <c r="D808" s="172"/>
      <c r="E808" s="172"/>
      <c r="F808" s="172"/>
      <c r="G808" s="185"/>
      <c r="H808" s="172"/>
    </row>
    <row r="809" spans="2:8" x14ac:dyDescent="0.25">
      <c r="B809" s="172"/>
      <c r="C809" s="172"/>
      <c r="D809" s="172"/>
      <c r="E809" s="172"/>
      <c r="F809" s="172"/>
      <c r="G809" s="185"/>
      <c r="H809" s="172"/>
    </row>
    <row r="810" spans="2:8" x14ac:dyDescent="0.25">
      <c r="B810" s="172"/>
      <c r="C810" s="172"/>
      <c r="D810" s="172"/>
      <c r="E810" s="172"/>
      <c r="F810" s="172"/>
      <c r="G810" s="185"/>
      <c r="H810" s="172"/>
    </row>
    <row r="811" spans="2:8" x14ac:dyDescent="0.25">
      <c r="B811" s="172"/>
      <c r="C811" s="172"/>
      <c r="D811" s="172"/>
      <c r="E811" s="172"/>
      <c r="F811" s="172"/>
      <c r="G811" s="185"/>
      <c r="H811" s="172"/>
    </row>
    <row r="812" spans="2:8" x14ac:dyDescent="0.25">
      <c r="B812" s="172"/>
      <c r="C812" s="172"/>
      <c r="D812" s="172"/>
      <c r="E812" s="172"/>
      <c r="F812" s="172"/>
      <c r="G812" s="185"/>
      <c r="H812" s="172"/>
    </row>
    <row r="813" spans="2:8" x14ac:dyDescent="0.25">
      <c r="B813" s="172"/>
      <c r="C813" s="172"/>
      <c r="D813" s="172"/>
      <c r="E813" s="172"/>
      <c r="F813" s="172"/>
      <c r="G813" s="185"/>
      <c r="H813" s="172"/>
    </row>
    <row r="814" spans="2:8" x14ac:dyDescent="0.25">
      <c r="B814" s="172"/>
      <c r="C814" s="172"/>
      <c r="D814" s="172"/>
      <c r="E814" s="172"/>
      <c r="F814" s="172"/>
      <c r="G814" s="185"/>
      <c r="H814" s="172"/>
    </row>
    <row r="815" spans="2:8" x14ac:dyDescent="0.25">
      <c r="B815" s="172"/>
      <c r="C815" s="172"/>
      <c r="D815" s="172"/>
      <c r="E815" s="172"/>
      <c r="F815" s="172"/>
      <c r="G815" s="185"/>
      <c r="H815" s="172"/>
    </row>
    <row r="816" spans="2:8" x14ac:dyDescent="0.25">
      <c r="B816" s="172"/>
      <c r="C816" s="172"/>
      <c r="D816" s="172"/>
      <c r="E816" s="172"/>
      <c r="F816" s="172"/>
      <c r="G816" s="185"/>
      <c r="H816" s="172"/>
    </row>
    <row r="817" spans="2:8" x14ac:dyDescent="0.25">
      <c r="B817" s="172"/>
      <c r="C817" s="172"/>
      <c r="D817" s="172"/>
      <c r="E817" s="172"/>
      <c r="F817" s="172"/>
      <c r="G817" s="185"/>
      <c r="H817" s="172"/>
    </row>
    <row r="818" spans="2:8" x14ac:dyDescent="0.25">
      <c r="B818" s="172"/>
      <c r="C818" s="172"/>
      <c r="D818" s="172"/>
      <c r="E818" s="172"/>
      <c r="F818" s="172"/>
      <c r="G818" s="185"/>
      <c r="H818" s="172"/>
    </row>
    <row r="819" spans="2:8" x14ac:dyDescent="0.25">
      <c r="B819" s="172"/>
      <c r="C819" s="172"/>
      <c r="D819" s="172"/>
      <c r="E819" s="172"/>
      <c r="F819" s="172"/>
      <c r="G819" s="185"/>
      <c r="H819" s="172"/>
    </row>
    <row r="820" spans="2:8" x14ac:dyDescent="0.25">
      <c r="B820" s="172"/>
      <c r="C820" s="172"/>
      <c r="D820" s="172"/>
      <c r="E820" s="172"/>
      <c r="F820" s="172"/>
      <c r="G820" s="185"/>
      <c r="H820" s="172"/>
    </row>
    <row r="821" spans="2:8" x14ac:dyDescent="0.25">
      <c r="B821" s="172"/>
      <c r="C821" s="172"/>
      <c r="D821" s="172"/>
      <c r="E821" s="172"/>
      <c r="F821" s="172"/>
      <c r="G821" s="185"/>
      <c r="H821" s="172"/>
    </row>
    <row r="822" spans="2:8" x14ac:dyDescent="0.25">
      <c r="B822" s="172"/>
      <c r="C822" s="172"/>
      <c r="D822" s="172"/>
      <c r="E822" s="172"/>
      <c r="F822" s="172"/>
      <c r="G822" s="185"/>
      <c r="H822" s="172"/>
    </row>
    <row r="823" spans="2:8" x14ac:dyDescent="0.25">
      <c r="C823" s="172"/>
      <c r="H823" s="22"/>
    </row>
    <row r="824" spans="2:8" x14ac:dyDescent="0.25">
      <c r="C824" s="172"/>
      <c r="H824" s="22"/>
    </row>
    <row r="825" spans="2:8" x14ac:dyDescent="0.25">
      <c r="C825" s="172"/>
      <c r="H825" s="22"/>
    </row>
    <row r="826" spans="2:8" x14ac:dyDescent="0.25">
      <c r="C826" s="172"/>
      <c r="H826" s="22"/>
    </row>
    <row r="827" spans="2:8" x14ac:dyDescent="0.25">
      <c r="C827" s="172"/>
      <c r="H827" s="22"/>
    </row>
    <row r="828" spans="2:8" x14ac:dyDescent="0.25">
      <c r="C828" s="172"/>
      <c r="H828" s="22"/>
    </row>
    <row r="829" spans="2:8" x14ac:dyDescent="0.25">
      <c r="C829" s="172"/>
      <c r="H829" s="22"/>
    </row>
    <row r="830" spans="2:8" x14ac:dyDescent="0.25">
      <c r="C830" s="172"/>
      <c r="H830" s="22"/>
    </row>
    <row r="831" spans="2:8" x14ac:dyDescent="0.25">
      <c r="C831" s="172"/>
      <c r="H831" s="22"/>
    </row>
    <row r="832" spans="2:8" x14ac:dyDescent="0.25">
      <c r="H832" s="22"/>
    </row>
    <row r="833" spans="8:8" x14ac:dyDescent="0.25">
      <c r="H833" s="22"/>
    </row>
    <row r="834" spans="8:8" x14ac:dyDescent="0.25">
      <c r="H834" s="22"/>
    </row>
    <row r="835" spans="8:8" x14ac:dyDescent="0.25">
      <c r="H835" s="22"/>
    </row>
    <row r="836" spans="8:8" x14ac:dyDescent="0.25">
      <c r="H836" s="22"/>
    </row>
    <row r="837" spans="8:8" x14ac:dyDescent="0.25">
      <c r="H837" s="22"/>
    </row>
    <row r="838" spans="8:8" x14ac:dyDescent="0.25">
      <c r="H838" s="22"/>
    </row>
    <row r="839" spans="8:8" x14ac:dyDescent="0.25">
      <c r="H839" s="22"/>
    </row>
    <row r="840" spans="8:8" x14ac:dyDescent="0.25">
      <c r="H840" s="22"/>
    </row>
    <row r="841" spans="8:8" x14ac:dyDescent="0.25">
      <c r="H841" s="22"/>
    </row>
    <row r="842" spans="8:8" x14ac:dyDescent="0.25">
      <c r="H842" s="22"/>
    </row>
    <row r="843" spans="8:8" x14ac:dyDescent="0.25">
      <c r="H843" s="22"/>
    </row>
    <row r="844" spans="8:8" x14ac:dyDescent="0.25">
      <c r="H844" s="22"/>
    </row>
    <row r="845" spans="8:8" x14ac:dyDescent="0.25">
      <c r="H845" s="22"/>
    </row>
    <row r="846" spans="8:8" x14ac:dyDescent="0.25">
      <c r="H846" s="22"/>
    </row>
    <row r="847" spans="8:8" x14ac:dyDescent="0.25">
      <c r="H847" s="22"/>
    </row>
    <row r="848" spans="8:8" x14ac:dyDescent="0.25">
      <c r="H848" s="22"/>
    </row>
    <row r="849" spans="8:8" x14ac:dyDescent="0.25">
      <c r="H849" s="22"/>
    </row>
    <row r="850" spans="8:8" x14ac:dyDescent="0.25">
      <c r="H850" s="22"/>
    </row>
    <row r="851" spans="8:8" x14ac:dyDescent="0.25">
      <c r="H851" s="22"/>
    </row>
    <row r="852" spans="8:8" x14ac:dyDescent="0.25">
      <c r="H852" s="22"/>
    </row>
    <row r="853" spans="8:8" x14ac:dyDescent="0.25">
      <c r="H853" s="22"/>
    </row>
    <row r="854" spans="8:8" x14ac:dyDescent="0.25">
      <c r="H854" s="22"/>
    </row>
    <row r="855" spans="8:8" x14ac:dyDescent="0.25">
      <c r="H855" s="22"/>
    </row>
    <row r="856" spans="8:8" x14ac:dyDescent="0.25">
      <c r="H856" s="22"/>
    </row>
    <row r="857" spans="8:8" x14ac:dyDescent="0.25">
      <c r="H857" s="22"/>
    </row>
    <row r="858" spans="8:8" x14ac:dyDescent="0.25">
      <c r="H858" s="22"/>
    </row>
    <row r="859" spans="8:8" x14ac:dyDescent="0.25">
      <c r="H859" s="22"/>
    </row>
    <row r="860" spans="8:8" x14ac:dyDescent="0.25">
      <c r="H860" s="22"/>
    </row>
    <row r="861" spans="8:8" x14ac:dyDescent="0.25">
      <c r="H861" s="22"/>
    </row>
    <row r="862" spans="8:8" x14ac:dyDescent="0.25">
      <c r="H862" s="22"/>
    </row>
    <row r="863" spans="8:8" x14ac:dyDescent="0.25">
      <c r="H863" s="22"/>
    </row>
    <row r="864" spans="8:8" x14ac:dyDescent="0.25">
      <c r="H864" s="22"/>
    </row>
    <row r="865" spans="8:8" x14ac:dyDescent="0.25">
      <c r="H865" s="22"/>
    </row>
    <row r="866" spans="8:8" x14ac:dyDescent="0.25">
      <c r="H866" s="22"/>
    </row>
    <row r="867" spans="8:8" x14ac:dyDescent="0.25">
      <c r="H867" s="22"/>
    </row>
    <row r="868" spans="8:8" x14ac:dyDescent="0.25">
      <c r="H868" s="22"/>
    </row>
    <row r="869" spans="8:8" x14ac:dyDescent="0.25">
      <c r="H869" s="22"/>
    </row>
    <row r="870" spans="8:8" x14ac:dyDescent="0.25">
      <c r="H870" s="22"/>
    </row>
    <row r="871" spans="8:8" x14ac:dyDescent="0.25">
      <c r="H871" s="22"/>
    </row>
    <row r="872" spans="8:8" x14ac:dyDescent="0.25">
      <c r="H872" s="22"/>
    </row>
    <row r="873" spans="8:8" x14ac:dyDescent="0.25">
      <c r="H873" s="22"/>
    </row>
    <row r="874" spans="8:8" x14ac:dyDescent="0.25">
      <c r="H874" s="22"/>
    </row>
    <row r="875" spans="8:8" x14ac:dyDescent="0.25">
      <c r="H875" s="22"/>
    </row>
    <row r="876" spans="8:8" x14ac:dyDescent="0.25">
      <c r="H876" s="22"/>
    </row>
    <row r="877" spans="8:8" x14ac:dyDescent="0.25">
      <c r="H877" s="22"/>
    </row>
    <row r="878" spans="8:8" x14ac:dyDescent="0.25">
      <c r="H878" s="22"/>
    </row>
    <row r="879" spans="8:8" x14ac:dyDescent="0.25">
      <c r="H879" s="22"/>
    </row>
    <row r="880" spans="8:8" x14ac:dyDescent="0.25">
      <c r="H880" s="22"/>
    </row>
    <row r="881" spans="8:8" x14ac:dyDescent="0.25">
      <c r="H881" s="22"/>
    </row>
    <row r="882" spans="8:8" x14ac:dyDescent="0.25">
      <c r="H882" s="22"/>
    </row>
    <row r="883" spans="8:8" x14ac:dyDescent="0.25">
      <c r="H883" s="22"/>
    </row>
    <row r="884" spans="8:8" x14ac:dyDescent="0.25">
      <c r="H884" s="22"/>
    </row>
    <row r="885" spans="8:8" x14ac:dyDescent="0.25">
      <c r="H885" s="22"/>
    </row>
    <row r="886" spans="8:8" x14ac:dyDescent="0.25">
      <c r="H886" s="22"/>
    </row>
    <row r="887" spans="8:8" x14ac:dyDescent="0.25">
      <c r="H887" s="22"/>
    </row>
    <row r="888" spans="8:8" x14ac:dyDescent="0.25">
      <c r="H888" s="22"/>
    </row>
    <row r="889" spans="8:8" x14ac:dyDescent="0.25">
      <c r="H889" s="22"/>
    </row>
    <row r="890" spans="8:8" x14ac:dyDescent="0.25">
      <c r="H890" s="22"/>
    </row>
    <row r="891" spans="8:8" x14ac:dyDescent="0.25">
      <c r="H891" s="22"/>
    </row>
    <row r="892" spans="8:8" x14ac:dyDescent="0.25">
      <c r="H892" s="22"/>
    </row>
    <row r="893" spans="8:8" x14ac:dyDescent="0.25">
      <c r="H893" s="22"/>
    </row>
    <row r="894" spans="8:8" x14ac:dyDescent="0.25">
      <c r="H894" s="22"/>
    </row>
    <row r="895" spans="8:8" x14ac:dyDescent="0.25">
      <c r="H895" s="22"/>
    </row>
    <row r="896" spans="8:8" x14ac:dyDescent="0.25">
      <c r="H896" s="22"/>
    </row>
    <row r="897" spans="8:8" x14ac:dyDescent="0.25">
      <c r="H897" s="22"/>
    </row>
    <row r="898" spans="8:8" x14ac:dyDescent="0.25">
      <c r="H898" s="22"/>
    </row>
    <row r="899" spans="8:8" x14ac:dyDescent="0.25">
      <c r="H899" s="22"/>
    </row>
    <row r="900" spans="8:8" x14ac:dyDescent="0.25">
      <c r="H900" s="22"/>
    </row>
    <row r="901" spans="8:8" x14ac:dyDescent="0.25">
      <c r="H901" s="22"/>
    </row>
    <row r="902" spans="8:8" x14ac:dyDescent="0.25">
      <c r="H902" s="22"/>
    </row>
    <row r="903" spans="8:8" x14ac:dyDescent="0.25">
      <c r="H903" s="22"/>
    </row>
    <row r="904" spans="8:8" x14ac:dyDescent="0.25">
      <c r="H904" s="22"/>
    </row>
    <row r="905" spans="8:8" x14ac:dyDescent="0.25">
      <c r="H905" s="22"/>
    </row>
    <row r="906" spans="8:8" x14ac:dyDescent="0.25">
      <c r="H906" s="22"/>
    </row>
    <row r="907" spans="8:8" x14ac:dyDescent="0.25">
      <c r="H907" s="22"/>
    </row>
    <row r="908" spans="8:8" x14ac:dyDescent="0.25">
      <c r="H908" s="22"/>
    </row>
    <row r="909" spans="8:8" x14ac:dyDescent="0.25">
      <c r="H909" s="22"/>
    </row>
  </sheetData>
  <autoFilter ref="A9:U393" xr:uid="{B35CBB9E-5909-49C9-9497-85F5DA9F68EE}">
    <filterColumn colId="7">
      <filters>
        <filter val="15H-16832"/>
      </filters>
    </filterColumn>
  </autoFilter>
  <sortState xmlns:xlrd2="http://schemas.microsoft.com/office/spreadsheetml/2017/richdata2" ref="B10:I347">
    <sortCondition ref="B10:B347"/>
  </sortState>
  <mergeCells count="8">
    <mergeCell ref="A389:F389"/>
    <mergeCell ref="F392:H392"/>
    <mergeCell ref="F393:H393"/>
    <mergeCell ref="F1:H1"/>
    <mergeCell ref="F2:H2"/>
    <mergeCell ref="A5:H5"/>
    <mergeCell ref="A6:H6"/>
    <mergeCell ref="A7:H7"/>
  </mergeCells>
  <conditionalFormatting sqref="C10:C173">
    <cfRule type="duplicateValues" dxfId="2467" priority="3038"/>
    <cfRule type="duplicateValues" dxfId="2466" priority="3039"/>
    <cfRule type="duplicateValues" dxfId="2465" priority="3040"/>
    <cfRule type="duplicateValues" dxfId="2464" priority="3041"/>
  </conditionalFormatting>
  <conditionalFormatting sqref="C35:C173">
    <cfRule type="duplicateValues" dxfId="2463" priority="3058"/>
    <cfRule type="duplicateValues" dxfId="2462" priority="3057"/>
    <cfRule type="duplicateValues" dxfId="2461" priority="3056"/>
    <cfRule type="duplicateValues" dxfId="2460" priority="3099"/>
    <cfRule type="duplicateValues" dxfId="2459" priority="3098"/>
    <cfRule type="duplicateValues" dxfId="2458" priority="3052"/>
    <cfRule type="duplicateValues" dxfId="2457" priority="3096"/>
    <cfRule type="duplicateValues" dxfId="2456" priority="3095"/>
    <cfRule type="duplicateValues" dxfId="2455" priority="3094"/>
    <cfRule type="duplicateValues" dxfId="2454" priority="3093"/>
    <cfRule type="duplicateValues" dxfId="2453" priority="3092"/>
    <cfRule type="duplicateValues" dxfId="2452" priority="3091"/>
    <cfRule type="duplicateValues" dxfId="2451" priority="3090"/>
    <cfRule type="duplicateValues" dxfId="2450" priority="3054"/>
    <cfRule type="duplicateValues" dxfId="2449" priority="3053"/>
    <cfRule type="duplicateValues" dxfId="2448" priority="3051"/>
    <cfRule type="duplicateValues" dxfId="2447" priority="3050"/>
    <cfRule type="duplicateValues" dxfId="2446" priority="3049"/>
    <cfRule type="duplicateValues" dxfId="2445" priority="3048"/>
    <cfRule type="duplicateValues" dxfId="2444" priority="3047"/>
    <cfRule type="duplicateValues" dxfId="2443" priority="3064"/>
    <cfRule type="duplicateValues" dxfId="2442" priority="3045"/>
    <cfRule type="duplicateValues" dxfId="2441" priority="3046"/>
    <cfRule type="duplicateValues" dxfId="2440" priority="3043"/>
    <cfRule type="duplicateValues" dxfId="2439" priority="3044"/>
    <cfRule type="duplicateValues" dxfId="2438" priority="3097"/>
    <cfRule type="duplicateValues" dxfId="2437" priority="3061"/>
    <cfRule type="duplicateValues" dxfId="2436" priority="3060"/>
    <cfRule type="duplicateValues" dxfId="2435" priority="3059"/>
    <cfRule type="duplicateValues" dxfId="2434" priority="3042"/>
    <cfRule type="duplicateValues" dxfId="2433" priority="3055"/>
    <cfRule type="duplicateValues" dxfId="2432" priority="3062"/>
    <cfRule type="duplicateValues" dxfId="2431" priority="3063"/>
    <cfRule type="duplicateValues" dxfId="2430" priority="3065"/>
    <cfRule type="duplicateValues" dxfId="2429" priority="3066"/>
    <cfRule type="duplicateValues" dxfId="2428" priority="3067"/>
    <cfRule type="duplicateValues" dxfId="2427" priority="3068"/>
    <cfRule type="duplicateValues" dxfId="2426" priority="3069"/>
    <cfRule type="duplicateValues" dxfId="2425" priority="3070"/>
    <cfRule type="duplicateValues" dxfId="2424" priority="3071"/>
    <cfRule type="duplicateValues" dxfId="2423" priority="3072"/>
    <cfRule type="duplicateValues" dxfId="2422" priority="3073"/>
  </conditionalFormatting>
  <conditionalFormatting sqref="C53:C54">
    <cfRule type="duplicateValues" dxfId="2421" priority="443"/>
    <cfRule type="duplicateValues" dxfId="2420" priority="446"/>
    <cfRule type="duplicateValues" dxfId="2419" priority="444"/>
    <cfRule type="duplicateValues" dxfId="2418" priority="445"/>
    <cfRule type="duplicateValues" dxfId="2417" priority="442"/>
  </conditionalFormatting>
  <conditionalFormatting sqref="C53:C173">
    <cfRule type="duplicateValues" dxfId="2416" priority="3100"/>
  </conditionalFormatting>
  <conditionalFormatting sqref="C55">
    <cfRule type="duplicateValues" dxfId="2415" priority="441"/>
    <cfRule type="duplicateValues" dxfId="2414" priority="440"/>
    <cfRule type="duplicateValues" dxfId="2413" priority="439"/>
  </conditionalFormatting>
  <conditionalFormatting sqref="C56:C57">
    <cfRule type="duplicateValues" dxfId="2412" priority="428"/>
    <cfRule type="duplicateValues" dxfId="2411" priority="429"/>
    <cfRule type="duplicateValues" dxfId="2410" priority="430"/>
    <cfRule type="duplicateValues" dxfId="2409" priority="431"/>
    <cfRule type="duplicateValues" dxfId="2408" priority="432"/>
    <cfRule type="duplicateValues" dxfId="2407" priority="427"/>
  </conditionalFormatting>
  <conditionalFormatting sqref="C58 C53:C55">
    <cfRule type="duplicateValues" dxfId="2406" priority="447"/>
  </conditionalFormatting>
  <conditionalFormatting sqref="C58 C55">
    <cfRule type="duplicateValues" dxfId="2405" priority="450"/>
    <cfRule type="duplicateValues" dxfId="2404" priority="449"/>
    <cfRule type="duplicateValues" dxfId="2403" priority="448"/>
  </conditionalFormatting>
  <conditionalFormatting sqref="C58">
    <cfRule type="duplicateValues" dxfId="2402" priority="435"/>
    <cfRule type="duplicateValues" dxfId="2401" priority="434"/>
    <cfRule type="duplicateValues" dxfId="2400" priority="433"/>
  </conditionalFormatting>
  <conditionalFormatting sqref="C59:C173">
    <cfRule type="duplicateValues" dxfId="2399" priority="3103"/>
    <cfRule type="duplicateValues" dxfId="2398" priority="3101"/>
    <cfRule type="duplicateValues" dxfId="2397" priority="3102"/>
  </conditionalFormatting>
  <conditionalFormatting sqref="C97:C173 C35:C52">
    <cfRule type="duplicateValues" dxfId="2396" priority="3075"/>
    <cfRule type="duplicateValues" dxfId="2395" priority="3081"/>
    <cfRule type="duplicateValues" dxfId="2394" priority="3080"/>
    <cfRule type="duplicateValues" dxfId="2393" priority="3079"/>
    <cfRule type="duplicateValues" dxfId="2392" priority="3078"/>
    <cfRule type="duplicateValues" dxfId="2391" priority="3077"/>
    <cfRule type="duplicateValues" dxfId="2390" priority="3076"/>
    <cfRule type="duplicateValues" dxfId="2389" priority="3074"/>
  </conditionalFormatting>
  <conditionalFormatting sqref="C97:C173">
    <cfRule type="duplicateValues" dxfId="2388" priority="3107"/>
    <cfRule type="duplicateValues" dxfId="2387" priority="3104"/>
    <cfRule type="duplicateValues" dxfId="2386" priority="3105"/>
    <cfRule type="duplicateValues" dxfId="2385" priority="3106"/>
  </conditionalFormatting>
  <conditionalFormatting sqref="C220:C359">
    <cfRule type="duplicateValues" dxfId="2384" priority="344"/>
    <cfRule type="duplicateValues" dxfId="2383" priority="342"/>
    <cfRule type="duplicateValues" dxfId="2382" priority="343"/>
  </conditionalFormatting>
  <conditionalFormatting sqref="C273">
    <cfRule type="duplicateValues" dxfId="2381" priority="278"/>
    <cfRule type="duplicateValues" dxfId="2380" priority="277"/>
    <cfRule type="duplicateValues" dxfId="2379" priority="276"/>
  </conditionalFormatting>
  <conditionalFormatting sqref="C273:C359">
    <cfRule type="duplicateValues" dxfId="2378" priority="294"/>
    <cfRule type="duplicateValues" dxfId="2377" priority="296"/>
    <cfRule type="duplicateValues" dxfId="2376" priority="297"/>
    <cfRule type="duplicateValues" dxfId="2375" priority="299"/>
    <cfRule type="duplicateValues" dxfId="2374" priority="300"/>
    <cfRule type="duplicateValues" dxfId="2373" priority="332"/>
    <cfRule type="duplicateValues" dxfId="2372" priority="295"/>
    <cfRule type="duplicateValues" dxfId="2371" priority="301"/>
    <cfRule type="duplicateValues" dxfId="2370" priority="302"/>
    <cfRule type="duplicateValues" dxfId="2369" priority="303"/>
    <cfRule type="duplicateValues" dxfId="2368" priority="304"/>
    <cfRule type="duplicateValues" dxfId="2367" priority="305"/>
    <cfRule type="duplicateValues" dxfId="2366" priority="306"/>
    <cfRule type="duplicateValues" dxfId="2365" priority="282"/>
    <cfRule type="duplicateValues" dxfId="2364" priority="307"/>
    <cfRule type="duplicateValues" dxfId="2363" priority="308"/>
    <cfRule type="duplicateValues" dxfId="2362" priority="309"/>
    <cfRule type="duplicateValues" dxfId="2361" priority="310"/>
    <cfRule type="duplicateValues" dxfId="2360" priority="281"/>
    <cfRule type="duplicateValues" dxfId="2359" priority="311"/>
    <cfRule type="duplicateValues" dxfId="2358" priority="312"/>
    <cfRule type="duplicateValues" dxfId="2357" priority="313"/>
    <cfRule type="duplicateValues" dxfId="2356" priority="314"/>
    <cfRule type="duplicateValues" dxfId="2355" priority="315"/>
    <cfRule type="duplicateValues" dxfId="2354" priority="317"/>
    <cfRule type="duplicateValues" dxfId="2353" priority="318"/>
    <cfRule type="duplicateValues" dxfId="2352" priority="319"/>
    <cfRule type="duplicateValues" dxfId="2351" priority="320"/>
    <cfRule type="duplicateValues" dxfId="2350" priority="298"/>
    <cfRule type="duplicateValues" dxfId="2349" priority="322"/>
    <cfRule type="duplicateValues" dxfId="2348" priority="323"/>
    <cfRule type="duplicateValues" dxfId="2347" priority="324"/>
    <cfRule type="duplicateValues" dxfId="2346" priority="325"/>
    <cfRule type="duplicateValues" dxfId="2345" priority="326"/>
    <cfRule type="duplicateValues" dxfId="2344" priority="327"/>
    <cfRule type="duplicateValues" dxfId="2343" priority="328"/>
    <cfRule type="duplicateValues" dxfId="2342" priority="329"/>
    <cfRule type="duplicateValues" dxfId="2341" priority="330"/>
    <cfRule type="duplicateValues" dxfId="2340" priority="331"/>
    <cfRule type="duplicateValues" dxfId="2339" priority="333"/>
    <cfRule type="duplicateValues" dxfId="2338" priority="334"/>
    <cfRule type="duplicateValues" dxfId="2337" priority="280"/>
    <cfRule type="duplicateValues" dxfId="2336" priority="279"/>
    <cfRule type="duplicateValues" dxfId="2335" priority="316"/>
    <cfRule type="duplicateValues" dxfId="2334" priority="289"/>
    <cfRule type="duplicateValues" dxfId="2333" priority="335"/>
    <cfRule type="duplicateValues" dxfId="2332" priority="290"/>
    <cfRule type="duplicateValues" dxfId="2331" priority="337"/>
    <cfRule type="duplicateValues" dxfId="2330" priority="338"/>
    <cfRule type="duplicateValues" dxfId="2329" priority="339"/>
    <cfRule type="duplicateValues" dxfId="2328" priority="340"/>
    <cfRule type="duplicateValues" dxfId="2327" priority="341"/>
    <cfRule type="duplicateValues" dxfId="2326" priority="291"/>
    <cfRule type="duplicateValues" dxfId="2325" priority="292"/>
    <cfRule type="duplicateValues" dxfId="2324" priority="321"/>
    <cfRule type="duplicateValues" dxfId="2323" priority="293"/>
    <cfRule type="duplicateValues" dxfId="2322" priority="283"/>
    <cfRule type="duplicateValues" dxfId="2321" priority="284"/>
    <cfRule type="duplicateValues" dxfId="2320" priority="285"/>
    <cfRule type="duplicateValues" dxfId="2319" priority="286"/>
    <cfRule type="duplicateValues" dxfId="2318" priority="287"/>
    <cfRule type="duplicateValues" dxfId="2317" priority="288"/>
    <cfRule type="duplicateValues" dxfId="2316" priority="336"/>
  </conditionalFormatting>
  <conditionalFormatting sqref="C360:C371">
    <cfRule type="duplicateValues" dxfId="2315" priority="226"/>
    <cfRule type="duplicateValues" dxfId="2314" priority="227"/>
    <cfRule type="duplicateValues" dxfId="2313" priority="228"/>
    <cfRule type="duplicateValues" dxfId="2312" priority="229"/>
    <cfRule type="duplicateValues" dxfId="2311" priority="231"/>
    <cfRule type="duplicateValues" dxfId="2310" priority="232"/>
    <cfRule type="duplicateValues" dxfId="2309" priority="233"/>
    <cfRule type="duplicateValues" dxfId="2308" priority="234"/>
    <cfRule type="duplicateValues" dxfId="2307" priority="235"/>
    <cfRule type="duplicateValues" dxfId="2306" priority="236"/>
    <cfRule type="duplicateValues" dxfId="2305" priority="237"/>
    <cfRule type="duplicateValues" dxfId="2304" priority="238"/>
    <cfRule type="duplicateValues" dxfId="2303" priority="239"/>
    <cfRule type="duplicateValues" dxfId="2302" priority="240"/>
    <cfRule type="duplicateValues" dxfId="2301" priority="241"/>
    <cfRule type="duplicateValues" dxfId="2300" priority="242"/>
    <cfRule type="duplicateValues" dxfId="2299" priority="243"/>
    <cfRule type="duplicateValues" dxfId="2298" priority="244"/>
    <cfRule type="duplicateValues" dxfId="2297" priority="245"/>
    <cfRule type="duplicateValues" dxfId="2296" priority="246"/>
    <cfRule type="duplicateValues" dxfId="2295" priority="247"/>
    <cfRule type="duplicateValues" dxfId="2294" priority="248"/>
    <cfRule type="duplicateValues" dxfId="2293" priority="249"/>
    <cfRule type="duplicateValues" dxfId="2292" priority="250"/>
    <cfRule type="duplicateValues" dxfId="2291" priority="252"/>
    <cfRule type="duplicateValues" dxfId="2290" priority="253"/>
    <cfRule type="duplicateValues" dxfId="2289" priority="254"/>
    <cfRule type="duplicateValues" dxfId="2288" priority="255"/>
    <cfRule type="duplicateValues" dxfId="2287" priority="256"/>
    <cfRule type="duplicateValues" dxfId="2286" priority="257"/>
    <cfRule type="duplicateValues" dxfId="2285" priority="258"/>
    <cfRule type="duplicateValues" dxfId="2284" priority="259"/>
    <cfRule type="duplicateValues" dxfId="2283" priority="260"/>
    <cfRule type="duplicateValues" dxfId="2282" priority="261"/>
    <cfRule type="duplicateValues" dxfId="2281" priority="262"/>
    <cfRule type="duplicateValues" dxfId="2280" priority="263"/>
    <cfRule type="duplicateValues" dxfId="2279" priority="264"/>
    <cfRule type="duplicateValues" dxfId="2278" priority="265"/>
    <cfRule type="duplicateValues" dxfId="2277" priority="266"/>
    <cfRule type="duplicateValues" dxfId="2276" priority="267"/>
    <cfRule type="duplicateValues" dxfId="2275" priority="268"/>
    <cfRule type="duplicateValues" dxfId="2274" priority="269"/>
    <cfRule type="duplicateValues" dxfId="2273" priority="270"/>
    <cfRule type="duplicateValues" dxfId="2272" priority="271"/>
    <cfRule type="duplicateValues" dxfId="2271" priority="272"/>
    <cfRule type="duplicateValues" dxfId="2270" priority="273"/>
    <cfRule type="duplicateValues" dxfId="2269" priority="274"/>
    <cfRule type="duplicateValues" dxfId="2268" priority="275"/>
    <cfRule type="duplicateValues" dxfId="2267" priority="230"/>
    <cfRule type="duplicateValues" dxfId="2266" priority="216"/>
    <cfRule type="duplicateValues" dxfId="2265" priority="210"/>
    <cfRule type="duplicateValues" dxfId="2264" priority="211"/>
    <cfRule type="duplicateValues" dxfId="2263" priority="212"/>
    <cfRule type="duplicateValues" dxfId="2262" priority="213"/>
    <cfRule type="duplicateValues" dxfId="2261" priority="214"/>
    <cfRule type="duplicateValues" dxfId="2260" priority="215"/>
    <cfRule type="duplicateValues" dxfId="2259" priority="251"/>
    <cfRule type="duplicateValues" dxfId="2258" priority="217"/>
    <cfRule type="duplicateValues" dxfId="2257" priority="218"/>
    <cfRule type="duplicateValues" dxfId="2256" priority="219"/>
    <cfRule type="duplicateValues" dxfId="2255" priority="220"/>
    <cfRule type="duplicateValues" dxfId="2254" priority="221"/>
    <cfRule type="duplicateValues" dxfId="2253" priority="222"/>
    <cfRule type="duplicateValues" dxfId="2252" priority="223"/>
    <cfRule type="duplicateValues" dxfId="2251" priority="224"/>
    <cfRule type="duplicateValues" dxfId="2250" priority="225"/>
  </conditionalFormatting>
  <conditionalFormatting sqref="C372:C374">
    <cfRule type="duplicateValues" dxfId="2249" priority="192"/>
    <cfRule type="duplicateValues" dxfId="2248" priority="191"/>
    <cfRule type="duplicateValues" dxfId="2247" priority="190"/>
    <cfRule type="duplicateValues" dxfId="2246" priority="189"/>
    <cfRule type="duplicateValues" dxfId="2245" priority="188"/>
    <cfRule type="duplicateValues" dxfId="2244" priority="187"/>
    <cfRule type="duplicateValues" dxfId="2243" priority="186"/>
    <cfRule type="duplicateValues" dxfId="2242" priority="185"/>
    <cfRule type="duplicateValues" dxfId="2241" priority="184"/>
    <cfRule type="duplicateValues" dxfId="2240" priority="183"/>
    <cfRule type="duplicateValues" dxfId="2239" priority="182"/>
    <cfRule type="duplicateValues" dxfId="2238" priority="180"/>
    <cfRule type="duplicateValues" dxfId="2237" priority="179"/>
    <cfRule type="duplicateValues" dxfId="2236" priority="178"/>
    <cfRule type="duplicateValues" dxfId="2235" priority="177"/>
    <cfRule type="duplicateValues" dxfId="2234" priority="175"/>
    <cfRule type="duplicateValues" dxfId="2233" priority="174"/>
    <cfRule type="duplicateValues" dxfId="2232" priority="173"/>
    <cfRule type="duplicateValues" dxfId="2231" priority="172"/>
    <cfRule type="duplicateValues" dxfId="2230" priority="171"/>
    <cfRule type="duplicateValues" dxfId="2229" priority="170"/>
    <cfRule type="duplicateValues" dxfId="2228" priority="169"/>
    <cfRule type="duplicateValues" dxfId="2227" priority="168"/>
    <cfRule type="duplicateValues" dxfId="2226" priority="167"/>
    <cfRule type="duplicateValues" dxfId="2225" priority="166"/>
    <cfRule type="duplicateValues" dxfId="2224" priority="165"/>
    <cfRule type="duplicateValues" dxfId="2223" priority="164"/>
    <cfRule type="duplicateValues" dxfId="2222" priority="163"/>
    <cfRule type="duplicateValues" dxfId="2221" priority="162"/>
    <cfRule type="duplicateValues" dxfId="2220" priority="161"/>
    <cfRule type="duplicateValues" dxfId="2219" priority="176"/>
    <cfRule type="duplicateValues" dxfId="2218" priority="160"/>
    <cfRule type="duplicateValues" dxfId="2217" priority="159"/>
    <cfRule type="duplicateValues" dxfId="2216" priority="158"/>
    <cfRule type="duplicateValues" dxfId="2215" priority="157"/>
    <cfRule type="duplicateValues" dxfId="2214" priority="156"/>
    <cfRule type="duplicateValues" dxfId="2213" priority="155"/>
    <cfRule type="duplicateValues" dxfId="2212" priority="154"/>
    <cfRule type="duplicateValues" dxfId="2211" priority="153"/>
    <cfRule type="duplicateValues" dxfId="2210" priority="152"/>
    <cfRule type="duplicateValues" dxfId="2209" priority="151"/>
    <cfRule type="duplicateValues" dxfId="2208" priority="150"/>
    <cfRule type="duplicateValues" dxfId="2207" priority="149"/>
    <cfRule type="duplicateValues" dxfId="2206" priority="148"/>
    <cfRule type="duplicateValues" dxfId="2205" priority="147"/>
    <cfRule type="duplicateValues" dxfId="2204" priority="146"/>
    <cfRule type="duplicateValues" dxfId="2203" priority="145"/>
    <cfRule type="duplicateValues" dxfId="2202" priority="144"/>
    <cfRule type="duplicateValues" dxfId="2201" priority="209"/>
    <cfRule type="duplicateValues" dxfId="2200" priority="181"/>
    <cfRule type="duplicateValues" dxfId="2199" priority="208"/>
    <cfRule type="duplicateValues" dxfId="2198" priority="207"/>
    <cfRule type="duplicateValues" dxfId="2197" priority="206"/>
    <cfRule type="duplicateValues" dxfId="2196" priority="205"/>
    <cfRule type="duplicateValues" dxfId="2195" priority="204"/>
    <cfRule type="duplicateValues" dxfId="2194" priority="203"/>
    <cfRule type="duplicateValues" dxfId="2193" priority="202"/>
    <cfRule type="duplicateValues" dxfId="2192" priority="201"/>
    <cfRule type="duplicateValues" dxfId="2191" priority="200"/>
    <cfRule type="duplicateValues" dxfId="2190" priority="199"/>
    <cfRule type="duplicateValues" dxfId="2189" priority="198"/>
    <cfRule type="duplicateValues" dxfId="2188" priority="197"/>
    <cfRule type="duplicateValues" dxfId="2187" priority="196"/>
    <cfRule type="duplicateValues" dxfId="2186" priority="195"/>
    <cfRule type="duplicateValues" dxfId="2185" priority="194"/>
    <cfRule type="duplicateValues" dxfId="2184" priority="193"/>
  </conditionalFormatting>
  <conditionalFormatting sqref="C375:C384">
    <cfRule type="duplicateValues" dxfId="2183" priority="3243"/>
    <cfRule type="duplicateValues" dxfId="2182" priority="3194"/>
    <cfRule type="duplicateValues" dxfId="2181" priority="3195"/>
    <cfRule type="duplicateValues" dxfId="2180" priority="3196"/>
    <cfRule type="duplicateValues" dxfId="2179" priority="3197"/>
    <cfRule type="duplicateValues" dxfId="2178" priority="3198"/>
    <cfRule type="duplicateValues" dxfId="2177" priority="3199"/>
    <cfRule type="duplicateValues" dxfId="2176" priority="3200"/>
    <cfRule type="duplicateValues" dxfId="2175" priority="3201"/>
    <cfRule type="duplicateValues" dxfId="2174" priority="3202"/>
    <cfRule type="duplicateValues" dxfId="2173" priority="3203"/>
    <cfRule type="duplicateValues" dxfId="2172" priority="3204"/>
    <cfRule type="duplicateValues" dxfId="2171" priority="3205"/>
    <cfRule type="duplicateValues" dxfId="2170" priority="3206"/>
    <cfRule type="duplicateValues" dxfId="2169" priority="3207"/>
    <cfRule type="duplicateValues" dxfId="2168" priority="3208"/>
    <cfRule type="duplicateValues" dxfId="2167" priority="3209"/>
    <cfRule type="duplicateValues" dxfId="2166" priority="3210"/>
    <cfRule type="duplicateValues" dxfId="2165" priority="3211"/>
    <cfRule type="duplicateValues" dxfId="2164" priority="3212"/>
    <cfRule type="duplicateValues" dxfId="2163" priority="3213"/>
    <cfRule type="duplicateValues" dxfId="2162" priority="3214"/>
    <cfRule type="duplicateValues" dxfId="2161" priority="3215"/>
    <cfRule type="duplicateValues" dxfId="2160" priority="3216"/>
    <cfRule type="duplicateValues" dxfId="2159" priority="3217"/>
    <cfRule type="duplicateValues" dxfId="2158" priority="3218"/>
    <cfRule type="duplicateValues" dxfId="2157" priority="3219"/>
    <cfRule type="duplicateValues" dxfId="2156" priority="3220"/>
    <cfRule type="duplicateValues" dxfId="2155" priority="3221"/>
    <cfRule type="duplicateValues" dxfId="2154" priority="3222"/>
    <cfRule type="duplicateValues" dxfId="2153" priority="3223"/>
    <cfRule type="duplicateValues" dxfId="2152" priority="3224"/>
    <cfRule type="duplicateValues" dxfId="2151" priority="3225"/>
    <cfRule type="duplicateValues" dxfId="2150" priority="3226"/>
    <cfRule type="duplicateValues" dxfId="2149" priority="3227"/>
    <cfRule type="duplicateValues" dxfId="2148" priority="3228"/>
    <cfRule type="duplicateValues" dxfId="2147" priority="3229"/>
    <cfRule type="duplicateValues" dxfId="2146" priority="3230"/>
    <cfRule type="duplicateValues" dxfId="2145" priority="3231"/>
    <cfRule type="duplicateValues" dxfId="2144" priority="3232"/>
    <cfRule type="duplicateValues" dxfId="2143" priority="3233"/>
    <cfRule type="duplicateValues" dxfId="2142" priority="3234"/>
    <cfRule type="duplicateValues" dxfId="2141" priority="3235"/>
    <cfRule type="duplicateValues" dxfId="2140" priority="3236"/>
    <cfRule type="duplicateValues" dxfId="2139" priority="3237"/>
    <cfRule type="duplicateValues" dxfId="2138" priority="3238"/>
    <cfRule type="duplicateValues" dxfId="2137" priority="3239"/>
    <cfRule type="duplicateValues" dxfId="2136" priority="3240"/>
    <cfRule type="duplicateValues" dxfId="2135" priority="3241"/>
    <cfRule type="duplicateValues" dxfId="2134" priority="3242"/>
  </conditionalFormatting>
  <conditionalFormatting sqref="C375:C385">
    <cfRule type="duplicateValues" dxfId="2133" priority="3182"/>
    <cfRule type="duplicateValues" dxfId="2132" priority="3183"/>
    <cfRule type="duplicateValues" dxfId="2131" priority="3184"/>
    <cfRule type="duplicateValues" dxfId="2130" priority="3185"/>
    <cfRule type="duplicateValues" dxfId="2129" priority="3178"/>
    <cfRule type="duplicateValues" dxfId="2128" priority="3179"/>
    <cfRule type="duplicateValues" dxfId="2127" priority="3180"/>
    <cfRule type="duplicateValues" dxfId="2126" priority="3181"/>
  </conditionalFormatting>
  <conditionalFormatting sqref="C385">
    <cfRule type="duplicateValues" dxfId="2125" priority="77" stopIfTrue="1"/>
  </conditionalFormatting>
  <conditionalFormatting sqref="C386:C387">
    <cfRule type="duplicateValues" dxfId="2124" priority="22"/>
    <cfRule type="duplicateValues" dxfId="2123" priority="21"/>
    <cfRule type="duplicateValues" dxfId="2122" priority="20"/>
    <cfRule type="duplicateValues" dxfId="2121" priority="19"/>
    <cfRule type="duplicateValues" dxfId="2120" priority="18"/>
    <cfRule type="duplicateValues" dxfId="2119" priority="17"/>
    <cfRule type="duplicateValues" dxfId="2118" priority="16"/>
    <cfRule type="duplicateValues" dxfId="2117" priority="15"/>
    <cfRule type="duplicateValues" dxfId="2116" priority="25"/>
    <cfRule type="duplicateValues" dxfId="2115" priority="14"/>
    <cfRule type="duplicateValues" dxfId="2114" priority="13"/>
    <cfRule type="duplicateValues" dxfId="2113" priority="12"/>
    <cfRule type="duplicateValues" dxfId="2112" priority="11"/>
    <cfRule type="duplicateValues" dxfId="2111" priority="10"/>
    <cfRule type="duplicateValues" dxfId="2110" priority="24"/>
    <cfRule type="duplicateValues" dxfId="2109" priority="23"/>
    <cfRule type="duplicateValues" dxfId="2108" priority="32"/>
    <cfRule type="duplicateValues" dxfId="2107" priority="75"/>
    <cfRule type="duplicateValues" dxfId="2106" priority="74"/>
    <cfRule type="duplicateValues" dxfId="2105" priority="73"/>
    <cfRule type="duplicateValues" dxfId="2104" priority="72"/>
    <cfRule type="duplicateValues" dxfId="2103" priority="59"/>
    <cfRule type="duplicateValues" dxfId="2102" priority="71"/>
    <cfRule type="duplicateValues" dxfId="2101" priority="70"/>
    <cfRule type="duplicateValues" dxfId="2100" priority="69"/>
    <cfRule type="duplicateValues" dxfId="2099" priority="68"/>
    <cfRule type="duplicateValues" dxfId="2098" priority="67"/>
    <cfRule type="duplicateValues" dxfId="2097" priority="66"/>
    <cfRule type="duplicateValues" dxfId="2096" priority="65"/>
    <cfRule type="duplicateValues" dxfId="2095" priority="64"/>
    <cfRule type="duplicateValues" dxfId="2094" priority="63"/>
    <cfRule type="duplicateValues" dxfId="2093" priority="62"/>
    <cfRule type="duplicateValues" dxfId="2092" priority="61"/>
    <cfRule type="duplicateValues" dxfId="2091" priority="60"/>
    <cfRule type="duplicateValues" dxfId="2090" priority="58"/>
    <cfRule type="duplicateValues" dxfId="2089" priority="57"/>
    <cfRule type="duplicateValues" dxfId="2088" priority="56"/>
    <cfRule type="duplicateValues" dxfId="2087" priority="55"/>
    <cfRule type="duplicateValues" dxfId="2086" priority="54"/>
    <cfRule type="duplicateValues" dxfId="2085" priority="53"/>
    <cfRule type="duplicateValues" dxfId="2084" priority="52"/>
    <cfRule type="duplicateValues" dxfId="2083" priority="51"/>
    <cfRule type="duplicateValues" dxfId="2082" priority="50"/>
    <cfRule type="duplicateValues" dxfId="2081" priority="49"/>
    <cfRule type="duplicateValues" dxfId="2080" priority="48"/>
    <cfRule type="duplicateValues" dxfId="2079" priority="47"/>
    <cfRule type="duplicateValues" dxfId="2078" priority="46"/>
    <cfRule type="duplicateValues" dxfId="2077" priority="45"/>
    <cfRule type="duplicateValues" dxfId="2076" priority="44"/>
    <cfRule type="duplicateValues" dxfId="2075" priority="43"/>
    <cfRule type="duplicateValues" dxfId="2074" priority="41"/>
    <cfRule type="duplicateValues" dxfId="2073" priority="40"/>
    <cfRule type="duplicateValues" dxfId="2072" priority="39"/>
    <cfRule type="duplicateValues" dxfId="2071" priority="38"/>
    <cfRule type="duplicateValues" dxfId="2070" priority="37"/>
    <cfRule type="duplicateValues" dxfId="2069" priority="36"/>
    <cfRule type="duplicateValues" dxfId="2068" priority="35"/>
    <cfRule type="duplicateValues" dxfId="2067" priority="34"/>
    <cfRule type="duplicateValues" dxfId="2066" priority="33"/>
    <cfRule type="duplicateValues" dxfId="2065" priority="42"/>
    <cfRule type="duplicateValues" dxfId="2064" priority="31"/>
    <cfRule type="duplicateValues" dxfId="2063" priority="30"/>
    <cfRule type="duplicateValues" dxfId="2062" priority="29"/>
    <cfRule type="duplicateValues" dxfId="2061" priority="28"/>
    <cfRule type="duplicateValues" dxfId="2060" priority="27"/>
    <cfRule type="duplicateValues" dxfId="2059" priority="26"/>
  </conditionalFormatting>
  <conditionalFormatting sqref="C388:C398 C1:C219 C767:C1048576">
    <cfRule type="duplicateValues" dxfId="2058" priority="345"/>
  </conditionalFormatting>
  <conditionalFormatting sqref="C473:C1048576 C1:C398">
    <cfRule type="duplicateValues" dxfId="2057" priority="9"/>
    <cfRule type="duplicateValues" dxfId="2056" priority="1"/>
    <cfRule type="duplicateValues" dxfId="2055" priority="76"/>
  </conditionalFormatting>
  <conditionalFormatting sqref="C767:C1048576 C1:C9 C388:C394">
    <cfRule type="duplicateValues" dxfId="2054" priority="53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943D-2FD7-4F24-9509-1302791325A7}">
  <dimension ref="A1:U573"/>
  <sheetViews>
    <sheetView topLeftCell="A114" zoomScale="80" zoomScaleNormal="80" workbookViewId="0">
      <selection activeCell="J89" sqref="J89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9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8" customWidth="1"/>
    <col min="8" max="8" width="12.875" style="7" customWidth="1"/>
    <col min="9" max="9" width="10" style="8" customWidth="1"/>
    <col min="10" max="10" width="13.125" style="8" bestFit="1" customWidth="1"/>
    <col min="11" max="11" width="11.375" style="8" bestFit="1" customWidth="1"/>
    <col min="12" max="16384" width="8.875" style="8"/>
  </cols>
  <sheetData>
    <row r="1" spans="1:21" s="15" customFormat="1" x14ac:dyDescent="0.25">
      <c r="A1" s="11" t="s">
        <v>0</v>
      </c>
      <c r="B1" s="5"/>
      <c r="C1" s="5"/>
      <c r="D1" s="14"/>
      <c r="E1" s="14"/>
      <c r="F1" s="216" t="s">
        <v>1</v>
      </c>
      <c r="G1" s="216"/>
      <c r="H1" s="216"/>
      <c r="J1" s="16"/>
    </row>
    <row r="2" spans="1:21" s="15" customFormat="1" ht="15" customHeight="1" x14ac:dyDescent="0.25">
      <c r="A2" s="11" t="s">
        <v>2</v>
      </c>
      <c r="B2" s="5"/>
      <c r="C2" s="5"/>
      <c r="D2" s="14"/>
      <c r="E2" s="14"/>
      <c r="F2" s="216" t="s">
        <v>3</v>
      </c>
      <c r="G2" s="216"/>
      <c r="H2" s="216"/>
      <c r="J2" s="16"/>
    </row>
    <row r="3" spans="1:21" ht="15" customHeight="1" x14ac:dyDescent="0.25">
      <c r="B3" s="17"/>
      <c r="C3" s="18"/>
      <c r="D3" s="19"/>
      <c r="E3" s="19"/>
      <c r="F3" s="36"/>
      <c r="G3" s="19"/>
      <c r="J3" s="20"/>
    </row>
    <row r="4" spans="1:21" x14ac:dyDescent="0.25">
      <c r="B4" s="8"/>
      <c r="J4" s="20"/>
    </row>
    <row r="5" spans="1:21" x14ac:dyDescent="0.25">
      <c r="A5" s="218" t="s">
        <v>4</v>
      </c>
      <c r="B5" s="218"/>
      <c r="C5" s="218"/>
      <c r="D5" s="218"/>
      <c r="E5" s="218"/>
      <c r="F5" s="218"/>
      <c r="G5" s="218"/>
      <c r="H5" s="218"/>
      <c r="J5" s="20"/>
    </row>
    <row r="6" spans="1:21" s="3" customFormat="1" x14ac:dyDescent="0.25">
      <c r="A6" s="218" t="s">
        <v>5</v>
      </c>
      <c r="B6" s="218"/>
      <c r="C6" s="218"/>
      <c r="D6" s="218"/>
      <c r="E6" s="218"/>
      <c r="F6" s="218"/>
      <c r="G6" s="218"/>
      <c r="H6" s="218"/>
      <c r="I6" s="7"/>
      <c r="J6" s="21"/>
    </row>
    <row r="7" spans="1:21" s="3" customFormat="1" x14ac:dyDescent="0.25">
      <c r="A7" s="220" t="s">
        <v>37</v>
      </c>
      <c r="B7" s="220"/>
      <c r="C7" s="220"/>
      <c r="D7" s="220"/>
      <c r="E7" s="220"/>
      <c r="F7" s="220"/>
      <c r="G7" s="220"/>
      <c r="H7" s="220"/>
      <c r="I7" s="22"/>
      <c r="J7" s="21"/>
    </row>
    <row r="8" spans="1:21" s="3" customFormat="1" x14ac:dyDescent="0.25">
      <c r="A8" s="23"/>
      <c r="B8" s="13"/>
      <c r="C8" s="24"/>
      <c r="D8" s="23"/>
      <c r="E8" s="23"/>
      <c r="F8" s="25"/>
      <c r="G8" s="23"/>
      <c r="H8" s="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s="29" customFormat="1" ht="18" customHeight="1" x14ac:dyDescent="0.25">
      <c r="A9" s="223" t="s">
        <v>6</v>
      </c>
      <c r="B9" s="223" t="s">
        <v>7</v>
      </c>
      <c r="C9" s="223" t="s">
        <v>8</v>
      </c>
      <c r="D9" s="223" t="s">
        <v>9</v>
      </c>
      <c r="E9" s="225" t="s">
        <v>10</v>
      </c>
      <c r="F9" s="223" t="s">
        <v>11</v>
      </c>
      <c r="G9" s="143" t="s">
        <v>12</v>
      </c>
      <c r="H9" s="224" t="s">
        <v>13</v>
      </c>
      <c r="I9" s="144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s="29" customFormat="1" ht="18" customHeight="1" x14ac:dyDescent="0.25">
      <c r="A10" s="223"/>
      <c r="B10" s="223"/>
      <c r="C10" s="223"/>
      <c r="D10" s="223"/>
      <c r="E10" s="225"/>
      <c r="F10" s="223"/>
      <c r="G10" s="145" t="s">
        <v>14</v>
      </c>
      <c r="H10" s="224"/>
      <c r="I10" s="144" t="s">
        <v>866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s="29" customFormat="1" ht="18" customHeight="1" x14ac:dyDescent="0.25">
      <c r="A11" s="44">
        <v>1</v>
      </c>
      <c r="B11" s="48">
        <v>46089</v>
      </c>
      <c r="C11" s="50" t="s">
        <v>746</v>
      </c>
      <c r="D11" s="50">
        <v>40</v>
      </c>
      <c r="E11" s="50" t="s">
        <v>20</v>
      </c>
      <c r="F11" s="46" t="s">
        <v>31</v>
      </c>
      <c r="G11" s="161">
        <v>385000</v>
      </c>
      <c r="H11" s="50" t="s">
        <v>30</v>
      </c>
      <c r="I11" s="158">
        <v>30230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s="29" customFormat="1" ht="18" customHeight="1" x14ac:dyDescent="0.25">
      <c r="A12" s="44">
        <v>2</v>
      </c>
      <c r="B12" s="48">
        <v>46089</v>
      </c>
      <c r="C12" s="50" t="s">
        <v>747</v>
      </c>
      <c r="D12" s="50">
        <v>40</v>
      </c>
      <c r="E12" s="50" t="s">
        <v>20</v>
      </c>
      <c r="F12" s="46" t="s">
        <v>31</v>
      </c>
      <c r="G12" s="161">
        <v>385000</v>
      </c>
      <c r="H12" s="50" t="s">
        <v>30</v>
      </c>
      <c r="I12" s="158">
        <v>30230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s="29" customFormat="1" ht="18" customHeight="1" x14ac:dyDescent="0.25">
      <c r="A13" s="44">
        <v>3</v>
      </c>
      <c r="B13" s="48">
        <v>46089</v>
      </c>
      <c r="C13" s="50" t="s">
        <v>748</v>
      </c>
      <c r="D13" s="50">
        <v>40</v>
      </c>
      <c r="E13" s="50" t="s">
        <v>20</v>
      </c>
      <c r="F13" s="46" t="s">
        <v>31</v>
      </c>
      <c r="G13" s="161">
        <v>385000</v>
      </c>
      <c r="H13" s="50" t="s">
        <v>30</v>
      </c>
      <c r="I13" s="158">
        <v>30230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s="29" customFormat="1" ht="18" customHeight="1" x14ac:dyDescent="0.25">
      <c r="A14" s="44">
        <v>4</v>
      </c>
      <c r="B14" s="48">
        <v>46089</v>
      </c>
      <c r="C14" s="50" t="s">
        <v>749</v>
      </c>
      <c r="D14" s="50">
        <v>40</v>
      </c>
      <c r="E14" s="50" t="s">
        <v>20</v>
      </c>
      <c r="F14" s="46" t="s">
        <v>31</v>
      </c>
      <c r="G14" s="161">
        <v>385000</v>
      </c>
      <c r="H14" s="50" t="s">
        <v>30</v>
      </c>
      <c r="I14" s="158">
        <v>30230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s="29" customFormat="1" ht="18" customHeight="1" x14ac:dyDescent="0.25">
      <c r="A15" s="44">
        <v>5</v>
      </c>
      <c r="B15" s="48">
        <v>46089</v>
      </c>
      <c r="C15" s="50" t="s">
        <v>750</v>
      </c>
      <c r="D15" s="50">
        <v>40</v>
      </c>
      <c r="E15" s="50" t="s">
        <v>20</v>
      </c>
      <c r="F15" s="46" t="s">
        <v>31</v>
      </c>
      <c r="G15" s="161">
        <v>385000</v>
      </c>
      <c r="H15" s="50" t="s">
        <v>30</v>
      </c>
      <c r="I15" s="158">
        <v>30230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s="29" customFormat="1" ht="18" customHeight="1" x14ac:dyDescent="0.25">
      <c r="A16" s="44">
        <v>6</v>
      </c>
      <c r="B16" s="48">
        <v>46089</v>
      </c>
      <c r="C16" s="50" t="s">
        <v>751</v>
      </c>
      <c r="D16" s="50">
        <v>40</v>
      </c>
      <c r="E16" s="50" t="s">
        <v>20</v>
      </c>
      <c r="F16" s="46" t="s">
        <v>31</v>
      </c>
      <c r="G16" s="161">
        <v>385000</v>
      </c>
      <c r="H16" s="50" t="s">
        <v>30</v>
      </c>
      <c r="I16" s="158">
        <v>30230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s="29" customFormat="1" ht="18" customHeight="1" x14ac:dyDescent="0.25">
      <c r="A17" s="44">
        <v>7</v>
      </c>
      <c r="B17" s="48">
        <v>46089</v>
      </c>
      <c r="C17" s="50" t="s">
        <v>752</v>
      </c>
      <c r="D17" s="50">
        <v>40</v>
      </c>
      <c r="E17" s="50" t="s">
        <v>20</v>
      </c>
      <c r="F17" s="46" t="s">
        <v>31</v>
      </c>
      <c r="G17" s="161">
        <v>385000</v>
      </c>
      <c r="H17" s="50" t="s">
        <v>30</v>
      </c>
      <c r="I17" s="158">
        <v>30230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s="29" customFormat="1" ht="18" customHeight="1" x14ac:dyDescent="0.25">
      <c r="A18" s="44">
        <v>8</v>
      </c>
      <c r="B18" s="48">
        <v>46089</v>
      </c>
      <c r="C18" s="50" t="s">
        <v>753</v>
      </c>
      <c r="D18" s="50">
        <v>40</v>
      </c>
      <c r="E18" s="50" t="s">
        <v>20</v>
      </c>
      <c r="F18" s="46" t="s">
        <v>31</v>
      </c>
      <c r="G18" s="161">
        <v>385000</v>
      </c>
      <c r="H18" s="50" t="s">
        <v>30</v>
      </c>
      <c r="I18" s="158">
        <v>30230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s="29" customFormat="1" ht="18" customHeight="1" x14ac:dyDescent="0.25">
      <c r="A19" s="44">
        <v>9</v>
      </c>
      <c r="B19" s="48">
        <v>46089</v>
      </c>
      <c r="C19" s="50" t="s">
        <v>754</v>
      </c>
      <c r="D19" s="50">
        <v>40</v>
      </c>
      <c r="E19" s="50" t="s">
        <v>20</v>
      </c>
      <c r="F19" s="46" t="s">
        <v>31</v>
      </c>
      <c r="G19" s="161">
        <v>385000</v>
      </c>
      <c r="H19" s="50" t="s">
        <v>30</v>
      </c>
      <c r="I19" s="158">
        <v>30230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s="29" customFormat="1" ht="18" customHeight="1" x14ac:dyDescent="0.25">
      <c r="A20" s="44">
        <v>10</v>
      </c>
      <c r="B20" s="48">
        <v>46089</v>
      </c>
      <c r="C20" s="50" t="s">
        <v>755</v>
      </c>
      <c r="D20" s="50">
        <v>40</v>
      </c>
      <c r="E20" s="50" t="s">
        <v>20</v>
      </c>
      <c r="F20" s="46" t="s">
        <v>31</v>
      </c>
      <c r="G20" s="161">
        <v>385000</v>
      </c>
      <c r="H20" s="50" t="s">
        <v>30</v>
      </c>
      <c r="I20" s="158">
        <v>30230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s="29" customFormat="1" ht="18" customHeight="1" x14ac:dyDescent="0.25">
      <c r="A21" s="44">
        <v>11</v>
      </c>
      <c r="B21" s="54">
        <v>46089</v>
      </c>
      <c r="C21" s="53" t="s">
        <v>756</v>
      </c>
      <c r="D21" s="116">
        <v>20</v>
      </c>
      <c r="E21" s="77" t="s">
        <v>20</v>
      </c>
      <c r="F21" s="122" t="s">
        <v>31</v>
      </c>
      <c r="G21" s="162">
        <v>209000</v>
      </c>
      <c r="H21" s="53" t="s">
        <v>29</v>
      </c>
      <c r="I21" s="158">
        <v>30230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s="29" customFormat="1" ht="18" customHeight="1" x14ac:dyDescent="0.25">
      <c r="A22" s="44">
        <v>12</v>
      </c>
      <c r="B22" s="54">
        <v>46089</v>
      </c>
      <c r="C22" s="53" t="s">
        <v>757</v>
      </c>
      <c r="D22" s="116">
        <v>20</v>
      </c>
      <c r="E22" s="77" t="s">
        <v>20</v>
      </c>
      <c r="F22" s="122" t="s">
        <v>31</v>
      </c>
      <c r="G22" s="162">
        <v>209000</v>
      </c>
      <c r="H22" s="53" t="s">
        <v>29</v>
      </c>
      <c r="I22" s="158">
        <v>30230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s="29" customFormat="1" ht="18" customHeight="1" x14ac:dyDescent="0.25">
      <c r="A23" s="44">
        <v>13</v>
      </c>
      <c r="B23" s="54">
        <v>46089</v>
      </c>
      <c r="C23" s="53" t="s">
        <v>758</v>
      </c>
      <c r="D23" s="116">
        <v>40</v>
      </c>
      <c r="E23" s="77" t="s">
        <v>20</v>
      </c>
      <c r="F23" s="122" t="s">
        <v>31</v>
      </c>
      <c r="G23" s="161">
        <v>385000</v>
      </c>
      <c r="H23" s="53" t="s">
        <v>29</v>
      </c>
      <c r="I23" s="158">
        <v>30230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s="29" customFormat="1" ht="18" customHeight="1" x14ac:dyDescent="0.25">
      <c r="A24" s="44">
        <v>14</v>
      </c>
      <c r="B24" s="54">
        <v>46089</v>
      </c>
      <c r="C24" s="53" t="s">
        <v>759</v>
      </c>
      <c r="D24" s="116">
        <v>40</v>
      </c>
      <c r="E24" s="77" t="s">
        <v>20</v>
      </c>
      <c r="F24" s="122" t="s">
        <v>31</v>
      </c>
      <c r="G24" s="161">
        <v>385000</v>
      </c>
      <c r="H24" s="53" t="s">
        <v>29</v>
      </c>
      <c r="I24" s="158">
        <v>30230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s="29" customFormat="1" ht="18" customHeight="1" x14ac:dyDescent="0.25">
      <c r="A25" s="44">
        <v>15</v>
      </c>
      <c r="B25" s="54">
        <v>46089</v>
      </c>
      <c r="C25" s="53" t="s">
        <v>760</v>
      </c>
      <c r="D25" s="116">
        <v>40</v>
      </c>
      <c r="E25" s="77" t="s">
        <v>20</v>
      </c>
      <c r="F25" s="122" t="s">
        <v>31</v>
      </c>
      <c r="G25" s="161">
        <v>385000</v>
      </c>
      <c r="H25" s="53" t="s">
        <v>29</v>
      </c>
      <c r="I25" s="158">
        <v>30230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s="29" customFormat="1" ht="18" customHeight="1" x14ac:dyDescent="0.25">
      <c r="A26" s="44">
        <v>16</v>
      </c>
      <c r="B26" s="54">
        <v>46089</v>
      </c>
      <c r="C26" s="53" t="s">
        <v>761</v>
      </c>
      <c r="D26" s="116">
        <v>40</v>
      </c>
      <c r="E26" s="77" t="s">
        <v>20</v>
      </c>
      <c r="F26" s="122" t="s">
        <v>31</v>
      </c>
      <c r="G26" s="161">
        <v>385000</v>
      </c>
      <c r="H26" s="53" t="s">
        <v>29</v>
      </c>
      <c r="I26" s="158">
        <v>30230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s="29" customFormat="1" ht="18" customHeight="1" x14ac:dyDescent="0.25">
      <c r="A27" s="44">
        <v>17</v>
      </c>
      <c r="B27" s="54">
        <v>46089</v>
      </c>
      <c r="C27" s="53" t="s">
        <v>762</v>
      </c>
      <c r="D27" s="116">
        <v>40</v>
      </c>
      <c r="E27" s="77" t="s">
        <v>20</v>
      </c>
      <c r="F27" s="122" t="s">
        <v>31</v>
      </c>
      <c r="G27" s="161">
        <v>385000</v>
      </c>
      <c r="H27" s="53" t="s">
        <v>29</v>
      </c>
      <c r="I27" s="158">
        <v>30230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s="29" customFormat="1" ht="18" customHeight="1" x14ac:dyDescent="0.25">
      <c r="A28" s="44">
        <v>18</v>
      </c>
      <c r="B28" s="48">
        <v>46090</v>
      </c>
      <c r="C28" s="44" t="s">
        <v>763</v>
      </c>
      <c r="D28" s="116">
        <v>40</v>
      </c>
      <c r="E28" s="77" t="s">
        <v>20</v>
      </c>
      <c r="F28" s="90" t="s">
        <v>31</v>
      </c>
      <c r="G28" s="161">
        <v>385000</v>
      </c>
      <c r="H28" s="53" t="s">
        <v>267</v>
      </c>
      <c r="I28" s="158">
        <v>30230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s="29" customFormat="1" ht="18" customHeight="1" x14ac:dyDescent="0.25">
      <c r="A29" s="44">
        <v>19</v>
      </c>
      <c r="B29" s="48">
        <v>46090</v>
      </c>
      <c r="C29" s="44" t="s">
        <v>764</v>
      </c>
      <c r="D29" s="116">
        <v>40</v>
      </c>
      <c r="E29" s="77" t="s">
        <v>20</v>
      </c>
      <c r="F29" s="90" t="s">
        <v>31</v>
      </c>
      <c r="G29" s="161">
        <v>385000</v>
      </c>
      <c r="H29" s="53" t="s">
        <v>267</v>
      </c>
      <c r="I29" s="158">
        <v>30230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s="29" customFormat="1" ht="18" customHeight="1" x14ac:dyDescent="0.25">
      <c r="A30" s="44">
        <v>20</v>
      </c>
      <c r="B30" s="48">
        <v>46090</v>
      </c>
      <c r="C30" s="44" t="s">
        <v>765</v>
      </c>
      <c r="D30" s="116">
        <v>40</v>
      </c>
      <c r="E30" s="77" t="s">
        <v>20</v>
      </c>
      <c r="F30" s="90" t="s">
        <v>31</v>
      </c>
      <c r="G30" s="161">
        <v>385000</v>
      </c>
      <c r="H30" s="53" t="s">
        <v>267</v>
      </c>
      <c r="I30" s="158">
        <v>30230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s="29" customFormat="1" ht="18" customHeight="1" x14ac:dyDescent="0.25">
      <c r="A31" s="44">
        <v>21</v>
      </c>
      <c r="B31" s="48">
        <v>46090</v>
      </c>
      <c r="C31" s="44" t="s">
        <v>766</v>
      </c>
      <c r="D31" s="116">
        <v>40</v>
      </c>
      <c r="E31" s="77" t="s">
        <v>20</v>
      </c>
      <c r="F31" s="90" t="s">
        <v>31</v>
      </c>
      <c r="G31" s="161">
        <v>385000</v>
      </c>
      <c r="H31" s="53" t="s">
        <v>267</v>
      </c>
      <c r="I31" s="158">
        <v>30230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s="29" customFormat="1" ht="18" customHeight="1" x14ac:dyDescent="0.25">
      <c r="A32" s="44">
        <v>22</v>
      </c>
      <c r="B32" s="48">
        <v>46090</v>
      </c>
      <c r="C32" s="44" t="s">
        <v>767</v>
      </c>
      <c r="D32" s="116">
        <v>40</v>
      </c>
      <c r="E32" s="77" t="s">
        <v>20</v>
      </c>
      <c r="F32" s="90" t="s">
        <v>31</v>
      </c>
      <c r="G32" s="161">
        <v>385000</v>
      </c>
      <c r="H32" s="53" t="s">
        <v>267</v>
      </c>
      <c r="I32" s="158">
        <v>30230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s="29" customFormat="1" ht="18" customHeight="1" x14ac:dyDescent="0.25">
      <c r="A33" s="44">
        <v>23</v>
      </c>
      <c r="B33" s="48">
        <v>46090</v>
      </c>
      <c r="C33" s="44" t="s">
        <v>264</v>
      </c>
      <c r="D33" s="116">
        <v>40</v>
      </c>
      <c r="E33" s="77" t="s">
        <v>20</v>
      </c>
      <c r="F33" s="90" t="s">
        <v>31</v>
      </c>
      <c r="G33" s="161">
        <v>385000</v>
      </c>
      <c r="H33" s="53" t="s">
        <v>267</v>
      </c>
      <c r="I33" s="158">
        <v>30230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s="29" customFormat="1" ht="18" customHeight="1" x14ac:dyDescent="0.25">
      <c r="A34" s="44">
        <v>24</v>
      </c>
      <c r="B34" s="48">
        <v>46090</v>
      </c>
      <c r="C34" s="44" t="s">
        <v>768</v>
      </c>
      <c r="D34" s="116">
        <v>40</v>
      </c>
      <c r="E34" s="77" t="s">
        <v>20</v>
      </c>
      <c r="F34" s="90" t="s">
        <v>31</v>
      </c>
      <c r="G34" s="161">
        <v>385000</v>
      </c>
      <c r="H34" s="53" t="s">
        <v>267</v>
      </c>
      <c r="I34" s="158">
        <v>30230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s="29" customFormat="1" ht="18" customHeight="1" x14ac:dyDescent="0.25">
      <c r="A35" s="44">
        <v>25</v>
      </c>
      <c r="B35" s="54">
        <v>46089</v>
      </c>
      <c r="C35" s="53" t="s">
        <v>769</v>
      </c>
      <c r="D35" s="53">
        <v>40</v>
      </c>
      <c r="E35" s="77" t="s">
        <v>20</v>
      </c>
      <c r="F35" s="53" t="s">
        <v>31</v>
      </c>
      <c r="G35" s="161">
        <v>385000</v>
      </c>
      <c r="H35" s="53" t="s">
        <v>25</v>
      </c>
      <c r="I35" s="158">
        <v>30230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s="29" customFormat="1" ht="18" customHeight="1" x14ac:dyDescent="0.25">
      <c r="A36" s="44">
        <v>26</v>
      </c>
      <c r="B36" s="54">
        <v>46089</v>
      </c>
      <c r="C36" s="53" t="s">
        <v>770</v>
      </c>
      <c r="D36" s="53">
        <v>20</v>
      </c>
      <c r="E36" s="77" t="s">
        <v>20</v>
      </c>
      <c r="F36" s="53" t="s">
        <v>31</v>
      </c>
      <c r="G36" s="162">
        <v>209000</v>
      </c>
      <c r="H36" s="53" t="s">
        <v>25</v>
      </c>
      <c r="I36" s="158">
        <v>30230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s="29" customFormat="1" ht="18" customHeight="1" x14ac:dyDescent="0.25">
      <c r="A37" s="44">
        <v>27</v>
      </c>
      <c r="B37" s="54">
        <v>46089</v>
      </c>
      <c r="C37" s="53" t="s">
        <v>771</v>
      </c>
      <c r="D37" s="53">
        <v>20</v>
      </c>
      <c r="E37" s="77" t="s">
        <v>20</v>
      </c>
      <c r="F37" s="53" t="s">
        <v>31</v>
      </c>
      <c r="G37" s="162">
        <v>209000</v>
      </c>
      <c r="H37" s="53" t="s">
        <v>25</v>
      </c>
      <c r="I37" s="158">
        <v>30230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s="29" customFormat="1" ht="18" customHeight="1" x14ac:dyDescent="0.25">
      <c r="A38" s="44">
        <v>28</v>
      </c>
      <c r="B38" s="54">
        <v>46089</v>
      </c>
      <c r="C38" s="53" t="s">
        <v>772</v>
      </c>
      <c r="D38" s="53">
        <v>40</v>
      </c>
      <c r="E38" s="77" t="s">
        <v>20</v>
      </c>
      <c r="F38" s="53" t="s">
        <v>31</v>
      </c>
      <c r="G38" s="161">
        <v>385000</v>
      </c>
      <c r="H38" s="53" t="s">
        <v>25</v>
      </c>
      <c r="I38" s="158">
        <v>30230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s="29" customFormat="1" ht="18" customHeight="1" x14ac:dyDescent="0.25">
      <c r="A39" s="44">
        <v>29</v>
      </c>
      <c r="B39" s="54">
        <v>46089</v>
      </c>
      <c r="C39" s="53" t="s">
        <v>773</v>
      </c>
      <c r="D39" s="53">
        <v>40</v>
      </c>
      <c r="E39" s="77" t="s">
        <v>20</v>
      </c>
      <c r="F39" s="53" t="s">
        <v>31</v>
      </c>
      <c r="G39" s="161">
        <v>385000</v>
      </c>
      <c r="H39" s="53" t="s">
        <v>25</v>
      </c>
      <c r="I39" s="158">
        <v>30230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s="29" customFormat="1" ht="18" customHeight="1" x14ac:dyDescent="0.25">
      <c r="A40" s="44">
        <v>30</v>
      </c>
      <c r="B40" s="54">
        <v>46090</v>
      </c>
      <c r="C40" s="53" t="s">
        <v>774</v>
      </c>
      <c r="D40" s="53">
        <v>40</v>
      </c>
      <c r="E40" s="77" t="s">
        <v>20</v>
      </c>
      <c r="F40" s="53" t="s">
        <v>31</v>
      </c>
      <c r="G40" s="161">
        <v>385000</v>
      </c>
      <c r="H40" s="53" t="s">
        <v>25</v>
      </c>
      <c r="I40" s="158">
        <v>30230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s="29" customFormat="1" ht="18" customHeight="1" x14ac:dyDescent="0.25">
      <c r="A41" s="44">
        <v>31</v>
      </c>
      <c r="B41" s="54">
        <v>46090</v>
      </c>
      <c r="C41" s="53" t="s">
        <v>775</v>
      </c>
      <c r="D41" s="53">
        <v>40</v>
      </c>
      <c r="E41" s="77" t="s">
        <v>20</v>
      </c>
      <c r="F41" s="53" t="s">
        <v>31</v>
      </c>
      <c r="G41" s="161">
        <v>385000</v>
      </c>
      <c r="H41" s="53" t="s">
        <v>25</v>
      </c>
      <c r="I41" s="158">
        <v>30230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s="29" customFormat="1" ht="18" customHeight="1" x14ac:dyDescent="0.25">
      <c r="A42" s="44">
        <v>32</v>
      </c>
      <c r="B42" s="54">
        <v>46090</v>
      </c>
      <c r="C42" s="53" t="s">
        <v>776</v>
      </c>
      <c r="D42" s="53">
        <v>40</v>
      </c>
      <c r="E42" s="77" t="s">
        <v>20</v>
      </c>
      <c r="F42" s="53" t="s">
        <v>31</v>
      </c>
      <c r="G42" s="161">
        <v>385000</v>
      </c>
      <c r="H42" s="53" t="s">
        <v>25</v>
      </c>
      <c r="I42" s="158">
        <v>30230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s="29" customFormat="1" ht="18" customHeight="1" x14ac:dyDescent="0.25">
      <c r="A43" s="44">
        <v>33</v>
      </c>
      <c r="B43" s="54">
        <v>46090</v>
      </c>
      <c r="C43" s="53" t="s">
        <v>777</v>
      </c>
      <c r="D43" s="53">
        <v>40</v>
      </c>
      <c r="E43" s="77" t="s">
        <v>20</v>
      </c>
      <c r="F43" s="53" t="s">
        <v>31</v>
      </c>
      <c r="G43" s="161">
        <v>385000</v>
      </c>
      <c r="H43" s="53" t="s">
        <v>25</v>
      </c>
      <c r="I43" s="158">
        <v>30230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s="29" customFormat="1" ht="18" customHeight="1" x14ac:dyDescent="0.25">
      <c r="A44" s="44">
        <v>34</v>
      </c>
      <c r="B44" s="54">
        <v>46090</v>
      </c>
      <c r="C44" s="53" t="s">
        <v>778</v>
      </c>
      <c r="D44" s="53">
        <v>40</v>
      </c>
      <c r="E44" s="77" t="s">
        <v>20</v>
      </c>
      <c r="F44" s="53" t="s">
        <v>31</v>
      </c>
      <c r="G44" s="161">
        <v>385000</v>
      </c>
      <c r="H44" s="53" t="s">
        <v>25</v>
      </c>
      <c r="I44" s="158">
        <v>30230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s="29" customFormat="1" ht="18" customHeight="1" x14ac:dyDescent="0.25">
      <c r="A45" s="44">
        <v>35</v>
      </c>
      <c r="B45" s="54">
        <v>46090</v>
      </c>
      <c r="C45" s="53" t="s">
        <v>779</v>
      </c>
      <c r="D45" s="53">
        <v>40</v>
      </c>
      <c r="E45" s="77" t="s">
        <v>20</v>
      </c>
      <c r="F45" s="53" t="s">
        <v>31</v>
      </c>
      <c r="G45" s="161">
        <v>385000</v>
      </c>
      <c r="H45" s="53" t="s">
        <v>25</v>
      </c>
      <c r="I45" s="158">
        <v>30230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s="29" customFormat="1" ht="18" customHeight="1" x14ac:dyDescent="0.25">
      <c r="A46" s="44">
        <v>36</v>
      </c>
      <c r="B46" s="54">
        <v>46090</v>
      </c>
      <c r="C46" s="53" t="s">
        <v>780</v>
      </c>
      <c r="D46" s="53">
        <v>40</v>
      </c>
      <c r="E46" s="77" t="s">
        <v>20</v>
      </c>
      <c r="F46" s="53" t="s">
        <v>31</v>
      </c>
      <c r="G46" s="161">
        <v>385000</v>
      </c>
      <c r="H46" s="53" t="s">
        <v>25</v>
      </c>
      <c r="I46" s="158">
        <v>30230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s="29" customFormat="1" ht="18" customHeight="1" x14ac:dyDescent="0.25">
      <c r="A47" s="44">
        <v>37</v>
      </c>
      <c r="B47" s="54">
        <v>46090</v>
      </c>
      <c r="C47" s="53" t="s">
        <v>781</v>
      </c>
      <c r="D47" s="53">
        <v>40</v>
      </c>
      <c r="E47" s="77" t="s">
        <v>20</v>
      </c>
      <c r="F47" s="53" t="s">
        <v>31</v>
      </c>
      <c r="G47" s="161">
        <v>385000</v>
      </c>
      <c r="H47" s="53" t="s">
        <v>25</v>
      </c>
      <c r="I47" s="158">
        <v>30230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s="29" customFormat="1" ht="18" customHeight="1" x14ac:dyDescent="0.25">
      <c r="A48" s="44">
        <v>38</v>
      </c>
      <c r="B48" s="54">
        <v>46090</v>
      </c>
      <c r="C48" s="53" t="s">
        <v>782</v>
      </c>
      <c r="D48" s="53">
        <v>40</v>
      </c>
      <c r="E48" s="77" t="s">
        <v>20</v>
      </c>
      <c r="F48" s="53" t="s">
        <v>31</v>
      </c>
      <c r="G48" s="161">
        <v>385000</v>
      </c>
      <c r="H48" s="53" t="s">
        <v>25</v>
      </c>
      <c r="I48" s="158">
        <v>30230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s="29" customFormat="1" ht="18" customHeight="1" x14ac:dyDescent="0.25">
      <c r="A49" s="44">
        <v>39</v>
      </c>
      <c r="B49" s="54" t="s">
        <v>783</v>
      </c>
      <c r="C49" s="44" t="s">
        <v>784</v>
      </c>
      <c r="D49" s="122">
        <v>20</v>
      </c>
      <c r="E49" s="77" t="s">
        <v>20</v>
      </c>
      <c r="F49" s="53" t="s">
        <v>31</v>
      </c>
      <c r="G49" s="160">
        <v>175000</v>
      </c>
      <c r="H49" s="53" t="s">
        <v>36</v>
      </c>
      <c r="I49" s="158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s="29" customFormat="1" ht="18" customHeight="1" x14ac:dyDescent="0.25">
      <c r="A50" s="44">
        <v>40</v>
      </c>
      <c r="B50" s="54" t="s">
        <v>783</v>
      </c>
      <c r="C50" s="44" t="s">
        <v>785</v>
      </c>
      <c r="D50" s="122">
        <v>20</v>
      </c>
      <c r="E50" s="77" t="s">
        <v>20</v>
      </c>
      <c r="F50" s="53" t="s">
        <v>31</v>
      </c>
      <c r="G50" s="160">
        <v>175000</v>
      </c>
      <c r="H50" s="53" t="s">
        <v>36</v>
      </c>
      <c r="I50" s="158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s="29" customFormat="1" ht="18" customHeight="1" x14ac:dyDescent="0.25">
      <c r="A51" s="44">
        <v>41</v>
      </c>
      <c r="B51" s="54" t="s">
        <v>783</v>
      </c>
      <c r="C51" s="44" t="s">
        <v>786</v>
      </c>
      <c r="D51" s="122">
        <v>20</v>
      </c>
      <c r="E51" s="77" t="s">
        <v>20</v>
      </c>
      <c r="F51" s="53" t="s">
        <v>31</v>
      </c>
      <c r="G51" s="160">
        <v>175000</v>
      </c>
      <c r="H51" s="53" t="s">
        <v>36</v>
      </c>
      <c r="I51" s="158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s="29" customFormat="1" ht="18" customHeight="1" x14ac:dyDescent="0.25">
      <c r="A52" s="44">
        <v>42</v>
      </c>
      <c r="B52" s="54" t="s">
        <v>783</v>
      </c>
      <c r="C52" s="44" t="s">
        <v>787</v>
      </c>
      <c r="D52" s="122">
        <v>40</v>
      </c>
      <c r="E52" s="77" t="s">
        <v>20</v>
      </c>
      <c r="F52" s="53" t="s">
        <v>31</v>
      </c>
      <c r="G52" s="160">
        <v>330000</v>
      </c>
      <c r="H52" s="53" t="s">
        <v>36</v>
      </c>
      <c r="I52" s="158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1:21" s="29" customFormat="1" ht="18" customHeight="1" x14ac:dyDescent="0.25">
      <c r="A53" s="44">
        <v>43</v>
      </c>
      <c r="B53" s="54" t="s">
        <v>783</v>
      </c>
      <c r="C53" s="44" t="s">
        <v>788</v>
      </c>
      <c r="D53" s="122">
        <v>20</v>
      </c>
      <c r="E53" s="77" t="s">
        <v>20</v>
      </c>
      <c r="F53" s="53" t="s">
        <v>31</v>
      </c>
      <c r="G53" s="160">
        <v>175000</v>
      </c>
      <c r="H53" s="53" t="s">
        <v>36</v>
      </c>
      <c r="I53" s="158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1:21" s="29" customFormat="1" ht="18" customHeight="1" x14ac:dyDescent="0.25">
      <c r="A54" s="44">
        <v>44</v>
      </c>
      <c r="B54" s="54" t="s">
        <v>783</v>
      </c>
      <c r="C54" s="44" t="s">
        <v>789</v>
      </c>
      <c r="D54" s="122">
        <v>40</v>
      </c>
      <c r="E54" s="77" t="s">
        <v>20</v>
      </c>
      <c r="F54" s="53" t="s">
        <v>31</v>
      </c>
      <c r="G54" s="160">
        <v>330000</v>
      </c>
      <c r="H54" s="53" t="s">
        <v>36</v>
      </c>
      <c r="I54" s="158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1" s="29" customFormat="1" ht="18" customHeight="1" x14ac:dyDescent="0.25">
      <c r="A55" s="44">
        <v>45</v>
      </c>
      <c r="B55" s="54" t="s">
        <v>783</v>
      </c>
      <c r="C55" s="44" t="s">
        <v>790</v>
      </c>
      <c r="D55" s="122">
        <v>40</v>
      </c>
      <c r="E55" s="77" t="s">
        <v>20</v>
      </c>
      <c r="F55" s="53" t="s">
        <v>31</v>
      </c>
      <c r="G55" s="160">
        <v>330000</v>
      </c>
      <c r="H55" s="53" t="s">
        <v>36</v>
      </c>
      <c r="I55" s="158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s="29" customFormat="1" ht="18" customHeight="1" x14ac:dyDescent="0.25">
      <c r="A56" s="44">
        <v>46</v>
      </c>
      <c r="B56" s="54" t="s">
        <v>783</v>
      </c>
      <c r="C56" s="44" t="s">
        <v>791</v>
      </c>
      <c r="D56" s="122">
        <v>40</v>
      </c>
      <c r="E56" s="77" t="s">
        <v>20</v>
      </c>
      <c r="F56" s="53" t="s">
        <v>31</v>
      </c>
      <c r="G56" s="160">
        <v>330000</v>
      </c>
      <c r="H56" s="53" t="s">
        <v>36</v>
      </c>
      <c r="I56" s="158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1:21" s="29" customFormat="1" ht="18" customHeight="1" x14ac:dyDescent="0.25">
      <c r="A57" s="44">
        <v>47</v>
      </c>
      <c r="B57" s="54" t="s">
        <v>783</v>
      </c>
      <c r="C57" s="44" t="s">
        <v>792</v>
      </c>
      <c r="D57" s="122">
        <v>40</v>
      </c>
      <c r="E57" s="77" t="s">
        <v>20</v>
      </c>
      <c r="F57" s="53" t="s">
        <v>31</v>
      </c>
      <c r="G57" s="160">
        <v>330000</v>
      </c>
      <c r="H57" s="53" t="s">
        <v>36</v>
      </c>
      <c r="I57" s="158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spans="1:21" s="29" customFormat="1" ht="18" customHeight="1" x14ac:dyDescent="0.25">
      <c r="A58" s="44">
        <v>48</v>
      </c>
      <c r="B58" s="54">
        <v>46062</v>
      </c>
      <c r="C58" s="44" t="s">
        <v>793</v>
      </c>
      <c r="D58" s="122">
        <v>20</v>
      </c>
      <c r="E58" s="77" t="s">
        <v>20</v>
      </c>
      <c r="F58" s="53" t="s">
        <v>31</v>
      </c>
      <c r="G58" s="160">
        <v>175000</v>
      </c>
      <c r="H58" s="53" t="s">
        <v>36</v>
      </c>
      <c r="I58" s="158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1:21" s="29" customFormat="1" ht="18" customHeight="1" x14ac:dyDescent="0.25">
      <c r="A59" s="44">
        <v>49</v>
      </c>
      <c r="B59" s="54">
        <v>46062</v>
      </c>
      <c r="C59" s="44" t="s">
        <v>794</v>
      </c>
      <c r="D59" s="122">
        <v>20</v>
      </c>
      <c r="E59" s="77" t="s">
        <v>20</v>
      </c>
      <c r="F59" s="53" t="s">
        <v>31</v>
      </c>
      <c r="G59" s="160">
        <v>175000</v>
      </c>
      <c r="H59" s="53" t="s">
        <v>36</v>
      </c>
      <c r="I59" s="158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spans="1:21" s="29" customFormat="1" ht="18" customHeight="1" x14ac:dyDescent="0.25">
      <c r="A60" s="44">
        <v>50</v>
      </c>
      <c r="B60" s="54">
        <v>46062</v>
      </c>
      <c r="C60" s="44" t="s">
        <v>795</v>
      </c>
      <c r="D60" s="122">
        <v>20</v>
      </c>
      <c r="E60" s="77" t="s">
        <v>20</v>
      </c>
      <c r="F60" s="53" t="s">
        <v>31</v>
      </c>
      <c r="G60" s="160">
        <v>175000</v>
      </c>
      <c r="H60" s="53" t="s">
        <v>36</v>
      </c>
      <c r="I60" s="158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spans="1:21" s="29" customFormat="1" ht="18" customHeight="1" x14ac:dyDescent="0.25">
      <c r="A61" s="44">
        <v>51</v>
      </c>
      <c r="B61" s="54">
        <v>46062</v>
      </c>
      <c r="C61" s="44" t="s">
        <v>796</v>
      </c>
      <c r="D61" s="122">
        <v>20</v>
      </c>
      <c r="E61" s="77" t="s">
        <v>20</v>
      </c>
      <c r="F61" s="53" t="s">
        <v>31</v>
      </c>
      <c r="G61" s="160">
        <v>175000</v>
      </c>
      <c r="H61" s="53" t="s">
        <v>36</v>
      </c>
      <c r="I61" s="158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spans="1:21" s="29" customFormat="1" ht="18" customHeight="1" x14ac:dyDescent="0.25">
      <c r="A62" s="44">
        <v>52</v>
      </c>
      <c r="B62" s="54">
        <v>46062</v>
      </c>
      <c r="C62" s="44" t="s">
        <v>797</v>
      </c>
      <c r="D62" s="122">
        <v>20</v>
      </c>
      <c r="E62" s="77" t="s">
        <v>20</v>
      </c>
      <c r="F62" s="53" t="s">
        <v>31</v>
      </c>
      <c r="G62" s="160">
        <v>175000</v>
      </c>
      <c r="H62" s="53" t="s">
        <v>36</v>
      </c>
      <c r="I62" s="158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spans="1:21" s="29" customFormat="1" ht="18" customHeight="1" x14ac:dyDescent="0.25">
      <c r="A63" s="44">
        <v>53</v>
      </c>
      <c r="B63" s="54">
        <v>46062</v>
      </c>
      <c r="C63" s="44" t="s">
        <v>798</v>
      </c>
      <c r="D63" s="122">
        <v>20</v>
      </c>
      <c r="E63" s="77" t="s">
        <v>20</v>
      </c>
      <c r="F63" s="53" t="s">
        <v>31</v>
      </c>
      <c r="G63" s="160">
        <v>175000</v>
      </c>
      <c r="H63" s="53" t="s">
        <v>36</v>
      </c>
      <c r="I63" s="158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spans="1:21" s="29" customFormat="1" ht="18" customHeight="1" x14ac:dyDescent="0.25">
      <c r="A64" s="44">
        <v>54</v>
      </c>
      <c r="B64" s="54">
        <v>46099</v>
      </c>
      <c r="C64" s="41" t="s">
        <v>799</v>
      </c>
      <c r="D64" s="154">
        <v>40</v>
      </c>
      <c r="E64" s="155" t="s">
        <v>20</v>
      </c>
      <c r="F64" s="53" t="s">
        <v>31</v>
      </c>
      <c r="G64" s="119">
        <v>365000</v>
      </c>
      <c r="H64" s="53" t="s">
        <v>16</v>
      </c>
      <c r="I64" s="158">
        <v>27020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1:21" s="29" customFormat="1" ht="18" customHeight="1" x14ac:dyDescent="0.25">
      <c r="A65" s="44">
        <v>55</v>
      </c>
      <c r="B65" s="54">
        <v>46099</v>
      </c>
      <c r="C65" s="156" t="s">
        <v>800</v>
      </c>
      <c r="D65" s="154">
        <v>40</v>
      </c>
      <c r="E65" s="155" t="s">
        <v>20</v>
      </c>
      <c r="F65" s="53" t="s">
        <v>31</v>
      </c>
      <c r="G65" s="119">
        <v>365000</v>
      </c>
      <c r="H65" s="53" t="s">
        <v>16</v>
      </c>
      <c r="I65" s="158">
        <v>27020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spans="1:21" s="29" customFormat="1" ht="18" customHeight="1" x14ac:dyDescent="0.25">
      <c r="A66" s="44">
        <v>56</v>
      </c>
      <c r="B66" s="54">
        <v>46100</v>
      </c>
      <c r="C66" s="41" t="s">
        <v>801</v>
      </c>
      <c r="D66" s="154">
        <v>40</v>
      </c>
      <c r="E66" s="53" t="s">
        <v>20</v>
      </c>
      <c r="F66" s="53" t="s">
        <v>31</v>
      </c>
      <c r="G66" s="119">
        <v>365000</v>
      </c>
      <c r="H66" s="53" t="s">
        <v>16</v>
      </c>
      <c r="I66" s="158">
        <v>27020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spans="1:21" s="29" customFormat="1" ht="18" customHeight="1" x14ac:dyDescent="0.25">
      <c r="A67" s="44">
        <v>57</v>
      </c>
      <c r="B67" s="54">
        <v>46099</v>
      </c>
      <c r="C67" s="41" t="s">
        <v>802</v>
      </c>
      <c r="D67" s="53">
        <v>40</v>
      </c>
      <c r="E67" s="53" t="s">
        <v>20</v>
      </c>
      <c r="F67" s="53" t="s">
        <v>31</v>
      </c>
      <c r="G67" s="119">
        <v>365000</v>
      </c>
      <c r="H67" s="53" t="s">
        <v>30</v>
      </c>
      <c r="I67" s="158">
        <v>27020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spans="1:21" s="29" customFormat="1" ht="18" customHeight="1" x14ac:dyDescent="0.25">
      <c r="A68" s="44">
        <v>58</v>
      </c>
      <c r="B68" s="54">
        <v>46099</v>
      </c>
      <c r="C68" s="41" t="s">
        <v>803</v>
      </c>
      <c r="D68" s="53">
        <v>40</v>
      </c>
      <c r="E68" s="53" t="s">
        <v>20</v>
      </c>
      <c r="F68" s="53" t="s">
        <v>31</v>
      </c>
      <c r="G68" s="119">
        <v>365000</v>
      </c>
      <c r="H68" s="53" t="s">
        <v>30</v>
      </c>
      <c r="I68" s="158">
        <v>27020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spans="1:21" s="29" customFormat="1" ht="18" customHeight="1" x14ac:dyDescent="0.25">
      <c r="A69" s="44">
        <v>59</v>
      </c>
      <c r="B69" s="54">
        <v>46099</v>
      </c>
      <c r="C69" s="41" t="s">
        <v>804</v>
      </c>
      <c r="D69" s="53">
        <v>40</v>
      </c>
      <c r="E69" s="53" t="s">
        <v>20</v>
      </c>
      <c r="F69" s="53" t="s">
        <v>31</v>
      </c>
      <c r="G69" s="119">
        <v>365000</v>
      </c>
      <c r="H69" s="53" t="s">
        <v>30</v>
      </c>
      <c r="I69" s="158">
        <v>27020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spans="1:21" s="29" customFormat="1" ht="18" customHeight="1" x14ac:dyDescent="0.25">
      <c r="A70" s="44">
        <v>60</v>
      </c>
      <c r="B70" s="54">
        <v>46099</v>
      </c>
      <c r="C70" s="41" t="s">
        <v>805</v>
      </c>
      <c r="D70" s="53">
        <v>40</v>
      </c>
      <c r="E70" s="53" t="s">
        <v>20</v>
      </c>
      <c r="F70" s="53" t="s">
        <v>31</v>
      </c>
      <c r="G70" s="119">
        <v>365000</v>
      </c>
      <c r="H70" s="53" t="s">
        <v>30</v>
      </c>
      <c r="I70" s="158">
        <v>27020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spans="1:21" s="29" customFormat="1" ht="18" customHeight="1" x14ac:dyDescent="0.25">
      <c r="A71" s="44">
        <v>61</v>
      </c>
      <c r="B71" s="54">
        <v>46100</v>
      </c>
      <c r="C71" s="41" t="s">
        <v>806</v>
      </c>
      <c r="D71" s="53">
        <v>40</v>
      </c>
      <c r="E71" s="53" t="s">
        <v>20</v>
      </c>
      <c r="F71" s="53" t="s">
        <v>31</v>
      </c>
      <c r="G71" s="119">
        <v>365000</v>
      </c>
      <c r="H71" s="53" t="s">
        <v>30</v>
      </c>
      <c r="I71" s="158">
        <v>27020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spans="1:21" s="29" customFormat="1" ht="18" customHeight="1" x14ac:dyDescent="0.25">
      <c r="A72" s="44">
        <v>62</v>
      </c>
      <c r="B72" s="54">
        <v>46100</v>
      </c>
      <c r="C72" s="41" t="s">
        <v>807</v>
      </c>
      <c r="D72" s="53">
        <v>40</v>
      </c>
      <c r="E72" s="53" t="s">
        <v>20</v>
      </c>
      <c r="F72" s="53" t="s">
        <v>31</v>
      </c>
      <c r="G72" s="119">
        <v>365000</v>
      </c>
      <c r="H72" s="53" t="s">
        <v>30</v>
      </c>
      <c r="I72" s="158">
        <v>27020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spans="1:21" s="29" customFormat="1" ht="18" customHeight="1" x14ac:dyDescent="0.25">
      <c r="A73" s="44">
        <v>63</v>
      </c>
      <c r="B73" s="54">
        <v>46100</v>
      </c>
      <c r="C73" s="41" t="s">
        <v>808</v>
      </c>
      <c r="D73" s="53">
        <v>40</v>
      </c>
      <c r="E73" s="53" t="s">
        <v>20</v>
      </c>
      <c r="F73" s="53" t="s">
        <v>31</v>
      </c>
      <c r="G73" s="119">
        <v>365000</v>
      </c>
      <c r="H73" s="53" t="s">
        <v>30</v>
      </c>
      <c r="I73" s="158">
        <v>27020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spans="1:21" s="29" customFormat="1" ht="18" customHeight="1" x14ac:dyDescent="0.25">
      <c r="A74" s="44">
        <v>64</v>
      </c>
      <c r="B74" s="54">
        <v>46100</v>
      </c>
      <c r="C74" s="41" t="s">
        <v>809</v>
      </c>
      <c r="D74" s="53">
        <v>40</v>
      </c>
      <c r="E74" s="53" t="s">
        <v>20</v>
      </c>
      <c r="F74" s="53" t="s">
        <v>31</v>
      </c>
      <c r="G74" s="119">
        <v>365000</v>
      </c>
      <c r="H74" s="53" t="s">
        <v>30</v>
      </c>
      <c r="I74" s="158">
        <v>27020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spans="1:21" s="29" customFormat="1" ht="18" customHeight="1" x14ac:dyDescent="0.25">
      <c r="A75" s="44">
        <v>65</v>
      </c>
      <c r="B75" s="54">
        <v>46099</v>
      </c>
      <c r="C75" s="41" t="s">
        <v>810</v>
      </c>
      <c r="D75" s="53">
        <v>40</v>
      </c>
      <c r="E75" s="53" t="s">
        <v>20</v>
      </c>
      <c r="F75" s="53" t="s">
        <v>31</v>
      </c>
      <c r="G75" s="119">
        <v>365000</v>
      </c>
      <c r="H75" s="53" t="s">
        <v>28</v>
      </c>
      <c r="I75" s="158">
        <v>27020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spans="1:21" s="29" customFormat="1" ht="18" customHeight="1" x14ac:dyDescent="0.25">
      <c r="A76" s="44">
        <v>66</v>
      </c>
      <c r="B76" s="54">
        <v>46099</v>
      </c>
      <c r="C76" s="41" t="s">
        <v>811</v>
      </c>
      <c r="D76" s="53">
        <v>40</v>
      </c>
      <c r="E76" s="53" t="s">
        <v>20</v>
      </c>
      <c r="F76" s="53" t="s">
        <v>31</v>
      </c>
      <c r="G76" s="119">
        <v>365000</v>
      </c>
      <c r="H76" s="53" t="s">
        <v>28</v>
      </c>
      <c r="I76" s="158">
        <v>27020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spans="1:21" s="29" customFormat="1" ht="18" customHeight="1" x14ac:dyDescent="0.25">
      <c r="A77" s="44">
        <v>67</v>
      </c>
      <c r="B77" s="54">
        <v>46099</v>
      </c>
      <c r="C77" s="41" t="s">
        <v>812</v>
      </c>
      <c r="D77" s="53">
        <v>40</v>
      </c>
      <c r="E77" s="53" t="s">
        <v>20</v>
      </c>
      <c r="F77" s="53" t="s">
        <v>31</v>
      </c>
      <c r="G77" s="119">
        <v>365000</v>
      </c>
      <c r="H77" s="53" t="s">
        <v>28</v>
      </c>
      <c r="I77" s="158">
        <v>27020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spans="1:21" s="29" customFormat="1" ht="18" customHeight="1" x14ac:dyDescent="0.25">
      <c r="A78" s="44">
        <v>68</v>
      </c>
      <c r="B78" s="54">
        <v>46099</v>
      </c>
      <c r="C78" s="41" t="s">
        <v>813</v>
      </c>
      <c r="D78" s="53">
        <v>40</v>
      </c>
      <c r="E78" s="53" t="s">
        <v>20</v>
      </c>
      <c r="F78" s="53" t="s">
        <v>31</v>
      </c>
      <c r="G78" s="119">
        <v>365000</v>
      </c>
      <c r="H78" s="53" t="s">
        <v>29</v>
      </c>
      <c r="I78" s="158">
        <v>27020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spans="1:21" s="29" customFormat="1" ht="18" customHeight="1" x14ac:dyDescent="0.25">
      <c r="A79" s="44">
        <v>69</v>
      </c>
      <c r="B79" s="54">
        <v>46099</v>
      </c>
      <c r="C79" s="129" t="s">
        <v>814</v>
      </c>
      <c r="D79" s="53">
        <v>40</v>
      </c>
      <c r="E79" s="53" t="s">
        <v>20</v>
      </c>
      <c r="F79" s="53" t="s">
        <v>31</v>
      </c>
      <c r="G79" s="119">
        <v>365000</v>
      </c>
      <c r="H79" s="53" t="s">
        <v>25</v>
      </c>
      <c r="I79" s="158">
        <v>27020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spans="1:21" s="29" customFormat="1" ht="18" customHeight="1" x14ac:dyDescent="0.25">
      <c r="A80" s="44">
        <v>70</v>
      </c>
      <c r="B80" s="54">
        <v>46099</v>
      </c>
      <c r="C80" s="129" t="s">
        <v>815</v>
      </c>
      <c r="D80" s="53">
        <v>40</v>
      </c>
      <c r="E80" s="53" t="s">
        <v>20</v>
      </c>
      <c r="F80" s="53" t="s">
        <v>31</v>
      </c>
      <c r="G80" s="119">
        <v>365000</v>
      </c>
      <c r="H80" s="53" t="s">
        <v>25</v>
      </c>
      <c r="I80" s="158">
        <v>27020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spans="1:21" s="29" customFormat="1" ht="18" customHeight="1" x14ac:dyDescent="0.25">
      <c r="A81" s="44">
        <v>71</v>
      </c>
      <c r="B81" s="54">
        <v>46099</v>
      </c>
      <c r="C81" s="129" t="s">
        <v>816</v>
      </c>
      <c r="D81" s="53">
        <v>40</v>
      </c>
      <c r="E81" s="53" t="s">
        <v>20</v>
      </c>
      <c r="F81" s="53" t="s">
        <v>31</v>
      </c>
      <c r="G81" s="119">
        <v>365000</v>
      </c>
      <c r="H81" s="53" t="s">
        <v>25</v>
      </c>
      <c r="I81" s="158">
        <v>27020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spans="1:21" s="29" customFormat="1" ht="18" customHeight="1" x14ac:dyDescent="0.25">
      <c r="A82" s="44">
        <v>72</v>
      </c>
      <c r="B82" s="54">
        <v>46099</v>
      </c>
      <c r="C82" s="129" t="s">
        <v>817</v>
      </c>
      <c r="D82" s="53">
        <v>40</v>
      </c>
      <c r="E82" s="53" t="s">
        <v>20</v>
      </c>
      <c r="F82" s="53" t="s">
        <v>31</v>
      </c>
      <c r="G82" s="119">
        <v>365000</v>
      </c>
      <c r="H82" s="53" t="s">
        <v>25</v>
      </c>
      <c r="I82" s="158">
        <v>27020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spans="1:21" s="29" customFormat="1" ht="18" customHeight="1" x14ac:dyDescent="0.25">
      <c r="A83" s="44">
        <v>73</v>
      </c>
      <c r="B83" s="48">
        <v>46105</v>
      </c>
      <c r="C83" s="157" t="s">
        <v>818</v>
      </c>
      <c r="D83" s="121">
        <v>20</v>
      </c>
      <c r="E83" s="121" t="s">
        <v>20</v>
      </c>
      <c r="F83" s="122" t="s">
        <v>31</v>
      </c>
      <c r="G83" s="119">
        <v>209000</v>
      </c>
      <c r="H83" s="41" t="s">
        <v>22</v>
      </c>
      <c r="I83" s="158">
        <v>33420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spans="1:21" s="29" customFormat="1" ht="18" customHeight="1" x14ac:dyDescent="0.25">
      <c r="A84" s="44">
        <v>74</v>
      </c>
      <c r="B84" s="48">
        <v>46105</v>
      </c>
      <c r="C84" s="157" t="s">
        <v>819</v>
      </c>
      <c r="D84" s="121">
        <v>20</v>
      </c>
      <c r="E84" s="121" t="s">
        <v>20</v>
      </c>
      <c r="F84" s="122" t="s">
        <v>31</v>
      </c>
      <c r="G84" s="119">
        <v>209000</v>
      </c>
      <c r="H84" s="41" t="s">
        <v>22</v>
      </c>
      <c r="I84" s="158">
        <v>33420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spans="1:21" s="29" customFormat="1" ht="18" customHeight="1" x14ac:dyDescent="0.25">
      <c r="A85" s="44">
        <v>75</v>
      </c>
      <c r="B85" s="48">
        <v>46105</v>
      </c>
      <c r="C85" s="157" t="s">
        <v>820</v>
      </c>
      <c r="D85" s="121">
        <v>40</v>
      </c>
      <c r="E85" s="121" t="s">
        <v>20</v>
      </c>
      <c r="F85" s="122" t="s">
        <v>31</v>
      </c>
      <c r="G85" s="119">
        <v>385000</v>
      </c>
      <c r="H85" s="41" t="s">
        <v>22</v>
      </c>
      <c r="I85" s="158">
        <v>33420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spans="1:21" s="29" customFormat="1" ht="18" customHeight="1" x14ac:dyDescent="0.25">
      <c r="A86" s="44">
        <v>76</v>
      </c>
      <c r="B86" s="48">
        <v>46105</v>
      </c>
      <c r="C86" s="157" t="s">
        <v>821</v>
      </c>
      <c r="D86" s="121">
        <v>40</v>
      </c>
      <c r="E86" s="121" t="s">
        <v>20</v>
      </c>
      <c r="F86" s="122" t="s">
        <v>31</v>
      </c>
      <c r="G86" s="119">
        <v>385000</v>
      </c>
      <c r="H86" s="41" t="s">
        <v>22</v>
      </c>
      <c r="I86" s="158">
        <v>33420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spans="1:21" s="29" customFormat="1" ht="18" customHeight="1" x14ac:dyDescent="0.25">
      <c r="A87" s="44">
        <v>77</v>
      </c>
      <c r="B87" s="48">
        <v>46105</v>
      </c>
      <c r="C87" s="157" t="s">
        <v>822</v>
      </c>
      <c r="D87" s="121">
        <v>40</v>
      </c>
      <c r="E87" s="121" t="s">
        <v>20</v>
      </c>
      <c r="F87" s="122" t="s">
        <v>31</v>
      </c>
      <c r="G87" s="119">
        <v>385000</v>
      </c>
      <c r="H87" s="41" t="s">
        <v>22</v>
      </c>
      <c r="I87" s="158">
        <v>33420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spans="1:21" s="29" customFormat="1" ht="18" customHeight="1" x14ac:dyDescent="0.25">
      <c r="A88" s="44">
        <v>78</v>
      </c>
      <c r="B88" s="48">
        <v>46105</v>
      </c>
      <c r="C88" s="157" t="s">
        <v>823</v>
      </c>
      <c r="D88" s="121">
        <v>40</v>
      </c>
      <c r="E88" s="121" t="s">
        <v>20</v>
      </c>
      <c r="F88" s="122" t="s">
        <v>31</v>
      </c>
      <c r="G88" s="119">
        <v>385000</v>
      </c>
      <c r="H88" s="41" t="s">
        <v>22</v>
      </c>
      <c r="I88" s="158">
        <v>33420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spans="1:21" s="29" customFormat="1" ht="18" customHeight="1" x14ac:dyDescent="0.25">
      <c r="A89" s="44">
        <v>79</v>
      </c>
      <c r="B89" s="48">
        <v>46105</v>
      </c>
      <c r="C89" s="157" t="s">
        <v>824</v>
      </c>
      <c r="D89" s="121">
        <v>40</v>
      </c>
      <c r="E89" s="121" t="s">
        <v>20</v>
      </c>
      <c r="F89" s="122" t="s">
        <v>31</v>
      </c>
      <c r="G89" s="119">
        <v>385000</v>
      </c>
      <c r="H89" s="41" t="s">
        <v>22</v>
      </c>
      <c r="I89" s="158">
        <v>33420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spans="1:21" s="29" customFormat="1" ht="18" customHeight="1" x14ac:dyDescent="0.25">
      <c r="A90" s="44">
        <v>80</v>
      </c>
      <c r="B90" s="48">
        <v>46105</v>
      </c>
      <c r="C90" s="157" t="s">
        <v>825</v>
      </c>
      <c r="D90" s="121">
        <v>40</v>
      </c>
      <c r="E90" s="121" t="s">
        <v>20</v>
      </c>
      <c r="F90" s="122" t="s">
        <v>31</v>
      </c>
      <c r="G90" s="119">
        <v>385000</v>
      </c>
      <c r="H90" s="41" t="s">
        <v>22</v>
      </c>
      <c r="I90" s="158">
        <v>33420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spans="1:21" s="29" customFormat="1" ht="18" customHeight="1" x14ac:dyDescent="0.25">
      <c r="A91" s="44">
        <v>81</v>
      </c>
      <c r="B91" s="48">
        <v>46105</v>
      </c>
      <c r="C91" s="157" t="s">
        <v>826</v>
      </c>
      <c r="D91" s="121">
        <v>40</v>
      </c>
      <c r="E91" s="121" t="s">
        <v>20</v>
      </c>
      <c r="F91" s="122" t="s">
        <v>31</v>
      </c>
      <c r="G91" s="119">
        <v>385000</v>
      </c>
      <c r="H91" s="41" t="s">
        <v>22</v>
      </c>
      <c r="I91" s="158">
        <v>33420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spans="1:21" s="29" customFormat="1" ht="18" customHeight="1" x14ac:dyDescent="0.25">
      <c r="A92" s="44">
        <v>82</v>
      </c>
      <c r="B92" s="48">
        <v>46105</v>
      </c>
      <c r="C92" s="157" t="s">
        <v>827</v>
      </c>
      <c r="D92" s="121">
        <v>40</v>
      </c>
      <c r="E92" s="121" t="s">
        <v>20</v>
      </c>
      <c r="F92" s="122" t="s">
        <v>31</v>
      </c>
      <c r="G92" s="119">
        <v>385000</v>
      </c>
      <c r="H92" s="41" t="s">
        <v>828</v>
      </c>
      <c r="I92" s="158">
        <v>33420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spans="1:21" s="29" customFormat="1" ht="18" customHeight="1" x14ac:dyDescent="0.25">
      <c r="A93" s="44">
        <v>83</v>
      </c>
      <c r="B93" s="48">
        <v>46105</v>
      </c>
      <c r="C93" s="157" t="s">
        <v>829</v>
      </c>
      <c r="D93" s="121">
        <v>40</v>
      </c>
      <c r="E93" s="121" t="s">
        <v>20</v>
      </c>
      <c r="F93" s="122" t="s">
        <v>31</v>
      </c>
      <c r="G93" s="119">
        <v>385000</v>
      </c>
      <c r="H93" s="41" t="s">
        <v>828</v>
      </c>
      <c r="I93" s="158">
        <v>33420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spans="1:21" s="29" customFormat="1" ht="18" customHeight="1" x14ac:dyDescent="0.25">
      <c r="A94" s="44">
        <v>84</v>
      </c>
      <c r="B94" s="48">
        <v>46105</v>
      </c>
      <c r="C94" s="157" t="s">
        <v>830</v>
      </c>
      <c r="D94" s="121">
        <v>40</v>
      </c>
      <c r="E94" s="121" t="s">
        <v>20</v>
      </c>
      <c r="F94" s="122" t="s">
        <v>31</v>
      </c>
      <c r="G94" s="119">
        <v>385000</v>
      </c>
      <c r="H94" s="41" t="s">
        <v>828</v>
      </c>
      <c r="I94" s="158">
        <v>33420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spans="1:21" s="29" customFormat="1" ht="18" customHeight="1" x14ac:dyDescent="0.25">
      <c r="A95" s="44">
        <v>85</v>
      </c>
      <c r="B95" s="48">
        <v>46105</v>
      </c>
      <c r="C95" s="157" t="s">
        <v>831</v>
      </c>
      <c r="D95" s="121">
        <v>40</v>
      </c>
      <c r="E95" s="121" t="s">
        <v>20</v>
      </c>
      <c r="F95" s="122" t="s">
        <v>31</v>
      </c>
      <c r="G95" s="119">
        <v>385000</v>
      </c>
      <c r="H95" s="41" t="s">
        <v>828</v>
      </c>
      <c r="I95" s="158">
        <v>33420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spans="1:21" s="29" customFormat="1" ht="18" customHeight="1" x14ac:dyDescent="0.25">
      <c r="A96" s="44">
        <v>86</v>
      </c>
      <c r="B96" s="48">
        <v>46105</v>
      </c>
      <c r="C96" s="157" t="s">
        <v>832</v>
      </c>
      <c r="D96" s="121">
        <v>40</v>
      </c>
      <c r="E96" s="121" t="s">
        <v>20</v>
      </c>
      <c r="F96" s="122" t="s">
        <v>31</v>
      </c>
      <c r="G96" s="119">
        <v>385000</v>
      </c>
      <c r="H96" s="41" t="s">
        <v>828</v>
      </c>
      <c r="I96" s="158">
        <v>33420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spans="1:21" s="29" customFormat="1" ht="18" customHeight="1" x14ac:dyDescent="0.25">
      <c r="A97" s="44">
        <v>87</v>
      </c>
      <c r="B97" s="48">
        <v>46105</v>
      </c>
      <c r="C97" s="157" t="s">
        <v>833</v>
      </c>
      <c r="D97" s="53">
        <v>40</v>
      </c>
      <c r="E97" s="121" t="s">
        <v>20</v>
      </c>
      <c r="F97" s="53" t="s">
        <v>31</v>
      </c>
      <c r="G97" s="119">
        <v>385000</v>
      </c>
      <c r="H97" s="41" t="s">
        <v>30</v>
      </c>
      <c r="I97" s="158">
        <v>33420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spans="1:21" s="29" customFormat="1" ht="18" customHeight="1" x14ac:dyDescent="0.25">
      <c r="A98" s="44">
        <v>88</v>
      </c>
      <c r="B98" s="48">
        <v>46105</v>
      </c>
      <c r="C98" s="157" t="s">
        <v>834</v>
      </c>
      <c r="D98" s="53">
        <v>40</v>
      </c>
      <c r="E98" s="121" t="s">
        <v>20</v>
      </c>
      <c r="F98" s="53" t="s">
        <v>31</v>
      </c>
      <c r="G98" s="119">
        <v>385000</v>
      </c>
      <c r="H98" s="41" t="s">
        <v>30</v>
      </c>
      <c r="I98" s="158">
        <v>33420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spans="1:21" s="29" customFormat="1" ht="18" customHeight="1" x14ac:dyDescent="0.25">
      <c r="A99" s="44">
        <v>89</v>
      </c>
      <c r="B99" s="48">
        <v>46105</v>
      </c>
      <c r="C99" s="157" t="s">
        <v>835</v>
      </c>
      <c r="D99" s="53">
        <v>40</v>
      </c>
      <c r="E99" s="121" t="s">
        <v>20</v>
      </c>
      <c r="F99" s="53" t="s">
        <v>31</v>
      </c>
      <c r="G99" s="119">
        <v>385000</v>
      </c>
      <c r="H99" s="41" t="s">
        <v>30</v>
      </c>
      <c r="I99" s="158">
        <v>33420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spans="1:21" s="29" customFormat="1" ht="18" customHeight="1" x14ac:dyDescent="0.25">
      <c r="A100" s="44">
        <v>90</v>
      </c>
      <c r="B100" s="48">
        <v>46105</v>
      </c>
      <c r="C100" s="157" t="s">
        <v>836</v>
      </c>
      <c r="D100" s="53">
        <v>40</v>
      </c>
      <c r="E100" s="121" t="s">
        <v>20</v>
      </c>
      <c r="F100" s="53" t="s">
        <v>31</v>
      </c>
      <c r="G100" s="119">
        <v>385000</v>
      </c>
      <c r="H100" s="41" t="s">
        <v>30</v>
      </c>
      <c r="I100" s="158">
        <v>33420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spans="1:21" s="29" customFormat="1" ht="18" customHeight="1" x14ac:dyDescent="0.25">
      <c r="A101" s="44">
        <v>91</v>
      </c>
      <c r="B101" s="48">
        <v>46105</v>
      </c>
      <c r="C101" s="41" t="s">
        <v>837</v>
      </c>
      <c r="D101" s="121">
        <v>40</v>
      </c>
      <c r="E101" s="121" t="s">
        <v>20</v>
      </c>
      <c r="F101" s="118" t="s">
        <v>31</v>
      </c>
      <c r="G101" s="119">
        <v>385000</v>
      </c>
      <c r="H101" s="41" t="s">
        <v>25</v>
      </c>
      <c r="I101" s="158">
        <v>33420</v>
      </c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spans="1:21" s="29" customFormat="1" ht="18" customHeight="1" x14ac:dyDescent="0.25">
      <c r="A102" s="44">
        <v>92</v>
      </c>
      <c r="B102" s="48">
        <v>46105</v>
      </c>
      <c r="C102" s="41" t="s">
        <v>838</v>
      </c>
      <c r="D102" s="121">
        <v>40</v>
      </c>
      <c r="E102" s="121" t="s">
        <v>20</v>
      </c>
      <c r="F102" s="118" t="s">
        <v>31</v>
      </c>
      <c r="G102" s="119">
        <v>385000</v>
      </c>
      <c r="H102" s="41" t="s">
        <v>25</v>
      </c>
      <c r="I102" s="158">
        <v>33420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spans="1:21" s="29" customFormat="1" ht="18" customHeight="1" x14ac:dyDescent="0.25">
      <c r="A103" s="44">
        <v>93</v>
      </c>
      <c r="B103" s="48">
        <v>46105</v>
      </c>
      <c r="C103" s="41" t="s">
        <v>839</v>
      </c>
      <c r="D103" s="121">
        <v>40</v>
      </c>
      <c r="E103" s="121" t="s">
        <v>20</v>
      </c>
      <c r="F103" s="118" t="s">
        <v>31</v>
      </c>
      <c r="G103" s="119">
        <v>385000</v>
      </c>
      <c r="H103" s="41" t="s">
        <v>25</v>
      </c>
      <c r="I103" s="158">
        <v>33420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spans="1:21" s="29" customFormat="1" ht="18" customHeight="1" x14ac:dyDescent="0.25">
      <c r="A104" s="44">
        <v>94</v>
      </c>
      <c r="B104" s="48">
        <v>46105</v>
      </c>
      <c r="C104" s="41" t="s">
        <v>840</v>
      </c>
      <c r="D104" s="121">
        <v>40</v>
      </c>
      <c r="E104" s="121" t="s">
        <v>20</v>
      </c>
      <c r="F104" s="118" t="s">
        <v>31</v>
      </c>
      <c r="G104" s="119">
        <v>385000</v>
      </c>
      <c r="H104" s="41" t="s">
        <v>25</v>
      </c>
      <c r="I104" s="158">
        <v>33420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spans="1:21" s="29" customFormat="1" ht="18" customHeight="1" x14ac:dyDescent="0.25">
      <c r="A105" s="44">
        <v>95</v>
      </c>
      <c r="B105" s="48">
        <v>46105</v>
      </c>
      <c r="C105" s="41" t="s">
        <v>841</v>
      </c>
      <c r="D105" s="121">
        <v>40</v>
      </c>
      <c r="E105" s="121" t="s">
        <v>20</v>
      </c>
      <c r="F105" s="118" t="s">
        <v>31</v>
      </c>
      <c r="G105" s="119">
        <v>385000</v>
      </c>
      <c r="H105" s="41" t="s">
        <v>842</v>
      </c>
      <c r="I105" s="158">
        <v>33420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spans="1:21" s="29" customFormat="1" ht="18" customHeight="1" x14ac:dyDescent="0.25">
      <c r="A106" s="44">
        <v>96</v>
      </c>
      <c r="B106" s="48">
        <v>46105</v>
      </c>
      <c r="C106" s="41" t="s">
        <v>843</v>
      </c>
      <c r="D106" s="121">
        <v>40</v>
      </c>
      <c r="E106" s="121" t="s">
        <v>20</v>
      </c>
      <c r="F106" s="118" t="s">
        <v>31</v>
      </c>
      <c r="G106" s="119">
        <v>385000</v>
      </c>
      <c r="H106" s="41" t="s">
        <v>842</v>
      </c>
      <c r="I106" s="158">
        <v>33420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spans="1:21" s="29" customFormat="1" ht="18" customHeight="1" x14ac:dyDescent="0.25">
      <c r="A107" s="44">
        <v>97</v>
      </c>
      <c r="B107" s="48">
        <v>46105</v>
      </c>
      <c r="C107" s="41" t="s">
        <v>844</v>
      </c>
      <c r="D107" s="121">
        <v>40</v>
      </c>
      <c r="E107" s="121" t="s">
        <v>20</v>
      </c>
      <c r="F107" s="118" t="s">
        <v>31</v>
      </c>
      <c r="G107" s="119">
        <v>385000</v>
      </c>
      <c r="H107" s="41" t="s">
        <v>842</v>
      </c>
      <c r="I107" s="158">
        <v>33420</v>
      </c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spans="1:21" s="29" customFormat="1" ht="18" customHeight="1" x14ac:dyDescent="0.25">
      <c r="A108" s="44">
        <v>98</v>
      </c>
      <c r="B108" s="48">
        <v>46105</v>
      </c>
      <c r="C108" s="41" t="s">
        <v>845</v>
      </c>
      <c r="D108" s="121">
        <v>40</v>
      </c>
      <c r="E108" s="121" t="s">
        <v>20</v>
      </c>
      <c r="F108" s="118" t="s">
        <v>31</v>
      </c>
      <c r="G108" s="119">
        <v>385000</v>
      </c>
      <c r="H108" s="41" t="s">
        <v>842</v>
      </c>
      <c r="I108" s="158">
        <v>33420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spans="1:21" s="29" customFormat="1" ht="18" customHeight="1" x14ac:dyDescent="0.25">
      <c r="A109" s="44">
        <v>99</v>
      </c>
      <c r="B109" s="48">
        <v>46105</v>
      </c>
      <c r="C109" s="41" t="s">
        <v>846</v>
      </c>
      <c r="D109" s="121">
        <v>40</v>
      </c>
      <c r="E109" s="121" t="s">
        <v>20</v>
      </c>
      <c r="F109" s="118" t="s">
        <v>31</v>
      </c>
      <c r="G109" s="119">
        <v>385000</v>
      </c>
      <c r="H109" s="41" t="s">
        <v>842</v>
      </c>
      <c r="I109" s="158">
        <v>33420</v>
      </c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spans="1:21" s="29" customFormat="1" ht="18" customHeight="1" x14ac:dyDescent="0.25">
      <c r="A110" s="44">
        <v>100</v>
      </c>
      <c r="B110" s="48">
        <v>46105</v>
      </c>
      <c r="C110" s="41" t="s">
        <v>847</v>
      </c>
      <c r="D110" s="121">
        <v>40</v>
      </c>
      <c r="E110" s="121" t="s">
        <v>20</v>
      </c>
      <c r="F110" s="118" t="s">
        <v>31</v>
      </c>
      <c r="G110" s="119">
        <v>385000</v>
      </c>
      <c r="H110" s="41" t="s">
        <v>842</v>
      </c>
      <c r="I110" s="158">
        <v>33420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spans="1:21" s="29" customFormat="1" ht="18" customHeight="1" x14ac:dyDescent="0.25">
      <c r="A111" s="44">
        <v>101</v>
      </c>
      <c r="B111" s="48">
        <v>46106</v>
      </c>
      <c r="C111" s="41" t="s">
        <v>848</v>
      </c>
      <c r="D111" s="121">
        <v>40</v>
      </c>
      <c r="E111" s="121" t="s">
        <v>20</v>
      </c>
      <c r="F111" s="118" t="s">
        <v>31</v>
      </c>
      <c r="G111" s="119">
        <v>385000</v>
      </c>
      <c r="H111" s="41" t="s">
        <v>552</v>
      </c>
      <c r="I111" s="158">
        <v>33420</v>
      </c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spans="1:21" s="29" customFormat="1" ht="18" customHeight="1" x14ac:dyDescent="0.25">
      <c r="A112" s="44">
        <v>102</v>
      </c>
      <c r="B112" s="48">
        <v>46106</v>
      </c>
      <c r="C112" s="41" t="s">
        <v>849</v>
      </c>
      <c r="D112" s="121">
        <v>20</v>
      </c>
      <c r="E112" s="121" t="s">
        <v>20</v>
      </c>
      <c r="F112" s="118" t="s">
        <v>31</v>
      </c>
      <c r="G112" s="119">
        <v>209000</v>
      </c>
      <c r="H112" s="41" t="s">
        <v>552</v>
      </c>
      <c r="I112" s="158">
        <v>33420</v>
      </c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spans="1:21" s="29" customFormat="1" ht="18" customHeight="1" x14ac:dyDescent="0.25">
      <c r="A113" s="44">
        <v>103</v>
      </c>
      <c r="B113" s="48">
        <v>46106</v>
      </c>
      <c r="C113" s="41" t="s">
        <v>850</v>
      </c>
      <c r="D113" s="121">
        <v>20</v>
      </c>
      <c r="E113" s="121" t="s">
        <v>20</v>
      </c>
      <c r="F113" s="118" t="s">
        <v>31</v>
      </c>
      <c r="G113" s="119">
        <v>209000</v>
      </c>
      <c r="H113" s="41" t="s">
        <v>552</v>
      </c>
      <c r="I113" s="158">
        <v>33420</v>
      </c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spans="1:21" s="29" customFormat="1" ht="18" customHeight="1" x14ac:dyDescent="0.25">
      <c r="A114" s="44">
        <v>104</v>
      </c>
      <c r="B114" s="48">
        <v>46106</v>
      </c>
      <c r="C114" s="41" t="s">
        <v>851</v>
      </c>
      <c r="D114" s="121">
        <v>40</v>
      </c>
      <c r="E114" s="121" t="s">
        <v>20</v>
      </c>
      <c r="F114" s="118" t="s">
        <v>31</v>
      </c>
      <c r="G114" s="119">
        <v>385000</v>
      </c>
      <c r="H114" s="41" t="s">
        <v>552</v>
      </c>
      <c r="I114" s="158">
        <v>33420</v>
      </c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spans="1:21" s="29" customFormat="1" ht="18" customHeight="1" x14ac:dyDescent="0.25">
      <c r="A115" s="44">
        <v>105</v>
      </c>
      <c r="B115" s="48">
        <v>46100</v>
      </c>
      <c r="C115" s="41" t="s">
        <v>852</v>
      </c>
      <c r="D115" s="121">
        <v>40</v>
      </c>
      <c r="E115" s="121" t="s">
        <v>20</v>
      </c>
      <c r="F115" s="118" t="s">
        <v>31</v>
      </c>
      <c r="G115" s="119">
        <v>365000</v>
      </c>
      <c r="H115" s="41" t="s">
        <v>25</v>
      </c>
      <c r="I115" s="158">
        <v>27020</v>
      </c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spans="1:21" s="29" customFormat="1" ht="18" customHeight="1" x14ac:dyDescent="0.25">
      <c r="A116" s="44">
        <v>106</v>
      </c>
      <c r="B116" s="48">
        <v>46100</v>
      </c>
      <c r="C116" s="41" t="s">
        <v>853</v>
      </c>
      <c r="D116" s="121">
        <v>40</v>
      </c>
      <c r="E116" s="121" t="s">
        <v>20</v>
      </c>
      <c r="F116" s="118" t="s">
        <v>31</v>
      </c>
      <c r="G116" s="119">
        <v>365000</v>
      </c>
      <c r="H116" s="41" t="s">
        <v>25</v>
      </c>
      <c r="I116" s="158">
        <v>27020</v>
      </c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spans="1:21" s="29" customFormat="1" ht="18" customHeight="1" x14ac:dyDescent="0.25">
      <c r="A117" s="44">
        <v>107</v>
      </c>
      <c r="B117" s="48">
        <v>46100</v>
      </c>
      <c r="C117" s="41" t="s">
        <v>854</v>
      </c>
      <c r="D117" s="121">
        <v>40</v>
      </c>
      <c r="E117" s="121" t="s">
        <v>20</v>
      </c>
      <c r="F117" s="118" t="s">
        <v>31</v>
      </c>
      <c r="G117" s="119">
        <v>365000</v>
      </c>
      <c r="H117" s="41" t="s">
        <v>25</v>
      </c>
      <c r="I117" s="158">
        <v>27020</v>
      </c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spans="1:21" s="29" customFormat="1" ht="18" customHeight="1" x14ac:dyDescent="0.25">
      <c r="A118" s="44">
        <v>108</v>
      </c>
      <c r="B118" s="48">
        <v>46105</v>
      </c>
      <c r="C118" s="41" t="s">
        <v>856</v>
      </c>
      <c r="D118" s="121">
        <v>40</v>
      </c>
      <c r="E118" s="121" t="s">
        <v>20</v>
      </c>
      <c r="F118" s="118" t="s">
        <v>31</v>
      </c>
      <c r="G118" s="119">
        <v>385000</v>
      </c>
      <c r="H118" s="53" t="s">
        <v>29</v>
      </c>
      <c r="I118" s="158">
        <v>33420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spans="1:21" s="29" customFormat="1" ht="18" customHeight="1" x14ac:dyDescent="0.25">
      <c r="A119" s="44">
        <v>109</v>
      </c>
      <c r="B119" s="48">
        <v>46105</v>
      </c>
      <c r="C119" s="41" t="s">
        <v>857</v>
      </c>
      <c r="D119" s="121">
        <v>40</v>
      </c>
      <c r="E119" s="121" t="s">
        <v>20</v>
      </c>
      <c r="F119" s="118" t="s">
        <v>31</v>
      </c>
      <c r="G119" s="119">
        <v>385000</v>
      </c>
      <c r="H119" s="53" t="s">
        <v>29</v>
      </c>
      <c r="I119" s="158">
        <v>33420</v>
      </c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spans="1:21" s="29" customFormat="1" ht="18" customHeight="1" x14ac:dyDescent="0.25">
      <c r="A120" s="44">
        <v>110</v>
      </c>
      <c r="B120" s="48">
        <v>46106</v>
      </c>
      <c r="C120" s="41" t="s">
        <v>858</v>
      </c>
      <c r="D120" s="53">
        <v>40</v>
      </c>
      <c r="E120" s="53" t="s">
        <v>20</v>
      </c>
      <c r="F120" s="53" t="s">
        <v>31</v>
      </c>
      <c r="G120" s="119">
        <v>385000</v>
      </c>
      <c r="H120" s="53" t="s">
        <v>828</v>
      </c>
      <c r="I120" s="158">
        <v>33420</v>
      </c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spans="1:21" s="29" customFormat="1" ht="18" customHeight="1" x14ac:dyDescent="0.25">
      <c r="A121" s="44">
        <v>111</v>
      </c>
      <c r="B121" s="48">
        <v>46106</v>
      </c>
      <c r="C121" s="41" t="s">
        <v>473</v>
      </c>
      <c r="D121" s="53">
        <v>40</v>
      </c>
      <c r="E121" s="53" t="s">
        <v>20</v>
      </c>
      <c r="F121" s="53" t="s">
        <v>31</v>
      </c>
      <c r="G121" s="119">
        <v>385000</v>
      </c>
      <c r="H121" s="53" t="s">
        <v>828</v>
      </c>
      <c r="I121" s="158">
        <v>33420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</row>
    <row r="122" spans="1:21" s="29" customFormat="1" ht="18" customHeight="1" x14ac:dyDescent="0.25">
      <c r="A122" s="44">
        <v>112</v>
      </c>
      <c r="B122" s="48">
        <v>46106</v>
      </c>
      <c r="C122" s="41" t="s">
        <v>859</v>
      </c>
      <c r="D122" s="53">
        <v>40</v>
      </c>
      <c r="E122" s="53" t="s">
        <v>20</v>
      </c>
      <c r="F122" s="53" t="s">
        <v>31</v>
      </c>
      <c r="G122" s="119">
        <v>385000</v>
      </c>
      <c r="H122" s="53" t="s">
        <v>25</v>
      </c>
      <c r="I122" s="158">
        <v>33420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spans="1:21" s="29" customFormat="1" ht="18" customHeight="1" x14ac:dyDescent="0.25">
      <c r="A123" s="44">
        <v>113</v>
      </c>
      <c r="B123" s="48">
        <v>46106</v>
      </c>
      <c r="C123" s="41" t="s">
        <v>860</v>
      </c>
      <c r="D123" s="53">
        <v>40</v>
      </c>
      <c r="E123" s="53" t="s">
        <v>20</v>
      </c>
      <c r="F123" s="53" t="s">
        <v>31</v>
      </c>
      <c r="G123" s="119">
        <v>385000</v>
      </c>
      <c r="H123" s="53" t="s">
        <v>25</v>
      </c>
      <c r="I123" s="158">
        <v>33420</v>
      </c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spans="1:21" s="29" customFormat="1" ht="18" customHeight="1" x14ac:dyDescent="0.25">
      <c r="A124" s="44">
        <v>114</v>
      </c>
      <c r="B124" s="48">
        <v>46106</v>
      </c>
      <c r="C124" s="41" t="s">
        <v>861</v>
      </c>
      <c r="D124" s="53">
        <v>40</v>
      </c>
      <c r="E124" s="53" t="s">
        <v>20</v>
      </c>
      <c r="F124" s="53" t="s">
        <v>31</v>
      </c>
      <c r="G124" s="119">
        <v>385000</v>
      </c>
      <c r="H124" s="53" t="s">
        <v>25</v>
      </c>
      <c r="I124" s="158">
        <v>33420</v>
      </c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</row>
    <row r="125" spans="1:21" s="29" customFormat="1" ht="18" customHeight="1" x14ac:dyDescent="0.25">
      <c r="A125" s="44">
        <v>115</v>
      </c>
      <c r="B125" s="48">
        <v>46106</v>
      </c>
      <c r="C125" s="41" t="s">
        <v>862</v>
      </c>
      <c r="D125" s="53">
        <v>40</v>
      </c>
      <c r="E125" s="53" t="s">
        <v>20</v>
      </c>
      <c r="F125" s="53" t="s">
        <v>31</v>
      </c>
      <c r="G125" s="119">
        <v>385000</v>
      </c>
      <c r="H125" s="53" t="s">
        <v>19</v>
      </c>
      <c r="I125" s="158">
        <v>33420</v>
      </c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</row>
    <row r="126" spans="1:21" s="29" customFormat="1" ht="18" customHeight="1" x14ac:dyDescent="0.25">
      <c r="A126" s="44">
        <v>116</v>
      </c>
      <c r="B126" s="48">
        <v>46106</v>
      </c>
      <c r="C126" s="41" t="s">
        <v>863</v>
      </c>
      <c r="D126" s="53">
        <v>40</v>
      </c>
      <c r="E126" s="53" t="s">
        <v>20</v>
      </c>
      <c r="F126" s="53" t="s">
        <v>31</v>
      </c>
      <c r="G126" s="119">
        <v>385000</v>
      </c>
      <c r="H126" s="53" t="s">
        <v>19</v>
      </c>
      <c r="I126" s="158">
        <v>33420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</row>
    <row r="127" spans="1:21" s="29" customFormat="1" ht="18" customHeight="1" x14ac:dyDescent="0.25">
      <c r="A127" s="44">
        <v>117</v>
      </c>
      <c r="B127" s="48">
        <v>46106</v>
      </c>
      <c r="C127" s="41" t="s">
        <v>864</v>
      </c>
      <c r="D127" s="53">
        <v>20</v>
      </c>
      <c r="E127" s="53" t="s">
        <v>20</v>
      </c>
      <c r="F127" s="53" t="s">
        <v>31</v>
      </c>
      <c r="G127" s="119">
        <v>209000</v>
      </c>
      <c r="H127" s="53" t="s">
        <v>19</v>
      </c>
      <c r="I127" s="158">
        <v>33420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spans="1:21" s="29" customFormat="1" ht="18" customHeight="1" x14ac:dyDescent="0.25">
      <c r="A128" s="44">
        <v>118</v>
      </c>
      <c r="B128" s="48">
        <v>46106</v>
      </c>
      <c r="C128" s="41" t="s">
        <v>865</v>
      </c>
      <c r="D128" s="53">
        <v>20</v>
      </c>
      <c r="E128" s="53" t="s">
        <v>20</v>
      </c>
      <c r="F128" s="53" t="s">
        <v>31</v>
      </c>
      <c r="G128" s="119">
        <v>209000</v>
      </c>
      <c r="H128" s="53" t="s">
        <v>19</v>
      </c>
      <c r="I128" s="158">
        <v>33420</v>
      </c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</row>
    <row r="129" spans="1:21" s="29" customFormat="1" ht="18" customHeight="1" x14ac:dyDescent="0.25">
      <c r="A129" s="44">
        <v>119</v>
      </c>
      <c r="B129" s="54"/>
      <c r="C129" s="53"/>
      <c r="D129" s="53"/>
      <c r="E129" s="53"/>
      <c r="F129" s="53"/>
      <c r="G129" s="119"/>
      <c r="H129" s="53"/>
      <c r="I129" s="144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</row>
    <row r="130" spans="1:21" s="29" customFormat="1" ht="18" customHeight="1" x14ac:dyDescent="0.25">
      <c r="A130" s="44">
        <v>120</v>
      </c>
      <c r="B130" s="54"/>
      <c r="C130" s="53"/>
      <c r="D130" s="53"/>
      <c r="E130" s="53"/>
      <c r="F130" s="53"/>
      <c r="G130" s="45"/>
      <c r="H130" s="53"/>
      <c r="I130" s="144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</row>
    <row r="131" spans="1:21" s="5" customFormat="1" ht="19.5" customHeight="1" x14ac:dyDescent="0.25">
      <c r="A131" s="222" t="s">
        <v>17</v>
      </c>
      <c r="B131" s="222"/>
      <c r="C131" s="222"/>
      <c r="D131" s="222"/>
      <c r="E131" s="222"/>
      <c r="F131" s="222"/>
      <c r="G131" s="146">
        <f>SUM(G11:G130)</f>
        <v>40855000</v>
      </c>
      <c r="H131" s="147"/>
      <c r="I131" s="15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16.5" customHeight="1" x14ac:dyDescent="0.25">
      <c r="A132" s="148" t="s">
        <v>18</v>
      </c>
      <c r="B132" s="149"/>
      <c r="C132" s="150"/>
      <c r="D132" s="151"/>
      <c r="E132" s="151"/>
      <c r="F132" s="53"/>
      <c r="G132" s="151"/>
      <c r="H132" s="152"/>
      <c r="I132" s="153"/>
    </row>
    <row r="133" spans="1:21" s="3" customFormat="1" x14ac:dyDescent="0.25">
      <c r="C133" s="1"/>
      <c r="F133" s="38"/>
      <c r="H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s="12" customFormat="1" x14ac:dyDescent="0.25">
      <c r="A134" s="39"/>
      <c r="B134" s="33"/>
      <c r="C134" s="6"/>
      <c r="F134" s="212" t="s">
        <v>855</v>
      </c>
      <c r="G134" s="212"/>
      <c r="H134" s="21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s="3" customFormat="1" ht="35.25" customHeight="1" x14ac:dyDescent="0.25">
      <c r="A135" s="42"/>
      <c r="B135" s="42"/>
      <c r="C135" s="42"/>
      <c r="D135" s="42"/>
      <c r="E135" s="34"/>
      <c r="F135" s="214" t="s">
        <v>0</v>
      </c>
      <c r="G135" s="214"/>
      <c r="H135" s="214"/>
      <c r="I135" s="3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x14ac:dyDescent="0.25">
      <c r="A136" s="42"/>
      <c r="B136" s="42"/>
      <c r="C136" s="42"/>
      <c r="D136" s="42"/>
    </row>
    <row r="137" spans="1:21" x14ac:dyDescent="0.25">
      <c r="A137" s="42"/>
      <c r="B137" s="42"/>
      <c r="C137" s="42"/>
      <c r="D137" s="42"/>
      <c r="E137" s="42"/>
      <c r="F137" s="42"/>
    </row>
    <row r="138" spans="1:21" x14ac:dyDescent="0.25">
      <c r="A138" s="42"/>
      <c r="B138" s="42"/>
      <c r="C138" s="42"/>
      <c r="D138" s="42"/>
      <c r="E138" s="42"/>
      <c r="F138" s="42"/>
      <c r="G138" s="42"/>
      <c r="H138" s="42"/>
      <c r="I138" s="42"/>
    </row>
    <row r="139" spans="1:21" x14ac:dyDescent="0.25">
      <c r="A139" s="42"/>
      <c r="B139" s="42"/>
      <c r="C139" s="42"/>
      <c r="D139" s="42"/>
      <c r="E139" s="42"/>
      <c r="F139" s="42"/>
      <c r="G139" s="42"/>
      <c r="H139" s="42"/>
      <c r="I139" s="42"/>
    </row>
    <row r="140" spans="1:21" x14ac:dyDescent="0.25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21" x14ac:dyDescent="0.25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21" x14ac:dyDescent="0.25">
      <c r="A142" s="42"/>
      <c r="B142" s="42"/>
      <c r="C142" s="42"/>
      <c r="D142" s="42"/>
      <c r="E142" s="42"/>
      <c r="F142" s="42"/>
      <c r="G142" s="42"/>
      <c r="H142" s="42"/>
      <c r="I142" s="42"/>
    </row>
    <row r="143" spans="1:21" x14ac:dyDescent="0.25">
      <c r="A143" s="42"/>
      <c r="B143" s="42"/>
      <c r="C143" s="42"/>
      <c r="D143" s="42"/>
      <c r="E143" s="42"/>
      <c r="F143" s="42"/>
      <c r="G143" s="42"/>
      <c r="H143" s="42"/>
      <c r="I143" s="42"/>
    </row>
    <row r="144" spans="1:21" x14ac:dyDescent="0.25">
      <c r="A144" s="42"/>
      <c r="B144" s="42"/>
      <c r="C144" s="42"/>
      <c r="D144" s="42"/>
      <c r="E144" s="42"/>
      <c r="F144" s="42"/>
      <c r="G144" s="42"/>
      <c r="H144" s="42"/>
      <c r="I144" s="42"/>
    </row>
    <row r="145" spans="1:9" x14ac:dyDescent="0.25">
      <c r="A145" s="42"/>
      <c r="B145" s="42"/>
      <c r="C145" s="42"/>
      <c r="D145" s="42"/>
      <c r="E145" s="42"/>
      <c r="F145" s="42"/>
      <c r="G145" s="42"/>
      <c r="H145" s="42"/>
      <c r="I145" s="42"/>
    </row>
    <row r="146" spans="1:9" x14ac:dyDescent="0.25">
      <c r="A146" s="42"/>
      <c r="B146" s="42"/>
      <c r="C146" s="42"/>
      <c r="D146" s="42"/>
      <c r="E146" s="42"/>
      <c r="F146" s="42"/>
      <c r="G146" s="42"/>
      <c r="H146" s="42"/>
      <c r="I146" s="42"/>
    </row>
    <row r="147" spans="1:9" x14ac:dyDescent="0.25">
      <c r="A147" s="42"/>
      <c r="B147" s="42"/>
      <c r="C147" s="42"/>
      <c r="D147" s="42"/>
      <c r="E147" s="42"/>
      <c r="F147" s="42"/>
      <c r="G147" s="42"/>
      <c r="H147" s="42"/>
      <c r="I147" s="42"/>
    </row>
    <row r="148" spans="1:9" x14ac:dyDescent="0.25">
      <c r="A148" s="42"/>
      <c r="B148" s="42"/>
      <c r="C148" s="42"/>
      <c r="D148" s="42"/>
      <c r="E148" s="42"/>
      <c r="F148" s="42"/>
      <c r="G148" s="42"/>
      <c r="H148" s="42"/>
      <c r="I148" s="42"/>
    </row>
    <row r="149" spans="1:9" x14ac:dyDescent="0.25">
      <c r="A149" s="42"/>
      <c r="B149" s="42"/>
      <c r="C149" s="42"/>
      <c r="D149" s="42"/>
      <c r="E149" s="42"/>
      <c r="F149" s="42"/>
      <c r="G149" s="42"/>
      <c r="H149" s="42"/>
      <c r="I149" s="42"/>
    </row>
    <row r="150" spans="1:9" x14ac:dyDescent="0.25">
      <c r="A150" s="42"/>
      <c r="B150" s="42"/>
      <c r="C150" s="42"/>
      <c r="D150" s="42"/>
      <c r="E150" s="42"/>
      <c r="F150" s="42"/>
      <c r="G150" s="42"/>
      <c r="H150" s="42"/>
      <c r="I150" s="42"/>
    </row>
    <row r="151" spans="1:9" x14ac:dyDescent="0.25">
      <c r="A151" s="42"/>
      <c r="B151" s="42"/>
      <c r="C151" s="42"/>
      <c r="D151" s="42"/>
      <c r="E151" s="42"/>
      <c r="F151" s="42"/>
      <c r="G151" s="42"/>
      <c r="H151" s="42"/>
      <c r="I151" s="42"/>
    </row>
    <row r="152" spans="1:9" x14ac:dyDescent="0.25">
      <c r="A152" s="42"/>
      <c r="B152" s="42"/>
      <c r="C152" s="42"/>
      <c r="D152" s="42"/>
      <c r="E152" s="42"/>
      <c r="F152" s="42"/>
      <c r="G152" s="42"/>
      <c r="H152" s="42"/>
      <c r="I152" s="42"/>
    </row>
    <row r="153" spans="1:9" x14ac:dyDescent="0.25">
      <c r="A153" s="42"/>
      <c r="B153" s="42"/>
      <c r="C153" s="42"/>
      <c r="D153" s="42"/>
      <c r="E153" s="42"/>
      <c r="F153" s="42"/>
      <c r="G153" s="42"/>
      <c r="H153" s="42"/>
      <c r="I153" s="42"/>
    </row>
    <row r="154" spans="1:9" x14ac:dyDescent="0.25">
      <c r="A154" s="42"/>
      <c r="B154" s="42"/>
      <c r="C154" s="42"/>
      <c r="D154" s="42"/>
      <c r="E154" s="42"/>
      <c r="F154" s="42"/>
      <c r="G154" s="42"/>
      <c r="H154" s="42"/>
      <c r="I154" s="42"/>
    </row>
    <row r="155" spans="1:9" x14ac:dyDescent="0.25">
      <c r="A155" s="42"/>
      <c r="B155" s="42"/>
      <c r="C155" s="42"/>
      <c r="D155" s="42"/>
      <c r="E155" s="42"/>
      <c r="F155" s="42"/>
      <c r="G155" s="42"/>
      <c r="H155" s="42"/>
      <c r="I155" s="42"/>
    </row>
    <row r="156" spans="1:9" x14ac:dyDescent="0.25">
      <c r="A156" s="42"/>
      <c r="B156" s="42"/>
      <c r="C156" s="42"/>
      <c r="D156" s="42"/>
      <c r="E156" s="42"/>
      <c r="F156" s="42"/>
      <c r="G156" s="42"/>
      <c r="H156" s="42"/>
      <c r="I156" s="42"/>
    </row>
    <row r="157" spans="1:9" x14ac:dyDescent="0.25">
      <c r="A157" s="42"/>
      <c r="B157" s="42"/>
      <c r="C157" s="42"/>
      <c r="D157" s="42"/>
      <c r="E157" s="42"/>
      <c r="F157" s="42"/>
      <c r="G157" s="42"/>
      <c r="H157" s="42"/>
      <c r="I157" s="42"/>
    </row>
    <row r="158" spans="1:9" x14ac:dyDescent="0.25">
      <c r="A158" s="42"/>
      <c r="B158" s="42"/>
      <c r="C158" s="42"/>
      <c r="D158" s="42"/>
      <c r="E158" s="42"/>
      <c r="F158" s="42"/>
      <c r="G158" s="42"/>
      <c r="H158" s="42"/>
      <c r="I158" s="42"/>
    </row>
    <row r="159" spans="1:9" x14ac:dyDescent="0.25">
      <c r="A159" s="42"/>
      <c r="B159" s="42"/>
      <c r="C159" s="42"/>
      <c r="D159" s="42"/>
      <c r="E159" s="42"/>
      <c r="F159" s="42"/>
      <c r="G159" s="42"/>
      <c r="H159" s="42"/>
      <c r="I159" s="42"/>
    </row>
    <row r="160" spans="1:9" x14ac:dyDescent="0.25">
      <c r="A160" s="42"/>
      <c r="B160" s="42"/>
      <c r="C160" s="42"/>
      <c r="D160" s="42"/>
      <c r="E160" s="42"/>
      <c r="F160" s="42"/>
      <c r="G160" s="42"/>
      <c r="H160" s="42"/>
      <c r="I160" s="42"/>
    </row>
    <row r="161" spans="1:9" x14ac:dyDescent="0.25">
      <c r="A161" s="42"/>
      <c r="B161" s="42"/>
      <c r="C161" s="42"/>
      <c r="D161" s="42"/>
      <c r="E161" s="42"/>
      <c r="F161" s="42"/>
      <c r="G161" s="42"/>
      <c r="H161" s="42"/>
      <c r="I161" s="42"/>
    </row>
    <row r="162" spans="1:9" x14ac:dyDescent="0.25">
      <c r="A162" s="42"/>
      <c r="B162" s="42"/>
      <c r="C162" s="42"/>
      <c r="D162" s="42"/>
      <c r="E162" s="42"/>
      <c r="F162" s="42"/>
      <c r="G162" s="42"/>
      <c r="H162" s="42"/>
      <c r="I162" s="42"/>
    </row>
    <row r="163" spans="1:9" x14ac:dyDescent="0.25">
      <c r="A163" s="42"/>
      <c r="B163" s="42"/>
      <c r="C163" s="42"/>
      <c r="D163" s="42"/>
      <c r="E163" s="42"/>
      <c r="F163" s="42"/>
      <c r="G163" s="42"/>
      <c r="H163" s="42"/>
      <c r="I163" s="42"/>
    </row>
    <row r="164" spans="1:9" x14ac:dyDescent="0.25">
      <c r="A164" s="42"/>
      <c r="B164" s="42"/>
      <c r="C164" s="42"/>
      <c r="D164" s="42"/>
      <c r="E164" s="42"/>
      <c r="F164" s="42"/>
      <c r="G164" s="42"/>
      <c r="H164" s="42"/>
      <c r="I164" s="42"/>
    </row>
    <row r="165" spans="1:9" x14ac:dyDescent="0.25">
      <c r="A165" s="42"/>
      <c r="B165" s="42"/>
      <c r="C165" s="42"/>
      <c r="D165" s="42"/>
      <c r="E165" s="42"/>
      <c r="F165" s="42"/>
      <c r="G165" s="42"/>
      <c r="H165" s="42"/>
      <c r="I165" s="42"/>
    </row>
    <row r="166" spans="1:9" x14ac:dyDescent="0.25">
      <c r="A166" s="42"/>
      <c r="B166" s="42"/>
      <c r="C166" s="42"/>
      <c r="D166" s="42"/>
      <c r="E166" s="42"/>
      <c r="F166" s="42"/>
      <c r="G166" s="42"/>
      <c r="H166" s="42"/>
      <c r="I166" s="42"/>
    </row>
    <row r="167" spans="1:9" x14ac:dyDescent="0.25">
      <c r="A167" s="42"/>
      <c r="B167" s="42"/>
      <c r="C167" s="42"/>
      <c r="D167" s="42"/>
      <c r="E167" s="42"/>
      <c r="F167" s="42"/>
      <c r="G167" s="42"/>
      <c r="H167" s="42"/>
      <c r="I167" s="42"/>
    </row>
    <row r="168" spans="1:9" x14ac:dyDescent="0.25">
      <c r="A168" s="42"/>
      <c r="B168" s="42"/>
      <c r="C168" s="42"/>
      <c r="D168" s="42"/>
      <c r="E168" s="42"/>
      <c r="F168" s="42"/>
      <c r="G168" s="42"/>
      <c r="H168" s="42"/>
      <c r="I168" s="42"/>
    </row>
    <row r="169" spans="1:9" x14ac:dyDescent="0.25">
      <c r="A169" s="42"/>
      <c r="B169" s="42"/>
      <c r="C169" s="42"/>
      <c r="D169" s="42"/>
      <c r="E169" s="42"/>
      <c r="F169" s="42"/>
      <c r="G169" s="42"/>
      <c r="H169" s="42"/>
      <c r="I169" s="42"/>
    </row>
    <row r="170" spans="1:9" x14ac:dyDescent="0.25">
      <c r="A170" s="42"/>
      <c r="B170" s="42"/>
      <c r="C170" s="42"/>
      <c r="D170" s="42"/>
      <c r="E170" s="42"/>
      <c r="F170" s="42"/>
      <c r="G170" s="42"/>
      <c r="H170" s="42"/>
      <c r="I170" s="42"/>
    </row>
    <row r="171" spans="1:9" x14ac:dyDescent="0.25">
      <c r="A171" s="42"/>
      <c r="B171" s="42"/>
      <c r="C171" s="42"/>
      <c r="D171" s="42"/>
      <c r="E171" s="42"/>
      <c r="F171" s="42"/>
      <c r="G171" s="42"/>
      <c r="H171" s="42"/>
      <c r="I171" s="42"/>
    </row>
    <row r="172" spans="1:9" x14ac:dyDescent="0.25">
      <c r="A172" s="42"/>
      <c r="B172" s="42"/>
      <c r="C172" s="42"/>
      <c r="D172" s="42"/>
      <c r="E172" s="42"/>
      <c r="F172" s="42"/>
      <c r="G172" s="42"/>
      <c r="H172" s="42"/>
      <c r="I172" s="42"/>
    </row>
    <row r="173" spans="1:9" x14ac:dyDescent="0.25">
      <c r="A173" s="42"/>
      <c r="B173" s="42"/>
      <c r="C173" s="42"/>
      <c r="D173" s="42"/>
      <c r="E173" s="42"/>
      <c r="F173" s="42"/>
      <c r="G173" s="42"/>
      <c r="H173" s="42"/>
      <c r="I173" s="42"/>
    </row>
    <row r="174" spans="1:9" x14ac:dyDescent="0.25">
      <c r="A174" s="42"/>
      <c r="B174" s="42"/>
      <c r="C174" s="42"/>
      <c r="D174" s="42"/>
      <c r="E174" s="42"/>
      <c r="F174" s="42"/>
      <c r="G174" s="42"/>
      <c r="H174" s="42"/>
      <c r="I174" s="42"/>
    </row>
    <row r="175" spans="1:9" x14ac:dyDescent="0.25">
      <c r="A175" s="42"/>
      <c r="B175" s="42"/>
      <c r="C175" s="42"/>
      <c r="D175" s="42"/>
      <c r="E175" s="42"/>
      <c r="F175" s="42"/>
      <c r="G175" s="42"/>
      <c r="H175" s="42"/>
      <c r="I175" s="42"/>
    </row>
    <row r="176" spans="1:9" x14ac:dyDescent="0.25">
      <c r="A176" s="42"/>
      <c r="B176" s="42"/>
      <c r="C176" s="42"/>
      <c r="D176" s="42"/>
      <c r="E176" s="42"/>
      <c r="F176" s="42"/>
      <c r="G176" s="42"/>
      <c r="H176" s="42"/>
      <c r="I176" s="42"/>
    </row>
    <row r="177" spans="1:9" x14ac:dyDescent="0.25">
      <c r="A177" s="42"/>
      <c r="B177" s="42"/>
      <c r="C177" s="42"/>
      <c r="D177" s="42"/>
      <c r="E177" s="42"/>
      <c r="F177" s="42"/>
      <c r="G177" s="42"/>
      <c r="H177" s="42"/>
      <c r="I177" s="42"/>
    </row>
    <row r="178" spans="1:9" x14ac:dyDescent="0.25">
      <c r="A178" s="42"/>
      <c r="B178" s="42"/>
      <c r="C178" s="42"/>
      <c r="D178" s="42"/>
      <c r="E178" s="42"/>
      <c r="F178" s="42"/>
      <c r="G178" s="42"/>
      <c r="H178" s="42"/>
      <c r="I178" s="42"/>
    </row>
    <row r="179" spans="1:9" x14ac:dyDescent="0.25">
      <c r="A179" s="42"/>
      <c r="B179" s="42"/>
      <c r="C179" s="42"/>
      <c r="D179" s="42"/>
      <c r="E179" s="42"/>
      <c r="F179" s="42"/>
      <c r="G179" s="42"/>
      <c r="H179" s="42"/>
      <c r="I179" s="42"/>
    </row>
    <row r="180" spans="1:9" x14ac:dyDescent="0.25">
      <c r="A180" s="42"/>
      <c r="B180" s="42"/>
      <c r="C180" s="42"/>
      <c r="D180" s="42"/>
      <c r="E180" s="42"/>
      <c r="F180" s="42"/>
      <c r="G180" s="42"/>
      <c r="H180" s="42"/>
      <c r="I180" s="42"/>
    </row>
    <row r="181" spans="1:9" x14ac:dyDescent="0.25">
      <c r="A181" s="42"/>
      <c r="B181" s="42"/>
      <c r="C181" s="42"/>
      <c r="D181" s="42"/>
      <c r="E181" s="42"/>
      <c r="F181" s="42"/>
      <c r="G181" s="42"/>
      <c r="H181" s="42"/>
      <c r="I181" s="42"/>
    </row>
    <row r="182" spans="1:9" x14ac:dyDescent="0.25">
      <c r="A182" s="42"/>
      <c r="B182" s="42"/>
      <c r="C182" s="42"/>
      <c r="D182" s="42"/>
      <c r="E182" s="42"/>
      <c r="F182" s="42"/>
      <c r="G182" s="42"/>
      <c r="H182" s="42"/>
      <c r="I182" s="42"/>
    </row>
    <row r="183" spans="1:9" x14ac:dyDescent="0.25">
      <c r="A183" s="42"/>
      <c r="B183" s="42"/>
      <c r="C183" s="42"/>
      <c r="D183" s="42"/>
      <c r="E183" s="42"/>
      <c r="F183" s="42"/>
      <c r="G183" s="42"/>
      <c r="H183" s="42"/>
      <c r="I183" s="42"/>
    </row>
    <row r="184" spans="1:9" x14ac:dyDescent="0.25">
      <c r="A184" s="42"/>
      <c r="B184" s="42"/>
      <c r="C184" s="42"/>
      <c r="D184" s="42"/>
      <c r="E184" s="42"/>
      <c r="F184" s="42"/>
      <c r="G184" s="42"/>
      <c r="H184" s="42"/>
      <c r="I184" s="42"/>
    </row>
    <row r="185" spans="1:9" x14ac:dyDescent="0.25">
      <c r="A185" s="42"/>
      <c r="B185" s="42"/>
      <c r="C185" s="42"/>
      <c r="D185" s="42"/>
      <c r="E185" s="42"/>
      <c r="F185" s="42"/>
      <c r="G185" s="42"/>
      <c r="H185" s="42"/>
      <c r="I185" s="42"/>
    </row>
    <row r="186" spans="1:9" x14ac:dyDescent="0.25">
      <c r="A186" s="42"/>
      <c r="B186" s="42"/>
      <c r="C186" s="42"/>
      <c r="D186" s="42"/>
      <c r="E186" s="42"/>
      <c r="F186" s="42"/>
      <c r="G186" s="42"/>
      <c r="H186" s="42"/>
      <c r="I186" s="42"/>
    </row>
    <row r="187" spans="1:9" x14ac:dyDescent="0.25">
      <c r="A187" s="42"/>
      <c r="B187" s="42"/>
      <c r="C187" s="42"/>
      <c r="D187" s="42"/>
      <c r="E187" s="42"/>
      <c r="F187" s="42"/>
      <c r="G187" s="42"/>
      <c r="H187" s="42"/>
      <c r="I187" s="42"/>
    </row>
    <row r="188" spans="1:9" x14ac:dyDescent="0.25">
      <c r="A188" s="42"/>
      <c r="B188" s="42"/>
      <c r="C188" s="42"/>
      <c r="D188" s="42"/>
      <c r="E188" s="42"/>
      <c r="F188" s="42"/>
      <c r="G188" s="42"/>
      <c r="H188" s="42"/>
      <c r="I188" s="42"/>
    </row>
    <row r="189" spans="1:9" x14ac:dyDescent="0.25">
      <c r="A189" s="42"/>
      <c r="B189" s="42"/>
      <c r="C189" s="42"/>
      <c r="D189" s="42"/>
      <c r="E189" s="42"/>
      <c r="F189" s="42"/>
      <c r="G189" s="42"/>
      <c r="H189" s="42"/>
      <c r="I189" s="42"/>
    </row>
    <row r="190" spans="1:9" x14ac:dyDescent="0.25">
      <c r="A190" s="42"/>
      <c r="B190" s="42"/>
      <c r="C190" s="42"/>
      <c r="D190" s="42"/>
      <c r="E190" s="42"/>
      <c r="F190" s="42"/>
      <c r="G190" s="42"/>
      <c r="H190" s="42"/>
      <c r="I190" s="42"/>
    </row>
    <row r="191" spans="1:9" x14ac:dyDescent="0.25">
      <c r="A191" s="42"/>
      <c r="B191" s="42"/>
      <c r="C191" s="42"/>
      <c r="D191" s="42"/>
      <c r="E191" s="42"/>
      <c r="F191" s="42"/>
      <c r="G191" s="42"/>
      <c r="H191" s="42"/>
      <c r="I191" s="42"/>
    </row>
    <row r="192" spans="1:9" x14ac:dyDescent="0.25">
      <c r="A192" s="42"/>
      <c r="B192" s="42"/>
      <c r="C192" s="42"/>
      <c r="D192" s="42"/>
      <c r="E192" s="42"/>
      <c r="F192" s="42"/>
      <c r="G192" s="42"/>
      <c r="H192" s="42"/>
      <c r="I192" s="42"/>
    </row>
    <row r="193" spans="1:9" x14ac:dyDescent="0.25">
      <c r="A193" s="42"/>
      <c r="B193" s="42"/>
      <c r="C193" s="42"/>
      <c r="D193" s="42"/>
      <c r="E193" s="42"/>
      <c r="F193" s="42"/>
      <c r="G193" s="42"/>
      <c r="H193" s="42"/>
      <c r="I193" s="42"/>
    </row>
    <row r="194" spans="1:9" x14ac:dyDescent="0.25">
      <c r="A194" s="42"/>
      <c r="B194" s="42"/>
      <c r="C194" s="42"/>
      <c r="D194" s="42"/>
      <c r="E194" s="42"/>
      <c r="F194" s="42"/>
      <c r="G194" s="42"/>
      <c r="H194" s="42"/>
      <c r="I194" s="42"/>
    </row>
    <row r="195" spans="1:9" x14ac:dyDescent="0.25">
      <c r="A195" s="42"/>
      <c r="B195" s="42"/>
      <c r="C195" s="42"/>
      <c r="D195" s="42"/>
      <c r="E195" s="42"/>
      <c r="F195" s="42"/>
      <c r="G195" s="42"/>
      <c r="H195" s="42"/>
      <c r="I195" s="42"/>
    </row>
    <row r="196" spans="1:9" x14ac:dyDescent="0.25">
      <c r="A196" s="42"/>
      <c r="B196" s="42"/>
      <c r="C196" s="42"/>
      <c r="D196" s="42"/>
      <c r="E196" s="42"/>
      <c r="F196" s="42"/>
      <c r="G196" s="42"/>
      <c r="H196" s="42"/>
      <c r="I196" s="42"/>
    </row>
    <row r="197" spans="1:9" x14ac:dyDescent="0.25">
      <c r="A197" s="42"/>
      <c r="B197" s="42"/>
      <c r="C197" s="42"/>
      <c r="D197" s="42"/>
      <c r="E197" s="42"/>
      <c r="F197" s="42"/>
      <c r="G197" s="42"/>
      <c r="H197" s="42"/>
      <c r="I197" s="42"/>
    </row>
    <row r="198" spans="1:9" x14ac:dyDescent="0.25">
      <c r="A198" s="42"/>
      <c r="B198" s="42"/>
      <c r="C198" s="42"/>
      <c r="D198" s="42"/>
      <c r="E198" s="42"/>
      <c r="F198" s="42"/>
      <c r="G198" s="42"/>
      <c r="H198" s="42"/>
      <c r="I198" s="42"/>
    </row>
    <row r="199" spans="1:9" x14ac:dyDescent="0.25">
      <c r="A199" s="42"/>
      <c r="B199" s="42"/>
      <c r="C199" s="42"/>
      <c r="D199" s="42"/>
      <c r="E199" s="42"/>
      <c r="F199" s="42"/>
      <c r="G199" s="42"/>
      <c r="H199" s="42"/>
      <c r="I199" s="42"/>
    </row>
    <row r="200" spans="1:9" x14ac:dyDescent="0.25">
      <c r="A200" s="42"/>
      <c r="B200" s="42"/>
      <c r="C200" s="42"/>
      <c r="D200" s="42"/>
      <c r="E200" s="42"/>
      <c r="F200" s="42"/>
      <c r="G200" s="42"/>
      <c r="H200" s="42"/>
      <c r="I200" s="42"/>
    </row>
    <row r="201" spans="1:9" x14ac:dyDescent="0.25">
      <c r="A201" s="42"/>
      <c r="B201" s="42"/>
      <c r="C201" s="42"/>
      <c r="D201" s="42"/>
      <c r="E201" s="42"/>
      <c r="F201" s="42"/>
      <c r="G201" s="42"/>
      <c r="H201" s="42"/>
      <c r="I201" s="42"/>
    </row>
    <row r="202" spans="1:9" x14ac:dyDescent="0.25">
      <c r="A202" s="42"/>
      <c r="B202" s="42"/>
      <c r="C202" s="42"/>
      <c r="D202" s="42"/>
      <c r="E202" s="42"/>
      <c r="F202" s="42"/>
      <c r="G202" s="42"/>
      <c r="H202" s="42"/>
      <c r="I202" s="42"/>
    </row>
    <row r="203" spans="1:9" x14ac:dyDescent="0.25">
      <c r="A203" s="42"/>
      <c r="B203" s="42"/>
      <c r="C203" s="42"/>
      <c r="D203" s="42"/>
      <c r="E203" s="42"/>
      <c r="F203" s="42"/>
      <c r="G203" s="42"/>
      <c r="H203" s="42"/>
      <c r="I203" s="42"/>
    </row>
    <row r="204" spans="1:9" x14ac:dyDescent="0.25">
      <c r="A204" s="42"/>
      <c r="B204" s="42"/>
      <c r="C204" s="42"/>
      <c r="D204" s="42"/>
      <c r="E204" s="42"/>
      <c r="F204" s="42"/>
      <c r="G204" s="42"/>
      <c r="H204" s="42"/>
      <c r="I204" s="42"/>
    </row>
    <row r="205" spans="1:9" x14ac:dyDescent="0.25">
      <c r="A205" s="42"/>
      <c r="B205" s="42"/>
      <c r="C205" s="42"/>
      <c r="D205" s="42"/>
      <c r="E205" s="42"/>
      <c r="F205" s="42"/>
      <c r="G205" s="42"/>
      <c r="H205" s="42"/>
      <c r="I205" s="42"/>
    </row>
    <row r="206" spans="1:9" x14ac:dyDescent="0.25">
      <c r="A206" s="42"/>
      <c r="B206" s="42"/>
      <c r="C206" s="42"/>
      <c r="D206" s="42"/>
      <c r="E206" s="42"/>
      <c r="F206" s="42"/>
      <c r="G206" s="42"/>
      <c r="H206" s="42"/>
      <c r="I206" s="42"/>
    </row>
    <row r="207" spans="1:9" x14ac:dyDescent="0.25">
      <c r="A207" s="42"/>
      <c r="B207" s="42"/>
      <c r="C207" s="42"/>
      <c r="D207" s="42"/>
      <c r="E207" s="42"/>
      <c r="F207" s="42"/>
      <c r="G207" s="42"/>
      <c r="H207" s="42"/>
      <c r="I207" s="42"/>
    </row>
    <row r="208" spans="1:9" x14ac:dyDescent="0.25">
      <c r="A208" s="42"/>
      <c r="B208" s="42"/>
      <c r="C208" s="42"/>
      <c r="D208" s="42"/>
      <c r="E208" s="42"/>
      <c r="F208" s="42"/>
      <c r="G208" s="42"/>
      <c r="H208" s="42"/>
      <c r="I208" s="42"/>
    </row>
    <row r="209" spans="1:9" x14ac:dyDescent="0.25">
      <c r="A209" s="42"/>
      <c r="B209" s="42"/>
      <c r="C209" s="42"/>
      <c r="D209" s="42"/>
      <c r="E209" s="42"/>
      <c r="F209" s="42"/>
      <c r="G209" s="42"/>
      <c r="H209" s="42"/>
      <c r="I209" s="42"/>
    </row>
    <row r="210" spans="1:9" x14ac:dyDescent="0.25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9" x14ac:dyDescent="0.25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9" x14ac:dyDescent="0.25">
      <c r="A212" s="42"/>
      <c r="B212" s="42"/>
      <c r="C212" s="42"/>
      <c r="D212" s="42"/>
      <c r="E212" s="42"/>
      <c r="F212" s="42"/>
      <c r="G212" s="42"/>
      <c r="H212" s="42"/>
      <c r="I212" s="42"/>
    </row>
    <row r="213" spans="1:9" x14ac:dyDescent="0.25">
      <c r="A213" s="42"/>
      <c r="B213" s="42"/>
      <c r="C213" s="42"/>
      <c r="D213" s="42"/>
      <c r="E213" s="42"/>
      <c r="F213" s="42"/>
      <c r="G213" s="42"/>
      <c r="H213" s="42"/>
      <c r="I213" s="42"/>
    </row>
    <row r="214" spans="1:9" x14ac:dyDescent="0.25">
      <c r="A214" s="42"/>
      <c r="B214" s="42"/>
      <c r="C214" s="42"/>
      <c r="D214" s="42"/>
      <c r="E214" s="42"/>
      <c r="F214" s="42"/>
      <c r="G214" s="42"/>
      <c r="H214" s="42"/>
      <c r="I214" s="42"/>
    </row>
    <row r="215" spans="1:9" x14ac:dyDescent="0.25">
      <c r="A215" s="42"/>
      <c r="B215" s="42"/>
      <c r="C215" s="42"/>
      <c r="D215" s="42"/>
      <c r="E215" s="42"/>
      <c r="F215" s="42"/>
      <c r="G215" s="42"/>
      <c r="H215" s="42"/>
      <c r="I215" s="42"/>
    </row>
    <row r="216" spans="1:9" x14ac:dyDescent="0.25">
      <c r="A216" s="42"/>
      <c r="B216" s="42"/>
      <c r="C216" s="42"/>
      <c r="D216" s="42"/>
      <c r="E216" s="42"/>
      <c r="F216" s="42"/>
      <c r="G216" s="42"/>
      <c r="H216" s="42"/>
      <c r="I216" s="42"/>
    </row>
    <row r="217" spans="1:9" x14ac:dyDescent="0.25">
      <c r="A217" s="42"/>
      <c r="B217" s="42"/>
      <c r="C217" s="42"/>
      <c r="D217" s="42"/>
      <c r="E217" s="42"/>
      <c r="F217" s="42"/>
      <c r="G217" s="42"/>
      <c r="H217" s="42"/>
      <c r="I217" s="42"/>
    </row>
    <row r="218" spans="1:9" x14ac:dyDescent="0.25">
      <c r="A218" s="42"/>
      <c r="B218" s="42"/>
      <c r="C218" s="42"/>
      <c r="D218" s="42"/>
      <c r="E218" s="42"/>
      <c r="F218" s="42"/>
      <c r="G218" s="42"/>
      <c r="H218" s="42"/>
      <c r="I218" s="42"/>
    </row>
    <row r="219" spans="1:9" x14ac:dyDescent="0.25">
      <c r="A219" s="42"/>
      <c r="B219" s="42"/>
      <c r="C219" s="42"/>
      <c r="D219" s="42"/>
      <c r="E219" s="42"/>
      <c r="F219" s="42"/>
      <c r="G219" s="42"/>
      <c r="H219" s="42"/>
      <c r="I219" s="42"/>
    </row>
    <row r="220" spans="1:9" x14ac:dyDescent="0.25">
      <c r="A220" s="42"/>
      <c r="B220" s="42"/>
      <c r="C220" s="42"/>
      <c r="D220" s="42"/>
      <c r="E220" s="42"/>
      <c r="F220" s="42"/>
      <c r="G220" s="42"/>
      <c r="H220" s="42"/>
      <c r="I220" s="42"/>
    </row>
    <row r="221" spans="1:9" x14ac:dyDescent="0.25">
      <c r="A221" s="42"/>
      <c r="B221" s="42"/>
      <c r="C221" s="42"/>
      <c r="D221" s="42"/>
      <c r="E221" s="42"/>
      <c r="F221" s="42"/>
      <c r="G221" s="42"/>
      <c r="H221" s="42"/>
      <c r="I221" s="42"/>
    </row>
    <row r="222" spans="1:9" x14ac:dyDescent="0.25">
      <c r="A222" s="42"/>
      <c r="B222" s="42"/>
      <c r="C222" s="42"/>
      <c r="D222" s="42"/>
      <c r="E222" s="42"/>
      <c r="F222" s="42"/>
      <c r="G222" s="42"/>
      <c r="H222" s="42"/>
      <c r="I222" s="42"/>
    </row>
    <row r="223" spans="1:9" x14ac:dyDescent="0.25">
      <c r="A223" s="42"/>
      <c r="B223" s="42"/>
      <c r="C223" s="42"/>
      <c r="D223" s="42"/>
      <c r="E223" s="42"/>
      <c r="F223" s="42"/>
      <c r="G223" s="42"/>
      <c r="H223" s="42"/>
      <c r="I223" s="42"/>
    </row>
    <row r="224" spans="1:9" x14ac:dyDescent="0.25">
      <c r="A224" s="42"/>
      <c r="B224" s="42"/>
      <c r="C224" s="42"/>
      <c r="D224" s="42"/>
      <c r="E224" s="42"/>
      <c r="F224" s="42"/>
      <c r="G224" s="42"/>
      <c r="H224" s="42"/>
      <c r="I224" s="42"/>
    </row>
    <row r="225" spans="1:9" x14ac:dyDescent="0.25">
      <c r="A225" s="42"/>
      <c r="B225" s="42"/>
      <c r="C225" s="42"/>
      <c r="D225" s="42"/>
      <c r="E225" s="42"/>
      <c r="F225" s="42"/>
      <c r="G225" s="42"/>
      <c r="H225" s="42"/>
      <c r="I225" s="42"/>
    </row>
    <row r="226" spans="1:9" x14ac:dyDescent="0.25">
      <c r="A226" s="42"/>
      <c r="B226" s="42"/>
      <c r="C226" s="42"/>
      <c r="D226" s="42"/>
      <c r="E226" s="42"/>
      <c r="F226" s="42"/>
      <c r="G226" s="42"/>
      <c r="H226" s="42"/>
      <c r="I226" s="42"/>
    </row>
    <row r="227" spans="1:9" x14ac:dyDescent="0.25">
      <c r="A227" s="42"/>
      <c r="B227" s="42"/>
      <c r="C227" s="42"/>
      <c r="D227" s="42"/>
      <c r="E227" s="42"/>
      <c r="F227" s="42"/>
      <c r="G227" s="42"/>
      <c r="H227" s="42"/>
      <c r="I227" s="42"/>
    </row>
    <row r="228" spans="1:9" x14ac:dyDescent="0.25">
      <c r="A228" s="42"/>
      <c r="B228" s="42"/>
      <c r="C228" s="42"/>
      <c r="D228" s="42"/>
      <c r="E228" s="42"/>
      <c r="F228" s="42"/>
      <c r="G228" s="42"/>
      <c r="H228" s="42"/>
      <c r="I228" s="42"/>
    </row>
    <row r="229" spans="1:9" x14ac:dyDescent="0.25">
      <c r="A229" s="42"/>
      <c r="B229" s="42"/>
      <c r="C229" s="42"/>
      <c r="D229" s="42"/>
      <c r="E229" s="42"/>
      <c r="F229" s="42"/>
      <c r="G229" s="42"/>
      <c r="H229" s="42"/>
      <c r="I229" s="42"/>
    </row>
    <row r="230" spans="1:9" x14ac:dyDescent="0.25">
      <c r="A230" s="42"/>
      <c r="B230" s="42"/>
      <c r="C230" s="42"/>
      <c r="D230" s="42"/>
      <c r="E230" s="42"/>
      <c r="F230" s="42"/>
      <c r="G230" s="42"/>
      <c r="H230" s="42"/>
      <c r="I230" s="42"/>
    </row>
    <row r="231" spans="1:9" x14ac:dyDescent="0.25">
      <c r="A231" s="42"/>
      <c r="B231" s="42"/>
      <c r="C231" s="42"/>
      <c r="D231" s="42"/>
      <c r="E231" s="42"/>
      <c r="F231" s="42"/>
      <c r="G231" s="42"/>
      <c r="H231" s="42"/>
      <c r="I231" s="42"/>
    </row>
    <row r="232" spans="1:9" x14ac:dyDescent="0.25">
      <c r="A232" s="42"/>
      <c r="B232" s="42"/>
      <c r="C232" s="42"/>
      <c r="D232" s="42"/>
      <c r="E232" s="42"/>
      <c r="F232" s="42"/>
      <c r="G232" s="42"/>
      <c r="H232" s="42"/>
      <c r="I232" s="42"/>
    </row>
    <row r="233" spans="1:9" x14ac:dyDescent="0.25">
      <c r="A233" s="42"/>
      <c r="B233" s="42"/>
      <c r="C233" s="42"/>
      <c r="D233" s="42"/>
      <c r="E233" s="42"/>
      <c r="F233" s="42"/>
      <c r="G233" s="42"/>
      <c r="H233" s="42"/>
      <c r="I233" s="42"/>
    </row>
    <row r="234" spans="1:9" x14ac:dyDescent="0.25">
      <c r="A234" s="42"/>
      <c r="B234" s="42"/>
      <c r="C234" s="42"/>
      <c r="D234" s="42"/>
      <c r="E234" s="42"/>
      <c r="F234" s="42"/>
      <c r="G234" s="42"/>
      <c r="H234" s="42"/>
      <c r="I234" s="42"/>
    </row>
    <row r="235" spans="1:9" x14ac:dyDescent="0.25">
      <c r="A235" s="42"/>
      <c r="B235" s="42"/>
      <c r="C235" s="42"/>
      <c r="D235" s="42"/>
      <c r="E235" s="42"/>
      <c r="F235" s="42"/>
      <c r="G235" s="42"/>
      <c r="H235" s="42"/>
      <c r="I235" s="42"/>
    </row>
    <row r="236" spans="1:9" x14ac:dyDescent="0.25">
      <c r="A236" s="42"/>
      <c r="B236" s="42"/>
      <c r="C236" s="42"/>
      <c r="D236" s="42"/>
      <c r="E236" s="42"/>
      <c r="F236" s="42"/>
      <c r="G236" s="42"/>
      <c r="H236" s="42"/>
      <c r="I236" s="42"/>
    </row>
    <row r="237" spans="1:9" x14ac:dyDescent="0.25">
      <c r="A237" s="42"/>
      <c r="B237" s="42"/>
      <c r="C237" s="42"/>
      <c r="D237" s="42"/>
      <c r="E237" s="42"/>
      <c r="F237" s="42"/>
      <c r="G237" s="42"/>
      <c r="H237" s="42"/>
      <c r="I237" s="42"/>
    </row>
    <row r="238" spans="1:9" x14ac:dyDescent="0.25">
      <c r="A238" s="42"/>
      <c r="B238" s="42"/>
      <c r="C238" s="42"/>
      <c r="D238" s="42"/>
      <c r="E238" s="42"/>
      <c r="F238" s="42"/>
      <c r="G238" s="42"/>
      <c r="H238" s="42"/>
      <c r="I238" s="42"/>
    </row>
    <row r="239" spans="1:9" x14ac:dyDescent="0.25">
      <c r="A239" s="42"/>
      <c r="B239" s="42"/>
      <c r="C239" s="42"/>
      <c r="D239" s="42"/>
      <c r="E239" s="42"/>
      <c r="F239" s="42"/>
      <c r="G239" s="42"/>
      <c r="H239" s="42"/>
      <c r="I239" s="42"/>
    </row>
    <row r="240" spans="1:9" x14ac:dyDescent="0.25">
      <c r="A240" s="42"/>
      <c r="B240" s="42"/>
      <c r="C240" s="42"/>
      <c r="D240" s="42"/>
      <c r="E240" s="42"/>
      <c r="F240" s="42"/>
      <c r="G240" s="42"/>
      <c r="H240" s="42"/>
      <c r="I240" s="42"/>
    </row>
    <row r="241" spans="1:9" x14ac:dyDescent="0.25">
      <c r="A241" s="42"/>
      <c r="B241" s="42"/>
      <c r="C241" s="42"/>
      <c r="D241" s="42"/>
      <c r="E241" s="42"/>
      <c r="F241" s="42"/>
      <c r="G241" s="42"/>
      <c r="H241" s="42"/>
      <c r="I241" s="42"/>
    </row>
    <row r="242" spans="1:9" x14ac:dyDescent="0.25">
      <c r="A242" s="42"/>
      <c r="B242" s="42"/>
      <c r="C242" s="42"/>
      <c r="D242" s="42"/>
      <c r="E242" s="42"/>
      <c r="F242" s="42"/>
      <c r="G242" s="42"/>
      <c r="H242" s="42"/>
      <c r="I242" s="42"/>
    </row>
    <row r="243" spans="1:9" x14ac:dyDescent="0.25">
      <c r="A243" s="42"/>
      <c r="B243" s="42"/>
      <c r="C243" s="42"/>
      <c r="D243" s="42"/>
      <c r="E243" s="42"/>
      <c r="F243" s="42"/>
      <c r="G243" s="42"/>
      <c r="H243" s="42"/>
      <c r="I243" s="42"/>
    </row>
    <row r="244" spans="1:9" x14ac:dyDescent="0.25">
      <c r="A244" s="42"/>
      <c r="B244" s="42"/>
      <c r="C244" s="42"/>
      <c r="D244" s="42"/>
      <c r="E244" s="42"/>
      <c r="F244" s="42"/>
      <c r="G244" s="42"/>
      <c r="H244" s="42"/>
      <c r="I244" s="42"/>
    </row>
    <row r="245" spans="1:9" x14ac:dyDescent="0.25">
      <c r="A245" s="42"/>
      <c r="B245" s="42"/>
      <c r="C245" s="42"/>
      <c r="D245" s="42"/>
      <c r="E245" s="42"/>
      <c r="F245" s="42"/>
      <c r="G245" s="42"/>
      <c r="H245" s="42"/>
      <c r="I245" s="42"/>
    </row>
    <row r="246" spans="1:9" x14ac:dyDescent="0.25">
      <c r="A246" s="42"/>
      <c r="B246" s="42"/>
      <c r="C246" s="42"/>
      <c r="D246" s="42"/>
      <c r="E246" s="42"/>
      <c r="F246" s="42"/>
      <c r="G246" s="42"/>
      <c r="H246" s="42"/>
      <c r="I246" s="42"/>
    </row>
    <row r="247" spans="1:9" x14ac:dyDescent="0.25">
      <c r="A247" s="42"/>
      <c r="B247" s="42"/>
      <c r="C247" s="42"/>
      <c r="D247" s="42"/>
      <c r="E247" s="42"/>
      <c r="F247" s="42"/>
      <c r="G247" s="42"/>
      <c r="H247" s="42"/>
      <c r="I247" s="42"/>
    </row>
    <row r="248" spans="1:9" x14ac:dyDescent="0.25">
      <c r="A248" s="42"/>
      <c r="B248" s="42"/>
      <c r="C248" s="42"/>
      <c r="D248" s="42"/>
      <c r="E248" s="42"/>
      <c r="F248" s="42"/>
      <c r="G248" s="42"/>
      <c r="H248" s="42"/>
      <c r="I248" s="42"/>
    </row>
    <row r="249" spans="1:9" x14ac:dyDescent="0.25">
      <c r="A249" s="42"/>
      <c r="B249" s="42"/>
      <c r="C249" s="42"/>
      <c r="D249" s="42"/>
      <c r="E249" s="42"/>
      <c r="F249" s="42"/>
      <c r="G249" s="42"/>
      <c r="H249" s="42"/>
      <c r="I249" s="42"/>
    </row>
    <row r="250" spans="1:9" x14ac:dyDescent="0.25">
      <c r="A250" s="42"/>
      <c r="B250" s="42"/>
      <c r="C250" s="42"/>
      <c r="D250" s="42"/>
      <c r="E250" s="42"/>
      <c r="F250" s="42"/>
      <c r="G250" s="42"/>
      <c r="H250" s="42"/>
      <c r="I250" s="42"/>
    </row>
    <row r="251" spans="1:9" x14ac:dyDescent="0.25">
      <c r="A251" s="42"/>
      <c r="B251" s="42"/>
      <c r="C251" s="42"/>
      <c r="D251" s="42"/>
      <c r="E251" s="42"/>
      <c r="F251" s="42"/>
      <c r="G251" s="42"/>
      <c r="H251" s="42"/>
      <c r="I251" s="42"/>
    </row>
    <row r="252" spans="1:9" x14ac:dyDescent="0.25">
      <c r="A252" s="42"/>
      <c r="B252" s="42"/>
      <c r="C252" s="42"/>
      <c r="D252" s="42"/>
      <c r="E252" s="42"/>
      <c r="F252" s="42"/>
      <c r="G252" s="42"/>
      <c r="H252" s="42"/>
      <c r="I252" s="42"/>
    </row>
    <row r="253" spans="1:9" x14ac:dyDescent="0.25">
      <c r="A253" s="42"/>
      <c r="B253" s="42"/>
      <c r="C253" s="42"/>
      <c r="D253" s="42"/>
      <c r="E253" s="42"/>
      <c r="F253" s="42"/>
      <c r="G253" s="42"/>
      <c r="H253" s="42"/>
      <c r="I253" s="42"/>
    </row>
    <row r="254" spans="1:9" x14ac:dyDescent="0.25">
      <c r="A254" s="42"/>
      <c r="B254" s="42"/>
      <c r="C254" s="42"/>
      <c r="D254" s="42"/>
      <c r="E254" s="42"/>
      <c r="F254" s="42"/>
      <c r="G254" s="42"/>
      <c r="H254" s="42"/>
      <c r="I254" s="42"/>
    </row>
    <row r="255" spans="1:9" x14ac:dyDescent="0.25">
      <c r="A255" s="42"/>
      <c r="B255" s="42"/>
      <c r="C255" s="42"/>
      <c r="D255" s="42"/>
      <c r="E255" s="42"/>
      <c r="F255" s="42"/>
      <c r="G255" s="42"/>
      <c r="H255" s="42"/>
      <c r="I255" s="42"/>
    </row>
    <row r="256" spans="1:9" x14ac:dyDescent="0.25">
      <c r="A256" s="42"/>
      <c r="B256" s="42"/>
      <c r="C256" s="42"/>
      <c r="D256" s="42"/>
      <c r="E256" s="42"/>
      <c r="F256" s="42"/>
      <c r="G256" s="42"/>
      <c r="H256" s="42"/>
      <c r="I256" s="42"/>
    </row>
    <row r="257" spans="1:9" x14ac:dyDescent="0.25">
      <c r="A257" s="42"/>
      <c r="B257" s="42"/>
      <c r="C257" s="42"/>
      <c r="D257" s="42"/>
      <c r="E257" s="42"/>
      <c r="F257" s="42"/>
      <c r="G257" s="42"/>
      <c r="H257" s="42"/>
      <c r="I257" s="42"/>
    </row>
    <row r="258" spans="1:9" x14ac:dyDescent="0.25">
      <c r="A258" s="42"/>
      <c r="B258" s="42"/>
      <c r="C258" s="42"/>
      <c r="D258" s="42"/>
      <c r="E258" s="42"/>
      <c r="F258" s="42"/>
      <c r="G258" s="42"/>
      <c r="H258" s="42"/>
      <c r="I258" s="42"/>
    </row>
    <row r="259" spans="1:9" x14ac:dyDescent="0.25">
      <c r="A259" s="42"/>
      <c r="B259" s="42"/>
      <c r="C259" s="42"/>
      <c r="D259" s="42"/>
      <c r="E259" s="42"/>
      <c r="F259" s="42"/>
      <c r="G259" s="42"/>
      <c r="H259" s="42"/>
      <c r="I259" s="42"/>
    </row>
    <row r="260" spans="1:9" x14ac:dyDescent="0.25">
      <c r="A260" s="42"/>
      <c r="B260" s="42"/>
      <c r="C260" s="42"/>
      <c r="D260" s="42"/>
      <c r="E260" s="42"/>
      <c r="F260" s="42"/>
      <c r="G260" s="42"/>
      <c r="H260" s="42"/>
      <c r="I260" s="42"/>
    </row>
    <row r="261" spans="1:9" x14ac:dyDescent="0.25">
      <c r="A261" s="42"/>
      <c r="B261" s="42"/>
      <c r="C261" s="42"/>
      <c r="D261" s="42"/>
      <c r="E261" s="42"/>
      <c r="F261" s="42"/>
      <c r="G261" s="42"/>
      <c r="H261" s="42"/>
      <c r="I261" s="42"/>
    </row>
    <row r="262" spans="1:9" x14ac:dyDescent="0.25">
      <c r="A262" s="42"/>
      <c r="B262" s="42"/>
      <c r="C262" s="42"/>
      <c r="D262" s="42"/>
      <c r="E262" s="42"/>
      <c r="F262" s="42"/>
      <c r="G262" s="42"/>
      <c r="H262" s="42"/>
      <c r="I262" s="42"/>
    </row>
    <row r="263" spans="1:9" x14ac:dyDescent="0.25">
      <c r="A263" s="42"/>
      <c r="B263" s="42"/>
      <c r="C263" s="42"/>
      <c r="D263" s="42"/>
      <c r="E263" s="42"/>
      <c r="F263" s="42"/>
      <c r="G263" s="42"/>
      <c r="H263" s="42"/>
      <c r="I263" s="42"/>
    </row>
    <row r="264" spans="1:9" x14ac:dyDescent="0.25">
      <c r="A264" s="42"/>
      <c r="B264" s="42"/>
      <c r="C264" s="42"/>
      <c r="D264" s="42"/>
      <c r="E264" s="42"/>
      <c r="F264" s="42"/>
      <c r="G264" s="42"/>
      <c r="H264" s="42"/>
      <c r="I264" s="42"/>
    </row>
    <row r="265" spans="1:9" x14ac:dyDescent="0.25">
      <c r="A265" s="42"/>
      <c r="B265" s="42"/>
      <c r="C265" s="42"/>
      <c r="D265" s="42"/>
      <c r="E265" s="42"/>
      <c r="F265" s="42"/>
      <c r="G265" s="42"/>
      <c r="H265" s="42"/>
      <c r="I265" s="42"/>
    </row>
    <row r="266" spans="1:9" x14ac:dyDescent="0.25">
      <c r="A266" s="42"/>
      <c r="B266" s="42"/>
      <c r="C266" s="42"/>
      <c r="D266" s="42"/>
      <c r="E266" s="42"/>
      <c r="F266" s="42"/>
      <c r="G266" s="42"/>
      <c r="H266" s="42"/>
      <c r="I266" s="42"/>
    </row>
    <row r="267" spans="1:9" x14ac:dyDescent="0.25">
      <c r="A267" s="42"/>
      <c r="B267" s="42"/>
      <c r="C267" s="42"/>
      <c r="D267" s="42"/>
      <c r="E267" s="42"/>
      <c r="F267" s="42"/>
      <c r="G267" s="42"/>
      <c r="H267" s="42"/>
      <c r="I267" s="42"/>
    </row>
    <row r="268" spans="1:9" x14ac:dyDescent="0.25">
      <c r="A268" s="42"/>
      <c r="B268" s="42"/>
      <c r="C268" s="42"/>
      <c r="D268" s="42"/>
      <c r="E268" s="42"/>
      <c r="F268" s="42"/>
      <c r="G268" s="42"/>
      <c r="H268" s="42"/>
      <c r="I268" s="42"/>
    </row>
    <row r="269" spans="1:9" x14ac:dyDescent="0.25">
      <c r="A269" s="42"/>
      <c r="B269" s="42"/>
      <c r="C269" s="42"/>
      <c r="D269" s="42"/>
      <c r="E269" s="42"/>
      <c r="F269" s="42"/>
      <c r="G269" s="42"/>
      <c r="H269" s="42"/>
      <c r="I269" s="42"/>
    </row>
    <row r="270" spans="1:9" x14ac:dyDescent="0.25">
      <c r="A270" s="42"/>
      <c r="B270" s="42"/>
      <c r="C270" s="42"/>
      <c r="D270" s="42"/>
      <c r="E270" s="42"/>
      <c r="F270" s="42"/>
      <c r="G270" s="42"/>
      <c r="H270" s="42"/>
      <c r="I270" s="42"/>
    </row>
    <row r="271" spans="1:9" x14ac:dyDescent="0.25">
      <c r="A271" s="42"/>
      <c r="B271" s="42"/>
      <c r="C271" s="42"/>
      <c r="D271" s="42"/>
      <c r="E271" s="42"/>
      <c r="F271" s="42"/>
      <c r="G271" s="42"/>
      <c r="H271" s="42"/>
      <c r="I271" s="42"/>
    </row>
    <row r="272" spans="1:9" x14ac:dyDescent="0.25">
      <c r="A272" s="42"/>
      <c r="B272" s="42"/>
      <c r="C272" s="42"/>
      <c r="D272" s="42"/>
      <c r="E272" s="42"/>
      <c r="F272" s="42"/>
      <c r="G272" s="42"/>
      <c r="H272" s="42"/>
      <c r="I272" s="42"/>
    </row>
    <row r="273" spans="1:9" x14ac:dyDescent="0.25">
      <c r="A273" s="42"/>
      <c r="B273" s="42"/>
      <c r="C273" s="42"/>
      <c r="D273" s="42"/>
      <c r="E273" s="42"/>
      <c r="F273" s="42"/>
      <c r="G273" s="42"/>
      <c r="H273" s="42"/>
      <c r="I273" s="42"/>
    </row>
    <row r="274" spans="1:9" x14ac:dyDescent="0.25">
      <c r="A274" s="42"/>
      <c r="B274" s="42"/>
      <c r="C274" s="42"/>
      <c r="D274" s="42"/>
      <c r="E274" s="42"/>
      <c r="F274" s="42"/>
      <c r="G274" s="42"/>
      <c r="H274" s="42"/>
      <c r="I274" s="42"/>
    </row>
    <row r="275" spans="1:9" x14ac:dyDescent="0.25">
      <c r="A275" s="42"/>
      <c r="B275" s="42"/>
      <c r="C275" s="42"/>
      <c r="D275" s="42"/>
      <c r="E275" s="42"/>
      <c r="F275" s="42"/>
      <c r="G275" s="42"/>
      <c r="H275" s="42"/>
      <c r="I275" s="42"/>
    </row>
    <row r="276" spans="1:9" x14ac:dyDescent="0.25">
      <c r="A276" s="42"/>
      <c r="B276" s="42"/>
      <c r="C276" s="42"/>
      <c r="D276" s="42"/>
      <c r="E276" s="42"/>
      <c r="F276" s="42"/>
      <c r="G276" s="42"/>
      <c r="H276" s="42"/>
      <c r="I276" s="42"/>
    </row>
    <row r="277" spans="1:9" x14ac:dyDescent="0.25">
      <c r="A277" s="42"/>
      <c r="B277" s="42"/>
      <c r="C277" s="42"/>
      <c r="D277" s="42"/>
      <c r="E277" s="42"/>
      <c r="F277" s="42"/>
      <c r="G277" s="42"/>
      <c r="H277" s="42"/>
      <c r="I277" s="42"/>
    </row>
    <row r="278" spans="1:9" x14ac:dyDescent="0.25">
      <c r="A278" s="42"/>
      <c r="B278" s="42"/>
      <c r="C278" s="42"/>
      <c r="D278" s="42"/>
      <c r="E278" s="42"/>
      <c r="F278" s="42"/>
      <c r="G278" s="42"/>
      <c r="H278" s="42"/>
      <c r="I278" s="42"/>
    </row>
    <row r="279" spans="1:9" x14ac:dyDescent="0.25">
      <c r="A279" s="42"/>
      <c r="B279" s="42"/>
      <c r="C279" s="42"/>
      <c r="D279" s="42"/>
      <c r="E279" s="42"/>
      <c r="F279" s="42"/>
      <c r="G279" s="42"/>
      <c r="H279" s="42"/>
      <c r="I279" s="42"/>
    </row>
    <row r="280" spans="1:9" x14ac:dyDescent="0.25">
      <c r="A280" s="42"/>
      <c r="B280" s="42"/>
      <c r="C280" s="42"/>
      <c r="D280" s="42"/>
      <c r="E280" s="42"/>
      <c r="F280" s="42"/>
      <c r="G280" s="42"/>
      <c r="H280" s="42"/>
      <c r="I280" s="42"/>
    </row>
    <row r="281" spans="1:9" x14ac:dyDescent="0.25">
      <c r="A281" s="42"/>
      <c r="B281" s="42"/>
      <c r="C281" s="42"/>
      <c r="D281" s="42"/>
      <c r="E281" s="42"/>
      <c r="F281" s="42"/>
      <c r="G281" s="42"/>
      <c r="H281" s="42"/>
      <c r="I281" s="42"/>
    </row>
    <row r="282" spans="1:9" x14ac:dyDescent="0.25">
      <c r="A282" s="42"/>
      <c r="B282" s="42"/>
      <c r="C282" s="42"/>
      <c r="D282" s="42"/>
      <c r="E282" s="42"/>
      <c r="F282" s="42"/>
      <c r="G282" s="42"/>
      <c r="H282" s="42"/>
      <c r="I282" s="42"/>
    </row>
    <row r="283" spans="1:9" x14ac:dyDescent="0.25">
      <c r="A283" s="42"/>
      <c r="B283" s="42"/>
      <c r="C283" s="42"/>
      <c r="D283" s="42"/>
      <c r="E283" s="42"/>
      <c r="F283" s="42"/>
      <c r="G283" s="42"/>
      <c r="H283" s="42"/>
      <c r="I283" s="42"/>
    </row>
    <row r="284" spans="1:9" x14ac:dyDescent="0.25">
      <c r="A284" s="42"/>
      <c r="B284" s="42"/>
      <c r="C284" s="42"/>
      <c r="D284" s="42"/>
      <c r="E284" s="42"/>
      <c r="F284" s="42"/>
      <c r="G284" s="42"/>
      <c r="H284" s="42"/>
      <c r="I284" s="42"/>
    </row>
    <row r="285" spans="1:9" x14ac:dyDescent="0.25">
      <c r="A285" s="42"/>
      <c r="B285" s="42"/>
      <c r="C285" s="42"/>
      <c r="D285" s="42"/>
      <c r="E285" s="42"/>
      <c r="F285" s="42"/>
      <c r="G285" s="42"/>
      <c r="H285" s="42"/>
      <c r="I285" s="42"/>
    </row>
    <row r="286" spans="1:9" x14ac:dyDescent="0.25">
      <c r="A286" s="42"/>
      <c r="B286" s="42"/>
      <c r="C286" s="42"/>
      <c r="D286" s="42"/>
      <c r="E286" s="42"/>
      <c r="F286" s="42"/>
      <c r="G286" s="42"/>
      <c r="H286" s="42"/>
      <c r="I286" s="42"/>
    </row>
    <row r="287" spans="1:9" x14ac:dyDescent="0.25">
      <c r="A287" s="42"/>
      <c r="B287" s="42"/>
      <c r="C287" s="42"/>
      <c r="D287" s="42"/>
      <c r="E287" s="42"/>
      <c r="F287" s="42"/>
      <c r="G287" s="42"/>
      <c r="H287" s="42"/>
      <c r="I287" s="42"/>
    </row>
    <row r="288" spans="1:9" x14ac:dyDescent="0.25">
      <c r="A288" s="42"/>
      <c r="B288" s="42"/>
      <c r="C288" s="42"/>
      <c r="D288" s="42"/>
      <c r="E288" s="42"/>
      <c r="F288" s="42"/>
      <c r="G288" s="42"/>
      <c r="H288" s="42"/>
      <c r="I288" s="42"/>
    </row>
    <row r="289" spans="1:9" x14ac:dyDescent="0.25">
      <c r="A289" s="42"/>
      <c r="B289" s="42"/>
      <c r="C289" s="42"/>
      <c r="D289" s="42"/>
      <c r="E289" s="42"/>
      <c r="F289" s="42"/>
      <c r="G289" s="42"/>
      <c r="H289" s="42"/>
      <c r="I289" s="42"/>
    </row>
    <row r="290" spans="1:9" x14ac:dyDescent="0.25">
      <c r="A290" s="42"/>
      <c r="B290" s="42"/>
      <c r="C290" s="42"/>
      <c r="D290" s="42"/>
      <c r="E290" s="42"/>
      <c r="F290" s="42"/>
      <c r="G290" s="42"/>
      <c r="H290" s="42"/>
      <c r="I290" s="42"/>
    </row>
    <row r="291" spans="1:9" x14ac:dyDescent="0.25">
      <c r="A291" s="42"/>
      <c r="B291" s="42"/>
      <c r="C291" s="42"/>
      <c r="D291" s="42"/>
      <c r="E291" s="42"/>
      <c r="F291" s="42"/>
      <c r="G291" s="42"/>
      <c r="H291" s="42"/>
      <c r="I291" s="42"/>
    </row>
    <row r="292" spans="1:9" x14ac:dyDescent="0.25">
      <c r="A292" s="42"/>
      <c r="B292" s="42"/>
      <c r="C292" s="42"/>
      <c r="D292" s="42"/>
      <c r="E292" s="42"/>
      <c r="F292" s="42"/>
      <c r="G292" s="42"/>
      <c r="H292" s="42"/>
      <c r="I292" s="42"/>
    </row>
    <row r="293" spans="1:9" x14ac:dyDescent="0.25">
      <c r="A293" s="42"/>
      <c r="B293" s="42"/>
      <c r="C293" s="42"/>
      <c r="D293" s="42"/>
      <c r="E293" s="42"/>
      <c r="F293" s="42"/>
      <c r="G293" s="42"/>
      <c r="H293" s="42"/>
      <c r="I293" s="42"/>
    </row>
    <row r="294" spans="1:9" x14ac:dyDescent="0.25">
      <c r="A294" s="42"/>
      <c r="B294" s="42"/>
      <c r="C294" s="42"/>
      <c r="D294" s="42"/>
      <c r="E294" s="42"/>
      <c r="F294" s="42"/>
      <c r="G294" s="42"/>
      <c r="H294" s="42"/>
      <c r="I294" s="42"/>
    </row>
    <row r="295" spans="1:9" x14ac:dyDescent="0.25">
      <c r="A295" s="42"/>
      <c r="B295" s="42"/>
      <c r="C295" s="42"/>
      <c r="D295" s="42"/>
      <c r="E295" s="42"/>
      <c r="F295" s="42"/>
      <c r="G295" s="42"/>
      <c r="H295" s="42"/>
      <c r="I295" s="42"/>
    </row>
    <row r="296" spans="1:9" x14ac:dyDescent="0.25">
      <c r="A296" s="42"/>
      <c r="B296" s="42"/>
      <c r="C296" s="42"/>
      <c r="D296" s="42"/>
      <c r="E296" s="42"/>
      <c r="F296" s="42"/>
      <c r="G296" s="42"/>
      <c r="H296" s="42"/>
      <c r="I296" s="42"/>
    </row>
    <row r="297" spans="1:9" x14ac:dyDescent="0.25">
      <c r="A297" s="42"/>
      <c r="B297" s="42"/>
      <c r="C297" s="42"/>
      <c r="D297" s="42"/>
      <c r="E297" s="42"/>
      <c r="F297" s="42"/>
      <c r="G297" s="42"/>
      <c r="H297" s="42"/>
      <c r="I297" s="42"/>
    </row>
    <row r="298" spans="1:9" x14ac:dyDescent="0.25">
      <c r="A298" s="42"/>
      <c r="B298" s="42"/>
      <c r="C298" s="42"/>
      <c r="D298" s="42"/>
      <c r="E298" s="42"/>
      <c r="F298" s="42"/>
      <c r="G298" s="42"/>
      <c r="H298" s="42"/>
      <c r="I298" s="42"/>
    </row>
    <row r="299" spans="1:9" x14ac:dyDescent="0.25">
      <c r="A299" s="42"/>
      <c r="B299" s="42"/>
      <c r="C299" s="42"/>
      <c r="D299" s="42"/>
      <c r="E299" s="42"/>
      <c r="F299" s="42"/>
      <c r="G299" s="42"/>
      <c r="H299" s="42"/>
      <c r="I299" s="42"/>
    </row>
    <row r="300" spans="1:9" x14ac:dyDescent="0.25">
      <c r="A300" s="42"/>
      <c r="B300" s="42"/>
      <c r="C300" s="42"/>
      <c r="D300" s="42"/>
      <c r="E300" s="42"/>
      <c r="F300" s="42"/>
      <c r="G300" s="42"/>
      <c r="H300" s="42"/>
      <c r="I300" s="42"/>
    </row>
    <row r="301" spans="1:9" x14ac:dyDescent="0.25">
      <c r="A301" s="42"/>
      <c r="B301" s="42"/>
      <c r="C301" s="42"/>
      <c r="D301" s="42"/>
      <c r="E301" s="42"/>
      <c r="F301" s="42"/>
      <c r="G301" s="42"/>
      <c r="H301" s="42"/>
      <c r="I301" s="42"/>
    </row>
    <row r="302" spans="1:9" x14ac:dyDescent="0.25">
      <c r="A302" s="42"/>
      <c r="B302" s="42"/>
      <c r="C302" s="42"/>
      <c r="D302" s="42"/>
      <c r="E302" s="42"/>
      <c r="F302" s="42"/>
      <c r="G302" s="42"/>
      <c r="H302" s="42"/>
      <c r="I302" s="42"/>
    </row>
    <row r="303" spans="1:9" x14ac:dyDescent="0.25">
      <c r="A303" s="42"/>
      <c r="B303" s="42"/>
      <c r="C303" s="42"/>
      <c r="D303" s="42"/>
      <c r="E303" s="42"/>
      <c r="F303" s="42"/>
      <c r="G303" s="42"/>
      <c r="H303" s="42"/>
      <c r="I303" s="42"/>
    </row>
    <row r="304" spans="1:9" x14ac:dyDescent="0.25">
      <c r="A304" s="42"/>
      <c r="B304" s="42"/>
      <c r="C304" s="42"/>
      <c r="D304" s="42"/>
      <c r="E304" s="42"/>
      <c r="F304" s="42"/>
      <c r="G304" s="42"/>
      <c r="H304" s="42"/>
      <c r="I304" s="42"/>
    </row>
    <row r="305" spans="1:9" x14ac:dyDescent="0.25">
      <c r="A305" s="42"/>
      <c r="B305" s="42"/>
      <c r="C305" s="42"/>
      <c r="D305" s="42"/>
      <c r="E305" s="42"/>
      <c r="F305" s="42"/>
      <c r="G305" s="42"/>
      <c r="H305" s="42"/>
      <c r="I305" s="42"/>
    </row>
    <row r="306" spans="1:9" x14ac:dyDescent="0.25">
      <c r="A306" s="42"/>
      <c r="B306" s="42"/>
      <c r="C306" s="42"/>
      <c r="D306" s="42"/>
      <c r="E306" s="42"/>
      <c r="F306" s="42"/>
      <c r="G306" s="42"/>
      <c r="H306" s="42"/>
      <c r="I306" s="42"/>
    </row>
    <row r="307" spans="1:9" x14ac:dyDescent="0.25">
      <c r="A307" s="42"/>
      <c r="B307" s="42"/>
      <c r="C307" s="42"/>
      <c r="D307" s="42"/>
      <c r="E307" s="42"/>
      <c r="F307" s="42"/>
      <c r="G307" s="42"/>
      <c r="H307" s="42"/>
      <c r="I307" s="42"/>
    </row>
    <row r="308" spans="1:9" x14ac:dyDescent="0.25">
      <c r="A308" s="42"/>
      <c r="B308" s="42"/>
      <c r="C308" s="42"/>
      <c r="D308" s="42"/>
      <c r="E308" s="42"/>
      <c r="F308" s="42"/>
      <c r="G308" s="42"/>
      <c r="H308" s="42"/>
      <c r="I308" s="42"/>
    </row>
    <row r="309" spans="1:9" x14ac:dyDescent="0.25">
      <c r="A309" s="42"/>
      <c r="B309" s="42"/>
      <c r="C309" s="42"/>
      <c r="D309" s="42"/>
      <c r="E309" s="42"/>
      <c r="F309" s="42"/>
      <c r="G309" s="42"/>
      <c r="H309" s="42"/>
      <c r="I309" s="42"/>
    </row>
    <row r="310" spans="1:9" x14ac:dyDescent="0.25">
      <c r="A310" s="42"/>
      <c r="B310" s="42"/>
      <c r="C310" s="42"/>
      <c r="D310" s="42"/>
      <c r="E310" s="42"/>
      <c r="F310" s="42"/>
      <c r="G310" s="42"/>
      <c r="H310" s="42"/>
      <c r="I310" s="42"/>
    </row>
    <row r="311" spans="1:9" x14ac:dyDescent="0.25">
      <c r="A311" s="42"/>
      <c r="B311" s="42"/>
      <c r="C311" s="42"/>
      <c r="D311" s="42"/>
      <c r="E311" s="42"/>
      <c r="F311" s="42"/>
      <c r="G311" s="42"/>
      <c r="H311" s="42"/>
      <c r="I311" s="42"/>
    </row>
    <row r="312" spans="1:9" x14ac:dyDescent="0.25">
      <c r="A312" s="42"/>
      <c r="B312" s="42"/>
      <c r="C312" s="42"/>
      <c r="D312" s="42"/>
      <c r="E312" s="42"/>
      <c r="F312" s="42"/>
      <c r="G312" s="42"/>
      <c r="H312" s="42"/>
      <c r="I312" s="42"/>
    </row>
    <row r="313" spans="1:9" x14ac:dyDescent="0.25">
      <c r="A313" s="42"/>
      <c r="B313" s="42"/>
      <c r="C313" s="42"/>
      <c r="D313" s="42"/>
      <c r="E313" s="42"/>
      <c r="F313" s="42"/>
      <c r="G313" s="42"/>
      <c r="H313" s="42"/>
      <c r="I313" s="42"/>
    </row>
    <row r="314" spans="1:9" x14ac:dyDescent="0.25">
      <c r="A314" s="42"/>
      <c r="B314" s="42"/>
      <c r="C314" s="42"/>
      <c r="D314" s="42"/>
      <c r="E314" s="42"/>
      <c r="F314" s="42"/>
      <c r="G314" s="42"/>
      <c r="H314" s="42"/>
      <c r="I314" s="42"/>
    </row>
    <row r="315" spans="1:9" x14ac:dyDescent="0.25">
      <c r="A315" s="42"/>
      <c r="B315" s="42"/>
      <c r="C315" s="42"/>
      <c r="D315" s="42"/>
      <c r="E315" s="42"/>
      <c r="F315" s="42"/>
      <c r="G315" s="42"/>
      <c r="H315" s="42"/>
      <c r="I315" s="42"/>
    </row>
    <row r="316" spans="1:9" x14ac:dyDescent="0.25">
      <c r="A316" s="42"/>
      <c r="B316" s="42"/>
      <c r="C316" s="42"/>
      <c r="D316" s="42"/>
      <c r="E316" s="42"/>
      <c r="F316" s="42"/>
      <c r="G316" s="42"/>
      <c r="H316" s="42"/>
      <c r="I316" s="42"/>
    </row>
    <row r="317" spans="1:9" x14ac:dyDescent="0.25">
      <c r="A317" s="42"/>
      <c r="B317" s="42"/>
      <c r="C317" s="42"/>
      <c r="D317" s="42"/>
      <c r="E317" s="42"/>
      <c r="F317" s="42"/>
      <c r="G317" s="42"/>
      <c r="H317" s="42"/>
      <c r="I317" s="42"/>
    </row>
    <row r="318" spans="1:9" x14ac:dyDescent="0.25">
      <c r="A318" s="42"/>
      <c r="B318" s="42"/>
      <c r="C318" s="42"/>
      <c r="D318" s="42"/>
      <c r="E318" s="42"/>
      <c r="F318" s="42"/>
      <c r="G318" s="42"/>
      <c r="H318" s="42"/>
      <c r="I318" s="42"/>
    </row>
    <row r="319" spans="1:9" x14ac:dyDescent="0.25">
      <c r="A319" s="42"/>
      <c r="B319" s="42"/>
      <c r="C319" s="42"/>
      <c r="D319" s="42"/>
      <c r="E319" s="42"/>
      <c r="F319" s="42"/>
      <c r="G319" s="42"/>
      <c r="H319" s="42"/>
      <c r="I319" s="42"/>
    </row>
    <row r="320" spans="1:9" x14ac:dyDescent="0.25">
      <c r="A320" s="42"/>
      <c r="B320" s="42"/>
      <c r="C320" s="42"/>
      <c r="D320" s="42"/>
      <c r="E320" s="42"/>
      <c r="F320" s="42"/>
      <c r="G320" s="42"/>
      <c r="H320" s="42"/>
      <c r="I320" s="42"/>
    </row>
    <row r="321" spans="1:9" x14ac:dyDescent="0.25">
      <c r="A321" s="42"/>
      <c r="B321" s="42"/>
      <c r="C321" s="42"/>
      <c r="D321" s="42"/>
      <c r="E321" s="42"/>
      <c r="F321" s="42"/>
      <c r="G321" s="42"/>
      <c r="H321" s="42"/>
      <c r="I321" s="42"/>
    </row>
    <row r="322" spans="1:9" x14ac:dyDescent="0.25">
      <c r="A322" s="42"/>
      <c r="B322" s="42"/>
      <c r="C322" s="42"/>
      <c r="D322" s="42"/>
      <c r="E322" s="42"/>
      <c r="F322" s="42"/>
      <c r="G322" s="42"/>
      <c r="H322" s="42"/>
      <c r="I322" s="42"/>
    </row>
    <row r="323" spans="1:9" x14ac:dyDescent="0.25">
      <c r="A323" s="42"/>
      <c r="B323" s="42"/>
      <c r="C323" s="42"/>
      <c r="D323" s="42"/>
      <c r="E323" s="42"/>
      <c r="F323" s="42"/>
      <c r="G323" s="42"/>
      <c r="H323" s="42"/>
      <c r="I323" s="42"/>
    </row>
    <row r="324" spans="1:9" x14ac:dyDescent="0.25">
      <c r="A324" s="42"/>
      <c r="B324" s="42"/>
      <c r="C324" s="42"/>
      <c r="D324" s="42"/>
      <c r="E324" s="42"/>
      <c r="F324" s="42"/>
      <c r="G324" s="42"/>
      <c r="H324" s="42"/>
      <c r="I324" s="42"/>
    </row>
    <row r="325" spans="1:9" x14ac:dyDescent="0.25">
      <c r="A325" s="42"/>
      <c r="B325" s="42"/>
      <c r="C325" s="42"/>
      <c r="D325" s="42"/>
      <c r="E325" s="42"/>
      <c r="F325" s="42"/>
      <c r="G325" s="42"/>
      <c r="H325" s="42"/>
      <c r="I325" s="42"/>
    </row>
    <row r="326" spans="1:9" x14ac:dyDescent="0.25">
      <c r="A326" s="42"/>
      <c r="B326" s="42"/>
      <c r="C326" s="42"/>
      <c r="D326" s="42"/>
      <c r="E326" s="42"/>
      <c r="F326" s="42"/>
      <c r="G326" s="42"/>
      <c r="H326" s="42"/>
      <c r="I326" s="42"/>
    </row>
    <row r="327" spans="1:9" x14ac:dyDescent="0.25">
      <c r="A327" s="42"/>
      <c r="B327" s="42"/>
      <c r="C327" s="42"/>
      <c r="D327" s="42"/>
      <c r="E327" s="42"/>
      <c r="F327" s="42"/>
      <c r="G327" s="42"/>
      <c r="H327" s="42"/>
      <c r="I327" s="42"/>
    </row>
    <row r="328" spans="1:9" x14ac:dyDescent="0.25">
      <c r="A328" s="42"/>
      <c r="B328" s="42"/>
      <c r="C328" s="42"/>
      <c r="D328" s="42"/>
      <c r="E328" s="42"/>
      <c r="F328" s="42"/>
      <c r="G328" s="42"/>
      <c r="H328" s="42"/>
      <c r="I328" s="42"/>
    </row>
    <row r="329" spans="1:9" x14ac:dyDescent="0.25">
      <c r="A329" s="42"/>
      <c r="B329" s="42"/>
      <c r="C329" s="42"/>
      <c r="D329" s="42"/>
      <c r="E329" s="42"/>
      <c r="F329" s="42"/>
      <c r="G329" s="42"/>
      <c r="H329" s="42"/>
      <c r="I329" s="42"/>
    </row>
    <row r="330" spans="1:9" x14ac:dyDescent="0.25">
      <c r="A330" s="42"/>
      <c r="B330" s="42"/>
      <c r="C330" s="42"/>
      <c r="D330" s="42"/>
      <c r="E330" s="42"/>
      <c r="F330" s="42"/>
      <c r="G330" s="42"/>
      <c r="H330" s="42"/>
      <c r="I330" s="42"/>
    </row>
    <row r="331" spans="1:9" x14ac:dyDescent="0.25">
      <c r="A331" s="42"/>
      <c r="B331" s="42"/>
      <c r="C331" s="42"/>
      <c r="D331" s="42"/>
      <c r="E331" s="42"/>
      <c r="F331" s="42"/>
      <c r="G331" s="42"/>
      <c r="H331" s="42"/>
      <c r="I331" s="42"/>
    </row>
    <row r="332" spans="1:9" x14ac:dyDescent="0.25">
      <c r="A332" s="42"/>
      <c r="B332" s="42"/>
      <c r="C332" s="42"/>
      <c r="D332" s="42"/>
      <c r="E332" s="42"/>
      <c r="F332" s="42"/>
      <c r="G332" s="42"/>
      <c r="H332" s="42"/>
      <c r="I332" s="42"/>
    </row>
    <row r="333" spans="1:9" x14ac:dyDescent="0.25">
      <c r="A333" s="42"/>
      <c r="B333" s="42"/>
      <c r="C333" s="42"/>
      <c r="D333" s="42"/>
      <c r="E333" s="42"/>
      <c r="F333" s="42"/>
      <c r="G333" s="42"/>
      <c r="H333" s="42"/>
      <c r="I333" s="42"/>
    </row>
    <row r="334" spans="1:9" x14ac:dyDescent="0.25">
      <c r="A334" s="42"/>
      <c r="B334" s="42"/>
      <c r="C334" s="42"/>
      <c r="D334" s="42"/>
      <c r="E334" s="42"/>
      <c r="F334" s="42"/>
      <c r="G334" s="42"/>
      <c r="H334" s="42"/>
      <c r="I334" s="42"/>
    </row>
    <row r="335" spans="1:9" x14ac:dyDescent="0.25">
      <c r="A335" s="42"/>
      <c r="B335" s="42"/>
      <c r="C335" s="42"/>
      <c r="D335" s="42"/>
      <c r="E335" s="42"/>
      <c r="F335" s="42"/>
      <c r="G335" s="42"/>
      <c r="H335" s="42"/>
      <c r="I335" s="42"/>
    </row>
    <row r="336" spans="1:9" x14ac:dyDescent="0.25">
      <c r="A336" s="42"/>
      <c r="B336" s="42"/>
      <c r="C336" s="42"/>
      <c r="D336" s="42"/>
      <c r="E336" s="42"/>
      <c r="F336" s="42"/>
      <c r="G336" s="42"/>
      <c r="H336" s="42"/>
      <c r="I336" s="42"/>
    </row>
    <row r="337" spans="1:9" x14ac:dyDescent="0.25">
      <c r="A337" s="42"/>
      <c r="B337" s="42"/>
      <c r="C337" s="42"/>
      <c r="D337" s="42"/>
      <c r="E337" s="42"/>
      <c r="F337" s="42"/>
      <c r="G337" s="42"/>
      <c r="H337" s="42"/>
      <c r="I337" s="42"/>
    </row>
    <row r="338" spans="1:9" x14ac:dyDescent="0.25">
      <c r="A338" s="42"/>
      <c r="B338" s="42"/>
      <c r="C338" s="42"/>
      <c r="D338" s="42"/>
      <c r="E338" s="42"/>
      <c r="F338" s="42"/>
      <c r="G338" s="42"/>
      <c r="H338" s="42"/>
      <c r="I338" s="42"/>
    </row>
    <row r="339" spans="1:9" x14ac:dyDescent="0.25">
      <c r="A339" s="42"/>
      <c r="B339" s="42"/>
      <c r="C339" s="42"/>
      <c r="D339" s="42"/>
      <c r="E339" s="42"/>
      <c r="F339" s="42"/>
      <c r="G339" s="42"/>
      <c r="H339" s="42"/>
      <c r="I339" s="42"/>
    </row>
    <row r="340" spans="1:9" x14ac:dyDescent="0.25">
      <c r="A340" s="42"/>
      <c r="B340" s="42"/>
      <c r="C340" s="42"/>
      <c r="D340" s="42"/>
      <c r="E340" s="42"/>
      <c r="F340" s="42"/>
      <c r="G340" s="42"/>
      <c r="H340" s="42"/>
      <c r="I340" s="42"/>
    </row>
    <row r="341" spans="1:9" x14ac:dyDescent="0.25">
      <c r="A341" s="42"/>
      <c r="B341" s="42"/>
      <c r="C341" s="42"/>
      <c r="D341" s="42"/>
      <c r="E341" s="42"/>
      <c r="F341" s="42"/>
      <c r="G341" s="42"/>
      <c r="H341" s="42"/>
      <c r="I341" s="42"/>
    </row>
    <row r="342" spans="1:9" x14ac:dyDescent="0.25">
      <c r="A342" s="42"/>
      <c r="B342" s="42"/>
      <c r="C342" s="42"/>
      <c r="D342" s="42"/>
      <c r="E342" s="42"/>
      <c r="F342" s="42"/>
      <c r="G342" s="42"/>
      <c r="H342" s="42"/>
      <c r="I342" s="42"/>
    </row>
    <row r="343" spans="1:9" x14ac:dyDescent="0.25">
      <c r="A343" s="42"/>
      <c r="B343" s="42"/>
      <c r="C343" s="42"/>
      <c r="D343" s="42"/>
      <c r="E343" s="42"/>
      <c r="F343" s="42"/>
      <c r="G343" s="42"/>
      <c r="H343" s="42"/>
      <c r="I343" s="42"/>
    </row>
    <row r="344" spans="1:9" x14ac:dyDescent="0.25">
      <c r="A344" s="42"/>
      <c r="B344" s="42"/>
      <c r="C344" s="42"/>
      <c r="D344" s="42"/>
      <c r="E344" s="42"/>
      <c r="F344" s="42"/>
      <c r="G344" s="42"/>
      <c r="H344" s="42"/>
      <c r="I344" s="42"/>
    </row>
    <row r="345" spans="1:9" x14ac:dyDescent="0.25">
      <c r="A345" s="42"/>
      <c r="B345" s="42"/>
      <c r="C345" s="42"/>
      <c r="D345" s="42"/>
      <c r="E345" s="42"/>
      <c r="F345" s="42"/>
      <c r="G345" s="42"/>
      <c r="H345" s="42"/>
      <c r="I345" s="42"/>
    </row>
    <row r="346" spans="1:9" x14ac:dyDescent="0.25">
      <c r="A346" s="42"/>
      <c r="B346" s="42"/>
      <c r="C346" s="42"/>
      <c r="D346" s="42"/>
      <c r="E346" s="42"/>
      <c r="F346" s="42"/>
      <c r="G346" s="42"/>
      <c r="H346" s="42"/>
      <c r="I346" s="42"/>
    </row>
    <row r="347" spans="1:9" x14ac:dyDescent="0.25">
      <c r="A347" s="42"/>
      <c r="B347" s="42"/>
      <c r="C347" s="42"/>
      <c r="D347" s="42"/>
      <c r="E347" s="42"/>
      <c r="F347" s="42"/>
      <c r="G347" s="42"/>
      <c r="H347" s="42"/>
      <c r="I347" s="42"/>
    </row>
    <row r="348" spans="1:9" x14ac:dyDescent="0.25">
      <c r="A348" s="42"/>
      <c r="B348" s="42"/>
      <c r="C348" s="42"/>
      <c r="D348" s="42"/>
      <c r="E348" s="42"/>
      <c r="F348" s="42"/>
      <c r="G348" s="42"/>
      <c r="H348" s="42"/>
      <c r="I348" s="42"/>
    </row>
    <row r="349" spans="1:9" x14ac:dyDescent="0.25">
      <c r="A349" s="42"/>
      <c r="B349" s="42"/>
      <c r="C349" s="42"/>
      <c r="D349" s="42"/>
      <c r="E349" s="42"/>
      <c r="F349" s="42"/>
      <c r="G349" s="42"/>
      <c r="H349" s="42"/>
      <c r="I349" s="42"/>
    </row>
    <row r="350" spans="1:9" x14ac:dyDescent="0.25">
      <c r="A350" s="42"/>
      <c r="B350" s="42"/>
      <c r="C350" s="42"/>
      <c r="D350" s="42"/>
      <c r="E350" s="42"/>
      <c r="F350" s="42"/>
      <c r="G350" s="42"/>
      <c r="H350" s="42"/>
      <c r="I350" s="42"/>
    </row>
    <row r="351" spans="1:9" x14ac:dyDescent="0.25">
      <c r="A351" s="42"/>
      <c r="B351" s="42"/>
      <c r="C351" s="42"/>
      <c r="D351" s="42"/>
      <c r="E351" s="42"/>
      <c r="F351" s="42"/>
      <c r="G351" s="42"/>
      <c r="H351" s="42"/>
      <c r="I351" s="42"/>
    </row>
    <row r="352" spans="1:9" x14ac:dyDescent="0.25">
      <c r="A352" s="42"/>
      <c r="B352" s="42"/>
      <c r="C352" s="42"/>
      <c r="D352" s="42"/>
      <c r="E352" s="42"/>
      <c r="F352" s="42"/>
      <c r="G352" s="42"/>
      <c r="H352" s="42"/>
      <c r="I352" s="42"/>
    </row>
    <row r="353" spans="1:9" x14ac:dyDescent="0.25">
      <c r="A353" s="42"/>
      <c r="B353" s="42"/>
      <c r="C353" s="42"/>
      <c r="D353" s="42"/>
      <c r="E353" s="42"/>
      <c r="F353" s="42"/>
      <c r="G353" s="42"/>
      <c r="H353" s="42"/>
      <c r="I353" s="42"/>
    </row>
    <row r="354" spans="1:9" x14ac:dyDescent="0.25">
      <c r="A354" s="42"/>
      <c r="B354" s="42"/>
      <c r="C354" s="42"/>
      <c r="D354" s="42"/>
      <c r="E354" s="42"/>
      <c r="F354" s="42"/>
      <c r="G354" s="42"/>
      <c r="H354" s="42"/>
      <c r="I354" s="42"/>
    </row>
    <row r="355" spans="1:9" x14ac:dyDescent="0.25">
      <c r="A355" s="42"/>
      <c r="B355" s="42"/>
      <c r="C355" s="42"/>
      <c r="D355" s="42"/>
      <c r="E355" s="42"/>
      <c r="F355" s="42"/>
      <c r="G355" s="42"/>
      <c r="H355" s="42"/>
      <c r="I355" s="42"/>
    </row>
    <row r="356" spans="1:9" x14ac:dyDescent="0.25">
      <c r="A356" s="42"/>
      <c r="B356" s="42"/>
      <c r="C356" s="42"/>
      <c r="D356" s="42"/>
      <c r="E356" s="42"/>
      <c r="F356" s="42"/>
      <c r="G356" s="42"/>
      <c r="H356" s="42"/>
      <c r="I356" s="42"/>
    </row>
    <row r="357" spans="1:9" x14ac:dyDescent="0.25">
      <c r="A357" s="42"/>
      <c r="B357" s="42"/>
      <c r="C357" s="42"/>
      <c r="D357" s="42"/>
      <c r="E357" s="42"/>
      <c r="F357" s="42"/>
      <c r="G357" s="42"/>
      <c r="H357" s="42"/>
      <c r="I357" s="42"/>
    </row>
    <row r="358" spans="1:9" x14ac:dyDescent="0.25">
      <c r="A358" s="42"/>
      <c r="B358" s="42"/>
      <c r="C358" s="42"/>
      <c r="D358" s="42"/>
      <c r="E358" s="42"/>
      <c r="F358" s="42"/>
      <c r="G358" s="42"/>
      <c r="H358" s="42"/>
      <c r="I358" s="42"/>
    </row>
    <row r="359" spans="1:9" x14ac:dyDescent="0.25">
      <c r="A359" s="42"/>
      <c r="B359" s="42"/>
      <c r="C359" s="42"/>
      <c r="D359" s="42"/>
      <c r="E359" s="42"/>
      <c r="F359" s="42"/>
      <c r="G359" s="42"/>
      <c r="H359" s="42"/>
      <c r="I359" s="42"/>
    </row>
    <row r="360" spans="1:9" x14ac:dyDescent="0.25">
      <c r="A360" s="42"/>
      <c r="B360" s="42"/>
      <c r="C360" s="42"/>
      <c r="D360" s="42"/>
      <c r="E360" s="42"/>
      <c r="F360" s="42"/>
      <c r="G360" s="42"/>
      <c r="H360" s="42"/>
      <c r="I360" s="42"/>
    </row>
    <row r="361" spans="1:9" x14ac:dyDescent="0.25">
      <c r="A361" s="42"/>
      <c r="B361" s="42"/>
      <c r="C361" s="42"/>
      <c r="D361" s="42"/>
      <c r="E361" s="42"/>
      <c r="F361" s="42"/>
      <c r="G361" s="42"/>
      <c r="H361" s="42"/>
      <c r="I361" s="42"/>
    </row>
    <row r="362" spans="1:9" x14ac:dyDescent="0.25">
      <c r="A362" s="42"/>
      <c r="B362" s="42"/>
      <c r="C362" s="42"/>
      <c r="D362" s="42"/>
      <c r="E362" s="42"/>
      <c r="F362" s="42"/>
      <c r="G362" s="42"/>
      <c r="H362" s="42"/>
      <c r="I362" s="42"/>
    </row>
    <row r="363" spans="1:9" x14ac:dyDescent="0.25">
      <c r="A363" s="42"/>
      <c r="B363" s="42"/>
      <c r="C363" s="42"/>
      <c r="D363" s="42"/>
      <c r="E363" s="42"/>
      <c r="F363" s="42"/>
      <c r="G363" s="42"/>
      <c r="H363" s="42"/>
      <c r="I363" s="42"/>
    </row>
    <row r="364" spans="1:9" x14ac:dyDescent="0.25">
      <c r="A364" s="42"/>
      <c r="B364" s="42"/>
      <c r="C364" s="42"/>
      <c r="D364" s="42"/>
      <c r="E364" s="42"/>
      <c r="F364" s="42"/>
      <c r="G364" s="42"/>
      <c r="H364" s="42"/>
      <c r="I364" s="42"/>
    </row>
    <row r="365" spans="1:9" x14ac:dyDescent="0.25">
      <c r="A365" s="42"/>
      <c r="B365" s="42"/>
      <c r="C365" s="42"/>
      <c r="D365" s="42"/>
      <c r="E365" s="42"/>
      <c r="F365" s="42"/>
      <c r="G365" s="42"/>
      <c r="H365" s="42"/>
      <c r="I365" s="42"/>
    </row>
    <row r="366" spans="1:9" x14ac:dyDescent="0.25">
      <c r="A366" s="42"/>
      <c r="B366" s="42"/>
      <c r="C366" s="42"/>
      <c r="D366" s="42"/>
      <c r="E366" s="42"/>
      <c r="F366" s="42"/>
      <c r="G366" s="42"/>
      <c r="H366" s="42"/>
      <c r="I366" s="42"/>
    </row>
    <row r="367" spans="1:9" x14ac:dyDescent="0.25">
      <c r="A367" s="42"/>
      <c r="B367" s="42"/>
      <c r="C367" s="42"/>
      <c r="D367" s="42"/>
      <c r="E367" s="42"/>
      <c r="F367" s="42"/>
      <c r="G367" s="42"/>
      <c r="H367" s="42"/>
      <c r="I367" s="42"/>
    </row>
    <row r="368" spans="1:9" x14ac:dyDescent="0.25">
      <c r="A368" s="42"/>
      <c r="B368" s="42"/>
      <c r="C368" s="42"/>
      <c r="D368" s="42"/>
      <c r="E368" s="42"/>
      <c r="F368" s="42"/>
      <c r="G368" s="42"/>
      <c r="H368" s="42"/>
      <c r="I368" s="42"/>
    </row>
    <row r="369" spans="1:9" x14ac:dyDescent="0.25">
      <c r="A369" s="42"/>
      <c r="B369" s="42"/>
      <c r="C369" s="42"/>
      <c r="D369" s="42"/>
      <c r="E369" s="42"/>
      <c r="F369" s="42"/>
      <c r="G369" s="42"/>
      <c r="H369" s="42"/>
      <c r="I369" s="42"/>
    </row>
    <row r="370" spans="1:9" x14ac:dyDescent="0.25">
      <c r="A370" s="42"/>
      <c r="B370" s="42"/>
      <c r="C370" s="42"/>
      <c r="D370" s="42"/>
      <c r="E370" s="42"/>
      <c r="F370" s="42"/>
      <c r="G370" s="42"/>
      <c r="H370" s="42"/>
      <c r="I370" s="42"/>
    </row>
    <row r="371" spans="1:9" x14ac:dyDescent="0.25">
      <c r="A371" s="42"/>
      <c r="B371" s="42"/>
      <c r="C371" s="42"/>
      <c r="D371" s="42"/>
      <c r="E371" s="42"/>
      <c r="F371" s="42"/>
      <c r="G371" s="42"/>
      <c r="H371" s="42"/>
      <c r="I371" s="42"/>
    </row>
    <row r="372" spans="1:9" x14ac:dyDescent="0.25">
      <c r="A372" s="42"/>
      <c r="B372" s="42"/>
      <c r="C372" s="42"/>
      <c r="D372" s="42"/>
      <c r="E372" s="42"/>
      <c r="F372" s="42"/>
      <c r="G372" s="42"/>
      <c r="H372" s="42"/>
      <c r="I372" s="42"/>
    </row>
    <row r="373" spans="1:9" x14ac:dyDescent="0.25">
      <c r="A373" s="42"/>
      <c r="B373" s="42"/>
      <c r="C373" s="42"/>
      <c r="D373" s="42"/>
      <c r="E373" s="42"/>
      <c r="F373" s="42"/>
      <c r="G373" s="42"/>
      <c r="H373" s="42"/>
      <c r="I373" s="42"/>
    </row>
    <row r="374" spans="1:9" x14ac:dyDescent="0.25">
      <c r="A374" s="42"/>
      <c r="B374" s="42"/>
      <c r="C374" s="42"/>
      <c r="D374" s="42"/>
      <c r="E374" s="42"/>
      <c r="F374" s="42"/>
      <c r="G374" s="42"/>
      <c r="H374" s="42"/>
      <c r="I374" s="42"/>
    </row>
    <row r="375" spans="1:9" x14ac:dyDescent="0.25">
      <c r="A375" s="42"/>
      <c r="B375" s="42"/>
      <c r="C375" s="42"/>
      <c r="D375" s="42"/>
      <c r="E375" s="42"/>
      <c r="F375" s="42"/>
      <c r="G375" s="42"/>
      <c r="H375" s="42"/>
      <c r="I375" s="42"/>
    </row>
    <row r="376" spans="1:9" x14ac:dyDescent="0.25">
      <c r="A376" s="42"/>
      <c r="B376" s="42"/>
      <c r="C376" s="42"/>
      <c r="D376" s="42"/>
      <c r="E376" s="42"/>
      <c r="F376" s="42"/>
      <c r="G376" s="42"/>
      <c r="H376" s="42"/>
      <c r="I376" s="42"/>
    </row>
    <row r="377" spans="1:9" x14ac:dyDescent="0.25">
      <c r="A377" s="42"/>
      <c r="B377" s="42"/>
      <c r="C377" s="42"/>
      <c r="D377" s="42"/>
      <c r="E377" s="42"/>
      <c r="F377" s="42"/>
      <c r="G377" s="42"/>
      <c r="H377" s="42"/>
      <c r="I377" s="42"/>
    </row>
    <row r="378" spans="1:9" x14ac:dyDescent="0.25">
      <c r="A378" s="42"/>
      <c r="B378" s="42"/>
      <c r="C378" s="42"/>
      <c r="D378" s="42"/>
      <c r="E378" s="42"/>
      <c r="F378" s="42"/>
      <c r="G378" s="42"/>
      <c r="H378" s="42"/>
      <c r="I378" s="42"/>
    </row>
    <row r="379" spans="1:9" x14ac:dyDescent="0.25">
      <c r="A379" s="42"/>
      <c r="B379" s="42"/>
      <c r="C379" s="42"/>
      <c r="D379" s="42"/>
      <c r="E379" s="42"/>
      <c r="F379" s="42"/>
      <c r="G379" s="42"/>
      <c r="H379" s="42"/>
      <c r="I379" s="42"/>
    </row>
    <row r="380" spans="1:9" x14ac:dyDescent="0.25">
      <c r="A380" s="42"/>
      <c r="B380" s="42"/>
      <c r="C380" s="42"/>
      <c r="D380" s="42"/>
      <c r="E380" s="42"/>
      <c r="F380" s="42"/>
      <c r="G380" s="42"/>
      <c r="H380" s="42"/>
      <c r="I380" s="42"/>
    </row>
    <row r="381" spans="1:9" x14ac:dyDescent="0.25">
      <c r="A381" s="42"/>
      <c r="B381" s="42"/>
      <c r="C381" s="42"/>
      <c r="D381" s="42"/>
      <c r="E381" s="42"/>
      <c r="F381" s="42"/>
      <c r="G381" s="42"/>
      <c r="H381" s="42"/>
      <c r="I381" s="42"/>
    </row>
    <row r="382" spans="1:9" x14ac:dyDescent="0.25">
      <c r="A382" s="42"/>
      <c r="B382" s="42"/>
      <c r="C382" s="42"/>
      <c r="D382" s="42"/>
      <c r="E382" s="42"/>
      <c r="F382" s="42"/>
      <c r="G382" s="42"/>
      <c r="H382" s="42"/>
      <c r="I382" s="42"/>
    </row>
    <row r="383" spans="1:9" x14ac:dyDescent="0.25">
      <c r="A383" s="42"/>
      <c r="B383" s="42"/>
      <c r="C383" s="42"/>
      <c r="D383" s="42"/>
      <c r="E383" s="42"/>
      <c r="F383" s="42"/>
      <c r="G383" s="42"/>
      <c r="H383" s="42"/>
      <c r="I383" s="42"/>
    </row>
    <row r="384" spans="1:9" x14ac:dyDescent="0.25">
      <c r="A384" s="42"/>
      <c r="B384" s="42"/>
      <c r="C384" s="42"/>
      <c r="D384" s="42"/>
      <c r="E384" s="42"/>
      <c r="F384" s="42"/>
      <c r="G384" s="42"/>
      <c r="H384" s="42"/>
      <c r="I384" s="42"/>
    </row>
    <row r="385" spans="1:9" x14ac:dyDescent="0.25">
      <c r="A385" s="42"/>
      <c r="B385" s="42"/>
      <c r="C385" s="42"/>
      <c r="D385" s="42"/>
      <c r="E385" s="42"/>
      <c r="F385" s="42"/>
      <c r="G385" s="42"/>
      <c r="H385" s="42"/>
      <c r="I385" s="42"/>
    </row>
    <row r="386" spans="1:9" x14ac:dyDescent="0.25">
      <c r="A386" s="42"/>
      <c r="B386" s="42"/>
      <c r="C386" s="42"/>
      <c r="D386" s="42"/>
      <c r="E386" s="42"/>
      <c r="F386" s="42"/>
      <c r="G386" s="42"/>
      <c r="H386" s="42"/>
      <c r="I386" s="42"/>
    </row>
    <row r="387" spans="1:9" x14ac:dyDescent="0.25">
      <c r="A387" s="42"/>
      <c r="B387" s="42"/>
      <c r="C387" s="42"/>
      <c r="D387" s="42"/>
      <c r="E387" s="42"/>
      <c r="F387" s="42"/>
      <c r="G387" s="42"/>
      <c r="H387" s="42"/>
      <c r="I387" s="42"/>
    </row>
    <row r="388" spans="1:9" x14ac:dyDescent="0.25">
      <c r="A388" s="42"/>
      <c r="B388" s="42"/>
      <c r="C388" s="42"/>
      <c r="D388" s="42"/>
      <c r="E388" s="42"/>
      <c r="F388" s="42"/>
      <c r="G388" s="42"/>
      <c r="H388" s="42"/>
      <c r="I388" s="42"/>
    </row>
    <row r="389" spans="1:9" x14ac:dyDescent="0.25">
      <c r="A389" s="42"/>
      <c r="B389" s="42"/>
      <c r="C389" s="42"/>
      <c r="D389" s="42"/>
      <c r="E389" s="42"/>
      <c r="F389" s="42"/>
      <c r="G389" s="42"/>
      <c r="H389" s="42"/>
      <c r="I389" s="42"/>
    </row>
    <row r="390" spans="1:9" x14ac:dyDescent="0.25">
      <c r="A390" s="42"/>
      <c r="B390" s="42"/>
      <c r="C390" s="42"/>
      <c r="D390" s="42"/>
      <c r="E390" s="42"/>
      <c r="F390" s="42"/>
      <c r="G390" s="42"/>
      <c r="H390" s="42"/>
      <c r="I390" s="42"/>
    </row>
    <row r="391" spans="1:9" x14ac:dyDescent="0.25">
      <c r="A391" s="42"/>
      <c r="B391" s="42"/>
      <c r="C391" s="42"/>
      <c r="D391" s="42"/>
      <c r="E391" s="42"/>
      <c r="F391" s="42"/>
      <c r="G391" s="42"/>
      <c r="H391" s="42"/>
      <c r="I391" s="42"/>
    </row>
    <row r="392" spans="1:9" x14ac:dyDescent="0.25">
      <c r="A392" s="42"/>
      <c r="B392" s="42"/>
      <c r="C392" s="42"/>
      <c r="D392" s="42"/>
      <c r="E392" s="42"/>
      <c r="F392" s="42"/>
      <c r="G392" s="42"/>
      <c r="H392" s="42"/>
      <c r="I392" s="42"/>
    </row>
    <row r="393" spans="1:9" x14ac:dyDescent="0.25">
      <c r="A393" s="42"/>
      <c r="B393" s="42"/>
      <c r="C393" s="42"/>
      <c r="D393" s="42"/>
      <c r="E393" s="42"/>
      <c r="F393" s="42"/>
      <c r="G393" s="42"/>
      <c r="H393" s="42"/>
      <c r="I393" s="42"/>
    </row>
    <row r="394" spans="1:9" x14ac:dyDescent="0.25">
      <c r="A394" s="42"/>
      <c r="B394" s="42"/>
      <c r="C394" s="42"/>
      <c r="D394" s="42"/>
      <c r="E394" s="42"/>
      <c r="F394" s="42"/>
      <c r="G394" s="42"/>
      <c r="H394" s="42"/>
      <c r="I394" s="42"/>
    </row>
    <row r="395" spans="1:9" x14ac:dyDescent="0.25">
      <c r="A395" s="42"/>
      <c r="B395" s="42"/>
      <c r="C395" s="42"/>
      <c r="D395" s="42"/>
      <c r="E395" s="42"/>
      <c r="F395" s="42"/>
      <c r="G395" s="42"/>
      <c r="H395" s="42"/>
      <c r="I395" s="42"/>
    </row>
    <row r="396" spans="1:9" x14ac:dyDescent="0.25">
      <c r="A396" s="42"/>
      <c r="B396" s="42"/>
      <c r="C396" s="42"/>
      <c r="D396" s="42"/>
      <c r="E396" s="42"/>
      <c r="F396" s="42"/>
      <c r="G396" s="42"/>
      <c r="H396" s="42"/>
      <c r="I396" s="42"/>
    </row>
    <row r="397" spans="1:9" x14ac:dyDescent="0.25">
      <c r="A397" s="42"/>
      <c r="B397" s="42"/>
      <c r="C397" s="42"/>
      <c r="D397" s="42"/>
      <c r="E397" s="42"/>
      <c r="F397" s="42"/>
      <c r="G397" s="42"/>
      <c r="H397" s="42"/>
      <c r="I397" s="42"/>
    </row>
    <row r="398" spans="1:9" x14ac:dyDescent="0.25">
      <c r="A398" s="42"/>
      <c r="B398" s="42"/>
      <c r="C398" s="42"/>
      <c r="D398" s="42"/>
      <c r="E398" s="42"/>
      <c r="F398" s="42"/>
      <c r="G398" s="42"/>
      <c r="H398" s="42"/>
      <c r="I398" s="42"/>
    </row>
    <row r="399" spans="1:9" x14ac:dyDescent="0.25">
      <c r="A399" s="42"/>
      <c r="B399" s="42"/>
      <c r="C399" s="42"/>
      <c r="D399" s="42"/>
      <c r="E399" s="42"/>
      <c r="F399" s="42"/>
      <c r="G399" s="42"/>
      <c r="H399" s="42"/>
      <c r="I399" s="42"/>
    </row>
    <row r="400" spans="1:9" x14ac:dyDescent="0.25">
      <c r="A400" s="42"/>
      <c r="B400" s="42"/>
      <c r="C400" s="42"/>
      <c r="D400" s="42"/>
      <c r="E400" s="42"/>
      <c r="F400" s="42"/>
      <c r="G400" s="42"/>
      <c r="H400" s="42"/>
      <c r="I400" s="42"/>
    </row>
    <row r="401" spans="1:9" x14ac:dyDescent="0.25">
      <c r="A401" s="42"/>
      <c r="B401" s="42"/>
      <c r="C401" s="42"/>
      <c r="D401" s="42"/>
      <c r="E401" s="42"/>
      <c r="F401" s="42"/>
      <c r="G401" s="42"/>
      <c r="H401" s="42"/>
      <c r="I401" s="42"/>
    </row>
    <row r="402" spans="1:9" x14ac:dyDescent="0.25">
      <c r="A402" s="42"/>
      <c r="B402" s="42"/>
      <c r="C402" s="42"/>
      <c r="D402" s="42"/>
      <c r="E402" s="42"/>
      <c r="F402" s="42"/>
      <c r="G402" s="42"/>
      <c r="H402" s="42"/>
      <c r="I402" s="42"/>
    </row>
    <row r="403" spans="1:9" x14ac:dyDescent="0.25">
      <c r="A403" s="42"/>
      <c r="B403" s="42"/>
      <c r="C403" s="42"/>
      <c r="D403" s="42"/>
      <c r="E403" s="42"/>
      <c r="F403" s="42"/>
      <c r="G403" s="42"/>
      <c r="H403" s="42"/>
      <c r="I403" s="42"/>
    </row>
    <row r="404" spans="1:9" x14ac:dyDescent="0.25">
      <c r="A404" s="42"/>
      <c r="B404" s="42"/>
      <c r="C404" s="42"/>
      <c r="D404" s="42"/>
      <c r="E404" s="42"/>
      <c r="F404" s="42"/>
      <c r="G404" s="42"/>
      <c r="H404" s="42"/>
      <c r="I404" s="42"/>
    </row>
    <row r="405" spans="1:9" x14ac:dyDescent="0.25">
      <c r="A405" s="42"/>
      <c r="B405" s="42"/>
      <c r="C405" s="42"/>
      <c r="D405" s="42"/>
      <c r="E405" s="42"/>
      <c r="F405" s="42"/>
      <c r="G405" s="42"/>
      <c r="H405" s="42"/>
      <c r="I405" s="42"/>
    </row>
    <row r="406" spans="1:9" x14ac:dyDescent="0.25">
      <c r="A406" s="42"/>
      <c r="B406" s="42"/>
      <c r="C406" s="42"/>
      <c r="D406" s="42"/>
      <c r="E406" s="42"/>
      <c r="F406" s="42"/>
      <c r="G406" s="42"/>
      <c r="H406" s="42"/>
      <c r="I406" s="42"/>
    </row>
    <row r="407" spans="1:9" x14ac:dyDescent="0.25">
      <c r="A407" s="42"/>
      <c r="B407" s="42"/>
      <c r="C407" s="42"/>
      <c r="D407" s="42"/>
      <c r="E407" s="42"/>
      <c r="F407" s="42"/>
      <c r="G407" s="42"/>
      <c r="H407" s="42"/>
      <c r="I407" s="42"/>
    </row>
    <row r="408" spans="1:9" x14ac:dyDescent="0.25">
      <c r="A408" s="42"/>
      <c r="B408" s="42"/>
      <c r="C408" s="42"/>
      <c r="D408" s="42"/>
      <c r="E408" s="42"/>
      <c r="F408" s="42"/>
      <c r="G408" s="42"/>
      <c r="H408" s="42"/>
      <c r="I408" s="42"/>
    </row>
    <row r="409" spans="1:9" x14ac:dyDescent="0.25">
      <c r="A409" s="42"/>
      <c r="B409" s="42"/>
      <c r="C409" s="42"/>
      <c r="D409" s="42"/>
      <c r="E409" s="42"/>
      <c r="F409" s="42"/>
      <c r="G409" s="42"/>
      <c r="H409" s="42"/>
      <c r="I409" s="42"/>
    </row>
    <row r="410" spans="1:9" x14ac:dyDescent="0.25">
      <c r="A410" s="42"/>
      <c r="B410" s="42"/>
      <c r="C410" s="42"/>
      <c r="D410" s="42"/>
      <c r="E410" s="42"/>
      <c r="F410" s="42"/>
      <c r="G410" s="42"/>
      <c r="H410" s="42"/>
      <c r="I410" s="42"/>
    </row>
    <row r="411" spans="1:9" x14ac:dyDescent="0.25">
      <c r="A411" s="42"/>
      <c r="B411" s="42"/>
      <c r="C411" s="42"/>
      <c r="D411" s="42"/>
      <c r="E411" s="42"/>
      <c r="F411" s="42"/>
      <c r="G411" s="42"/>
      <c r="H411" s="42"/>
      <c r="I411" s="42"/>
    </row>
    <row r="412" spans="1:9" x14ac:dyDescent="0.25">
      <c r="A412" s="42"/>
      <c r="B412" s="42"/>
      <c r="C412" s="42"/>
      <c r="D412" s="42"/>
      <c r="E412" s="42"/>
      <c r="F412" s="42"/>
      <c r="G412" s="42"/>
      <c r="H412" s="42"/>
      <c r="I412" s="42"/>
    </row>
    <row r="413" spans="1:9" x14ac:dyDescent="0.25">
      <c r="A413" s="42"/>
      <c r="B413" s="42"/>
      <c r="C413" s="42"/>
      <c r="D413" s="42"/>
      <c r="E413" s="42"/>
      <c r="F413" s="42"/>
      <c r="G413" s="42"/>
      <c r="H413" s="42"/>
      <c r="I413" s="42"/>
    </row>
    <row r="414" spans="1:9" x14ac:dyDescent="0.25">
      <c r="A414" s="42"/>
      <c r="B414" s="42"/>
      <c r="C414" s="42"/>
      <c r="D414" s="42"/>
      <c r="E414" s="42"/>
      <c r="F414" s="42"/>
      <c r="G414" s="42"/>
      <c r="H414" s="42"/>
      <c r="I414" s="42"/>
    </row>
    <row r="415" spans="1:9" x14ac:dyDescent="0.25">
      <c r="A415" s="42"/>
      <c r="B415" s="42"/>
      <c r="C415" s="42"/>
      <c r="D415" s="42"/>
      <c r="E415" s="42"/>
      <c r="F415" s="42"/>
      <c r="G415" s="42"/>
      <c r="H415" s="42"/>
      <c r="I415" s="42"/>
    </row>
    <row r="416" spans="1:9" x14ac:dyDescent="0.25">
      <c r="A416" s="42"/>
      <c r="B416" s="42"/>
      <c r="C416" s="42"/>
      <c r="D416" s="42"/>
      <c r="E416" s="42"/>
      <c r="F416" s="42"/>
      <c r="G416" s="42"/>
      <c r="H416" s="42"/>
      <c r="I416" s="42"/>
    </row>
    <row r="417" spans="1:9" x14ac:dyDescent="0.25">
      <c r="A417" s="42"/>
      <c r="B417" s="42"/>
      <c r="C417" s="42"/>
      <c r="D417" s="42"/>
      <c r="E417" s="42"/>
      <c r="F417" s="42"/>
      <c r="G417" s="42"/>
      <c r="H417" s="42"/>
      <c r="I417" s="42"/>
    </row>
    <row r="418" spans="1:9" x14ac:dyDescent="0.25">
      <c r="A418" s="42"/>
      <c r="B418" s="42"/>
      <c r="C418" s="42"/>
      <c r="D418" s="42"/>
      <c r="E418" s="42"/>
      <c r="F418" s="42"/>
      <c r="G418" s="42"/>
      <c r="H418" s="42"/>
      <c r="I418" s="42"/>
    </row>
    <row r="419" spans="1:9" x14ac:dyDescent="0.25">
      <c r="A419" s="42"/>
      <c r="B419" s="42"/>
      <c r="C419" s="42"/>
      <c r="D419" s="42"/>
      <c r="E419" s="42"/>
      <c r="F419" s="42"/>
      <c r="G419" s="42"/>
      <c r="H419" s="42"/>
      <c r="I419" s="42"/>
    </row>
    <row r="420" spans="1:9" x14ac:dyDescent="0.25">
      <c r="A420" s="42"/>
      <c r="B420" s="42"/>
      <c r="C420" s="42"/>
      <c r="D420" s="42"/>
      <c r="E420" s="42"/>
      <c r="F420" s="42"/>
      <c r="G420" s="42"/>
      <c r="H420" s="42"/>
      <c r="I420" s="42"/>
    </row>
    <row r="421" spans="1:9" x14ac:dyDescent="0.25">
      <c r="A421" s="42"/>
      <c r="B421" s="42"/>
      <c r="C421" s="42"/>
      <c r="D421" s="42"/>
      <c r="E421" s="42"/>
      <c r="F421" s="42"/>
      <c r="G421" s="42"/>
      <c r="H421" s="42"/>
      <c r="I421" s="42"/>
    </row>
    <row r="422" spans="1:9" x14ac:dyDescent="0.25">
      <c r="A422" s="42"/>
      <c r="B422" s="42"/>
      <c r="C422" s="42"/>
      <c r="D422" s="42"/>
      <c r="E422" s="42"/>
      <c r="F422" s="42"/>
      <c r="G422" s="42"/>
      <c r="H422" s="42"/>
      <c r="I422" s="42"/>
    </row>
    <row r="423" spans="1:9" x14ac:dyDescent="0.25">
      <c r="A423" s="42"/>
      <c r="B423" s="42"/>
      <c r="C423" s="42"/>
      <c r="D423" s="42"/>
      <c r="E423" s="42"/>
      <c r="F423" s="42"/>
      <c r="G423" s="42"/>
      <c r="H423" s="42"/>
      <c r="I423" s="42"/>
    </row>
    <row r="424" spans="1:9" x14ac:dyDescent="0.25">
      <c r="A424" s="42"/>
      <c r="B424" s="42"/>
      <c r="C424" s="42"/>
      <c r="D424" s="42"/>
      <c r="E424" s="42"/>
      <c r="F424" s="42"/>
      <c r="G424" s="42"/>
      <c r="H424" s="42"/>
      <c r="I424" s="42"/>
    </row>
    <row r="425" spans="1:9" x14ac:dyDescent="0.25">
      <c r="A425" s="42"/>
      <c r="B425" s="42"/>
      <c r="C425" s="42"/>
      <c r="D425" s="42"/>
      <c r="E425" s="42"/>
      <c r="F425" s="42"/>
      <c r="G425" s="42"/>
      <c r="H425" s="42"/>
      <c r="I425" s="42"/>
    </row>
    <row r="426" spans="1:9" x14ac:dyDescent="0.25">
      <c r="A426" s="42"/>
      <c r="B426" s="42"/>
      <c r="C426" s="42"/>
      <c r="D426" s="42"/>
      <c r="E426" s="42"/>
      <c r="F426" s="42"/>
      <c r="G426" s="42"/>
      <c r="H426" s="42"/>
      <c r="I426" s="42"/>
    </row>
    <row r="427" spans="1:9" x14ac:dyDescent="0.25">
      <c r="A427" s="42"/>
      <c r="B427" s="42"/>
      <c r="C427" s="42"/>
      <c r="D427" s="42"/>
      <c r="E427" s="42"/>
      <c r="F427" s="42"/>
      <c r="G427" s="42"/>
      <c r="H427" s="42"/>
      <c r="I427" s="42"/>
    </row>
    <row r="428" spans="1:9" x14ac:dyDescent="0.25">
      <c r="A428" s="42"/>
      <c r="B428" s="42"/>
      <c r="C428" s="42"/>
      <c r="D428" s="42"/>
      <c r="E428" s="42"/>
      <c r="F428" s="42"/>
      <c r="G428" s="42"/>
      <c r="H428" s="42"/>
      <c r="I428" s="42"/>
    </row>
    <row r="429" spans="1:9" x14ac:dyDescent="0.25">
      <c r="A429" s="42"/>
      <c r="B429" s="42"/>
      <c r="C429" s="42"/>
      <c r="D429" s="42"/>
      <c r="E429" s="42"/>
      <c r="F429" s="42"/>
      <c r="G429" s="42"/>
      <c r="H429" s="42"/>
      <c r="I429" s="42"/>
    </row>
    <row r="430" spans="1:9" x14ac:dyDescent="0.25">
      <c r="A430" s="42"/>
      <c r="B430" s="42"/>
      <c r="C430" s="42"/>
      <c r="D430" s="42"/>
      <c r="E430" s="42"/>
      <c r="F430" s="42"/>
      <c r="G430" s="42"/>
      <c r="H430" s="42"/>
      <c r="I430" s="42"/>
    </row>
    <row r="431" spans="1:9" x14ac:dyDescent="0.25">
      <c r="A431" s="42"/>
      <c r="B431" s="42"/>
      <c r="C431" s="42"/>
      <c r="D431" s="42"/>
      <c r="E431" s="42"/>
      <c r="F431" s="42"/>
      <c r="G431" s="42"/>
      <c r="H431" s="42"/>
      <c r="I431" s="42"/>
    </row>
    <row r="432" spans="1:9" x14ac:dyDescent="0.25">
      <c r="A432" s="42"/>
      <c r="B432" s="42"/>
      <c r="C432" s="42"/>
      <c r="D432" s="42"/>
      <c r="E432" s="42"/>
      <c r="F432" s="42"/>
      <c r="G432" s="42"/>
      <c r="H432" s="42"/>
      <c r="I432" s="42"/>
    </row>
    <row r="433" spans="1:9" x14ac:dyDescent="0.25">
      <c r="A433" s="42"/>
      <c r="B433" s="42"/>
      <c r="C433" s="42"/>
      <c r="D433" s="42"/>
      <c r="E433" s="42"/>
      <c r="F433" s="42"/>
      <c r="G433" s="42"/>
      <c r="H433" s="42"/>
      <c r="I433" s="42"/>
    </row>
    <row r="434" spans="1:9" x14ac:dyDescent="0.25">
      <c r="A434" s="42"/>
      <c r="B434" s="42"/>
      <c r="C434" s="42"/>
      <c r="D434" s="42"/>
      <c r="E434" s="42"/>
      <c r="F434" s="42"/>
      <c r="G434" s="42"/>
      <c r="H434" s="42"/>
      <c r="I434" s="42"/>
    </row>
    <row r="435" spans="1:9" x14ac:dyDescent="0.25">
      <c r="A435" s="42"/>
      <c r="B435" s="42"/>
      <c r="C435" s="42"/>
      <c r="D435" s="42"/>
      <c r="E435" s="42"/>
      <c r="F435" s="42"/>
      <c r="G435" s="42"/>
      <c r="H435" s="42"/>
      <c r="I435" s="42"/>
    </row>
    <row r="436" spans="1:9" x14ac:dyDescent="0.25">
      <c r="A436" s="42"/>
      <c r="B436" s="42"/>
      <c r="C436" s="42"/>
      <c r="D436" s="42"/>
      <c r="E436" s="42"/>
      <c r="F436" s="42"/>
      <c r="G436" s="42"/>
      <c r="H436" s="42"/>
      <c r="I436" s="42"/>
    </row>
    <row r="437" spans="1:9" x14ac:dyDescent="0.25">
      <c r="A437" s="42"/>
      <c r="B437" s="42"/>
      <c r="C437" s="42"/>
      <c r="D437" s="42"/>
      <c r="E437" s="42"/>
      <c r="F437" s="42"/>
      <c r="G437" s="42"/>
      <c r="H437" s="42"/>
      <c r="I437" s="42"/>
    </row>
    <row r="438" spans="1:9" x14ac:dyDescent="0.25">
      <c r="A438" s="42"/>
      <c r="B438" s="42"/>
      <c r="C438" s="42"/>
      <c r="D438" s="42"/>
      <c r="E438" s="42"/>
      <c r="F438" s="42"/>
      <c r="G438" s="42"/>
      <c r="H438" s="42"/>
      <c r="I438" s="42"/>
    </row>
    <row r="439" spans="1:9" x14ac:dyDescent="0.25">
      <c r="A439" s="42"/>
      <c r="B439" s="42"/>
      <c r="C439" s="42"/>
      <c r="D439" s="42"/>
      <c r="E439" s="42"/>
      <c r="F439" s="42"/>
      <c r="G439" s="42"/>
      <c r="H439" s="42"/>
      <c r="I439" s="42"/>
    </row>
    <row r="440" spans="1:9" x14ac:dyDescent="0.25">
      <c r="A440" s="42"/>
      <c r="B440" s="42"/>
      <c r="C440" s="42"/>
      <c r="D440" s="42"/>
      <c r="E440" s="42"/>
      <c r="F440" s="42"/>
      <c r="G440" s="42"/>
      <c r="H440" s="42"/>
      <c r="I440" s="42"/>
    </row>
    <row r="441" spans="1:9" x14ac:dyDescent="0.25">
      <c r="A441" s="42"/>
      <c r="B441" s="42"/>
      <c r="C441" s="42"/>
      <c r="D441" s="42"/>
      <c r="E441" s="42"/>
      <c r="F441" s="42"/>
      <c r="G441" s="42"/>
      <c r="H441" s="42"/>
      <c r="I441" s="42"/>
    </row>
    <row r="442" spans="1:9" x14ac:dyDescent="0.25">
      <c r="A442" s="42"/>
      <c r="B442" s="42"/>
      <c r="C442" s="42"/>
      <c r="D442" s="42"/>
      <c r="E442" s="42"/>
      <c r="F442" s="42"/>
      <c r="G442" s="42"/>
      <c r="H442" s="42"/>
      <c r="I442" s="42"/>
    </row>
    <row r="443" spans="1:9" x14ac:dyDescent="0.25">
      <c r="A443" s="42"/>
      <c r="B443" s="42"/>
      <c r="C443" s="42"/>
      <c r="D443" s="42"/>
      <c r="E443" s="42"/>
      <c r="F443" s="42"/>
      <c r="G443" s="42"/>
      <c r="H443" s="42"/>
      <c r="I443" s="42"/>
    </row>
    <row r="444" spans="1:9" x14ac:dyDescent="0.25">
      <c r="A444" s="42"/>
      <c r="B444" s="42"/>
      <c r="C444" s="42"/>
      <c r="D444" s="42"/>
      <c r="E444" s="42"/>
      <c r="F444" s="42"/>
      <c r="G444" s="42"/>
      <c r="H444" s="42"/>
      <c r="I444" s="42"/>
    </row>
    <row r="445" spans="1:9" x14ac:dyDescent="0.25">
      <c r="A445" s="42"/>
      <c r="B445" s="42"/>
      <c r="C445" s="42"/>
      <c r="D445" s="42"/>
      <c r="E445" s="42"/>
      <c r="F445" s="42"/>
      <c r="G445" s="42"/>
      <c r="H445" s="42"/>
      <c r="I445" s="42"/>
    </row>
    <row r="446" spans="1:9" x14ac:dyDescent="0.25">
      <c r="A446" s="42"/>
      <c r="B446" s="42"/>
      <c r="C446" s="42"/>
      <c r="D446" s="42"/>
      <c r="E446" s="42"/>
      <c r="F446" s="42"/>
      <c r="G446" s="42"/>
      <c r="H446" s="42"/>
      <c r="I446" s="42"/>
    </row>
    <row r="447" spans="1:9" x14ac:dyDescent="0.25">
      <c r="A447" s="42"/>
      <c r="B447" s="42"/>
      <c r="C447" s="42"/>
      <c r="D447" s="42"/>
      <c r="E447" s="42"/>
      <c r="F447" s="42"/>
      <c r="G447" s="42"/>
      <c r="H447" s="42"/>
      <c r="I447" s="42"/>
    </row>
    <row r="448" spans="1:9" x14ac:dyDescent="0.25">
      <c r="A448" s="42"/>
      <c r="B448" s="42"/>
      <c r="C448" s="42"/>
      <c r="D448" s="42"/>
      <c r="E448" s="42"/>
      <c r="F448" s="42"/>
      <c r="G448" s="42"/>
      <c r="H448" s="42"/>
      <c r="I448" s="42"/>
    </row>
    <row r="449" spans="1:9" x14ac:dyDescent="0.25">
      <c r="A449" s="42"/>
      <c r="B449" s="42"/>
      <c r="C449" s="42"/>
      <c r="D449" s="42"/>
      <c r="E449" s="42"/>
      <c r="F449" s="42"/>
      <c r="G449" s="42"/>
      <c r="H449" s="42"/>
      <c r="I449" s="42"/>
    </row>
    <row r="450" spans="1:9" x14ac:dyDescent="0.25">
      <c r="A450" s="42"/>
      <c r="B450" s="42"/>
      <c r="C450" s="42"/>
      <c r="D450" s="42"/>
      <c r="E450" s="42"/>
      <c r="F450" s="42"/>
      <c r="G450" s="42"/>
      <c r="H450" s="42"/>
      <c r="I450" s="42"/>
    </row>
    <row r="451" spans="1:9" x14ac:dyDescent="0.25">
      <c r="A451" s="42"/>
      <c r="B451" s="42"/>
      <c r="C451" s="42"/>
      <c r="D451" s="42"/>
      <c r="E451" s="42"/>
      <c r="F451" s="42"/>
      <c r="G451" s="42"/>
      <c r="H451" s="42"/>
      <c r="I451" s="42"/>
    </row>
    <row r="452" spans="1:9" x14ac:dyDescent="0.25">
      <c r="A452" s="42"/>
      <c r="B452" s="42"/>
      <c r="C452" s="42"/>
      <c r="D452" s="42"/>
      <c r="E452" s="42"/>
      <c r="F452" s="42"/>
      <c r="G452" s="42"/>
      <c r="H452" s="42"/>
      <c r="I452" s="42"/>
    </row>
    <row r="453" spans="1:9" x14ac:dyDescent="0.25">
      <c r="A453" s="42"/>
      <c r="B453" s="42"/>
      <c r="C453" s="42"/>
      <c r="D453" s="42"/>
      <c r="E453" s="42"/>
      <c r="F453" s="42"/>
      <c r="G453" s="42"/>
      <c r="H453" s="42"/>
      <c r="I453" s="42"/>
    </row>
    <row r="454" spans="1:9" x14ac:dyDescent="0.25">
      <c r="A454" s="42"/>
      <c r="B454" s="42"/>
      <c r="C454" s="42"/>
      <c r="D454" s="42"/>
      <c r="E454" s="42"/>
      <c r="F454" s="42"/>
      <c r="G454" s="42"/>
      <c r="H454" s="42"/>
      <c r="I454" s="42"/>
    </row>
    <row r="455" spans="1:9" x14ac:dyDescent="0.25">
      <c r="A455" s="42"/>
      <c r="B455" s="42"/>
      <c r="C455" s="42"/>
      <c r="D455" s="42"/>
      <c r="E455" s="42"/>
      <c r="F455" s="42"/>
      <c r="G455" s="42"/>
      <c r="H455" s="42"/>
      <c r="I455" s="42"/>
    </row>
    <row r="456" spans="1:9" x14ac:dyDescent="0.25">
      <c r="A456" s="42"/>
      <c r="B456" s="42"/>
      <c r="C456" s="42"/>
      <c r="D456" s="42"/>
      <c r="E456" s="42"/>
      <c r="F456" s="42"/>
      <c r="G456" s="42"/>
      <c r="H456" s="42"/>
      <c r="I456" s="42"/>
    </row>
    <row r="457" spans="1:9" x14ac:dyDescent="0.25">
      <c r="A457" s="42"/>
      <c r="B457" s="42"/>
      <c r="C457" s="42"/>
      <c r="D457" s="42"/>
      <c r="E457" s="42"/>
      <c r="F457" s="42"/>
      <c r="G457" s="42"/>
      <c r="H457" s="42"/>
      <c r="I457" s="42"/>
    </row>
    <row r="458" spans="1:9" x14ac:dyDescent="0.25">
      <c r="A458" s="42"/>
      <c r="B458" s="42"/>
      <c r="C458" s="42"/>
      <c r="D458" s="42"/>
      <c r="E458" s="42"/>
      <c r="F458" s="42"/>
      <c r="G458" s="42"/>
      <c r="H458" s="42"/>
      <c r="I458" s="42"/>
    </row>
    <row r="459" spans="1:9" x14ac:dyDescent="0.25">
      <c r="A459" s="42"/>
      <c r="B459" s="42"/>
      <c r="C459" s="42"/>
      <c r="D459" s="42"/>
      <c r="E459" s="42"/>
      <c r="F459" s="42"/>
      <c r="G459" s="42"/>
      <c r="H459" s="42"/>
      <c r="I459" s="42"/>
    </row>
    <row r="460" spans="1:9" x14ac:dyDescent="0.25">
      <c r="A460" s="42"/>
      <c r="B460" s="42"/>
      <c r="C460" s="42"/>
      <c r="D460" s="42"/>
      <c r="E460" s="42"/>
      <c r="F460" s="42"/>
      <c r="G460" s="42"/>
      <c r="H460" s="42"/>
      <c r="I460" s="42"/>
    </row>
    <row r="461" spans="1:9" x14ac:dyDescent="0.25">
      <c r="A461" s="42"/>
      <c r="B461" s="42"/>
      <c r="C461" s="42"/>
      <c r="D461" s="42"/>
      <c r="E461" s="42"/>
      <c r="F461" s="42"/>
      <c r="G461" s="42"/>
      <c r="H461" s="42"/>
      <c r="I461" s="42"/>
    </row>
    <row r="462" spans="1:9" x14ac:dyDescent="0.25">
      <c r="A462" s="42"/>
      <c r="B462" s="42"/>
      <c r="C462" s="42"/>
      <c r="D462" s="42"/>
      <c r="E462" s="42"/>
      <c r="F462" s="42"/>
      <c r="G462" s="42"/>
      <c r="H462" s="42"/>
      <c r="I462" s="42"/>
    </row>
    <row r="463" spans="1:9" x14ac:dyDescent="0.25">
      <c r="A463" s="42"/>
      <c r="B463" s="42"/>
      <c r="C463" s="42"/>
      <c r="D463" s="42"/>
      <c r="E463" s="42"/>
      <c r="F463" s="42"/>
      <c r="G463" s="42"/>
      <c r="H463" s="42"/>
      <c r="I463" s="42"/>
    </row>
    <row r="464" spans="1:9" x14ac:dyDescent="0.25">
      <c r="A464" s="42"/>
      <c r="B464" s="42"/>
      <c r="C464" s="42"/>
      <c r="D464" s="42"/>
      <c r="E464" s="42"/>
      <c r="F464" s="42"/>
      <c r="G464" s="42"/>
      <c r="H464" s="42"/>
      <c r="I464" s="42"/>
    </row>
    <row r="465" spans="1:9" x14ac:dyDescent="0.25">
      <c r="A465" s="42"/>
      <c r="B465" s="42"/>
      <c r="C465" s="42"/>
      <c r="D465" s="42"/>
      <c r="E465" s="42"/>
      <c r="F465" s="42"/>
      <c r="G465" s="42"/>
      <c r="H465" s="42"/>
      <c r="I465" s="42"/>
    </row>
    <row r="466" spans="1:9" x14ac:dyDescent="0.25">
      <c r="A466" s="42"/>
      <c r="B466" s="42"/>
      <c r="C466" s="42"/>
      <c r="D466" s="42"/>
      <c r="E466" s="42"/>
      <c r="F466" s="42"/>
      <c r="G466" s="42"/>
      <c r="H466" s="42"/>
      <c r="I466" s="42"/>
    </row>
    <row r="467" spans="1:9" x14ac:dyDescent="0.25">
      <c r="A467" s="42"/>
      <c r="B467" s="42"/>
      <c r="C467" s="42"/>
      <c r="D467" s="42"/>
      <c r="E467" s="42"/>
      <c r="F467" s="42"/>
      <c r="G467" s="42"/>
      <c r="H467" s="42"/>
      <c r="I467" s="42"/>
    </row>
    <row r="468" spans="1:9" x14ac:dyDescent="0.25">
      <c r="A468" s="42"/>
      <c r="B468" s="42"/>
      <c r="C468" s="42"/>
      <c r="D468" s="42"/>
      <c r="E468" s="42"/>
      <c r="F468" s="42"/>
      <c r="G468" s="42"/>
      <c r="H468" s="42"/>
      <c r="I468" s="42"/>
    </row>
    <row r="469" spans="1:9" x14ac:dyDescent="0.25">
      <c r="A469" s="42"/>
      <c r="B469" s="42"/>
      <c r="C469" s="42"/>
      <c r="D469" s="42"/>
      <c r="E469" s="42"/>
      <c r="F469" s="42"/>
      <c r="G469" s="42"/>
      <c r="H469" s="42"/>
      <c r="I469" s="42"/>
    </row>
    <row r="470" spans="1:9" x14ac:dyDescent="0.25">
      <c r="A470" s="42"/>
      <c r="B470" s="42"/>
      <c r="C470" s="42"/>
      <c r="D470" s="42"/>
      <c r="E470" s="42"/>
      <c r="F470" s="42"/>
      <c r="G470" s="42"/>
      <c r="H470" s="42"/>
      <c r="I470" s="42"/>
    </row>
    <row r="471" spans="1:9" x14ac:dyDescent="0.25">
      <c r="A471" s="42"/>
      <c r="B471" s="42"/>
      <c r="C471" s="42"/>
      <c r="D471" s="42"/>
      <c r="E471" s="42"/>
      <c r="F471" s="42"/>
      <c r="G471" s="42"/>
      <c r="H471" s="42"/>
      <c r="I471" s="42"/>
    </row>
    <row r="472" spans="1:9" x14ac:dyDescent="0.25">
      <c r="A472" s="42"/>
      <c r="B472" s="42"/>
      <c r="C472" s="42"/>
      <c r="D472" s="42"/>
      <c r="E472" s="42"/>
      <c r="F472" s="42"/>
      <c r="G472" s="42"/>
      <c r="H472" s="42"/>
      <c r="I472" s="42"/>
    </row>
    <row r="473" spans="1:9" x14ac:dyDescent="0.25">
      <c r="A473" s="42"/>
      <c r="B473" s="42"/>
      <c r="C473" s="42"/>
      <c r="D473" s="42"/>
      <c r="E473" s="42"/>
      <c r="F473" s="42"/>
      <c r="G473" s="42"/>
      <c r="H473" s="42"/>
      <c r="I473" s="42"/>
    </row>
    <row r="474" spans="1:9" x14ac:dyDescent="0.25">
      <c r="A474" s="42"/>
      <c r="B474" s="42"/>
      <c r="C474" s="42"/>
      <c r="D474" s="42"/>
      <c r="E474" s="42"/>
      <c r="F474" s="42"/>
      <c r="G474" s="42"/>
      <c r="H474" s="42"/>
      <c r="I474" s="42"/>
    </row>
    <row r="475" spans="1:9" x14ac:dyDescent="0.25">
      <c r="A475" s="42"/>
      <c r="B475" s="42"/>
      <c r="C475" s="42"/>
      <c r="D475" s="42"/>
      <c r="E475" s="42"/>
      <c r="F475" s="42"/>
      <c r="G475" s="42"/>
      <c r="H475" s="42"/>
      <c r="I475" s="42"/>
    </row>
    <row r="476" spans="1:9" x14ac:dyDescent="0.25">
      <c r="A476" s="42"/>
      <c r="B476" s="42"/>
      <c r="C476" s="42"/>
      <c r="D476" s="42"/>
      <c r="E476" s="42"/>
      <c r="F476" s="42"/>
      <c r="G476" s="42"/>
      <c r="H476" s="42"/>
      <c r="I476" s="42"/>
    </row>
    <row r="477" spans="1:9" x14ac:dyDescent="0.25">
      <c r="A477" s="42"/>
      <c r="B477" s="42"/>
      <c r="C477" s="42"/>
      <c r="D477" s="42"/>
      <c r="E477" s="42"/>
      <c r="F477" s="42"/>
      <c r="G477" s="42"/>
      <c r="H477" s="42"/>
      <c r="I477" s="42"/>
    </row>
    <row r="478" spans="1:9" x14ac:dyDescent="0.25">
      <c r="A478" s="42"/>
      <c r="B478" s="42"/>
      <c r="C478" s="42"/>
      <c r="D478" s="42"/>
      <c r="E478" s="42"/>
      <c r="F478" s="42"/>
      <c r="G478" s="42"/>
      <c r="H478" s="42"/>
      <c r="I478" s="42"/>
    </row>
    <row r="479" spans="1:9" x14ac:dyDescent="0.25">
      <c r="A479" s="42"/>
      <c r="B479" s="42"/>
      <c r="C479" s="42"/>
      <c r="D479" s="42"/>
      <c r="E479" s="42"/>
      <c r="F479" s="42"/>
      <c r="G479" s="42"/>
      <c r="H479" s="42"/>
      <c r="I479" s="42"/>
    </row>
    <row r="480" spans="1:9" x14ac:dyDescent="0.25">
      <c r="A480" s="42"/>
      <c r="B480" s="42"/>
      <c r="C480" s="42"/>
      <c r="D480" s="42"/>
      <c r="E480" s="42"/>
      <c r="F480" s="42"/>
      <c r="G480" s="42"/>
      <c r="H480" s="42"/>
      <c r="I480" s="42"/>
    </row>
    <row r="481" spans="1:9" x14ac:dyDescent="0.25">
      <c r="A481" s="42"/>
      <c r="B481" s="42"/>
      <c r="C481" s="42"/>
      <c r="D481" s="42"/>
      <c r="E481" s="42"/>
      <c r="F481" s="42"/>
      <c r="G481" s="42"/>
      <c r="H481" s="42"/>
      <c r="I481" s="42"/>
    </row>
    <row r="482" spans="1:9" x14ac:dyDescent="0.25">
      <c r="A482" s="42"/>
      <c r="B482" s="42"/>
      <c r="C482" s="42"/>
      <c r="D482" s="42"/>
      <c r="E482" s="42"/>
      <c r="F482" s="42"/>
      <c r="G482" s="42"/>
      <c r="H482" s="42"/>
      <c r="I482" s="42"/>
    </row>
    <row r="483" spans="1:9" x14ac:dyDescent="0.25">
      <c r="A483" s="42"/>
      <c r="B483" s="42"/>
      <c r="C483" s="42"/>
      <c r="D483" s="42"/>
      <c r="E483" s="42"/>
      <c r="F483" s="42"/>
      <c r="G483" s="42"/>
      <c r="H483" s="42"/>
      <c r="I483" s="42"/>
    </row>
    <row r="484" spans="1:9" x14ac:dyDescent="0.25">
      <c r="A484" s="42"/>
      <c r="B484" s="42"/>
      <c r="C484" s="42"/>
      <c r="D484" s="42"/>
      <c r="E484" s="42"/>
      <c r="F484" s="42"/>
      <c r="G484" s="42"/>
      <c r="H484" s="42"/>
      <c r="I484" s="42"/>
    </row>
    <row r="485" spans="1:9" x14ac:dyDescent="0.25">
      <c r="A485" s="42"/>
      <c r="B485" s="42"/>
      <c r="C485" s="42"/>
      <c r="D485" s="42"/>
      <c r="E485" s="42"/>
      <c r="F485" s="42"/>
      <c r="G485" s="42"/>
      <c r="H485" s="42"/>
      <c r="I485" s="42"/>
    </row>
    <row r="486" spans="1:9" x14ac:dyDescent="0.25">
      <c r="A486" s="42"/>
      <c r="B486" s="42"/>
      <c r="C486" s="42"/>
      <c r="D486" s="42"/>
      <c r="E486" s="42"/>
      <c r="F486" s="42"/>
      <c r="G486" s="42"/>
      <c r="H486" s="42"/>
      <c r="I486" s="42"/>
    </row>
    <row r="487" spans="1:9" x14ac:dyDescent="0.25">
      <c r="A487" s="42"/>
      <c r="B487" s="42"/>
      <c r="C487" s="42"/>
      <c r="D487" s="42"/>
      <c r="E487" s="42"/>
      <c r="F487" s="42"/>
      <c r="G487" s="42"/>
      <c r="H487" s="42"/>
      <c r="I487" s="42"/>
    </row>
    <row r="488" spans="1:9" x14ac:dyDescent="0.25">
      <c r="B488" s="42"/>
      <c r="C488" s="42"/>
      <c r="D488" s="42"/>
      <c r="E488" s="42"/>
      <c r="F488" s="42"/>
      <c r="G488" s="42"/>
      <c r="H488" s="42"/>
      <c r="I488" s="42"/>
    </row>
    <row r="489" spans="1:9" x14ac:dyDescent="0.25">
      <c r="B489" s="42"/>
      <c r="C489" s="42"/>
      <c r="D489" s="42"/>
      <c r="E489" s="42"/>
      <c r="F489" s="42"/>
      <c r="G489" s="42"/>
      <c r="H489" s="42"/>
      <c r="I489" s="42"/>
    </row>
    <row r="490" spans="1:9" x14ac:dyDescent="0.25">
      <c r="B490" s="42"/>
      <c r="C490" s="42"/>
      <c r="D490" s="42"/>
      <c r="E490" s="42"/>
      <c r="F490" s="42"/>
      <c r="G490" s="42"/>
      <c r="H490" s="42"/>
      <c r="I490" s="42"/>
    </row>
    <row r="491" spans="1:9" x14ac:dyDescent="0.25">
      <c r="B491" s="42"/>
      <c r="C491" s="42"/>
      <c r="D491" s="42"/>
      <c r="E491" s="42"/>
      <c r="F491" s="42"/>
      <c r="G491" s="42"/>
      <c r="H491" s="42"/>
      <c r="I491" s="42"/>
    </row>
    <row r="492" spans="1:9" x14ac:dyDescent="0.25">
      <c r="B492" s="42"/>
      <c r="C492" s="42"/>
      <c r="D492" s="42"/>
      <c r="E492" s="42"/>
      <c r="F492" s="42"/>
      <c r="G492" s="42"/>
      <c r="H492" s="42"/>
      <c r="I492" s="42"/>
    </row>
    <row r="493" spans="1:9" x14ac:dyDescent="0.25">
      <c r="B493" s="42"/>
      <c r="C493" s="42"/>
      <c r="D493" s="42"/>
      <c r="E493" s="42"/>
      <c r="F493" s="42"/>
      <c r="G493" s="42"/>
      <c r="H493" s="42"/>
      <c r="I493" s="42"/>
    </row>
    <row r="494" spans="1:9" x14ac:dyDescent="0.25">
      <c r="B494" s="42"/>
      <c r="C494" s="42"/>
      <c r="D494" s="42"/>
      <c r="E494" s="42"/>
      <c r="F494" s="42"/>
      <c r="G494" s="42"/>
      <c r="H494" s="42"/>
      <c r="I494" s="42"/>
    </row>
    <row r="495" spans="1:9" x14ac:dyDescent="0.25">
      <c r="B495" s="42"/>
      <c r="C495" s="42"/>
      <c r="D495" s="42"/>
      <c r="E495" s="42"/>
      <c r="F495" s="42"/>
      <c r="G495" s="42"/>
      <c r="H495" s="42"/>
      <c r="I495" s="42"/>
    </row>
    <row r="496" spans="1:9" x14ac:dyDescent="0.25">
      <c r="B496" s="42"/>
      <c r="C496" s="42"/>
      <c r="D496" s="42"/>
      <c r="E496" s="42"/>
      <c r="F496" s="42"/>
      <c r="G496" s="42"/>
      <c r="H496" s="42"/>
      <c r="I496" s="42"/>
    </row>
    <row r="497" spans="2:9" x14ac:dyDescent="0.25">
      <c r="B497" s="42"/>
      <c r="C497" s="42"/>
      <c r="D497" s="42"/>
      <c r="E497" s="42"/>
      <c r="F497" s="42"/>
      <c r="G497" s="42"/>
      <c r="H497" s="42"/>
      <c r="I497" s="42"/>
    </row>
    <row r="498" spans="2:9" x14ac:dyDescent="0.25">
      <c r="B498" s="42"/>
      <c r="C498" s="42"/>
      <c r="D498" s="42"/>
      <c r="E498" s="42"/>
      <c r="F498" s="42"/>
      <c r="G498" s="42"/>
      <c r="H498" s="42"/>
      <c r="I498" s="42"/>
    </row>
    <row r="499" spans="2:9" x14ac:dyDescent="0.25">
      <c r="B499" s="42"/>
      <c r="C499" s="42"/>
      <c r="D499" s="42"/>
      <c r="E499" s="42"/>
      <c r="F499" s="42"/>
      <c r="G499" s="42"/>
      <c r="H499" s="42"/>
      <c r="I499" s="42"/>
    </row>
    <row r="500" spans="2:9" x14ac:dyDescent="0.25">
      <c r="B500" s="42"/>
      <c r="C500" s="42"/>
      <c r="D500" s="42"/>
      <c r="E500" s="42"/>
      <c r="F500" s="42"/>
      <c r="G500" s="42"/>
      <c r="H500" s="42"/>
      <c r="I500" s="42"/>
    </row>
    <row r="501" spans="2:9" x14ac:dyDescent="0.25">
      <c r="B501" s="42"/>
      <c r="C501" s="42"/>
      <c r="D501" s="42"/>
      <c r="E501" s="42"/>
      <c r="F501" s="42"/>
      <c r="G501" s="42"/>
      <c r="H501" s="42"/>
      <c r="I501" s="42"/>
    </row>
    <row r="502" spans="2:9" x14ac:dyDescent="0.25">
      <c r="B502" s="42"/>
      <c r="C502" s="42"/>
      <c r="D502" s="42"/>
      <c r="E502" s="42"/>
      <c r="F502" s="42"/>
      <c r="G502" s="42"/>
      <c r="H502" s="42"/>
      <c r="I502" s="42"/>
    </row>
    <row r="503" spans="2:9" x14ac:dyDescent="0.25">
      <c r="B503" s="42"/>
      <c r="C503" s="42"/>
      <c r="D503" s="42"/>
      <c r="E503" s="42"/>
      <c r="F503" s="42"/>
      <c r="G503" s="42"/>
      <c r="H503" s="42"/>
      <c r="I503" s="42"/>
    </row>
    <row r="504" spans="2:9" x14ac:dyDescent="0.25">
      <c r="B504" s="42"/>
      <c r="C504" s="42"/>
      <c r="D504" s="42"/>
      <c r="E504" s="42"/>
      <c r="F504" s="42"/>
      <c r="G504" s="42"/>
      <c r="H504" s="42"/>
      <c r="I504" s="42"/>
    </row>
    <row r="505" spans="2:9" x14ac:dyDescent="0.25">
      <c r="B505" s="42"/>
      <c r="C505" s="42"/>
      <c r="D505" s="42"/>
      <c r="E505" s="42"/>
      <c r="F505" s="42"/>
      <c r="G505" s="42"/>
      <c r="H505" s="42"/>
      <c r="I505" s="42"/>
    </row>
    <row r="506" spans="2:9" x14ac:dyDescent="0.25">
      <c r="B506" s="42"/>
      <c r="C506" s="42"/>
      <c r="D506" s="42"/>
      <c r="E506" s="42"/>
      <c r="F506" s="42"/>
      <c r="G506" s="42"/>
      <c r="H506" s="42"/>
      <c r="I506" s="42"/>
    </row>
    <row r="507" spans="2:9" x14ac:dyDescent="0.25">
      <c r="B507" s="42"/>
      <c r="C507" s="42"/>
      <c r="D507" s="42"/>
      <c r="E507" s="42"/>
      <c r="F507" s="42"/>
      <c r="G507" s="42"/>
      <c r="H507" s="42"/>
      <c r="I507" s="42"/>
    </row>
    <row r="508" spans="2:9" x14ac:dyDescent="0.25">
      <c r="B508" s="42"/>
      <c r="C508" s="42"/>
      <c r="D508" s="42"/>
      <c r="E508" s="42"/>
      <c r="F508" s="42"/>
      <c r="G508" s="42"/>
      <c r="H508" s="42"/>
      <c r="I508" s="42"/>
    </row>
    <row r="509" spans="2:9" x14ac:dyDescent="0.25">
      <c r="B509" s="42"/>
      <c r="C509" s="42"/>
      <c r="D509" s="42"/>
      <c r="E509" s="42"/>
      <c r="F509" s="42"/>
      <c r="G509" s="42"/>
      <c r="H509" s="42"/>
      <c r="I509" s="42"/>
    </row>
    <row r="510" spans="2:9" x14ac:dyDescent="0.25">
      <c r="B510" s="42"/>
      <c r="C510" s="42"/>
      <c r="D510" s="42"/>
      <c r="E510" s="42"/>
      <c r="F510" s="42"/>
      <c r="G510" s="42"/>
      <c r="H510" s="42"/>
      <c r="I510" s="42"/>
    </row>
    <row r="511" spans="2:9" x14ac:dyDescent="0.25">
      <c r="B511" s="42"/>
      <c r="C511" s="42"/>
      <c r="D511" s="42"/>
      <c r="E511" s="42"/>
      <c r="F511" s="42"/>
      <c r="G511" s="42"/>
      <c r="H511" s="42"/>
      <c r="I511" s="42"/>
    </row>
    <row r="512" spans="2:9" x14ac:dyDescent="0.25">
      <c r="B512" s="42"/>
      <c r="C512" s="42"/>
      <c r="D512" s="42"/>
      <c r="E512" s="42"/>
      <c r="F512" s="42"/>
      <c r="G512" s="42"/>
      <c r="H512" s="42"/>
      <c r="I512" s="42"/>
    </row>
    <row r="513" spans="2:9" x14ac:dyDescent="0.25">
      <c r="B513" s="42"/>
      <c r="C513" s="42"/>
      <c r="D513" s="42"/>
      <c r="E513" s="42"/>
      <c r="F513" s="42"/>
      <c r="G513" s="42"/>
      <c r="H513" s="42"/>
      <c r="I513" s="42"/>
    </row>
    <row r="514" spans="2:9" x14ac:dyDescent="0.25">
      <c r="B514" s="42"/>
      <c r="C514" s="42"/>
      <c r="D514" s="42"/>
      <c r="E514" s="42"/>
      <c r="F514" s="42"/>
      <c r="G514" s="42"/>
      <c r="H514" s="42"/>
      <c r="I514" s="42"/>
    </row>
    <row r="515" spans="2:9" x14ac:dyDescent="0.25">
      <c r="B515" s="42"/>
      <c r="C515" s="42"/>
      <c r="D515" s="42"/>
      <c r="E515" s="42"/>
      <c r="F515" s="42"/>
      <c r="G515" s="42"/>
      <c r="H515" s="42"/>
      <c r="I515" s="42"/>
    </row>
    <row r="516" spans="2:9" x14ac:dyDescent="0.25">
      <c r="B516" s="42"/>
      <c r="C516" s="42"/>
      <c r="D516" s="42"/>
      <c r="E516" s="42"/>
      <c r="F516" s="42"/>
      <c r="G516" s="42"/>
      <c r="H516" s="42"/>
      <c r="I516" s="42"/>
    </row>
    <row r="517" spans="2:9" x14ac:dyDescent="0.25">
      <c r="B517" s="42"/>
      <c r="C517" s="42"/>
      <c r="D517" s="42"/>
      <c r="E517" s="42"/>
      <c r="F517" s="42"/>
      <c r="G517" s="42"/>
      <c r="H517" s="42"/>
      <c r="I517" s="42"/>
    </row>
    <row r="518" spans="2:9" x14ac:dyDescent="0.25">
      <c r="B518" s="42"/>
      <c r="C518" s="42"/>
      <c r="D518" s="42"/>
      <c r="E518" s="42"/>
      <c r="F518" s="42"/>
      <c r="G518" s="42"/>
      <c r="H518" s="42"/>
      <c r="I518" s="42"/>
    </row>
    <row r="519" spans="2:9" x14ac:dyDescent="0.25">
      <c r="B519" s="42"/>
      <c r="C519" s="42"/>
      <c r="D519" s="42"/>
      <c r="E519" s="42"/>
      <c r="F519" s="42"/>
      <c r="G519" s="42"/>
      <c r="H519" s="42"/>
      <c r="I519" s="42"/>
    </row>
    <row r="520" spans="2:9" x14ac:dyDescent="0.25">
      <c r="B520" s="42"/>
      <c r="C520" s="42"/>
      <c r="D520" s="42"/>
      <c r="E520" s="42"/>
      <c r="F520" s="42"/>
      <c r="G520" s="42"/>
      <c r="H520" s="42"/>
      <c r="I520" s="42"/>
    </row>
    <row r="521" spans="2:9" x14ac:dyDescent="0.25">
      <c r="B521" s="42"/>
      <c r="C521" s="42"/>
      <c r="D521" s="42"/>
      <c r="E521" s="42"/>
      <c r="F521" s="42"/>
      <c r="G521" s="42"/>
      <c r="H521" s="42"/>
      <c r="I521" s="42"/>
    </row>
    <row r="522" spans="2:9" x14ac:dyDescent="0.25">
      <c r="B522" s="42"/>
      <c r="C522" s="42"/>
      <c r="D522" s="42"/>
      <c r="E522" s="42"/>
      <c r="F522" s="42"/>
      <c r="G522" s="42"/>
      <c r="H522" s="42"/>
      <c r="I522" s="42"/>
    </row>
    <row r="523" spans="2:9" x14ac:dyDescent="0.25">
      <c r="B523" s="42"/>
      <c r="C523" s="42"/>
      <c r="D523" s="42"/>
      <c r="E523" s="42"/>
      <c r="F523" s="42"/>
      <c r="G523" s="42"/>
      <c r="H523" s="42"/>
      <c r="I523" s="42"/>
    </row>
    <row r="524" spans="2:9" x14ac:dyDescent="0.25">
      <c r="B524" s="42"/>
      <c r="C524" s="42"/>
      <c r="D524" s="42"/>
      <c r="E524" s="42"/>
      <c r="F524" s="42"/>
      <c r="G524" s="42"/>
      <c r="H524" s="42"/>
      <c r="I524" s="42"/>
    </row>
    <row r="525" spans="2:9" x14ac:dyDescent="0.25">
      <c r="B525" s="42"/>
      <c r="C525" s="42"/>
      <c r="D525" s="42"/>
      <c r="E525" s="42"/>
      <c r="F525" s="42"/>
      <c r="G525" s="42"/>
      <c r="H525" s="42"/>
      <c r="I525" s="42"/>
    </row>
    <row r="526" spans="2:9" x14ac:dyDescent="0.25">
      <c r="B526" s="42"/>
      <c r="C526" s="42"/>
      <c r="D526" s="42"/>
      <c r="E526" s="42"/>
      <c r="F526" s="42"/>
      <c r="G526" s="42"/>
      <c r="H526" s="42"/>
      <c r="I526" s="42"/>
    </row>
    <row r="527" spans="2:9" x14ac:dyDescent="0.25">
      <c r="B527" s="42"/>
      <c r="C527" s="42"/>
      <c r="D527" s="42"/>
      <c r="E527" s="42"/>
      <c r="F527" s="42"/>
      <c r="G527" s="42"/>
      <c r="H527" s="42"/>
      <c r="I527" s="42"/>
    </row>
    <row r="528" spans="2:9" x14ac:dyDescent="0.25">
      <c r="B528" s="42"/>
      <c r="C528" s="42"/>
      <c r="D528" s="42"/>
      <c r="E528" s="42"/>
      <c r="F528" s="42"/>
      <c r="G528" s="42"/>
      <c r="H528" s="42"/>
      <c r="I528" s="42"/>
    </row>
    <row r="529" spans="2:9" x14ac:dyDescent="0.25">
      <c r="B529" s="42"/>
      <c r="C529" s="42"/>
      <c r="D529" s="42"/>
      <c r="E529" s="42"/>
      <c r="F529" s="42"/>
      <c r="G529" s="42"/>
      <c r="H529" s="42"/>
      <c r="I529" s="42"/>
    </row>
    <row r="530" spans="2:9" x14ac:dyDescent="0.25">
      <c r="B530" s="42"/>
      <c r="C530" s="42"/>
      <c r="D530" s="42"/>
      <c r="E530" s="42"/>
      <c r="F530" s="42"/>
      <c r="G530" s="42"/>
      <c r="H530" s="42"/>
      <c r="I530" s="42"/>
    </row>
    <row r="531" spans="2:9" x14ac:dyDescent="0.25">
      <c r="B531" s="42"/>
      <c r="C531" s="42"/>
      <c r="D531" s="42"/>
      <c r="E531" s="42"/>
      <c r="F531" s="42"/>
      <c r="G531" s="42"/>
      <c r="H531" s="42"/>
      <c r="I531" s="42"/>
    </row>
    <row r="532" spans="2:9" x14ac:dyDescent="0.25">
      <c r="B532" s="42"/>
      <c r="C532" s="42"/>
      <c r="D532" s="42"/>
      <c r="E532" s="42"/>
      <c r="F532" s="42"/>
      <c r="G532" s="42"/>
      <c r="H532" s="42"/>
      <c r="I532" s="42"/>
    </row>
    <row r="533" spans="2:9" x14ac:dyDescent="0.25">
      <c r="B533" s="42"/>
      <c r="C533" s="42"/>
      <c r="D533" s="42"/>
      <c r="E533" s="42"/>
      <c r="F533" s="42"/>
      <c r="G533" s="42"/>
      <c r="H533" s="42"/>
      <c r="I533" s="42"/>
    </row>
    <row r="534" spans="2:9" x14ac:dyDescent="0.25">
      <c r="B534" s="42"/>
      <c r="C534" s="42"/>
      <c r="D534" s="42"/>
      <c r="E534" s="42"/>
      <c r="F534" s="42"/>
      <c r="G534" s="42"/>
      <c r="H534" s="42"/>
      <c r="I534" s="42"/>
    </row>
    <row r="535" spans="2:9" x14ac:dyDescent="0.25">
      <c r="B535" s="42"/>
      <c r="C535" s="42"/>
      <c r="D535" s="42"/>
      <c r="E535" s="42"/>
      <c r="F535" s="42"/>
      <c r="G535" s="42"/>
      <c r="H535" s="42"/>
      <c r="I535" s="42"/>
    </row>
    <row r="536" spans="2:9" x14ac:dyDescent="0.25">
      <c r="B536" s="42"/>
      <c r="C536" s="42"/>
      <c r="D536" s="42"/>
      <c r="E536" s="42"/>
      <c r="F536" s="42"/>
      <c r="G536" s="42"/>
      <c r="H536" s="42"/>
      <c r="I536" s="42"/>
    </row>
    <row r="537" spans="2:9" x14ac:dyDescent="0.25">
      <c r="B537" s="42"/>
      <c r="C537" s="42"/>
      <c r="D537" s="42"/>
      <c r="E537" s="42"/>
      <c r="F537" s="42"/>
      <c r="G537" s="42"/>
      <c r="H537" s="42"/>
      <c r="I537" s="42"/>
    </row>
    <row r="538" spans="2:9" x14ac:dyDescent="0.25">
      <c r="B538" s="42"/>
      <c r="C538" s="42"/>
      <c r="D538" s="42"/>
      <c r="E538" s="42"/>
      <c r="F538" s="42"/>
      <c r="G538" s="42"/>
      <c r="H538" s="42"/>
      <c r="I538" s="42"/>
    </row>
    <row r="539" spans="2:9" x14ac:dyDescent="0.25">
      <c r="B539" s="42"/>
      <c r="C539" s="42"/>
      <c r="D539" s="42"/>
      <c r="E539" s="42"/>
      <c r="F539" s="42"/>
      <c r="G539" s="42"/>
      <c r="H539" s="42"/>
      <c r="I539" s="42"/>
    </row>
    <row r="540" spans="2:9" x14ac:dyDescent="0.25">
      <c r="B540" s="42"/>
      <c r="C540" s="42"/>
      <c r="D540" s="42"/>
      <c r="E540" s="42"/>
      <c r="F540" s="42"/>
      <c r="G540" s="42"/>
      <c r="H540" s="42"/>
      <c r="I540" s="42"/>
    </row>
    <row r="541" spans="2:9" x14ac:dyDescent="0.25">
      <c r="B541" s="42"/>
      <c r="C541" s="42"/>
      <c r="D541" s="42"/>
      <c r="E541" s="42"/>
      <c r="F541" s="42"/>
      <c r="G541" s="42"/>
      <c r="H541" s="42"/>
      <c r="I541" s="42"/>
    </row>
    <row r="542" spans="2:9" x14ac:dyDescent="0.25">
      <c r="B542" s="42"/>
      <c r="C542" s="42"/>
      <c r="D542" s="42"/>
      <c r="E542" s="42"/>
      <c r="F542" s="42"/>
      <c r="G542" s="42"/>
      <c r="H542" s="42"/>
      <c r="I542" s="42"/>
    </row>
    <row r="543" spans="2:9" x14ac:dyDescent="0.25">
      <c r="B543" s="42"/>
      <c r="C543" s="42"/>
      <c r="D543" s="42"/>
      <c r="E543" s="42"/>
      <c r="F543" s="42"/>
      <c r="G543" s="42"/>
      <c r="H543" s="42"/>
      <c r="I543" s="42"/>
    </row>
    <row r="544" spans="2:9" x14ac:dyDescent="0.25">
      <c r="B544" s="42"/>
      <c r="C544" s="42"/>
      <c r="D544" s="42"/>
      <c r="E544" s="42"/>
      <c r="F544" s="42"/>
      <c r="G544" s="42"/>
      <c r="H544" s="42"/>
      <c r="I544" s="42"/>
    </row>
    <row r="545" spans="2:9" x14ac:dyDescent="0.25">
      <c r="B545" s="42"/>
      <c r="C545" s="42"/>
      <c r="D545" s="42"/>
      <c r="E545" s="42"/>
      <c r="F545" s="42"/>
      <c r="G545" s="42"/>
      <c r="H545" s="42"/>
      <c r="I545" s="42"/>
    </row>
    <row r="546" spans="2:9" x14ac:dyDescent="0.25">
      <c r="B546" s="42"/>
      <c r="C546" s="42"/>
      <c r="D546" s="42"/>
      <c r="E546" s="42"/>
      <c r="F546" s="42"/>
      <c r="G546" s="42"/>
      <c r="H546" s="42"/>
      <c r="I546" s="42"/>
    </row>
    <row r="547" spans="2:9" x14ac:dyDescent="0.25">
      <c r="B547" s="42"/>
      <c r="C547" s="42"/>
      <c r="D547" s="42"/>
      <c r="E547" s="42"/>
      <c r="F547" s="42"/>
      <c r="G547" s="42"/>
      <c r="H547" s="42"/>
      <c r="I547" s="42"/>
    </row>
    <row r="548" spans="2:9" x14ac:dyDescent="0.25">
      <c r="B548" s="42"/>
      <c r="C548" s="42"/>
      <c r="D548" s="42"/>
      <c r="E548" s="42"/>
      <c r="F548" s="42"/>
      <c r="G548" s="42"/>
      <c r="H548" s="42"/>
      <c r="I548" s="42"/>
    </row>
    <row r="549" spans="2:9" x14ac:dyDescent="0.25">
      <c r="B549" s="42"/>
      <c r="C549" s="42"/>
      <c r="D549" s="42"/>
      <c r="E549" s="42"/>
      <c r="F549" s="42"/>
      <c r="G549" s="42"/>
      <c r="H549" s="42"/>
      <c r="I549" s="42"/>
    </row>
    <row r="550" spans="2:9" x14ac:dyDescent="0.25">
      <c r="B550" s="42"/>
      <c r="C550" s="42"/>
      <c r="D550" s="42"/>
      <c r="E550" s="42"/>
      <c r="F550" s="42"/>
      <c r="G550" s="42"/>
      <c r="H550" s="42"/>
      <c r="I550" s="42"/>
    </row>
    <row r="551" spans="2:9" x14ac:dyDescent="0.25">
      <c r="B551" s="42"/>
      <c r="C551" s="42"/>
      <c r="D551" s="42"/>
      <c r="E551" s="42"/>
      <c r="F551" s="42"/>
      <c r="G551" s="42"/>
      <c r="H551" s="42"/>
      <c r="I551" s="42"/>
    </row>
    <row r="552" spans="2:9" x14ac:dyDescent="0.25">
      <c r="B552" s="42"/>
      <c r="C552" s="42"/>
      <c r="D552" s="42"/>
      <c r="E552" s="42"/>
      <c r="F552" s="42"/>
      <c r="G552" s="42"/>
      <c r="H552" s="42"/>
      <c r="I552" s="42"/>
    </row>
    <row r="553" spans="2:9" x14ac:dyDescent="0.25">
      <c r="B553" s="42"/>
      <c r="C553" s="42"/>
      <c r="D553" s="42"/>
      <c r="E553" s="42"/>
      <c r="F553" s="42"/>
      <c r="G553" s="42"/>
      <c r="H553" s="42"/>
      <c r="I553" s="42"/>
    </row>
    <row r="554" spans="2:9" x14ac:dyDescent="0.25">
      <c r="B554" s="42"/>
      <c r="C554" s="42"/>
      <c r="D554" s="42"/>
      <c r="E554" s="42"/>
      <c r="F554" s="42"/>
      <c r="G554" s="42"/>
      <c r="H554" s="42"/>
      <c r="I554" s="42"/>
    </row>
    <row r="555" spans="2:9" x14ac:dyDescent="0.25">
      <c r="B555" s="42"/>
      <c r="C555" s="42"/>
      <c r="D555" s="42"/>
      <c r="E555" s="42"/>
      <c r="F555" s="42"/>
      <c r="G555" s="42"/>
      <c r="H555" s="42"/>
      <c r="I555" s="42"/>
    </row>
    <row r="556" spans="2:9" x14ac:dyDescent="0.25">
      <c r="B556" s="42"/>
      <c r="C556" s="42"/>
      <c r="D556" s="42"/>
      <c r="E556" s="42"/>
      <c r="F556" s="42"/>
      <c r="G556" s="42"/>
      <c r="H556" s="42"/>
      <c r="I556" s="42"/>
    </row>
    <row r="557" spans="2:9" x14ac:dyDescent="0.25">
      <c r="B557" s="42"/>
      <c r="C557" s="42"/>
      <c r="D557" s="42"/>
      <c r="E557" s="42"/>
      <c r="F557" s="42"/>
      <c r="G557" s="42"/>
      <c r="H557" s="42"/>
      <c r="I557" s="42"/>
    </row>
    <row r="558" spans="2:9" x14ac:dyDescent="0.25">
      <c r="B558" s="42"/>
      <c r="C558" s="42"/>
      <c r="D558" s="42"/>
      <c r="E558" s="42"/>
      <c r="F558" s="42"/>
      <c r="G558" s="42"/>
      <c r="H558" s="42"/>
      <c r="I558" s="42"/>
    </row>
    <row r="559" spans="2:9" x14ac:dyDescent="0.25">
      <c r="B559" s="42"/>
      <c r="C559" s="42"/>
      <c r="D559" s="42"/>
      <c r="E559" s="42"/>
      <c r="F559" s="42"/>
      <c r="G559" s="42"/>
      <c r="H559" s="42"/>
      <c r="I559" s="42"/>
    </row>
    <row r="560" spans="2:9" x14ac:dyDescent="0.25">
      <c r="B560" s="42"/>
      <c r="C560" s="42"/>
      <c r="D560" s="42"/>
      <c r="E560" s="42"/>
      <c r="F560" s="42"/>
      <c r="G560" s="42"/>
      <c r="H560" s="42"/>
      <c r="I560" s="42"/>
    </row>
    <row r="561" spans="2:9" x14ac:dyDescent="0.25">
      <c r="B561" s="42"/>
      <c r="C561" s="42"/>
      <c r="D561" s="42"/>
      <c r="E561" s="42"/>
      <c r="F561" s="42"/>
      <c r="G561" s="42"/>
      <c r="H561" s="42"/>
      <c r="I561" s="42"/>
    </row>
    <row r="562" spans="2:9" x14ac:dyDescent="0.25">
      <c r="B562" s="42"/>
      <c r="C562" s="42"/>
      <c r="D562" s="42"/>
      <c r="E562" s="42"/>
      <c r="F562" s="42"/>
      <c r="G562" s="42"/>
      <c r="H562" s="42"/>
      <c r="I562" s="42"/>
    </row>
    <row r="563" spans="2:9" x14ac:dyDescent="0.25">
      <c r="B563" s="42"/>
      <c r="C563" s="42"/>
      <c r="D563" s="42"/>
      <c r="E563" s="42"/>
      <c r="F563" s="42"/>
      <c r="G563" s="42"/>
      <c r="H563" s="42"/>
      <c r="I563" s="42"/>
    </row>
    <row r="564" spans="2:9" x14ac:dyDescent="0.25">
      <c r="B564" s="42"/>
      <c r="C564" s="42"/>
      <c r="D564" s="42"/>
      <c r="E564" s="42"/>
      <c r="F564" s="42"/>
      <c r="G564" s="42"/>
      <c r="H564" s="42"/>
      <c r="I564" s="42"/>
    </row>
    <row r="565" spans="2:9" x14ac:dyDescent="0.25">
      <c r="C565" s="42"/>
    </row>
    <row r="566" spans="2:9" x14ac:dyDescent="0.25">
      <c r="C566" s="42"/>
    </row>
    <row r="567" spans="2:9" x14ac:dyDescent="0.25">
      <c r="C567" s="42"/>
    </row>
    <row r="568" spans="2:9" x14ac:dyDescent="0.25">
      <c r="C568" s="42"/>
    </row>
    <row r="569" spans="2:9" x14ac:dyDescent="0.25">
      <c r="C569" s="42"/>
    </row>
    <row r="570" spans="2:9" x14ac:dyDescent="0.25">
      <c r="C570" s="42"/>
    </row>
    <row r="571" spans="2:9" x14ac:dyDescent="0.25">
      <c r="C571" s="42"/>
    </row>
    <row r="572" spans="2:9" x14ac:dyDescent="0.25">
      <c r="C572" s="42"/>
    </row>
    <row r="573" spans="2:9" x14ac:dyDescent="0.25">
      <c r="C573" s="42"/>
    </row>
  </sheetData>
  <autoFilter ref="A10:U132" xr:uid="{2FC94385-F66C-476C-ACAB-F5636CD4650F}"/>
  <mergeCells count="15">
    <mergeCell ref="F1:H1"/>
    <mergeCell ref="F2:H2"/>
    <mergeCell ref="A5:H5"/>
    <mergeCell ref="A6:H6"/>
    <mergeCell ref="A7:H7"/>
    <mergeCell ref="F9:F10"/>
    <mergeCell ref="H9:H10"/>
    <mergeCell ref="A131:F131"/>
    <mergeCell ref="F134:H134"/>
    <mergeCell ref="F135:H135"/>
    <mergeCell ref="A9:A10"/>
    <mergeCell ref="B9:B10"/>
    <mergeCell ref="C9:C10"/>
    <mergeCell ref="D9:D10"/>
    <mergeCell ref="E9:E10"/>
  </mergeCells>
  <conditionalFormatting sqref="C11:C34">
    <cfRule type="duplicateValues" dxfId="2053" priority="476"/>
  </conditionalFormatting>
  <conditionalFormatting sqref="C11:C48">
    <cfRule type="duplicateValues" dxfId="2052" priority="461"/>
    <cfRule type="duplicateValues" dxfId="2051" priority="454"/>
    <cfRule type="duplicateValues" dxfId="2050" priority="453"/>
    <cfRule type="duplicateValues" dxfId="2049" priority="452"/>
    <cfRule type="duplicateValues" dxfId="2048" priority="451"/>
    <cfRule type="duplicateValues" dxfId="2047" priority="450"/>
    <cfRule type="duplicateValues" dxfId="2046" priority="449"/>
    <cfRule type="duplicateValues" dxfId="2045" priority="448"/>
    <cfRule type="duplicateValues" dxfId="2044" priority="446"/>
    <cfRule type="duplicateValues" dxfId="2043" priority="445"/>
    <cfRule type="duplicateValues" dxfId="2042" priority="444"/>
    <cfRule type="duplicateValues" dxfId="2041" priority="462"/>
    <cfRule type="duplicateValues" dxfId="2040" priority="460"/>
    <cfRule type="duplicateValues" dxfId="2039" priority="484"/>
    <cfRule type="duplicateValues" dxfId="2038" priority="458"/>
    <cfRule type="duplicateValues" dxfId="2037" priority="457"/>
    <cfRule type="duplicateValues" dxfId="2036" priority="469"/>
    <cfRule type="duplicateValues" dxfId="2035" priority="447"/>
    <cfRule type="duplicateValues" dxfId="2034" priority="456"/>
    <cfRule type="duplicateValues" dxfId="2033" priority="455"/>
    <cfRule type="duplicateValues" dxfId="2032" priority="459"/>
    <cfRule type="duplicateValues" dxfId="2031" priority="473"/>
    <cfRule type="duplicateValues" dxfId="2030" priority="472"/>
    <cfRule type="duplicateValues" dxfId="2029" priority="471"/>
    <cfRule type="duplicateValues" dxfId="2028" priority="470"/>
    <cfRule type="duplicateValues" dxfId="2027" priority="468"/>
    <cfRule type="duplicateValues" dxfId="2026" priority="467"/>
    <cfRule type="duplicateValues" dxfId="2025" priority="466"/>
    <cfRule type="duplicateValues" dxfId="2024" priority="465"/>
    <cfRule type="duplicateValues" dxfId="2023" priority="464"/>
    <cfRule type="duplicateValues" dxfId="2022" priority="463"/>
  </conditionalFormatting>
  <conditionalFormatting sqref="C21">
    <cfRule type="duplicateValues" dxfId="2021" priority="440"/>
  </conditionalFormatting>
  <conditionalFormatting sqref="C21:C26">
    <cfRule type="duplicateValues" dxfId="2020" priority="443"/>
    <cfRule type="duplicateValues" dxfId="2019" priority="442"/>
    <cfRule type="duplicateValues" dxfId="2018" priority="441"/>
  </conditionalFormatting>
  <conditionalFormatting sqref="C21:C27">
    <cfRule type="duplicateValues" dxfId="2017" priority="439"/>
  </conditionalFormatting>
  <conditionalFormatting sqref="C27">
    <cfRule type="duplicateValues" dxfId="2016" priority="437"/>
    <cfRule type="duplicateValues" dxfId="2015" priority="436"/>
    <cfRule type="duplicateValues" dxfId="2014" priority="438"/>
    <cfRule type="duplicateValues" dxfId="2013" priority="434"/>
    <cfRule type="duplicateValues" dxfId="2012" priority="435"/>
  </conditionalFormatting>
  <conditionalFormatting sqref="C28:C34 C11:C20">
    <cfRule type="duplicateValues" dxfId="2011" priority="474"/>
    <cfRule type="duplicateValues" dxfId="2010" priority="478"/>
    <cfRule type="duplicateValues" dxfId="2009" priority="483"/>
    <cfRule type="duplicateValues" dxfId="2008" priority="482"/>
    <cfRule type="duplicateValues" dxfId="2007" priority="481"/>
    <cfRule type="duplicateValues" dxfId="2006" priority="480"/>
    <cfRule type="duplicateValues" dxfId="2005" priority="479"/>
    <cfRule type="duplicateValues" dxfId="2004" priority="477"/>
    <cfRule type="duplicateValues" dxfId="2003" priority="475"/>
  </conditionalFormatting>
  <conditionalFormatting sqref="C35:C48">
    <cfRule type="duplicateValues" dxfId="2002" priority="433"/>
    <cfRule type="duplicateValues" dxfId="2001" priority="432"/>
    <cfRule type="duplicateValues" dxfId="2000" priority="431"/>
    <cfRule type="duplicateValues" dxfId="1999" priority="430"/>
  </conditionalFormatting>
  <conditionalFormatting sqref="C49:C50 C53 C56">
    <cfRule type="duplicateValues" dxfId="1998" priority="428"/>
  </conditionalFormatting>
  <conditionalFormatting sqref="C51:C52">
    <cfRule type="duplicateValues" dxfId="1997" priority="429"/>
  </conditionalFormatting>
  <conditionalFormatting sqref="C54:C55">
    <cfRule type="duplicateValues" dxfId="1996" priority="427"/>
  </conditionalFormatting>
  <conditionalFormatting sqref="C57">
    <cfRule type="duplicateValues" dxfId="1995" priority="426"/>
  </conditionalFormatting>
  <conditionalFormatting sqref="C58:C59 C62">
    <cfRule type="duplicateValues" dxfId="1994" priority="424"/>
  </conditionalFormatting>
  <conditionalFormatting sqref="C60:C61">
    <cfRule type="duplicateValues" dxfId="1993" priority="425"/>
  </conditionalFormatting>
  <conditionalFormatting sqref="C63">
    <cfRule type="duplicateValues" dxfId="1992" priority="423"/>
  </conditionalFormatting>
  <conditionalFormatting sqref="C64:C82">
    <cfRule type="duplicateValues" dxfId="1991" priority="386"/>
    <cfRule type="duplicateValues" dxfId="1990" priority="385"/>
    <cfRule type="duplicateValues" dxfId="1989" priority="384"/>
    <cfRule type="duplicateValues" dxfId="1988" priority="383"/>
    <cfRule type="duplicateValues" dxfId="1987" priority="382"/>
    <cfRule type="duplicateValues" dxfId="1986" priority="381"/>
    <cfRule type="duplicateValues" dxfId="1985" priority="380"/>
    <cfRule type="duplicateValues" dxfId="1984" priority="379"/>
    <cfRule type="duplicateValues" dxfId="1983" priority="378"/>
    <cfRule type="duplicateValues" dxfId="1982" priority="410"/>
    <cfRule type="duplicateValues" dxfId="1981" priority="377"/>
    <cfRule type="duplicateValues" dxfId="1980" priority="376"/>
    <cfRule type="duplicateValues" dxfId="1979" priority="422"/>
    <cfRule type="duplicateValues" dxfId="1978" priority="421"/>
    <cfRule type="duplicateValues" dxfId="1977" priority="420"/>
    <cfRule type="duplicateValues" dxfId="1976" priority="419"/>
    <cfRule type="duplicateValues" dxfId="1975" priority="418"/>
    <cfRule type="duplicateValues" dxfId="1974" priority="417"/>
    <cfRule type="duplicateValues" dxfId="1973" priority="416"/>
    <cfRule type="duplicateValues" dxfId="1972" priority="415"/>
    <cfRule type="duplicateValues" dxfId="1971" priority="414"/>
    <cfRule type="duplicateValues" dxfId="1970" priority="413"/>
    <cfRule type="duplicateValues" dxfId="1969" priority="412"/>
    <cfRule type="duplicateValues" dxfId="1968" priority="411"/>
    <cfRule type="duplicateValues" dxfId="1967" priority="409"/>
    <cfRule type="duplicateValues" dxfId="1966" priority="408"/>
    <cfRule type="duplicateValues" dxfId="1965" priority="407"/>
    <cfRule type="duplicateValues" dxfId="1964" priority="406"/>
    <cfRule type="duplicateValues" dxfId="1963" priority="405"/>
    <cfRule type="duplicateValues" dxfId="1962" priority="404"/>
    <cfRule type="duplicateValues" dxfId="1961" priority="403"/>
    <cfRule type="duplicateValues" dxfId="1960" priority="402"/>
    <cfRule type="duplicateValues" dxfId="1959" priority="401"/>
    <cfRule type="duplicateValues" dxfId="1958" priority="400"/>
    <cfRule type="duplicateValues" dxfId="1957" priority="399"/>
    <cfRule type="duplicateValues" dxfId="1956" priority="398"/>
    <cfRule type="duplicateValues" dxfId="1955" priority="397"/>
    <cfRule type="duplicateValues" dxfId="1954" priority="396"/>
    <cfRule type="duplicateValues" dxfId="1953" priority="395"/>
    <cfRule type="duplicateValues" dxfId="1952" priority="394"/>
    <cfRule type="duplicateValues" dxfId="1951" priority="393"/>
    <cfRule type="duplicateValues" dxfId="1950" priority="392"/>
    <cfRule type="duplicateValues" dxfId="1949" priority="391"/>
    <cfRule type="duplicateValues" dxfId="1948" priority="390"/>
    <cfRule type="duplicateValues" dxfId="1947" priority="389"/>
    <cfRule type="duplicateValues" dxfId="1946" priority="388"/>
    <cfRule type="duplicateValues" dxfId="1945" priority="387"/>
  </conditionalFormatting>
  <conditionalFormatting sqref="C83:C100">
    <cfRule type="duplicateValues" dxfId="1944" priority="279"/>
    <cfRule type="duplicateValues" dxfId="1943" priority="278"/>
    <cfRule type="duplicateValues" dxfId="1942" priority="277"/>
    <cfRule type="duplicateValues" dxfId="1941" priority="276"/>
    <cfRule type="duplicateValues" dxfId="1940" priority="275"/>
    <cfRule type="duplicateValues" dxfId="1939" priority="274"/>
    <cfRule type="duplicateValues" dxfId="1938" priority="273"/>
    <cfRule type="duplicateValues" dxfId="1937" priority="272"/>
    <cfRule type="duplicateValues" dxfId="1936" priority="281"/>
    <cfRule type="duplicateValues" dxfId="1935" priority="280"/>
    <cfRule type="duplicateValues" dxfId="1934" priority="294"/>
    <cfRule type="duplicateValues" dxfId="1933" priority="298"/>
    <cfRule type="duplicateValues" dxfId="1932" priority="297"/>
    <cfRule type="duplicateValues" dxfId="1931" priority="296"/>
    <cfRule type="duplicateValues" dxfId="1930" priority="295"/>
    <cfRule type="duplicateValues" dxfId="1929" priority="293"/>
    <cfRule type="duplicateValues" dxfId="1928" priority="292"/>
    <cfRule type="duplicateValues" dxfId="1927" priority="291"/>
    <cfRule type="duplicateValues" dxfId="1926" priority="290"/>
    <cfRule type="duplicateValues" dxfId="1925" priority="289"/>
    <cfRule type="duplicateValues" dxfId="1924" priority="288"/>
    <cfRule type="duplicateValues" dxfId="1923" priority="287"/>
    <cfRule type="duplicateValues" dxfId="1922" priority="286"/>
    <cfRule type="duplicateValues" dxfId="1921" priority="285"/>
    <cfRule type="duplicateValues" dxfId="1920" priority="284"/>
    <cfRule type="duplicateValues" dxfId="1919" priority="283"/>
    <cfRule type="duplicateValues" dxfId="1918" priority="282"/>
  </conditionalFormatting>
  <conditionalFormatting sqref="C83:C110">
    <cfRule type="duplicateValues" dxfId="1917" priority="271"/>
  </conditionalFormatting>
  <conditionalFormatting sqref="C83:C117">
    <cfRule type="duplicateValues" dxfId="1916" priority="260"/>
    <cfRule type="duplicateValues" dxfId="1915" priority="261"/>
    <cfRule type="duplicateValues" dxfId="1914" priority="262"/>
    <cfRule type="duplicateValues" dxfId="1913" priority="263"/>
    <cfRule type="duplicateValues" dxfId="1912" priority="264"/>
    <cfRule type="duplicateValues" dxfId="1911" priority="265"/>
    <cfRule type="duplicateValues" dxfId="1910" priority="266"/>
    <cfRule type="duplicateValues" dxfId="1909" priority="267"/>
    <cfRule type="duplicateValues" dxfId="1908" priority="268"/>
    <cfRule type="duplicateValues" dxfId="1907" priority="269"/>
    <cfRule type="duplicateValues" dxfId="1906" priority="270"/>
    <cfRule type="duplicateValues" dxfId="1905" priority="254"/>
    <cfRule type="duplicateValues" dxfId="1904" priority="255"/>
    <cfRule type="duplicateValues" dxfId="1903" priority="256"/>
    <cfRule type="duplicateValues" dxfId="1902" priority="257"/>
    <cfRule type="duplicateValues" dxfId="1901" priority="258"/>
    <cfRule type="duplicateValues" dxfId="1900" priority="259"/>
  </conditionalFormatting>
  <conditionalFormatting sqref="C101:C102">
    <cfRule type="duplicateValues" dxfId="1899" priority="246"/>
    <cfRule type="duplicateValues" dxfId="1898" priority="249"/>
    <cfRule type="duplicateValues" dxfId="1897" priority="248"/>
    <cfRule type="duplicateValues" dxfId="1896" priority="247"/>
    <cfRule type="duplicateValues" dxfId="1895" priority="245"/>
    <cfRule type="duplicateValues" dxfId="1894" priority="244"/>
    <cfRule type="duplicateValues" dxfId="1893" priority="250"/>
  </conditionalFormatting>
  <conditionalFormatting sqref="C103:C104">
    <cfRule type="duplicateValues" dxfId="1892" priority="236"/>
    <cfRule type="duplicateValues" dxfId="1891" priority="243"/>
    <cfRule type="duplicateValues" dxfId="1890" priority="242"/>
    <cfRule type="duplicateValues" dxfId="1889" priority="241"/>
    <cfRule type="duplicateValues" dxfId="1888" priority="240"/>
    <cfRule type="duplicateValues" dxfId="1887" priority="239"/>
    <cfRule type="duplicateValues" dxfId="1886" priority="238"/>
    <cfRule type="duplicateValues" dxfId="1885" priority="237"/>
  </conditionalFormatting>
  <conditionalFormatting sqref="C105:C110">
    <cfRule type="duplicateValues" dxfId="1884" priority="233"/>
    <cfRule type="duplicateValues" dxfId="1883" priority="232"/>
    <cfRule type="duplicateValues" dxfId="1882" priority="231"/>
    <cfRule type="duplicateValues" dxfId="1881" priority="230"/>
    <cfRule type="duplicateValues" dxfId="1880" priority="228"/>
    <cfRule type="duplicateValues" dxfId="1879" priority="229"/>
    <cfRule type="duplicateValues" dxfId="1878" priority="235"/>
    <cfRule type="duplicateValues" dxfId="1877" priority="234"/>
  </conditionalFormatting>
  <conditionalFormatting sqref="C111">
    <cfRule type="duplicateValues" dxfId="1876" priority="225"/>
    <cfRule type="duplicateValues" dxfId="1875" priority="226"/>
    <cfRule type="duplicateValues" dxfId="1874" priority="227"/>
    <cfRule type="duplicateValues" dxfId="1873" priority="224"/>
    <cfRule type="duplicateValues" dxfId="1872" priority="223"/>
    <cfRule type="duplicateValues" dxfId="1871" priority="222"/>
  </conditionalFormatting>
  <conditionalFormatting sqref="C112:C117">
    <cfRule type="duplicateValues" dxfId="1870" priority="251"/>
    <cfRule type="duplicateValues" dxfId="1869" priority="253"/>
    <cfRule type="duplicateValues" dxfId="1868" priority="252"/>
  </conditionalFormatting>
  <conditionalFormatting sqref="C118:C119">
    <cfRule type="duplicateValues" dxfId="1867" priority="202"/>
    <cfRule type="duplicateValues" dxfId="1866" priority="201"/>
    <cfRule type="duplicateValues" dxfId="1865" priority="199"/>
    <cfRule type="duplicateValues" dxfId="1864" priority="198"/>
    <cfRule type="duplicateValues" dxfId="1863" priority="197"/>
    <cfRule type="duplicateValues" dxfId="1862" priority="200"/>
    <cfRule type="duplicateValues" dxfId="1861" priority="196"/>
    <cfRule type="duplicateValues" dxfId="1860" priority="220"/>
    <cfRule type="duplicateValues" dxfId="1859" priority="206"/>
    <cfRule type="duplicateValues" dxfId="1858" priority="205"/>
    <cfRule type="duplicateValues" dxfId="1857" priority="204"/>
    <cfRule type="duplicateValues" dxfId="1856" priority="203"/>
    <cfRule type="duplicateValues" dxfId="1855" priority="221"/>
    <cfRule type="duplicateValues" dxfId="1854" priority="219"/>
    <cfRule type="duplicateValues" dxfId="1853" priority="218"/>
    <cfRule type="duplicateValues" dxfId="1852" priority="217"/>
    <cfRule type="duplicateValues" dxfId="1851" priority="216"/>
    <cfRule type="duplicateValues" dxfId="1850" priority="215"/>
    <cfRule type="duplicateValues" dxfId="1849" priority="214"/>
    <cfRule type="duplicateValues" dxfId="1848" priority="213"/>
    <cfRule type="duplicateValues" dxfId="1847" priority="212"/>
    <cfRule type="duplicateValues" dxfId="1846" priority="211"/>
    <cfRule type="duplicateValues" dxfId="1845" priority="210"/>
    <cfRule type="duplicateValues" dxfId="1844" priority="209"/>
    <cfRule type="duplicateValues" dxfId="1843" priority="208"/>
    <cfRule type="duplicateValues" dxfId="1842" priority="207"/>
  </conditionalFormatting>
  <conditionalFormatting sqref="C120:C121">
    <cfRule type="duplicateValues" dxfId="1841" priority="176"/>
    <cfRule type="duplicateValues" dxfId="1840" priority="175"/>
    <cfRule type="duplicateValues" dxfId="1839" priority="174"/>
    <cfRule type="duplicateValues" dxfId="1838" priority="173"/>
    <cfRule type="duplicateValues" dxfId="1837" priority="172"/>
    <cfRule type="duplicateValues" dxfId="1836" priority="171"/>
    <cfRule type="duplicateValues" dxfId="1835" priority="170"/>
    <cfRule type="duplicateValues" dxfId="1834" priority="169"/>
    <cfRule type="duplicateValues" dxfId="1833" priority="168"/>
    <cfRule type="duplicateValues" dxfId="1832" priority="167"/>
    <cfRule type="duplicateValues" dxfId="1831" priority="180"/>
    <cfRule type="duplicateValues" dxfId="1830" priority="195"/>
    <cfRule type="duplicateValues" dxfId="1829" priority="194"/>
    <cfRule type="duplicateValues" dxfId="1828" priority="193"/>
    <cfRule type="duplicateValues" dxfId="1827" priority="192"/>
    <cfRule type="duplicateValues" dxfId="1826" priority="191"/>
    <cfRule type="duplicateValues" dxfId="1825" priority="190"/>
    <cfRule type="duplicateValues" dxfId="1824" priority="189"/>
    <cfRule type="duplicateValues" dxfId="1823" priority="188"/>
    <cfRule type="duplicateValues" dxfId="1822" priority="187"/>
    <cfRule type="duplicateValues" dxfId="1821" priority="186"/>
    <cfRule type="duplicateValues" dxfId="1820" priority="185"/>
    <cfRule type="duplicateValues" dxfId="1819" priority="184"/>
    <cfRule type="duplicateValues" dxfId="1818" priority="183"/>
    <cfRule type="duplicateValues" dxfId="1817" priority="182"/>
    <cfRule type="duplicateValues" dxfId="1816" priority="181"/>
    <cfRule type="duplicateValues" dxfId="1815" priority="179"/>
    <cfRule type="duplicateValues" dxfId="1814" priority="178"/>
    <cfRule type="duplicateValues" dxfId="1813" priority="177"/>
  </conditionalFormatting>
  <conditionalFormatting sqref="C122:C124">
    <cfRule type="duplicateValues" dxfId="1812" priority="163"/>
    <cfRule type="duplicateValues" dxfId="1811" priority="157"/>
    <cfRule type="duplicateValues" dxfId="1810" priority="156"/>
    <cfRule type="duplicateValues" dxfId="1809" priority="155"/>
    <cfRule type="duplicateValues" dxfId="1808" priority="143"/>
    <cfRule type="duplicateValues" dxfId="1807" priority="154"/>
    <cfRule type="duplicateValues" dxfId="1806" priority="153"/>
    <cfRule type="duplicateValues" dxfId="1805" priority="148"/>
    <cfRule type="duplicateValues" dxfId="1804" priority="152"/>
    <cfRule type="duplicateValues" dxfId="1803" priority="151"/>
    <cfRule type="duplicateValues" dxfId="1802" priority="150"/>
    <cfRule type="duplicateValues" dxfId="1801" priority="166"/>
    <cfRule type="duplicateValues" dxfId="1800" priority="165"/>
    <cfRule type="duplicateValues" dxfId="1799" priority="164"/>
    <cfRule type="duplicateValues" dxfId="1798" priority="149"/>
    <cfRule type="duplicateValues" dxfId="1797" priority="162"/>
    <cfRule type="duplicateValues" dxfId="1796" priority="161"/>
    <cfRule type="duplicateValues" dxfId="1795" priority="160"/>
    <cfRule type="duplicateValues" dxfId="1794" priority="159"/>
    <cfRule type="duplicateValues" dxfId="1793" priority="158"/>
    <cfRule type="duplicateValues" dxfId="1792" priority="147"/>
    <cfRule type="duplicateValues" dxfId="1791" priority="146"/>
    <cfRule type="duplicateValues" dxfId="1790" priority="145"/>
    <cfRule type="duplicateValues" dxfId="1789" priority="144"/>
    <cfRule type="duplicateValues" dxfId="1788" priority="142"/>
    <cfRule type="duplicateValues" dxfId="1787" priority="141"/>
    <cfRule type="duplicateValues" dxfId="1786" priority="140"/>
    <cfRule type="duplicateValues" dxfId="1785" priority="139"/>
    <cfRule type="duplicateValues" dxfId="1784" priority="138"/>
  </conditionalFormatting>
  <conditionalFormatting sqref="C125:C126">
    <cfRule type="duplicateValues" dxfId="1783" priority="24"/>
    <cfRule type="duplicateValues" dxfId="1782" priority="23"/>
    <cfRule type="duplicateValues" dxfId="1781" priority="22"/>
  </conditionalFormatting>
  <conditionalFormatting sqref="C125:C128">
    <cfRule type="duplicateValues" dxfId="1780" priority="4"/>
    <cfRule type="duplicateValues" dxfId="1779" priority="5"/>
    <cfRule type="duplicateValues" dxfId="1778" priority="6"/>
    <cfRule type="duplicateValues" dxfId="1777" priority="7"/>
    <cfRule type="duplicateValues" dxfId="1776" priority="8"/>
    <cfRule type="duplicateValues" dxfId="1775" priority="10"/>
    <cfRule type="duplicateValues" dxfId="1774" priority="11"/>
    <cfRule type="duplicateValues" dxfId="1773" priority="1"/>
    <cfRule type="duplicateValues" dxfId="1772" priority="31"/>
    <cfRule type="duplicateValues" dxfId="1771" priority="30"/>
    <cfRule type="duplicateValues" dxfId="1770" priority="19"/>
    <cfRule type="duplicateValues" dxfId="1769" priority="9"/>
    <cfRule type="duplicateValues" dxfId="1768" priority="2"/>
    <cfRule type="duplicateValues" dxfId="1767" priority="3"/>
    <cfRule type="duplicateValues" dxfId="1766" priority="21"/>
    <cfRule type="duplicateValues" dxfId="1765" priority="20"/>
    <cfRule type="duplicateValues" dxfId="1764" priority="12"/>
    <cfRule type="duplicateValues" dxfId="1763" priority="18"/>
    <cfRule type="duplicateValues" dxfId="1762" priority="17"/>
    <cfRule type="duplicateValues" dxfId="1761" priority="16"/>
    <cfRule type="duplicateValues" dxfId="1760" priority="15"/>
    <cfRule type="duplicateValues" dxfId="1759" priority="14"/>
    <cfRule type="duplicateValues" dxfId="1758" priority="13"/>
  </conditionalFormatting>
  <conditionalFormatting sqref="C127:C128">
    <cfRule type="duplicateValues" dxfId="1757" priority="27"/>
    <cfRule type="duplicateValues" dxfId="1756" priority="25"/>
    <cfRule type="duplicateValues" dxfId="1755" priority="29"/>
    <cfRule type="duplicateValues" dxfId="1754" priority="28"/>
    <cfRule type="duplicateValues" dxfId="1753" priority="26"/>
  </conditionalFormatting>
  <conditionalFormatting sqref="C237:C1048576 C1:C124 C129:C136">
    <cfRule type="duplicateValues" dxfId="1752" priority="3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BA51-218F-4414-A72D-5B759BA39504}">
  <dimension ref="A1:V799"/>
  <sheetViews>
    <sheetView topLeftCell="A312" zoomScale="80" zoomScaleNormal="80" workbookViewId="0">
      <selection activeCell="I17" sqref="I17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9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8" customWidth="1"/>
    <col min="8" max="8" width="12.875" style="7" customWidth="1"/>
    <col min="9" max="9" width="28.125" style="8" bestFit="1" customWidth="1"/>
    <col min="10" max="10" width="8.875" style="8"/>
    <col min="11" max="11" width="13.125" style="8" bestFit="1" customWidth="1"/>
    <col min="12" max="12" width="11.375" style="8" bestFit="1" customWidth="1"/>
    <col min="13" max="16384" width="8.875" style="8"/>
  </cols>
  <sheetData>
    <row r="1" spans="1:22" s="15" customFormat="1" x14ac:dyDescent="0.25">
      <c r="A1" s="11" t="s">
        <v>0</v>
      </c>
      <c r="B1" s="5"/>
      <c r="C1" s="5"/>
      <c r="D1" s="14"/>
      <c r="E1" s="14"/>
      <c r="F1" s="216" t="s">
        <v>1</v>
      </c>
      <c r="G1" s="216"/>
      <c r="H1" s="216"/>
      <c r="J1" s="16"/>
      <c r="K1" s="16"/>
    </row>
    <row r="2" spans="1:22" s="15" customFormat="1" ht="15" customHeight="1" x14ac:dyDescent="0.25">
      <c r="A2" s="11" t="s">
        <v>2</v>
      </c>
      <c r="B2" s="5"/>
      <c r="C2" s="5"/>
      <c r="D2" s="14"/>
      <c r="E2" s="14"/>
      <c r="F2" s="216" t="s">
        <v>3</v>
      </c>
      <c r="G2" s="216"/>
      <c r="H2" s="216"/>
      <c r="J2" s="16"/>
      <c r="K2" s="16"/>
    </row>
    <row r="3" spans="1:22" ht="15" customHeight="1" x14ac:dyDescent="0.25">
      <c r="B3" s="17"/>
      <c r="C3" s="18"/>
      <c r="D3" s="19"/>
      <c r="E3" s="19"/>
      <c r="F3" s="36"/>
      <c r="G3" s="19"/>
      <c r="J3" s="20"/>
      <c r="K3" s="20"/>
    </row>
    <row r="4" spans="1:22" x14ac:dyDescent="0.25">
      <c r="B4" s="8"/>
      <c r="J4" s="20"/>
      <c r="K4" s="20"/>
    </row>
    <row r="5" spans="1:22" x14ac:dyDescent="0.25">
      <c r="A5" s="218" t="s">
        <v>4</v>
      </c>
      <c r="B5" s="218"/>
      <c r="C5" s="218"/>
      <c r="D5" s="218"/>
      <c r="E5" s="218"/>
      <c r="F5" s="218"/>
      <c r="G5" s="218"/>
      <c r="H5" s="218"/>
      <c r="J5" s="20"/>
      <c r="K5" s="20"/>
    </row>
    <row r="6" spans="1:22" s="3" customFormat="1" x14ac:dyDescent="0.25">
      <c r="A6" s="218" t="s">
        <v>5</v>
      </c>
      <c r="B6" s="218"/>
      <c r="C6" s="218"/>
      <c r="D6" s="218"/>
      <c r="E6" s="218"/>
      <c r="F6" s="218"/>
      <c r="G6" s="218"/>
      <c r="H6" s="218"/>
      <c r="I6" s="7"/>
      <c r="J6" s="21"/>
      <c r="K6" s="21"/>
    </row>
    <row r="7" spans="1:22" s="3" customFormat="1" x14ac:dyDescent="0.25">
      <c r="A7" s="220" t="s">
        <v>37</v>
      </c>
      <c r="B7" s="220"/>
      <c r="C7" s="220"/>
      <c r="D7" s="220"/>
      <c r="E7" s="220"/>
      <c r="F7" s="220"/>
      <c r="G7" s="220"/>
      <c r="H7" s="220"/>
      <c r="I7" s="22"/>
      <c r="J7" s="21"/>
      <c r="K7" s="21"/>
    </row>
    <row r="8" spans="1:22" s="3" customFormat="1" x14ac:dyDescent="0.25">
      <c r="A8" s="23"/>
      <c r="B8" s="13"/>
      <c r="C8" s="24"/>
      <c r="D8" s="23"/>
      <c r="E8" s="23"/>
      <c r="F8" s="25"/>
      <c r="G8" s="23"/>
      <c r="H8" s="7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s="29" customFormat="1" ht="18" customHeight="1" x14ac:dyDescent="0.25">
      <c r="A9" s="226" t="s">
        <v>6</v>
      </c>
      <c r="B9" s="226" t="s">
        <v>7</v>
      </c>
      <c r="C9" s="226" t="s">
        <v>8</v>
      </c>
      <c r="D9" s="226" t="s">
        <v>9</v>
      </c>
      <c r="E9" s="229" t="s">
        <v>10</v>
      </c>
      <c r="F9" s="226" t="s">
        <v>11</v>
      </c>
      <c r="G9" s="28" t="s">
        <v>12</v>
      </c>
      <c r="H9" s="227" t="s">
        <v>13</v>
      </c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s="29" customFormat="1" ht="18" customHeight="1" x14ac:dyDescent="0.25">
      <c r="A10" s="226"/>
      <c r="B10" s="226"/>
      <c r="C10" s="226"/>
      <c r="D10" s="226"/>
      <c r="E10" s="229"/>
      <c r="F10" s="226"/>
      <c r="G10" s="32" t="s">
        <v>14</v>
      </c>
      <c r="H10" s="227"/>
      <c r="I10" s="29" t="s">
        <v>271</v>
      </c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s="29" customFormat="1" ht="18" customHeight="1" x14ac:dyDescent="0.25">
      <c r="A11" s="40">
        <v>1</v>
      </c>
      <c r="B11" s="54">
        <v>46046</v>
      </c>
      <c r="C11" s="53" t="s">
        <v>415</v>
      </c>
      <c r="D11" s="53">
        <v>40</v>
      </c>
      <c r="E11" s="53" t="s">
        <v>20</v>
      </c>
      <c r="F11" s="53" t="s">
        <v>34</v>
      </c>
      <c r="G11" s="45">
        <v>330000</v>
      </c>
      <c r="H11" s="53" t="s">
        <v>553</v>
      </c>
      <c r="J11" s="30" t="e" cm="1">
        <f t="array" ref="J11">INDEX('[1]Container List'!$G$18:$G$318,MATCH(C11,'[1]Container List'!$C$18:$C$318,0),0)</f>
        <v>#N/A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s="29" customFormat="1" ht="18" customHeight="1" x14ac:dyDescent="0.25">
      <c r="A12" s="40">
        <v>2</v>
      </c>
      <c r="B12" s="54">
        <v>46046</v>
      </c>
      <c r="C12" s="53" t="s">
        <v>416</v>
      </c>
      <c r="D12" s="53">
        <v>40</v>
      </c>
      <c r="E12" s="53" t="s">
        <v>20</v>
      </c>
      <c r="F12" s="53" t="s">
        <v>34</v>
      </c>
      <c r="G12" s="45">
        <v>330000</v>
      </c>
      <c r="H12" s="53" t="s">
        <v>553</v>
      </c>
      <c r="J12" s="30" t="e" cm="1">
        <f t="array" ref="J12">INDEX('[1]Container List'!$G$18:$G$318,MATCH(C12,'[1]Container List'!$C$18:$C$318,0),0)</f>
        <v>#N/A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s="29" customFormat="1" ht="18" customHeight="1" x14ac:dyDescent="0.25">
      <c r="A13" s="40">
        <v>3</v>
      </c>
      <c r="B13" s="54">
        <v>46051</v>
      </c>
      <c r="C13" s="53" t="s">
        <v>417</v>
      </c>
      <c r="D13" s="53">
        <v>40</v>
      </c>
      <c r="E13" s="53" t="s">
        <v>20</v>
      </c>
      <c r="F13" s="53" t="s">
        <v>31</v>
      </c>
      <c r="G13" s="45">
        <v>330000</v>
      </c>
      <c r="H13" s="53" t="s">
        <v>28</v>
      </c>
      <c r="J13" s="30" t="e" cm="1">
        <f t="array" ref="J13">INDEX('[1]Container List'!$G$18:$G$318,MATCH(C13,'[1]Container List'!$C$18:$C$318,0),0)</f>
        <v>#N/A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s="29" customFormat="1" ht="18" customHeight="1" x14ac:dyDescent="0.25">
      <c r="A14" s="40">
        <v>4</v>
      </c>
      <c r="B14" s="54">
        <v>46051</v>
      </c>
      <c r="C14" s="53" t="s">
        <v>418</v>
      </c>
      <c r="D14" s="53">
        <v>40</v>
      </c>
      <c r="E14" s="53" t="s">
        <v>20</v>
      </c>
      <c r="F14" s="53" t="s">
        <v>31</v>
      </c>
      <c r="G14" s="45">
        <v>330000</v>
      </c>
      <c r="H14" s="53" t="s">
        <v>28</v>
      </c>
      <c r="J14" s="30" t="e" cm="1">
        <f t="array" ref="J14">INDEX('[1]Container List'!$G$18:$G$318,MATCH(C14,'[1]Container List'!$C$18:$C$318,0),0)</f>
        <v>#N/A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s="29" customFormat="1" ht="18" customHeight="1" x14ac:dyDescent="0.25">
      <c r="A15" s="40">
        <v>5</v>
      </c>
      <c r="B15" s="54">
        <v>46051</v>
      </c>
      <c r="C15" s="53" t="s">
        <v>419</v>
      </c>
      <c r="D15" s="53">
        <v>40</v>
      </c>
      <c r="E15" s="53" t="s">
        <v>20</v>
      </c>
      <c r="F15" s="53" t="s">
        <v>31</v>
      </c>
      <c r="G15" s="45">
        <v>330000</v>
      </c>
      <c r="H15" s="53" t="s">
        <v>28</v>
      </c>
      <c r="J15" s="30" t="e" cm="1">
        <f t="array" ref="J15">INDEX('[1]Container List'!$G$18:$G$318,MATCH(C15,'[1]Container List'!$C$18:$C$318,0),0)</f>
        <v>#N/A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s="29" customFormat="1" ht="18" customHeight="1" x14ac:dyDescent="0.25">
      <c r="A16" s="40">
        <v>6</v>
      </c>
      <c r="B16" s="54">
        <v>46051</v>
      </c>
      <c r="C16" s="53" t="s">
        <v>420</v>
      </c>
      <c r="D16" s="53">
        <v>40</v>
      </c>
      <c r="E16" s="53" t="s">
        <v>20</v>
      </c>
      <c r="F16" s="53" t="s">
        <v>31</v>
      </c>
      <c r="G16" s="45">
        <v>330000</v>
      </c>
      <c r="H16" s="53" t="s">
        <v>28</v>
      </c>
      <c r="J16" s="30" t="e" cm="1">
        <f t="array" ref="J16">INDEX('[1]Container List'!$G$18:$G$318,MATCH(C16,'[1]Container List'!$C$18:$C$318,0),0)</f>
        <v>#N/A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s="29" customFormat="1" ht="18" customHeight="1" x14ac:dyDescent="0.25">
      <c r="A17" s="40">
        <v>7</v>
      </c>
      <c r="B17" s="54">
        <v>46051</v>
      </c>
      <c r="C17" s="53" t="s">
        <v>421</v>
      </c>
      <c r="D17" s="53">
        <v>40</v>
      </c>
      <c r="E17" s="53" t="s">
        <v>20</v>
      </c>
      <c r="F17" s="53" t="s">
        <v>31</v>
      </c>
      <c r="G17" s="45">
        <v>330000</v>
      </c>
      <c r="H17" s="53" t="s">
        <v>28</v>
      </c>
      <c r="J17" s="30" t="e" cm="1">
        <f t="array" ref="J17">INDEX('[1]Container List'!$G$18:$G$318,MATCH(C17,'[1]Container List'!$C$18:$C$318,0),0)</f>
        <v>#N/A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s="29" customFormat="1" ht="18" customHeight="1" x14ac:dyDescent="0.25">
      <c r="A18" s="40">
        <v>8</v>
      </c>
      <c r="B18" s="54">
        <v>46051</v>
      </c>
      <c r="C18" s="53" t="s">
        <v>422</v>
      </c>
      <c r="D18" s="53">
        <v>40</v>
      </c>
      <c r="E18" s="53" t="s">
        <v>20</v>
      </c>
      <c r="F18" s="53" t="s">
        <v>31</v>
      </c>
      <c r="G18" s="45">
        <v>330000</v>
      </c>
      <c r="H18" s="53" t="s">
        <v>28</v>
      </c>
      <c r="J18" s="30" t="e" cm="1">
        <f t="array" ref="J18">INDEX('[1]Container List'!$G$18:$G$318,MATCH(C18,'[1]Container List'!$C$18:$C$318,0),0)</f>
        <v>#N/A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s="29" customFormat="1" ht="18" customHeight="1" x14ac:dyDescent="0.25">
      <c r="A19" s="40">
        <v>9</v>
      </c>
      <c r="B19" s="54">
        <v>46051</v>
      </c>
      <c r="C19" s="53" t="s">
        <v>423</v>
      </c>
      <c r="D19" s="53">
        <v>20</v>
      </c>
      <c r="E19" s="53" t="s">
        <v>20</v>
      </c>
      <c r="F19" s="53" t="s">
        <v>31</v>
      </c>
      <c r="G19" s="45">
        <v>175000</v>
      </c>
      <c r="H19" s="53" t="s">
        <v>28</v>
      </c>
      <c r="J19" s="30" t="e" cm="1">
        <f t="array" ref="J19">INDEX('[1]Container List'!$G$18:$G$318,MATCH(C19,'[1]Container List'!$C$18:$C$318,0),0)</f>
        <v>#N/A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s="29" customFormat="1" ht="18" customHeight="1" x14ac:dyDescent="0.25">
      <c r="A20" s="40">
        <v>10</v>
      </c>
      <c r="B20" s="54">
        <v>46051</v>
      </c>
      <c r="C20" s="53" t="s">
        <v>424</v>
      </c>
      <c r="D20" s="53">
        <v>20</v>
      </c>
      <c r="E20" s="53" t="s">
        <v>20</v>
      </c>
      <c r="F20" s="53" t="s">
        <v>31</v>
      </c>
      <c r="G20" s="45">
        <v>175000</v>
      </c>
      <c r="H20" s="53" t="s">
        <v>28</v>
      </c>
      <c r="J20" s="30" t="e" cm="1">
        <f t="array" ref="J20">INDEX('[1]Container List'!$G$18:$G$318,MATCH(C20,'[1]Container List'!$C$18:$C$318,0),0)</f>
        <v>#N/A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s="29" customFormat="1" ht="18" customHeight="1" x14ac:dyDescent="0.25">
      <c r="A21" s="40">
        <v>11</v>
      </c>
      <c r="B21" s="54">
        <v>46051</v>
      </c>
      <c r="C21" s="53" t="s">
        <v>425</v>
      </c>
      <c r="D21" s="53">
        <v>20</v>
      </c>
      <c r="E21" s="53" t="s">
        <v>20</v>
      </c>
      <c r="F21" s="53" t="s">
        <v>31</v>
      </c>
      <c r="G21" s="45">
        <v>175000</v>
      </c>
      <c r="H21" s="53" t="s">
        <v>28</v>
      </c>
      <c r="J21" s="30" t="e" cm="1">
        <f t="array" ref="J21">INDEX('[1]Container List'!$G$18:$G$318,MATCH(C21,'[1]Container List'!$C$18:$C$318,0),0)</f>
        <v>#N/A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s="29" customFormat="1" ht="18" customHeight="1" x14ac:dyDescent="0.25">
      <c r="A22" s="40">
        <v>12</v>
      </c>
      <c r="B22" s="54">
        <v>46051</v>
      </c>
      <c r="C22" s="53" t="s">
        <v>426</v>
      </c>
      <c r="D22" s="53">
        <v>20</v>
      </c>
      <c r="E22" s="53" t="s">
        <v>20</v>
      </c>
      <c r="F22" s="53" t="s">
        <v>31</v>
      </c>
      <c r="G22" s="45">
        <v>175000</v>
      </c>
      <c r="H22" s="53" t="s">
        <v>28</v>
      </c>
      <c r="J22" s="30" t="e" cm="1">
        <f t="array" ref="J22">INDEX('[1]Container List'!$G$18:$G$318,MATCH(C22,'[1]Container List'!$C$18:$C$318,0),0)</f>
        <v>#N/A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s="29" customFormat="1" ht="18" customHeight="1" x14ac:dyDescent="0.25">
      <c r="A23" s="40">
        <v>13</v>
      </c>
      <c r="B23" s="54">
        <v>46051</v>
      </c>
      <c r="C23" s="53" t="s">
        <v>427</v>
      </c>
      <c r="D23" s="53">
        <v>20</v>
      </c>
      <c r="E23" s="53" t="s">
        <v>20</v>
      </c>
      <c r="F23" s="53" t="s">
        <v>31</v>
      </c>
      <c r="G23" s="45">
        <v>175000</v>
      </c>
      <c r="H23" s="53" t="s">
        <v>30</v>
      </c>
      <c r="J23" s="30" t="e" cm="1">
        <f t="array" ref="J23">INDEX('[1]Container List'!$G$18:$G$318,MATCH(C23,'[1]Container List'!$C$18:$C$318,0),0)</f>
        <v>#N/A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s="29" customFormat="1" ht="18" customHeight="1" x14ac:dyDescent="0.25">
      <c r="A24" s="40">
        <v>14</v>
      </c>
      <c r="B24" s="54">
        <v>46051</v>
      </c>
      <c r="C24" s="53" t="s">
        <v>428</v>
      </c>
      <c r="D24" s="53">
        <v>20</v>
      </c>
      <c r="E24" s="53" t="s">
        <v>20</v>
      </c>
      <c r="F24" s="53" t="s">
        <v>31</v>
      </c>
      <c r="G24" s="45">
        <v>175000</v>
      </c>
      <c r="H24" s="53" t="s">
        <v>30</v>
      </c>
      <c r="J24" s="30" t="e" cm="1">
        <f t="array" ref="J24">INDEX('[1]Container List'!$G$18:$G$318,MATCH(C24,'[1]Container List'!$C$18:$C$318,0),0)</f>
        <v>#N/A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s="29" customFormat="1" ht="18" customHeight="1" x14ac:dyDescent="0.25">
      <c r="A25" s="40">
        <v>15</v>
      </c>
      <c r="B25" s="54">
        <v>46051</v>
      </c>
      <c r="C25" s="53" t="s">
        <v>429</v>
      </c>
      <c r="D25" s="53">
        <v>20</v>
      </c>
      <c r="E25" s="53" t="s">
        <v>20</v>
      </c>
      <c r="F25" s="53" t="s">
        <v>31</v>
      </c>
      <c r="G25" s="45">
        <v>175000</v>
      </c>
      <c r="H25" s="53" t="s">
        <v>30</v>
      </c>
      <c r="J25" s="30" t="e" cm="1">
        <f t="array" ref="J25">INDEX('[1]Container List'!$G$18:$G$318,MATCH(C25,'[1]Container List'!$C$18:$C$318,0),0)</f>
        <v>#N/A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s="29" customFormat="1" ht="18" customHeight="1" x14ac:dyDescent="0.25">
      <c r="A26" s="40">
        <v>16</v>
      </c>
      <c r="B26" s="54">
        <v>46051</v>
      </c>
      <c r="C26" s="53" t="s">
        <v>430</v>
      </c>
      <c r="D26" s="53">
        <v>20</v>
      </c>
      <c r="E26" s="53" t="s">
        <v>20</v>
      </c>
      <c r="F26" s="53" t="s">
        <v>31</v>
      </c>
      <c r="G26" s="45">
        <v>175000</v>
      </c>
      <c r="H26" s="53" t="s">
        <v>30</v>
      </c>
      <c r="J26" s="30" t="e" cm="1">
        <f t="array" ref="J26">INDEX('[1]Container List'!$G$18:$G$318,MATCH(C26,'[1]Container List'!$C$18:$C$318,0),0)</f>
        <v>#N/A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s="29" customFormat="1" ht="18" customHeight="1" x14ac:dyDescent="0.25">
      <c r="A27" s="40">
        <v>17</v>
      </c>
      <c r="B27" s="54">
        <v>46051</v>
      </c>
      <c r="C27" s="53" t="s">
        <v>431</v>
      </c>
      <c r="D27" s="53">
        <v>20</v>
      </c>
      <c r="E27" s="53" t="s">
        <v>20</v>
      </c>
      <c r="F27" s="53" t="s">
        <v>31</v>
      </c>
      <c r="G27" s="45">
        <v>175000</v>
      </c>
      <c r="H27" s="53" t="s">
        <v>30</v>
      </c>
      <c r="J27" s="30" t="e" cm="1">
        <f t="array" ref="J27">INDEX('[1]Container List'!$G$18:$G$318,MATCH(C27,'[1]Container List'!$C$18:$C$318,0),0)</f>
        <v>#N/A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s="29" customFormat="1" ht="18" customHeight="1" x14ac:dyDescent="0.25">
      <c r="A28" s="40">
        <v>18</v>
      </c>
      <c r="B28" s="54">
        <v>46051</v>
      </c>
      <c r="C28" s="53" t="s">
        <v>432</v>
      </c>
      <c r="D28" s="53">
        <v>20</v>
      </c>
      <c r="E28" s="53" t="s">
        <v>20</v>
      </c>
      <c r="F28" s="53" t="s">
        <v>31</v>
      </c>
      <c r="G28" s="45">
        <v>175000</v>
      </c>
      <c r="H28" s="53" t="s">
        <v>30</v>
      </c>
      <c r="J28" s="30" t="e" cm="1">
        <f t="array" ref="J28">INDEX('[1]Container List'!$G$18:$G$318,MATCH(C28,'[1]Container List'!$C$18:$C$318,0),0)</f>
        <v>#N/A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s="29" customFormat="1" ht="18" customHeight="1" x14ac:dyDescent="0.25">
      <c r="A29" s="40">
        <v>19</v>
      </c>
      <c r="B29" s="54">
        <v>46051</v>
      </c>
      <c r="C29" s="53" t="s">
        <v>433</v>
      </c>
      <c r="D29" s="53">
        <v>40</v>
      </c>
      <c r="E29" s="53" t="s">
        <v>20</v>
      </c>
      <c r="F29" s="53" t="s">
        <v>31</v>
      </c>
      <c r="G29" s="45">
        <v>330000</v>
      </c>
      <c r="H29" s="53" t="s">
        <v>30</v>
      </c>
      <c r="J29" s="30" t="e" cm="1">
        <f t="array" ref="J29">INDEX('[1]Container List'!$G$18:$G$318,MATCH(C29,'[1]Container List'!$C$18:$C$318,0),0)</f>
        <v>#N/A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s="29" customFormat="1" ht="18" customHeight="1" x14ac:dyDescent="0.25">
      <c r="A30" s="40">
        <v>20</v>
      </c>
      <c r="B30" s="54">
        <v>46051</v>
      </c>
      <c r="C30" s="53" t="s">
        <v>434</v>
      </c>
      <c r="D30" s="53">
        <v>40</v>
      </c>
      <c r="E30" s="53" t="s">
        <v>20</v>
      </c>
      <c r="F30" s="53" t="s">
        <v>31</v>
      </c>
      <c r="G30" s="45">
        <v>330000</v>
      </c>
      <c r="H30" s="53" t="s">
        <v>30</v>
      </c>
      <c r="J30" s="30" t="e" cm="1">
        <f t="array" ref="J30">INDEX('[1]Container List'!$G$18:$G$318,MATCH(C30,'[1]Container List'!$C$18:$C$318,0),0)</f>
        <v>#N/A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s="29" customFormat="1" ht="18" customHeight="1" x14ac:dyDescent="0.25">
      <c r="A31" s="40">
        <v>21</v>
      </c>
      <c r="B31" s="54">
        <v>46051</v>
      </c>
      <c r="C31" s="53" t="s">
        <v>435</v>
      </c>
      <c r="D31" s="53">
        <v>40</v>
      </c>
      <c r="E31" s="53" t="s">
        <v>20</v>
      </c>
      <c r="F31" s="53" t="s">
        <v>31</v>
      </c>
      <c r="G31" s="45">
        <v>330000</v>
      </c>
      <c r="H31" s="53" t="s">
        <v>30</v>
      </c>
      <c r="J31" s="30" t="e" cm="1">
        <f t="array" ref="J31">INDEX('[1]Container List'!$G$18:$G$318,MATCH(C31,'[1]Container List'!$C$18:$C$318,0),0)</f>
        <v>#N/A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29" customFormat="1" ht="18" customHeight="1" x14ac:dyDescent="0.25">
      <c r="A32" s="40">
        <v>22</v>
      </c>
      <c r="B32" s="54">
        <v>46051</v>
      </c>
      <c r="C32" s="53" t="s">
        <v>436</v>
      </c>
      <c r="D32" s="53">
        <v>40</v>
      </c>
      <c r="E32" s="53" t="s">
        <v>20</v>
      </c>
      <c r="F32" s="53" t="s">
        <v>31</v>
      </c>
      <c r="G32" s="45">
        <v>330000</v>
      </c>
      <c r="H32" s="53" t="s">
        <v>30</v>
      </c>
      <c r="J32" s="30" t="e" cm="1">
        <f t="array" ref="J32">INDEX('[1]Container List'!$G$18:$G$318,MATCH(C32,'[1]Container List'!$C$18:$C$318,0),0)</f>
        <v>#N/A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s="29" customFormat="1" ht="18" customHeight="1" x14ac:dyDescent="0.25">
      <c r="A33" s="40">
        <v>23</v>
      </c>
      <c r="B33" s="54">
        <v>46051</v>
      </c>
      <c r="C33" s="53" t="s">
        <v>437</v>
      </c>
      <c r="D33" s="53">
        <v>40</v>
      </c>
      <c r="E33" s="53" t="s">
        <v>20</v>
      </c>
      <c r="F33" s="53" t="s">
        <v>31</v>
      </c>
      <c r="G33" s="45">
        <v>330000</v>
      </c>
      <c r="H33" s="53" t="s">
        <v>30</v>
      </c>
      <c r="J33" s="30" t="e" cm="1">
        <f t="array" ref="J33">INDEX('[1]Container List'!$G$18:$G$318,MATCH(C33,'[1]Container List'!$C$18:$C$318,0),0)</f>
        <v>#N/A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s="29" customFormat="1" ht="18" customHeight="1" x14ac:dyDescent="0.25">
      <c r="A34" s="40">
        <v>24</v>
      </c>
      <c r="B34" s="54">
        <v>46051</v>
      </c>
      <c r="C34" s="53" t="s">
        <v>438</v>
      </c>
      <c r="D34" s="53">
        <v>20</v>
      </c>
      <c r="E34" s="53" t="s">
        <v>20</v>
      </c>
      <c r="F34" s="53" t="s">
        <v>31</v>
      </c>
      <c r="G34" s="45">
        <v>175000</v>
      </c>
      <c r="H34" s="53" t="s">
        <v>26</v>
      </c>
      <c r="J34" s="30" t="e" cm="1">
        <f t="array" ref="J34">INDEX('[1]Container List'!$G$18:$G$318,MATCH(C34,'[1]Container List'!$C$18:$C$318,0),0)</f>
        <v>#N/A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s="29" customFormat="1" ht="18" customHeight="1" x14ac:dyDescent="0.25">
      <c r="A35" s="40">
        <v>25</v>
      </c>
      <c r="B35" s="54">
        <v>46051</v>
      </c>
      <c r="C35" s="53" t="s">
        <v>439</v>
      </c>
      <c r="D35" s="53">
        <v>20</v>
      </c>
      <c r="E35" s="53" t="s">
        <v>20</v>
      </c>
      <c r="F35" s="53" t="s">
        <v>31</v>
      </c>
      <c r="G35" s="45">
        <v>175000</v>
      </c>
      <c r="H35" s="53" t="s">
        <v>26</v>
      </c>
      <c r="J35" s="30" t="e" cm="1">
        <f t="array" ref="J35">INDEX('[1]Container List'!$G$18:$G$318,MATCH(C35,'[1]Container List'!$C$18:$C$318,0),0)</f>
        <v>#N/A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s="29" customFormat="1" ht="18" customHeight="1" x14ac:dyDescent="0.25">
      <c r="A36" s="40">
        <v>26</v>
      </c>
      <c r="B36" s="54">
        <v>46051</v>
      </c>
      <c r="C36" s="53" t="s">
        <v>440</v>
      </c>
      <c r="D36" s="53">
        <v>40</v>
      </c>
      <c r="E36" s="53" t="s">
        <v>20</v>
      </c>
      <c r="F36" s="53" t="s">
        <v>31</v>
      </c>
      <c r="G36" s="45">
        <v>330000</v>
      </c>
      <c r="H36" s="53" t="s">
        <v>35</v>
      </c>
      <c r="J36" s="30" t="e" cm="1">
        <f t="array" ref="J36">INDEX('[1]Container List'!$G$18:$G$318,MATCH(C36,'[1]Container List'!$C$18:$C$318,0),0)</f>
        <v>#N/A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s="29" customFormat="1" ht="18" customHeight="1" x14ac:dyDescent="0.25">
      <c r="A37" s="40">
        <v>27</v>
      </c>
      <c r="B37" s="54">
        <v>46051</v>
      </c>
      <c r="C37" s="53" t="s">
        <v>441</v>
      </c>
      <c r="D37" s="53">
        <v>20</v>
      </c>
      <c r="E37" s="53" t="s">
        <v>20</v>
      </c>
      <c r="F37" s="53" t="s">
        <v>34</v>
      </c>
      <c r="G37" s="45">
        <v>175000</v>
      </c>
      <c r="H37" s="53" t="s">
        <v>267</v>
      </c>
      <c r="J37" s="30" t="e" cm="1">
        <f t="array" ref="J37">INDEX('[1]Container List'!$G$18:$G$318,MATCH(C37,'[1]Container List'!$C$18:$C$318,0),0)</f>
        <v>#N/A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1:22" s="29" customFormat="1" ht="18" customHeight="1" x14ac:dyDescent="0.25">
      <c r="A38" s="40">
        <v>28</v>
      </c>
      <c r="B38" s="54">
        <v>46051</v>
      </c>
      <c r="C38" s="53" t="s">
        <v>442</v>
      </c>
      <c r="D38" s="53">
        <v>20</v>
      </c>
      <c r="E38" s="53" t="s">
        <v>20</v>
      </c>
      <c r="F38" s="53" t="s">
        <v>34</v>
      </c>
      <c r="G38" s="45">
        <v>175000</v>
      </c>
      <c r="H38" s="53" t="s">
        <v>267</v>
      </c>
      <c r="J38" s="30" t="e" cm="1">
        <f t="array" ref="J38">INDEX('[1]Container List'!$G$18:$G$318,MATCH(C38,'[1]Container List'!$C$18:$C$318,0),0)</f>
        <v>#N/A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s="29" customFormat="1" ht="18" customHeight="1" x14ac:dyDescent="0.25">
      <c r="A39" s="40">
        <v>29</v>
      </c>
      <c r="B39" s="54">
        <v>46051</v>
      </c>
      <c r="C39" s="53" t="s">
        <v>443</v>
      </c>
      <c r="D39" s="53">
        <v>20</v>
      </c>
      <c r="E39" s="53" t="s">
        <v>20</v>
      </c>
      <c r="F39" s="53" t="s">
        <v>34</v>
      </c>
      <c r="G39" s="45">
        <v>175000</v>
      </c>
      <c r="H39" s="53" t="s">
        <v>267</v>
      </c>
      <c r="J39" s="30" t="e" cm="1">
        <f t="array" ref="J39">INDEX('[1]Container List'!$G$18:$G$318,MATCH(C39,'[1]Container List'!$C$18:$C$318,0),0)</f>
        <v>#N/A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1:22" s="29" customFormat="1" ht="18" customHeight="1" x14ac:dyDescent="0.25">
      <c r="A40" s="40">
        <v>30</v>
      </c>
      <c r="B40" s="54">
        <v>46051</v>
      </c>
      <c r="C40" s="53" t="s">
        <v>444</v>
      </c>
      <c r="D40" s="53">
        <v>20</v>
      </c>
      <c r="E40" s="53" t="s">
        <v>20</v>
      </c>
      <c r="F40" s="53" t="s">
        <v>34</v>
      </c>
      <c r="G40" s="45">
        <v>175000</v>
      </c>
      <c r="H40" s="53" t="s">
        <v>267</v>
      </c>
      <c r="J40" s="30" t="e" cm="1">
        <f t="array" ref="J40">INDEX('[1]Container List'!$G$18:$G$318,MATCH(C40,'[1]Container List'!$C$18:$C$318,0),0)</f>
        <v>#N/A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s="29" customFormat="1" ht="18" customHeight="1" x14ac:dyDescent="0.25">
      <c r="A41" s="40">
        <v>31</v>
      </c>
      <c r="B41" s="54">
        <v>46051</v>
      </c>
      <c r="C41" s="53" t="s">
        <v>445</v>
      </c>
      <c r="D41" s="53">
        <v>40</v>
      </c>
      <c r="E41" s="53" t="s">
        <v>20</v>
      </c>
      <c r="F41" s="53" t="s">
        <v>34</v>
      </c>
      <c r="G41" s="45">
        <v>330000</v>
      </c>
      <c r="H41" s="53" t="s">
        <v>267</v>
      </c>
      <c r="J41" s="30" t="e" cm="1">
        <f t="array" ref="J41">INDEX('[1]Container List'!$G$18:$G$318,MATCH(C41,'[1]Container List'!$C$18:$C$318,0),0)</f>
        <v>#N/A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1:22" s="29" customFormat="1" ht="18" customHeight="1" x14ac:dyDescent="0.25">
      <c r="A42" s="40">
        <v>32</v>
      </c>
      <c r="B42" s="54">
        <v>46051</v>
      </c>
      <c r="C42" s="53" t="s">
        <v>446</v>
      </c>
      <c r="D42" s="53">
        <v>40</v>
      </c>
      <c r="E42" s="53" t="s">
        <v>20</v>
      </c>
      <c r="F42" s="53" t="s">
        <v>34</v>
      </c>
      <c r="G42" s="45">
        <v>330000</v>
      </c>
      <c r="H42" s="53" t="s">
        <v>267</v>
      </c>
      <c r="J42" s="30" t="e" cm="1">
        <f t="array" ref="J42">INDEX('[1]Container List'!$G$18:$G$318,MATCH(C42,'[1]Container List'!$C$18:$C$318,0),0)</f>
        <v>#N/A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1:22" s="29" customFormat="1" ht="18" customHeight="1" x14ac:dyDescent="0.25">
      <c r="A43" s="40">
        <v>33</v>
      </c>
      <c r="B43" s="54">
        <v>46051</v>
      </c>
      <c r="C43" s="53" t="s">
        <v>447</v>
      </c>
      <c r="D43" s="53">
        <v>40</v>
      </c>
      <c r="E43" s="53" t="s">
        <v>20</v>
      </c>
      <c r="F43" s="53" t="s">
        <v>34</v>
      </c>
      <c r="G43" s="45">
        <v>330000</v>
      </c>
      <c r="H43" s="53" t="s">
        <v>267</v>
      </c>
      <c r="J43" s="30" t="e" cm="1">
        <f t="array" ref="J43">INDEX('[1]Container List'!$G$18:$G$318,MATCH(C43,'[1]Container List'!$C$18:$C$318,0),0)</f>
        <v>#N/A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1:22" s="29" customFormat="1" ht="18" customHeight="1" x14ac:dyDescent="0.25">
      <c r="A44" s="40">
        <v>34</v>
      </c>
      <c r="B44" s="54">
        <v>46051</v>
      </c>
      <c r="C44" s="53" t="s">
        <v>448</v>
      </c>
      <c r="D44" s="53">
        <v>40</v>
      </c>
      <c r="E44" s="53" t="s">
        <v>20</v>
      </c>
      <c r="F44" s="53" t="s">
        <v>34</v>
      </c>
      <c r="G44" s="45">
        <v>330000</v>
      </c>
      <c r="H44" s="53" t="s">
        <v>267</v>
      </c>
      <c r="J44" s="30" t="e" cm="1">
        <f t="array" ref="J44">INDEX('[1]Container List'!$G$18:$G$318,MATCH(C44,'[1]Container List'!$C$18:$C$318,0),0)</f>
        <v>#N/A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1:22" s="29" customFormat="1" ht="18" customHeight="1" x14ac:dyDescent="0.25">
      <c r="A45" s="40">
        <v>35</v>
      </c>
      <c r="B45" s="54">
        <v>46051</v>
      </c>
      <c r="C45" s="53" t="s">
        <v>449</v>
      </c>
      <c r="D45" s="53">
        <v>20</v>
      </c>
      <c r="E45" s="53" t="s">
        <v>20</v>
      </c>
      <c r="F45" s="53" t="s">
        <v>31</v>
      </c>
      <c r="G45" s="45">
        <v>175000</v>
      </c>
      <c r="H45" s="53" t="s">
        <v>25</v>
      </c>
      <c r="J45" s="30" t="e" cm="1">
        <f t="array" ref="J45">INDEX('[1]Container List'!$G$18:$G$318,MATCH(C45,'[1]Container List'!$C$18:$C$318,0),0)</f>
        <v>#N/A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1:22" s="29" customFormat="1" ht="18" customHeight="1" x14ac:dyDescent="0.25">
      <c r="A46" s="40">
        <v>36</v>
      </c>
      <c r="B46" s="54">
        <v>46051</v>
      </c>
      <c r="C46" s="53" t="s">
        <v>450</v>
      </c>
      <c r="D46" s="53">
        <v>20</v>
      </c>
      <c r="E46" s="53" t="s">
        <v>20</v>
      </c>
      <c r="F46" s="53" t="s">
        <v>31</v>
      </c>
      <c r="G46" s="45">
        <v>175000</v>
      </c>
      <c r="H46" s="53" t="s">
        <v>25</v>
      </c>
      <c r="J46" s="30" t="e" cm="1">
        <f t="array" ref="J46">INDEX('[1]Container List'!$G$18:$G$318,MATCH(C46,'[1]Container List'!$C$18:$C$318,0),0)</f>
        <v>#N/A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1:22" s="29" customFormat="1" ht="18" customHeight="1" x14ac:dyDescent="0.25">
      <c r="A47" s="40">
        <v>37</v>
      </c>
      <c r="B47" s="54">
        <v>46051</v>
      </c>
      <c r="C47" s="53" t="s">
        <v>451</v>
      </c>
      <c r="D47" s="53">
        <v>20</v>
      </c>
      <c r="E47" s="53" t="s">
        <v>20</v>
      </c>
      <c r="F47" s="53" t="s">
        <v>31</v>
      </c>
      <c r="G47" s="45">
        <v>175000</v>
      </c>
      <c r="H47" s="53" t="s">
        <v>25</v>
      </c>
      <c r="J47" s="30" t="e" cm="1">
        <f t="array" ref="J47">INDEX('[1]Container List'!$G$18:$G$318,MATCH(C47,'[1]Container List'!$C$18:$C$318,0),0)</f>
        <v>#N/A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22" s="29" customFormat="1" ht="18" customHeight="1" x14ac:dyDescent="0.25">
      <c r="A48" s="40">
        <v>38</v>
      </c>
      <c r="B48" s="54">
        <v>46051</v>
      </c>
      <c r="C48" s="53" t="s">
        <v>452</v>
      </c>
      <c r="D48" s="53">
        <v>40</v>
      </c>
      <c r="E48" s="53" t="s">
        <v>20</v>
      </c>
      <c r="F48" s="53" t="s">
        <v>31</v>
      </c>
      <c r="G48" s="45">
        <v>330000</v>
      </c>
      <c r="H48" s="53" t="s">
        <v>25</v>
      </c>
      <c r="J48" s="30" t="e" cm="1">
        <f t="array" ref="J48">INDEX('[1]Container List'!$G$18:$G$318,MATCH(C48,'[1]Container List'!$C$18:$C$318,0),0)</f>
        <v>#N/A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:22" s="29" customFormat="1" ht="18" customHeight="1" x14ac:dyDescent="0.25">
      <c r="A49" s="40">
        <v>39</v>
      </c>
      <c r="B49" s="54">
        <v>46051</v>
      </c>
      <c r="C49" s="53" t="s">
        <v>453</v>
      </c>
      <c r="D49" s="53">
        <v>20</v>
      </c>
      <c r="E49" s="53" t="s">
        <v>20</v>
      </c>
      <c r="F49" s="53" t="s">
        <v>31</v>
      </c>
      <c r="G49" s="45">
        <v>175000</v>
      </c>
      <c r="H49" s="53" t="s">
        <v>25</v>
      </c>
      <c r="J49" s="30" t="e" cm="1">
        <f t="array" ref="J49">INDEX('[1]Container List'!$G$18:$G$318,MATCH(C49,'[1]Container List'!$C$18:$C$318,0),0)</f>
        <v>#N/A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1:22" s="29" customFormat="1" ht="18" customHeight="1" x14ac:dyDescent="0.25">
      <c r="A50" s="40">
        <v>40</v>
      </c>
      <c r="B50" s="54">
        <v>46051</v>
      </c>
      <c r="C50" s="53" t="s">
        <v>454</v>
      </c>
      <c r="D50" s="53">
        <v>40</v>
      </c>
      <c r="E50" s="53" t="s">
        <v>20</v>
      </c>
      <c r="F50" s="53" t="s">
        <v>31</v>
      </c>
      <c r="G50" s="45">
        <v>330000</v>
      </c>
      <c r="H50" s="53" t="s">
        <v>25</v>
      </c>
      <c r="J50" s="30" t="e" cm="1">
        <f t="array" ref="J50">INDEX('[1]Container List'!$G$18:$G$318,MATCH(C50,'[1]Container List'!$C$18:$C$318,0),0)</f>
        <v>#N/A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:22" s="29" customFormat="1" ht="18" customHeight="1" x14ac:dyDescent="0.25">
      <c r="A51" s="40">
        <v>41</v>
      </c>
      <c r="B51" s="54">
        <v>46051</v>
      </c>
      <c r="C51" s="53" t="s">
        <v>455</v>
      </c>
      <c r="D51" s="53">
        <v>40</v>
      </c>
      <c r="E51" s="53" t="s">
        <v>20</v>
      </c>
      <c r="F51" s="53" t="s">
        <v>31</v>
      </c>
      <c r="G51" s="45">
        <v>330000</v>
      </c>
      <c r="H51" s="53" t="s">
        <v>25</v>
      </c>
      <c r="J51" s="30" t="e" cm="1">
        <f t="array" ref="J51">INDEX('[1]Container List'!$G$18:$G$318,MATCH(C51,'[1]Container List'!$C$18:$C$318,0),0)</f>
        <v>#N/A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:22" s="29" customFormat="1" ht="18" customHeight="1" x14ac:dyDescent="0.25">
      <c r="A52" s="40">
        <v>42</v>
      </c>
      <c r="B52" s="54">
        <v>46051</v>
      </c>
      <c r="C52" s="53" t="s">
        <v>456</v>
      </c>
      <c r="D52" s="53">
        <v>40</v>
      </c>
      <c r="E52" s="53" t="s">
        <v>20</v>
      </c>
      <c r="F52" s="53" t="s">
        <v>31</v>
      </c>
      <c r="G52" s="45">
        <v>330000</v>
      </c>
      <c r="H52" s="53" t="s">
        <v>25</v>
      </c>
      <c r="J52" s="30" t="e" cm="1">
        <f t="array" ref="J52">INDEX('[1]Container List'!$G$18:$G$318,MATCH(C52,'[1]Container List'!$C$18:$C$318,0),0)</f>
        <v>#N/A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1:22" s="29" customFormat="1" ht="18" customHeight="1" x14ac:dyDescent="0.25">
      <c r="A53" s="40">
        <v>43</v>
      </c>
      <c r="B53" s="54">
        <v>46051</v>
      </c>
      <c r="C53" s="53" t="s">
        <v>486</v>
      </c>
      <c r="D53" s="53">
        <v>40</v>
      </c>
      <c r="E53" s="53" t="s">
        <v>20</v>
      </c>
      <c r="F53" s="53" t="s">
        <v>31</v>
      </c>
      <c r="G53" s="45">
        <v>330000</v>
      </c>
      <c r="H53" s="53" t="s">
        <v>334</v>
      </c>
      <c r="J53" s="30" t="e" cm="1">
        <f t="array" ref="J53">INDEX('[1]Container List'!$G$18:$G$318,MATCH(C53,'[1]Container List'!$C$18:$C$318,0),0)</f>
        <v>#N/A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1:22" s="29" customFormat="1" ht="18" customHeight="1" x14ac:dyDescent="0.25">
      <c r="A54" s="40">
        <v>44</v>
      </c>
      <c r="B54" s="54">
        <v>46051</v>
      </c>
      <c r="C54" s="53" t="s">
        <v>487</v>
      </c>
      <c r="D54" s="53">
        <v>40</v>
      </c>
      <c r="E54" s="53" t="s">
        <v>20</v>
      </c>
      <c r="F54" s="53" t="s">
        <v>31</v>
      </c>
      <c r="G54" s="45">
        <v>330000</v>
      </c>
      <c r="H54" s="53" t="s">
        <v>334</v>
      </c>
      <c r="J54" s="30" t="e" cm="1">
        <f t="array" ref="J54">INDEX('[1]Container List'!$G$18:$G$318,MATCH(C54,'[1]Container List'!$C$18:$C$318,0),0)</f>
        <v>#N/A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s="29" customFormat="1" ht="18" customHeight="1" x14ac:dyDescent="0.25">
      <c r="A55" s="40">
        <v>45</v>
      </c>
      <c r="B55" s="54">
        <v>46051</v>
      </c>
      <c r="C55" s="53" t="s">
        <v>488</v>
      </c>
      <c r="D55" s="53">
        <v>40</v>
      </c>
      <c r="E55" s="53" t="s">
        <v>20</v>
      </c>
      <c r="F55" s="53" t="s">
        <v>31</v>
      </c>
      <c r="G55" s="45">
        <v>330000</v>
      </c>
      <c r="H55" s="53" t="s">
        <v>334</v>
      </c>
      <c r="J55" s="30" t="e" cm="1">
        <f t="array" ref="J55">INDEX('[1]Container List'!$G$18:$G$318,MATCH(C55,'[1]Container List'!$C$18:$C$318,0),0)</f>
        <v>#N/A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1:22" s="29" customFormat="1" ht="18" customHeight="1" x14ac:dyDescent="0.25">
      <c r="A56" s="40">
        <v>46</v>
      </c>
      <c r="B56" s="54">
        <v>46051</v>
      </c>
      <c r="C56" s="53" t="s">
        <v>489</v>
      </c>
      <c r="D56" s="53">
        <v>40</v>
      </c>
      <c r="E56" s="53" t="s">
        <v>20</v>
      </c>
      <c r="F56" s="53" t="s">
        <v>31</v>
      </c>
      <c r="G56" s="45">
        <v>330000</v>
      </c>
      <c r="H56" s="53" t="s">
        <v>334</v>
      </c>
      <c r="J56" s="30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1:22" s="29" customFormat="1" ht="18" customHeight="1" x14ac:dyDescent="0.25">
      <c r="A57" s="40">
        <v>47</v>
      </c>
      <c r="B57" s="54">
        <v>46051</v>
      </c>
      <c r="C57" s="53" t="s">
        <v>555</v>
      </c>
      <c r="D57" s="53">
        <v>20</v>
      </c>
      <c r="E57" s="53" t="s">
        <v>20</v>
      </c>
      <c r="F57" s="53" t="s">
        <v>31</v>
      </c>
      <c r="G57" s="45">
        <v>175000</v>
      </c>
      <c r="H57" s="53" t="s">
        <v>334</v>
      </c>
      <c r="J57" s="3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1:22" s="29" customFormat="1" ht="18" customHeight="1" x14ac:dyDescent="0.25">
      <c r="A58" s="40">
        <v>48</v>
      </c>
      <c r="B58" s="54">
        <v>46051</v>
      </c>
      <c r="C58" s="53" t="s">
        <v>554</v>
      </c>
      <c r="D58" s="53">
        <v>20</v>
      </c>
      <c r="E58" s="53" t="s">
        <v>20</v>
      </c>
      <c r="F58" s="53" t="s">
        <v>31</v>
      </c>
      <c r="G58" s="45">
        <v>175000</v>
      </c>
      <c r="H58" s="53" t="s">
        <v>334</v>
      </c>
      <c r="J58" s="30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1:22" s="29" customFormat="1" ht="18" customHeight="1" x14ac:dyDescent="0.25">
      <c r="A59" s="40">
        <v>49</v>
      </c>
      <c r="B59" s="54">
        <v>46052</v>
      </c>
      <c r="C59" s="53" t="s">
        <v>458</v>
      </c>
      <c r="D59" s="53">
        <v>20</v>
      </c>
      <c r="E59" s="53" t="s">
        <v>20</v>
      </c>
      <c r="F59" s="53" t="s">
        <v>459</v>
      </c>
      <c r="G59" s="45">
        <v>175000</v>
      </c>
      <c r="H59" s="53" t="s">
        <v>552</v>
      </c>
      <c r="J59" s="3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2" s="29" customFormat="1" ht="18" customHeight="1" x14ac:dyDescent="0.25">
      <c r="A60" s="40">
        <v>50</v>
      </c>
      <c r="B60" s="54">
        <v>46052</v>
      </c>
      <c r="C60" s="53" t="s">
        <v>460</v>
      </c>
      <c r="D60" s="53">
        <v>20</v>
      </c>
      <c r="E60" s="53" t="s">
        <v>20</v>
      </c>
      <c r="F60" s="53" t="s">
        <v>459</v>
      </c>
      <c r="G60" s="45">
        <v>175000</v>
      </c>
      <c r="H60" s="53" t="s">
        <v>552</v>
      </c>
      <c r="J60" s="3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1:22" s="29" customFormat="1" ht="18" customHeight="1" x14ac:dyDescent="0.25">
      <c r="A61" s="40">
        <v>51</v>
      </c>
      <c r="B61" s="54">
        <v>46052</v>
      </c>
      <c r="C61" s="53" t="s">
        <v>461</v>
      </c>
      <c r="D61" s="53">
        <v>40</v>
      </c>
      <c r="E61" s="53" t="s">
        <v>20</v>
      </c>
      <c r="F61" s="53" t="s">
        <v>459</v>
      </c>
      <c r="G61" s="45">
        <v>330000</v>
      </c>
      <c r="H61" s="53" t="s">
        <v>552</v>
      </c>
      <c r="J61" s="30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s="29" customFormat="1" ht="18" customHeight="1" x14ac:dyDescent="0.25">
      <c r="A62" s="40">
        <v>52</v>
      </c>
      <c r="B62" s="54">
        <v>46052</v>
      </c>
      <c r="C62" s="53" t="s">
        <v>462</v>
      </c>
      <c r="D62" s="53">
        <v>40</v>
      </c>
      <c r="E62" s="53" t="s">
        <v>20</v>
      </c>
      <c r="F62" s="53" t="s">
        <v>459</v>
      </c>
      <c r="G62" s="45">
        <v>330000</v>
      </c>
      <c r="H62" s="53" t="s">
        <v>552</v>
      </c>
      <c r="J62" s="3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2" s="29" customFormat="1" ht="18" customHeight="1" x14ac:dyDescent="0.25">
      <c r="A63" s="40">
        <v>53</v>
      </c>
      <c r="B63" s="54">
        <v>46052</v>
      </c>
      <c r="C63" s="53" t="s">
        <v>463</v>
      </c>
      <c r="D63" s="53">
        <v>40</v>
      </c>
      <c r="E63" s="53" t="s">
        <v>20</v>
      </c>
      <c r="F63" s="53" t="s">
        <v>459</v>
      </c>
      <c r="G63" s="45">
        <v>330000</v>
      </c>
      <c r="H63" s="53" t="s">
        <v>552</v>
      </c>
      <c r="J63" s="30" t="e" cm="1">
        <f t="array" ref="J63">INDEX('[1]Container List'!$G$18:$G$318,MATCH(C63,'[1]Container List'!$C$18:$C$318,0),0)</f>
        <v>#N/A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2" s="29" customFormat="1" ht="18" customHeight="1" x14ac:dyDescent="0.25">
      <c r="A64" s="40">
        <v>54</v>
      </c>
      <c r="B64" s="54">
        <v>46052</v>
      </c>
      <c r="C64" s="53" t="s">
        <v>464</v>
      </c>
      <c r="D64" s="53">
        <v>40</v>
      </c>
      <c r="E64" s="53" t="s">
        <v>20</v>
      </c>
      <c r="F64" s="53" t="s">
        <v>459</v>
      </c>
      <c r="G64" s="45">
        <v>330000</v>
      </c>
      <c r="H64" s="53" t="s">
        <v>552</v>
      </c>
      <c r="J64" s="30" t="e" cm="1">
        <f t="array" ref="J64">INDEX('[1]Container List'!$G$18:$G$318,MATCH(C64,'[1]Container List'!$C$18:$C$318,0),0)</f>
        <v>#N/A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s="29" customFormat="1" ht="18" customHeight="1" x14ac:dyDescent="0.25">
      <c r="A65" s="40">
        <v>55</v>
      </c>
      <c r="B65" s="54">
        <v>46052</v>
      </c>
      <c r="C65" s="53" t="s">
        <v>465</v>
      </c>
      <c r="D65" s="53">
        <v>40</v>
      </c>
      <c r="E65" s="53" t="s">
        <v>20</v>
      </c>
      <c r="F65" s="53" t="s">
        <v>459</v>
      </c>
      <c r="G65" s="45">
        <v>330000</v>
      </c>
      <c r="H65" s="53" t="s">
        <v>552</v>
      </c>
      <c r="J65" s="30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s="29" customFormat="1" ht="18" customHeight="1" x14ac:dyDescent="0.25">
      <c r="A66" s="40">
        <v>56</v>
      </c>
      <c r="B66" s="54">
        <v>46052</v>
      </c>
      <c r="C66" s="53" t="s">
        <v>466</v>
      </c>
      <c r="D66" s="53">
        <v>40</v>
      </c>
      <c r="E66" s="53" t="s">
        <v>20</v>
      </c>
      <c r="F66" s="53" t="s">
        <v>31</v>
      </c>
      <c r="G66" s="45">
        <v>330000</v>
      </c>
      <c r="H66" s="53" t="s">
        <v>35</v>
      </c>
      <c r="J66" s="3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s="29" customFormat="1" ht="18" customHeight="1" x14ac:dyDescent="0.25">
      <c r="A67" s="40">
        <v>57</v>
      </c>
      <c r="B67" s="54">
        <v>46052</v>
      </c>
      <c r="C67" s="53" t="s">
        <v>467</v>
      </c>
      <c r="D67" s="53">
        <v>40</v>
      </c>
      <c r="E67" s="53" t="s">
        <v>20</v>
      </c>
      <c r="F67" s="53" t="s">
        <v>31</v>
      </c>
      <c r="G67" s="45">
        <v>330000</v>
      </c>
      <c r="H67" s="53" t="s">
        <v>30</v>
      </c>
      <c r="J67" s="30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s="29" customFormat="1" ht="18" customHeight="1" x14ac:dyDescent="0.25">
      <c r="A68" s="40">
        <v>58</v>
      </c>
      <c r="B68" s="54">
        <v>46052</v>
      </c>
      <c r="C68" s="53" t="s">
        <v>468</v>
      </c>
      <c r="D68" s="53">
        <v>40</v>
      </c>
      <c r="E68" s="53" t="s">
        <v>20</v>
      </c>
      <c r="F68" s="53" t="s">
        <v>31</v>
      </c>
      <c r="G68" s="45">
        <v>330000</v>
      </c>
      <c r="H68" s="53" t="s">
        <v>30</v>
      </c>
      <c r="J68" s="3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s="29" customFormat="1" ht="18" customHeight="1" x14ac:dyDescent="0.25">
      <c r="A69" s="40">
        <v>59</v>
      </c>
      <c r="B69" s="54">
        <v>46052</v>
      </c>
      <c r="C69" s="53" t="s">
        <v>469</v>
      </c>
      <c r="D69" s="53">
        <v>40</v>
      </c>
      <c r="E69" s="53" t="s">
        <v>20</v>
      </c>
      <c r="F69" s="53" t="s">
        <v>31</v>
      </c>
      <c r="G69" s="45">
        <v>330000</v>
      </c>
      <c r="H69" s="53" t="s">
        <v>30</v>
      </c>
      <c r="J69" s="30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s="29" customFormat="1" ht="18" customHeight="1" x14ac:dyDescent="0.25">
      <c r="A70" s="40">
        <v>60</v>
      </c>
      <c r="B70" s="54">
        <v>46052</v>
      </c>
      <c r="C70" s="53" t="s">
        <v>472</v>
      </c>
      <c r="D70" s="53">
        <v>40</v>
      </c>
      <c r="E70" s="53" t="s">
        <v>20</v>
      </c>
      <c r="F70" s="53" t="s">
        <v>31</v>
      </c>
      <c r="G70" s="45">
        <v>330000</v>
      </c>
      <c r="H70" s="53" t="s">
        <v>334</v>
      </c>
      <c r="J70" s="30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s="29" customFormat="1" ht="18" customHeight="1" x14ac:dyDescent="0.25">
      <c r="A71" s="40">
        <v>61</v>
      </c>
      <c r="B71" s="54">
        <v>46052</v>
      </c>
      <c r="C71" s="53" t="s">
        <v>557</v>
      </c>
      <c r="D71" s="53">
        <v>20</v>
      </c>
      <c r="E71" s="53" t="s">
        <v>20</v>
      </c>
      <c r="F71" s="53" t="s">
        <v>31</v>
      </c>
      <c r="G71" s="45">
        <v>175000</v>
      </c>
      <c r="H71" s="53" t="s">
        <v>334</v>
      </c>
      <c r="J71" s="3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s="29" customFormat="1" ht="18" customHeight="1" x14ac:dyDescent="0.25">
      <c r="A72" s="40">
        <v>62</v>
      </c>
      <c r="B72" s="54">
        <v>46052</v>
      </c>
      <c r="C72" s="53" t="s">
        <v>556</v>
      </c>
      <c r="D72" s="53">
        <v>20</v>
      </c>
      <c r="E72" s="53" t="s">
        <v>20</v>
      </c>
      <c r="F72" s="53" t="s">
        <v>31</v>
      </c>
      <c r="G72" s="45">
        <v>175000</v>
      </c>
      <c r="H72" s="53" t="s">
        <v>334</v>
      </c>
      <c r="J72" s="3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s="29" customFormat="1" ht="18" customHeight="1" x14ac:dyDescent="0.25">
      <c r="A73" s="40">
        <v>63</v>
      </c>
      <c r="B73" s="54">
        <v>46052</v>
      </c>
      <c r="C73" s="53" t="s">
        <v>473</v>
      </c>
      <c r="D73" s="53">
        <v>40</v>
      </c>
      <c r="E73" s="53" t="s">
        <v>20</v>
      </c>
      <c r="F73" s="53" t="s">
        <v>31</v>
      </c>
      <c r="G73" s="45">
        <v>330000</v>
      </c>
      <c r="H73" s="53" t="s">
        <v>334</v>
      </c>
      <c r="J73" s="3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s="29" customFormat="1" ht="18" customHeight="1" x14ac:dyDescent="0.25">
      <c r="A74" s="40">
        <v>64</v>
      </c>
      <c r="B74" s="54">
        <v>46052</v>
      </c>
      <c r="C74" s="53" t="s">
        <v>474</v>
      </c>
      <c r="D74" s="53">
        <v>40</v>
      </c>
      <c r="E74" s="53" t="s">
        <v>20</v>
      </c>
      <c r="F74" s="53" t="s">
        <v>31</v>
      </c>
      <c r="G74" s="45">
        <v>330000</v>
      </c>
      <c r="H74" s="53" t="s">
        <v>334</v>
      </c>
      <c r="J74" s="30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s="29" customFormat="1" ht="18" customHeight="1" x14ac:dyDescent="0.25">
      <c r="A75" s="40">
        <v>65</v>
      </c>
      <c r="B75" s="54">
        <v>46052</v>
      </c>
      <c r="C75" s="53" t="s">
        <v>475</v>
      </c>
      <c r="D75" s="53">
        <v>40</v>
      </c>
      <c r="E75" s="53" t="s">
        <v>20</v>
      </c>
      <c r="F75" s="53" t="s">
        <v>476</v>
      </c>
      <c r="G75" s="45">
        <v>356000</v>
      </c>
      <c r="H75" s="53" t="s">
        <v>334</v>
      </c>
      <c r="J75" s="30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s="29" customFormat="1" ht="18" customHeight="1" x14ac:dyDescent="0.25">
      <c r="A76" s="40">
        <v>66</v>
      </c>
      <c r="B76" s="54">
        <v>46052</v>
      </c>
      <c r="C76" s="53" t="s">
        <v>477</v>
      </c>
      <c r="D76" s="53">
        <v>40</v>
      </c>
      <c r="E76" s="53" t="s">
        <v>20</v>
      </c>
      <c r="F76" s="53" t="s">
        <v>476</v>
      </c>
      <c r="G76" s="45">
        <v>356000</v>
      </c>
      <c r="H76" s="53" t="s">
        <v>334</v>
      </c>
      <c r="J76" s="30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s="29" customFormat="1" ht="18" customHeight="1" x14ac:dyDescent="0.25">
      <c r="A77" s="40">
        <v>67</v>
      </c>
      <c r="B77" s="54">
        <v>46052</v>
      </c>
      <c r="C77" s="53" t="s">
        <v>478</v>
      </c>
      <c r="D77" s="53">
        <v>40</v>
      </c>
      <c r="E77" s="53" t="s">
        <v>20</v>
      </c>
      <c r="F77" s="53" t="s">
        <v>476</v>
      </c>
      <c r="G77" s="45">
        <v>356000</v>
      </c>
      <c r="H77" s="53" t="s">
        <v>334</v>
      </c>
      <c r="J77" s="30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s="29" customFormat="1" ht="18" customHeight="1" x14ac:dyDescent="0.25">
      <c r="A78" s="40">
        <v>68</v>
      </c>
      <c r="B78" s="54">
        <v>46052</v>
      </c>
      <c r="C78" s="53" t="s">
        <v>479</v>
      </c>
      <c r="D78" s="53">
        <v>40</v>
      </c>
      <c r="E78" s="53" t="s">
        <v>20</v>
      </c>
      <c r="F78" s="53" t="s">
        <v>476</v>
      </c>
      <c r="G78" s="45">
        <v>356000</v>
      </c>
      <c r="H78" s="53" t="s">
        <v>334</v>
      </c>
      <c r="J78" s="30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s="29" customFormat="1" ht="18" customHeight="1" x14ac:dyDescent="0.25">
      <c r="A79" s="40">
        <v>69</v>
      </c>
      <c r="B79" s="54">
        <v>46052</v>
      </c>
      <c r="C79" s="44" t="s">
        <v>502</v>
      </c>
      <c r="D79" s="53">
        <v>40</v>
      </c>
      <c r="E79" s="53" t="s">
        <v>20</v>
      </c>
      <c r="F79" s="53" t="s">
        <v>31</v>
      </c>
      <c r="G79" s="45">
        <v>330000</v>
      </c>
      <c r="H79" s="53" t="s">
        <v>296</v>
      </c>
      <c r="J79" s="30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s="29" customFormat="1" ht="18" customHeight="1" x14ac:dyDescent="0.25">
      <c r="A80" s="40">
        <v>70</v>
      </c>
      <c r="B80" s="54">
        <v>46052</v>
      </c>
      <c r="C80" s="44" t="s">
        <v>503</v>
      </c>
      <c r="D80" s="53">
        <v>40</v>
      </c>
      <c r="E80" s="53" t="s">
        <v>20</v>
      </c>
      <c r="F80" s="53" t="s">
        <v>31</v>
      </c>
      <c r="G80" s="45">
        <v>330000</v>
      </c>
      <c r="H80" s="53" t="s">
        <v>296</v>
      </c>
      <c r="J80" s="3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s="29" customFormat="1" ht="18" customHeight="1" x14ac:dyDescent="0.25">
      <c r="A81" s="40">
        <v>71</v>
      </c>
      <c r="B81" s="54">
        <v>46052</v>
      </c>
      <c r="C81" s="44" t="s">
        <v>504</v>
      </c>
      <c r="D81" s="53">
        <v>40</v>
      </c>
      <c r="E81" s="53" t="s">
        <v>20</v>
      </c>
      <c r="F81" s="53" t="s">
        <v>31</v>
      </c>
      <c r="G81" s="45">
        <v>330000</v>
      </c>
      <c r="H81" s="53" t="s">
        <v>296</v>
      </c>
      <c r="J81" s="30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s="29" customFormat="1" ht="18" customHeight="1" x14ac:dyDescent="0.25">
      <c r="A82" s="40">
        <v>72</v>
      </c>
      <c r="B82" s="54">
        <v>46052</v>
      </c>
      <c r="C82" s="44" t="s">
        <v>505</v>
      </c>
      <c r="D82" s="53">
        <v>20</v>
      </c>
      <c r="E82" s="53" t="s">
        <v>20</v>
      </c>
      <c r="F82" s="53" t="s">
        <v>31</v>
      </c>
      <c r="G82" s="45">
        <v>175000</v>
      </c>
      <c r="H82" s="53" t="s">
        <v>296</v>
      </c>
      <c r="J82" s="3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s="29" customFormat="1" ht="18" customHeight="1" x14ac:dyDescent="0.25">
      <c r="A83" s="40">
        <v>73</v>
      </c>
      <c r="B83" s="54">
        <v>46052</v>
      </c>
      <c r="C83" s="53" t="s">
        <v>506</v>
      </c>
      <c r="D83" s="53">
        <v>20</v>
      </c>
      <c r="E83" s="53" t="s">
        <v>20</v>
      </c>
      <c r="F83" s="53" t="s">
        <v>31</v>
      </c>
      <c r="G83" s="45">
        <v>175000</v>
      </c>
      <c r="H83" s="53" t="s">
        <v>296</v>
      </c>
      <c r="J83" s="30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s="29" customFormat="1" ht="18" customHeight="1" x14ac:dyDescent="0.25">
      <c r="A84" s="40">
        <v>74</v>
      </c>
      <c r="B84" s="54">
        <v>46052</v>
      </c>
      <c r="C84" s="53" t="s">
        <v>544</v>
      </c>
      <c r="D84" s="53">
        <v>40</v>
      </c>
      <c r="E84" s="53" t="s">
        <v>20</v>
      </c>
      <c r="F84" s="53" t="s">
        <v>31</v>
      </c>
      <c r="G84" s="45">
        <v>330000</v>
      </c>
      <c r="H84" s="53" t="s">
        <v>28</v>
      </c>
      <c r="J84" s="3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s="29" customFormat="1" ht="18" customHeight="1" x14ac:dyDescent="0.25">
      <c r="A85" s="40">
        <v>75</v>
      </c>
      <c r="B85" s="54">
        <v>46052</v>
      </c>
      <c r="C85" s="53" t="s">
        <v>170</v>
      </c>
      <c r="D85" s="116">
        <v>40</v>
      </c>
      <c r="E85" s="53" t="s">
        <v>20</v>
      </c>
      <c r="F85" s="116" t="s">
        <v>31</v>
      </c>
      <c r="G85" s="119">
        <v>330000</v>
      </c>
      <c r="H85" s="53" t="s">
        <v>28</v>
      </c>
      <c r="J85" s="30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s="29" customFormat="1" ht="18" customHeight="1" x14ac:dyDescent="0.25">
      <c r="A86" s="40">
        <v>76</v>
      </c>
      <c r="B86" s="54">
        <v>46052</v>
      </c>
      <c r="C86" s="53" t="s">
        <v>545</v>
      </c>
      <c r="D86" s="116">
        <v>40</v>
      </c>
      <c r="E86" s="53" t="s">
        <v>20</v>
      </c>
      <c r="F86" s="116" t="s">
        <v>31</v>
      </c>
      <c r="G86" s="45">
        <v>330000</v>
      </c>
      <c r="H86" s="53" t="s">
        <v>28</v>
      </c>
      <c r="J86" s="3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s="29" customFormat="1" ht="18" customHeight="1" x14ac:dyDescent="0.25">
      <c r="A87" s="40">
        <v>77</v>
      </c>
      <c r="B87" s="54">
        <v>46053</v>
      </c>
      <c r="C87" s="53" t="s">
        <v>457</v>
      </c>
      <c r="D87" s="53">
        <v>40</v>
      </c>
      <c r="E87" s="53" t="s">
        <v>20</v>
      </c>
      <c r="F87" s="53" t="s">
        <v>31</v>
      </c>
      <c r="G87" s="45">
        <v>330000</v>
      </c>
      <c r="H87" s="53" t="s">
        <v>552</v>
      </c>
      <c r="J87" s="3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s="29" customFormat="1" ht="18" customHeight="1" x14ac:dyDescent="0.25">
      <c r="A88" s="40">
        <v>78</v>
      </c>
      <c r="B88" s="54">
        <v>46053</v>
      </c>
      <c r="C88" s="53" t="s">
        <v>470</v>
      </c>
      <c r="D88" s="53">
        <v>40</v>
      </c>
      <c r="E88" s="53" t="s">
        <v>20</v>
      </c>
      <c r="F88" s="53" t="s">
        <v>471</v>
      </c>
      <c r="G88" s="45">
        <v>358000</v>
      </c>
      <c r="H88" s="53" t="s">
        <v>30</v>
      </c>
      <c r="J88" s="3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s="29" customFormat="1" ht="18" customHeight="1" x14ac:dyDescent="0.25">
      <c r="A89" s="40">
        <v>79</v>
      </c>
      <c r="B89" s="54">
        <v>46053</v>
      </c>
      <c r="C89" s="53" t="s">
        <v>480</v>
      </c>
      <c r="D89" s="53">
        <v>40</v>
      </c>
      <c r="E89" s="53" t="s">
        <v>481</v>
      </c>
      <c r="F89" s="53" t="s">
        <v>482</v>
      </c>
      <c r="G89" s="45">
        <v>340000</v>
      </c>
      <c r="H89" s="53" t="s">
        <v>334</v>
      </c>
      <c r="J89" s="30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s="29" customFormat="1" ht="18" customHeight="1" x14ac:dyDescent="0.25">
      <c r="A90" s="40">
        <v>80</v>
      </c>
      <c r="B90" s="54">
        <v>46053</v>
      </c>
      <c r="C90" s="53" t="s">
        <v>483</v>
      </c>
      <c r="D90" s="53">
        <v>40</v>
      </c>
      <c r="E90" s="53" t="s">
        <v>481</v>
      </c>
      <c r="F90" s="53" t="s">
        <v>482</v>
      </c>
      <c r="G90" s="45">
        <v>340000</v>
      </c>
      <c r="H90" s="53" t="s">
        <v>334</v>
      </c>
      <c r="J90" s="30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s="29" customFormat="1" ht="18" customHeight="1" x14ac:dyDescent="0.25">
      <c r="A91" s="40">
        <v>81</v>
      </c>
      <c r="B91" s="54">
        <v>46053</v>
      </c>
      <c r="C91" s="53" t="s">
        <v>484</v>
      </c>
      <c r="D91" s="53">
        <v>40</v>
      </c>
      <c r="E91" s="53" t="s">
        <v>481</v>
      </c>
      <c r="F91" s="53" t="s">
        <v>482</v>
      </c>
      <c r="G91" s="45">
        <v>340000</v>
      </c>
      <c r="H91" s="53" t="s">
        <v>334</v>
      </c>
      <c r="J91" s="30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s="29" customFormat="1" ht="18" customHeight="1" x14ac:dyDescent="0.25">
      <c r="A92" s="40">
        <v>82</v>
      </c>
      <c r="B92" s="54">
        <v>46053</v>
      </c>
      <c r="C92" s="53" t="s">
        <v>485</v>
      </c>
      <c r="D92" s="53">
        <v>40</v>
      </c>
      <c r="E92" s="53" t="s">
        <v>481</v>
      </c>
      <c r="F92" s="53" t="s">
        <v>482</v>
      </c>
      <c r="G92" s="45">
        <v>340000</v>
      </c>
      <c r="H92" s="53" t="s">
        <v>334</v>
      </c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s="29" customFormat="1" ht="18" customHeight="1" x14ac:dyDescent="0.25">
      <c r="A93" s="40">
        <v>83</v>
      </c>
      <c r="B93" s="54">
        <v>46053</v>
      </c>
      <c r="C93" s="53" t="s">
        <v>490</v>
      </c>
      <c r="D93" s="53">
        <v>20</v>
      </c>
      <c r="E93" s="53" t="s">
        <v>481</v>
      </c>
      <c r="F93" s="53" t="s">
        <v>482</v>
      </c>
      <c r="G93" s="45">
        <v>297000</v>
      </c>
      <c r="H93" s="53" t="s">
        <v>16</v>
      </c>
      <c r="J93" s="30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s="29" customFormat="1" ht="18" customHeight="1" x14ac:dyDescent="0.25">
      <c r="A94" s="40">
        <v>84</v>
      </c>
      <c r="B94" s="54">
        <v>46053</v>
      </c>
      <c r="C94" s="53" t="s">
        <v>491</v>
      </c>
      <c r="D94" s="53">
        <v>20</v>
      </c>
      <c r="E94" s="53" t="s">
        <v>481</v>
      </c>
      <c r="F94" s="53" t="s">
        <v>482</v>
      </c>
      <c r="G94" s="45">
        <v>297000</v>
      </c>
      <c r="H94" s="53" t="s">
        <v>16</v>
      </c>
      <c r="J94" s="30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s="29" customFormat="1" ht="18" customHeight="1" x14ac:dyDescent="0.25">
      <c r="A95" s="40">
        <v>85</v>
      </c>
      <c r="B95" s="54">
        <v>46053</v>
      </c>
      <c r="C95" s="53" t="s">
        <v>492</v>
      </c>
      <c r="D95" s="53">
        <v>20</v>
      </c>
      <c r="E95" s="53" t="s">
        <v>481</v>
      </c>
      <c r="F95" s="53" t="s">
        <v>482</v>
      </c>
      <c r="G95" s="45">
        <v>297000</v>
      </c>
      <c r="H95" s="53" t="s">
        <v>16</v>
      </c>
      <c r="J95" s="30" t="e" cm="1">
        <f t="array" ref="J95">INDEX('[1]Container List'!$G$18:$G$318,MATCH(C95,'[1]Container List'!$C$18:$C$318,0),0)</f>
        <v>#N/A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22" s="29" customFormat="1" ht="18" customHeight="1" x14ac:dyDescent="0.25">
      <c r="A96" s="40">
        <v>86</v>
      </c>
      <c r="B96" s="54">
        <v>46053</v>
      </c>
      <c r="C96" s="53" t="s">
        <v>493</v>
      </c>
      <c r="D96" s="53">
        <v>20</v>
      </c>
      <c r="E96" s="53" t="s">
        <v>481</v>
      </c>
      <c r="F96" s="53" t="s">
        <v>482</v>
      </c>
      <c r="G96" s="45">
        <v>297000</v>
      </c>
      <c r="H96" s="53" t="s">
        <v>16</v>
      </c>
      <c r="J96" s="30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s="29" customFormat="1" ht="18" customHeight="1" x14ac:dyDescent="0.25">
      <c r="A97" s="40">
        <v>87</v>
      </c>
      <c r="B97" s="54">
        <v>46053</v>
      </c>
      <c r="C97" s="130" t="s">
        <v>494</v>
      </c>
      <c r="D97" s="53">
        <v>20</v>
      </c>
      <c r="E97" s="53" t="s">
        <v>481</v>
      </c>
      <c r="F97" s="53" t="s">
        <v>482</v>
      </c>
      <c r="G97" s="45">
        <v>297000</v>
      </c>
      <c r="H97" s="53" t="s">
        <v>16</v>
      </c>
      <c r="J97" s="30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s="29" customFormat="1" ht="18" customHeight="1" x14ac:dyDescent="0.25">
      <c r="A98" s="40">
        <v>88</v>
      </c>
      <c r="B98" s="54">
        <v>46053</v>
      </c>
      <c r="C98" s="130" t="s">
        <v>495</v>
      </c>
      <c r="D98" s="53">
        <v>20</v>
      </c>
      <c r="E98" s="53" t="s">
        <v>481</v>
      </c>
      <c r="F98" s="53" t="s">
        <v>482</v>
      </c>
      <c r="G98" s="45">
        <v>297000</v>
      </c>
      <c r="H98" s="53" t="s">
        <v>16</v>
      </c>
      <c r="J98" s="30" t="e" cm="1">
        <f t="array" ref="J98">INDEX('[1]Container List'!$G$18:$G$318,MATCH(C98,'[1]Container List'!$C$18:$C$318,0),0)</f>
        <v>#N/A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s="29" customFormat="1" ht="18" customHeight="1" x14ac:dyDescent="0.25">
      <c r="A99" s="40">
        <v>89</v>
      </c>
      <c r="B99" s="54">
        <v>46053</v>
      </c>
      <c r="C99" s="130" t="s">
        <v>496</v>
      </c>
      <c r="D99" s="53">
        <v>20</v>
      </c>
      <c r="E99" s="53" t="s">
        <v>481</v>
      </c>
      <c r="F99" s="53" t="s">
        <v>482</v>
      </c>
      <c r="G99" s="45">
        <v>297000</v>
      </c>
      <c r="H99" s="53" t="s">
        <v>16</v>
      </c>
      <c r="J99" s="30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s="29" customFormat="1" ht="18" customHeight="1" x14ac:dyDescent="0.25">
      <c r="A100" s="40">
        <v>90</v>
      </c>
      <c r="B100" s="54">
        <v>46053</v>
      </c>
      <c r="C100" s="130" t="s">
        <v>497</v>
      </c>
      <c r="D100" s="53">
        <v>20</v>
      </c>
      <c r="E100" s="53" t="s">
        <v>481</v>
      </c>
      <c r="F100" s="53" t="s">
        <v>482</v>
      </c>
      <c r="G100" s="45">
        <v>297000</v>
      </c>
      <c r="H100" s="53" t="s">
        <v>16</v>
      </c>
      <c r="J100" s="30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s="29" customFormat="1" ht="18" customHeight="1" x14ac:dyDescent="0.25">
      <c r="A101" s="40">
        <v>91</v>
      </c>
      <c r="B101" s="54">
        <v>46053</v>
      </c>
      <c r="C101" s="53" t="s">
        <v>498</v>
      </c>
      <c r="D101" s="53">
        <v>20</v>
      </c>
      <c r="E101" s="53" t="s">
        <v>481</v>
      </c>
      <c r="F101" s="53" t="s">
        <v>482</v>
      </c>
      <c r="G101" s="45">
        <v>297000</v>
      </c>
      <c r="H101" s="53" t="s">
        <v>16</v>
      </c>
      <c r="J101" s="30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s="29" customFormat="1" ht="18" customHeight="1" x14ac:dyDescent="0.25">
      <c r="A102" s="40">
        <v>92</v>
      </c>
      <c r="B102" s="54">
        <v>46053</v>
      </c>
      <c r="C102" s="53" t="s">
        <v>499</v>
      </c>
      <c r="D102" s="53">
        <v>20</v>
      </c>
      <c r="E102" s="53" t="s">
        <v>481</v>
      </c>
      <c r="F102" s="53" t="s">
        <v>482</v>
      </c>
      <c r="G102" s="45">
        <v>297000</v>
      </c>
      <c r="H102" s="53" t="s">
        <v>16</v>
      </c>
      <c r="J102" s="30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s="29" customFormat="1" ht="18" customHeight="1" x14ac:dyDescent="0.25">
      <c r="A103" s="40">
        <v>93</v>
      </c>
      <c r="B103" s="54">
        <v>46053</v>
      </c>
      <c r="C103" s="53" t="s">
        <v>500</v>
      </c>
      <c r="D103" s="53">
        <v>20</v>
      </c>
      <c r="E103" s="53" t="s">
        <v>481</v>
      </c>
      <c r="F103" s="53" t="s">
        <v>482</v>
      </c>
      <c r="G103" s="45">
        <v>297000</v>
      </c>
      <c r="H103" s="53" t="s">
        <v>16</v>
      </c>
      <c r="J103" s="30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s="29" customFormat="1" ht="18" customHeight="1" x14ac:dyDescent="0.25">
      <c r="A104" s="40">
        <v>94</v>
      </c>
      <c r="B104" s="54">
        <v>46053</v>
      </c>
      <c r="C104" s="53" t="s">
        <v>501</v>
      </c>
      <c r="D104" s="53">
        <v>20</v>
      </c>
      <c r="E104" s="53" t="s">
        <v>481</v>
      </c>
      <c r="F104" s="53" t="s">
        <v>482</v>
      </c>
      <c r="G104" s="45">
        <v>297000</v>
      </c>
      <c r="H104" s="53" t="s">
        <v>16</v>
      </c>
      <c r="J104" s="30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s="29" customFormat="1" ht="18" customHeight="1" x14ac:dyDescent="0.25">
      <c r="A105" s="40">
        <v>95</v>
      </c>
      <c r="B105" s="54">
        <v>46053</v>
      </c>
      <c r="C105" s="53" t="s">
        <v>507</v>
      </c>
      <c r="D105" s="53">
        <v>20</v>
      </c>
      <c r="E105" s="53" t="s">
        <v>481</v>
      </c>
      <c r="F105" s="53" t="s">
        <v>482</v>
      </c>
      <c r="G105" s="45">
        <v>297000</v>
      </c>
      <c r="H105" s="53" t="s">
        <v>296</v>
      </c>
      <c r="J105" s="30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s="29" customFormat="1" ht="18" customHeight="1" x14ac:dyDescent="0.25">
      <c r="A106" s="40">
        <v>96</v>
      </c>
      <c r="B106" s="54">
        <v>46053</v>
      </c>
      <c r="C106" s="53" t="s">
        <v>508</v>
      </c>
      <c r="D106" s="53">
        <v>20</v>
      </c>
      <c r="E106" s="53" t="s">
        <v>481</v>
      </c>
      <c r="F106" s="53" t="s">
        <v>482</v>
      </c>
      <c r="G106" s="45">
        <v>297000</v>
      </c>
      <c r="H106" s="53" t="s">
        <v>296</v>
      </c>
      <c r="J106" s="30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s="29" customFormat="1" ht="18" customHeight="1" x14ac:dyDescent="0.25">
      <c r="A107" s="40">
        <v>97</v>
      </c>
      <c r="B107" s="54">
        <v>46053</v>
      </c>
      <c r="C107" s="53" t="s">
        <v>509</v>
      </c>
      <c r="D107" s="53">
        <v>40</v>
      </c>
      <c r="E107" s="53" t="s">
        <v>481</v>
      </c>
      <c r="F107" s="53" t="s">
        <v>482</v>
      </c>
      <c r="G107" s="45">
        <v>340000</v>
      </c>
      <c r="H107" s="53" t="s">
        <v>296</v>
      </c>
      <c r="J107" s="30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s="29" customFormat="1" ht="18" customHeight="1" x14ac:dyDescent="0.25">
      <c r="A108" s="40">
        <v>98</v>
      </c>
      <c r="B108" s="54">
        <v>46053</v>
      </c>
      <c r="C108" s="53" t="s">
        <v>510</v>
      </c>
      <c r="D108" s="53">
        <v>40</v>
      </c>
      <c r="E108" s="53" t="s">
        <v>481</v>
      </c>
      <c r="F108" s="53" t="s">
        <v>482</v>
      </c>
      <c r="G108" s="45">
        <v>340000</v>
      </c>
      <c r="H108" s="53" t="s">
        <v>296</v>
      </c>
      <c r="J108" s="30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s="29" customFormat="1" ht="18" customHeight="1" x14ac:dyDescent="0.25">
      <c r="A109" s="40">
        <v>99</v>
      </c>
      <c r="B109" s="54">
        <v>46053</v>
      </c>
      <c r="C109" s="53" t="s">
        <v>511</v>
      </c>
      <c r="D109" s="53">
        <v>40</v>
      </c>
      <c r="E109" s="53" t="s">
        <v>481</v>
      </c>
      <c r="F109" s="53" t="s">
        <v>482</v>
      </c>
      <c r="G109" s="45">
        <v>340000</v>
      </c>
      <c r="H109" s="53" t="s">
        <v>296</v>
      </c>
      <c r="J109" s="30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s="29" customFormat="1" ht="18" customHeight="1" x14ac:dyDescent="0.25">
      <c r="A110" s="40">
        <v>100</v>
      </c>
      <c r="B110" s="54">
        <v>46053</v>
      </c>
      <c r="C110" s="53" t="s">
        <v>512</v>
      </c>
      <c r="D110" s="53">
        <v>40</v>
      </c>
      <c r="E110" s="53" t="s">
        <v>20</v>
      </c>
      <c r="F110" s="53" t="s">
        <v>31</v>
      </c>
      <c r="G110" s="45">
        <v>330000</v>
      </c>
      <c r="H110" s="53" t="s">
        <v>296</v>
      </c>
      <c r="J110" s="30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s="29" customFormat="1" ht="18" customHeight="1" x14ac:dyDescent="0.25">
      <c r="A111" s="40">
        <v>101</v>
      </c>
      <c r="B111" s="54">
        <v>46053</v>
      </c>
      <c r="C111" s="130" t="s">
        <v>513</v>
      </c>
      <c r="D111" s="53">
        <v>40</v>
      </c>
      <c r="E111" s="53" t="s">
        <v>20</v>
      </c>
      <c r="F111" s="53" t="s">
        <v>31</v>
      </c>
      <c r="G111" s="45">
        <v>330000</v>
      </c>
      <c r="H111" s="53" t="s">
        <v>296</v>
      </c>
      <c r="J111" s="30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s="29" customFormat="1" ht="18" customHeight="1" x14ac:dyDescent="0.25">
      <c r="A112" s="40">
        <v>102</v>
      </c>
      <c r="B112" s="54">
        <v>46053</v>
      </c>
      <c r="C112" s="130" t="s">
        <v>514</v>
      </c>
      <c r="D112" s="53">
        <v>40</v>
      </c>
      <c r="E112" s="53" t="s">
        <v>20</v>
      </c>
      <c r="F112" s="53" t="s">
        <v>515</v>
      </c>
      <c r="G112" s="45">
        <v>358000</v>
      </c>
      <c r="H112" s="53" t="s">
        <v>296</v>
      </c>
      <c r="J112" s="30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s="29" customFormat="1" ht="18" customHeight="1" x14ac:dyDescent="0.25">
      <c r="A113" s="40">
        <v>103</v>
      </c>
      <c r="B113" s="54">
        <v>46053</v>
      </c>
      <c r="C113" s="130" t="s">
        <v>516</v>
      </c>
      <c r="D113" s="53">
        <v>40</v>
      </c>
      <c r="E113" s="53" t="s">
        <v>20</v>
      </c>
      <c r="F113" s="53" t="s">
        <v>515</v>
      </c>
      <c r="G113" s="45">
        <v>358000</v>
      </c>
      <c r="H113" s="53" t="s">
        <v>296</v>
      </c>
      <c r="J113" s="30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s="29" customFormat="1" ht="18" customHeight="1" x14ac:dyDescent="0.25">
      <c r="A114" s="40">
        <v>104</v>
      </c>
      <c r="B114" s="54">
        <v>46053</v>
      </c>
      <c r="C114" s="44" t="s">
        <v>517</v>
      </c>
      <c r="D114" s="53">
        <v>40</v>
      </c>
      <c r="E114" s="53" t="s">
        <v>20</v>
      </c>
      <c r="F114" s="53" t="s">
        <v>518</v>
      </c>
      <c r="G114" s="45">
        <v>356000</v>
      </c>
      <c r="H114" s="53" t="s">
        <v>23</v>
      </c>
      <c r="J114" s="30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s="29" customFormat="1" ht="18" customHeight="1" x14ac:dyDescent="0.25">
      <c r="A115" s="40">
        <v>105</v>
      </c>
      <c r="B115" s="54">
        <v>46053</v>
      </c>
      <c r="C115" s="44" t="s">
        <v>519</v>
      </c>
      <c r="D115" s="53">
        <v>40</v>
      </c>
      <c r="E115" s="53" t="s">
        <v>20</v>
      </c>
      <c r="F115" s="53" t="s">
        <v>518</v>
      </c>
      <c r="G115" s="45">
        <v>356000</v>
      </c>
      <c r="H115" s="53" t="s">
        <v>23</v>
      </c>
      <c r="J115" s="30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s="29" customFormat="1" ht="18" customHeight="1" x14ac:dyDescent="0.25">
      <c r="A116" s="40">
        <v>106</v>
      </c>
      <c r="B116" s="54">
        <v>46053</v>
      </c>
      <c r="C116" s="44" t="s">
        <v>520</v>
      </c>
      <c r="D116" s="53">
        <v>40</v>
      </c>
      <c r="E116" s="53" t="s">
        <v>20</v>
      </c>
      <c r="F116" s="53" t="s">
        <v>518</v>
      </c>
      <c r="G116" s="45">
        <v>356000</v>
      </c>
      <c r="H116" s="53" t="s">
        <v>23</v>
      </c>
      <c r="J116" s="30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s="29" customFormat="1" ht="18" customHeight="1" x14ac:dyDescent="0.25">
      <c r="A117" s="40">
        <v>107</v>
      </c>
      <c r="B117" s="54">
        <v>46053</v>
      </c>
      <c r="C117" s="53" t="s">
        <v>521</v>
      </c>
      <c r="D117" s="53">
        <v>40</v>
      </c>
      <c r="E117" s="53" t="s">
        <v>20</v>
      </c>
      <c r="F117" s="53" t="s">
        <v>518</v>
      </c>
      <c r="G117" s="45">
        <v>356000</v>
      </c>
      <c r="H117" s="53" t="s">
        <v>23</v>
      </c>
      <c r="J117" s="30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s="29" customFormat="1" ht="18" customHeight="1" x14ac:dyDescent="0.25">
      <c r="A118" s="40">
        <v>108</v>
      </c>
      <c r="B118" s="54">
        <v>46053</v>
      </c>
      <c r="C118" s="53" t="s">
        <v>522</v>
      </c>
      <c r="D118" s="53">
        <v>40</v>
      </c>
      <c r="E118" s="53" t="s">
        <v>20</v>
      </c>
      <c r="F118" s="53" t="s">
        <v>518</v>
      </c>
      <c r="G118" s="45">
        <v>356000</v>
      </c>
      <c r="H118" s="53" t="s">
        <v>23</v>
      </c>
      <c r="J118" s="30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s="29" customFormat="1" ht="18" customHeight="1" x14ac:dyDescent="0.25">
      <c r="A119" s="40">
        <v>109</v>
      </c>
      <c r="B119" s="54">
        <v>46053</v>
      </c>
      <c r="C119" s="55" t="s">
        <v>523</v>
      </c>
      <c r="D119" s="53">
        <v>20</v>
      </c>
      <c r="E119" s="53" t="s">
        <v>481</v>
      </c>
      <c r="F119" s="53" t="s">
        <v>482</v>
      </c>
      <c r="G119" s="45">
        <v>297000</v>
      </c>
      <c r="H119" s="53" t="s">
        <v>23</v>
      </c>
      <c r="J119" s="30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s="29" customFormat="1" ht="18" customHeight="1" x14ac:dyDescent="0.25">
      <c r="A120" s="40">
        <v>110</v>
      </c>
      <c r="B120" s="54">
        <v>46053</v>
      </c>
      <c r="C120" s="53" t="s">
        <v>524</v>
      </c>
      <c r="D120" s="53">
        <v>20</v>
      </c>
      <c r="E120" s="53" t="s">
        <v>481</v>
      </c>
      <c r="F120" s="53" t="s">
        <v>482</v>
      </c>
      <c r="G120" s="45">
        <v>297000</v>
      </c>
      <c r="H120" s="53" t="s">
        <v>23</v>
      </c>
      <c r="J120" s="30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s="29" customFormat="1" ht="18" customHeight="1" x14ac:dyDescent="0.25">
      <c r="A121" s="40">
        <v>111</v>
      </c>
      <c r="B121" s="54">
        <v>46053</v>
      </c>
      <c r="C121" s="53" t="s">
        <v>525</v>
      </c>
      <c r="D121" s="53">
        <v>20</v>
      </c>
      <c r="E121" s="53" t="s">
        <v>481</v>
      </c>
      <c r="F121" s="53" t="s">
        <v>482</v>
      </c>
      <c r="G121" s="45">
        <v>297000</v>
      </c>
      <c r="H121" s="53" t="s">
        <v>23</v>
      </c>
      <c r="J121" s="30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s="29" customFormat="1" ht="18" customHeight="1" x14ac:dyDescent="0.25">
      <c r="A122" s="40">
        <v>112</v>
      </c>
      <c r="B122" s="54">
        <v>46053</v>
      </c>
      <c r="C122" s="53" t="s">
        <v>526</v>
      </c>
      <c r="D122" s="53">
        <v>20</v>
      </c>
      <c r="E122" s="53" t="s">
        <v>481</v>
      </c>
      <c r="F122" s="53" t="s">
        <v>482</v>
      </c>
      <c r="G122" s="45">
        <v>297000</v>
      </c>
      <c r="H122" s="53" t="s">
        <v>23</v>
      </c>
      <c r="J122" s="30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s="29" customFormat="1" ht="18" customHeight="1" x14ac:dyDescent="0.25">
      <c r="A123" s="40">
        <v>113</v>
      </c>
      <c r="B123" s="54">
        <v>46053</v>
      </c>
      <c r="C123" s="53" t="s">
        <v>527</v>
      </c>
      <c r="D123" s="53">
        <v>20</v>
      </c>
      <c r="E123" s="53" t="s">
        <v>481</v>
      </c>
      <c r="F123" s="53" t="s">
        <v>482</v>
      </c>
      <c r="G123" s="45">
        <v>297000</v>
      </c>
      <c r="H123" s="53" t="s">
        <v>23</v>
      </c>
      <c r="J123" s="30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s="29" customFormat="1" ht="18" customHeight="1" x14ac:dyDescent="0.25">
      <c r="A124" s="40">
        <v>114</v>
      </c>
      <c r="B124" s="54">
        <v>46053</v>
      </c>
      <c r="C124" s="53" t="s">
        <v>528</v>
      </c>
      <c r="D124" s="53">
        <v>20</v>
      </c>
      <c r="E124" s="53" t="s">
        <v>481</v>
      </c>
      <c r="F124" s="53" t="s">
        <v>482</v>
      </c>
      <c r="G124" s="45">
        <v>297000</v>
      </c>
      <c r="H124" s="53" t="s">
        <v>23</v>
      </c>
      <c r="J124" s="30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s="29" customFormat="1" ht="18" customHeight="1" x14ac:dyDescent="0.25">
      <c r="A125" s="40">
        <v>115</v>
      </c>
      <c r="B125" s="54">
        <v>46053</v>
      </c>
      <c r="C125" s="131" t="s">
        <v>529</v>
      </c>
      <c r="D125" s="53">
        <v>40</v>
      </c>
      <c r="E125" s="53" t="s">
        <v>481</v>
      </c>
      <c r="F125" s="53" t="s">
        <v>482</v>
      </c>
      <c r="G125" s="45">
        <v>340000</v>
      </c>
      <c r="H125" s="53" t="s">
        <v>23</v>
      </c>
      <c r="J125" s="30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s="29" customFormat="1" ht="18" customHeight="1" x14ac:dyDescent="0.25">
      <c r="A126" s="40">
        <v>116</v>
      </c>
      <c r="B126" s="54">
        <v>46053</v>
      </c>
      <c r="C126" s="131" t="s">
        <v>530</v>
      </c>
      <c r="D126" s="53">
        <v>20</v>
      </c>
      <c r="E126" s="53" t="s">
        <v>481</v>
      </c>
      <c r="F126" s="53" t="s">
        <v>482</v>
      </c>
      <c r="G126" s="45">
        <v>297000</v>
      </c>
      <c r="H126" s="53" t="s">
        <v>23</v>
      </c>
      <c r="J126" s="30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s="29" customFormat="1" ht="18" customHeight="1" x14ac:dyDescent="0.25">
      <c r="A127" s="40">
        <v>117</v>
      </c>
      <c r="B127" s="54">
        <v>46053</v>
      </c>
      <c r="C127" s="130" t="s">
        <v>531</v>
      </c>
      <c r="D127" s="53">
        <v>20</v>
      </c>
      <c r="E127" s="53" t="s">
        <v>481</v>
      </c>
      <c r="F127" s="53" t="s">
        <v>482</v>
      </c>
      <c r="G127" s="45">
        <v>297000</v>
      </c>
      <c r="H127" s="53" t="s">
        <v>23</v>
      </c>
      <c r="J127" s="30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s="29" customFormat="1" ht="18" customHeight="1" x14ac:dyDescent="0.25">
      <c r="A128" s="40">
        <v>118</v>
      </c>
      <c r="B128" s="54">
        <v>46053</v>
      </c>
      <c r="C128" s="118" t="s">
        <v>532</v>
      </c>
      <c r="D128" s="53">
        <v>40</v>
      </c>
      <c r="E128" s="53" t="s">
        <v>20</v>
      </c>
      <c r="F128" s="53" t="s">
        <v>518</v>
      </c>
      <c r="G128" s="45">
        <v>356000</v>
      </c>
      <c r="H128" s="53" t="s">
        <v>26</v>
      </c>
      <c r="J128" s="30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s="29" customFormat="1" ht="18" customHeight="1" x14ac:dyDescent="0.25">
      <c r="A129" s="40">
        <v>119</v>
      </c>
      <c r="B129" s="54">
        <v>46053</v>
      </c>
      <c r="C129" s="118" t="s">
        <v>533</v>
      </c>
      <c r="D129" s="53">
        <v>40</v>
      </c>
      <c r="E129" s="53" t="s">
        <v>481</v>
      </c>
      <c r="F129" s="53" t="s">
        <v>482</v>
      </c>
      <c r="G129" s="45">
        <v>340000</v>
      </c>
      <c r="H129" s="53" t="s">
        <v>26</v>
      </c>
      <c r="J129" s="30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s="29" customFormat="1" ht="18" customHeight="1" x14ac:dyDescent="0.25">
      <c r="A130" s="40">
        <v>120</v>
      </c>
      <c r="B130" s="54">
        <v>46053</v>
      </c>
      <c r="C130" s="118" t="s">
        <v>534</v>
      </c>
      <c r="D130" s="53">
        <v>40</v>
      </c>
      <c r="E130" s="53" t="s">
        <v>20</v>
      </c>
      <c r="F130" s="53" t="s">
        <v>515</v>
      </c>
      <c r="G130" s="45">
        <v>358000</v>
      </c>
      <c r="H130" s="53" t="s">
        <v>26</v>
      </c>
      <c r="J130" s="30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s="29" customFormat="1" ht="18" customHeight="1" x14ac:dyDescent="0.25">
      <c r="A131" s="40">
        <v>121</v>
      </c>
      <c r="B131" s="54">
        <v>46053</v>
      </c>
      <c r="C131" s="118" t="s">
        <v>535</v>
      </c>
      <c r="D131" s="53">
        <v>40</v>
      </c>
      <c r="E131" s="53" t="s">
        <v>20</v>
      </c>
      <c r="F131" s="53" t="s">
        <v>515</v>
      </c>
      <c r="G131" s="45">
        <v>358000</v>
      </c>
      <c r="H131" s="53" t="s">
        <v>26</v>
      </c>
      <c r="J131" s="30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s="29" customFormat="1" ht="18" customHeight="1" x14ac:dyDescent="0.25">
      <c r="A132" s="40">
        <v>122</v>
      </c>
      <c r="B132" s="54">
        <v>46053</v>
      </c>
      <c r="C132" s="118" t="s">
        <v>536</v>
      </c>
      <c r="D132" s="53">
        <v>40</v>
      </c>
      <c r="E132" s="53" t="s">
        <v>20</v>
      </c>
      <c r="F132" s="53" t="s">
        <v>518</v>
      </c>
      <c r="G132" s="45">
        <v>356000</v>
      </c>
      <c r="H132" s="53" t="s">
        <v>26</v>
      </c>
      <c r="J132" s="30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s="29" customFormat="1" ht="18" customHeight="1" x14ac:dyDescent="0.25">
      <c r="A133" s="40">
        <v>123</v>
      </c>
      <c r="B133" s="54">
        <v>46053</v>
      </c>
      <c r="C133" s="118" t="s">
        <v>537</v>
      </c>
      <c r="D133" s="53">
        <v>40</v>
      </c>
      <c r="E133" s="53" t="s">
        <v>481</v>
      </c>
      <c r="F133" s="53" t="s">
        <v>482</v>
      </c>
      <c r="G133" s="45">
        <v>340000</v>
      </c>
      <c r="H133" s="53" t="s">
        <v>26</v>
      </c>
      <c r="J133" s="30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s="29" customFormat="1" ht="18" customHeight="1" x14ac:dyDescent="0.25">
      <c r="A134" s="40">
        <v>124</v>
      </c>
      <c r="B134" s="54">
        <v>46053</v>
      </c>
      <c r="C134" s="118" t="s">
        <v>538</v>
      </c>
      <c r="D134" s="53">
        <v>40</v>
      </c>
      <c r="E134" s="53" t="s">
        <v>20</v>
      </c>
      <c r="F134" s="53" t="s">
        <v>518</v>
      </c>
      <c r="G134" s="45">
        <v>356000</v>
      </c>
      <c r="H134" s="53" t="s">
        <v>26</v>
      </c>
      <c r="J134" s="30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s="29" customFormat="1" ht="18" customHeight="1" x14ac:dyDescent="0.25">
      <c r="A135" s="40">
        <v>125</v>
      </c>
      <c r="B135" s="54">
        <v>46053</v>
      </c>
      <c r="C135" s="44" t="s">
        <v>539</v>
      </c>
      <c r="D135" s="53">
        <v>40</v>
      </c>
      <c r="E135" s="53" t="s">
        <v>481</v>
      </c>
      <c r="F135" s="53" t="s">
        <v>482</v>
      </c>
      <c r="G135" s="45">
        <v>340000</v>
      </c>
      <c r="H135" s="53" t="s">
        <v>26</v>
      </c>
      <c r="J135" s="30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s="29" customFormat="1" ht="18" customHeight="1" x14ac:dyDescent="0.25">
      <c r="A136" s="40">
        <v>126</v>
      </c>
      <c r="B136" s="54">
        <v>46053</v>
      </c>
      <c r="C136" s="44" t="s">
        <v>540</v>
      </c>
      <c r="D136" s="53">
        <v>40</v>
      </c>
      <c r="E136" s="53" t="s">
        <v>20</v>
      </c>
      <c r="F136" s="53" t="s">
        <v>518</v>
      </c>
      <c r="G136" s="45">
        <v>356000</v>
      </c>
      <c r="H136" s="53" t="s">
        <v>26</v>
      </c>
      <c r="J136" s="30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s="29" customFormat="1" ht="18" customHeight="1" x14ac:dyDescent="0.25">
      <c r="A137" s="40">
        <v>127</v>
      </c>
      <c r="B137" s="54">
        <v>46053</v>
      </c>
      <c r="C137" s="44" t="s">
        <v>541</v>
      </c>
      <c r="D137" s="53">
        <v>40</v>
      </c>
      <c r="E137" s="53" t="s">
        <v>481</v>
      </c>
      <c r="F137" s="53" t="s">
        <v>482</v>
      </c>
      <c r="G137" s="45">
        <v>340000</v>
      </c>
      <c r="H137" s="53" t="s">
        <v>26</v>
      </c>
      <c r="J137" s="30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s="29" customFormat="1" ht="18" customHeight="1" x14ac:dyDescent="0.25">
      <c r="A138" s="40">
        <v>128</v>
      </c>
      <c r="B138" s="54">
        <v>46053</v>
      </c>
      <c r="C138" s="53" t="s">
        <v>542</v>
      </c>
      <c r="D138" s="53">
        <v>40</v>
      </c>
      <c r="E138" s="77" t="s">
        <v>20</v>
      </c>
      <c r="F138" s="53" t="s">
        <v>518</v>
      </c>
      <c r="G138" s="45">
        <v>356000</v>
      </c>
      <c r="H138" s="53" t="s">
        <v>26</v>
      </c>
      <c r="J138" s="30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s="29" customFormat="1" ht="18" customHeight="1" x14ac:dyDescent="0.25">
      <c r="A139" s="40">
        <v>129</v>
      </c>
      <c r="B139" s="54">
        <v>46053</v>
      </c>
      <c r="C139" s="53" t="s">
        <v>543</v>
      </c>
      <c r="D139" s="53">
        <v>40</v>
      </c>
      <c r="E139" s="77" t="s">
        <v>481</v>
      </c>
      <c r="F139" s="53" t="s">
        <v>482</v>
      </c>
      <c r="G139" s="45">
        <v>340000</v>
      </c>
      <c r="H139" s="53" t="s">
        <v>26</v>
      </c>
      <c r="J139" s="30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s="29" customFormat="1" ht="18" customHeight="1" x14ac:dyDescent="0.25">
      <c r="A140" s="40">
        <v>130</v>
      </c>
      <c r="B140" s="54">
        <v>46053</v>
      </c>
      <c r="C140" s="53" t="s">
        <v>546</v>
      </c>
      <c r="D140" s="53">
        <v>40</v>
      </c>
      <c r="E140" s="53" t="s">
        <v>20</v>
      </c>
      <c r="F140" s="53" t="s">
        <v>518</v>
      </c>
      <c r="G140" s="45">
        <v>356000</v>
      </c>
      <c r="H140" s="53" t="s">
        <v>16</v>
      </c>
      <c r="J140" s="30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s="29" customFormat="1" ht="18" customHeight="1" x14ac:dyDescent="0.25">
      <c r="A141" s="40">
        <v>131</v>
      </c>
      <c r="B141" s="54">
        <v>46053</v>
      </c>
      <c r="C141" s="53" t="s">
        <v>547</v>
      </c>
      <c r="D141" s="53">
        <v>40</v>
      </c>
      <c r="E141" s="53" t="s">
        <v>20</v>
      </c>
      <c r="F141" s="53" t="s">
        <v>518</v>
      </c>
      <c r="G141" s="45">
        <v>356000</v>
      </c>
      <c r="H141" s="53" t="s">
        <v>16</v>
      </c>
      <c r="J141" s="30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s="29" customFormat="1" ht="18" customHeight="1" x14ac:dyDescent="0.25">
      <c r="A142" s="40">
        <v>132</v>
      </c>
      <c r="B142" s="54">
        <v>46053</v>
      </c>
      <c r="C142" s="53" t="s">
        <v>548</v>
      </c>
      <c r="D142" s="53">
        <v>40</v>
      </c>
      <c r="E142" s="53" t="s">
        <v>20</v>
      </c>
      <c r="F142" s="53" t="s">
        <v>518</v>
      </c>
      <c r="G142" s="45">
        <v>356000</v>
      </c>
      <c r="H142" s="53" t="s">
        <v>16</v>
      </c>
      <c r="J142" s="30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s="29" customFormat="1" ht="18" customHeight="1" x14ac:dyDescent="0.25">
      <c r="A143" s="40">
        <v>133</v>
      </c>
      <c r="B143" s="54">
        <v>46053</v>
      </c>
      <c r="C143" s="53" t="s">
        <v>549</v>
      </c>
      <c r="D143" s="53">
        <v>40</v>
      </c>
      <c r="E143" s="53" t="s">
        <v>20</v>
      </c>
      <c r="F143" s="53" t="s">
        <v>518</v>
      </c>
      <c r="G143" s="45">
        <v>356000</v>
      </c>
      <c r="H143" s="53" t="s">
        <v>16</v>
      </c>
      <c r="J143" s="30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s="29" customFormat="1" ht="18" customHeight="1" x14ac:dyDescent="0.25">
      <c r="A144" s="40">
        <v>134</v>
      </c>
      <c r="B144" s="54">
        <v>46053</v>
      </c>
      <c r="C144" s="53" t="s">
        <v>550</v>
      </c>
      <c r="D144" s="53">
        <v>40</v>
      </c>
      <c r="E144" s="53" t="s">
        <v>20</v>
      </c>
      <c r="F144" s="53" t="s">
        <v>518</v>
      </c>
      <c r="G144" s="45">
        <v>356000</v>
      </c>
      <c r="H144" s="53" t="s">
        <v>16</v>
      </c>
      <c r="J144" s="30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s="29" customFormat="1" ht="18" customHeight="1" x14ac:dyDescent="0.25">
      <c r="A145" s="40">
        <v>135</v>
      </c>
      <c r="B145" s="54">
        <v>46053</v>
      </c>
      <c r="C145" s="53" t="s">
        <v>551</v>
      </c>
      <c r="D145" s="53">
        <v>40</v>
      </c>
      <c r="E145" s="53" t="s">
        <v>20</v>
      </c>
      <c r="F145" s="53" t="s">
        <v>518</v>
      </c>
      <c r="G145" s="45">
        <v>356000</v>
      </c>
      <c r="H145" s="53" t="s">
        <v>16</v>
      </c>
      <c r="J145" s="30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s="29" customFormat="1" ht="18" customHeight="1" x14ac:dyDescent="0.25">
      <c r="A146" s="40">
        <v>136</v>
      </c>
      <c r="B146" s="54">
        <v>46053</v>
      </c>
      <c r="C146" s="135" t="s">
        <v>629</v>
      </c>
      <c r="D146" s="53">
        <v>40</v>
      </c>
      <c r="E146" s="53" t="s">
        <v>20</v>
      </c>
      <c r="F146" s="53" t="s">
        <v>515</v>
      </c>
      <c r="G146" s="45">
        <v>358000</v>
      </c>
      <c r="H146" s="53" t="s">
        <v>21</v>
      </c>
      <c r="J146" s="30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s="29" customFormat="1" ht="18" customHeight="1" x14ac:dyDescent="0.25">
      <c r="A147" s="40">
        <v>137</v>
      </c>
      <c r="B147" s="54">
        <v>46053</v>
      </c>
      <c r="C147" s="53" t="s">
        <v>630</v>
      </c>
      <c r="D147" s="53">
        <v>40</v>
      </c>
      <c r="E147" s="53" t="s">
        <v>20</v>
      </c>
      <c r="F147" s="53" t="s">
        <v>515</v>
      </c>
      <c r="G147" s="45">
        <v>358000</v>
      </c>
      <c r="H147" s="53" t="s">
        <v>21</v>
      </c>
      <c r="J147" s="30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s="29" customFormat="1" ht="18" customHeight="1" x14ac:dyDescent="0.25">
      <c r="A148" s="40">
        <v>138</v>
      </c>
      <c r="B148" s="54">
        <v>46053</v>
      </c>
      <c r="C148" s="135" t="s">
        <v>631</v>
      </c>
      <c r="D148" s="132">
        <v>40</v>
      </c>
      <c r="E148" s="132" t="s">
        <v>481</v>
      </c>
      <c r="F148" s="53" t="s">
        <v>482</v>
      </c>
      <c r="G148" s="45">
        <v>340000</v>
      </c>
      <c r="H148" s="53" t="s">
        <v>21</v>
      </c>
      <c r="J148" s="30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s="29" customFormat="1" ht="18" customHeight="1" x14ac:dyDescent="0.25">
      <c r="A149" s="40">
        <v>139</v>
      </c>
      <c r="B149" s="54">
        <v>46053</v>
      </c>
      <c r="C149" s="135" t="s">
        <v>632</v>
      </c>
      <c r="D149" s="132">
        <v>40</v>
      </c>
      <c r="E149" s="132" t="s">
        <v>481</v>
      </c>
      <c r="F149" s="53" t="s">
        <v>482</v>
      </c>
      <c r="G149" s="45">
        <v>340000</v>
      </c>
      <c r="H149" s="53" t="s">
        <v>21</v>
      </c>
      <c r="J149" s="30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s="29" customFormat="1" ht="18" customHeight="1" x14ac:dyDescent="0.25">
      <c r="A150" s="40">
        <v>140</v>
      </c>
      <c r="B150" s="54">
        <v>46053</v>
      </c>
      <c r="C150" s="135" t="s">
        <v>633</v>
      </c>
      <c r="D150" s="53">
        <v>40</v>
      </c>
      <c r="E150" s="77" t="s">
        <v>481</v>
      </c>
      <c r="F150" s="53" t="s">
        <v>482</v>
      </c>
      <c r="G150" s="45">
        <v>340000</v>
      </c>
      <c r="H150" s="53" t="s">
        <v>21</v>
      </c>
      <c r="J150" s="30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s="29" customFormat="1" ht="18" customHeight="1" x14ac:dyDescent="0.25">
      <c r="A151" s="40">
        <v>141</v>
      </c>
      <c r="B151" s="54">
        <v>46053</v>
      </c>
      <c r="C151" s="135" t="s">
        <v>634</v>
      </c>
      <c r="D151" s="53">
        <v>40</v>
      </c>
      <c r="E151" s="77" t="s">
        <v>481</v>
      </c>
      <c r="F151" s="53" t="s">
        <v>482</v>
      </c>
      <c r="G151" s="45">
        <v>340000</v>
      </c>
      <c r="H151" s="53" t="s">
        <v>21</v>
      </c>
      <c r="J151" s="30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s="29" customFormat="1" ht="18" customHeight="1" x14ac:dyDescent="0.25">
      <c r="A152" s="40">
        <v>142</v>
      </c>
      <c r="B152" s="54">
        <v>46053</v>
      </c>
      <c r="C152" s="41" t="s">
        <v>635</v>
      </c>
      <c r="D152" s="53">
        <v>20</v>
      </c>
      <c r="E152" s="77" t="s">
        <v>481</v>
      </c>
      <c r="F152" s="53" t="s">
        <v>482</v>
      </c>
      <c r="G152" s="45">
        <v>297000</v>
      </c>
      <c r="H152" s="53" t="s">
        <v>21</v>
      </c>
      <c r="J152" s="30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s="29" customFormat="1" ht="18" customHeight="1" x14ac:dyDescent="0.25">
      <c r="A153" s="40">
        <v>143</v>
      </c>
      <c r="B153" s="54">
        <v>46053</v>
      </c>
      <c r="C153" s="41" t="s">
        <v>636</v>
      </c>
      <c r="D153" s="53">
        <v>20</v>
      </c>
      <c r="E153" s="77" t="s">
        <v>481</v>
      </c>
      <c r="F153" s="53" t="s">
        <v>482</v>
      </c>
      <c r="G153" s="45">
        <v>297000</v>
      </c>
      <c r="H153" s="53" t="s">
        <v>21</v>
      </c>
      <c r="J153" s="30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s="29" customFormat="1" ht="18" customHeight="1" x14ac:dyDescent="0.25">
      <c r="A154" s="40">
        <v>144</v>
      </c>
      <c r="B154" s="54">
        <v>46053</v>
      </c>
      <c r="C154" s="41" t="s">
        <v>637</v>
      </c>
      <c r="D154" s="53">
        <v>20</v>
      </c>
      <c r="E154" s="77" t="s">
        <v>481</v>
      </c>
      <c r="F154" s="53" t="s">
        <v>482</v>
      </c>
      <c r="G154" s="45">
        <v>297000</v>
      </c>
      <c r="H154" s="53" t="s">
        <v>21</v>
      </c>
      <c r="J154" s="30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s="29" customFormat="1" ht="18" customHeight="1" x14ac:dyDescent="0.25">
      <c r="A155" s="40">
        <v>145</v>
      </c>
      <c r="B155" s="54">
        <v>46053</v>
      </c>
      <c r="C155" s="41" t="s">
        <v>638</v>
      </c>
      <c r="D155" s="53">
        <v>20</v>
      </c>
      <c r="E155" s="77" t="s">
        <v>481</v>
      </c>
      <c r="F155" s="53" t="s">
        <v>482</v>
      </c>
      <c r="G155" s="45">
        <v>297000</v>
      </c>
      <c r="H155" s="53" t="s">
        <v>21</v>
      </c>
      <c r="J155" s="30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s="29" customFormat="1" ht="18" customHeight="1" x14ac:dyDescent="0.25">
      <c r="A156" s="40">
        <v>146</v>
      </c>
      <c r="B156" s="54">
        <v>46053</v>
      </c>
      <c r="C156" s="41" t="s">
        <v>639</v>
      </c>
      <c r="D156" s="53">
        <v>20</v>
      </c>
      <c r="E156" s="77" t="s">
        <v>481</v>
      </c>
      <c r="F156" s="53" t="s">
        <v>482</v>
      </c>
      <c r="G156" s="45">
        <v>297000</v>
      </c>
      <c r="H156" s="53" t="s">
        <v>21</v>
      </c>
      <c r="J156" s="30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s="29" customFormat="1" ht="18" customHeight="1" x14ac:dyDescent="0.25">
      <c r="A157" s="40">
        <v>147</v>
      </c>
      <c r="B157" s="54">
        <v>46053</v>
      </c>
      <c r="C157" s="41" t="s">
        <v>640</v>
      </c>
      <c r="D157" s="53">
        <v>20</v>
      </c>
      <c r="E157" s="77" t="s">
        <v>481</v>
      </c>
      <c r="F157" s="53" t="s">
        <v>482</v>
      </c>
      <c r="G157" s="45">
        <v>297000</v>
      </c>
      <c r="H157" s="53" t="s">
        <v>21</v>
      </c>
      <c r="J157" s="30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s="29" customFormat="1" ht="18" customHeight="1" x14ac:dyDescent="0.25">
      <c r="A158" s="40">
        <v>148</v>
      </c>
      <c r="B158" s="54">
        <v>46053</v>
      </c>
      <c r="C158" s="41" t="s">
        <v>641</v>
      </c>
      <c r="D158" s="53">
        <v>40</v>
      </c>
      <c r="E158" s="77" t="s">
        <v>20</v>
      </c>
      <c r="F158" s="53" t="s">
        <v>518</v>
      </c>
      <c r="G158" s="45">
        <v>356000</v>
      </c>
      <c r="H158" s="53" t="s">
        <v>21</v>
      </c>
      <c r="J158" s="30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s="29" customFormat="1" ht="18" customHeight="1" x14ac:dyDescent="0.25">
      <c r="A159" s="40">
        <v>149</v>
      </c>
      <c r="B159" s="54">
        <v>46053</v>
      </c>
      <c r="C159" s="41" t="s">
        <v>642</v>
      </c>
      <c r="D159" s="53">
        <v>40</v>
      </c>
      <c r="E159" s="77" t="s">
        <v>20</v>
      </c>
      <c r="F159" s="53" t="s">
        <v>518</v>
      </c>
      <c r="G159" s="45">
        <v>356000</v>
      </c>
      <c r="H159" s="53" t="s">
        <v>21</v>
      </c>
      <c r="J159" s="30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spans="1:22" s="29" customFormat="1" ht="18" customHeight="1" x14ac:dyDescent="0.25">
      <c r="A160" s="40">
        <v>150</v>
      </c>
      <c r="B160" s="54">
        <v>46053</v>
      </c>
      <c r="C160" s="41" t="s">
        <v>643</v>
      </c>
      <c r="D160" s="53">
        <v>40</v>
      </c>
      <c r="E160" s="77" t="s">
        <v>20</v>
      </c>
      <c r="F160" s="53" t="s">
        <v>518</v>
      </c>
      <c r="G160" s="45">
        <v>356000</v>
      </c>
      <c r="H160" s="53" t="s">
        <v>21</v>
      </c>
      <c r="J160" s="30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s="102" customFormat="1" ht="18" customHeight="1" x14ac:dyDescent="0.25">
      <c r="A161" s="40">
        <v>151</v>
      </c>
      <c r="B161" s="54">
        <v>46053</v>
      </c>
      <c r="C161" s="41" t="s">
        <v>644</v>
      </c>
      <c r="D161" s="53">
        <v>40</v>
      </c>
      <c r="E161" s="77" t="s">
        <v>20</v>
      </c>
      <c r="F161" s="53" t="s">
        <v>518</v>
      </c>
      <c r="G161" s="45">
        <v>356000</v>
      </c>
      <c r="H161" s="53" t="s">
        <v>21</v>
      </c>
      <c r="I161" s="29"/>
      <c r="J161" s="30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</row>
    <row r="162" spans="1:22" s="29" customFormat="1" ht="18" customHeight="1" x14ac:dyDescent="0.25">
      <c r="A162" s="40">
        <v>152</v>
      </c>
      <c r="B162" s="54">
        <v>46053</v>
      </c>
      <c r="C162" s="41" t="s">
        <v>645</v>
      </c>
      <c r="D162" s="53">
        <v>40</v>
      </c>
      <c r="E162" s="77" t="s">
        <v>20</v>
      </c>
      <c r="F162" s="53" t="s">
        <v>518</v>
      </c>
      <c r="G162" s="45">
        <v>356000</v>
      </c>
      <c r="H162" s="53" t="s">
        <v>21</v>
      </c>
      <c r="J162" s="30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s="29" customFormat="1" ht="18" customHeight="1" x14ac:dyDescent="0.25">
      <c r="A163" s="40">
        <v>153</v>
      </c>
      <c r="B163" s="54">
        <v>46053</v>
      </c>
      <c r="C163" s="41" t="s">
        <v>646</v>
      </c>
      <c r="D163" s="53">
        <v>40</v>
      </c>
      <c r="E163" s="77" t="s">
        <v>20</v>
      </c>
      <c r="F163" s="53" t="s">
        <v>518</v>
      </c>
      <c r="G163" s="45">
        <v>356000</v>
      </c>
      <c r="H163" s="53" t="s">
        <v>21</v>
      </c>
      <c r="J163" s="30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s="29" customFormat="1" ht="18" customHeight="1" x14ac:dyDescent="0.25">
      <c r="A164" s="40">
        <v>154</v>
      </c>
      <c r="B164" s="54">
        <v>46053</v>
      </c>
      <c r="C164" s="41" t="s">
        <v>647</v>
      </c>
      <c r="D164" s="53">
        <v>40</v>
      </c>
      <c r="E164" s="77" t="s">
        <v>20</v>
      </c>
      <c r="F164" s="53" t="s">
        <v>518</v>
      </c>
      <c r="G164" s="45">
        <v>356000</v>
      </c>
      <c r="H164" s="53" t="s">
        <v>21</v>
      </c>
      <c r="J164" s="30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s="29" customFormat="1" ht="18" customHeight="1" x14ac:dyDescent="0.25">
      <c r="A165" s="40">
        <v>155</v>
      </c>
      <c r="B165" s="54">
        <v>46057</v>
      </c>
      <c r="C165" s="43" t="s">
        <v>558</v>
      </c>
      <c r="D165" s="44">
        <v>40</v>
      </c>
      <c r="E165" s="76" t="s">
        <v>20</v>
      </c>
      <c r="F165" s="46" t="s">
        <v>31</v>
      </c>
      <c r="G165" s="119">
        <v>330000</v>
      </c>
      <c r="H165" s="44" t="s">
        <v>35</v>
      </c>
      <c r="J165" s="30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s="29" customFormat="1" ht="18" customHeight="1" x14ac:dyDescent="0.25">
      <c r="A166" s="40">
        <v>156</v>
      </c>
      <c r="B166" s="54">
        <v>46057</v>
      </c>
      <c r="C166" s="50" t="s">
        <v>559</v>
      </c>
      <c r="D166" s="44">
        <v>40</v>
      </c>
      <c r="E166" s="76" t="s">
        <v>20</v>
      </c>
      <c r="F166" s="46" t="s">
        <v>31</v>
      </c>
      <c r="G166" s="119">
        <v>330000</v>
      </c>
      <c r="H166" s="44" t="s">
        <v>35</v>
      </c>
      <c r="J166" s="30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s="29" customFormat="1" ht="18" customHeight="1" x14ac:dyDescent="0.25">
      <c r="A167" s="40">
        <v>157</v>
      </c>
      <c r="B167" s="48">
        <v>46057</v>
      </c>
      <c r="C167" s="50" t="s">
        <v>560</v>
      </c>
      <c r="D167" s="44">
        <v>40</v>
      </c>
      <c r="E167" s="134" t="s">
        <v>20</v>
      </c>
      <c r="F167" s="120" t="s">
        <v>31</v>
      </c>
      <c r="G167" s="123">
        <v>330000</v>
      </c>
      <c r="H167" s="50" t="s">
        <v>602</v>
      </c>
      <c r="J167" s="30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s="29" customFormat="1" ht="18" customHeight="1" x14ac:dyDescent="0.25">
      <c r="A168" s="40">
        <v>158</v>
      </c>
      <c r="B168" s="48">
        <v>46057</v>
      </c>
      <c r="C168" s="50" t="s">
        <v>561</v>
      </c>
      <c r="D168" s="44">
        <v>40</v>
      </c>
      <c r="E168" s="134" t="s">
        <v>20</v>
      </c>
      <c r="F168" s="120" t="s">
        <v>31</v>
      </c>
      <c r="G168" s="123">
        <v>330000</v>
      </c>
      <c r="H168" s="50" t="s">
        <v>602</v>
      </c>
      <c r="J168" s="30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s="29" customFormat="1" ht="18" customHeight="1" x14ac:dyDescent="0.25">
      <c r="A169" s="40">
        <v>159</v>
      </c>
      <c r="B169" s="48">
        <v>46057</v>
      </c>
      <c r="C169" s="44" t="s">
        <v>562</v>
      </c>
      <c r="D169" s="116">
        <v>40</v>
      </c>
      <c r="E169" s="77" t="s">
        <v>20</v>
      </c>
      <c r="F169" s="90" t="s">
        <v>31</v>
      </c>
      <c r="G169" s="52">
        <v>330000</v>
      </c>
      <c r="H169" s="53" t="s">
        <v>15</v>
      </c>
      <c r="J169" s="30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s="29" customFormat="1" ht="18" customHeight="1" x14ac:dyDescent="0.25">
      <c r="A170" s="40">
        <v>160</v>
      </c>
      <c r="B170" s="48">
        <v>46057</v>
      </c>
      <c r="C170" s="44" t="s">
        <v>563</v>
      </c>
      <c r="D170" s="116">
        <v>40</v>
      </c>
      <c r="E170" s="77" t="s">
        <v>20</v>
      </c>
      <c r="F170" s="90" t="s">
        <v>31</v>
      </c>
      <c r="G170" s="52">
        <v>330000</v>
      </c>
      <c r="H170" s="53" t="s">
        <v>15</v>
      </c>
      <c r="J170" s="30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s="29" customFormat="1" ht="18" customHeight="1" x14ac:dyDescent="0.25">
      <c r="A171" s="40">
        <v>161</v>
      </c>
      <c r="B171" s="48">
        <v>46057</v>
      </c>
      <c r="C171" s="44" t="s">
        <v>564</v>
      </c>
      <c r="D171" s="116">
        <v>40</v>
      </c>
      <c r="E171" s="77" t="s">
        <v>20</v>
      </c>
      <c r="F171" s="90" t="s">
        <v>31</v>
      </c>
      <c r="G171" s="52">
        <v>330000</v>
      </c>
      <c r="H171" s="90" t="s">
        <v>30</v>
      </c>
      <c r="J171" s="30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s="29" customFormat="1" ht="18" customHeight="1" x14ac:dyDescent="0.25">
      <c r="A172" s="40">
        <v>162</v>
      </c>
      <c r="B172" s="48">
        <v>46057</v>
      </c>
      <c r="C172" s="44" t="s">
        <v>565</v>
      </c>
      <c r="D172" s="116">
        <v>40</v>
      </c>
      <c r="E172" s="77" t="s">
        <v>20</v>
      </c>
      <c r="F172" s="90" t="s">
        <v>31</v>
      </c>
      <c r="G172" s="52">
        <v>330000</v>
      </c>
      <c r="H172" s="90" t="s">
        <v>30</v>
      </c>
      <c r="J172" s="30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s="29" customFormat="1" ht="18" customHeight="1" x14ac:dyDescent="0.25">
      <c r="A173" s="40">
        <v>163</v>
      </c>
      <c r="B173" s="48">
        <v>46057</v>
      </c>
      <c r="C173" s="44" t="s">
        <v>566</v>
      </c>
      <c r="D173" s="116">
        <v>40</v>
      </c>
      <c r="E173" s="77" t="s">
        <v>20</v>
      </c>
      <c r="F173" s="90" t="s">
        <v>31</v>
      </c>
      <c r="G173" s="52">
        <v>330000</v>
      </c>
      <c r="H173" s="90" t="s">
        <v>30</v>
      </c>
      <c r="J173" s="30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s="29" customFormat="1" ht="18" customHeight="1" x14ac:dyDescent="0.25">
      <c r="A174" s="40">
        <v>164</v>
      </c>
      <c r="B174" s="48">
        <v>46057</v>
      </c>
      <c r="C174" s="44" t="s">
        <v>567</v>
      </c>
      <c r="D174" s="116">
        <v>40</v>
      </c>
      <c r="E174" s="77" t="s">
        <v>20</v>
      </c>
      <c r="F174" s="90" t="s">
        <v>31</v>
      </c>
      <c r="G174" s="52">
        <v>330000</v>
      </c>
      <c r="H174" s="90" t="s">
        <v>30</v>
      </c>
      <c r="J174" s="30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spans="1:22" s="29" customFormat="1" ht="18" customHeight="1" x14ac:dyDescent="0.25">
      <c r="A175" s="40">
        <v>165</v>
      </c>
      <c r="B175" s="48">
        <v>46057</v>
      </c>
      <c r="C175" s="44" t="s">
        <v>568</v>
      </c>
      <c r="D175" s="116">
        <v>40</v>
      </c>
      <c r="E175" s="77" t="s">
        <v>20</v>
      </c>
      <c r="F175" s="90" t="s">
        <v>31</v>
      </c>
      <c r="G175" s="52">
        <v>330000</v>
      </c>
      <c r="H175" s="53" t="s">
        <v>268</v>
      </c>
      <c r="J175" s="30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spans="1:22" s="29" customFormat="1" ht="18" customHeight="1" x14ac:dyDescent="0.25">
      <c r="A176" s="40">
        <v>166</v>
      </c>
      <c r="B176" s="48">
        <v>46057</v>
      </c>
      <c r="C176" s="44" t="s">
        <v>569</v>
      </c>
      <c r="D176" s="116">
        <v>40</v>
      </c>
      <c r="E176" s="77" t="s">
        <v>20</v>
      </c>
      <c r="F176" s="90" t="s">
        <v>31</v>
      </c>
      <c r="G176" s="52">
        <v>330000</v>
      </c>
      <c r="H176" s="53" t="s">
        <v>268</v>
      </c>
      <c r="J176" s="30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spans="1:22" s="29" customFormat="1" ht="18" customHeight="1" x14ac:dyDescent="0.25">
      <c r="A177" s="40">
        <v>167</v>
      </c>
      <c r="B177" s="48">
        <v>46057</v>
      </c>
      <c r="C177" s="44" t="s">
        <v>570</v>
      </c>
      <c r="D177" s="116">
        <v>40</v>
      </c>
      <c r="E177" s="77" t="s">
        <v>20</v>
      </c>
      <c r="F177" s="90" t="s">
        <v>31</v>
      </c>
      <c r="G177" s="52">
        <v>330000</v>
      </c>
      <c r="H177" s="53" t="s">
        <v>268</v>
      </c>
      <c r="J177" s="30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spans="1:22" s="29" customFormat="1" ht="18" customHeight="1" x14ac:dyDescent="0.25">
      <c r="A178" s="40">
        <v>168</v>
      </c>
      <c r="B178" s="48">
        <v>46057</v>
      </c>
      <c r="C178" s="44" t="s">
        <v>571</v>
      </c>
      <c r="D178" s="116">
        <v>40</v>
      </c>
      <c r="E178" s="77" t="s">
        <v>20</v>
      </c>
      <c r="F178" s="90" t="s">
        <v>31</v>
      </c>
      <c r="G178" s="52">
        <v>330000</v>
      </c>
      <c r="H178" s="53" t="s">
        <v>268</v>
      </c>
      <c r="J178" s="30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spans="1:22" s="29" customFormat="1" ht="18" customHeight="1" x14ac:dyDescent="0.25">
      <c r="A179" s="40">
        <v>169</v>
      </c>
      <c r="B179" s="48">
        <v>46057</v>
      </c>
      <c r="C179" s="44" t="s">
        <v>572</v>
      </c>
      <c r="D179" s="116">
        <v>40</v>
      </c>
      <c r="E179" s="53" t="s">
        <v>20</v>
      </c>
      <c r="F179" s="90" t="s">
        <v>31</v>
      </c>
      <c r="G179" s="52">
        <v>330000</v>
      </c>
      <c r="H179" s="53" t="s">
        <v>268</v>
      </c>
      <c r="J179" s="30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spans="1:22" s="29" customFormat="1" ht="18" customHeight="1" x14ac:dyDescent="0.25">
      <c r="A180" s="40">
        <v>170</v>
      </c>
      <c r="B180" s="54">
        <v>46057</v>
      </c>
      <c r="C180" s="44" t="s">
        <v>573</v>
      </c>
      <c r="D180" s="116">
        <v>40</v>
      </c>
      <c r="E180" s="53" t="s">
        <v>20</v>
      </c>
      <c r="F180" s="90" t="s">
        <v>31</v>
      </c>
      <c r="G180" s="52">
        <v>330000</v>
      </c>
      <c r="H180" s="53" t="s">
        <v>28</v>
      </c>
      <c r="J180" s="30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spans="1:22" s="29" customFormat="1" ht="18" customHeight="1" x14ac:dyDescent="0.25">
      <c r="A181" s="40">
        <v>171</v>
      </c>
      <c r="B181" s="54">
        <v>46057</v>
      </c>
      <c r="C181" s="44" t="s">
        <v>574</v>
      </c>
      <c r="D181" s="116">
        <v>40</v>
      </c>
      <c r="E181" s="53" t="s">
        <v>20</v>
      </c>
      <c r="F181" s="90" t="s">
        <v>31</v>
      </c>
      <c r="G181" s="52">
        <v>330000</v>
      </c>
      <c r="H181" s="53" t="s">
        <v>28</v>
      </c>
      <c r="J181" s="30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spans="1:22" s="29" customFormat="1" ht="18" customHeight="1" x14ac:dyDescent="0.25">
      <c r="A182" s="40">
        <v>172</v>
      </c>
      <c r="B182" s="54">
        <v>46057</v>
      </c>
      <c r="C182" s="44" t="s">
        <v>575</v>
      </c>
      <c r="D182" s="116">
        <v>40</v>
      </c>
      <c r="E182" s="53" t="s">
        <v>20</v>
      </c>
      <c r="F182" s="90" t="s">
        <v>31</v>
      </c>
      <c r="G182" s="52">
        <v>330000</v>
      </c>
      <c r="H182" s="53" t="s">
        <v>28</v>
      </c>
      <c r="J182" s="30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spans="1:22" s="29" customFormat="1" ht="18" customHeight="1" x14ac:dyDescent="0.25">
      <c r="A183" s="40">
        <v>173</v>
      </c>
      <c r="B183" s="54">
        <v>46057</v>
      </c>
      <c r="C183" s="44" t="s">
        <v>576</v>
      </c>
      <c r="D183" s="116">
        <v>40</v>
      </c>
      <c r="E183" s="53" t="s">
        <v>20</v>
      </c>
      <c r="F183" s="90" t="s">
        <v>31</v>
      </c>
      <c r="G183" s="52">
        <v>330000</v>
      </c>
      <c r="H183" s="53" t="s">
        <v>28</v>
      </c>
      <c r="J183" s="30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spans="1:22" s="29" customFormat="1" ht="18" customHeight="1" x14ac:dyDescent="0.25">
      <c r="A184" s="40">
        <v>174</v>
      </c>
      <c r="B184" s="54">
        <v>46057</v>
      </c>
      <c r="C184" s="44" t="s">
        <v>577</v>
      </c>
      <c r="D184" s="116">
        <v>40</v>
      </c>
      <c r="E184" s="53" t="s">
        <v>20</v>
      </c>
      <c r="F184" s="90" t="s">
        <v>31</v>
      </c>
      <c r="G184" s="52">
        <v>330000</v>
      </c>
      <c r="H184" s="53" t="s">
        <v>28</v>
      </c>
      <c r="J184" s="30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spans="1:22" s="29" customFormat="1" ht="18" customHeight="1" x14ac:dyDescent="0.25">
      <c r="A185" s="40">
        <v>175</v>
      </c>
      <c r="B185" s="54">
        <v>46057</v>
      </c>
      <c r="C185" s="44" t="s">
        <v>578</v>
      </c>
      <c r="D185" s="116">
        <v>40</v>
      </c>
      <c r="E185" s="53" t="s">
        <v>20</v>
      </c>
      <c r="F185" s="90" t="s">
        <v>31</v>
      </c>
      <c r="G185" s="52">
        <v>330000</v>
      </c>
      <c r="H185" s="53" t="s">
        <v>23</v>
      </c>
      <c r="J185" s="30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spans="1:22" s="29" customFormat="1" ht="18" customHeight="1" x14ac:dyDescent="0.25">
      <c r="A186" s="40">
        <v>176</v>
      </c>
      <c r="B186" s="54">
        <v>46057</v>
      </c>
      <c r="C186" s="44" t="s">
        <v>579</v>
      </c>
      <c r="D186" s="116">
        <v>40</v>
      </c>
      <c r="E186" s="53" t="s">
        <v>20</v>
      </c>
      <c r="F186" s="90" t="s">
        <v>31</v>
      </c>
      <c r="G186" s="52">
        <v>330000</v>
      </c>
      <c r="H186" s="53" t="s">
        <v>23</v>
      </c>
      <c r="J186" s="30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spans="1:22" s="29" customFormat="1" ht="18" customHeight="1" x14ac:dyDescent="0.25">
      <c r="A187" s="40">
        <v>177</v>
      </c>
      <c r="B187" s="54">
        <v>46057</v>
      </c>
      <c r="C187" s="44" t="s">
        <v>580</v>
      </c>
      <c r="D187" s="116">
        <v>40</v>
      </c>
      <c r="E187" s="53" t="s">
        <v>20</v>
      </c>
      <c r="F187" s="90" t="s">
        <v>31</v>
      </c>
      <c r="G187" s="52">
        <v>330000</v>
      </c>
      <c r="H187" s="53" t="s">
        <v>23</v>
      </c>
      <c r="J187" s="30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spans="1:22" s="29" customFormat="1" ht="18" customHeight="1" x14ac:dyDescent="0.25">
      <c r="A188" s="40">
        <v>178</v>
      </c>
      <c r="B188" s="54">
        <v>46057</v>
      </c>
      <c r="C188" s="44" t="s">
        <v>581</v>
      </c>
      <c r="D188" s="116">
        <v>40</v>
      </c>
      <c r="E188" s="53" t="s">
        <v>20</v>
      </c>
      <c r="F188" s="90" t="s">
        <v>31</v>
      </c>
      <c r="G188" s="52">
        <v>330000</v>
      </c>
      <c r="H188" s="53" t="s">
        <v>23</v>
      </c>
      <c r="J188" s="30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spans="1:22" s="29" customFormat="1" ht="18" customHeight="1" x14ac:dyDescent="0.25">
      <c r="A189" s="40">
        <v>179</v>
      </c>
      <c r="B189" s="125">
        <v>46057</v>
      </c>
      <c r="C189" s="126" t="s">
        <v>657</v>
      </c>
      <c r="D189" s="53">
        <v>40</v>
      </c>
      <c r="E189" s="53" t="s">
        <v>20</v>
      </c>
      <c r="F189" s="53" t="s">
        <v>31</v>
      </c>
      <c r="G189" s="45">
        <v>330000</v>
      </c>
      <c r="H189" s="126" t="s">
        <v>21</v>
      </c>
      <c r="J189" s="30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spans="1:22" s="29" customFormat="1" ht="18" customHeight="1" x14ac:dyDescent="0.25">
      <c r="A190" s="40">
        <v>180</v>
      </c>
      <c r="B190" s="54">
        <v>46062</v>
      </c>
      <c r="C190" s="44" t="s">
        <v>582</v>
      </c>
      <c r="D190" s="116">
        <v>20</v>
      </c>
      <c r="E190" s="53" t="s">
        <v>20</v>
      </c>
      <c r="F190" s="90" t="s">
        <v>31</v>
      </c>
      <c r="G190" s="52">
        <v>175000</v>
      </c>
      <c r="H190" s="53" t="s">
        <v>28</v>
      </c>
      <c r="J190" s="30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spans="1:22" s="29" customFormat="1" ht="18" customHeight="1" x14ac:dyDescent="0.25">
      <c r="A191" s="40">
        <v>181</v>
      </c>
      <c r="B191" s="54">
        <v>46062</v>
      </c>
      <c r="C191" s="44" t="s">
        <v>583</v>
      </c>
      <c r="D191" s="116">
        <v>20</v>
      </c>
      <c r="E191" s="53" t="s">
        <v>20</v>
      </c>
      <c r="F191" s="90" t="s">
        <v>31</v>
      </c>
      <c r="G191" s="52">
        <v>175000</v>
      </c>
      <c r="H191" s="53" t="s">
        <v>28</v>
      </c>
      <c r="J191" s="30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spans="1:22" s="29" customFormat="1" ht="18" customHeight="1" x14ac:dyDescent="0.25">
      <c r="A192" s="40">
        <v>182</v>
      </c>
      <c r="B192" s="54">
        <v>46062</v>
      </c>
      <c r="C192" s="44" t="s">
        <v>584</v>
      </c>
      <c r="D192" s="116">
        <v>20</v>
      </c>
      <c r="E192" s="53" t="s">
        <v>20</v>
      </c>
      <c r="F192" s="90" t="s">
        <v>31</v>
      </c>
      <c r="G192" s="52">
        <v>175000</v>
      </c>
      <c r="H192" s="53" t="s">
        <v>28</v>
      </c>
      <c r="J192" s="30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spans="1:22" s="29" customFormat="1" ht="18" customHeight="1" x14ac:dyDescent="0.25">
      <c r="A193" s="40">
        <v>183</v>
      </c>
      <c r="B193" s="54">
        <v>46062</v>
      </c>
      <c r="C193" s="44" t="s">
        <v>585</v>
      </c>
      <c r="D193" s="116">
        <v>20</v>
      </c>
      <c r="E193" s="53" t="s">
        <v>20</v>
      </c>
      <c r="F193" s="90" t="s">
        <v>31</v>
      </c>
      <c r="G193" s="52">
        <v>175000</v>
      </c>
      <c r="H193" s="53" t="s">
        <v>28</v>
      </c>
      <c r="J193" s="30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22" s="29" customFormat="1" ht="18" customHeight="1" x14ac:dyDescent="0.25">
      <c r="A194" s="40">
        <v>184</v>
      </c>
      <c r="B194" s="54">
        <v>46062</v>
      </c>
      <c r="C194" s="44" t="s">
        <v>586</v>
      </c>
      <c r="D194" s="116">
        <v>20</v>
      </c>
      <c r="E194" s="53" t="s">
        <v>20</v>
      </c>
      <c r="F194" s="90" t="s">
        <v>31</v>
      </c>
      <c r="G194" s="52">
        <v>175000</v>
      </c>
      <c r="H194" s="53" t="s">
        <v>28</v>
      </c>
      <c r="J194" s="30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spans="1:22" s="29" customFormat="1" ht="18" customHeight="1" x14ac:dyDescent="0.25">
      <c r="A195" s="40">
        <v>185</v>
      </c>
      <c r="B195" s="54">
        <v>46062</v>
      </c>
      <c r="C195" s="44" t="s">
        <v>587</v>
      </c>
      <c r="D195" s="116">
        <v>20</v>
      </c>
      <c r="E195" s="53" t="s">
        <v>20</v>
      </c>
      <c r="F195" s="90" t="s">
        <v>31</v>
      </c>
      <c r="G195" s="52">
        <v>175000</v>
      </c>
      <c r="H195" s="53" t="s">
        <v>28</v>
      </c>
      <c r="J195" s="30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spans="1:22" s="29" customFormat="1" ht="18" customHeight="1" x14ac:dyDescent="0.25">
      <c r="A196" s="40">
        <v>186</v>
      </c>
      <c r="B196" s="54">
        <v>46062</v>
      </c>
      <c r="C196" s="44" t="s">
        <v>588</v>
      </c>
      <c r="D196" s="116">
        <v>40</v>
      </c>
      <c r="E196" s="53" t="s">
        <v>20</v>
      </c>
      <c r="F196" s="90" t="s">
        <v>31</v>
      </c>
      <c r="G196" s="52">
        <v>330000</v>
      </c>
      <c r="H196" s="53" t="s">
        <v>28</v>
      </c>
      <c r="J196" s="30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spans="1:22" s="29" customFormat="1" ht="18" customHeight="1" x14ac:dyDescent="0.25">
      <c r="A197" s="40">
        <v>187</v>
      </c>
      <c r="B197" s="54">
        <v>46062</v>
      </c>
      <c r="C197" s="44" t="s">
        <v>589</v>
      </c>
      <c r="D197" s="116">
        <v>40</v>
      </c>
      <c r="E197" s="53" t="s">
        <v>20</v>
      </c>
      <c r="F197" s="90" t="s">
        <v>31</v>
      </c>
      <c r="G197" s="52">
        <v>330000</v>
      </c>
      <c r="H197" s="53" t="s">
        <v>28</v>
      </c>
      <c r="J197" s="30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spans="1:22" s="29" customFormat="1" ht="18" customHeight="1" x14ac:dyDescent="0.25">
      <c r="A198" s="40">
        <v>188</v>
      </c>
      <c r="B198" s="54">
        <v>46062</v>
      </c>
      <c r="C198" s="44" t="s">
        <v>590</v>
      </c>
      <c r="D198" s="116">
        <v>40</v>
      </c>
      <c r="E198" s="53" t="s">
        <v>20</v>
      </c>
      <c r="F198" s="90" t="s">
        <v>31</v>
      </c>
      <c r="G198" s="52">
        <v>330000</v>
      </c>
      <c r="H198" s="53" t="s">
        <v>28</v>
      </c>
      <c r="J198" s="30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spans="1:22" s="29" customFormat="1" ht="18" customHeight="1" x14ac:dyDescent="0.25">
      <c r="A199" s="40">
        <v>189</v>
      </c>
      <c r="B199" s="43">
        <v>46062</v>
      </c>
      <c r="C199" s="53" t="s">
        <v>591</v>
      </c>
      <c r="D199" s="121">
        <v>20</v>
      </c>
      <c r="E199" s="121" t="s">
        <v>20</v>
      </c>
      <c r="F199" s="122" t="s">
        <v>31</v>
      </c>
      <c r="G199" s="124">
        <v>175000</v>
      </c>
      <c r="H199" s="41" t="s">
        <v>26</v>
      </c>
      <c r="J199" s="30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1:22" s="29" customFormat="1" ht="18" customHeight="1" x14ac:dyDescent="0.25">
      <c r="A200" s="40">
        <v>190</v>
      </c>
      <c r="B200" s="43">
        <v>46062</v>
      </c>
      <c r="C200" s="53" t="s">
        <v>592</v>
      </c>
      <c r="D200" s="121">
        <v>20</v>
      </c>
      <c r="E200" s="121" t="s">
        <v>20</v>
      </c>
      <c r="F200" s="122" t="s">
        <v>31</v>
      </c>
      <c r="G200" s="124">
        <v>175000</v>
      </c>
      <c r="H200" s="41" t="s">
        <v>26</v>
      </c>
      <c r="J200" s="30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1:22" s="29" customFormat="1" ht="18" customHeight="1" x14ac:dyDescent="0.25">
      <c r="A201" s="40">
        <v>191</v>
      </c>
      <c r="B201" s="43">
        <v>46062</v>
      </c>
      <c r="C201" s="53" t="s">
        <v>593</v>
      </c>
      <c r="D201" s="121">
        <v>20</v>
      </c>
      <c r="E201" s="121" t="s">
        <v>20</v>
      </c>
      <c r="F201" s="122" t="s">
        <v>31</v>
      </c>
      <c r="G201" s="124">
        <v>175000</v>
      </c>
      <c r="H201" s="41" t="s">
        <v>26</v>
      </c>
      <c r="J201" s="30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spans="1:22" s="29" customFormat="1" ht="18" customHeight="1" x14ac:dyDescent="0.25">
      <c r="A202" s="40">
        <v>192</v>
      </c>
      <c r="B202" s="43">
        <v>46062</v>
      </c>
      <c r="C202" s="41" t="s">
        <v>718</v>
      </c>
      <c r="D202" s="121">
        <v>20</v>
      </c>
      <c r="E202" s="121" t="s">
        <v>20</v>
      </c>
      <c r="F202" s="122" t="s">
        <v>31</v>
      </c>
      <c r="G202" s="124">
        <v>175000</v>
      </c>
      <c r="H202" s="41" t="s">
        <v>26</v>
      </c>
      <c r="J202" s="30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spans="1:22" s="29" customFormat="1" ht="18" customHeight="1" x14ac:dyDescent="0.25">
      <c r="A203" s="40">
        <v>193</v>
      </c>
      <c r="B203" s="43">
        <v>46062</v>
      </c>
      <c r="C203" s="53" t="s">
        <v>594</v>
      </c>
      <c r="D203" s="121">
        <v>20</v>
      </c>
      <c r="E203" s="121" t="s">
        <v>20</v>
      </c>
      <c r="F203" s="122" t="s">
        <v>31</v>
      </c>
      <c r="G203" s="124">
        <v>175000</v>
      </c>
      <c r="H203" s="41" t="s">
        <v>26</v>
      </c>
      <c r="J203" s="30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spans="1:22" s="29" customFormat="1" ht="18" customHeight="1" x14ac:dyDescent="0.25">
      <c r="A204" s="40">
        <v>194</v>
      </c>
      <c r="B204" s="43">
        <v>46062</v>
      </c>
      <c r="C204" s="53" t="s">
        <v>595</v>
      </c>
      <c r="D204" s="121">
        <v>20</v>
      </c>
      <c r="E204" s="121" t="s">
        <v>20</v>
      </c>
      <c r="F204" s="122" t="s">
        <v>31</v>
      </c>
      <c r="G204" s="124">
        <v>175000</v>
      </c>
      <c r="H204" s="41" t="s">
        <v>26</v>
      </c>
      <c r="J204" s="30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spans="1:22" s="29" customFormat="1" ht="18" customHeight="1" x14ac:dyDescent="0.25">
      <c r="A205" s="40">
        <v>195</v>
      </c>
      <c r="B205" s="43">
        <v>46062</v>
      </c>
      <c r="C205" s="53" t="s">
        <v>596</v>
      </c>
      <c r="D205" s="121">
        <v>20</v>
      </c>
      <c r="E205" s="121" t="s">
        <v>20</v>
      </c>
      <c r="F205" s="122" t="s">
        <v>597</v>
      </c>
      <c r="G205" s="124">
        <v>310000</v>
      </c>
      <c r="H205" s="41" t="s">
        <v>26</v>
      </c>
      <c r="J205" s="30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spans="1:22" s="29" customFormat="1" ht="18" customHeight="1" x14ac:dyDescent="0.25">
      <c r="A206" s="40">
        <v>196</v>
      </c>
      <c r="B206" s="43">
        <v>46062</v>
      </c>
      <c r="C206" s="53" t="s">
        <v>598</v>
      </c>
      <c r="D206" s="121">
        <v>20</v>
      </c>
      <c r="E206" s="121" t="s">
        <v>20</v>
      </c>
      <c r="F206" s="122" t="s">
        <v>597</v>
      </c>
      <c r="G206" s="124">
        <v>310000</v>
      </c>
      <c r="H206" s="41" t="s">
        <v>26</v>
      </c>
      <c r="J206" s="30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spans="1:22" s="29" customFormat="1" ht="18" customHeight="1" x14ac:dyDescent="0.25">
      <c r="A207" s="40">
        <v>197</v>
      </c>
      <c r="B207" s="43">
        <v>46062</v>
      </c>
      <c r="C207" s="53" t="s">
        <v>599</v>
      </c>
      <c r="D207" s="121">
        <v>40</v>
      </c>
      <c r="E207" s="121" t="s">
        <v>20</v>
      </c>
      <c r="F207" s="122" t="s">
        <v>31</v>
      </c>
      <c r="G207" s="124">
        <v>330000</v>
      </c>
      <c r="H207" s="41" t="s">
        <v>26</v>
      </c>
      <c r="J207" s="30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spans="1:22" s="29" customFormat="1" ht="18" customHeight="1" x14ac:dyDescent="0.25">
      <c r="A208" s="40">
        <v>198</v>
      </c>
      <c r="B208" s="43">
        <v>46062</v>
      </c>
      <c r="C208" s="53" t="s">
        <v>600</v>
      </c>
      <c r="D208" s="121">
        <v>20</v>
      </c>
      <c r="E208" s="121" t="s">
        <v>20</v>
      </c>
      <c r="F208" s="122" t="s">
        <v>597</v>
      </c>
      <c r="G208" s="124">
        <v>310000</v>
      </c>
      <c r="H208" s="41" t="s">
        <v>26</v>
      </c>
      <c r="J208" s="30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spans="1:22" s="29" customFormat="1" ht="18" customHeight="1" x14ac:dyDescent="0.25">
      <c r="A209" s="40">
        <v>199</v>
      </c>
      <c r="B209" s="43">
        <v>46062</v>
      </c>
      <c r="C209" s="53" t="s">
        <v>601</v>
      </c>
      <c r="D209" s="121">
        <v>20</v>
      </c>
      <c r="E209" s="121" t="s">
        <v>20</v>
      </c>
      <c r="F209" s="122" t="s">
        <v>597</v>
      </c>
      <c r="G209" s="124">
        <v>310000</v>
      </c>
      <c r="H209" s="41" t="s">
        <v>26</v>
      </c>
      <c r="J209" s="30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spans="1:22" s="29" customFormat="1" ht="18" customHeight="1" x14ac:dyDescent="0.25">
      <c r="A210" s="40">
        <v>200</v>
      </c>
      <c r="B210" s="54">
        <v>46062</v>
      </c>
      <c r="C210" s="53" t="s">
        <v>603</v>
      </c>
      <c r="D210" s="53">
        <v>40</v>
      </c>
      <c r="E210" s="53" t="s">
        <v>20</v>
      </c>
      <c r="F210" s="53" t="s">
        <v>31</v>
      </c>
      <c r="G210" s="45">
        <v>330000</v>
      </c>
      <c r="H210" s="53" t="s">
        <v>23</v>
      </c>
      <c r="J210" s="30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spans="1:22" s="29" customFormat="1" ht="18" customHeight="1" x14ac:dyDescent="0.25">
      <c r="A211" s="40">
        <v>201</v>
      </c>
      <c r="B211" s="54">
        <v>46062</v>
      </c>
      <c r="C211" s="53" t="s">
        <v>604</v>
      </c>
      <c r="D211" s="53">
        <v>40</v>
      </c>
      <c r="E211" s="53" t="s">
        <v>20</v>
      </c>
      <c r="F211" s="53" t="s">
        <v>31</v>
      </c>
      <c r="G211" s="45">
        <v>330000</v>
      </c>
      <c r="H211" s="53" t="s">
        <v>23</v>
      </c>
      <c r="J211" s="30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spans="1:22" s="29" customFormat="1" ht="18" customHeight="1" x14ac:dyDescent="0.25">
      <c r="A212" s="40">
        <v>202</v>
      </c>
      <c r="B212" s="54">
        <v>46062</v>
      </c>
      <c r="C212" s="53" t="s">
        <v>605</v>
      </c>
      <c r="D212" s="53">
        <v>20</v>
      </c>
      <c r="E212" s="53" t="s">
        <v>20</v>
      </c>
      <c r="F212" s="53" t="s">
        <v>597</v>
      </c>
      <c r="G212" s="124">
        <v>310000</v>
      </c>
      <c r="H212" s="53" t="s">
        <v>23</v>
      </c>
      <c r="J212" s="30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spans="1:22" s="29" customFormat="1" ht="18" customHeight="1" x14ac:dyDescent="0.25">
      <c r="A213" s="40">
        <v>203</v>
      </c>
      <c r="B213" s="54">
        <v>46062</v>
      </c>
      <c r="C213" s="53" t="s">
        <v>606</v>
      </c>
      <c r="D213" s="53">
        <v>20</v>
      </c>
      <c r="E213" s="53" t="s">
        <v>20</v>
      </c>
      <c r="F213" s="53" t="s">
        <v>597</v>
      </c>
      <c r="G213" s="124">
        <v>310000</v>
      </c>
      <c r="H213" s="53" t="s">
        <v>23</v>
      </c>
      <c r="J213" s="30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spans="1:22" s="29" customFormat="1" ht="18" customHeight="1" x14ac:dyDescent="0.25">
      <c r="A214" s="40">
        <v>204</v>
      </c>
      <c r="B214" s="54">
        <v>46062</v>
      </c>
      <c r="C214" s="53" t="s">
        <v>607</v>
      </c>
      <c r="D214" s="53">
        <v>20</v>
      </c>
      <c r="E214" s="53" t="s">
        <v>20</v>
      </c>
      <c r="F214" s="53" t="s">
        <v>597</v>
      </c>
      <c r="G214" s="124">
        <v>310000</v>
      </c>
      <c r="H214" s="53" t="s">
        <v>23</v>
      </c>
      <c r="J214" s="30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spans="1:22" s="29" customFormat="1" ht="18" customHeight="1" x14ac:dyDescent="0.25">
      <c r="A215" s="40">
        <v>205</v>
      </c>
      <c r="B215" s="54">
        <v>46062</v>
      </c>
      <c r="C215" s="53" t="s">
        <v>608</v>
      </c>
      <c r="D215" s="53">
        <v>20</v>
      </c>
      <c r="E215" s="53" t="s">
        <v>20</v>
      </c>
      <c r="F215" s="53" t="s">
        <v>597</v>
      </c>
      <c r="G215" s="124">
        <v>310000</v>
      </c>
      <c r="H215" s="53" t="s">
        <v>23</v>
      </c>
      <c r="J215" s="30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spans="1:22" s="29" customFormat="1" ht="18" customHeight="1" x14ac:dyDescent="0.25">
      <c r="A216" s="40">
        <v>206</v>
      </c>
      <c r="B216" s="54">
        <v>46062</v>
      </c>
      <c r="C216" s="130" t="s">
        <v>609</v>
      </c>
      <c r="D216" s="53">
        <v>20</v>
      </c>
      <c r="E216" s="53" t="s">
        <v>20</v>
      </c>
      <c r="F216" s="53" t="s">
        <v>597</v>
      </c>
      <c r="G216" s="124">
        <v>310000</v>
      </c>
      <c r="H216" s="53" t="s">
        <v>23</v>
      </c>
      <c r="J216" s="30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spans="1:22" s="29" customFormat="1" ht="18" customHeight="1" x14ac:dyDescent="0.25">
      <c r="A217" s="40">
        <v>207</v>
      </c>
      <c r="B217" s="54">
        <v>46062</v>
      </c>
      <c r="C217" s="53" t="s">
        <v>610</v>
      </c>
      <c r="D217" s="53">
        <v>20</v>
      </c>
      <c r="E217" s="53" t="s">
        <v>20</v>
      </c>
      <c r="F217" s="53" t="s">
        <v>597</v>
      </c>
      <c r="G217" s="124">
        <v>310000</v>
      </c>
      <c r="H217" s="53" t="s">
        <v>23</v>
      </c>
      <c r="J217" s="30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spans="1:22" s="29" customFormat="1" ht="18" customHeight="1" x14ac:dyDescent="0.25">
      <c r="A218" s="40">
        <v>208</v>
      </c>
      <c r="B218" s="54">
        <v>46062</v>
      </c>
      <c r="C218" s="130" t="s">
        <v>611</v>
      </c>
      <c r="D218" s="53">
        <v>20</v>
      </c>
      <c r="E218" s="53" t="s">
        <v>20</v>
      </c>
      <c r="F218" s="53" t="s">
        <v>31</v>
      </c>
      <c r="G218" s="45">
        <v>175000</v>
      </c>
      <c r="H218" s="53" t="s">
        <v>23</v>
      </c>
      <c r="J218" s="30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spans="1:22" s="29" customFormat="1" ht="18" customHeight="1" x14ac:dyDescent="0.25">
      <c r="A219" s="40">
        <v>209</v>
      </c>
      <c r="B219" s="54">
        <v>46062</v>
      </c>
      <c r="C219" s="130" t="s">
        <v>612</v>
      </c>
      <c r="D219" s="53">
        <v>20</v>
      </c>
      <c r="E219" s="53" t="s">
        <v>20</v>
      </c>
      <c r="F219" s="53" t="s">
        <v>31</v>
      </c>
      <c r="G219" s="45">
        <v>175000</v>
      </c>
      <c r="H219" s="53" t="s">
        <v>23</v>
      </c>
      <c r="J219" s="30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spans="1:22" s="29" customFormat="1" ht="18" customHeight="1" x14ac:dyDescent="0.25">
      <c r="A220" s="40">
        <v>210</v>
      </c>
      <c r="B220" s="54">
        <v>46062</v>
      </c>
      <c r="C220" s="130" t="s">
        <v>613</v>
      </c>
      <c r="D220" s="53">
        <v>20</v>
      </c>
      <c r="E220" s="53" t="s">
        <v>20</v>
      </c>
      <c r="F220" s="53" t="s">
        <v>31</v>
      </c>
      <c r="G220" s="45">
        <v>175000</v>
      </c>
      <c r="H220" s="53" t="s">
        <v>23</v>
      </c>
      <c r="J220" s="30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spans="1:22" s="29" customFormat="1" ht="18" customHeight="1" x14ac:dyDescent="0.25">
      <c r="A221" s="40">
        <v>211</v>
      </c>
      <c r="B221" s="54">
        <v>46062</v>
      </c>
      <c r="C221" s="130" t="s">
        <v>614</v>
      </c>
      <c r="D221" s="53">
        <v>20</v>
      </c>
      <c r="E221" s="53" t="s">
        <v>20</v>
      </c>
      <c r="F221" s="53" t="s">
        <v>31</v>
      </c>
      <c r="G221" s="45">
        <v>175000</v>
      </c>
      <c r="H221" s="53" t="s">
        <v>23</v>
      </c>
      <c r="J221" s="30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spans="1:22" s="29" customFormat="1" ht="18" customHeight="1" x14ac:dyDescent="0.25">
      <c r="A222" s="40">
        <v>212</v>
      </c>
      <c r="B222" s="54">
        <v>46062</v>
      </c>
      <c r="C222" s="53" t="s">
        <v>615</v>
      </c>
      <c r="D222" s="53">
        <v>20</v>
      </c>
      <c r="E222" s="53" t="s">
        <v>20</v>
      </c>
      <c r="F222" s="53" t="s">
        <v>31</v>
      </c>
      <c r="G222" s="45">
        <v>175000</v>
      </c>
      <c r="H222" s="53" t="s">
        <v>23</v>
      </c>
      <c r="J222" s="30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spans="1:22" s="29" customFormat="1" ht="18" customHeight="1" x14ac:dyDescent="0.25">
      <c r="A223" s="40">
        <v>213</v>
      </c>
      <c r="B223" s="54">
        <v>46062</v>
      </c>
      <c r="C223" s="53" t="s">
        <v>616</v>
      </c>
      <c r="D223" s="53">
        <v>40</v>
      </c>
      <c r="E223" s="53" t="s">
        <v>20</v>
      </c>
      <c r="F223" s="53" t="s">
        <v>31</v>
      </c>
      <c r="G223" s="45">
        <v>330000</v>
      </c>
      <c r="H223" s="53" t="s">
        <v>23</v>
      </c>
      <c r="J223" s="30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spans="1:22" s="29" customFormat="1" ht="18" customHeight="1" x14ac:dyDescent="0.25">
      <c r="A224" s="40">
        <v>214</v>
      </c>
      <c r="B224" s="54">
        <v>46062</v>
      </c>
      <c r="C224" s="53" t="s">
        <v>617</v>
      </c>
      <c r="D224" s="53">
        <v>20</v>
      </c>
      <c r="E224" s="53" t="s">
        <v>20</v>
      </c>
      <c r="F224" s="53" t="s">
        <v>31</v>
      </c>
      <c r="G224" s="52">
        <v>175000</v>
      </c>
      <c r="H224" s="53" t="s">
        <v>23</v>
      </c>
      <c r="J224" s="30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22" s="29" customFormat="1" ht="18" customHeight="1" x14ac:dyDescent="0.25">
      <c r="A225" s="40">
        <v>215</v>
      </c>
      <c r="B225" s="54">
        <v>46062</v>
      </c>
      <c r="C225" s="53" t="s">
        <v>618</v>
      </c>
      <c r="D225" s="53">
        <v>20</v>
      </c>
      <c r="E225" s="53" t="s">
        <v>20</v>
      </c>
      <c r="F225" s="53" t="s">
        <v>31</v>
      </c>
      <c r="G225" s="52">
        <v>175000</v>
      </c>
      <c r="H225" s="53" t="s">
        <v>25</v>
      </c>
      <c r="J225" s="30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spans="1:22" s="29" customFormat="1" ht="18" customHeight="1" x14ac:dyDescent="0.25">
      <c r="A226" s="40">
        <v>216</v>
      </c>
      <c r="B226" s="54">
        <v>46062</v>
      </c>
      <c r="C226" s="53" t="s">
        <v>619</v>
      </c>
      <c r="D226" s="53">
        <v>20</v>
      </c>
      <c r="E226" s="53" t="s">
        <v>20</v>
      </c>
      <c r="F226" s="53" t="s">
        <v>31</v>
      </c>
      <c r="G226" s="52">
        <v>175000</v>
      </c>
      <c r="H226" s="53" t="s">
        <v>25</v>
      </c>
      <c r="J226" s="30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spans="1:22" s="29" customFormat="1" ht="18" customHeight="1" x14ac:dyDescent="0.25">
      <c r="A227" s="40">
        <v>217</v>
      </c>
      <c r="B227" s="54">
        <v>46062</v>
      </c>
      <c r="C227" s="53" t="s">
        <v>620</v>
      </c>
      <c r="D227" s="53">
        <v>20</v>
      </c>
      <c r="E227" s="53" t="s">
        <v>20</v>
      </c>
      <c r="F227" s="53" t="s">
        <v>31</v>
      </c>
      <c r="G227" s="52">
        <v>175000</v>
      </c>
      <c r="H227" s="53" t="s">
        <v>25</v>
      </c>
      <c r="J227" s="30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spans="1:22" s="29" customFormat="1" ht="18" customHeight="1" x14ac:dyDescent="0.25">
      <c r="A228" s="40">
        <v>218</v>
      </c>
      <c r="B228" s="54">
        <v>46062</v>
      </c>
      <c r="C228" s="53" t="s">
        <v>621</v>
      </c>
      <c r="D228" s="53">
        <v>20</v>
      </c>
      <c r="E228" s="53" t="s">
        <v>20</v>
      </c>
      <c r="F228" s="53" t="s">
        <v>31</v>
      </c>
      <c r="G228" s="52">
        <v>175000</v>
      </c>
      <c r="H228" s="53" t="s">
        <v>25</v>
      </c>
      <c r="J228" s="30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spans="1:22" s="29" customFormat="1" ht="18" customHeight="1" x14ac:dyDescent="0.25">
      <c r="A229" s="40">
        <v>219</v>
      </c>
      <c r="B229" s="54">
        <v>46062</v>
      </c>
      <c r="C229" s="53" t="s">
        <v>622</v>
      </c>
      <c r="D229" s="53">
        <v>20</v>
      </c>
      <c r="E229" s="53" t="s">
        <v>20</v>
      </c>
      <c r="F229" s="53" t="s">
        <v>31</v>
      </c>
      <c r="G229" s="52">
        <v>175000</v>
      </c>
      <c r="H229" s="53" t="s">
        <v>25</v>
      </c>
      <c r="J229" s="30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spans="1:22" s="29" customFormat="1" ht="18" customHeight="1" x14ac:dyDescent="0.25">
      <c r="A230" s="40">
        <v>220</v>
      </c>
      <c r="B230" s="54">
        <v>46062</v>
      </c>
      <c r="C230" s="53" t="s">
        <v>623</v>
      </c>
      <c r="D230" s="53">
        <v>40</v>
      </c>
      <c r="E230" s="53" t="s">
        <v>20</v>
      </c>
      <c r="F230" s="53" t="s">
        <v>31</v>
      </c>
      <c r="G230" s="45">
        <v>330000</v>
      </c>
      <c r="H230" s="53" t="s">
        <v>25</v>
      </c>
      <c r="J230" s="30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spans="1:22" s="29" customFormat="1" ht="18" customHeight="1" x14ac:dyDescent="0.25">
      <c r="A231" s="40">
        <v>221</v>
      </c>
      <c r="B231" s="54">
        <v>46062</v>
      </c>
      <c r="C231" s="53" t="s">
        <v>624</v>
      </c>
      <c r="D231" s="53">
        <v>40</v>
      </c>
      <c r="E231" s="53" t="s">
        <v>20</v>
      </c>
      <c r="F231" s="53" t="s">
        <v>31</v>
      </c>
      <c r="G231" s="45">
        <v>330000</v>
      </c>
      <c r="H231" s="53" t="s">
        <v>25</v>
      </c>
      <c r="J231" s="30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spans="1:22" s="29" customFormat="1" ht="18" customHeight="1" x14ac:dyDescent="0.25">
      <c r="A232" s="40">
        <v>222</v>
      </c>
      <c r="B232" s="54">
        <v>46062</v>
      </c>
      <c r="C232" s="53" t="s">
        <v>625</v>
      </c>
      <c r="D232" s="53">
        <v>20</v>
      </c>
      <c r="E232" s="53" t="s">
        <v>20</v>
      </c>
      <c r="F232" s="53" t="s">
        <v>31</v>
      </c>
      <c r="G232" s="45">
        <v>175000</v>
      </c>
      <c r="H232" s="53" t="s">
        <v>25</v>
      </c>
      <c r="J232" s="30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spans="1:22" s="29" customFormat="1" ht="18" customHeight="1" x14ac:dyDescent="0.25">
      <c r="A233" s="40">
        <v>223</v>
      </c>
      <c r="B233" s="54">
        <v>46062</v>
      </c>
      <c r="C233" s="53" t="s">
        <v>626</v>
      </c>
      <c r="D233" s="53">
        <v>40</v>
      </c>
      <c r="E233" s="53" t="s">
        <v>20</v>
      </c>
      <c r="F233" s="53" t="s">
        <v>31</v>
      </c>
      <c r="G233" s="45">
        <v>330000</v>
      </c>
      <c r="H233" s="53" t="s">
        <v>25</v>
      </c>
      <c r="J233" s="30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spans="1:22" s="29" customFormat="1" ht="18" customHeight="1" x14ac:dyDescent="0.25">
      <c r="A234" s="40">
        <v>224</v>
      </c>
      <c r="B234" s="54">
        <v>46062</v>
      </c>
      <c r="C234" s="53" t="s">
        <v>627</v>
      </c>
      <c r="D234" s="53">
        <v>40</v>
      </c>
      <c r="E234" s="53" t="s">
        <v>20</v>
      </c>
      <c r="F234" s="53" t="s">
        <v>31</v>
      </c>
      <c r="G234" s="45">
        <v>330000</v>
      </c>
      <c r="H234" s="53" t="s">
        <v>25</v>
      </c>
      <c r="J234" s="30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spans="1:22" s="29" customFormat="1" ht="18" customHeight="1" x14ac:dyDescent="0.25">
      <c r="A235" s="40">
        <v>225</v>
      </c>
      <c r="B235" s="54">
        <v>46062</v>
      </c>
      <c r="C235" s="53" t="s">
        <v>628</v>
      </c>
      <c r="D235" s="53">
        <v>40</v>
      </c>
      <c r="E235" s="53" t="s">
        <v>20</v>
      </c>
      <c r="F235" s="53" t="s">
        <v>31</v>
      </c>
      <c r="G235" s="45">
        <v>330000</v>
      </c>
      <c r="H235" s="53" t="s">
        <v>25</v>
      </c>
      <c r="J235" s="30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spans="1:22" s="29" customFormat="1" ht="18" customHeight="1" x14ac:dyDescent="0.25">
      <c r="A236" s="40">
        <v>226</v>
      </c>
      <c r="B236" s="54">
        <v>46062</v>
      </c>
      <c r="C236" s="53" t="s">
        <v>648</v>
      </c>
      <c r="D236" s="53">
        <v>20</v>
      </c>
      <c r="E236" s="53" t="s">
        <v>20</v>
      </c>
      <c r="F236" s="53" t="s">
        <v>31</v>
      </c>
      <c r="G236" s="45">
        <v>175000</v>
      </c>
      <c r="H236" s="53" t="s">
        <v>30</v>
      </c>
      <c r="J236" s="30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spans="1:22" s="29" customFormat="1" ht="18" customHeight="1" x14ac:dyDescent="0.25">
      <c r="A237" s="40">
        <v>227</v>
      </c>
      <c r="B237" s="54">
        <v>46062</v>
      </c>
      <c r="C237" s="53" t="s">
        <v>649</v>
      </c>
      <c r="D237" s="53">
        <v>20</v>
      </c>
      <c r="E237" s="53" t="s">
        <v>20</v>
      </c>
      <c r="F237" s="53" t="s">
        <v>31</v>
      </c>
      <c r="G237" s="45">
        <v>175000</v>
      </c>
      <c r="H237" s="53" t="s">
        <v>30</v>
      </c>
      <c r="J237" s="30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spans="1:22" s="29" customFormat="1" ht="18" customHeight="1" x14ac:dyDescent="0.25">
      <c r="A238" s="40">
        <v>228</v>
      </c>
      <c r="B238" s="54">
        <v>46062</v>
      </c>
      <c r="C238" s="53" t="s">
        <v>650</v>
      </c>
      <c r="D238" s="53">
        <v>20</v>
      </c>
      <c r="E238" s="53" t="s">
        <v>20</v>
      </c>
      <c r="F238" s="53" t="s">
        <v>31</v>
      </c>
      <c r="G238" s="45">
        <v>175000</v>
      </c>
      <c r="H238" s="53" t="s">
        <v>30</v>
      </c>
      <c r="J238" s="30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spans="1:22" s="29" customFormat="1" ht="18" customHeight="1" x14ac:dyDescent="0.25">
      <c r="A239" s="40">
        <v>229</v>
      </c>
      <c r="B239" s="54">
        <v>46062</v>
      </c>
      <c r="C239" s="53" t="s">
        <v>651</v>
      </c>
      <c r="D239" s="53">
        <v>20</v>
      </c>
      <c r="E239" s="53" t="s">
        <v>20</v>
      </c>
      <c r="F239" s="53" t="s">
        <v>31</v>
      </c>
      <c r="G239" s="45">
        <v>175000</v>
      </c>
      <c r="H239" s="53" t="s">
        <v>30</v>
      </c>
      <c r="J239" s="30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spans="1:22" s="29" customFormat="1" ht="18" customHeight="1" x14ac:dyDescent="0.25">
      <c r="A240" s="40">
        <v>230</v>
      </c>
      <c r="B240" s="54">
        <v>46062</v>
      </c>
      <c r="C240" s="53" t="s">
        <v>652</v>
      </c>
      <c r="D240" s="53">
        <v>20</v>
      </c>
      <c r="E240" s="53" t="s">
        <v>20</v>
      </c>
      <c r="F240" s="53" t="s">
        <v>31</v>
      </c>
      <c r="G240" s="45">
        <v>175000</v>
      </c>
      <c r="H240" s="53" t="s">
        <v>30</v>
      </c>
      <c r="J240" s="30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spans="1:22" s="29" customFormat="1" ht="18" customHeight="1" x14ac:dyDescent="0.25">
      <c r="A241" s="40">
        <v>231</v>
      </c>
      <c r="B241" s="54">
        <v>46062</v>
      </c>
      <c r="C241" s="53" t="s">
        <v>653</v>
      </c>
      <c r="D241" s="53">
        <v>20</v>
      </c>
      <c r="E241" s="53" t="s">
        <v>20</v>
      </c>
      <c r="F241" s="53" t="s">
        <v>31</v>
      </c>
      <c r="G241" s="45">
        <v>175000</v>
      </c>
      <c r="H241" s="53" t="s">
        <v>30</v>
      </c>
      <c r="J241" s="30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spans="1:22" s="29" customFormat="1" ht="18" customHeight="1" x14ac:dyDescent="0.25">
      <c r="A242" s="40">
        <v>232</v>
      </c>
      <c r="B242" s="54">
        <v>46062</v>
      </c>
      <c r="C242" s="53" t="s">
        <v>654</v>
      </c>
      <c r="D242" s="53">
        <v>40</v>
      </c>
      <c r="E242" s="53" t="s">
        <v>20</v>
      </c>
      <c r="F242" s="53" t="s">
        <v>31</v>
      </c>
      <c r="G242" s="45">
        <v>330000</v>
      </c>
      <c r="H242" s="53" t="s">
        <v>30</v>
      </c>
      <c r="J242" s="30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spans="1:22" s="29" customFormat="1" ht="18" customHeight="1" x14ac:dyDescent="0.25">
      <c r="A243" s="40">
        <v>233</v>
      </c>
      <c r="B243" s="54">
        <v>46062</v>
      </c>
      <c r="C243" s="53" t="s">
        <v>655</v>
      </c>
      <c r="D243" s="53">
        <v>40</v>
      </c>
      <c r="E243" s="53" t="s">
        <v>20</v>
      </c>
      <c r="F243" s="53" t="s">
        <v>31</v>
      </c>
      <c r="G243" s="45">
        <v>330000</v>
      </c>
      <c r="H243" s="53" t="s">
        <v>30</v>
      </c>
      <c r="J243" s="30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spans="1:22" s="29" customFormat="1" ht="18" customHeight="1" x14ac:dyDescent="0.25">
      <c r="A244" s="40">
        <v>234</v>
      </c>
      <c r="B244" s="54">
        <v>46062</v>
      </c>
      <c r="C244" s="53" t="s">
        <v>656</v>
      </c>
      <c r="D244" s="53">
        <v>40</v>
      </c>
      <c r="E244" s="53" t="s">
        <v>20</v>
      </c>
      <c r="F244" s="53" t="s">
        <v>31</v>
      </c>
      <c r="G244" s="45">
        <v>330000</v>
      </c>
      <c r="H244" s="53" t="s">
        <v>30</v>
      </c>
      <c r="J244" s="30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spans="1:22" s="29" customFormat="1" ht="18" customHeight="1" x14ac:dyDescent="0.25">
      <c r="A245" s="40">
        <v>235</v>
      </c>
      <c r="B245" s="127">
        <v>46062</v>
      </c>
      <c r="C245" s="41" t="s">
        <v>670</v>
      </c>
      <c r="D245" s="121">
        <v>40</v>
      </c>
      <c r="E245" s="121" t="s">
        <v>20</v>
      </c>
      <c r="F245" s="122" t="s">
        <v>31</v>
      </c>
      <c r="G245" s="45">
        <v>330000</v>
      </c>
      <c r="H245" s="53" t="s">
        <v>35</v>
      </c>
      <c r="J245" s="30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spans="1:22" s="29" customFormat="1" ht="18" customHeight="1" x14ac:dyDescent="0.25">
      <c r="A246" s="40">
        <v>236</v>
      </c>
      <c r="B246" s="54">
        <v>46062</v>
      </c>
      <c r="C246" s="41" t="s">
        <v>684</v>
      </c>
      <c r="D246" s="53">
        <v>20</v>
      </c>
      <c r="E246" s="53" t="s">
        <v>20</v>
      </c>
      <c r="F246" s="53" t="s">
        <v>712</v>
      </c>
      <c r="G246" s="124">
        <v>310000</v>
      </c>
      <c r="H246" s="53" t="s">
        <v>22</v>
      </c>
      <c r="J246" s="30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spans="1:22" s="29" customFormat="1" ht="18" customHeight="1" x14ac:dyDescent="0.25">
      <c r="A247" s="40">
        <v>237</v>
      </c>
      <c r="B247" s="54">
        <v>46062</v>
      </c>
      <c r="C247" s="41" t="s">
        <v>685</v>
      </c>
      <c r="D247" s="53">
        <v>20</v>
      </c>
      <c r="E247" s="53" t="s">
        <v>20</v>
      </c>
      <c r="F247" s="53" t="s">
        <v>31</v>
      </c>
      <c r="G247" s="45">
        <v>175000</v>
      </c>
      <c r="H247" s="53" t="s">
        <v>22</v>
      </c>
      <c r="J247" s="30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spans="1:22" s="29" customFormat="1" ht="18" customHeight="1" x14ac:dyDescent="0.25">
      <c r="A248" s="40">
        <v>238</v>
      </c>
      <c r="B248" s="54">
        <v>46062</v>
      </c>
      <c r="C248" s="128" t="s">
        <v>686</v>
      </c>
      <c r="D248" s="53">
        <v>20</v>
      </c>
      <c r="E248" s="53" t="s">
        <v>20</v>
      </c>
      <c r="F248" s="53" t="s">
        <v>31</v>
      </c>
      <c r="G248" s="45">
        <v>175000</v>
      </c>
      <c r="H248" s="53" t="s">
        <v>22</v>
      </c>
      <c r="J248" s="30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spans="1:22" s="29" customFormat="1" ht="18" customHeight="1" x14ac:dyDescent="0.25">
      <c r="A249" s="40">
        <v>239</v>
      </c>
      <c r="B249" s="54">
        <v>46065</v>
      </c>
      <c r="C249" s="41" t="s">
        <v>658</v>
      </c>
      <c r="D249" s="53">
        <v>40</v>
      </c>
      <c r="E249" s="53" t="s">
        <v>20</v>
      </c>
      <c r="F249" s="53" t="s">
        <v>31</v>
      </c>
      <c r="G249" s="45">
        <v>330000</v>
      </c>
      <c r="H249" s="53" t="s">
        <v>25</v>
      </c>
      <c r="J249" s="30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spans="1:22" s="29" customFormat="1" ht="18" customHeight="1" x14ac:dyDescent="0.25">
      <c r="A250" s="40">
        <v>240</v>
      </c>
      <c r="B250" s="54">
        <v>46065</v>
      </c>
      <c r="C250" s="41" t="s">
        <v>659</v>
      </c>
      <c r="D250" s="53">
        <v>40</v>
      </c>
      <c r="E250" s="53" t="s">
        <v>20</v>
      </c>
      <c r="F250" s="53" t="s">
        <v>31</v>
      </c>
      <c r="G250" s="45">
        <v>330000</v>
      </c>
      <c r="H250" s="53" t="s">
        <v>25</v>
      </c>
      <c r="J250" s="30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spans="1:22" s="29" customFormat="1" ht="18" customHeight="1" x14ac:dyDescent="0.25">
      <c r="A251" s="40">
        <v>241</v>
      </c>
      <c r="B251" s="54">
        <v>46065</v>
      </c>
      <c r="C251" s="41" t="s">
        <v>660</v>
      </c>
      <c r="D251" s="53">
        <v>40</v>
      </c>
      <c r="E251" s="53" t="s">
        <v>20</v>
      </c>
      <c r="F251" s="53" t="s">
        <v>31</v>
      </c>
      <c r="G251" s="45">
        <v>330000</v>
      </c>
      <c r="H251" s="53" t="s">
        <v>25</v>
      </c>
      <c r="J251" s="30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spans="1:22" s="29" customFormat="1" ht="18" customHeight="1" x14ac:dyDescent="0.25">
      <c r="A252" s="40">
        <v>242</v>
      </c>
      <c r="B252" s="54">
        <v>46065</v>
      </c>
      <c r="C252" s="41" t="s">
        <v>661</v>
      </c>
      <c r="D252" s="53">
        <v>40</v>
      </c>
      <c r="E252" s="53" t="s">
        <v>20</v>
      </c>
      <c r="F252" s="53" t="s">
        <v>31</v>
      </c>
      <c r="G252" s="45">
        <v>330000</v>
      </c>
      <c r="H252" s="53" t="s">
        <v>25</v>
      </c>
      <c r="J252" s="30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spans="1:22" s="29" customFormat="1" ht="18" customHeight="1" x14ac:dyDescent="0.25">
      <c r="A253" s="40">
        <v>243</v>
      </c>
      <c r="B253" s="54">
        <v>46065</v>
      </c>
      <c r="C253" s="41" t="s">
        <v>662</v>
      </c>
      <c r="D253" s="53">
        <v>40</v>
      </c>
      <c r="E253" s="53" t="s">
        <v>20</v>
      </c>
      <c r="F253" s="53" t="s">
        <v>31</v>
      </c>
      <c r="G253" s="45">
        <v>330000</v>
      </c>
      <c r="H253" s="53" t="s">
        <v>25</v>
      </c>
      <c r="J253" s="30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spans="1:22" s="29" customFormat="1" ht="18" customHeight="1" x14ac:dyDescent="0.25">
      <c r="A254" s="40">
        <v>244</v>
      </c>
      <c r="B254" s="54">
        <v>46065</v>
      </c>
      <c r="C254" s="41" t="s">
        <v>663</v>
      </c>
      <c r="D254" s="53">
        <v>20</v>
      </c>
      <c r="E254" s="53" t="s">
        <v>20</v>
      </c>
      <c r="F254" s="53" t="s">
        <v>31</v>
      </c>
      <c r="G254" s="45">
        <v>330000</v>
      </c>
      <c r="H254" s="53" t="s">
        <v>30</v>
      </c>
      <c r="J254" s="30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spans="1:22" s="29" customFormat="1" ht="18" customHeight="1" x14ac:dyDescent="0.25">
      <c r="A255" s="40">
        <v>245</v>
      </c>
      <c r="B255" s="54">
        <v>46065</v>
      </c>
      <c r="C255" s="41" t="s">
        <v>664</v>
      </c>
      <c r="D255" s="53">
        <v>20</v>
      </c>
      <c r="E255" s="53" t="s">
        <v>20</v>
      </c>
      <c r="F255" s="53" t="s">
        <v>31</v>
      </c>
      <c r="G255" s="45">
        <v>330000</v>
      </c>
      <c r="H255" s="53" t="s">
        <v>30</v>
      </c>
      <c r="J255" s="30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spans="1:22" s="29" customFormat="1" ht="18" customHeight="1" x14ac:dyDescent="0.25">
      <c r="A256" s="40">
        <v>246</v>
      </c>
      <c r="B256" s="54">
        <v>46065</v>
      </c>
      <c r="C256" s="41" t="s">
        <v>665</v>
      </c>
      <c r="D256" s="53">
        <v>20</v>
      </c>
      <c r="E256" s="53" t="s">
        <v>20</v>
      </c>
      <c r="F256" s="53" t="s">
        <v>31</v>
      </c>
      <c r="G256" s="45">
        <v>330000</v>
      </c>
      <c r="H256" s="53" t="s">
        <v>30</v>
      </c>
      <c r="J256" s="30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spans="1:22" s="29" customFormat="1" ht="18" customHeight="1" x14ac:dyDescent="0.25">
      <c r="A257" s="40">
        <v>247</v>
      </c>
      <c r="B257" s="54">
        <v>46065</v>
      </c>
      <c r="C257" s="41" t="s">
        <v>666</v>
      </c>
      <c r="D257" s="53">
        <v>20</v>
      </c>
      <c r="E257" s="53" t="s">
        <v>20</v>
      </c>
      <c r="F257" s="53" t="s">
        <v>31</v>
      </c>
      <c r="G257" s="45">
        <v>330000</v>
      </c>
      <c r="H257" s="53" t="s">
        <v>30</v>
      </c>
      <c r="J257" s="30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spans="1:22" s="29" customFormat="1" ht="18" customHeight="1" x14ac:dyDescent="0.25">
      <c r="A258" s="40">
        <v>248</v>
      </c>
      <c r="B258" s="54">
        <v>46065</v>
      </c>
      <c r="C258" s="128" t="s">
        <v>687</v>
      </c>
      <c r="D258" s="44">
        <v>40</v>
      </c>
      <c r="E258" s="46" t="s">
        <v>20</v>
      </c>
      <c r="F258" s="53" t="s">
        <v>31</v>
      </c>
      <c r="G258" s="97">
        <v>330000</v>
      </c>
      <c r="H258" s="53" t="s">
        <v>22</v>
      </c>
      <c r="J258" s="30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spans="1:22" s="29" customFormat="1" ht="18" customHeight="1" x14ac:dyDescent="0.25">
      <c r="A259" s="40">
        <v>249</v>
      </c>
      <c r="B259" s="54">
        <v>46065</v>
      </c>
      <c r="C259" s="128" t="s">
        <v>688</v>
      </c>
      <c r="D259" s="44">
        <v>40</v>
      </c>
      <c r="E259" s="46" t="s">
        <v>20</v>
      </c>
      <c r="F259" s="53" t="s">
        <v>31</v>
      </c>
      <c r="G259" s="97">
        <v>330000</v>
      </c>
      <c r="H259" s="53" t="s">
        <v>22</v>
      </c>
      <c r="J259" s="30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spans="1:22" s="29" customFormat="1" ht="18" customHeight="1" x14ac:dyDescent="0.25">
      <c r="A260" s="40">
        <v>250</v>
      </c>
      <c r="B260" s="54">
        <v>46065</v>
      </c>
      <c r="C260" s="128" t="s">
        <v>191</v>
      </c>
      <c r="D260" s="44">
        <v>40</v>
      </c>
      <c r="E260" s="46" t="s">
        <v>20</v>
      </c>
      <c r="F260" s="53" t="s">
        <v>31</v>
      </c>
      <c r="G260" s="97">
        <v>330000</v>
      </c>
      <c r="H260" s="53" t="s">
        <v>22</v>
      </c>
      <c r="J260" s="30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spans="1:22" s="29" customFormat="1" ht="18" customHeight="1" x14ac:dyDescent="0.25">
      <c r="A261" s="40">
        <v>251</v>
      </c>
      <c r="B261" s="54">
        <v>46065</v>
      </c>
      <c r="C261" s="128" t="s">
        <v>689</v>
      </c>
      <c r="D261" s="44">
        <v>20</v>
      </c>
      <c r="E261" s="46" t="s">
        <v>20</v>
      </c>
      <c r="F261" s="53" t="s">
        <v>31</v>
      </c>
      <c r="G261" s="45">
        <v>175000</v>
      </c>
      <c r="H261" s="53" t="s">
        <v>22</v>
      </c>
      <c r="J261" s="30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spans="1:22" s="29" customFormat="1" ht="18" customHeight="1" x14ac:dyDescent="0.25">
      <c r="A262" s="40">
        <v>252</v>
      </c>
      <c r="B262" s="54">
        <v>46065</v>
      </c>
      <c r="C262" s="41" t="s">
        <v>690</v>
      </c>
      <c r="D262" s="44">
        <v>20</v>
      </c>
      <c r="E262" s="46" t="s">
        <v>20</v>
      </c>
      <c r="F262" s="53" t="s">
        <v>31</v>
      </c>
      <c r="G262" s="97">
        <v>175000</v>
      </c>
      <c r="H262" s="53" t="s">
        <v>22</v>
      </c>
      <c r="J262" s="30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spans="1:22" s="29" customFormat="1" ht="18" customHeight="1" x14ac:dyDescent="0.25">
      <c r="A263" s="40">
        <v>253</v>
      </c>
      <c r="B263" s="54">
        <v>46065</v>
      </c>
      <c r="C263" s="41" t="s">
        <v>691</v>
      </c>
      <c r="D263" s="53">
        <v>20</v>
      </c>
      <c r="E263" s="53" t="s">
        <v>20</v>
      </c>
      <c r="F263" s="53" t="s">
        <v>31</v>
      </c>
      <c r="G263" s="45">
        <v>175000</v>
      </c>
      <c r="H263" s="53" t="s">
        <v>28</v>
      </c>
      <c r="J263" s="30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spans="1:22" s="29" customFormat="1" ht="18" customHeight="1" x14ac:dyDescent="0.25">
      <c r="A264" s="40">
        <v>254</v>
      </c>
      <c r="B264" s="54">
        <v>46065</v>
      </c>
      <c r="C264" s="41" t="s">
        <v>692</v>
      </c>
      <c r="D264" s="53">
        <v>20</v>
      </c>
      <c r="E264" s="53" t="s">
        <v>20</v>
      </c>
      <c r="F264" s="53" t="s">
        <v>31</v>
      </c>
      <c r="G264" s="45">
        <v>175000</v>
      </c>
      <c r="H264" s="53" t="s">
        <v>28</v>
      </c>
      <c r="J264" s="30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spans="1:22" s="29" customFormat="1" ht="18" customHeight="1" x14ac:dyDescent="0.25">
      <c r="A265" s="40">
        <v>255</v>
      </c>
      <c r="B265" s="54">
        <v>46065</v>
      </c>
      <c r="C265" s="41" t="s">
        <v>693</v>
      </c>
      <c r="D265" s="53">
        <v>20</v>
      </c>
      <c r="E265" s="53" t="s">
        <v>20</v>
      </c>
      <c r="F265" s="53" t="s">
        <v>31</v>
      </c>
      <c r="G265" s="45">
        <v>175000</v>
      </c>
      <c r="H265" s="53" t="s">
        <v>28</v>
      </c>
      <c r="J265" s="30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spans="1:22" s="29" customFormat="1" ht="18" customHeight="1" x14ac:dyDescent="0.25">
      <c r="A266" s="40">
        <v>256</v>
      </c>
      <c r="B266" s="54">
        <v>46065</v>
      </c>
      <c r="C266" s="41" t="s">
        <v>694</v>
      </c>
      <c r="D266" s="53">
        <v>20</v>
      </c>
      <c r="E266" s="53" t="s">
        <v>20</v>
      </c>
      <c r="F266" s="53" t="s">
        <v>31</v>
      </c>
      <c r="G266" s="45">
        <v>175000</v>
      </c>
      <c r="H266" s="53" t="s">
        <v>28</v>
      </c>
      <c r="J266" s="30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spans="1:22" s="29" customFormat="1" ht="18" customHeight="1" x14ac:dyDescent="0.25">
      <c r="A267" s="40">
        <v>257</v>
      </c>
      <c r="B267" s="54">
        <v>46065</v>
      </c>
      <c r="C267" s="41" t="s">
        <v>695</v>
      </c>
      <c r="D267" s="53">
        <v>40</v>
      </c>
      <c r="E267" s="53" t="s">
        <v>20</v>
      </c>
      <c r="F267" s="53" t="s">
        <v>31</v>
      </c>
      <c r="G267" s="119">
        <v>330000</v>
      </c>
      <c r="H267" s="53" t="s">
        <v>28</v>
      </c>
      <c r="J267" s="30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spans="1:22" s="29" customFormat="1" ht="18" customHeight="1" x14ac:dyDescent="0.25">
      <c r="A268" s="40">
        <v>258</v>
      </c>
      <c r="B268" s="54">
        <v>46065</v>
      </c>
      <c r="C268" s="41" t="s">
        <v>696</v>
      </c>
      <c r="D268" s="53">
        <v>40</v>
      </c>
      <c r="E268" s="53" t="s">
        <v>20</v>
      </c>
      <c r="F268" s="53" t="s">
        <v>31</v>
      </c>
      <c r="G268" s="119">
        <v>330000</v>
      </c>
      <c r="H268" s="53" t="s">
        <v>28</v>
      </c>
      <c r="J268" s="30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spans="1:22" s="29" customFormat="1" ht="18" customHeight="1" x14ac:dyDescent="0.25">
      <c r="A269" s="40">
        <v>259</v>
      </c>
      <c r="B269" s="54">
        <v>46065</v>
      </c>
      <c r="C269" s="41" t="s">
        <v>697</v>
      </c>
      <c r="D269" s="53">
        <v>40</v>
      </c>
      <c r="E269" s="53" t="s">
        <v>20</v>
      </c>
      <c r="F269" s="53" t="s">
        <v>31</v>
      </c>
      <c r="G269" s="119">
        <v>330000</v>
      </c>
      <c r="H269" s="53" t="s">
        <v>28</v>
      </c>
      <c r="J269" s="30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spans="1:22" s="29" customFormat="1" ht="18" customHeight="1" x14ac:dyDescent="0.25">
      <c r="A270" s="40">
        <v>260</v>
      </c>
      <c r="B270" s="54">
        <v>46065</v>
      </c>
      <c r="C270" s="41" t="s">
        <v>698</v>
      </c>
      <c r="D270" s="53">
        <v>40</v>
      </c>
      <c r="E270" s="53" t="s">
        <v>20</v>
      </c>
      <c r="F270" s="53" t="s">
        <v>31</v>
      </c>
      <c r="G270" s="119">
        <v>330000</v>
      </c>
      <c r="H270" s="53" t="s">
        <v>28</v>
      </c>
      <c r="J270" s="30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spans="1:22" s="29" customFormat="1" ht="18" customHeight="1" x14ac:dyDescent="0.25">
      <c r="A271" s="40">
        <v>261</v>
      </c>
      <c r="B271" s="54">
        <v>46065</v>
      </c>
      <c r="C271" s="41" t="s">
        <v>699</v>
      </c>
      <c r="D271" s="53">
        <v>40</v>
      </c>
      <c r="E271" s="53" t="s">
        <v>20</v>
      </c>
      <c r="F271" s="53" t="s">
        <v>31</v>
      </c>
      <c r="G271" s="119">
        <v>330000</v>
      </c>
      <c r="H271" s="53" t="s">
        <v>28</v>
      </c>
      <c r="J271" s="30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spans="1:22" s="29" customFormat="1" ht="18" customHeight="1" x14ac:dyDescent="0.25">
      <c r="A272" s="40">
        <v>262</v>
      </c>
      <c r="B272" s="54">
        <v>46065</v>
      </c>
      <c r="C272" s="41" t="s">
        <v>700</v>
      </c>
      <c r="D272" s="53">
        <v>40</v>
      </c>
      <c r="E272" s="53" t="s">
        <v>20</v>
      </c>
      <c r="F272" s="53" t="s">
        <v>31</v>
      </c>
      <c r="G272" s="119">
        <v>330000</v>
      </c>
      <c r="H272" s="53" t="s">
        <v>28</v>
      </c>
      <c r="J272" s="30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spans="1:22" s="29" customFormat="1" ht="18" customHeight="1" x14ac:dyDescent="0.25">
      <c r="A273" s="40">
        <v>263</v>
      </c>
      <c r="B273" s="127">
        <v>46068</v>
      </c>
      <c r="C273" s="41" t="s">
        <v>667</v>
      </c>
      <c r="D273" s="121">
        <v>20</v>
      </c>
      <c r="E273" s="121" t="s">
        <v>20</v>
      </c>
      <c r="F273" s="122" t="s">
        <v>31</v>
      </c>
      <c r="G273" s="45">
        <v>175000</v>
      </c>
      <c r="H273" s="53" t="s">
        <v>35</v>
      </c>
      <c r="J273" s="30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spans="1:22" s="29" customFormat="1" ht="18" customHeight="1" x14ac:dyDescent="0.25">
      <c r="A274" s="40">
        <v>264</v>
      </c>
      <c r="B274" s="127">
        <v>46068</v>
      </c>
      <c r="C274" s="41" t="s">
        <v>668</v>
      </c>
      <c r="D274" s="133">
        <v>20</v>
      </c>
      <c r="E274" s="133" t="s">
        <v>20</v>
      </c>
      <c r="F274" s="122" t="s">
        <v>31</v>
      </c>
      <c r="G274" s="45">
        <v>175000</v>
      </c>
      <c r="H274" s="53" t="s">
        <v>35</v>
      </c>
      <c r="J274" s="30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spans="1:22" s="29" customFormat="1" ht="18" customHeight="1" x14ac:dyDescent="0.25">
      <c r="A275" s="40">
        <v>265</v>
      </c>
      <c r="B275" s="127">
        <v>46068</v>
      </c>
      <c r="C275" s="41" t="s">
        <v>669</v>
      </c>
      <c r="D275" s="132">
        <v>40</v>
      </c>
      <c r="E275" s="133" t="s">
        <v>20</v>
      </c>
      <c r="F275" s="122" t="s">
        <v>31</v>
      </c>
      <c r="G275" s="45">
        <v>330000</v>
      </c>
      <c r="H275" s="53" t="s">
        <v>35</v>
      </c>
      <c r="J275" s="30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spans="1:22" s="29" customFormat="1" ht="18" customHeight="1" x14ac:dyDescent="0.25">
      <c r="A276" s="40">
        <v>266</v>
      </c>
      <c r="B276" s="54">
        <v>46068</v>
      </c>
      <c r="C276" s="41" t="s">
        <v>672</v>
      </c>
      <c r="D276" s="132">
        <v>40</v>
      </c>
      <c r="E276" s="132" t="s">
        <v>20</v>
      </c>
      <c r="F276" s="53" t="s">
        <v>31</v>
      </c>
      <c r="G276" s="45">
        <v>330000</v>
      </c>
      <c r="H276" s="53" t="s">
        <v>16</v>
      </c>
      <c r="J276" s="30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spans="1:22" s="29" customFormat="1" ht="18" customHeight="1" x14ac:dyDescent="0.25">
      <c r="A277" s="40">
        <v>267</v>
      </c>
      <c r="B277" s="54">
        <v>46068</v>
      </c>
      <c r="C277" s="41" t="s">
        <v>674</v>
      </c>
      <c r="D277" s="132">
        <v>40</v>
      </c>
      <c r="E277" s="132" t="s">
        <v>20</v>
      </c>
      <c r="F277" s="53" t="s">
        <v>31</v>
      </c>
      <c r="G277" s="45">
        <v>330000</v>
      </c>
      <c r="H277" s="53" t="s">
        <v>16</v>
      </c>
      <c r="J277" s="30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spans="1:22" s="29" customFormat="1" ht="18" customHeight="1" x14ac:dyDescent="0.25">
      <c r="A278" s="40">
        <v>268</v>
      </c>
      <c r="B278" s="54">
        <v>46068</v>
      </c>
      <c r="C278" s="41" t="s">
        <v>675</v>
      </c>
      <c r="D278" s="132">
        <v>40</v>
      </c>
      <c r="E278" s="132" t="s">
        <v>20</v>
      </c>
      <c r="F278" s="53" t="s">
        <v>31</v>
      </c>
      <c r="G278" s="45">
        <v>330000</v>
      </c>
      <c r="H278" s="53" t="s">
        <v>16</v>
      </c>
      <c r="J278" s="30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spans="1:22" s="29" customFormat="1" ht="18" customHeight="1" x14ac:dyDescent="0.25">
      <c r="A279" s="40">
        <v>269</v>
      </c>
      <c r="B279" s="54">
        <v>46068</v>
      </c>
      <c r="C279" s="41" t="s">
        <v>681</v>
      </c>
      <c r="D279" s="53">
        <v>40</v>
      </c>
      <c r="E279" s="53" t="s">
        <v>20</v>
      </c>
      <c r="F279" s="53" t="s">
        <v>31</v>
      </c>
      <c r="G279" s="45">
        <v>330000</v>
      </c>
      <c r="H279" s="53" t="s">
        <v>22</v>
      </c>
      <c r="J279" s="30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spans="1:22" s="29" customFormat="1" ht="18" customHeight="1" x14ac:dyDescent="0.25">
      <c r="A280" s="40">
        <v>270</v>
      </c>
      <c r="B280" s="54">
        <v>46068</v>
      </c>
      <c r="C280" s="41" t="s">
        <v>682</v>
      </c>
      <c r="D280" s="53">
        <v>20</v>
      </c>
      <c r="E280" s="53" t="s">
        <v>20</v>
      </c>
      <c r="F280" s="53" t="s">
        <v>31</v>
      </c>
      <c r="G280" s="45">
        <v>175000</v>
      </c>
      <c r="H280" s="53" t="s">
        <v>22</v>
      </c>
      <c r="J280" s="30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spans="1:22" s="29" customFormat="1" ht="18" customHeight="1" x14ac:dyDescent="0.25">
      <c r="A281" s="40">
        <v>271</v>
      </c>
      <c r="B281" s="54">
        <v>46068</v>
      </c>
      <c r="C281" s="41" t="s">
        <v>683</v>
      </c>
      <c r="D281" s="53">
        <v>20</v>
      </c>
      <c r="E281" s="53" t="s">
        <v>20</v>
      </c>
      <c r="F281" s="53" t="s">
        <v>31</v>
      </c>
      <c r="G281" s="45">
        <v>175000</v>
      </c>
      <c r="H281" s="53" t="s">
        <v>22</v>
      </c>
      <c r="J281" s="30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spans="1:22" s="29" customFormat="1" ht="18" customHeight="1" x14ac:dyDescent="0.25">
      <c r="A282" s="40">
        <v>272</v>
      </c>
      <c r="B282" s="54">
        <v>46068</v>
      </c>
      <c r="C282" s="129" t="s">
        <v>711</v>
      </c>
      <c r="D282" s="53">
        <v>40</v>
      </c>
      <c r="E282" s="53" t="s">
        <v>20</v>
      </c>
      <c r="F282" s="53" t="s">
        <v>31</v>
      </c>
      <c r="G282" s="45">
        <v>330000</v>
      </c>
      <c r="H282" s="106" t="s">
        <v>23</v>
      </c>
      <c r="J282" s="30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spans="1:22" s="29" customFormat="1" ht="18" customHeight="1" x14ac:dyDescent="0.25">
      <c r="A283" s="40">
        <v>273</v>
      </c>
      <c r="B283" s="105">
        <v>46068</v>
      </c>
      <c r="C283" s="129" t="s">
        <v>713</v>
      </c>
      <c r="D283" s="53">
        <v>20</v>
      </c>
      <c r="E283" s="53" t="s">
        <v>20</v>
      </c>
      <c r="F283" s="53" t="s">
        <v>31</v>
      </c>
      <c r="G283" s="45">
        <v>175000</v>
      </c>
      <c r="H283" s="106" t="s">
        <v>29</v>
      </c>
      <c r="J283" s="30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spans="1:22" s="29" customFormat="1" ht="18" customHeight="1" x14ac:dyDescent="0.25">
      <c r="A284" s="40">
        <v>274</v>
      </c>
      <c r="B284" s="54">
        <v>46068</v>
      </c>
      <c r="C284" s="129" t="s">
        <v>714</v>
      </c>
      <c r="D284" s="53">
        <v>20</v>
      </c>
      <c r="E284" s="53" t="s">
        <v>20</v>
      </c>
      <c r="F284" s="53" t="s">
        <v>31</v>
      </c>
      <c r="G284" s="45">
        <v>175000</v>
      </c>
      <c r="H284" s="106" t="s">
        <v>29</v>
      </c>
      <c r="J284" s="30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spans="1:22" s="29" customFormat="1" ht="18" customHeight="1" x14ac:dyDescent="0.25">
      <c r="A285" s="40">
        <v>275</v>
      </c>
      <c r="B285" s="105">
        <v>46068</v>
      </c>
      <c r="C285" s="129" t="s">
        <v>453</v>
      </c>
      <c r="D285" s="53">
        <v>20</v>
      </c>
      <c r="E285" s="53" t="s">
        <v>20</v>
      </c>
      <c r="F285" s="53" t="s">
        <v>31</v>
      </c>
      <c r="G285" s="45">
        <v>175000</v>
      </c>
      <c r="H285" s="106" t="s">
        <v>29</v>
      </c>
      <c r="J285" s="30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spans="1:22" s="29" customFormat="1" ht="18" customHeight="1" x14ac:dyDescent="0.25">
      <c r="A286" s="40">
        <v>276</v>
      </c>
      <c r="B286" s="54">
        <v>46068</v>
      </c>
      <c r="C286" s="129" t="s">
        <v>715</v>
      </c>
      <c r="D286" s="53">
        <v>20</v>
      </c>
      <c r="E286" s="53" t="s">
        <v>20</v>
      </c>
      <c r="F286" s="53" t="s">
        <v>31</v>
      </c>
      <c r="G286" s="45">
        <v>175000</v>
      </c>
      <c r="H286" s="106" t="s">
        <v>29</v>
      </c>
      <c r="J286" s="30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spans="1:22" s="29" customFormat="1" ht="18" customHeight="1" x14ac:dyDescent="0.25">
      <c r="A287" s="40">
        <v>277</v>
      </c>
      <c r="B287" s="105">
        <v>46068</v>
      </c>
      <c r="C287" s="129" t="s">
        <v>716</v>
      </c>
      <c r="D287" s="53">
        <v>40</v>
      </c>
      <c r="E287" s="53" t="s">
        <v>20</v>
      </c>
      <c r="F287" s="53" t="s">
        <v>31</v>
      </c>
      <c r="G287" s="45">
        <v>330000</v>
      </c>
      <c r="H287" s="106" t="s">
        <v>29</v>
      </c>
      <c r="J287" s="30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spans="1:22" s="29" customFormat="1" ht="18" customHeight="1" x14ac:dyDescent="0.25">
      <c r="A288" s="40">
        <v>278</v>
      </c>
      <c r="B288" s="54">
        <v>46068</v>
      </c>
      <c r="C288" s="129" t="s">
        <v>717</v>
      </c>
      <c r="D288" s="53">
        <v>40</v>
      </c>
      <c r="E288" s="53" t="s">
        <v>20</v>
      </c>
      <c r="F288" s="53" t="s">
        <v>31</v>
      </c>
      <c r="G288" s="45">
        <v>330000</v>
      </c>
      <c r="H288" s="106" t="s">
        <v>29</v>
      </c>
      <c r="J288" s="30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spans="1:22" s="29" customFormat="1" ht="18" customHeight="1" x14ac:dyDescent="0.25">
      <c r="A289" s="40">
        <v>279</v>
      </c>
      <c r="B289" s="54">
        <v>46069</v>
      </c>
      <c r="C289" s="41" t="s">
        <v>671</v>
      </c>
      <c r="D289" s="53">
        <v>40</v>
      </c>
      <c r="E289" s="53" t="s">
        <v>20</v>
      </c>
      <c r="F289" s="53" t="s">
        <v>31</v>
      </c>
      <c r="G289" s="45">
        <v>330000</v>
      </c>
      <c r="H289" s="53" t="s">
        <v>16</v>
      </c>
      <c r="J289" s="30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spans="1:22" s="29" customFormat="1" ht="18" customHeight="1" x14ac:dyDescent="0.25">
      <c r="A290" s="40">
        <v>280</v>
      </c>
      <c r="B290" s="54">
        <v>46069</v>
      </c>
      <c r="C290" s="41" t="s">
        <v>673</v>
      </c>
      <c r="D290" s="53">
        <v>20</v>
      </c>
      <c r="E290" s="53" t="s">
        <v>20</v>
      </c>
      <c r="F290" s="53" t="s">
        <v>31</v>
      </c>
      <c r="G290" s="45">
        <v>175000</v>
      </c>
      <c r="H290" s="53" t="s">
        <v>16</v>
      </c>
      <c r="J290" s="30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spans="1:22" s="29" customFormat="1" ht="18" customHeight="1" x14ac:dyDescent="0.25">
      <c r="A291" s="40">
        <v>281</v>
      </c>
      <c r="B291" s="54">
        <v>46069</v>
      </c>
      <c r="C291" s="41" t="s">
        <v>676</v>
      </c>
      <c r="D291" s="53">
        <v>20</v>
      </c>
      <c r="E291" s="53" t="s">
        <v>20</v>
      </c>
      <c r="F291" s="53" t="s">
        <v>31</v>
      </c>
      <c r="G291" s="45">
        <v>175000</v>
      </c>
      <c r="H291" s="53" t="s">
        <v>16</v>
      </c>
      <c r="J291" s="30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spans="1:22" s="29" customFormat="1" ht="18" customHeight="1" x14ac:dyDescent="0.25">
      <c r="A292" s="40">
        <v>282</v>
      </c>
      <c r="B292" s="54">
        <v>46069</v>
      </c>
      <c r="C292" s="41" t="s">
        <v>677</v>
      </c>
      <c r="D292" s="53">
        <v>40</v>
      </c>
      <c r="E292" s="53" t="s">
        <v>20</v>
      </c>
      <c r="F292" s="53" t="s">
        <v>31</v>
      </c>
      <c r="G292" s="45">
        <v>330000</v>
      </c>
      <c r="H292" s="53" t="s">
        <v>16</v>
      </c>
      <c r="J292" s="30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spans="1:22" s="29" customFormat="1" ht="18" customHeight="1" x14ac:dyDescent="0.25">
      <c r="A293" s="40">
        <v>283</v>
      </c>
      <c r="B293" s="127">
        <v>46069</v>
      </c>
      <c r="C293" s="41" t="s">
        <v>678</v>
      </c>
      <c r="D293" s="121">
        <v>20</v>
      </c>
      <c r="E293" s="53" t="s">
        <v>20</v>
      </c>
      <c r="F293" s="122" t="s">
        <v>31</v>
      </c>
      <c r="G293" s="45">
        <v>175000</v>
      </c>
      <c r="H293" s="53" t="s">
        <v>602</v>
      </c>
      <c r="J293" s="30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spans="1:22" s="29" customFormat="1" ht="18" customHeight="1" x14ac:dyDescent="0.25">
      <c r="A294" s="40">
        <v>284</v>
      </c>
      <c r="B294" s="127">
        <v>46069</v>
      </c>
      <c r="C294" s="41" t="s">
        <v>679</v>
      </c>
      <c r="D294" s="121">
        <v>20</v>
      </c>
      <c r="E294" s="53" t="s">
        <v>20</v>
      </c>
      <c r="F294" s="122" t="s">
        <v>31</v>
      </c>
      <c r="G294" s="45">
        <v>175000</v>
      </c>
      <c r="H294" s="53" t="s">
        <v>602</v>
      </c>
      <c r="J294" s="30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spans="1:22" s="29" customFormat="1" ht="18" customHeight="1" x14ac:dyDescent="0.25">
      <c r="A295" s="40">
        <v>285</v>
      </c>
      <c r="B295" s="127">
        <v>46069</v>
      </c>
      <c r="C295" s="41" t="s">
        <v>680</v>
      </c>
      <c r="D295" s="53">
        <v>40</v>
      </c>
      <c r="E295" s="53" t="s">
        <v>20</v>
      </c>
      <c r="F295" s="122" t="s">
        <v>31</v>
      </c>
      <c r="G295" s="45">
        <v>330000</v>
      </c>
      <c r="H295" s="53" t="s">
        <v>602</v>
      </c>
      <c r="J295" s="30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spans="1:22" s="29" customFormat="1" ht="18" customHeight="1" x14ac:dyDescent="0.25">
      <c r="A296" s="40">
        <v>286</v>
      </c>
      <c r="B296" s="54">
        <v>46071</v>
      </c>
      <c r="C296" s="129" t="s">
        <v>701</v>
      </c>
      <c r="D296" s="53">
        <v>20</v>
      </c>
      <c r="E296" s="53" t="s">
        <v>20</v>
      </c>
      <c r="F296" s="122" t="s">
        <v>31</v>
      </c>
      <c r="G296" s="45">
        <v>175000</v>
      </c>
      <c r="H296" s="53" t="s">
        <v>35</v>
      </c>
      <c r="J296" s="30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spans="1:22" s="29" customFormat="1" ht="18" customHeight="1" x14ac:dyDescent="0.25">
      <c r="A297" s="40">
        <v>287</v>
      </c>
      <c r="B297" s="54">
        <v>46071</v>
      </c>
      <c r="C297" s="129" t="s">
        <v>702</v>
      </c>
      <c r="D297" s="53">
        <v>20</v>
      </c>
      <c r="E297" s="53" t="s">
        <v>20</v>
      </c>
      <c r="F297" s="53" t="s">
        <v>31</v>
      </c>
      <c r="G297" s="45">
        <v>175000</v>
      </c>
      <c r="H297" s="53" t="s">
        <v>35</v>
      </c>
      <c r="J297" s="30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spans="1:22" s="29" customFormat="1" ht="18" customHeight="1" x14ac:dyDescent="0.25">
      <c r="A298" s="40">
        <v>288</v>
      </c>
      <c r="B298" s="54">
        <v>46071</v>
      </c>
      <c r="C298" s="129" t="s">
        <v>703</v>
      </c>
      <c r="D298" s="53">
        <v>20</v>
      </c>
      <c r="E298" s="53" t="s">
        <v>20</v>
      </c>
      <c r="F298" s="53" t="s">
        <v>31</v>
      </c>
      <c r="G298" s="45">
        <v>175000</v>
      </c>
      <c r="H298" s="53" t="s">
        <v>35</v>
      </c>
      <c r="J298" s="30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spans="1:22" s="29" customFormat="1" ht="18" customHeight="1" x14ac:dyDescent="0.25">
      <c r="A299" s="40">
        <v>289</v>
      </c>
      <c r="B299" s="54">
        <v>46071</v>
      </c>
      <c r="C299" s="129" t="s">
        <v>704</v>
      </c>
      <c r="D299" s="53">
        <v>20</v>
      </c>
      <c r="E299" s="53" t="s">
        <v>20</v>
      </c>
      <c r="F299" s="53" t="s">
        <v>31</v>
      </c>
      <c r="G299" s="45">
        <v>175000</v>
      </c>
      <c r="H299" s="53" t="s">
        <v>35</v>
      </c>
      <c r="J299" s="30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spans="1:22" s="29" customFormat="1" ht="18" customHeight="1" x14ac:dyDescent="0.25">
      <c r="A300" s="40">
        <v>290</v>
      </c>
      <c r="B300" s="54">
        <v>46071</v>
      </c>
      <c r="C300" s="129" t="s">
        <v>705</v>
      </c>
      <c r="D300" s="53">
        <v>20</v>
      </c>
      <c r="E300" s="53" t="s">
        <v>20</v>
      </c>
      <c r="F300" s="53" t="s">
        <v>31</v>
      </c>
      <c r="G300" s="45">
        <v>175000</v>
      </c>
      <c r="H300" s="53" t="s">
        <v>35</v>
      </c>
      <c r="J300" s="30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spans="1:22" s="29" customFormat="1" ht="18" customHeight="1" x14ac:dyDescent="0.25">
      <c r="A301" s="40">
        <v>291</v>
      </c>
      <c r="B301" s="54">
        <v>46071</v>
      </c>
      <c r="C301" s="129" t="s">
        <v>706</v>
      </c>
      <c r="D301" s="53">
        <v>20</v>
      </c>
      <c r="E301" s="53" t="s">
        <v>20</v>
      </c>
      <c r="F301" s="53" t="s">
        <v>31</v>
      </c>
      <c r="G301" s="45">
        <v>175000</v>
      </c>
      <c r="H301" s="53" t="s">
        <v>35</v>
      </c>
      <c r="J301" s="30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spans="1:22" s="29" customFormat="1" ht="18" customHeight="1" x14ac:dyDescent="0.25">
      <c r="A302" s="40">
        <v>292</v>
      </c>
      <c r="B302" s="54">
        <v>46071</v>
      </c>
      <c r="C302" s="129" t="s">
        <v>707</v>
      </c>
      <c r="D302" s="53">
        <v>40</v>
      </c>
      <c r="E302" s="53" t="s">
        <v>20</v>
      </c>
      <c r="F302" s="53" t="s">
        <v>31</v>
      </c>
      <c r="G302" s="45">
        <v>330000</v>
      </c>
      <c r="H302" s="53" t="s">
        <v>35</v>
      </c>
      <c r="J302" s="30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spans="1:22" s="29" customFormat="1" ht="18" customHeight="1" x14ac:dyDescent="0.25">
      <c r="A303" s="40">
        <v>293</v>
      </c>
      <c r="B303" s="54">
        <v>46071</v>
      </c>
      <c r="C303" s="129" t="s">
        <v>708</v>
      </c>
      <c r="D303" s="53">
        <v>40</v>
      </c>
      <c r="E303" s="53" t="s">
        <v>20</v>
      </c>
      <c r="F303" s="53" t="s">
        <v>31</v>
      </c>
      <c r="G303" s="45">
        <v>330000</v>
      </c>
      <c r="H303" s="53" t="s">
        <v>35</v>
      </c>
      <c r="J303" s="30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spans="1:22" s="29" customFormat="1" ht="18" customHeight="1" x14ac:dyDescent="0.25">
      <c r="A304" s="40">
        <v>294</v>
      </c>
      <c r="B304" s="54">
        <v>46071</v>
      </c>
      <c r="C304" s="129" t="s">
        <v>709</v>
      </c>
      <c r="D304" s="53">
        <v>40</v>
      </c>
      <c r="E304" s="53" t="s">
        <v>20</v>
      </c>
      <c r="F304" s="53" t="s">
        <v>31</v>
      </c>
      <c r="G304" s="45">
        <v>330000</v>
      </c>
      <c r="H304" s="53" t="s">
        <v>35</v>
      </c>
      <c r="J304" s="30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spans="1:22" s="29" customFormat="1" ht="18" customHeight="1" x14ac:dyDescent="0.25">
      <c r="A305" s="40">
        <v>295</v>
      </c>
      <c r="B305" s="99">
        <v>46071</v>
      </c>
      <c r="C305" s="129" t="s">
        <v>710</v>
      </c>
      <c r="D305" s="53">
        <v>40</v>
      </c>
      <c r="E305" s="53" t="s">
        <v>20</v>
      </c>
      <c r="F305" s="53" t="s">
        <v>31</v>
      </c>
      <c r="G305" s="45">
        <v>330000</v>
      </c>
      <c r="H305" s="53" t="s">
        <v>35</v>
      </c>
      <c r="J305" s="30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spans="1:22" s="29" customFormat="1" ht="18" customHeight="1" x14ac:dyDescent="0.25">
      <c r="A306" s="40">
        <v>302</v>
      </c>
      <c r="B306" s="105">
        <v>46071</v>
      </c>
      <c r="C306" s="129" t="s">
        <v>719</v>
      </c>
      <c r="D306" s="53">
        <v>40</v>
      </c>
      <c r="E306" s="53" t="s">
        <v>20</v>
      </c>
      <c r="F306" s="53" t="s">
        <v>31</v>
      </c>
      <c r="G306" s="51">
        <v>330000</v>
      </c>
      <c r="H306" s="106" t="s">
        <v>29</v>
      </c>
      <c r="J306" s="30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  <row r="307" spans="1:22" s="29" customFormat="1" ht="18" customHeight="1" x14ac:dyDescent="0.25">
      <c r="A307" s="40">
        <v>303</v>
      </c>
      <c r="B307" s="105">
        <v>46071</v>
      </c>
      <c r="C307" s="129" t="s">
        <v>720</v>
      </c>
      <c r="D307" s="53">
        <v>20</v>
      </c>
      <c r="E307" s="53" t="s">
        <v>20</v>
      </c>
      <c r="F307" s="53" t="s">
        <v>31</v>
      </c>
      <c r="G307" s="119">
        <v>175000</v>
      </c>
      <c r="H307" s="106" t="s">
        <v>29</v>
      </c>
      <c r="J307" s="30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</row>
    <row r="308" spans="1:22" s="29" customFormat="1" ht="18" customHeight="1" x14ac:dyDescent="0.25">
      <c r="A308" s="40">
        <v>304</v>
      </c>
      <c r="B308" s="105">
        <v>46071</v>
      </c>
      <c r="C308" s="129" t="s">
        <v>721</v>
      </c>
      <c r="D308" s="53">
        <v>20</v>
      </c>
      <c r="E308" s="53" t="s">
        <v>20</v>
      </c>
      <c r="F308" s="53" t="s">
        <v>31</v>
      </c>
      <c r="G308" s="119">
        <v>175000</v>
      </c>
      <c r="H308" s="106" t="s">
        <v>29</v>
      </c>
      <c r="J308" s="30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</row>
    <row r="309" spans="1:22" s="29" customFormat="1" ht="18" customHeight="1" x14ac:dyDescent="0.25">
      <c r="A309" s="40">
        <v>305</v>
      </c>
      <c r="B309" s="105">
        <v>46071</v>
      </c>
      <c r="C309" s="129" t="s">
        <v>722</v>
      </c>
      <c r="D309" s="53">
        <v>40</v>
      </c>
      <c r="E309" s="53" t="s">
        <v>20</v>
      </c>
      <c r="F309" s="53" t="s">
        <v>31</v>
      </c>
      <c r="G309" s="119">
        <v>330000</v>
      </c>
      <c r="H309" s="106" t="s">
        <v>742</v>
      </c>
      <c r="J309" s="30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</row>
    <row r="310" spans="1:22" s="29" customFormat="1" ht="18" customHeight="1" x14ac:dyDescent="0.25">
      <c r="A310" s="40">
        <v>306</v>
      </c>
      <c r="B310" s="105">
        <v>46071</v>
      </c>
      <c r="C310" s="129" t="s">
        <v>723</v>
      </c>
      <c r="D310" s="53">
        <v>40</v>
      </c>
      <c r="E310" s="53" t="s">
        <v>20</v>
      </c>
      <c r="F310" s="53" t="s">
        <v>31</v>
      </c>
      <c r="G310" s="119">
        <v>330000</v>
      </c>
      <c r="H310" s="106" t="s">
        <v>742</v>
      </c>
      <c r="J310" s="30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</row>
    <row r="311" spans="1:22" s="29" customFormat="1" ht="18" customHeight="1" x14ac:dyDescent="0.25">
      <c r="A311" s="40">
        <v>307</v>
      </c>
      <c r="B311" s="105">
        <v>46071</v>
      </c>
      <c r="C311" s="129" t="s">
        <v>724</v>
      </c>
      <c r="D311" s="53">
        <v>20</v>
      </c>
      <c r="E311" s="53" t="s">
        <v>20</v>
      </c>
      <c r="F311" s="53" t="s">
        <v>31</v>
      </c>
      <c r="G311" s="119">
        <v>175000</v>
      </c>
      <c r="H311" s="106" t="s">
        <v>29</v>
      </c>
      <c r="J311" s="30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</row>
    <row r="312" spans="1:22" s="29" customFormat="1" ht="18" customHeight="1" x14ac:dyDescent="0.25">
      <c r="A312" s="40">
        <v>308</v>
      </c>
      <c r="B312" s="105">
        <v>46071</v>
      </c>
      <c r="C312" s="129" t="s">
        <v>725</v>
      </c>
      <c r="D312" s="53">
        <v>20</v>
      </c>
      <c r="E312" s="53" t="s">
        <v>20</v>
      </c>
      <c r="F312" s="53" t="s">
        <v>31</v>
      </c>
      <c r="G312" s="119">
        <v>175000</v>
      </c>
      <c r="H312" s="106" t="s">
        <v>29</v>
      </c>
      <c r="J312" s="30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</row>
    <row r="313" spans="1:22" s="29" customFormat="1" ht="18" customHeight="1" x14ac:dyDescent="0.25">
      <c r="A313" s="40">
        <v>309</v>
      </c>
      <c r="B313" s="105">
        <v>46071</v>
      </c>
      <c r="C313" s="129" t="s">
        <v>726</v>
      </c>
      <c r="D313" s="53">
        <v>20</v>
      </c>
      <c r="E313" s="53" t="s">
        <v>20</v>
      </c>
      <c r="F313" s="53" t="s">
        <v>31</v>
      </c>
      <c r="G313" s="119">
        <v>175000</v>
      </c>
      <c r="H313" s="106" t="s">
        <v>742</v>
      </c>
      <c r="J313" s="30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</row>
    <row r="314" spans="1:22" s="29" customFormat="1" ht="18" customHeight="1" x14ac:dyDescent="0.25">
      <c r="A314" s="40">
        <v>310</v>
      </c>
      <c r="B314" s="105">
        <v>46071</v>
      </c>
      <c r="C314" s="129" t="s">
        <v>727</v>
      </c>
      <c r="D314" s="53">
        <v>20</v>
      </c>
      <c r="E314" s="53" t="s">
        <v>20</v>
      </c>
      <c r="F314" s="53" t="s">
        <v>31</v>
      </c>
      <c r="G314" s="119">
        <v>175000</v>
      </c>
      <c r="H314" s="106" t="s">
        <v>742</v>
      </c>
      <c r="J314" s="30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</row>
    <row r="315" spans="1:22" s="29" customFormat="1" ht="18" customHeight="1" x14ac:dyDescent="0.25">
      <c r="A315" s="40">
        <v>311</v>
      </c>
      <c r="B315" s="105">
        <v>46071</v>
      </c>
      <c r="C315" s="128" t="s">
        <v>728</v>
      </c>
      <c r="D315" s="53">
        <v>40</v>
      </c>
      <c r="E315" s="53" t="s">
        <v>20</v>
      </c>
      <c r="F315" s="53" t="s">
        <v>31</v>
      </c>
      <c r="G315" s="119">
        <v>330000</v>
      </c>
      <c r="H315" s="106" t="s">
        <v>742</v>
      </c>
      <c r="J315" s="30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</row>
    <row r="316" spans="1:22" s="29" customFormat="1" ht="18" customHeight="1" x14ac:dyDescent="0.25">
      <c r="A316" s="40">
        <v>312</v>
      </c>
      <c r="B316" s="105">
        <v>46071</v>
      </c>
      <c r="C316" s="128" t="s">
        <v>729</v>
      </c>
      <c r="D316" s="53">
        <v>40</v>
      </c>
      <c r="E316" s="53" t="s">
        <v>20</v>
      </c>
      <c r="F316" s="53" t="s">
        <v>31</v>
      </c>
      <c r="G316" s="119">
        <v>330000</v>
      </c>
      <c r="H316" s="106" t="s">
        <v>742</v>
      </c>
      <c r="J316" s="30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spans="1:22" s="29" customFormat="1" ht="18" customHeight="1" x14ac:dyDescent="0.25">
      <c r="A317" s="40">
        <v>313</v>
      </c>
      <c r="B317" s="105">
        <v>46071</v>
      </c>
      <c r="C317" s="128" t="s">
        <v>730</v>
      </c>
      <c r="D317" s="53">
        <v>40</v>
      </c>
      <c r="E317" s="53" t="s">
        <v>20</v>
      </c>
      <c r="F317" s="53" t="s">
        <v>31</v>
      </c>
      <c r="G317" s="119">
        <v>330000</v>
      </c>
      <c r="H317" s="106" t="s">
        <v>742</v>
      </c>
      <c r="J317" s="30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spans="1:22" s="29" customFormat="1" ht="18" customHeight="1" x14ac:dyDescent="0.25">
      <c r="A318" s="40">
        <v>314</v>
      </c>
      <c r="B318" s="105">
        <v>46071</v>
      </c>
      <c r="C318" s="128" t="s">
        <v>731</v>
      </c>
      <c r="D318" s="53">
        <v>40</v>
      </c>
      <c r="E318" s="53" t="s">
        <v>20</v>
      </c>
      <c r="F318" s="53" t="s">
        <v>31</v>
      </c>
      <c r="G318" s="119">
        <v>330000</v>
      </c>
      <c r="H318" s="106" t="s">
        <v>742</v>
      </c>
      <c r="J318" s="30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spans="1:22" s="29" customFormat="1" ht="18" customHeight="1" x14ac:dyDescent="0.25">
      <c r="A319" s="40">
        <v>315</v>
      </c>
      <c r="B319" s="105">
        <v>46071</v>
      </c>
      <c r="C319" s="128" t="s">
        <v>732</v>
      </c>
      <c r="D319" s="53">
        <v>40</v>
      </c>
      <c r="E319" s="53" t="s">
        <v>20</v>
      </c>
      <c r="F319" s="53" t="s">
        <v>31</v>
      </c>
      <c r="G319" s="119">
        <v>330000</v>
      </c>
      <c r="H319" s="106" t="s">
        <v>742</v>
      </c>
      <c r="J319" s="30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spans="1:22" s="29" customFormat="1" ht="18" customHeight="1" x14ac:dyDescent="0.25">
      <c r="A320" s="40">
        <v>316</v>
      </c>
      <c r="B320" s="105">
        <v>46071</v>
      </c>
      <c r="C320" s="128" t="s">
        <v>733</v>
      </c>
      <c r="D320" s="53">
        <v>40</v>
      </c>
      <c r="E320" s="53" t="s">
        <v>20</v>
      </c>
      <c r="F320" s="53" t="s">
        <v>31</v>
      </c>
      <c r="G320" s="119">
        <v>330000</v>
      </c>
      <c r="H320" s="106" t="s">
        <v>742</v>
      </c>
      <c r="J320" s="30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spans="1:22" s="29" customFormat="1" ht="18" customHeight="1" x14ac:dyDescent="0.25">
      <c r="A321" s="40">
        <v>317</v>
      </c>
      <c r="B321" s="105">
        <v>46071</v>
      </c>
      <c r="C321" s="128" t="s">
        <v>734</v>
      </c>
      <c r="D321" s="53">
        <v>20</v>
      </c>
      <c r="E321" s="53" t="s">
        <v>20</v>
      </c>
      <c r="F321" s="53" t="s">
        <v>31</v>
      </c>
      <c r="G321" s="119">
        <v>175000</v>
      </c>
      <c r="H321" s="106" t="s">
        <v>742</v>
      </c>
      <c r="J321" s="30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spans="1:22" s="29" customFormat="1" ht="18" customHeight="1" x14ac:dyDescent="0.25">
      <c r="A322" s="40">
        <v>318</v>
      </c>
      <c r="B322" s="105">
        <v>46071</v>
      </c>
      <c r="C322" s="128" t="s">
        <v>735</v>
      </c>
      <c r="D322" s="53">
        <v>20</v>
      </c>
      <c r="E322" s="53" t="s">
        <v>20</v>
      </c>
      <c r="F322" s="53" t="s">
        <v>31</v>
      </c>
      <c r="G322" s="119">
        <v>175000</v>
      </c>
      <c r="H322" s="106" t="s">
        <v>742</v>
      </c>
      <c r="J322" s="30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spans="1:22" s="29" customFormat="1" ht="18" customHeight="1" x14ac:dyDescent="0.25">
      <c r="A323" s="40">
        <v>319</v>
      </c>
      <c r="B323" s="105">
        <v>46071</v>
      </c>
      <c r="C323" s="128" t="s">
        <v>736</v>
      </c>
      <c r="D323" s="53">
        <v>20</v>
      </c>
      <c r="E323" s="53" t="s">
        <v>20</v>
      </c>
      <c r="F323" s="53" t="s">
        <v>31</v>
      </c>
      <c r="G323" s="119">
        <v>175000</v>
      </c>
      <c r="H323" s="106" t="s">
        <v>742</v>
      </c>
      <c r="J323" s="30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spans="1:22" s="29" customFormat="1" ht="18" customHeight="1" x14ac:dyDescent="0.25">
      <c r="A324" s="40">
        <v>320</v>
      </c>
      <c r="B324" s="105">
        <v>46071</v>
      </c>
      <c r="C324" s="128" t="s">
        <v>737</v>
      </c>
      <c r="D324" s="53">
        <v>20</v>
      </c>
      <c r="E324" s="53" t="s">
        <v>20</v>
      </c>
      <c r="F324" s="53" t="s">
        <v>31</v>
      </c>
      <c r="G324" s="119">
        <v>175000</v>
      </c>
      <c r="H324" s="106" t="s">
        <v>742</v>
      </c>
      <c r="J324" s="30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spans="1:22" s="29" customFormat="1" ht="18" customHeight="1" x14ac:dyDescent="0.25">
      <c r="A325" s="40">
        <v>321</v>
      </c>
      <c r="B325" s="105">
        <v>46071</v>
      </c>
      <c r="C325" s="41" t="s">
        <v>738</v>
      </c>
      <c r="D325" s="53">
        <v>20</v>
      </c>
      <c r="E325" s="53" t="s">
        <v>20</v>
      </c>
      <c r="F325" s="53" t="s">
        <v>31</v>
      </c>
      <c r="G325" s="119">
        <v>175000</v>
      </c>
      <c r="H325" s="106" t="s">
        <v>742</v>
      </c>
      <c r="J325" s="30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spans="1:22" s="29" customFormat="1" ht="18" customHeight="1" x14ac:dyDescent="0.25">
      <c r="A326" s="40">
        <v>322</v>
      </c>
      <c r="B326" s="105">
        <v>46071</v>
      </c>
      <c r="C326" s="41" t="s">
        <v>739</v>
      </c>
      <c r="D326" s="53">
        <v>20</v>
      </c>
      <c r="E326" s="53" t="s">
        <v>20</v>
      </c>
      <c r="F326" s="53" t="s">
        <v>31</v>
      </c>
      <c r="G326" s="119">
        <v>175000</v>
      </c>
      <c r="H326" s="106" t="s">
        <v>742</v>
      </c>
      <c r="J326" s="30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spans="1:22" s="29" customFormat="1" ht="18" customHeight="1" x14ac:dyDescent="0.25">
      <c r="A327" s="40">
        <v>323</v>
      </c>
      <c r="B327" s="54">
        <v>46068</v>
      </c>
      <c r="C327" s="41" t="s">
        <v>740</v>
      </c>
      <c r="D327" s="53">
        <v>20</v>
      </c>
      <c r="E327" s="53" t="s">
        <v>20</v>
      </c>
      <c r="F327" s="53" t="s">
        <v>31</v>
      </c>
      <c r="G327" s="119">
        <v>175000</v>
      </c>
      <c r="H327" s="106" t="s">
        <v>29</v>
      </c>
      <c r="J327" s="30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spans="1:22" s="29" customFormat="1" ht="18" customHeight="1" x14ac:dyDescent="0.25">
      <c r="A328" s="40">
        <v>324</v>
      </c>
      <c r="B328" s="54">
        <v>46068</v>
      </c>
      <c r="C328" s="41" t="s">
        <v>741</v>
      </c>
      <c r="D328" s="53">
        <v>20</v>
      </c>
      <c r="E328" s="53" t="s">
        <v>20</v>
      </c>
      <c r="F328" s="53" t="s">
        <v>31</v>
      </c>
      <c r="G328" s="119">
        <v>175000</v>
      </c>
      <c r="H328" s="106" t="s">
        <v>29</v>
      </c>
      <c r="J328" s="30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spans="1:22" s="29" customFormat="1" ht="18" customHeight="1" x14ac:dyDescent="0.25">
      <c r="A329" s="40">
        <v>325</v>
      </c>
      <c r="B329" s="54">
        <v>46068</v>
      </c>
      <c r="C329" s="41" t="s">
        <v>242</v>
      </c>
      <c r="D329" s="53">
        <v>40</v>
      </c>
      <c r="E329" s="53" t="s">
        <v>20</v>
      </c>
      <c r="F329" s="53" t="s">
        <v>31</v>
      </c>
      <c r="G329" s="51">
        <v>330000</v>
      </c>
      <c r="H329" s="106" t="s">
        <v>29</v>
      </c>
      <c r="J329" s="30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spans="1:22" s="29" customFormat="1" ht="18" customHeight="1" x14ac:dyDescent="0.25">
      <c r="A330" s="40">
        <v>326</v>
      </c>
      <c r="B330" s="136">
        <v>46053</v>
      </c>
      <c r="C330" s="137" t="s">
        <v>743</v>
      </c>
      <c r="D330" s="138">
        <v>40</v>
      </c>
      <c r="E330" s="139" t="s">
        <v>20</v>
      </c>
      <c r="F330" s="140" t="s">
        <v>515</v>
      </c>
      <c r="G330" s="141">
        <v>358000</v>
      </c>
      <c r="H330" s="140" t="s">
        <v>35</v>
      </c>
      <c r="J330" s="30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spans="1:22" s="29" customFormat="1" ht="18" customHeight="1" x14ac:dyDescent="0.25">
      <c r="A331" s="40">
        <v>327</v>
      </c>
      <c r="B331" s="136">
        <v>46053</v>
      </c>
      <c r="C331" s="142" t="s">
        <v>744</v>
      </c>
      <c r="D331" s="138">
        <v>40</v>
      </c>
      <c r="E331" s="139" t="s">
        <v>20</v>
      </c>
      <c r="F331" s="140" t="s">
        <v>515</v>
      </c>
      <c r="G331" s="141">
        <v>358000</v>
      </c>
      <c r="H331" s="140" t="s">
        <v>35</v>
      </c>
      <c r="J331" s="30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spans="1:22" s="29" customFormat="1" ht="18" customHeight="1" x14ac:dyDescent="0.25">
      <c r="A332" s="40">
        <v>328</v>
      </c>
      <c r="B332" s="136">
        <v>46053</v>
      </c>
      <c r="C332" s="142" t="s">
        <v>745</v>
      </c>
      <c r="D332" s="138">
        <v>40</v>
      </c>
      <c r="E332" s="139" t="s">
        <v>20</v>
      </c>
      <c r="F332" s="140" t="s">
        <v>515</v>
      </c>
      <c r="G332" s="141">
        <v>358000</v>
      </c>
      <c r="H332" s="140" t="s">
        <v>35</v>
      </c>
      <c r="J332" s="30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spans="1:22" s="29" customFormat="1" ht="18" customHeight="1" x14ac:dyDescent="0.25">
      <c r="A333" s="40">
        <v>329</v>
      </c>
      <c r="B333" s="54"/>
      <c r="C333" s="129"/>
      <c r="D333" s="53"/>
      <c r="E333" s="53"/>
      <c r="F333" s="53"/>
      <c r="G333" s="45"/>
      <c r="H333" s="53"/>
      <c r="J333" s="30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spans="1:22" s="29" customFormat="1" ht="18" customHeight="1" x14ac:dyDescent="0.25">
      <c r="A334" s="40">
        <v>330</v>
      </c>
      <c r="B334" s="54"/>
      <c r="C334" s="53"/>
      <c r="D334" s="53"/>
      <c r="E334" s="53"/>
      <c r="F334" s="53"/>
      <c r="G334" s="45"/>
      <c r="H334" s="53"/>
      <c r="J334" s="30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spans="1:22" s="29" customFormat="1" ht="18" customHeight="1" x14ac:dyDescent="0.25">
      <c r="A335" s="40">
        <v>331</v>
      </c>
      <c r="B335" s="54"/>
      <c r="C335" s="53"/>
      <c r="D335" s="53"/>
      <c r="E335" s="53"/>
      <c r="F335" s="53"/>
      <c r="G335" s="45"/>
      <c r="H335" s="53"/>
      <c r="J335" s="30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spans="1:22" s="29" customFormat="1" ht="18" customHeight="1" x14ac:dyDescent="0.25">
      <c r="A336" s="40">
        <v>332</v>
      </c>
      <c r="B336" s="54"/>
      <c r="C336" s="53"/>
      <c r="D336" s="53"/>
      <c r="E336" s="53"/>
      <c r="F336" s="53"/>
      <c r="G336" s="45"/>
      <c r="H336" s="53"/>
      <c r="J336" s="30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spans="1:22" s="29" customFormat="1" ht="18" customHeight="1" x14ac:dyDescent="0.25">
      <c r="A337" s="40">
        <v>333</v>
      </c>
      <c r="B337" s="54"/>
      <c r="C337" s="53"/>
      <c r="D337" s="53"/>
      <c r="E337" s="53"/>
      <c r="F337" s="53"/>
      <c r="G337" s="45"/>
      <c r="H337" s="53"/>
      <c r="J337" s="30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spans="1:22" s="29" customFormat="1" ht="18" customHeight="1" x14ac:dyDescent="0.25">
      <c r="A338" s="40">
        <v>334</v>
      </c>
      <c r="B338" s="54"/>
      <c r="C338" s="53"/>
      <c r="D338" s="53"/>
      <c r="E338" s="53"/>
      <c r="F338" s="53"/>
      <c r="G338" s="45"/>
      <c r="H338" s="53"/>
      <c r="J338" s="30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spans="1:22" s="29" customFormat="1" ht="18" customHeight="1" x14ac:dyDescent="0.25">
      <c r="A339" s="40">
        <v>335</v>
      </c>
      <c r="B339" s="54"/>
      <c r="C339" s="53"/>
      <c r="D339" s="53"/>
      <c r="E339" s="53"/>
      <c r="F339" s="53"/>
      <c r="G339" s="45"/>
      <c r="H339" s="53"/>
      <c r="J339" s="30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spans="1:22" s="29" customFormat="1" ht="18" customHeight="1" x14ac:dyDescent="0.25">
      <c r="A340" s="40">
        <v>336</v>
      </c>
      <c r="B340" s="54"/>
      <c r="C340" s="53"/>
      <c r="D340" s="53"/>
      <c r="E340" s="53"/>
      <c r="F340" s="53"/>
      <c r="G340" s="45"/>
      <c r="H340" s="53"/>
      <c r="J340" s="30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spans="1:22" s="29" customFormat="1" ht="18" customHeight="1" x14ac:dyDescent="0.25">
      <c r="A341" s="40">
        <v>337</v>
      </c>
      <c r="B341" s="54"/>
      <c r="C341" s="53"/>
      <c r="D341" s="53"/>
      <c r="E341" s="53"/>
      <c r="F341" s="53"/>
      <c r="G341" s="45"/>
      <c r="H341" s="53"/>
      <c r="J341" s="30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spans="1:22" s="29" customFormat="1" ht="18" customHeight="1" x14ac:dyDescent="0.25">
      <c r="A342" s="40">
        <v>338</v>
      </c>
      <c r="B342" s="54"/>
      <c r="C342" s="53"/>
      <c r="D342" s="53"/>
      <c r="E342" s="53"/>
      <c r="F342" s="53"/>
      <c r="G342" s="45"/>
      <c r="H342" s="53"/>
      <c r="J342" s="30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spans="1:22" s="29" customFormat="1" ht="18" customHeight="1" x14ac:dyDescent="0.25">
      <c r="A343" s="40">
        <v>339</v>
      </c>
      <c r="B343" s="54"/>
      <c r="C343" s="53"/>
      <c r="D343" s="53"/>
      <c r="E343" s="53"/>
      <c r="F343" s="53"/>
      <c r="G343" s="45"/>
      <c r="H343" s="53"/>
      <c r="J343" s="30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spans="1:22" s="29" customFormat="1" ht="18" customHeight="1" x14ac:dyDescent="0.25">
      <c r="A344" s="40">
        <v>340</v>
      </c>
      <c r="B344" s="54"/>
      <c r="C344" s="53"/>
      <c r="D344" s="53"/>
      <c r="E344" s="53"/>
      <c r="F344" s="53"/>
      <c r="G344" s="45"/>
      <c r="H344" s="53"/>
      <c r="J344" s="30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spans="1:22" s="29" customFormat="1" ht="18" customHeight="1" x14ac:dyDescent="0.25">
      <c r="A345" s="40">
        <v>341</v>
      </c>
      <c r="B345" s="54"/>
      <c r="C345" s="53"/>
      <c r="D345" s="53"/>
      <c r="E345" s="53"/>
      <c r="F345" s="53"/>
      <c r="G345" s="45"/>
      <c r="H345" s="53"/>
      <c r="J345" s="30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spans="1:22" s="29" customFormat="1" ht="18" customHeight="1" x14ac:dyDescent="0.25">
      <c r="A346" s="40">
        <v>342</v>
      </c>
      <c r="B346" s="54"/>
      <c r="C346" s="53"/>
      <c r="D346" s="53"/>
      <c r="E346" s="53"/>
      <c r="F346" s="53"/>
      <c r="G346" s="45"/>
      <c r="H346" s="53"/>
      <c r="J346" s="30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spans="1:22" s="29" customFormat="1" ht="18" customHeight="1" x14ac:dyDescent="0.25">
      <c r="A347" s="40">
        <v>343</v>
      </c>
      <c r="B347" s="54"/>
      <c r="C347" s="53"/>
      <c r="D347" s="53"/>
      <c r="E347" s="53"/>
      <c r="F347" s="53"/>
      <c r="G347" s="45"/>
      <c r="H347" s="53"/>
      <c r="J347" s="30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spans="1:22" s="29" customFormat="1" ht="18" customHeight="1" x14ac:dyDescent="0.25">
      <c r="A348" s="40">
        <v>344</v>
      </c>
      <c r="B348" s="54"/>
      <c r="C348" s="55"/>
      <c r="D348" s="53"/>
      <c r="E348" s="53"/>
      <c r="F348" s="53"/>
      <c r="G348" s="45"/>
      <c r="H348" s="53"/>
      <c r="J348" s="30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spans="1:22" s="29" customFormat="1" ht="18" customHeight="1" x14ac:dyDescent="0.25">
      <c r="A349" s="40">
        <v>345</v>
      </c>
      <c r="B349" s="54"/>
      <c r="C349" s="53"/>
      <c r="D349" s="53"/>
      <c r="E349" s="53"/>
      <c r="F349" s="53"/>
      <c r="G349" s="45"/>
      <c r="H349" s="53"/>
      <c r="J349" s="30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spans="1:22" s="29" customFormat="1" ht="18" customHeight="1" x14ac:dyDescent="0.25">
      <c r="A350" s="40">
        <v>346</v>
      </c>
      <c r="B350" s="54"/>
      <c r="C350" s="53"/>
      <c r="D350" s="53"/>
      <c r="E350" s="53"/>
      <c r="F350" s="53"/>
      <c r="G350" s="45"/>
      <c r="H350" s="53"/>
      <c r="J350" s="30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spans="1:22" s="29" customFormat="1" ht="18" customHeight="1" x14ac:dyDescent="0.25">
      <c r="A351" s="40">
        <v>347</v>
      </c>
      <c r="B351" s="54"/>
      <c r="C351" s="53"/>
      <c r="D351" s="53"/>
      <c r="E351" s="53"/>
      <c r="F351" s="53"/>
      <c r="G351" s="45"/>
      <c r="H351" s="53"/>
      <c r="J351" s="30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spans="1:22" s="29" customFormat="1" ht="18" customHeight="1" x14ac:dyDescent="0.25">
      <c r="A352" s="40">
        <v>348</v>
      </c>
      <c r="B352" s="54"/>
      <c r="C352" s="53"/>
      <c r="D352" s="53"/>
      <c r="E352" s="53"/>
      <c r="F352" s="53"/>
      <c r="G352" s="45"/>
      <c r="H352" s="53"/>
      <c r="J352" s="30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spans="1:22" s="29" customFormat="1" ht="18" customHeight="1" x14ac:dyDescent="0.25">
      <c r="A353" s="40">
        <v>349</v>
      </c>
      <c r="B353" s="54"/>
      <c r="C353" s="53"/>
      <c r="D353" s="53"/>
      <c r="E353" s="53"/>
      <c r="F353" s="53"/>
      <c r="G353" s="45"/>
      <c r="H353" s="53"/>
      <c r="J353" s="30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spans="1:22" s="29" customFormat="1" ht="18" customHeight="1" x14ac:dyDescent="0.25">
      <c r="A354" s="40">
        <v>350</v>
      </c>
      <c r="B354" s="54"/>
      <c r="C354" s="53"/>
      <c r="D354" s="53"/>
      <c r="E354" s="53"/>
      <c r="F354" s="53"/>
      <c r="G354" s="45"/>
      <c r="H354" s="53"/>
      <c r="J354" s="30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spans="1:22" s="29" customFormat="1" ht="18" customHeight="1" x14ac:dyDescent="0.25">
      <c r="A355" s="40">
        <v>351</v>
      </c>
      <c r="B355" s="54"/>
      <c r="C355" s="53"/>
      <c r="D355" s="53"/>
      <c r="E355" s="53"/>
      <c r="F355" s="53"/>
      <c r="G355" s="45"/>
      <c r="H355" s="53"/>
      <c r="J355" s="30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spans="1:22" s="29" customFormat="1" ht="18" customHeight="1" x14ac:dyDescent="0.25">
      <c r="A356" s="40">
        <v>352</v>
      </c>
      <c r="B356" s="54"/>
      <c r="C356" s="53"/>
      <c r="D356" s="53"/>
      <c r="E356" s="53"/>
      <c r="F356" s="53"/>
      <c r="G356" s="45"/>
      <c r="H356" s="53"/>
      <c r="J356" s="30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spans="1:22" s="5" customFormat="1" ht="19.5" customHeight="1" x14ac:dyDescent="0.25">
      <c r="A357" s="228" t="s">
        <v>17</v>
      </c>
      <c r="B357" s="228"/>
      <c r="C357" s="228"/>
      <c r="D357" s="228"/>
      <c r="E357" s="228"/>
      <c r="F357" s="228"/>
      <c r="G357" s="56">
        <f>SUM(G11:G356)</f>
        <v>91078000</v>
      </c>
      <c r="H357" s="57"/>
      <c r="I357" s="4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ht="16.5" customHeight="1" x14ac:dyDescent="0.25">
      <c r="A358" s="58" t="s">
        <v>18</v>
      </c>
      <c r="B358" s="59"/>
      <c r="C358" s="60"/>
      <c r="D358" s="61"/>
      <c r="E358" s="61"/>
      <c r="F358" s="41"/>
      <c r="G358" s="61"/>
      <c r="H358" s="62"/>
      <c r="I358" s="10"/>
    </row>
    <row r="359" spans="1:22" s="3" customFormat="1" x14ac:dyDescent="0.25">
      <c r="C359" s="1"/>
      <c r="F359" s="38"/>
      <c r="H359" s="7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s="12" customFormat="1" x14ac:dyDescent="0.25">
      <c r="A360" s="39"/>
      <c r="B360" s="33"/>
      <c r="C360" s="6"/>
      <c r="F360" s="212" t="s">
        <v>269</v>
      </c>
      <c r="G360" s="212"/>
      <c r="H360" s="21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s="3" customFormat="1" ht="35.25" customHeight="1" x14ac:dyDescent="0.25">
      <c r="A361" s="42"/>
      <c r="B361" s="42"/>
      <c r="C361" s="42"/>
      <c r="D361" s="42"/>
      <c r="E361" s="34"/>
      <c r="F361" s="214" t="s">
        <v>0</v>
      </c>
      <c r="G361" s="214"/>
      <c r="H361" s="214"/>
      <c r="I361" s="35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x14ac:dyDescent="0.25">
      <c r="A362" s="42"/>
      <c r="B362" s="42"/>
      <c r="C362" s="42"/>
      <c r="D362" s="42"/>
    </row>
    <row r="363" spans="1:22" x14ac:dyDescent="0.25">
      <c r="A363" s="42"/>
      <c r="B363" s="42"/>
      <c r="C363" s="42"/>
      <c r="D363" s="42"/>
    </row>
    <row r="364" spans="1:22" x14ac:dyDescent="0.25">
      <c r="A364" s="42"/>
      <c r="B364" s="42"/>
      <c r="C364" s="42"/>
      <c r="D364" s="42"/>
      <c r="E364" s="42"/>
      <c r="F364" s="42"/>
      <c r="G364" s="42"/>
      <c r="H364" s="42"/>
      <c r="I364" s="42"/>
    </row>
    <row r="365" spans="1:22" x14ac:dyDescent="0.25">
      <c r="A365" s="42"/>
      <c r="B365" s="42"/>
      <c r="C365" s="42"/>
      <c r="D365" s="42"/>
      <c r="E365" s="42"/>
      <c r="F365" s="42"/>
      <c r="G365" s="42"/>
      <c r="H365" s="42"/>
      <c r="I365" s="42"/>
    </row>
    <row r="366" spans="1:22" x14ac:dyDescent="0.25">
      <c r="A366" s="42"/>
      <c r="B366" s="42"/>
      <c r="C366" s="42"/>
      <c r="D366" s="42"/>
      <c r="E366" s="42"/>
      <c r="F366" s="42"/>
      <c r="G366" s="42"/>
      <c r="H366" s="42"/>
      <c r="I366" s="42"/>
    </row>
    <row r="367" spans="1:22" x14ac:dyDescent="0.25">
      <c r="A367" s="42"/>
      <c r="B367" s="42"/>
      <c r="C367" s="42"/>
      <c r="D367" s="42"/>
      <c r="E367" s="42"/>
      <c r="F367" s="42"/>
      <c r="G367" s="42"/>
      <c r="H367" s="42"/>
      <c r="I367" s="42"/>
    </row>
    <row r="368" spans="1:22" x14ac:dyDescent="0.25">
      <c r="A368" s="42"/>
      <c r="B368" s="42"/>
      <c r="C368" s="42"/>
      <c r="D368" s="42"/>
      <c r="E368" s="42"/>
      <c r="F368" s="42"/>
      <c r="G368" s="42"/>
      <c r="H368" s="42"/>
      <c r="I368" s="42"/>
    </row>
    <row r="369" spans="1:9" x14ac:dyDescent="0.25">
      <c r="A369" s="42"/>
      <c r="B369" s="42"/>
      <c r="C369" s="42"/>
      <c r="D369" s="42"/>
      <c r="E369" s="42"/>
      <c r="F369" s="42"/>
      <c r="G369" s="42"/>
      <c r="H369" s="42"/>
      <c r="I369" s="42"/>
    </row>
    <row r="370" spans="1:9" x14ac:dyDescent="0.25">
      <c r="A370" s="42"/>
      <c r="B370" s="42"/>
      <c r="C370" s="42"/>
      <c r="D370" s="42"/>
      <c r="E370" s="42"/>
      <c r="F370" s="42"/>
      <c r="G370" s="42"/>
      <c r="H370" s="42"/>
      <c r="I370" s="42"/>
    </row>
    <row r="371" spans="1:9" x14ac:dyDescent="0.25">
      <c r="A371" s="42"/>
      <c r="B371" s="42"/>
      <c r="C371" s="42"/>
      <c r="D371" s="42"/>
      <c r="E371" s="42"/>
      <c r="F371" s="42"/>
      <c r="G371" s="42"/>
      <c r="H371" s="42"/>
      <c r="I371" s="42"/>
    </row>
    <row r="372" spans="1:9" x14ac:dyDescent="0.25">
      <c r="A372" s="42"/>
      <c r="B372" s="42"/>
      <c r="C372" s="42"/>
      <c r="D372" s="42"/>
      <c r="E372" s="42"/>
      <c r="F372" s="42"/>
      <c r="G372" s="42"/>
      <c r="H372" s="42"/>
      <c r="I372" s="42"/>
    </row>
    <row r="373" spans="1:9" x14ac:dyDescent="0.25">
      <c r="A373" s="42"/>
      <c r="B373" s="42"/>
      <c r="C373" s="42"/>
      <c r="D373" s="42"/>
      <c r="E373" s="42"/>
      <c r="F373" s="42"/>
      <c r="G373" s="42"/>
      <c r="H373" s="42"/>
      <c r="I373" s="42"/>
    </row>
    <row r="374" spans="1:9" x14ac:dyDescent="0.25">
      <c r="A374" s="42"/>
      <c r="B374" s="42"/>
      <c r="C374" s="42"/>
      <c r="D374" s="42"/>
      <c r="E374" s="42"/>
      <c r="F374" s="42"/>
      <c r="G374" s="42"/>
      <c r="H374" s="42"/>
      <c r="I374" s="42"/>
    </row>
    <row r="375" spans="1:9" x14ac:dyDescent="0.25">
      <c r="A375" s="42"/>
      <c r="B375" s="42"/>
      <c r="C375" s="42"/>
      <c r="D375" s="42"/>
      <c r="E375" s="42"/>
      <c r="F375" s="42"/>
      <c r="G375" s="42"/>
      <c r="H375" s="42"/>
      <c r="I375" s="42"/>
    </row>
    <row r="376" spans="1:9" x14ac:dyDescent="0.25">
      <c r="A376" s="42"/>
      <c r="B376" s="42"/>
      <c r="C376" s="42"/>
      <c r="D376" s="42"/>
      <c r="E376" s="42"/>
      <c r="F376" s="42"/>
      <c r="G376" s="42"/>
      <c r="H376" s="42"/>
      <c r="I376" s="42"/>
    </row>
    <row r="377" spans="1:9" x14ac:dyDescent="0.25">
      <c r="A377" s="42"/>
      <c r="B377" s="42"/>
      <c r="C377" s="42"/>
      <c r="D377" s="42"/>
      <c r="E377" s="42"/>
      <c r="F377" s="42"/>
      <c r="G377" s="42"/>
      <c r="H377" s="42"/>
      <c r="I377" s="42"/>
    </row>
    <row r="378" spans="1:9" x14ac:dyDescent="0.25">
      <c r="A378" s="42"/>
      <c r="B378" s="42"/>
      <c r="C378" s="42"/>
      <c r="D378" s="42"/>
      <c r="E378" s="42"/>
      <c r="F378" s="42"/>
      <c r="G378" s="42"/>
      <c r="H378" s="42"/>
      <c r="I378" s="42"/>
    </row>
    <row r="379" spans="1:9" x14ac:dyDescent="0.25">
      <c r="A379" s="42"/>
      <c r="B379" s="42"/>
      <c r="C379" s="42"/>
      <c r="D379" s="42"/>
      <c r="E379" s="42"/>
      <c r="F379" s="42"/>
      <c r="G379" s="42"/>
      <c r="H379" s="42"/>
      <c r="I379" s="42"/>
    </row>
    <row r="380" spans="1:9" x14ac:dyDescent="0.25">
      <c r="A380" s="42"/>
      <c r="B380" s="42"/>
      <c r="C380" s="42"/>
      <c r="D380" s="42"/>
      <c r="E380" s="42"/>
      <c r="F380" s="42"/>
      <c r="G380" s="42"/>
      <c r="H380" s="42"/>
      <c r="I380" s="42"/>
    </row>
    <row r="381" spans="1:9" x14ac:dyDescent="0.25">
      <c r="A381" s="42"/>
      <c r="B381" s="42"/>
      <c r="C381" s="42"/>
      <c r="D381" s="42"/>
      <c r="E381" s="42"/>
      <c r="F381" s="42"/>
      <c r="G381" s="42"/>
      <c r="H381" s="42"/>
      <c r="I381" s="42"/>
    </row>
    <row r="382" spans="1:9" x14ac:dyDescent="0.25">
      <c r="A382" s="42"/>
      <c r="B382" s="42"/>
      <c r="C382" s="42"/>
      <c r="D382" s="42"/>
      <c r="E382" s="42"/>
      <c r="F382" s="42"/>
      <c r="G382" s="42"/>
      <c r="H382" s="42"/>
      <c r="I382" s="42"/>
    </row>
    <row r="383" spans="1:9" x14ac:dyDescent="0.25">
      <c r="A383" s="42"/>
      <c r="B383" s="42"/>
      <c r="C383" s="42"/>
      <c r="D383" s="42"/>
      <c r="E383" s="42"/>
      <c r="F383" s="42"/>
      <c r="G383" s="42"/>
      <c r="H383" s="42"/>
      <c r="I383" s="42"/>
    </row>
    <row r="384" spans="1:9" x14ac:dyDescent="0.25">
      <c r="A384" s="42"/>
      <c r="B384" s="42"/>
      <c r="C384" s="42"/>
      <c r="D384" s="42"/>
      <c r="E384" s="42"/>
      <c r="F384" s="42"/>
      <c r="G384" s="42"/>
      <c r="H384" s="42"/>
      <c r="I384" s="42"/>
    </row>
    <row r="385" spans="1:9" x14ac:dyDescent="0.25">
      <c r="A385" s="42"/>
      <c r="B385" s="42"/>
      <c r="C385" s="42"/>
      <c r="D385" s="42"/>
      <c r="E385" s="42"/>
      <c r="F385" s="42"/>
      <c r="G385" s="42"/>
      <c r="H385" s="42"/>
      <c r="I385" s="42"/>
    </row>
    <row r="386" spans="1:9" x14ac:dyDescent="0.25">
      <c r="A386" s="42"/>
      <c r="B386" s="42"/>
      <c r="C386" s="42"/>
      <c r="D386" s="42"/>
      <c r="E386" s="42"/>
      <c r="F386" s="42"/>
      <c r="G386" s="42"/>
      <c r="H386" s="42"/>
      <c r="I386" s="42"/>
    </row>
    <row r="387" spans="1:9" x14ac:dyDescent="0.25">
      <c r="A387" s="42"/>
      <c r="B387" s="42"/>
      <c r="C387" s="42"/>
      <c r="D387" s="42"/>
      <c r="E387" s="42"/>
      <c r="F387" s="42"/>
      <c r="G387" s="42"/>
      <c r="H387" s="42"/>
      <c r="I387" s="42"/>
    </row>
    <row r="388" spans="1:9" x14ac:dyDescent="0.25">
      <c r="A388" s="42"/>
      <c r="B388" s="42"/>
      <c r="C388" s="42"/>
      <c r="D388" s="42"/>
      <c r="E388" s="42"/>
      <c r="F388" s="42"/>
      <c r="G388" s="42"/>
      <c r="H388" s="42"/>
      <c r="I388" s="42"/>
    </row>
    <row r="389" spans="1:9" x14ac:dyDescent="0.25">
      <c r="A389" s="42"/>
      <c r="B389" s="42"/>
      <c r="C389" s="42"/>
      <c r="D389" s="42"/>
      <c r="E389" s="42"/>
      <c r="F389" s="42"/>
      <c r="G389" s="42"/>
      <c r="H389" s="42"/>
      <c r="I389" s="42"/>
    </row>
    <row r="390" spans="1:9" x14ac:dyDescent="0.25">
      <c r="A390" s="42"/>
      <c r="B390" s="42"/>
      <c r="C390" s="42"/>
      <c r="D390" s="42"/>
      <c r="E390" s="42"/>
      <c r="F390" s="42"/>
      <c r="G390" s="42"/>
      <c r="H390" s="42"/>
      <c r="I390" s="42"/>
    </row>
    <row r="391" spans="1:9" x14ac:dyDescent="0.25">
      <c r="A391" s="42"/>
      <c r="B391" s="42"/>
      <c r="C391" s="42"/>
      <c r="D391" s="42"/>
      <c r="E391" s="42"/>
      <c r="F391" s="42"/>
      <c r="G391" s="42"/>
      <c r="H391" s="42"/>
      <c r="I391" s="42"/>
    </row>
    <row r="392" spans="1:9" x14ac:dyDescent="0.25">
      <c r="A392" s="42"/>
      <c r="B392" s="42"/>
      <c r="C392" s="42"/>
      <c r="D392" s="42"/>
      <c r="E392" s="42"/>
      <c r="F392" s="42"/>
      <c r="G392" s="42"/>
      <c r="H392" s="42"/>
      <c r="I392" s="42"/>
    </row>
    <row r="393" spans="1:9" x14ac:dyDescent="0.25">
      <c r="A393" s="42"/>
      <c r="B393" s="42"/>
      <c r="C393" s="42"/>
      <c r="D393" s="42"/>
      <c r="E393" s="42"/>
      <c r="F393" s="42"/>
      <c r="G393" s="42"/>
      <c r="H393" s="42"/>
      <c r="I393" s="42"/>
    </row>
    <row r="394" spans="1:9" x14ac:dyDescent="0.25">
      <c r="A394" s="42"/>
      <c r="B394" s="42"/>
      <c r="C394" s="42"/>
      <c r="D394" s="42"/>
      <c r="E394" s="42"/>
      <c r="F394" s="42"/>
      <c r="G394" s="42"/>
      <c r="H394" s="42"/>
      <c r="I394" s="42"/>
    </row>
    <row r="395" spans="1:9" x14ac:dyDescent="0.25">
      <c r="A395" s="42"/>
      <c r="B395" s="42"/>
      <c r="C395" s="42"/>
      <c r="D395" s="42"/>
      <c r="E395" s="42"/>
      <c r="F395" s="42"/>
      <c r="G395" s="42"/>
      <c r="H395" s="42"/>
      <c r="I395" s="42"/>
    </row>
    <row r="396" spans="1:9" x14ac:dyDescent="0.25">
      <c r="A396" s="42"/>
      <c r="B396" s="42"/>
      <c r="C396" s="42"/>
      <c r="D396" s="42"/>
      <c r="E396" s="42"/>
      <c r="F396" s="42"/>
      <c r="G396" s="42"/>
      <c r="H396" s="42"/>
      <c r="I396" s="42"/>
    </row>
    <row r="397" spans="1:9" x14ac:dyDescent="0.25">
      <c r="A397" s="42"/>
      <c r="B397" s="42"/>
      <c r="C397" s="42"/>
      <c r="D397" s="42"/>
      <c r="E397" s="42"/>
      <c r="F397" s="42"/>
      <c r="G397" s="42"/>
      <c r="H397" s="42"/>
      <c r="I397" s="42"/>
    </row>
    <row r="398" spans="1:9" x14ac:dyDescent="0.25">
      <c r="A398" s="42"/>
      <c r="B398" s="42"/>
      <c r="C398" s="42"/>
      <c r="D398" s="42"/>
      <c r="E398" s="42"/>
      <c r="F398" s="42"/>
      <c r="G398" s="42"/>
      <c r="H398" s="42"/>
      <c r="I398" s="42"/>
    </row>
    <row r="399" spans="1:9" x14ac:dyDescent="0.25">
      <c r="A399" s="42"/>
      <c r="B399" s="42"/>
      <c r="C399" s="42"/>
      <c r="D399" s="42"/>
      <c r="E399" s="42"/>
      <c r="F399" s="42"/>
      <c r="G399" s="42"/>
      <c r="H399" s="42"/>
      <c r="I399" s="42"/>
    </row>
    <row r="400" spans="1:9" x14ac:dyDescent="0.25">
      <c r="A400" s="42"/>
      <c r="B400" s="42"/>
      <c r="C400" s="42"/>
      <c r="D400" s="42"/>
      <c r="E400" s="42"/>
      <c r="F400" s="42"/>
      <c r="G400" s="42"/>
      <c r="H400" s="42"/>
      <c r="I400" s="42"/>
    </row>
    <row r="401" spans="1:9" x14ac:dyDescent="0.25">
      <c r="A401" s="42"/>
      <c r="B401" s="42"/>
      <c r="C401" s="42"/>
      <c r="D401" s="42"/>
      <c r="E401" s="42"/>
      <c r="F401" s="42"/>
      <c r="G401" s="42"/>
      <c r="H401" s="42"/>
      <c r="I401" s="42"/>
    </row>
    <row r="402" spans="1:9" x14ac:dyDescent="0.25">
      <c r="A402" s="42"/>
      <c r="B402" s="42"/>
      <c r="C402" s="42"/>
      <c r="D402" s="42"/>
      <c r="E402" s="42"/>
      <c r="F402" s="42"/>
      <c r="G402" s="42"/>
      <c r="H402" s="42"/>
      <c r="I402" s="42"/>
    </row>
    <row r="403" spans="1:9" x14ac:dyDescent="0.25">
      <c r="A403" s="42"/>
      <c r="B403" s="42"/>
      <c r="C403" s="42"/>
      <c r="D403" s="42"/>
      <c r="E403" s="42"/>
      <c r="F403" s="42"/>
      <c r="G403" s="42"/>
      <c r="H403" s="42"/>
      <c r="I403" s="42"/>
    </row>
    <row r="404" spans="1:9" x14ac:dyDescent="0.25">
      <c r="A404" s="42"/>
      <c r="B404" s="42"/>
      <c r="C404" s="42"/>
      <c r="D404" s="42"/>
      <c r="E404" s="42"/>
      <c r="F404" s="42"/>
      <c r="G404" s="42"/>
      <c r="H404" s="42"/>
      <c r="I404" s="42"/>
    </row>
    <row r="405" spans="1:9" x14ac:dyDescent="0.25">
      <c r="A405" s="42"/>
      <c r="B405" s="42"/>
      <c r="C405" s="42"/>
      <c r="D405" s="42"/>
      <c r="E405" s="42"/>
      <c r="F405" s="42"/>
      <c r="G405" s="42"/>
      <c r="H405" s="42"/>
      <c r="I405" s="42"/>
    </row>
    <row r="406" spans="1:9" x14ac:dyDescent="0.25">
      <c r="A406" s="42"/>
      <c r="B406" s="42"/>
      <c r="C406" s="42"/>
      <c r="D406" s="42"/>
      <c r="E406" s="42"/>
      <c r="F406" s="42"/>
      <c r="G406" s="42"/>
      <c r="H406" s="42"/>
      <c r="I406" s="42"/>
    </row>
    <row r="407" spans="1:9" x14ac:dyDescent="0.25">
      <c r="A407" s="42"/>
      <c r="B407" s="42"/>
      <c r="C407" s="42"/>
      <c r="D407" s="42"/>
      <c r="E407" s="42"/>
      <c r="F407" s="42"/>
      <c r="G407" s="42"/>
      <c r="H407" s="42"/>
      <c r="I407" s="42"/>
    </row>
    <row r="408" spans="1:9" x14ac:dyDescent="0.25">
      <c r="A408" s="42"/>
      <c r="B408" s="42"/>
      <c r="C408" s="42"/>
      <c r="D408" s="42"/>
      <c r="E408" s="42"/>
      <c r="F408" s="42"/>
      <c r="G408" s="42"/>
      <c r="H408" s="42"/>
      <c r="I408" s="42"/>
    </row>
    <row r="409" spans="1:9" x14ac:dyDescent="0.25">
      <c r="A409" s="42"/>
      <c r="B409" s="42"/>
      <c r="C409" s="42"/>
      <c r="D409" s="42"/>
      <c r="E409" s="42"/>
      <c r="F409" s="42"/>
      <c r="G409" s="42"/>
      <c r="H409" s="42"/>
      <c r="I409" s="42"/>
    </row>
    <row r="410" spans="1:9" x14ac:dyDescent="0.25">
      <c r="A410" s="42"/>
      <c r="B410" s="42"/>
      <c r="C410" s="42"/>
      <c r="D410" s="42"/>
      <c r="E410" s="42"/>
      <c r="F410" s="42"/>
      <c r="G410" s="42"/>
      <c r="H410" s="42"/>
      <c r="I410" s="42"/>
    </row>
    <row r="411" spans="1:9" x14ac:dyDescent="0.25">
      <c r="A411" s="42"/>
      <c r="B411" s="42"/>
      <c r="C411" s="42"/>
      <c r="D411" s="42"/>
      <c r="E411" s="42"/>
      <c r="F411" s="42"/>
      <c r="G411" s="42"/>
      <c r="H411" s="42"/>
      <c r="I411" s="42"/>
    </row>
    <row r="412" spans="1:9" x14ac:dyDescent="0.25">
      <c r="A412" s="42"/>
      <c r="B412" s="42"/>
      <c r="C412" s="42"/>
      <c r="D412" s="42"/>
      <c r="E412" s="42"/>
      <c r="F412" s="42"/>
      <c r="G412" s="42"/>
      <c r="H412" s="42"/>
      <c r="I412" s="42"/>
    </row>
    <row r="413" spans="1:9" x14ac:dyDescent="0.25">
      <c r="A413" s="42"/>
      <c r="B413" s="42"/>
      <c r="C413" s="42"/>
      <c r="D413" s="42"/>
      <c r="E413" s="42"/>
      <c r="F413" s="42"/>
      <c r="G413" s="42"/>
      <c r="H413" s="42"/>
      <c r="I413" s="42"/>
    </row>
    <row r="414" spans="1:9" x14ac:dyDescent="0.25">
      <c r="A414" s="42"/>
      <c r="B414" s="42"/>
      <c r="C414" s="42"/>
      <c r="D414" s="42"/>
      <c r="E414" s="42"/>
      <c r="F414" s="42"/>
      <c r="G414" s="42"/>
      <c r="H414" s="42"/>
      <c r="I414" s="42"/>
    </row>
    <row r="415" spans="1:9" x14ac:dyDescent="0.25">
      <c r="A415" s="42"/>
      <c r="B415" s="42"/>
      <c r="C415" s="42"/>
      <c r="D415" s="42"/>
      <c r="E415" s="42"/>
      <c r="F415" s="42"/>
      <c r="G415" s="42"/>
      <c r="H415" s="42"/>
      <c r="I415" s="42"/>
    </row>
    <row r="416" spans="1:9" x14ac:dyDescent="0.25">
      <c r="A416" s="42"/>
      <c r="B416" s="42"/>
      <c r="C416" s="42"/>
      <c r="D416" s="42"/>
      <c r="E416" s="42"/>
      <c r="F416" s="42"/>
      <c r="G416" s="42"/>
      <c r="H416" s="42"/>
      <c r="I416" s="42"/>
    </row>
    <row r="417" spans="1:9" x14ac:dyDescent="0.25">
      <c r="A417" s="42"/>
      <c r="B417" s="42"/>
      <c r="C417" s="42"/>
      <c r="D417" s="42"/>
      <c r="E417" s="42"/>
      <c r="F417" s="42"/>
      <c r="G417" s="42"/>
      <c r="H417" s="42"/>
      <c r="I417" s="42"/>
    </row>
    <row r="418" spans="1:9" x14ac:dyDescent="0.25">
      <c r="A418" s="42"/>
      <c r="B418" s="42"/>
      <c r="C418" s="42"/>
      <c r="D418" s="42"/>
      <c r="E418" s="42"/>
      <c r="F418" s="42"/>
      <c r="G418" s="42"/>
      <c r="H418" s="42"/>
      <c r="I418" s="42"/>
    </row>
    <row r="419" spans="1:9" x14ac:dyDescent="0.25">
      <c r="A419" s="42"/>
      <c r="B419" s="42"/>
      <c r="C419" s="42"/>
      <c r="D419" s="42"/>
      <c r="E419" s="42"/>
      <c r="F419" s="42"/>
      <c r="G419" s="42"/>
      <c r="H419" s="42"/>
      <c r="I419" s="42"/>
    </row>
    <row r="420" spans="1:9" x14ac:dyDescent="0.25">
      <c r="A420" s="42"/>
      <c r="B420" s="42"/>
      <c r="C420" s="42"/>
      <c r="D420" s="42"/>
      <c r="E420" s="42"/>
      <c r="F420" s="42"/>
      <c r="G420" s="42"/>
      <c r="H420" s="42"/>
      <c r="I420" s="42"/>
    </row>
    <row r="421" spans="1:9" x14ac:dyDescent="0.25">
      <c r="A421" s="42"/>
      <c r="B421" s="42"/>
      <c r="C421" s="42"/>
      <c r="D421" s="42"/>
      <c r="E421" s="42"/>
      <c r="F421" s="42"/>
      <c r="G421" s="42"/>
      <c r="H421" s="42"/>
      <c r="I421" s="42"/>
    </row>
    <row r="422" spans="1:9" x14ac:dyDescent="0.25">
      <c r="A422" s="42"/>
      <c r="B422" s="42"/>
      <c r="C422" s="42"/>
      <c r="D422" s="42"/>
      <c r="E422" s="42"/>
      <c r="F422" s="42"/>
      <c r="G422" s="42"/>
      <c r="H422" s="42"/>
      <c r="I422" s="42"/>
    </row>
    <row r="423" spans="1:9" x14ac:dyDescent="0.25">
      <c r="A423" s="42"/>
      <c r="B423" s="42"/>
      <c r="C423" s="42"/>
      <c r="D423" s="42"/>
      <c r="E423" s="42"/>
      <c r="F423" s="42"/>
      <c r="G423" s="42"/>
      <c r="H423" s="42"/>
      <c r="I423" s="42"/>
    </row>
    <row r="424" spans="1:9" x14ac:dyDescent="0.25">
      <c r="A424" s="42"/>
      <c r="B424" s="42"/>
      <c r="C424" s="42"/>
      <c r="D424" s="42"/>
      <c r="E424" s="42"/>
      <c r="F424" s="42"/>
      <c r="G424" s="42"/>
      <c r="H424" s="42"/>
      <c r="I424" s="42"/>
    </row>
    <row r="425" spans="1:9" x14ac:dyDescent="0.25">
      <c r="A425" s="42"/>
      <c r="B425" s="42"/>
      <c r="C425" s="42"/>
      <c r="D425" s="42"/>
      <c r="E425" s="42"/>
      <c r="F425" s="42"/>
      <c r="G425" s="42"/>
      <c r="H425" s="42"/>
      <c r="I425" s="42"/>
    </row>
    <row r="426" spans="1:9" x14ac:dyDescent="0.25">
      <c r="A426" s="42"/>
      <c r="B426" s="42"/>
      <c r="C426" s="42"/>
      <c r="D426" s="42"/>
      <c r="E426" s="42"/>
      <c r="F426" s="42"/>
      <c r="G426" s="42"/>
      <c r="H426" s="42"/>
      <c r="I426" s="42"/>
    </row>
    <row r="427" spans="1:9" x14ac:dyDescent="0.25">
      <c r="A427" s="42"/>
      <c r="B427" s="42"/>
      <c r="C427" s="42"/>
      <c r="D427" s="42"/>
      <c r="E427" s="42"/>
      <c r="F427" s="42"/>
      <c r="G427" s="42"/>
      <c r="H427" s="42"/>
      <c r="I427" s="42"/>
    </row>
    <row r="428" spans="1:9" x14ac:dyDescent="0.25">
      <c r="A428" s="42"/>
      <c r="B428" s="42"/>
      <c r="C428" s="42"/>
      <c r="D428" s="42"/>
      <c r="E428" s="42"/>
      <c r="F428" s="42"/>
      <c r="G428" s="42"/>
      <c r="H428" s="42"/>
      <c r="I428" s="42"/>
    </row>
    <row r="429" spans="1:9" x14ac:dyDescent="0.25">
      <c r="A429" s="42"/>
      <c r="B429" s="42"/>
      <c r="C429" s="42"/>
      <c r="D429" s="42"/>
      <c r="E429" s="42"/>
      <c r="F429" s="42"/>
      <c r="G429" s="42"/>
      <c r="H429" s="42"/>
      <c r="I429" s="42"/>
    </row>
    <row r="430" spans="1:9" x14ac:dyDescent="0.25">
      <c r="A430" s="42"/>
      <c r="B430" s="42"/>
      <c r="C430" s="42"/>
      <c r="D430" s="42"/>
      <c r="E430" s="42"/>
      <c r="F430" s="42"/>
      <c r="G430" s="42"/>
      <c r="H430" s="42"/>
      <c r="I430" s="42"/>
    </row>
    <row r="431" spans="1:9" x14ac:dyDescent="0.25">
      <c r="A431" s="42"/>
      <c r="B431" s="42"/>
      <c r="C431" s="42"/>
      <c r="D431" s="42"/>
      <c r="E431" s="42"/>
      <c r="F431" s="42"/>
      <c r="G431" s="42"/>
      <c r="H431" s="42"/>
      <c r="I431" s="42"/>
    </row>
    <row r="432" spans="1:9" x14ac:dyDescent="0.25">
      <c r="A432" s="42"/>
      <c r="B432" s="42"/>
      <c r="C432" s="42"/>
      <c r="D432" s="42"/>
      <c r="E432" s="42"/>
      <c r="F432" s="42"/>
      <c r="G432" s="42"/>
      <c r="H432" s="42"/>
      <c r="I432" s="42"/>
    </row>
    <row r="433" spans="1:9" x14ac:dyDescent="0.25">
      <c r="A433" s="42"/>
      <c r="B433" s="42"/>
      <c r="C433" s="42"/>
      <c r="D433" s="42"/>
      <c r="E433" s="42"/>
      <c r="F433" s="42"/>
      <c r="G433" s="42"/>
      <c r="H433" s="42"/>
      <c r="I433" s="42"/>
    </row>
    <row r="434" spans="1:9" x14ac:dyDescent="0.25">
      <c r="A434" s="42"/>
      <c r="B434" s="42"/>
      <c r="C434" s="42"/>
      <c r="D434" s="42"/>
      <c r="E434" s="42"/>
      <c r="F434" s="42"/>
      <c r="G434" s="42"/>
      <c r="H434" s="42"/>
      <c r="I434" s="42"/>
    </row>
    <row r="435" spans="1:9" x14ac:dyDescent="0.25">
      <c r="A435" s="42"/>
      <c r="B435" s="42"/>
      <c r="C435" s="42"/>
      <c r="D435" s="42"/>
      <c r="E435" s="42"/>
      <c r="F435" s="42"/>
      <c r="G435" s="42"/>
      <c r="H435" s="42"/>
      <c r="I435" s="42"/>
    </row>
    <row r="436" spans="1:9" x14ac:dyDescent="0.25">
      <c r="A436" s="42"/>
      <c r="B436" s="42"/>
      <c r="C436" s="42"/>
      <c r="D436" s="42"/>
      <c r="E436" s="42"/>
      <c r="F436" s="42"/>
      <c r="G436" s="42"/>
      <c r="H436" s="42"/>
      <c r="I436" s="42"/>
    </row>
    <row r="437" spans="1:9" x14ac:dyDescent="0.25">
      <c r="A437" s="42"/>
      <c r="B437" s="42"/>
      <c r="C437" s="42"/>
      <c r="D437" s="42"/>
      <c r="E437" s="42"/>
      <c r="F437" s="42"/>
      <c r="G437" s="42"/>
      <c r="H437" s="42"/>
      <c r="I437" s="42"/>
    </row>
    <row r="438" spans="1:9" x14ac:dyDescent="0.25">
      <c r="A438" s="42"/>
      <c r="B438" s="42"/>
      <c r="C438" s="42"/>
      <c r="D438" s="42"/>
      <c r="E438" s="42"/>
      <c r="F438" s="42"/>
      <c r="G438" s="42"/>
      <c r="H438" s="42"/>
      <c r="I438" s="42"/>
    </row>
    <row r="439" spans="1:9" x14ac:dyDescent="0.25">
      <c r="A439" s="42"/>
      <c r="B439" s="42"/>
      <c r="C439" s="42"/>
      <c r="D439" s="42"/>
      <c r="E439" s="42"/>
      <c r="F439" s="42"/>
      <c r="G439" s="42"/>
      <c r="H439" s="42"/>
      <c r="I439" s="42"/>
    </row>
    <row r="440" spans="1:9" x14ac:dyDescent="0.25">
      <c r="A440" s="42"/>
      <c r="B440" s="42"/>
      <c r="C440" s="42"/>
      <c r="D440" s="42"/>
      <c r="E440" s="42"/>
      <c r="F440" s="42"/>
      <c r="G440" s="42"/>
      <c r="H440" s="42"/>
      <c r="I440" s="42"/>
    </row>
    <row r="441" spans="1:9" x14ac:dyDescent="0.25">
      <c r="A441" s="42"/>
      <c r="B441" s="42"/>
      <c r="C441" s="42"/>
      <c r="D441" s="42"/>
      <c r="E441" s="42"/>
      <c r="F441" s="42"/>
      <c r="G441" s="42"/>
      <c r="H441" s="42"/>
      <c r="I441" s="42"/>
    </row>
    <row r="442" spans="1:9" x14ac:dyDescent="0.25">
      <c r="A442" s="42"/>
      <c r="B442" s="42"/>
      <c r="C442" s="42"/>
      <c r="D442" s="42"/>
      <c r="E442" s="42"/>
      <c r="F442" s="42"/>
      <c r="G442" s="42"/>
      <c r="H442" s="42"/>
      <c r="I442" s="42"/>
    </row>
    <row r="443" spans="1:9" x14ac:dyDescent="0.25">
      <c r="A443" s="42"/>
      <c r="B443" s="42"/>
      <c r="C443" s="42"/>
      <c r="D443" s="42"/>
      <c r="E443" s="42"/>
      <c r="F443" s="42"/>
      <c r="G443" s="42"/>
      <c r="H443" s="42"/>
      <c r="I443" s="42"/>
    </row>
    <row r="444" spans="1:9" x14ac:dyDescent="0.25">
      <c r="A444" s="42"/>
      <c r="B444" s="42"/>
      <c r="C444" s="42"/>
      <c r="D444" s="42"/>
      <c r="E444" s="42"/>
      <c r="F444" s="42"/>
      <c r="G444" s="42"/>
      <c r="H444" s="42"/>
      <c r="I444" s="42"/>
    </row>
    <row r="445" spans="1:9" x14ac:dyDescent="0.25">
      <c r="A445" s="42"/>
      <c r="B445" s="42"/>
      <c r="C445" s="42"/>
      <c r="D445" s="42"/>
      <c r="E445" s="42"/>
      <c r="F445" s="42"/>
      <c r="G445" s="42"/>
      <c r="H445" s="42"/>
      <c r="I445" s="42"/>
    </row>
    <row r="446" spans="1:9" x14ac:dyDescent="0.25">
      <c r="A446" s="42"/>
      <c r="B446" s="42"/>
      <c r="C446" s="42"/>
      <c r="D446" s="42"/>
      <c r="E446" s="42"/>
      <c r="F446" s="42"/>
      <c r="G446" s="42"/>
      <c r="H446" s="42"/>
      <c r="I446" s="42"/>
    </row>
    <row r="447" spans="1:9" x14ac:dyDescent="0.25">
      <c r="A447" s="42"/>
      <c r="B447" s="42"/>
      <c r="C447" s="42"/>
      <c r="D447" s="42"/>
      <c r="E447" s="42"/>
      <c r="F447" s="42"/>
      <c r="G447" s="42"/>
      <c r="H447" s="42"/>
      <c r="I447" s="42"/>
    </row>
    <row r="448" spans="1:9" x14ac:dyDescent="0.25">
      <c r="A448" s="42"/>
      <c r="B448" s="42"/>
      <c r="C448" s="42"/>
      <c r="D448" s="42"/>
      <c r="E448" s="42"/>
      <c r="F448" s="42"/>
      <c r="G448" s="42"/>
      <c r="H448" s="42"/>
      <c r="I448" s="42"/>
    </row>
    <row r="449" spans="1:9" x14ac:dyDescent="0.25">
      <c r="A449" s="42"/>
      <c r="B449" s="42"/>
      <c r="C449" s="42"/>
      <c r="D449" s="42"/>
      <c r="E449" s="42"/>
      <c r="F449" s="42"/>
      <c r="G449" s="42"/>
      <c r="H449" s="42"/>
      <c r="I449" s="42"/>
    </row>
    <row r="450" spans="1:9" x14ac:dyDescent="0.25">
      <c r="A450" s="42"/>
      <c r="B450" s="42"/>
      <c r="C450" s="42"/>
      <c r="D450" s="42"/>
      <c r="E450" s="42"/>
      <c r="F450" s="42"/>
      <c r="G450" s="42"/>
      <c r="H450" s="42"/>
      <c r="I450" s="42"/>
    </row>
    <row r="451" spans="1:9" x14ac:dyDescent="0.25">
      <c r="A451" s="42"/>
      <c r="B451" s="42"/>
      <c r="C451" s="42"/>
      <c r="D451" s="42"/>
      <c r="E451" s="42"/>
      <c r="F451" s="42"/>
      <c r="G451" s="42"/>
      <c r="H451" s="42"/>
      <c r="I451" s="42"/>
    </row>
    <row r="452" spans="1:9" x14ac:dyDescent="0.25">
      <c r="A452" s="42"/>
      <c r="B452" s="42"/>
      <c r="C452" s="42"/>
      <c r="D452" s="42"/>
      <c r="E452" s="42"/>
      <c r="F452" s="42"/>
      <c r="G452" s="42"/>
      <c r="H452" s="42"/>
      <c r="I452" s="42"/>
    </row>
    <row r="453" spans="1:9" x14ac:dyDescent="0.25">
      <c r="A453" s="42"/>
      <c r="B453" s="42"/>
      <c r="C453" s="42"/>
      <c r="D453" s="42"/>
      <c r="E453" s="42"/>
      <c r="F453" s="42"/>
      <c r="G453" s="42"/>
      <c r="H453" s="42"/>
      <c r="I453" s="42"/>
    </row>
    <row r="454" spans="1:9" x14ac:dyDescent="0.25">
      <c r="A454" s="42"/>
      <c r="B454" s="42"/>
      <c r="C454" s="42"/>
      <c r="D454" s="42"/>
      <c r="E454" s="42"/>
      <c r="F454" s="42"/>
      <c r="G454" s="42"/>
      <c r="H454" s="42"/>
      <c r="I454" s="42"/>
    </row>
    <row r="455" spans="1:9" x14ac:dyDescent="0.25">
      <c r="A455" s="42"/>
      <c r="B455" s="42"/>
      <c r="C455" s="42"/>
      <c r="D455" s="42"/>
      <c r="E455" s="42"/>
      <c r="F455" s="42"/>
      <c r="G455" s="42"/>
      <c r="H455" s="42"/>
      <c r="I455" s="42"/>
    </row>
    <row r="456" spans="1:9" x14ac:dyDescent="0.25">
      <c r="A456" s="42"/>
      <c r="B456" s="42"/>
      <c r="C456" s="42"/>
      <c r="D456" s="42"/>
      <c r="E456" s="42"/>
      <c r="F456" s="42"/>
      <c r="G456" s="42"/>
      <c r="H456" s="42"/>
      <c r="I456" s="42"/>
    </row>
    <row r="457" spans="1:9" x14ac:dyDescent="0.25">
      <c r="A457" s="42"/>
      <c r="B457" s="42"/>
      <c r="C457" s="42"/>
      <c r="D457" s="42"/>
      <c r="E457" s="42"/>
      <c r="F457" s="42"/>
      <c r="G457" s="42"/>
      <c r="H457" s="42"/>
      <c r="I457" s="42"/>
    </row>
    <row r="458" spans="1:9" x14ac:dyDescent="0.25">
      <c r="A458" s="42"/>
      <c r="B458" s="42"/>
      <c r="C458" s="42"/>
      <c r="D458" s="42"/>
      <c r="E458" s="42"/>
      <c r="F458" s="42"/>
      <c r="G458" s="42"/>
      <c r="H458" s="42"/>
      <c r="I458" s="42"/>
    </row>
    <row r="459" spans="1:9" x14ac:dyDescent="0.25">
      <c r="A459" s="42"/>
      <c r="B459" s="42"/>
      <c r="C459" s="42"/>
      <c r="D459" s="42"/>
      <c r="E459" s="42"/>
      <c r="F459" s="42"/>
      <c r="G459" s="42"/>
      <c r="H459" s="42"/>
      <c r="I459" s="42"/>
    </row>
    <row r="460" spans="1:9" x14ac:dyDescent="0.25">
      <c r="A460" s="42"/>
      <c r="B460" s="42"/>
      <c r="C460" s="42"/>
      <c r="D460" s="42"/>
      <c r="E460" s="42"/>
      <c r="F460" s="42"/>
      <c r="G460" s="42"/>
      <c r="H460" s="42"/>
      <c r="I460" s="42"/>
    </row>
    <row r="461" spans="1:9" x14ac:dyDescent="0.25">
      <c r="A461" s="42"/>
      <c r="B461" s="42"/>
      <c r="C461" s="42"/>
      <c r="D461" s="42"/>
      <c r="E461" s="42"/>
      <c r="F461" s="42"/>
      <c r="G461" s="42"/>
      <c r="H461" s="42"/>
      <c r="I461" s="42"/>
    </row>
    <row r="462" spans="1:9" x14ac:dyDescent="0.25">
      <c r="A462" s="42"/>
      <c r="B462" s="42"/>
      <c r="C462" s="42"/>
      <c r="D462" s="42"/>
      <c r="E462" s="42"/>
      <c r="F462" s="42"/>
      <c r="G462" s="42"/>
      <c r="H462" s="42"/>
      <c r="I462" s="42"/>
    </row>
    <row r="463" spans="1:9" x14ac:dyDescent="0.25">
      <c r="A463" s="42"/>
      <c r="B463" s="42"/>
      <c r="C463" s="42"/>
      <c r="D463" s="42"/>
      <c r="E463" s="42"/>
      <c r="F463" s="42"/>
      <c r="G463" s="42"/>
      <c r="H463" s="42"/>
      <c r="I463" s="42"/>
    </row>
    <row r="464" spans="1:9" x14ac:dyDescent="0.25">
      <c r="A464" s="42"/>
      <c r="B464" s="42"/>
      <c r="C464" s="42"/>
      <c r="D464" s="42"/>
      <c r="E464" s="42"/>
      <c r="F464" s="42"/>
      <c r="G464" s="42"/>
      <c r="H464" s="42"/>
      <c r="I464" s="42"/>
    </row>
    <row r="465" spans="1:9" x14ac:dyDescent="0.25">
      <c r="A465" s="42"/>
      <c r="B465" s="42"/>
      <c r="C465" s="42"/>
      <c r="D465" s="42"/>
      <c r="E465" s="42"/>
      <c r="F465" s="42"/>
      <c r="G465" s="42"/>
      <c r="H465" s="42"/>
      <c r="I465" s="42"/>
    </row>
    <row r="466" spans="1:9" x14ac:dyDescent="0.25">
      <c r="A466" s="42"/>
      <c r="B466" s="42"/>
      <c r="C466" s="42"/>
      <c r="D466" s="42"/>
      <c r="E466" s="42"/>
      <c r="F466" s="42"/>
      <c r="G466" s="42"/>
      <c r="H466" s="42"/>
      <c r="I466" s="42"/>
    </row>
    <row r="467" spans="1:9" x14ac:dyDescent="0.25">
      <c r="A467" s="42"/>
      <c r="B467" s="42"/>
      <c r="C467" s="42"/>
      <c r="D467" s="42"/>
      <c r="E467" s="42"/>
      <c r="F467" s="42"/>
      <c r="G467" s="42"/>
      <c r="H467" s="42"/>
      <c r="I467" s="42"/>
    </row>
    <row r="468" spans="1:9" x14ac:dyDescent="0.25">
      <c r="A468" s="42"/>
      <c r="B468" s="42"/>
      <c r="C468" s="42"/>
      <c r="D468" s="42"/>
      <c r="E468" s="42"/>
      <c r="F468" s="42"/>
      <c r="G468" s="42"/>
      <c r="H468" s="42"/>
      <c r="I468" s="42"/>
    </row>
    <row r="469" spans="1:9" x14ac:dyDescent="0.25">
      <c r="A469" s="42"/>
      <c r="B469" s="42"/>
      <c r="C469" s="42"/>
      <c r="D469" s="42"/>
      <c r="E469" s="42"/>
      <c r="F469" s="42"/>
      <c r="G469" s="42"/>
      <c r="H469" s="42"/>
      <c r="I469" s="42"/>
    </row>
    <row r="470" spans="1:9" x14ac:dyDescent="0.25">
      <c r="A470" s="42"/>
      <c r="B470" s="42"/>
      <c r="C470" s="42"/>
      <c r="D470" s="42"/>
      <c r="E470" s="42"/>
      <c r="F470" s="42"/>
      <c r="G470" s="42"/>
      <c r="H470" s="42"/>
      <c r="I470" s="42"/>
    </row>
    <row r="471" spans="1:9" x14ac:dyDescent="0.25">
      <c r="A471" s="42"/>
      <c r="B471" s="42"/>
      <c r="C471" s="42"/>
      <c r="D471" s="42"/>
      <c r="E471" s="42"/>
      <c r="F471" s="42"/>
      <c r="G471" s="42"/>
      <c r="H471" s="42"/>
      <c r="I471" s="42"/>
    </row>
    <row r="472" spans="1:9" x14ac:dyDescent="0.25">
      <c r="A472" s="42"/>
      <c r="B472" s="42"/>
      <c r="C472" s="42"/>
      <c r="D472" s="42"/>
      <c r="E472" s="42"/>
      <c r="F472" s="42"/>
      <c r="G472" s="42"/>
      <c r="H472" s="42"/>
      <c r="I472" s="42"/>
    </row>
    <row r="473" spans="1:9" x14ac:dyDescent="0.25">
      <c r="A473" s="42"/>
      <c r="B473" s="42"/>
      <c r="C473" s="42"/>
      <c r="D473" s="42"/>
      <c r="E473" s="42"/>
      <c r="F473" s="42"/>
      <c r="G473" s="42"/>
      <c r="H473" s="42"/>
      <c r="I473" s="42"/>
    </row>
    <row r="474" spans="1:9" x14ac:dyDescent="0.25">
      <c r="A474" s="42"/>
      <c r="B474" s="42"/>
      <c r="C474" s="42"/>
      <c r="D474" s="42"/>
      <c r="E474" s="42"/>
      <c r="F474" s="42"/>
      <c r="G474" s="42"/>
      <c r="H474" s="42"/>
      <c r="I474" s="42"/>
    </row>
    <row r="475" spans="1:9" x14ac:dyDescent="0.25">
      <c r="A475" s="42"/>
      <c r="B475" s="42"/>
      <c r="C475" s="42"/>
      <c r="D475" s="42"/>
      <c r="E475" s="42"/>
      <c r="F475" s="42"/>
      <c r="G475" s="42"/>
      <c r="H475" s="42"/>
      <c r="I475" s="42"/>
    </row>
    <row r="476" spans="1:9" x14ac:dyDescent="0.25">
      <c r="A476" s="42"/>
      <c r="B476" s="42"/>
      <c r="C476" s="42"/>
      <c r="D476" s="42"/>
      <c r="E476" s="42"/>
      <c r="F476" s="42"/>
      <c r="G476" s="42"/>
      <c r="H476" s="42"/>
      <c r="I476" s="42"/>
    </row>
    <row r="477" spans="1:9" x14ac:dyDescent="0.25">
      <c r="A477" s="42"/>
      <c r="B477" s="42"/>
      <c r="C477" s="42"/>
      <c r="D477" s="42"/>
      <c r="E477" s="42"/>
      <c r="F477" s="42"/>
      <c r="G477" s="42"/>
      <c r="H477" s="42"/>
      <c r="I477" s="42"/>
    </row>
    <row r="478" spans="1:9" x14ac:dyDescent="0.25">
      <c r="A478" s="42"/>
      <c r="B478" s="42"/>
      <c r="C478" s="42"/>
      <c r="D478" s="42"/>
      <c r="E478" s="42"/>
      <c r="F478" s="42"/>
      <c r="G478" s="42"/>
      <c r="H478" s="42"/>
      <c r="I478" s="42"/>
    </row>
    <row r="479" spans="1:9" x14ac:dyDescent="0.25">
      <c r="A479" s="42"/>
      <c r="B479" s="42"/>
      <c r="C479" s="42"/>
      <c r="D479" s="42"/>
      <c r="E479" s="42"/>
      <c r="F479" s="42"/>
      <c r="G479" s="42"/>
      <c r="H479" s="42"/>
      <c r="I479" s="42"/>
    </row>
    <row r="480" spans="1:9" x14ac:dyDescent="0.25">
      <c r="A480" s="42"/>
      <c r="B480" s="42"/>
      <c r="C480" s="42"/>
      <c r="D480" s="42"/>
      <c r="E480" s="42"/>
      <c r="F480" s="42"/>
      <c r="G480" s="42"/>
      <c r="H480" s="42"/>
      <c r="I480" s="42"/>
    </row>
    <row r="481" spans="1:9" x14ac:dyDescent="0.25">
      <c r="A481" s="42"/>
      <c r="B481" s="42"/>
      <c r="C481" s="42"/>
      <c r="D481" s="42"/>
      <c r="E481" s="42"/>
      <c r="F481" s="42"/>
      <c r="G481" s="42"/>
      <c r="H481" s="42"/>
      <c r="I481" s="42"/>
    </row>
    <row r="482" spans="1:9" x14ac:dyDescent="0.25">
      <c r="A482" s="42"/>
      <c r="B482" s="42"/>
      <c r="C482" s="42"/>
      <c r="D482" s="42"/>
      <c r="E482" s="42"/>
      <c r="F482" s="42"/>
      <c r="G482" s="42"/>
      <c r="H482" s="42"/>
      <c r="I482" s="42"/>
    </row>
    <row r="483" spans="1:9" x14ac:dyDescent="0.25">
      <c r="A483" s="42"/>
      <c r="B483" s="42"/>
      <c r="C483" s="42"/>
      <c r="D483" s="42"/>
      <c r="E483" s="42"/>
      <c r="F483" s="42"/>
      <c r="G483" s="42"/>
      <c r="H483" s="42"/>
      <c r="I483" s="42"/>
    </row>
    <row r="484" spans="1:9" x14ac:dyDescent="0.25">
      <c r="A484" s="42"/>
      <c r="B484" s="42"/>
      <c r="C484" s="42"/>
      <c r="D484" s="42"/>
      <c r="E484" s="42"/>
      <c r="F484" s="42"/>
      <c r="G484" s="42"/>
      <c r="H484" s="42"/>
      <c r="I484" s="42"/>
    </row>
    <row r="485" spans="1:9" x14ac:dyDescent="0.25">
      <c r="A485" s="42"/>
      <c r="B485" s="42"/>
      <c r="C485" s="42"/>
      <c r="D485" s="42"/>
      <c r="E485" s="42"/>
      <c r="F485" s="42"/>
      <c r="G485" s="42"/>
      <c r="H485" s="42"/>
      <c r="I485" s="42"/>
    </row>
    <row r="486" spans="1:9" x14ac:dyDescent="0.25">
      <c r="A486" s="42"/>
      <c r="B486" s="42"/>
      <c r="C486" s="42"/>
      <c r="D486" s="42"/>
      <c r="E486" s="42"/>
      <c r="F486" s="42"/>
      <c r="G486" s="42"/>
      <c r="H486" s="42"/>
      <c r="I486" s="42"/>
    </row>
    <row r="487" spans="1:9" x14ac:dyDescent="0.25">
      <c r="A487" s="42"/>
      <c r="B487" s="42"/>
      <c r="C487" s="42"/>
      <c r="D487" s="42"/>
      <c r="E487" s="42"/>
      <c r="F487" s="42"/>
      <c r="G487" s="42"/>
      <c r="H487" s="42"/>
      <c r="I487" s="42"/>
    </row>
    <row r="488" spans="1:9" x14ac:dyDescent="0.25">
      <c r="A488" s="42"/>
      <c r="B488" s="42"/>
      <c r="C488" s="42"/>
      <c r="D488" s="42"/>
      <c r="E488" s="42"/>
      <c r="F488" s="42"/>
      <c r="G488" s="42"/>
      <c r="H488" s="42"/>
      <c r="I488" s="42"/>
    </row>
    <row r="489" spans="1:9" x14ac:dyDescent="0.25">
      <c r="A489" s="42"/>
      <c r="B489" s="42"/>
      <c r="C489" s="42"/>
      <c r="D489" s="42"/>
      <c r="E489" s="42"/>
      <c r="F489" s="42"/>
      <c r="G489" s="42"/>
      <c r="H489" s="42"/>
      <c r="I489" s="42"/>
    </row>
    <row r="490" spans="1:9" x14ac:dyDescent="0.25">
      <c r="A490" s="42"/>
      <c r="B490" s="42"/>
      <c r="C490" s="42"/>
      <c r="D490" s="42"/>
      <c r="E490" s="42"/>
      <c r="F490" s="42"/>
      <c r="G490" s="42"/>
      <c r="H490" s="42"/>
      <c r="I490" s="42"/>
    </row>
    <row r="491" spans="1:9" x14ac:dyDescent="0.25">
      <c r="A491" s="42"/>
      <c r="B491" s="42"/>
      <c r="C491" s="42"/>
      <c r="D491" s="42"/>
      <c r="E491" s="42"/>
      <c r="F491" s="42"/>
      <c r="G491" s="42"/>
      <c r="H491" s="42"/>
      <c r="I491" s="42"/>
    </row>
    <row r="492" spans="1:9" x14ac:dyDescent="0.25">
      <c r="A492" s="42"/>
      <c r="B492" s="42"/>
      <c r="C492" s="42"/>
      <c r="D492" s="42"/>
      <c r="E492" s="42"/>
      <c r="F492" s="42"/>
      <c r="G492" s="42"/>
      <c r="H492" s="42"/>
      <c r="I492" s="42"/>
    </row>
    <row r="493" spans="1:9" x14ac:dyDescent="0.25">
      <c r="A493" s="42"/>
      <c r="B493" s="42"/>
      <c r="C493" s="42"/>
      <c r="D493" s="42"/>
      <c r="E493" s="42"/>
      <c r="F493" s="42"/>
      <c r="G493" s="42"/>
      <c r="H493" s="42"/>
      <c r="I493" s="42"/>
    </row>
    <row r="494" spans="1:9" x14ac:dyDescent="0.25">
      <c r="A494" s="42"/>
      <c r="B494" s="42"/>
      <c r="C494" s="42"/>
      <c r="D494" s="42"/>
      <c r="E494" s="42"/>
      <c r="F494" s="42"/>
      <c r="G494" s="42"/>
      <c r="H494" s="42"/>
      <c r="I494" s="42"/>
    </row>
    <row r="495" spans="1:9" x14ac:dyDescent="0.25">
      <c r="A495" s="42"/>
      <c r="B495" s="42"/>
      <c r="C495" s="42"/>
      <c r="D495" s="42"/>
      <c r="E495" s="42"/>
      <c r="F495" s="42"/>
      <c r="G495" s="42"/>
      <c r="H495" s="42"/>
      <c r="I495" s="42"/>
    </row>
    <row r="496" spans="1:9" x14ac:dyDescent="0.25">
      <c r="A496" s="42"/>
      <c r="B496" s="42"/>
      <c r="C496" s="42"/>
      <c r="D496" s="42"/>
      <c r="E496" s="42"/>
      <c r="F496" s="42"/>
      <c r="G496" s="42"/>
      <c r="H496" s="42"/>
      <c r="I496" s="42"/>
    </row>
    <row r="497" spans="1:9" x14ac:dyDescent="0.25">
      <c r="A497" s="42"/>
      <c r="B497" s="42"/>
      <c r="C497" s="42"/>
      <c r="D497" s="42"/>
      <c r="E497" s="42"/>
      <c r="F497" s="42"/>
      <c r="G497" s="42"/>
      <c r="H497" s="42"/>
      <c r="I497" s="42"/>
    </row>
    <row r="498" spans="1:9" x14ac:dyDescent="0.25">
      <c r="A498" s="42"/>
      <c r="B498" s="42"/>
      <c r="C498" s="42"/>
      <c r="D498" s="42"/>
      <c r="E498" s="42"/>
      <c r="F498" s="42"/>
      <c r="G498" s="42"/>
      <c r="H498" s="42"/>
      <c r="I498" s="42"/>
    </row>
    <row r="499" spans="1:9" x14ac:dyDescent="0.25">
      <c r="A499" s="42"/>
      <c r="B499" s="42"/>
      <c r="C499" s="42"/>
      <c r="D499" s="42"/>
      <c r="E499" s="42"/>
      <c r="F499" s="42"/>
      <c r="G499" s="42"/>
      <c r="H499" s="42"/>
      <c r="I499" s="42"/>
    </row>
    <row r="500" spans="1:9" x14ac:dyDescent="0.25">
      <c r="A500" s="42"/>
      <c r="B500" s="42"/>
      <c r="C500" s="42"/>
      <c r="D500" s="42"/>
      <c r="E500" s="42"/>
      <c r="F500" s="42"/>
      <c r="G500" s="42"/>
      <c r="H500" s="42"/>
      <c r="I500" s="42"/>
    </row>
    <row r="501" spans="1:9" x14ac:dyDescent="0.25">
      <c r="A501" s="42"/>
      <c r="B501" s="42"/>
      <c r="C501" s="42"/>
      <c r="D501" s="42"/>
      <c r="E501" s="42"/>
      <c r="F501" s="42"/>
      <c r="G501" s="42"/>
      <c r="H501" s="42"/>
      <c r="I501" s="42"/>
    </row>
    <row r="502" spans="1:9" x14ac:dyDescent="0.25">
      <c r="A502" s="42"/>
      <c r="B502" s="42"/>
      <c r="C502" s="42"/>
      <c r="D502" s="42"/>
      <c r="E502" s="42"/>
      <c r="F502" s="42"/>
      <c r="G502" s="42"/>
      <c r="H502" s="42"/>
      <c r="I502" s="42"/>
    </row>
    <row r="503" spans="1:9" x14ac:dyDescent="0.25">
      <c r="A503" s="42"/>
      <c r="B503" s="42"/>
      <c r="C503" s="42"/>
      <c r="D503" s="42"/>
      <c r="E503" s="42"/>
      <c r="F503" s="42"/>
      <c r="G503" s="42"/>
      <c r="H503" s="42"/>
      <c r="I503" s="42"/>
    </row>
    <row r="504" spans="1:9" x14ac:dyDescent="0.25">
      <c r="A504" s="42"/>
      <c r="B504" s="42"/>
      <c r="C504" s="42"/>
      <c r="D504" s="42"/>
      <c r="E504" s="42"/>
      <c r="F504" s="42"/>
      <c r="G504" s="42"/>
      <c r="H504" s="42"/>
      <c r="I504" s="42"/>
    </row>
    <row r="505" spans="1:9" x14ac:dyDescent="0.25">
      <c r="A505" s="42"/>
      <c r="B505" s="42"/>
      <c r="C505" s="42"/>
      <c r="D505" s="42"/>
      <c r="E505" s="42"/>
      <c r="F505" s="42"/>
      <c r="G505" s="42"/>
      <c r="H505" s="42"/>
      <c r="I505" s="42"/>
    </row>
    <row r="506" spans="1:9" x14ac:dyDescent="0.25">
      <c r="A506" s="42"/>
      <c r="B506" s="42"/>
      <c r="C506" s="42"/>
      <c r="D506" s="42"/>
      <c r="E506" s="42"/>
      <c r="F506" s="42"/>
      <c r="G506" s="42"/>
      <c r="H506" s="42"/>
      <c r="I506" s="42"/>
    </row>
    <row r="507" spans="1:9" x14ac:dyDescent="0.25">
      <c r="A507" s="42"/>
      <c r="B507" s="42"/>
      <c r="C507" s="42"/>
      <c r="D507" s="42"/>
      <c r="E507" s="42"/>
      <c r="F507" s="42"/>
      <c r="G507" s="42"/>
      <c r="H507" s="42"/>
      <c r="I507" s="42"/>
    </row>
    <row r="508" spans="1:9" x14ac:dyDescent="0.25">
      <c r="A508" s="42"/>
      <c r="B508" s="42"/>
      <c r="C508" s="42"/>
      <c r="D508" s="42"/>
      <c r="E508" s="42"/>
      <c r="F508" s="42"/>
      <c r="G508" s="42"/>
      <c r="H508" s="42"/>
      <c r="I508" s="42"/>
    </row>
    <row r="509" spans="1:9" x14ac:dyDescent="0.25">
      <c r="A509" s="42"/>
      <c r="B509" s="42"/>
      <c r="C509" s="42"/>
      <c r="D509" s="42"/>
      <c r="E509" s="42"/>
      <c r="F509" s="42"/>
      <c r="G509" s="42"/>
      <c r="H509" s="42"/>
      <c r="I509" s="42"/>
    </row>
    <row r="510" spans="1:9" x14ac:dyDescent="0.25">
      <c r="A510" s="42"/>
      <c r="B510" s="42"/>
      <c r="C510" s="42"/>
      <c r="D510" s="42"/>
      <c r="E510" s="42"/>
      <c r="F510" s="42"/>
      <c r="G510" s="42"/>
      <c r="H510" s="42"/>
      <c r="I510" s="42"/>
    </row>
    <row r="511" spans="1:9" x14ac:dyDescent="0.25">
      <c r="A511" s="42"/>
      <c r="B511" s="42"/>
      <c r="C511" s="42"/>
      <c r="D511" s="42"/>
      <c r="E511" s="42"/>
      <c r="F511" s="42"/>
      <c r="G511" s="42"/>
      <c r="H511" s="42"/>
      <c r="I511" s="42"/>
    </row>
    <row r="512" spans="1:9" x14ac:dyDescent="0.25">
      <c r="A512" s="42"/>
      <c r="B512" s="42"/>
      <c r="C512" s="42"/>
      <c r="D512" s="42"/>
      <c r="E512" s="42"/>
      <c r="F512" s="42"/>
      <c r="G512" s="42"/>
      <c r="H512" s="42"/>
      <c r="I512" s="42"/>
    </row>
    <row r="513" spans="1:9" x14ac:dyDescent="0.25">
      <c r="A513" s="42"/>
      <c r="B513" s="42"/>
      <c r="C513" s="42"/>
      <c r="D513" s="42"/>
      <c r="E513" s="42"/>
      <c r="F513" s="42"/>
      <c r="G513" s="42"/>
      <c r="H513" s="42"/>
      <c r="I513" s="42"/>
    </row>
    <row r="514" spans="1:9" x14ac:dyDescent="0.25">
      <c r="A514" s="42"/>
      <c r="B514" s="42"/>
      <c r="C514" s="42"/>
      <c r="D514" s="42"/>
      <c r="E514" s="42"/>
      <c r="F514" s="42"/>
      <c r="G514" s="42"/>
      <c r="H514" s="42"/>
      <c r="I514" s="42"/>
    </row>
    <row r="515" spans="1:9" x14ac:dyDescent="0.25">
      <c r="A515" s="42"/>
      <c r="B515" s="42"/>
      <c r="C515" s="42"/>
      <c r="D515" s="42"/>
      <c r="E515" s="42"/>
      <c r="F515" s="42"/>
      <c r="G515" s="42"/>
      <c r="H515" s="42"/>
      <c r="I515" s="42"/>
    </row>
    <row r="516" spans="1:9" x14ac:dyDescent="0.25">
      <c r="A516" s="42"/>
      <c r="B516" s="42"/>
      <c r="C516" s="42"/>
      <c r="D516" s="42"/>
      <c r="E516" s="42"/>
      <c r="F516" s="42"/>
      <c r="G516" s="42"/>
      <c r="H516" s="42"/>
      <c r="I516" s="42"/>
    </row>
    <row r="517" spans="1:9" x14ac:dyDescent="0.25">
      <c r="A517" s="42"/>
      <c r="B517" s="42"/>
      <c r="C517" s="42"/>
      <c r="D517" s="42"/>
      <c r="E517" s="42"/>
      <c r="F517" s="42"/>
      <c r="G517" s="42"/>
      <c r="H517" s="42"/>
      <c r="I517" s="42"/>
    </row>
    <row r="518" spans="1:9" x14ac:dyDescent="0.25">
      <c r="A518" s="42"/>
      <c r="B518" s="42"/>
      <c r="C518" s="42"/>
      <c r="D518" s="42"/>
      <c r="E518" s="42"/>
      <c r="F518" s="42"/>
      <c r="G518" s="42"/>
      <c r="H518" s="42"/>
      <c r="I518" s="42"/>
    </row>
    <row r="519" spans="1:9" x14ac:dyDescent="0.25">
      <c r="A519" s="42"/>
      <c r="B519" s="42"/>
      <c r="C519" s="42"/>
      <c r="D519" s="42"/>
      <c r="E519" s="42"/>
      <c r="F519" s="42"/>
      <c r="G519" s="42"/>
      <c r="H519" s="42"/>
      <c r="I519" s="42"/>
    </row>
    <row r="520" spans="1:9" x14ac:dyDescent="0.25">
      <c r="A520" s="42"/>
      <c r="B520" s="42"/>
      <c r="C520" s="42"/>
      <c r="D520" s="42"/>
      <c r="E520" s="42"/>
      <c r="F520" s="42"/>
      <c r="G520" s="42"/>
      <c r="H520" s="42"/>
      <c r="I520" s="42"/>
    </row>
    <row r="521" spans="1:9" x14ac:dyDescent="0.25">
      <c r="A521" s="42"/>
      <c r="B521" s="42"/>
      <c r="C521" s="42"/>
      <c r="D521" s="42"/>
      <c r="E521" s="42"/>
      <c r="F521" s="42"/>
      <c r="G521" s="42"/>
      <c r="H521" s="42"/>
      <c r="I521" s="42"/>
    </row>
    <row r="522" spans="1:9" x14ac:dyDescent="0.25">
      <c r="A522" s="42"/>
      <c r="B522" s="42"/>
      <c r="C522" s="42"/>
      <c r="D522" s="42"/>
      <c r="E522" s="42"/>
      <c r="F522" s="42"/>
      <c r="G522" s="42"/>
      <c r="H522" s="42"/>
      <c r="I522" s="42"/>
    </row>
    <row r="523" spans="1:9" x14ac:dyDescent="0.25">
      <c r="A523" s="42"/>
      <c r="B523" s="42"/>
      <c r="C523" s="42"/>
      <c r="D523" s="42"/>
      <c r="E523" s="42"/>
      <c r="F523" s="42"/>
      <c r="G523" s="42"/>
      <c r="H523" s="42"/>
      <c r="I523" s="42"/>
    </row>
    <row r="524" spans="1:9" x14ac:dyDescent="0.25">
      <c r="A524" s="42"/>
      <c r="B524" s="42"/>
      <c r="C524" s="42"/>
      <c r="D524" s="42"/>
      <c r="E524" s="42"/>
      <c r="F524" s="42"/>
      <c r="G524" s="42"/>
      <c r="H524" s="42"/>
      <c r="I524" s="42"/>
    </row>
    <row r="525" spans="1:9" x14ac:dyDescent="0.25">
      <c r="A525" s="42"/>
      <c r="B525" s="42"/>
      <c r="C525" s="42"/>
      <c r="D525" s="42"/>
      <c r="E525" s="42"/>
      <c r="F525" s="42"/>
      <c r="G525" s="42"/>
      <c r="H525" s="42"/>
      <c r="I525" s="42"/>
    </row>
    <row r="526" spans="1:9" x14ac:dyDescent="0.25">
      <c r="A526" s="42"/>
      <c r="B526" s="42"/>
      <c r="C526" s="42"/>
      <c r="D526" s="42"/>
      <c r="E526" s="42"/>
      <c r="F526" s="42"/>
      <c r="G526" s="42"/>
      <c r="H526" s="42"/>
      <c r="I526" s="42"/>
    </row>
    <row r="527" spans="1:9" x14ac:dyDescent="0.25">
      <c r="A527" s="42"/>
      <c r="B527" s="42"/>
      <c r="C527" s="42"/>
      <c r="D527" s="42"/>
      <c r="E527" s="42"/>
      <c r="F527" s="42"/>
      <c r="G527" s="42"/>
      <c r="H527" s="42"/>
      <c r="I527" s="42"/>
    </row>
    <row r="528" spans="1:9" x14ac:dyDescent="0.25">
      <c r="A528" s="42"/>
      <c r="B528" s="42"/>
      <c r="C528" s="42"/>
      <c r="D528" s="42"/>
      <c r="E528" s="42"/>
      <c r="F528" s="42"/>
      <c r="G528" s="42"/>
      <c r="H528" s="42"/>
      <c r="I528" s="42"/>
    </row>
    <row r="529" spans="1:9" x14ac:dyDescent="0.25">
      <c r="A529" s="42"/>
      <c r="B529" s="42"/>
      <c r="C529" s="42"/>
      <c r="D529" s="42"/>
      <c r="E529" s="42"/>
      <c r="F529" s="42"/>
      <c r="G529" s="42"/>
      <c r="H529" s="42"/>
      <c r="I529" s="42"/>
    </row>
    <row r="530" spans="1:9" x14ac:dyDescent="0.25">
      <c r="A530" s="42"/>
      <c r="B530" s="42"/>
      <c r="C530" s="42"/>
      <c r="D530" s="42"/>
      <c r="E530" s="42"/>
      <c r="F530" s="42"/>
      <c r="G530" s="42"/>
      <c r="H530" s="42"/>
      <c r="I530" s="42"/>
    </row>
    <row r="531" spans="1:9" x14ac:dyDescent="0.25">
      <c r="A531" s="42"/>
      <c r="B531" s="42"/>
      <c r="C531" s="42"/>
      <c r="D531" s="42"/>
      <c r="E531" s="42"/>
      <c r="F531" s="42"/>
      <c r="G531" s="42"/>
      <c r="H531" s="42"/>
      <c r="I531" s="42"/>
    </row>
    <row r="532" spans="1:9" x14ac:dyDescent="0.25">
      <c r="A532" s="42"/>
      <c r="B532" s="42"/>
      <c r="C532" s="42"/>
      <c r="D532" s="42"/>
      <c r="E532" s="42"/>
      <c r="F532" s="42"/>
      <c r="G532" s="42"/>
      <c r="H532" s="42"/>
      <c r="I532" s="42"/>
    </row>
    <row r="533" spans="1:9" x14ac:dyDescent="0.25">
      <c r="A533" s="42"/>
      <c r="B533" s="42"/>
      <c r="C533" s="42"/>
      <c r="D533" s="42"/>
      <c r="E533" s="42"/>
      <c r="F533" s="42"/>
      <c r="G533" s="42"/>
      <c r="H533" s="42"/>
      <c r="I533" s="42"/>
    </row>
    <row r="534" spans="1:9" x14ac:dyDescent="0.25">
      <c r="A534" s="42"/>
      <c r="B534" s="42"/>
      <c r="C534" s="42"/>
      <c r="D534" s="42"/>
      <c r="E534" s="42"/>
      <c r="F534" s="42"/>
      <c r="G534" s="42"/>
      <c r="H534" s="42"/>
      <c r="I534" s="42"/>
    </row>
    <row r="535" spans="1:9" x14ac:dyDescent="0.25">
      <c r="A535" s="42"/>
      <c r="B535" s="42"/>
      <c r="C535" s="42"/>
      <c r="D535" s="42"/>
      <c r="E535" s="42"/>
      <c r="F535" s="42"/>
      <c r="G535" s="42"/>
      <c r="H535" s="42"/>
      <c r="I535" s="42"/>
    </row>
    <row r="536" spans="1:9" x14ac:dyDescent="0.25">
      <c r="A536" s="42"/>
      <c r="B536" s="42"/>
      <c r="C536" s="42"/>
      <c r="D536" s="42"/>
      <c r="E536" s="42"/>
      <c r="F536" s="42"/>
      <c r="G536" s="42"/>
      <c r="H536" s="42"/>
      <c r="I536" s="42"/>
    </row>
    <row r="537" spans="1:9" x14ac:dyDescent="0.25">
      <c r="A537" s="42"/>
      <c r="B537" s="42"/>
      <c r="C537" s="42"/>
      <c r="D537" s="42"/>
      <c r="E537" s="42"/>
      <c r="F537" s="42"/>
      <c r="G537" s="42"/>
      <c r="H537" s="42"/>
      <c r="I537" s="42"/>
    </row>
    <row r="538" spans="1:9" x14ac:dyDescent="0.25">
      <c r="A538" s="42"/>
      <c r="B538" s="42"/>
      <c r="C538" s="42"/>
      <c r="D538" s="42"/>
      <c r="E538" s="42"/>
      <c r="F538" s="42"/>
      <c r="G538" s="42"/>
      <c r="H538" s="42"/>
      <c r="I538" s="42"/>
    </row>
    <row r="539" spans="1:9" x14ac:dyDescent="0.25">
      <c r="A539" s="42"/>
      <c r="B539" s="42"/>
      <c r="C539" s="42"/>
      <c r="D539" s="42"/>
      <c r="E539" s="42"/>
      <c r="F539" s="42"/>
      <c r="G539" s="42"/>
      <c r="H539" s="42"/>
      <c r="I539" s="42"/>
    </row>
    <row r="540" spans="1:9" x14ac:dyDescent="0.25">
      <c r="A540" s="42"/>
      <c r="B540" s="42"/>
      <c r="C540" s="42"/>
      <c r="D540" s="42"/>
      <c r="E540" s="42"/>
      <c r="F540" s="42"/>
      <c r="G540" s="42"/>
      <c r="H540" s="42"/>
      <c r="I540" s="42"/>
    </row>
    <row r="541" spans="1:9" x14ac:dyDescent="0.25">
      <c r="A541" s="42"/>
      <c r="B541" s="42"/>
      <c r="C541" s="42"/>
      <c r="D541" s="42"/>
      <c r="E541" s="42"/>
      <c r="F541" s="42"/>
      <c r="G541" s="42"/>
      <c r="H541" s="42"/>
      <c r="I541" s="42"/>
    </row>
    <row r="542" spans="1:9" x14ac:dyDescent="0.25">
      <c r="A542" s="42"/>
      <c r="B542" s="42"/>
      <c r="C542" s="42"/>
      <c r="D542" s="42"/>
      <c r="E542" s="42"/>
      <c r="F542" s="42"/>
      <c r="G542" s="42"/>
      <c r="H542" s="42"/>
      <c r="I542" s="42"/>
    </row>
    <row r="543" spans="1:9" x14ac:dyDescent="0.25">
      <c r="A543" s="42"/>
      <c r="B543" s="42"/>
      <c r="C543" s="42"/>
      <c r="D543" s="42"/>
      <c r="E543" s="42"/>
      <c r="F543" s="42"/>
      <c r="G543" s="42"/>
      <c r="H543" s="42"/>
      <c r="I543" s="42"/>
    </row>
    <row r="544" spans="1:9" x14ac:dyDescent="0.25">
      <c r="A544" s="42"/>
      <c r="B544" s="42"/>
      <c r="C544" s="42"/>
      <c r="D544" s="42"/>
      <c r="E544" s="42"/>
      <c r="F544" s="42"/>
      <c r="G544" s="42"/>
      <c r="H544" s="42"/>
      <c r="I544" s="42"/>
    </row>
    <row r="545" spans="1:9" x14ac:dyDescent="0.25">
      <c r="A545" s="42"/>
      <c r="B545" s="42"/>
      <c r="C545" s="42"/>
      <c r="D545" s="42"/>
      <c r="E545" s="42"/>
      <c r="F545" s="42"/>
      <c r="G545" s="42"/>
      <c r="H545" s="42"/>
      <c r="I545" s="42"/>
    </row>
    <row r="546" spans="1:9" x14ac:dyDescent="0.25">
      <c r="A546" s="42"/>
      <c r="B546" s="42"/>
      <c r="C546" s="42"/>
      <c r="D546" s="42"/>
      <c r="E546" s="42"/>
      <c r="F546" s="42"/>
      <c r="G546" s="42"/>
      <c r="H546" s="42"/>
      <c r="I546" s="42"/>
    </row>
    <row r="547" spans="1:9" x14ac:dyDescent="0.25">
      <c r="A547" s="42"/>
      <c r="B547" s="42"/>
      <c r="C547" s="42"/>
      <c r="D547" s="42"/>
      <c r="E547" s="42"/>
      <c r="F547" s="42"/>
      <c r="G547" s="42"/>
      <c r="H547" s="42"/>
      <c r="I547" s="42"/>
    </row>
    <row r="548" spans="1:9" x14ac:dyDescent="0.25">
      <c r="A548" s="42"/>
      <c r="B548" s="42"/>
      <c r="C548" s="42"/>
      <c r="D548" s="42"/>
      <c r="E548" s="42"/>
      <c r="F548" s="42"/>
      <c r="G548" s="42"/>
      <c r="H548" s="42"/>
      <c r="I548" s="42"/>
    </row>
    <row r="549" spans="1:9" x14ac:dyDescent="0.25">
      <c r="A549" s="42"/>
      <c r="B549" s="42"/>
      <c r="C549" s="42"/>
      <c r="D549" s="42"/>
      <c r="E549" s="42"/>
      <c r="F549" s="42"/>
      <c r="G549" s="42"/>
      <c r="H549" s="42"/>
      <c r="I549" s="42"/>
    </row>
    <row r="550" spans="1:9" x14ac:dyDescent="0.25">
      <c r="A550" s="42"/>
      <c r="B550" s="42"/>
      <c r="C550" s="42"/>
      <c r="D550" s="42"/>
      <c r="E550" s="42"/>
      <c r="F550" s="42"/>
      <c r="G550" s="42"/>
      <c r="H550" s="42"/>
      <c r="I550" s="42"/>
    </row>
    <row r="551" spans="1:9" x14ac:dyDescent="0.25">
      <c r="A551" s="42"/>
      <c r="B551" s="42"/>
      <c r="C551" s="42"/>
      <c r="D551" s="42"/>
      <c r="E551" s="42"/>
      <c r="F551" s="42"/>
      <c r="G551" s="42"/>
      <c r="H551" s="42"/>
      <c r="I551" s="42"/>
    </row>
    <row r="552" spans="1:9" x14ac:dyDescent="0.25">
      <c r="A552" s="42"/>
      <c r="B552" s="42"/>
      <c r="C552" s="42"/>
      <c r="D552" s="42"/>
      <c r="E552" s="42"/>
      <c r="F552" s="42"/>
      <c r="G552" s="42"/>
      <c r="H552" s="42"/>
      <c r="I552" s="42"/>
    </row>
    <row r="553" spans="1:9" x14ac:dyDescent="0.25">
      <c r="A553" s="42"/>
      <c r="B553" s="42"/>
      <c r="C553" s="42"/>
      <c r="D553" s="42"/>
      <c r="E553" s="42"/>
      <c r="F553" s="42"/>
      <c r="G553" s="42"/>
      <c r="H553" s="42"/>
      <c r="I553" s="42"/>
    </row>
    <row r="554" spans="1:9" x14ac:dyDescent="0.25">
      <c r="A554" s="42"/>
      <c r="B554" s="42"/>
      <c r="C554" s="42"/>
      <c r="D554" s="42"/>
      <c r="E554" s="42"/>
      <c r="F554" s="42"/>
      <c r="G554" s="42"/>
      <c r="H554" s="42"/>
      <c r="I554" s="42"/>
    </row>
    <row r="555" spans="1:9" x14ac:dyDescent="0.25">
      <c r="A555" s="42"/>
      <c r="B555" s="42"/>
      <c r="C555" s="42"/>
      <c r="D555" s="42"/>
      <c r="E555" s="42"/>
      <c r="F555" s="42"/>
      <c r="G555" s="42"/>
      <c r="H555" s="42"/>
      <c r="I555" s="42"/>
    </row>
    <row r="556" spans="1:9" x14ac:dyDescent="0.25">
      <c r="A556" s="42"/>
      <c r="B556" s="42"/>
      <c r="C556" s="42"/>
      <c r="D556" s="42"/>
      <c r="E556" s="42"/>
      <c r="F556" s="42"/>
      <c r="G556" s="42"/>
      <c r="H556" s="42"/>
      <c r="I556" s="42"/>
    </row>
    <row r="557" spans="1:9" x14ac:dyDescent="0.25">
      <c r="A557" s="42"/>
      <c r="B557" s="42"/>
      <c r="C557" s="42"/>
      <c r="D557" s="42"/>
      <c r="E557" s="42"/>
      <c r="F557" s="42"/>
      <c r="G557" s="42"/>
      <c r="H557" s="42"/>
      <c r="I557" s="42"/>
    </row>
    <row r="558" spans="1:9" x14ac:dyDescent="0.25">
      <c r="A558" s="42"/>
      <c r="B558" s="42"/>
      <c r="C558" s="42"/>
      <c r="D558" s="42"/>
      <c r="E558" s="42"/>
      <c r="F558" s="42"/>
      <c r="G558" s="42"/>
      <c r="H558" s="42"/>
      <c r="I558" s="42"/>
    </row>
    <row r="559" spans="1:9" x14ac:dyDescent="0.25">
      <c r="A559" s="42"/>
      <c r="B559" s="42"/>
      <c r="C559" s="42"/>
      <c r="D559" s="42"/>
      <c r="E559" s="42"/>
      <c r="F559" s="42"/>
      <c r="G559" s="42"/>
      <c r="H559" s="42"/>
      <c r="I559" s="42"/>
    </row>
    <row r="560" spans="1:9" x14ac:dyDescent="0.25">
      <c r="A560" s="42"/>
      <c r="B560" s="42"/>
      <c r="C560" s="42"/>
      <c r="D560" s="42"/>
      <c r="E560" s="42"/>
      <c r="F560" s="42"/>
      <c r="G560" s="42"/>
      <c r="H560" s="42"/>
      <c r="I560" s="42"/>
    </row>
    <row r="561" spans="1:9" x14ac:dyDescent="0.25">
      <c r="A561" s="42"/>
      <c r="B561" s="42"/>
      <c r="C561" s="42"/>
      <c r="D561" s="42"/>
      <c r="E561" s="42"/>
      <c r="F561" s="42"/>
      <c r="G561" s="42"/>
      <c r="H561" s="42"/>
      <c r="I561" s="42"/>
    </row>
    <row r="562" spans="1:9" x14ac:dyDescent="0.25">
      <c r="A562" s="42"/>
      <c r="B562" s="42"/>
      <c r="C562" s="42"/>
      <c r="D562" s="42"/>
      <c r="E562" s="42"/>
      <c r="F562" s="42"/>
      <c r="G562" s="42"/>
      <c r="H562" s="42"/>
      <c r="I562" s="42"/>
    </row>
    <row r="563" spans="1:9" x14ac:dyDescent="0.25">
      <c r="A563" s="42"/>
      <c r="B563" s="42"/>
      <c r="C563" s="42"/>
      <c r="D563" s="42"/>
      <c r="E563" s="42"/>
      <c r="F563" s="42"/>
      <c r="G563" s="42"/>
      <c r="H563" s="42"/>
      <c r="I563" s="42"/>
    </row>
    <row r="564" spans="1:9" x14ac:dyDescent="0.25">
      <c r="A564" s="42"/>
      <c r="B564" s="42"/>
      <c r="C564" s="42"/>
      <c r="D564" s="42"/>
      <c r="E564" s="42"/>
      <c r="F564" s="42"/>
      <c r="G564" s="42"/>
      <c r="H564" s="42"/>
      <c r="I564" s="42"/>
    </row>
    <row r="565" spans="1:9" x14ac:dyDescent="0.25">
      <c r="A565" s="42"/>
      <c r="B565" s="42"/>
      <c r="C565" s="42"/>
      <c r="D565" s="42"/>
      <c r="E565" s="42"/>
      <c r="F565" s="42"/>
      <c r="G565" s="42"/>
      <c r="H565" s="42"/>
      <c r="I565" s="42"/>
    </row>
    <row r="566" spans="1:9" x14ac:dyDescent="0.25">
      <c r="A566" s="42"/>
      <c r="B566" s="42"/>
      <c r="C566" s="42"/>
      <c r="D566" s="42"/>
      <c r="E566" s="42"/>
      <c r="F566" s="42"/>
      <c r="G566" s="42"/>
      <c r="H566" s="42"/>
      <c r="I566" s="42"/>
    </row>
    <row r="567" spans="1:9" x14ac:dyDescent="0.25">
      <c r="A567" s="42"/>
      <c r="B567" s="42"/>
      <c r="C567" s="42"/>
      <c r="D567" s="42"/>
      <c r="E567" s="42"/>
      <c r="F567" s="42"/>
      <c r="G567" s="42"/>
      <c r="H567" s="42"/>
      <c r="I567" s="42"/>
    </row>
    <row r="568" spans="1:9" x14ac:dyDescent="0.25">
      <c r="A568" s="42"/>
      <c r="B568" s="42"/>
      <c r="C568" s="42"/>
      <c r="D568" s="42"/>
      <c r="E568" s="42"/>
      <c r="F568" s="42"/>
      <c r="G568" s="42"/>
      <c r="H568" s="42"/>
      <c r="I568" s="42"/>
    </row>
    <row r="569" spans="1:9" x14ac:dyDescent="0.25">
      <c r="A569" s="42"/>
      <c r="B569" s="42"/>
      <c r="C569" s="42"/>
      <c r="D569" s="42"/>
      <c r="E569" s="42"/>
      <c r="F569" s="42"/>
      <c r="G569" s="42"/>
      <c r="H569" s="42"/>
      <c r="I569" s="42"/>
    </row>
    <row r="570" spans="1:9" x14ac:dyDescent="0.25">
      <c r="A570" s="42"/>
      <c r="B570" s="42"/>
      <c r="C570" s="42"/>
      <c r="D570" s="42"/>
      <c r="E570" s="42"/>
      <c r="F570" s="42"/>
      <c r="G570" s="42"/>
      <c r="H570" s="42"/>
      <c r="I570" s="42"/>
    </row>
    <row r="571" spans="1:9" x14ac:dyDescent="0.25">
      <c r="A571" s="42"/>
      <c r="B571" s="42"/>
      <c r="C571" s="42"/>
      <c r="D571" s="42"/>
      <c r="E571" s="42"/>
      <c r="F571" s="42"/>
      <c r="G571" s="42"/>
      <c r="H571" s="42"/>
      <c r="I571" s="42"/>
    </row>
    <row r="572" spans="1:9" x14ac:dyDescent="0.25">
      <c r="A572" s="42"/>
      <c r="B572" s="42"/>
      <c r="C572" s="42"/>
      <c r="D572" s="42"/>
      <c r="E572" s="42"/>
      <c r="F572" s="42"/>
      <c r="G572" s="42"/>
      <c r="H572" s="42"/>
      <c r="I572" s="42"/>
    </row>
    <row r="573" spans="1:9" x14ac:dyDescent="0.25">
      <c r="A573" s="42"/>
      <c r="B573" s="42"/>
      <c r="C573" s="42"/>
      <c r="D573" s="42"/>
      <c r="E573" s="42"/>
      <c r="F573" s="42"/>
      <c r="G573" s="42"/>
      <c r="H573" s="42"/>
      <c r="I573" s="42"/>
    </row>
    <row r="574" spans="1:9" x14ac:dyDescent="0.25">
      <c r="A574" s="42"/>
      <c r="B574" s="42"/>
      <c r="C574" s="42"/>
      <c r="D574" s="42"/>
      <c r="E574" s="42"/>
      <c r="F574" s="42"/>
      <c r="G574" s="42"/>
      <c r="H574" s="42"/>
      <c r="I574" s="42"/>
    </row>
    <row r="575" spans="1:9" x14ac:dyDescent="0.25">
      <c r="A575" s="42"/>
      <c r="B575" s="42"/>
      <c r="C575" s="42"/>
      <c r="D575" s="42"/>
      <c r="E575" s="42"/>
      <c r="F575" s="42"/>
      <c r="G575" s="42"/>
      <c r="H575" s="42"/>
      <c r="I575" s="42"/>
    </row>
    <row r="576" spans="1:9" x14ac:dyDescent="0.25">
      <c r="A576" s="42"/>
      <c r="B576" s="42"/>
      <c r="C576" s="42"/>
      <c r="D576" s="42"/>
      <c r="E576" s="42"/>
      <c r="F576" s="42"/>
      <c r="G576" s="42"/>
      <c r="H576" s="42"/>
      <c r="I576" s="42"/>
    </row>
    <row r="577" spans="1:9" x14ac:dyDescent="0.25">
      <c r="A577" s="42"/>
      <c r="B577" s="42"/>
      <c r="C577" s="42"/>
      <c r="D577" s="42"/>
      <c r="E577" s="42"/>
      <c r="F577" s="42"/>
      <c r="G577" s="42"/>
      <c r="H577" s="42"/>
      <c r="I577" s="42"/>
    </row>
    <row r="578" spans="1:9" x14ac:dyDescent="0.25">
      <c r="A578" s="42"/>
      <c r="B578" s="42"/>
      <c r="C578" s="42"/>
      <c r="D578" s="42"/>
      <c r="E578" s="42"/>
      <c r="F578" s="42"/>
      <c r="G578" s="42"/>
      <c r="H578" s="42"/>
      <c r="I578" s="42"/>
    </row>
    <row r="579" spans="1:9" x14ac:dyDescent="0.25">
      <c r="A579" s="42"/>
      <c r="B579" s="42"/>
      <c r="C579" s="42"/>
      <c r="D579" s="42"/>
      <c r="E579" s="42"/>
      <c r="F579" s="42"/>
      <c r="G579" s="42"/>
      <c r="H579" s="42"/>
      <c r="I579" s="42"/>
    </row>
    <row r="580" spans="1:9" x14ac:dyDescent="0.25">
      <c r="A580" s="42"/>
      <c r="B580" s="42"/>
      <c r="C580" s="42"/>
      <c r="D580" s="42"/>
      <c r="E580" s="42"/>
      <c r="F580" s="42"/>
      <c r="G580" s="42"/>
      <c r="H580" s="42"/>
      <c r="I580" s="42"/>
    </row>
    <row r="581" spans="1:9" x14ac:dyDescent="0.25">
      <c r="A581" s="42"/>
      <c r="B581" s="42"/>
      <c r="C581" s="42"/>
      <c r="D581" s="42"/>
      <c r="E581" s="42"/>
      <c r="F581" s="42"/>
      <c r="G581" s="42"/>
      <c r="H581" s="42"/>
      <c r="I581" s="42"/>
    </row>
    <row r="582" spans="1:9" x14ac:dyDescent="0.25">
      <c r="A582" s="42"/>
      <c r="B582" s="42"/>
      <c r="C582" s="42"/>
      <c r="D582" s="42"/>
      <c r="E582" s="42"/>
      <c r="F582" s="42"/>
      <c r="G582" s="42"/>
      <c r="H582" s="42"/>
      <c r="I582" s="42"/>
    </row>
    <row r="583" spans="1:9" x14ac:dyDescent="0.25">
      <c r="A583" s="42"/>
      <c r="B583" s="42"/>
      <c r="C583" s="42"/>
      <c r="D583" s="42"/>
      <c r="E583" s="42"/>
      <c r="F583" s="42"/>
      <c r="G583" s="42"/>
      <c r="H583" s="42"/>
      <c r="I583" s="42"/>
    </row>
    <row r="584" spans="1:9" x14ac:dyDescent="0.25">
      <c r="A584" s="42"/>
      <c r="B584" s="42"/>
      <c r="C584" s="42"/>
      <c r="D584" s="42"/>
      <c r="E584" s="42"/>
      <c r="F584" s="42"/>
      <c r="G584" s="42"/>
      <c r="H584" s="42"/>
      <c r="I584" s="42"/>
    </row>
    <row r="585" spans="1:9" x14ac:dyDescent="0.25">
      <c r="A585" s="42"/>
      <c r="B585" s="42"/>
      <c r="C585" s="42"/>
      <c r="D585" s="42"/>
      <c r="E585" s="42"/>
      <c r="F585" s="42"/>
      <c r="G585" s="42"/>
      <c r="H585" s="42"/>
      <c r="I585" s="42"/>
    </row>
    <row r="586" spans="1:9" x14ac:dyDescent="0.25">
      <c r="A586" s="42"/>
      <c r="B586" s="42"/>
      <c r="C586" s="42"/>
      <c r="D586" s="42"/>
      <c r="E586" s="42"/>
      <c r="F586" s="42"/>
      <c r="G586" s="42"/>
      <c r="H586" s="42"/>
      <c r="I586" s="42"/>
    </row>
    <row r="587" spans="1:9" x14ac:dyDescent="0.25">
      <c r="A587" s="42"/>
      <c r="B587" s="42"/>
      <c r="C587" s="42"/>
      <c r="D587" s="42"/>
      <c r="E587" s="42"/>
      <c r="F587" s="42"/>
      <c r="G587" s="42"/>
      <c r="H587" s="42"/>
      <c r="I587" s="42"/>
    </row>
    <row r="588" spans="1:9" x14ac:dyDescent="0.25">
      <c r="A588" s="42"/>
      <c r="B588" s="42"/>
      <c r="C588" s="42"/>
      <c r="D588" s="42"/>
      <c r="E588" s="42"/>
      <c r="F588" s="42"/>
      <c r="G588" s="42"/>
      <c r="H588" s="42"/>
      <c r="I588" s="42"/>
    </row>
    <row r="589" spans="1:9" x14ac:dyDescent="0.25">
      <c r="A589" s="42"/>
      <c r="B589" s="42"/>
      <c r="C589" s="42"/>
      <c r="D589" s="42"/>
      <c r="E589" s="42"/>
      <c r="F589" s="42"/>
      <c r="G589" s="42"/>
      <c r="H589" s="42"/>
      <c r="I589" s="42"/>
    </row>
    <row r="590" spans="1:9" x14ac:dyDescent="0.25">
      <c r="A590" s="42"/>
      <c r="B590" s="42"/>
      <c r="C590" s="42"/>
      <c r="D590" s="42"/>
      <c r="E590" s="42"/>
      <c r="F590" s="42"/>
      <c r="G590" s="42"/>
      <c r="H590" s="42"/>
      <c r="I590" s="42"/>
    </row>
    <row r="591" spans="1:9" x14ac:dyDescent="0.25">
      <c r="A591" s="42"/>
      <c r="B591" s="42"/>
      <c r="C591" s="42"/>
      <c r="D591" s="42"/>
      <c r="E591" s="42"/>
      <c r="F591" s="42"/>
      <c r="G591" s="42"/>
      <c r="H591" s="42"/>
      <c r="I591" s="42"/>
    </row>
    <row r="592" spans="1:9" x14ac:dyDescent="0.25">
      <c r="A592" s="42"/>
      <c r="B592" s="42"/>
      <c r="C592" s="42"/>
      <c r="D592" s="42"/>
      <c r="E592" s="42"/>
      <c r="F592" s="42"/>
      <c r="G592" s="42"/>
      <c r="H592" s="42"/>
      <c r="I592" s="42"/>
    </row>
    <row r="593" spans="1:9" x14ac:dyDescent="0.25">
      <c r="A593" s="42"/>
      <c r="B593" s="42"/>
      <c r="C593" s="42"/>
      <c r="D593" s="42"/>
      <c r="E593" s="42"/>
      <c r="F593" s="42"/>
      <c r="G593" s="42"/>
      <c r="H593" s="42"/>
      <c r="I593" s="42"/>
    </row>
    <row r="594" spans="1:9" x14ac:dyDescent="0.25">
      <c r="A594" s="42"/>
      <c r="B594" s="42"/>
      <c r="C594" s="42"/>
      <c r="D594" s="42"/>
      <c r="E594" s="42"/>
      <c r="F594" s="42"/>
      <c r="G594" s="42"/>
      <c r="H594" s="42"/>
      <c r="I594" s="42"/>
    </row>
    <row r="595" spans="1:9" x14ac:dyDescent="0.25">
      <c r="A595" s="42"/>
      <c r="B595" s="42"/>
      <c r="C595" s="42"/>
      <c r="D595" s="42"/>
      <c r="E595" s="42"/>
      <c r="F595" s="42"/>
      <c r="G595" s="42"/>
      <c r="H595" s="42"/>
      <c r="I595" s="42"/>
    </row>
    <row r="596" spans="1:9" x14ac:dyDescent="0.25">
      <c r="A596" s="42"/>
      <c r="B596" s="42"/>
      <c r="C596" s="42"/>
      <c r="D596" s="42"/>
      <c r="E596" s="42"/>
      <c r="F596" s="42"/>
      <c r="G596" s="42"/>
      <c r="H596" s="42"/>
      <c r="I596" s="42"/>
    </row>
    <row r="597" spans="1:9" x14ac:dyDescent="0.25">
      <c r="A597" s="42"/>
      <c r="B597" s="42"/>
      <c r="C597" s="42"/>
      <c r="D597" s="42"/>
      <c r="E597" s="42"/>
      <c r="F597" s="42"/>
      <c r="G597" s="42"/>
      <c r="H597" s="42"/>
      <c r="I597" s="42"/>
    </row>
    <row r="598" spans="1:9" x14ac:dyDescent="0.25">
      <c r="A598" s="42"/>
      <c r="B598" s="42"/>
      <c r="C598" s="42"/>
      <c r="D598" s="42"/>
      <c r="E598" s="42"/>
      <c r="F598" s="42"/>
      <c r="G598" s="42"/>
      <c r="H598" s="42"/>
      <c r="I598" s="42"/>
    </row>
    <row r="599" spans="1:9" x14ac:dyDescent="0.25">
      <c r="A599" s="42"/>
      <c r="B599" s="42"/>
      <c r="C599" s="42"/>
      <c r="D599" s="42"/>
      <c r="E599" s="42"/>
      <c r="F599" s="42"/>
      <c r="G599" s="42"/>
      <c r="H599" s="42"/>
      <c r="I599" s="42"/>
    </row>
    <row r="600" spans="1:9" x14ac:dyDescent="0.25">
      <c r="A600" s="42"/>
      <c r="B600" s="42"/>
      <c r="C600" s="42"/>
      <c r="D600" s="42"/>
      <c r="E600" s="42"/>
      <c r="F600" s="42"/>
      <c r="G600" s="42"/>
      <c r="H600" s="42"/>
      <c r="I600" s="42"/>
    </row>
    <row r="601" spans="1:9" x14ac:dyDescent="0.25">
      <c r="A601" s="42"/>
      <c r="B601" s="42"/>
      <c r="C601" s="42"/>
      <c r="D601" s="42"/>
      <c r="E601" s="42"/>
      <c r="F601" s="42"/>
      <c r="G601" s="42"/>
      <c r="H601" s="42"/>
      <c r="I601" s="42"/>
    </row>
    <row r="602" spans="1:9" x14ac:dyDescent="0.25">
      <c r="A602" s="42"/>
      <c r="B602" s="42"/>
      <c r="C602" s="42"/>
      <c r="D602" s="42"/>
      <c r="E602" s="42"/>
      <c r="F602" s="42"/>
      <c r="G602" s="42"/>
      <c r="H602" s="42"/>
      <c r="I602" s="42"/>
    </row>
    <row r="603" spans="1:9" x14ac:dyDescent="0.25">
      <c r="A603" s="42"/>
      <c r="B603" s="42"/>
      <c r="C603" s="42"/>
      <c r="D603" s="42"/>
      <c r="E603" s="42"/>
      <c r="F603" s="42"/>
      <c r="G603" s="42"/>
      <c r="H603" s="42"/>
      <c r="I603" s="42"/>
    </row>
    <row r="604" spans="1:9" x14ac:dyDescent="0.25">
      <c r="A604" s="42"/>
      <c r="B604" s="42"/>
      <c r="C604" s="42"/>
      <c r="D604" s="42"/>
      <c r="E604" s="42"/>
      <c r="F604" s="42"/>
      <c r="G604" s="42"/>
      <c r="H604" s="42"/>
      <c r="I604" s="42"/>
    </row>
    <row r="605" spans="1:9" x14ac:dyDescent="0.25">
      <c r="A605" s="42"/>
      <c r="B605" s="42"/>
      <c r="C605" s="42"/>
      <c r="D605" s="42"/>
      <c r="E605" s="42"/>
      <c r="F605" s="42"/>
      <c r="G605" s="42"/>
      <c r="H605" s="42"/>
      <c r="I605" s="42"/>
    </row>
    <row r="606" spans="1:9" x14ac:dyDescent="0.25">
      <c r="A606" s="42"/>
      <c r="B606" s="42"/>
      <c r="C606" s="42"/>
      <c r="D606" s="42"/>
      <c r="E606" s="42"/>
      <c r="F606" s="42"/>
      <c r="G606" s="42"/>
      <c r="H606" s="42"/>
      <c r="I606" s="42"/>
    </row>
    <row r="607" spans="1:9" x14ac:dyDescent="0.25">
      <c r="A607" s="42"/>
      <c r="B607" s="42"/>
      <c r="C607" s="42"/>
      <c r="D607" s="42"/>
      <c r="E607" s="42"/>
      <c r="F607" s="42"/>
      <c r="G607" s="42"/>
      <c r="H607" s="42"/>
      <c r="I607" s="42"/>
    </row>
    <row r="608" spans="1:9" x14ac:dyDescent="0.25">
      <c r="A608" s="42"/>
      <c r="B608" s="42"/>
      <c r="C608" s="42"/>
      <c r="D608" s="42"/>
      <c r="E608" s="42"/>
      <c r="F608" s="42"/>
      <c r="G608" s="42"/>
      <c r="H608" s="42"/>
      <c r="I608" s="42"/>
    </row>
    <row r="609" spans="1:9" x14ac:dyDescent="0.25">
      <c r="A609" s="42"/>
      <c r="B609" s="42"/>
      <c r="C609" s="42"/>
      <c r="D609" s="42"/>
      <c r="E609" s="42"/>
      <c r="F609" s="42"/>
      <c r="G609" s="42"/>
      <c r="H609" s="42"/>
      <c r="I609" s="42"/>
    </row>
    <row r="610" spans="1:9" x14ac:dyDescent="0.25">
      <c r="A610" s="42"/>
      <c r="B610" s="42"/>
      <c r="C610" s="42"/>
      <c r="D610" s="42"/>
      <c r="E610" s="42"/>
      <c r="F610" s="42"/>
      <c r="G610" s="42"/>
      <c r="H610" s="42"/>
      <c r="I610" s="42"/>
    </row>
    <row r="611" spans="1:9" x14ac:dyDescent="0.25">
      <c r="A611" s="42"/>
      <c r="B611" s="42"/>
      <c r="C611" s="42"/>
      <c r="D611" s="42"/>
      <c r="E611" s="42"/>
      <c r="F611" s="42"/>
      <c r="G611" s="42"/>
      <c r="H611" s="42"/>
      <c r="I611" s="42"/>
    </row>
    <row r="612" spans="1:9" x14ac:dyDescent="0.25">
      <c r="A612" s="42"/>
      <c r="B612" s="42"/>
      <c r="C612" s="42"/>
      <c r="D612" s="42"/>
      <c r="E612" s="42"/>
      <c r="F612" s="42"/>
      <c r="G612" s="42"/>
      <c r="H612" s="42"/>
      <c r="I612" s="42"/>
    </row>
    <row r="613" spans="1:9" x14ac:dyDescent="0.25">
      <c r="A613" s="42"/>
      <c r="B613" s="42"/>
      <c r="C613" s="42"/>
      <c r="D613" s="42"/>
      <c r="E613" s="42"/>
      <c r="F613" s="42"/>
      <c r="G613" s="42"/>
      <c r="H613" s="42"/>
      <c r="I613" s="42"/>
    </row>
    <row r="614" spans="1:9" x14ac:dyDescent="0.25">
      <c r="A614" s="42"/>
      <c r="B614" s="42"/>
      <c r="C614" s="42"/>
      <c r="D614" s="42"/>
      <c r="E614" s="42"/>
      <c r="F614" s="42"/>
      <c r="G614" s="42"/>
      <c r="H614" s="42"/>
      <c r="I614" s="42"/>
    </row>
    <row r="615" spans="1:9" x14ac:dyDescent="0.25">
      <c r="A615" s="42"/>
      <c r="B615" s="42"/>
      <c r="C615" s="42"/>
      <c r="D615" s="42"/>
      <c r="E615" s="42"/>
      <c r="F615" s="42"/>
      <c r="G615" s="42"/>
      <c r="H615" s="42"/>
      <c r="I615" s="42"/>
    </row>
    <row r="616" spans="1:9" x14ac:dyDescent="0.25">
      <c r="A616" s="42"/>
      <c r="B616" s="42"/>
      <c r="C616" s="42"/>
      <c r="D616" s="42"/>
      <c r="E616" s="42"/>
      <c r="F616" s="42"/>
      <c r="G616" s="42"/>
      <c r="H616" s="42"/>
      <c r="I616" s="42"/>
    </row>
    <row r="617" spans="1:9" x14ac:dyDescent="0.25">
      <c r="A617" s="42"/>
      <c r="B617" s="42"/>
      <c r="C617" s="42"/>
      <c r="D617" s="42"/>
      <c r="E617" s="42"/>
      <c r="F617" s="42"/>
      <c r="G617" s="42"/>
      <c r="H617" s="42"/>
      <c r="I617" s="42"/>
    </row>
    <row r="618" spans="1:9" x14ac:dyDescent="0.25">
      <c r="A618" s="42"/>
      <c r="B618" s="42"/>
      <c r="C618" s="42"/>
      <c r="D618" s="42"/>
      <c r="E618" s="42"/>
      <c r="F618" s="42"/>
      <c r="G618" s="42"/>
      <c r="H618" s="42"/>
      <c r="I618" s="42"/>
    </row>
    <row r="619" spans="1:9" x14ac:dyDescent="0.25">
      <c r="A619" s="42"/>
      <c r="B619" s="42"/>
      <c r="C619" s="42"/>
      <c r="D619" s="42"/>
      <c r="E619" s="42"/>
      <c r="F619" s="42"/>
      <c r="G619" s="42"/>
      <c r="H619" s="42"/>
      <c r="I619" s="42"/>
    </row>
    <row r="620" spans="1:9" x14ac:dyDescent="0.25">
      <c r="A620" s="42"/>
      <c r="B620" s="42"/>
      <c r="C620" s="42"/>
      <c r="D620" s="42"/>
      <c r="E620" s="42"/>
      <c r="F620" s="42"/>
      <c r="G620" s="42"/>
      <c r="H620" s="42"/>
      <c r="I620" s="42"/>
    </row>
    <row r="621" spans="1:9" x14ac:dyDescent="0.25">
      <c r="A621" s="42"/>
      <c r="B621" s="42"/>
      <c r="C621" s="42"/>
      <c r="D621" s="42"/>
      <c r="E621" s="42"/>
      <c r="F621" s="42"/>
      <c r="G621" s="42"/>
      <c r="H621" s="42"/>
      <c r="I621" s="42"/>
    </row>
    <row r="622" spans="1:9" x14ac:dyDescent="0.25">
      <c r="A622" s="42"/>
      <c r="B622" s="42"/>
      <c r="C622" s="42"/>
      <c r="D622" s="42"/>
      <c r="E622" s="42"/>
      <c r="F622" s="42"/>
      <c r="G622" s="42"/>
      <c r="H622" s="42"/>
      <c r="I622" s="42"/>
    </row>
    <row r="623" spans="1:9" x14ac:dyDescent="0.25">
      <c r="A623" s="42"/>
      <c r="B623" s="42"/>
      <c r="C623" s="42"/>
      <c r="D623" s="42"/>
      <c r="E623" s="42"/>
      <c r="F623" s="42"/>
      <c r="G623" s="42"/>
      <c r="H623" s="42"/>
      <c r="I623" s="42"/>
    </row>
    <row r="624" spans="1:9" x14ac:dyDescent="0.25">
      <c r="A624" s="42"/>
      <c r="B624" s="42"/>
      <c r="C624" s="42"/>
      <c r="D624" s="42"/>
      <c r="E624" s="42"/>
      <c r="F624" s="42"/>
      <c r="G624" s="42"/>
      <c r="H624" s="42"/>
      <c r="I624" s="42"/>
    </row>
    <row r="625" spans="1:9" x14ac:dyDescent="0.25">
      <c r="A625" s="42"/>
      <c r="B625" s="42"/>
      <c r="C625" s="42"/>
      <c r="D625" s="42"/>
      <c r="E625" s="42"/>
      <c r="F625" s="42"/>
      <c r="G625" s="42"/>
      <c r="H625" s="42"/>
      <c r="I625" s="42"/>
    </row>
    <row r="626" spans="1:9" x14ac:dyDescent="0.25">
      <c r="A626" s="42"/>
      <c r="B626" s="42"/>
      <c r="C626" s="42"/>
      <c r="D626" s="42"/>
      <c r="E626" s="42"/>
      <c r="F626" s="42"/>
      <c r="G626" s="42"/>
      <c r="H626" s="42"/>
      <c r="I626" s="42"/>
    </row>
    <row r="627" spans="1:9" x14ac:dyDescent="0.25">
      <c r="A627" s="42"/>
      <c r="B627" s="42"/>
      <c r="C627" s="42"/>
      <c r="D627" s="42"/>
      <c r="E627" s="42"/>
      <c r="F627" s="42"/>
      <c r="G627" s="42"/>
      <c r="H627" s="42"/>
      <c r="I627" s="42"/>
    </row>
    <row r="628" spans="1:9" x14ac:dyDescent="0.25">
      <c r="A628" s="42"/>
      <c r="B628" s="42"/>
      <c r="C628" s="42"/>
      <c r="D628" s="42"/>
      <c r="E628" s="42"/>
      <c r="F628" s="42"/>
      <c r="G628" s="42"/>
      <c r="H628" s="42"/>
      <c r="I628" s="42"/>
    </row>
    <row r="629" spans="1:9" x14ac:dyDescent="0.25">
      <c r="A629" s="42"/>
      <c r="B629" s="42"/>
      <c r="C629" s="42"/>
      <c r="D629" s="42"/>
      <c r="E629" s="42"/>
      <c r="F629" s="42"/>
      <c r="G629" s="42"/>
      <c r="H629" s="42"/>
      <c r="I629" s="42"/>
    </row>
    <row r="630" spans="1:9" x14ac:dyDescent="0.25">
      <c r="A630" s="42"/>
      <c r="B630" s="42"/>
      <c r="C630" s="42"/>
      <c r="D630" s="42"/>
      <c r="E630" s="42"/>
      <c r="F630" s="42"/>
      <c r="G630" s="42"/>
      <c r="H630" s="42"/>
      <c r="I630" s="42"/>
    </row>
    <row r="631" spans="1:9" x14ac:dyDescent="0.25">
      <c r="A631" s="42"/>
      <c r="B631" s="42"/>
      <c r="C631" s="42"/>
      <c r="D631" s="42"/>
      <c r="E631" s="42"/>
      <c r="F631" s="42"/>
      <c r="G631" s="42"/>
      <c r="H631" s="42"/>
      <c r="I631" s="42"/>
    </row>
    <row r="632" spans="1:9" x14ac:dyDescent="0.25">
      <c r="A632" s="42"/>
      <c r="B632" s="42"/>
      <c r="C632" s="42"/>
      <c r="D632" s="42"/>
      <c r="E632" s="42"/>
      <c r="F632" s="42"/>
      <c r="G632" s="42"/>
      <c r="H632" s="42"/>
      <c r="I632" s="42"/>
    </row>
    <row r="633" spans="1:9" x14ac:dyDescent="0.25">
      <c r="A633" s="42"/>
      <c r="B633" s="42"/>
      <c r="C633" s="42"/>
      <c r="D633" s="42"/>
      <c r="E633" s="42"/>
      <c r="F633" s="42"/>
      <c r="G633" s="42"/>
      <c r="H633" s="42"/>
      <c r="I633" s="42"/>
    </row>
    <row r="634" spans="1:9" x14ac:dyDescent="0.25">
      <c r="A634" s="42"/>
      <c r="B634" s="42"/>
      <c r="C634" s="42"/>
      <c r="D634" s="42"/>
      <c r="E634" s="42"/>
      <c r="F634" s="42"/>
      <c r="G634" s="42"/>
      <c r="H634" s="42"/>
      <c r="I634" s="42"/>
    </row>
    <row r="635" spans="1:9" x14ac:dyDescent="0.25">
      <c r="A635" s="42"/>
      <c r="B635" s="42"/>
      <c r="C635" s="42"/>
      <c r="D635" s="42"/>
      <c r="E635" s="42"/>
      <c r="F635" s="42"/>
      <c r="G635" s="42"/>
      <c r="H635" s="42"/>
      <c r="I635" s="42"/>
    </row>
    <row r="636" spans="1:9" x14ac:dyDescent="0.25">
      <c r="A636" s="42"/>
      <c r="B636" s="42"/>
      <c r="C636" s="42"/>
      <c r="D636" s="42"/>
      <c r="E636" s="42"/>
      <c r="F636" s="42"/>
      <c r="G636" s="42"/>
      <c r="H636" s="42"/>
      <c r="I636" s="42"/>
    </row>
    <row r="637" spans="1:9" x14ac:dyDescent="0.25">
      <c r="A637" s="42"/>
      <c r="B637" s="42"/>
      <c r="C637" s="42"/>
      <c r="D637" s="42"/>
      <c r="E637" s="42"/>
      <c r="F637" s="42"/>
      <c r="G637" s="42"/>
      <c r="H637" s="42"/>
      <c r="I637" s="42"/>
    </row>
    <row r="638" spans="1:9" x14ac:dyDescent="0.25">
      <c r="A638" s="42"/>
      <c r="B638" s="42"/>
      <c r="C638" s="42"/>
      <c r="D638" s="42"/>
      <c r="E638" s="42"/>
      <c r="F638" s="42"/>
      <c r="G638" s="42"/>
      <c r="H638" s="42"/>
      <c r="I638" s="42"/>
    </row>
    <row r="639" spans="1:9" x14ac:dyDescent="0.25">
      <c r="A639" s="42"/>
      <c r="B639" s="42"/>
      <c r="C639" s="42"/>
      <c r="D639" s="42"/>
      <c r="E639" s="42"/>
      <c r="F639" s="42"/>
      <c r="G639" s="42"/>
      <c r="H639" s="42"/>
      <c r="I639" s="42"/>
    </row>
    <row r="640" spans="1:9" x14ac:dyDescent="0.25">
      <c r="A640" s="42"/>
      <c r="B640" s="42"/>
      <c r="C640" s="42"/>
      <c r="D640" s="42"/>
      <c r="E640" s="42"/>
      <c r="F640" s="42"/>
      <c r="G640" s="42"/>
      <c r="H640" s="42"/>
      <c r="I640" s="42"/>
    </row>
    <row r="641" spans="1:9" x14ac:dyDescent="0.25">
      <c r="A641" s="42"/>
      <c r="B641" s="42"/>
      <c r="C641" s="42"/>
      <c r="D641" s="42"/>
      <c r="E641" s="42"/>
      <c r="F641" s="42"/>
      <c r="G641" s="42"/>
      <c r="H641" s="42"/>
      <c r="I641" s="42"/>
    </row>
    <row r="642" spans="1:9" x14ac:dyDescent="0.25">
      <c r="A642" s="42"/>
      <c r="B642" s="42"/>
      <c r="C642" s="42"/>
      <c r="D642" s="42"/>
      <c r="E642" s="42"/>
      <c r="F642" s="42"/>
      <c r="G642" s="42"/>
      <c r="H642" s="42"/>
      <c r="I642" s="42"/>
    </row>
    <row r="643" spans="1:9" x14ac:dyDescent="0.25">
      <c r="A643" s="42"/>
      <c r="B643" s="42"/>
      <c r="C643" s="42"/>
      <c r="D643" s="42"/>
      <c r="E643" s="42"/>
      <c r="F643" s="42"/>
      <c r="G643" s="42"/>
      <c r="H643" s="42"/>
      <c r="I643" s="42"/>
    </row>
    <row r="644" spans="1:9" x14ac:dyDescent="0.25">
      <c r="A644" s="42"/>
      <c r="B644" s="42"/>
      <c r="C644" s="42"/>
      <c r="D644" s="42"/>
      <c r="E644" s="42"/>
      <c r="F644" s="42"/>
      <c r="G644" s="42"/>
      <c r="H644" s="42"/>
      <c r="I644" s="42"/>
    </row>
    <row r="645" spans="1:9" x14ac:dyDescent="0.25">
      <c r="A645" s="42"/>
      <c r="B645" s="42"/>
      <c r="C645" s="42"/>
      <c r="D645" s="42"/>
      <c r="E645" s="42"/>
      <c r="F645" s="42"/>
      <c r="G645" s="42"/>
      <c r="H645" s="42"/>
      <c r="I645" s="42"/>
    </row>
    <row r="646" spans="1:9" x14ac:dyDescent="0.25">
      <c r="A646" s="42"/>
      <c r="B646" s="42"/>
      <c r="C646" s="42"/>
      <c r="D646" s="42"/>
      <c r="E646" s="42"/>
      <c r="F646" s="42"/>
      <c r="G646" s="42"/>
      <c r="H646" s="42"/>
      <c r="I646" s="42"/>
    </row>
    <row r="647" spans="1:9" x14ac:dyDescent="0.25">
      <c r="A647" s="42"/>
      <c r="B647" s="42"/>
      <c r="C647" s="42"/>
      <c r="D647" s="42"/>
      <c r="E647" s="42"/>
      <c r="F647" s="42"/>
      <c r="G647" s="42"/>
      <c r="H647" s="42"/>
      <c r="I647" s="42"/>
    </row>
    <row r="648" spans="1:9" x14ac:dyDescent="0.25">
      <c r="A648" s="42"/>
      <c r="B648" s="42"/>
      <c r="C648" s="42"/>
      <c r="D648" s="42"/>
      <c r="E648" s="42"/>
      <c r="F648" s="42"/>
      <c r="G648" s="42"/>
      <c r="H648" s="42"/>
      <c r="I648" s="42"/>
    </row>
    <row r="649" spans="1:9" x14ac:dyDescent="0.25">
      <c r="A649" s="42"/>
      <c r="B649" s="42"/>
      <c r="C649" s="42"/>
      <c r="D649" s="42"/>
      <c r="E649" s="42"/>
      <c r="F649" s="42"/>
      <c r="G649" s="42"/>
      <c r="H649" s="42"/>
      <c r="I649" s="42"/>
    </row>
    <row r="650" spans="1:9" x14ac:dyDescent="0.25">
      <c r="A650" s="42"/>
      <c r="B650" s="42"/>
      <c r="C650" s="42"/>
      <c r="D650" s="42"/>
      <c r="E650" s="42"/>
      <c r="F650" s="42"/>
      <c r="G650" s="42"/>
      <c r="H650" s="42"/>
      <c r="I650" s="42"/>
    </row>
    <row r="651" spans="1:9" x14ac:dyDescent="0.25">
      <c r="A651" s="42"/>
      <c r="B651" s="42"/>
      <c r="C651" s="42"/>
      <c r="D651" s="42"/>
      <c r="E651" s="42"/>
      <c r="F651" s="42"/>
      <c r="G651" s="42"/>
      <c r="H651" s="42"/>
      <c r="I651" s="42"/>
    </row>
    <row r="652" spans="1:9" x14ac:dyDescent="0.25">
      <c r="A652" s="42"/>
      <c r="B652" s="42"/>
      <c r="C652" s="42"/>
      <c r="D652" s="42"/>
      <c r="E652" s="42"/>
      <c r="F652" s="42"/>
      <c r="G652" s="42"/>
      <c r="H652" s="42"/>
      <c r="I652" s="42"/>
    </row>
    <row r="653" spans="1:9" x14ac:dyDescent="0.25">
      <c r="A653" s="42"/>
      <c r="B653" s="42"/>
      <c r="C653" s="42"/>
      <c r="D653" s="42"/>
      <c r="E653" s="42"/>
      <c r="F653" s="42"/>
      <c r="G653" s="42"/>
      <c r="H653" s="42"/>
      <c r="I653" s="42"/>
    </row>
    <row r="654" spans="1:9" x14ac:dyDescent="0.25">
      <c r="A654" s="42"/>
      <c r="B654" s="42"/>
      <c r="C654" s="42"/>
      <c r="D654" s="42"/>
      <c r="E654" s="42"/>
      <c r="F654" s="42"/>
      <c r="G654" s="42"/>
      <c r="H654" s="42"/>
      <c r="I654" s="42"/>
    </row>
    <row r="655" spans="1:9" x14ac:dyDescent="0.25">
      <c r="A655" s="42"/>
      <c r="B655" s="42"/>
      <c r="C655" s="42"/>
      <c r="D655" s="42"/>
      <c r="E655" s="42"/>
      <c r="F655" s="42"/>
      <c r="G655" s="42"/>
      <c r="H655" s="42"/>
      <c r="I655" s="42"/>
    </row>
    <row r="656" spans="1:9" x14ac:dyDescent="0.25">
      <c r="A656" s="42"/>
      <c r="B656" s="42"/>
      <c r="C656" s="42"/>
      <c r="D656" s="42"/>
      <c r="E656" s="42"/>
      <c r="F656" s="42"/>
      <c r="G656" s="42"/>
      <c r="H656" s="42"/>
      <c r="I656" s="42"/>
    </row>
    <row r="657" spans="1:9" x14ac:dyDescent="0.25">
      <c r="A657" s="42"/>
      <c r="B657" s="42"/>
      <c r="C657" s="42"/>
      <c r="D657" s="42"/>
      <c r="E657" s="42"/>
      <c r="F657" s="42"/>
      <c r="G657" s="42"/>
      <c r="H657" s="42"/>
      <c r="I657" s="42"/>
    </row>
    <row r="658" spans="1:9" x14ac:dyDescent="0.25">
      <c r="A658" s="42"/>
      <c r="B658" s="42"/>
      <c r="C658" s="42"/>
      <c r="D658" s="42"/>
      <c r="E658" s="42"/>
      <c r="F658" s="42"/>
      <c r="G658" s="42"/>
      <c r="H658" s="42"/>
      <c r="I658" s="42"/>
    </row>
    <row r="659" spans="1:9" x14ac:dyDescent="0.25">
      <c r="A659" s="42"/>
      <c r="B659" s="42"/>
      <c r="C659" s="42"/>
      <c r="D659" s="42"/>
      <c r="E659" s="42"/>
      <c r="F659" s="42"/>
      <c r="G659" s="42"/>
      <c r="H659" s="42"/>
      <c r="I659" s="42"/>
    </row>
    <row r="660" spans="1:9" x14ac:dyDescent="0.25">
      <c r="A660" s="42"/>
      <c r="B660" s="42"/>
      <c r="C660" s="42"/>
      <c r="D660" s="42"/>
      <c r="E660" s="42"/>
      <c r="F660" s="42"/>
      <c r="G660" s="42"/>
      <c r="H660" s="42"/>
      <c r="I660" s="42"/>
    </row>
    <row r="661" spans="1:9" x14ac:dyDescent="0.25">
      <c r="A661" s="42"/>
      <c r="B661" s="42"/>
      <c r="C661" s="42"/>
      <c r="D661" s="42"/>
      <c r="E661" s="42"/>
      <c r="F661" s="42"/>
      <c r="G661" s="42"/>
      <c r="H661" s="42"/>
      <c r="I661" s="42"/>
    </row>
    <row r="662" spans="1:9" x14ac:dyDescent="0.25">
      <c r="A662" s="42"/>
      <c r="B662" s="42"/>
      <c r="C662" s="42"/>
      <c r="D662" s="42"/>
      <c r="E662" s="42"/>
      <c r="F662" s="42"/>
      <c r="G662" s="42"/>
      <c r="H662" s="42"/>
      <c r="I662" s="42"/>
    </row>
    <row r="663" spans="1:9" x14ac:dyDescent="0.25">
      <c r="A663" s="42"/>
      <c r="B663" s="42"/>
      <c r="C663" s="42"/>
      <c r="D663" s="42"/>
      <c r="E663" s="42"/>
      <c r="F663" s="42"/>
      <c r="G663" s="42"/>
      <c r="H663" s="42"/>
      <c r="I663" s="42"/>
    </row>
    <row r="664" spans="1:9" x14ac:dyDescent="0.25">
      <c r="A664" s="42"/>
      <c r="B664" s="42"/>
      <c r="C664" s="42"/>
      <c r="D664" s="42"/>
      <c r="E664" s="42"/>
      <c r="F664" s="42"/>
      <c r="G664" s="42"/>
      <c r="H664" s="42"/>
      <c r="I664" s="42"/>
    </row>
    <row r="665" spans="1:9" x14ac:dyDescent="0.25">
      <c r="A665" s="42"/>
      <c r="B665" s="42"/>
      <c r="C665" s="42"/>
      <c r="D665" s="42"/>
      <c r="E665" s="42"/>
      <c r="F665" s="42"/>
      <c r="G665" s="42"/>
      <c r="H665" s="42"/>
      <c r="I665" s="42"/>
    </row>
    <row r="666" spans="1:9" x14ac:dyDescent="0.25">
      <c r="A666" s="42"/>
      <c r="B666" s="42"/>
      <c r="C666" s="42"/>
      <c r="D666" s="42"/>
      <c r="E666" s="42"/>
      <c r="F666" s="42"/>
      <c r="G666" s="42"/>
      <c r="H666" s="42"/>
      <c r="I666" s="42"/>
    </row>
    <row r="667" spans="1:9" x14ac:dyDescent="0.25">
      <c r="A667" s="42"/>
      <c r="B667" s="42"/>
      <c r="C667" s="42"/>
      <c r="D667" s="42"/>
      <c r="E667" s="42"/>
      <c r="F667" s="42"/>
      <c r="G667" s="42"/>
      <c r="H667" s="42"/>
      <c r="I667" s="42"/>
    </row>
    <row r="668" spans="1:9" x14ac:dyDescent="0.25">
      <c r="A668" s="42"/>
      <c r="B668" s="42"/>
      <c r="C668" s="42"/>
      <c r="D668" s="42"/>
      <c r="E668" s="42"/>
      <c r="F668" s="42"/>
      <c r="G668" s="42"/>
      <c r="H668" s="42"/>
      <c r="I668" s="42"/>
    </row>
    <row r="669" spans="1:9" x14ac:dyDescent="0.25">
      <c r="A669" s="42"/>
      <c r="B669" s="42"/>
      <c r="C669" s="42"/>
      <c r="D669" s="42"/>
      <c r="E669" s="42"/>
      <c r="F669" s="42"/>
      <c r="G669" s="42"/>
      <c r="H669" s="42"/>
      <c r="I669" s="42"/>
    </row>
    <row r="670" spans="1:9" x14ac:dyDescent="0.25">
      <c r="A670" s="42"/>
      <c r="B670" s="42"/>
      <c r="C670" s="42"/>
      <c r="D670" s="42"/>
      <c r="E670" s="42"/>
      <c r="F670" s="42"/>
      <c r="G670" s="42"/>
      <c r="H670" s="42"/>
      <c r="I670" s="42"/>
    </row>
    <row r="671" spans="1:9" x14ac:dyDescent="0.25">
      <c r="A671" s="42"/>
      <c r="B671" s="42"/>
      <c r="C671" s="42"/>
      <c r="D671" s="42"/>
      <c r="E671" s="42"/>
      <c r="F671" s="42"/>
      <c r="G671" s="42"/>
      <c r="H671" s="42"/>
      <c r="I671" s="42"/>
    </row>
    <row r="672" spans="1:9" x14ac:dyDescent="0.25">
      <c r="A672" s="42"/>
      <c r="B672" s="42"/>
      <c r="C672" s="42"/>
      <c r="D672" s="42"/>
      <c r="E672" s="42"/>
      <c r="F672" s="42"/>
      <c r="G672" s="42"/>
      <c r="H672" s="42"/>
      <c r="I672" s="42"/>
    </row>
    <row r="673" spans="1:9" x14ac:dyDescent="0.25">
      <c r="A673" s="42"/>
      <c r="B673" s="42"/>
      <c r="C673" s="42"/>
      <c r="D673" s="42"/>
      <c r="E673" s="42"/>
      <c r="F673" s="42"/>
      <c r="G673" s="42"/>
      <c r="H673" s="42"/>
      <c r="I673" s="42"/>
    </row>
    <row r="674" spans="1:9" x14ac:dyDescent="0.25">
      <c r="A674" s="42"/>
      <c r="B674" s="42"/>
      <c r="C674" s="42"/>
      <c r="D674" s="42"/>
      <c r="E674" s="42"/>
      <c r="F674" s="42"/>
      <c r="G674" s="42"/>
      <c r="H674" s="42"/>
      <c r="I674" s="42"/>
    </row>
    <row r="675" spans="1:9" x14ac:dyDescent="0.25">
      <c r="A675" s="42"/>
      <c r="B675" s="42"/>
      <c r="C675" s="42"/>
      <c r="D675" s="42"/>
      <c r="E675" s="42"/>
      <c r="F675" s="42"/>
      <c r="G675" s="42"/>
      <c r="H675" s="42"/>
      <c r="I675" s="42"/>
    </row>
    <row r="676" spans="1:9" x14ac:dyDescent="0.25">
      <c r="A676" s="42"/>
      <c r="B676" s="42"/>
      <c r="C676" s="42"/>
      <c r="D676" s="42"/>
      <c r="E676" s="42"/>
      <c r="F676" s="42"/>
      <c r="G676" s="42"/>
      <c r="H676" s="42"/>
      <c r="I676" s="42"/>
    </row>
    <row r="677" spans="1:9" x14ac:dyDescent="0.25">
      <c r="A677" s="42"/>
      <c r="B677" s="42"/>
      <c r="C677" s="42"/>
      <c r="D677" s="42"/>
      <c r="E677" s="42"/>
      <c r="F677" s="42"/>
      <c r="G677" s="42"/>
      <c r="H677" s="42"/>
      <c r="I677" s="42"/>
    </row>
    <row r="678" spans="1:9" x14ac:dyDescent="0.25">
      <c r="A678" s="42"/>
      <c r="B678" s="42"/>
      <c r="C678" s="42"/>
      <c r="D678" s="42"/>
      <c r="E678" s="42"/>
      <c r="F678" s="42"/>
      <c r="G678" s="42"/>
      <c r="H678" s="42"/>
      <c r="I678" s="42"/>
    </row>
    <row r="679" spans="1:9" x14ac:dyDescent="0.25">
      <c r="A679" s="42"/>
      <c r="B679" s="42"/>
      <c r="C679" s="42"/>
      <c r="D679" s="42"/>
      <c r="E679" s="42"/>
      <c r="F679" s="42"/>
      <c r="G679" s="42"/>
      <c r="H679" s="42"/>
      <c r="I679" s="42"/>
    </row>
    <row r="680" spans="1:9" x14ac:dyDescent="0.25">
      <c r="A680" s="42"/>
      <c r="B680" s="42"/>
      <c r="C680" s="42"/>
      <c r="D680" s="42"/>
      <c r="E680" s="42"/>
      <c r="F680" s="42"/>
      <c r="G680" s="42"/>
      <c r="H680" s="42"/>
      <c r="I680" s="42"/>
    </row>
    <row r="681" spans="1:9" x14ac:dyDescent="0.25">
      <c r="A681" s="42"/>
      <c r="B681" s="42"/>
      <c r="C681" s="42"/>
      <c r="D681" s="42"/>
      <c r="E681" s="42"/>
      <c r="F681" s="42"/>
      <c r="G681" s="42"/>
      <c r="H681" s="42"/>
      <c r="I681" s="42"/>
    </row>
    <row r="682" spans="1:9" x14ac:dyDescent="0.25">
      <c r="A682" s="42"/>
      <c r="B682" s="42"/>
      <c r="C682" s="42"/>
      <c r="D682" s="42"/>
      <c r="E682" s="42"/>
      <c r="F682" s="42"/>
      <c r="G682" s="42"/>
      <c r="H682" s="42"/>
      <c r="I682" s="42"/>
    </row>
    <row r="683" spans="1:9" x14ac:dyDescent="0.25">
      <c r="A683" s="42"/>
      <c r="B683" s="42"/>
      <c r="C683" s="42"/>
      <c r="D683" s="42"/>
      <c r="E683" s="42"/>
      <c r="F683" s="42"/>
      <c r="G683" s="42"/>
      <c r="H683" s="42"/>
      <c r="I683" s="42"/>
    </row>
    <row r="684" spans="1:9" x14ac:dyDescent="0.25">
      <c r="A684" s="42"/>
      <c r="B684" s="42"/>
      <c r="C684" s="42"/>
      <c r="D684" s="42"/>
      <c r="E684" s="42"/>
      <c r="F684" s="42"/>
      <c r="G684" s="42"/>
      <c r="H684" s="42"/>
      <c r="I684" s="42"/>
    </row>
    <row r="685" spans="1:9" x14ac:dyDescent="0.25">
      <c r="A685" s="42"/>
      <c r="B685" s="42"/>
      <c r="C685" s="42"/>
      <c r="D685" s="42"/>
      <c r="E685" s="42"/>
      <c r="F685" s="42"/>
      <c r="G685" s="42"/>
      <c r="H685" s="42"/>
      <c r="I685" s="42"/>
    </row>
    <row r="686" spans="1:9" x14ac:dyDescent="0.25">
      <c r="A686" s="42"/>
      <c r="B686" s="42"/>
      <c r="C686" s="42"/>
      <c r="D686" s="42"/>
      <c r="E686" s="42"/>
      <c r="F686" s="42"/>
      <c r="G686" s="42"/>
      <c r="H686" s="42"/>
      <c r="I686" s="42"/>
    </row>
    <row r="687" spans="1:9" x14ac:dyDescent="0.25">
      <c r="A687" s="42"/>
      <c r="B687" s="42"/>
      <c r="C687" s="42"/>
      <c r="D687" s="42"/>
      <c r="E687" s="42"/>
      <c r="F687" s="42"/>
      <c r="G687" s="42"/>
      <c r="H687" s="42"/>
      <c r="I687" s="42"/>
    </row>
    <row r="688" spans="1:9" x14ac:dyDescent="0.25">
      <c r="A688" s="42"/>
      <c r="B688" s="42"/>
      <c r="C688" s="42"/>
      <c r="D688" s="42"/>
      <c r="E688" s="42"/>
      <c r="F688" s="42"/>
      <c r="G688" s="42"/>
      <c r="H688" s="42"/>
      <c r="I688" s="42"/>
    </row>
    <row r="689" spans="1:9" x14ac:dyDescent="0.25">
      <c r="A689" s="42"/>
      <c r="B689" s="42"/>
      <c r="C689" s="42"/>
      <c r="D689" s="42"/>
      <c r="E689" s="42"/>
      <c r="F689" s="42"/>
      <c r="G689" s="42"/>
      <c r="H689" s="42"/>
      <c r="I689" s="42"/>
    </row>
    <row r="690" spans="1:9" x14ac:dyDescent="0.25">
      <c r="A690" s="42"/>
      <c r="B690" s="42"/>
      <c r="C690" s="42"/>
      <c r="D690" s="42"/>
      <c r="E690" s="42"/>
      <c r="F690" s="42"/>
      <c r="G690" s="42"/>
      <c r="H690" s="42"/>
      <c r="I690" s="42"/>
    </row>
    <row r="691" spans="1:9" x14ac:dyDescent="0.25">
      <c r="A691" s="42"/>
      <c r="B691" s="42"/>
      <c r="C691" s="42"/>
      <c r="D691" s="42"/>
      <c r="E691" s="42"/>
      <c r="F691" s="42"/>
      <c r="G691" s="42"/>
      <c r="H691" s="42"/>
      <c r="I691" s="42"/>
    </row>
    <row r="692" spans="1:9" x14ac:dyDescent="0.25">
      <c r="A692" s="42"/>
      <c r="B692" s="42"/>
      <c r="C692" s="42"/>
      <c r="D692" s="42"/>
      <c r="E692" s="42"/>
      <c r="F692" s="42"/>
      <c r="G692" s="42"/>
      <c r="H692" s="42"/>
      <c r="I692" s="42"/>
    </row>
    <row r="693" spans="1:9" x14ac:dyDescent="0.25">
      <c r="A693" s="42"/>
      <c r="B693" s="42"/>
      <c r="C693" s="42"/>
      <c r="D693" s="42"/>
      <c r="E693" s="42"/>
      <c r="F693" s="42"/>
      <c r="G693" s="42"/>
      <c r="H693" s="42"/>
      <c r="I693" s="42"/>
    </row>
    <row r="694" spans="1:9" x14ac:dyDescent="0.25">
      <c r="A694" s="42"/>
      <c r="B694" s="42"/>
      <c r="C694" s="42"/>
      <c r="D694" s="42"/>
      <c r="E694" s="42"/>
      <c r="F694" s="42"/>
      <c r="G694" s="42"/>
      <c r="H694" s="42"/>
      <c r="I694" s="42"/>
    </row>
    <row r="695" spans="1:9" x14ac:dyDescent="0.25">
      <c r="A695" s="42"/>
      <c r="B695" s="42"/>
      <c r="C695" s="42"/>
      <c r="D695" s="42"/>
      <c r="E695" s="42"/>
      <c r="F695" s="42"/>
      <c r="G695" s="42"/>
      <c r="H695" s="42"/>
      <c r="I695" s="42"/>
    </row>
    <row r="696" spans="1:9" x14ac:dyDescent="0.25">
      <c r="A696" s="42"/>
      <c r="B696" s="42"/>
      <c r="C696" s="42"/>
      <c r="D696" s="42"/>
      <c r="E696" s="42"/>
      <c r="F696" s="42"/>
      <c r="G696" s="42"/>
      <c r="H696" s="42"/>
      <c r="I696" s="42"/>
    </row>
    <row r="697" spans="1:9" x14ac:dyDescent="0.25">
      <c r="A697" s="42"/>
      <c r="B697" s="42"/>
      <c r="C697" s="42"/>
      <c r="D697" s="42"/>
      <c r="E697" s="42"/>
      <c r="F697" s="42"/>
      <c r="G697" s="42"/>
      <c r="H697" s="42"/>
      <c r="I697" s="42"/>
    </row>
    <row r="698" spans="1:9" x14ac:dyDescent="0.25">
      <c r="A698" s="42"/>
      <c r="B698" s="42"/>
      <c r="C698" s="42"/>
      <c r="D698" s="42"/>
      <c r="E698" s="42"/>
      <c r="F698" s="42"/>
      <c r="G698" s="42"/>
      <c r="H698" s="42"/>
      <c r="I698" s="42"/>
    </row>
    <row r="699" spans="1:9" x14ac:dyDescent="0.25">
      <c r="A699" s="42"/>
      <c r="B699" s="42"/>
      <c r="C699" s="42"/>
      <c r="D699" s="42"/>
      <c r="E699" s="42"/>
      <c r="F699" s="42"/>
      <c r="G699" s="42"/>
      <c r="H699" s="42"/>
      <c r="I699" s="42"/>
    </row>
    <row r="700" spans="1:9" x14ac:dyDescent="0.25">
      <c r="A700" s="42"/>
      <c r="B700" s="42"/>
      <c r="C700" s="42"/>
      <c r="D700" s="42"/>
      <c r="E700" s="42"/>
      <c r="F700" s="42"/>
      <c r="G700" s="42"/>
      <c r="H700" s="42"/>
      <c r="I700" s="42"/>
    </row>
    <row r="701" spans="1:9" x14ac:dyDescent="0.25">
      <c r="A701" s="42"/>
      <c r="B701" s="42"/>
      <c r="C701" s="42"/>
      <c r="D701" s="42"/>
      <c r="E701" s="42"/>
      <c r="F701" s="42"/>
      <c r="G701" s="42"/>
      <c r="H701" s="42"/>
      <c r="I701" s="42"/>
    </row>
    <row r="702" spans="1:9" x14ac:dyDescent="0.25">
      <c r="A702" s="42"/>
      <c r="B702" s="42"/>
      <c r="C702" s="42"/>
      <c r="D702" s="42"/>
      <c r="E702" s="42"/>
      <c r="F702" s="42"/>
      <c r="G702" s="42"/>
      <c r="H702" s="42"/>
      <c r="I702" s="42"/>
    </row>
    <row r="703" spans="1:9" x14ac:dyDescent="0.25">
      <c r="A703" s="42"/>
      <c r="B703" s="42"/>
      <c r="C703" s="42"/>
      <c r="D703" s="42"/>
      <c r="E703" s="42"/>
      <c r="F703" s="42"/>
      <c r="G703" s="42"/>
      <c r="H703" s="42"/>
      <c r="I703" s="42"/>
    </row>
    <row r="704" spans="1:9" x14ac:dyDescent="0.25">
      <c r="A704" s="42"/>
      <c r="B704" s="42"/>
      <c r="C704" s="42"/>
      <c r="D704" s="42"/>
      <c r="E704" s="42"/>
      <c r="F704" s="42"/>
      <c r="G704" s="42"/>
      <c r="H704" s="42"/>
      <c r="I704" s="42"/>
    </row>
    <row r="705" spans="1:9" x14ac:dyDescent="0.25">
      <c r="A705" s="42"/>
      <c r="B705" s="42"/>
      <c r="C705" s="42"/>
      <c r="D705" s="42"/>
      <c r="E705" s="42"/>
      <c r="F705" s="42"/>
      <c r="G705" s="42"/>
      <c r="H705" s="42"/>
      <c r="I705" s="42"/>
    </row>
    <row r="706" spans="1:9" x14ac:dyDescent="0.25">
      <c r="A706" s="42"/>
      <c r="B706" s="42"/>
      <c r="C706" s="42"/>
      <c r="D706" s="42"/>
      <c r="E706" s="42"/>
      <c r="F706" s="42"/>
      <c r="G706" s="42"/>
      <c r="H706" s="42"/>
      <c r="I706" s="42"/>
    </row>
    <row r="707" spans="1:9" x14ac:dyDescent="0.25">
      <c r="A707" s="42"/>
      <c r="B707" s="42"/>
      <c r="C707" s="42"/>
      <c r="D707" s="42"/>
      <c r="E707" s="42"/>
      <c r="F707" s="42"/>
      <c r="G707" s="42"/>
      <c r="H707" s="42"/>
      <c r="I707" s="42"/>
    </row>
    <row r="708" spans="1:9" x14ac:dyDescent="0.25">
      <c r="A708" s="42"/>
      <c r="B708" s="42"/>
      <c r="C708" s="42"/>
      <c r="D708" s="42"/>
      <c r="E708" s="42"/>
      <c r="F708" s="42"/>
      <c r="G708" s="42"/>
      <c r="H708" s="42"/>
      <c r="I708" s="42"/>
    </row>
    <row r="709" spans="1:9" x14ac:dyDescent="0.25">
      <c r="A709" s="42"/>
      <c r="B709" s="42"/>
      <c r="C709" s="42"/>
      <c r="D709" s="42"/>
      <c r="E709" s="42"/>
      <c r="F709" s="42"/>
      <c r="G709" s="42"/>
      <c r="H709" s="42"/>
      <c r="I709" s="42"/>
    </row>
    <row r="710" spans="1:9" x14ac:dyDescent="0.25">
      <c r="A710" s="42"/>
      <c r="B710" s="42"/>
      <c r="C710" s="42"/>
      <c r="D710" s="42"/>
      <c r="E710" s="42"/>
      <c r="F710" s="42"/>
      <c r="G710" s="42"/>
      <c r="H710" s="42"/>
      <c r="I710" s="42"/>
    </row>
    <row r="711" spans="1:9" x14ac:dyDescent="0.25">
      <c r="A711" s="42"/>
      <c r="B711" s="42"/>
      <c r="C711" s="42"/>
      <c r="D711" s="42"/>
      <c r="E711" s="42"/>
      <c r="F711" s="42"/>
      <c r="G711" s="42"/>
      <c r="H711" s="42"/>
      <c r="I711" s="42"/>
    </row>
    <row r="712" spans="1:9" x14ac:dyDescent="0.25">
      <c r="A712" s="42"/>
      <c r="B712" s="42"/>
      <c r="C712" s="42"/>
      <c r="D712" s="42"/>
      <c r="E712" s="42"/>
      <c r="F712" s="42"/>
      <c r="G712" s="42"/>
      <c r="H712" s="42"/>
      <c r="I712" s="42"/>
    </row>
    <row r="713" spans="1:9" x14ac:dyDescent="0.25">
      <c r="A713" s="42"/>
      <c r="B713" s="42"/>
      <c r="C713" s="42"/>
      <c r="D713" s="42"/>
      <c r="E713" s="42"/>
      <c r="F713" s="42"/>
      <c r="G713" s="42"/>
      <c r="H713" s="42"/>
      <c r="I713" s="42"/>
    </row>
    <row r="714" spans="1:9" x14ac:dyDescent="0.25">
      <c r="B714" s="42"/>
      <c r="C714" s="42"/>
      <c r="D714" s="42"/>
      <c r="E714" s="42"/>
      <c r="F714" s="42"/>
      <c r="G714" s="42"/>
      <c r="H714" s="42"/>
      <c r="I714" s="42"/>
    </row>
    <row r="715" spans="1:9" x14ac:dyDescent="0.25">
      <c r="B715" s="42"/>
      <c r="C715" s="42"/>
      <c r="D715" s="42"/>
      <c r="E715" s="42"/>
      <c r="F715" s="42"/>
      <c r="G715" s="42"/>
      <c r="H715" s="42"/>
      <c r="I715" s="42"/>
    </row>
    <row r="716" spans="1:9" x14ac:dyDescent="0.25">
      <c r="B716" s="42"/>
      <c r="C716" s="42"/>
      <c r="D716" s="42"/>
      <c r="E716" s="42"/>
      <c r="F716" s="42"/>
      <c r="G716" s="42"/>
      <c r="H716" s="42"/>
      <c r="I716" s="42"/>
    </row>
    <row r="717" spans="1:9" x14ac:dyDescent="0.25">
      <c r="B717" s="42"/>
      <c r="C717" s="42"/>
      <c r="D717" s="42"/>
      <c r="E717" s="42"/>
      <c r="F717" s="42"/>
      <c r="G717" s="42"/>
      <c r="H717" s="42"/>
      <c r="I717" s="42"/>
    </row>
    <row r="718" spans="1:9" x14ac:dyDescent="0.25">
      <c r="B718" s="42"/>
      <c r="C718" s="42"/>
      <c r="D718" s="42"/>
      <c r="E718" s="42"/>
      <c r="F718" s="42"/>
      <c r="G718" s="42"/>
      <c r="H718" s="42"/>
      <c r="I718" s="42"/>
    </row>
    <row r="719" spans="1:9" x14ac:dyDescent="0.25">
      <c r="B719" s="42"/>
      <c r="C719" s="42"/>
      <c r="D719" s="42"/>
      <c r="E719" s="42"/>
      <c r="F719" s="42"/>
      <c r="G719" s="42"/>
      <c r="H719" s="42"/>
      <c r="I719" s="42"/>
    </row>
    <row r="720" spans="1:9" x14ac:dyDescent="0.25">
      <c r="B720" s="42"/>
      <c r="C720" s="42"/>
      <c r="D720" s="42"/>
      <c r="E720" s="42"/>
      <c r="F720" s="42"/>
      <c r="G720" s="42"/>
      <c r="H720" s="42"/>
      <c r="I720" s="42"/>
    </row>
    <row r="721" spans="2:9" x14ac:dyDescent="0.25">
      <c r="B721" s="42"/>
      <c r="C721" s="42"/>
      <c r="D721" s="42"/>
      <c r="E721" s="42"/>
      <c r="F721" s="42"/>
      <c r="G721" s="42"/>
      <c r="H721" s="42"/>
      <c r="I721" s="42"/>
    </row>
    <row r="722" spans="2:9" x14ac:dyDescent="0.25">
      <c r="B722" s="42"/>
      <c r="C722" s="42"/>
      <c r="D722" s="42"/>
      <c r="E722" s="42"/>
      <c r="F722" s="42"/>
      <c r="G722" s="42"/>
      <c r="H722" s="42"/>
      <c r="I722" s="42"/>
    </row>
    <row r="723" spans="2:9" x14ac:dyDescent="0.25">
      <c r="B723" s="42"/>
      <c r="C723" s="42"/>
      <c r="D723" s="42"/>
      <c r="E723" s="42"/>
      <c r="F723" s="42"/>
      <c r="G723" s="42"/>
      <c r="H723" s="42"/>
      <c r="I723" s="42"/>
    </row>
    <row r="724" spans="2:9" x14ac:dyDescent="0.25">
      <c r="B724" s="42"/>
      <c r="C724" s="42"/>
      <c r="D724" s="42"/>
      <c r="E724" s="42"/>
      <c r="F724" s="42"/>
      <c r="G724" s="42"/>
      <c r="H724" s="42"/>
      <c r="I724" s="42"/>
    </row>
    <row r="725" spans="2:9" x14ac:dyDescent="0.25">
      <c r="B725" s="42"/>
      <c r="C725" s="42"/>
      <c r="D725" s="42"/>
      <c r="E725" s="42"/>
      <c r="F725" s="42"/>
      <c r="G725" s="42"/>
      <c r="H725" s="42"/>
      <c r="I725" s="42"/>
    </row>
    <row r="726" spans="2:9" x14ac:dyDescent="0.25">
      <c r="B726" s="42"/>
      <c r="C726" s="42"/>
      <c r="D726" s="42"/>
      <c r="E726" s="42"/>
      <c r="F726" s="42"/>
      <c r="G726" s="42"/>
      <c r="H726" s="42"/>
      <c r="I726" s="42"/>
    </row>
    <row r="727" spans="2:9" x14ac:dyDescent="0.25">
      <c r="B727" s="42"/>
      <c r="C727" s="42"/>
      <c r="D727" s="42"/>
      <c r="E727" s="42"/>
      <c r="F727" s="42"/>
      <c r="G727" s="42"/>
      <c r="H727" s="42"/>
      <c r="I727" s="42"/>
    </row>
    <row r="728" spans="2:9" x14ac:dyDescent="0.25">
      <c r="B728" s="42"/>
      <c r="C728" s="42"/>
      <c r="D728" s="42"/>
      <c r="E728" s="42"/>
      <c r="F728" s="42"/>
      <c r="G728" s="42"/>
      <c r="H728" s="42"/>
      <c r="I728" s="42"/>
    </row>
    <row r="729" spans="2:9" x14ac:dyDescent="0.25">
      <c r="B729" s="42"/>
      <c r="C729" s="42"/>
      <c r="D729" s="42"/>
      <c r="E729" s="42"/>
      <c r="F729" s="42"/>
      <c r="G729" s="42"/>
      <c r="H729" s="42"/>
      <c r="I729" s="42"/>
    </row>
    <row r="730" spans="2:9" x14ac:dyDescent="0.25">
      <c r="B730" s="42"/>
      <c r="C730" s="42"/>
      <c r="D730" s="42"/>
      <c r="E730" s="42"/>
      <c r="F730" s="42"/>
      <c r="G730" s="42"/>
      <c r="H730" s="42"/>
      <c r="I730" s="42"/>
    </row>
    <row r="731" spans="2:9" x14ac:dyDescent="0.25">
      <c r="B731" s="42"/>
      <c r="C731" s="42"/>
      <c r="D731" s="42"/>
      <c r="E731" s="42"/>
      <c r="F731" s="42"/>
      <c r="G731" s="42"/>
      <c r="H731" s="42"/>
      <c r="I731" s="42"/>
    </row>
    <row r="732" spans="2:9" x14ac:dyDescent="0.25">
      <c r="B732" s="42"/>
      <c r="C732" s="42"/>
      <c r="D732" s="42"/>
      <c r="E732" s="42"/>
      <c r="F732" s="42"/>
      <c r="G732" s="42"/>
      <c r="H732" s="42"/>
      <c r="I732" s="42"/>
    </row>
    <row r="733" spans="2:9" x14ac:dyDescent="0.25">
      <c r="B733" s="42"/>
      <c r="C733" s="42"/>
      <c r="D733" s="42"/>
      <c r="E733" s="42"/>
      <c r="F733" s="42"/>
      <c r="G733" s="42"/>
      <c r="H733" s="42"/>
      <c r="I733" s="42"/>
    </row>
    <row r="734" spans="2:9" x14ac:dyDescent="0.25">
      <c r="B734" s="42"/>
      <c r="C734" s="42"/>
      <c r="D734" s="42"/>
      <c r="E734" s="42"/>
      <c r="F734" s="42"/>
      <c r="G734" s="42"/>
      <c r="H734" s="42"/>
      <c r="I734" s="42"/>
    </row>
    <row r="735" spans="2:9" x14ac:dyDescent="0.25">
      <c r="B735" s="42"/>
      <c r="C735" s="42"/>
      <c r="D735" s="42"/>
      <c r="E735" s="42"/>
      <c r="F735" s="42"/>
      <c r="G735" s="42"/>
      <c r="H735" s="42"/>
      <c r="I735" s="42"/>
    </row>
    <row r="736" spans="2:9" x14ac:dyDescent="0.25">
      <c r="B736" s="42"/>
      <c r="C736" s="42"/>
      <c r="D736" s="42"/>
      <c r="E736" s="42"/>
      <c r="F736" s="42"/>
      <c r="G736" s="42"/>
      <c r="H736" s="42"/>
      <c r="I736" s="42"/>
    </row>
    <row r="737" spans="2:9" x14ac:dyDescent="0.25">
      <c r="B737" s="42"/>
      <c r="C737" s="42"/>
      <c r="D737" s="42"/>
      <c r="E737" s="42"/>
      <c r="F737" s="42"/>
      <c r="G737" s="42"/>
      <c r="H737" s="42"/>
      <c r="I737" s="42"/>
    </row>
    <row r="738" spans="2:9" x14ac:dyDescent="0.25">
      <c r="B738" s="42"/>
      <c r="C738" s="42"/>
      <c r="D738" s="42"/>
      <c r="E738" s="42"/>
      <c r="F738" s="42"/>
      <c r="G738" s="42"/>
      <c r="H738" s="42"/>
      <c r="I738" s="42"/>
    </row>
    <row r="739" spans="2:9" x14ac:dyDescent="0.25">
      <c r="B739" s="42"/>
      <c r="C739" s="42"/>
      <c r="D739" s="42"/>
      <c r="E739" s="42"/>
      <c r="F739" s="42"/>
      <c r="G739" s="42"/>
      <c r="H739" s="42"/>
      <c r="I739" s="42"/>
    </row>
    <row r="740" spans="2:9" x14ac:dyDescent="0.25">
      <c r="B740" s="42"/>
      <c r="C740" s="42"/>
      <c r="D740" s="42"/>
      <c r="E740" s="42"/>
      <c r="F740" s="42"/>
      <c r="G740" s="42"/>
      <c r="H740" s="42"/>
      <c r="I740" s="42"/>
    </row>
    <row r="741" spans="2:9" x14ac:dyDescent="0.25">
      <c r="B741" s="42"/>
      <c r="C741" s="42"/>
      <c r="D741" s="42"/>
      <c r="E741" s="42"/>
      <c r="F741" s="42"/>
      <c r="G741" s="42"/>
      <c r="H741" s="42"/>
      <c r="I741" s="42"/>
    </row>
    <row r="742" spans="2:9" x14ac:dyDescent="0.25">
      <c r="B742" s="42"/>
      <c r="C742" s="42"/>
      <c r="D742" s="42"/>
      <c r="E742" s="42"/>
      <c r="F742" s="42"/>
      <c r="G742" s="42"/>
      <c r="H742" s="42"/>
      <c r="I742" s="42"/>
    </row>
    <row r="743" spans="2:9" x14ac:dyDescent="0.25">
      <c r="B743" s="42"/>
      <c r="C743" s="42"/>
      <c r="D743" s="42"/>
      <c r="E743" s="42"/>
      <c r="F743" s="42"/>
      <c r="G743" s="42"/>
      <c r="H743" s="42"/>
      <c r="I743" s="42"/>
    </row>
    <row r="744" spans="2:9" x14ac:dyDescent="0.25">
      <c r="B744" s="42"/>
      <c r="C744" s="42"/>
      <c r="D744" s="42"/>
      <c r="E744" s="42"/>
      <c r="F744" s="42"/>
      <c r="G744" s="42"/>
      <c r="H744" s="42"/>
      <c r="I744" s="42"/>
    </row>
    <row r="745" spans="2:9" x14ac:dyDescent="0.25">
      <c r="B745" s="42"/>
      <c r="C745" s="42"/>
      <c r="D745" s="42"/>
      <c r="E745" s="42"/>
      <c r="F745" s="42"/>
      <c r="G745" s="42"/>
      <c r="H745" s="42"/>
      <c r="I745" s="42"/>
    </row>
    <row r="746" spans="2:9" x14ac:dyDescent="0.25">
      <c r="B746" s="42"/>
      <c r="C746" s="42"/>
      <c r="D746" s="42"/>
      <c r="E746" s="42"/>
      <c r="F746" s="42"/>
      <c r="G746" s="42"/>
      <c r="H746" s="42"/>
      <c r="I746" s="42"/>
    </row>
    <row r="747" spans="2:9" x14ac:dyDescent="0.25">
      <c r="B747" s="42"/>
      <c r="C747" s="42"/>
      <c r="D747" s="42"/>
      <c r="E747" s="42"/>
      <c r="F747" s="42"/>
      <c r="G747" s="42"/>
      <c r="H747" s="42"/>
      <c r="I747" s="42"/>
    </row>
    <row r="748" spans="2:9" x14ac:dyDescent="0.25">
      <c r="B748" s="42"/>
      <c r="C748" s="42"/>
      <c r="D748" s="42"/>
      <c r="E748" s="42"/>
      <c r="F748" s="42"/>
      <c r="G748" s="42"/>
      <c r="H748" s="42"/>
      <c r="I748" s="42"/>
    </row>
    <row r="749" spans="2:9" x14ac:dyDescent="0.25">
      <c r="B749" s="42"/>
      <c r="C749" s="42"/>
      <c r="D749" s="42"/>
      <c r="E749" s="42"/>
      <c r="F749" s="42"/>
      <c r="G749" s="42"/>
      <c r="H749" s="42"/>
      <c r="I749" s="42"/>
    </row>
    <row r="750" spans="2:9" x14ac:dyDescent="0.25">
      <c r="B750" s="42"/>
      <c r="C750" s="42"/>
      <c r="D750" s="42"/>
      <c r="E750" s="42"/>
      <c r="F750" s="42"/>
      <c r="G750" s="42"/>
      <c r="H750" s="42"/>
      <c r="I750" s="42"/>
    </row>
    <row r="751" spans="2:9" x14ac:dyDescent="0.25">
      <c r="B751" s="42"/>
      <c r="C751" s="42"/>
      <c r="D751" s="42"/>
      <c r="E751" s="42"/>
      <c r="F751" s="42"/>
      <c r="G751" s="42"/>
      <c r="H751" s="42"/>
      <c r="I751" s="42"/>
    </row>
    <row r="752" spans="2:9" x14ac:dyDescent="0.25">
      <c r="B752" s="42"/>
      <c r="C752" s="42"/>
      <c r="D752" s="42"/>
      <c r="E752" s="42"/>
      <c r="F752" s="42"/>
      <c r="G752" s="42"/>
      <c r="H752" s="42"/>
      <c r="I752" s="42"/>
    </row>
    <row r="753" spans="2:9" x14ac:dyDescent="0.25">
      <c r="B753" s="42"/>
      <c r="C753" s="42"/>
      <c r="D753" s="42"/>
      <c r="E753" s="42"/>
      <c r="F753" s="42"/>
      <c r="G753" s="42"/>
      <c r="H753" s="42"/>
      <c r="I753" s="42"/>
    </row>
    <row r="754" spans="2:9" x14ac:dyDescent="0.25">
      <c r="B754" s="42"/>
      <c r="C754" s="42"/>
      <c r="D754" s="42"/>
      <c r="E754" s="42"/>
      <c r="F754" s="42"/>
      <c r="G754" s="42"/>
      <c r="H754" s="42"/>
      <c r="I754" s="42"/>
    </row>
    <row r="755" spans="2:9" x14ac:dyDescent="0.25">
      <c r="B755" s="42"/>
      <c r="C755" s="42"/>
      <c r="D755" s="42"/>
      <c r="E755" s="42"/>
      <c r="F755" s="42"/>
      <c r="G755" s="42"/>
      <c r="H755" s="42"/>
      <c r="I755" s="42"/>
    </row>
    <row r="756" spans="2:9" x14ac:dyDescent="0.25">
      <c r="B756" s="42"/>
      <c r="C756" s="42"/>
      <c r="D756" s="42"/>
      <c r="E756" s="42"/>
      <c r="F756" s="42"/>
      <c r="G756" s="42"/>
      <c r="H756" s="42"/>
      <c r="I756" s="42"/>
    </row>
    <row r="757" spans="2:9" x14ac:dyDescent="0.25">
      <c r="B757" s="42"/>
      <c r="C757" s="42"/>
      <c r="D757" s="42"/>
      <c r="E757" s="42"/>
      <c r="F757" s="42"/>
      <c r="G757" s="42"/>
      <c r="H757" s="42"/>
      <c r="I757" s="42"/>
    </row>
    <row r="758" spans="2:9" x14ac:dyDescent="0.25">
      <c r="B758" s="42"/>
      <c r="C758" s="42"/>
      <c r="D758" s="42"/>
      <c r="E758" s="42"/>
      <c r="F758" s="42"/>
      <c r="G758" s="42"/>
      <c r="H758" s="42"/>
      <c r="I758" s="42"/>
    </row>
    <row r="759" spans="2:9" x14ac:dyDescent="0.25">
      <c r="B759" s="42"/>
      <c r="C759" s="42"/>
      <c r="D759" s="42"/>
      <c r="E759" s="42"/>
      <c r="F759" s="42"/>
      <c r="G759" s="42"/>
      <c r="H759" s="42"/>
      <c r="I759" s="42"/>
    </row>
    <row r="760" spans="2:9" x14ac:dyDescent="0.25">
      <c r="B760" s="42"/>
      <c r="C760" s="42"/>
      <c r="D760" s="42"/>
      <c r="E760" s="42"/>
      <c r="F760" s="42"/>
      <c r="G760" s="42"/>
      <c r="H760" s="42"/>
      <c r="I760" s="42"/>
    </row>
    <row r="761" spans="2:9" x14ac:dyDescent="0.25">
      <c r="B761" s="42"/>
      <c r="C761" s="42"/>
      <c r="D761" s="42"/>
      <c r="E761" s="42"/>
      <c r="F761" s="42"/>
      <c r="G761" s="42"/>
      <c r="H761" s="42"/>
      <c r="I761" s="42"/>
    </row>
    <row r="762" spans="2:9" x14ac:dyDescent="0.25">
      <c r="B762" s="42"/>
      <c r="C762" s="42"/>
      <c r="D762" s="42"/>
      <c r="E762" s="42"/>
      <c r="F762" s="42"/>
      <c r="G762" s="42"/>
      <c r="H762" s="42"/>
      <c r="I762" s="42"/>
    </row>
    <row r="763" spans="2:9" x14ac:dyDescent="0.25">
      <c r="B763" s="42"/>
      <c r="C763" s="42"/>
      <c r="D763" s="42"/>
      <c r="E763" s="42"/>
      <c r="F763" s="42"/>
      <c r="G763" s="42"/>
      <c r="H763" s="42"/>
      <c r="I763" s="42"/>
    </row>
    <row r="764" spans="2:9" x14ac:dyDescent="0.25">
      <c r="B764" s="42"/>
      <c r="C764" s="42"/>
      <c r="D764" s="42"/>
      <c r="E764" s="42"/>
      <c r="F764" s="42"/>
      <c r="G764" s="42"/>
      <c r="H764" s="42"/>
      <c r="I764" s="42"/>
    </row>
    <row r="765" spans="2:9" x14ac:dyDescent="0.25">
      <c r="B765" s="42"/>
      <c r="C765" s="42"/>
      <c r="D765" s="42"/>
      <c r="E765" s="42"/>
      <c r="F765" s="42"/>
      <c r="G765" s="42"/>
      <c r="H765" s="42"/>
      <c r="I765" s="42"/>
    </row>
    <row r="766" spans="2:9" x14ac:dyDescent="0.25">
      <c r="B766" s="42"/>
      <c r="C766" s="42"/>
      <c r="D766" s="42"/>
      <c r="E766" s="42"/>
      <c r="F766" s="42"/>
      <c r="G766" s="42"/>
      <c r="H766" s="42"/>
      <c r="I766" s="42"/>
    </row>
    <row r="767" spans="2:9" x14ac:dyDescent="0.25">
      <c r="B767" s="42"/>
      <c r="C767" s="42"/>
      <c r="D767" s="42"/>
      <c r="E767" s="42"/>
      <c r="F767" s="42"/>
      <c r="G767" s="42"/>
      <c r="H767" s="42"/>
      <c r="I767" s="42"/>
    </row>
    <row r="768" spans="2:9" x14ac:dyDescent="0.25">
      <c r="B768" s="42"/>
      <c r="C768" s="42"/>
      <c r="D768" s="42"/>
      <c r="E768" s="42"/>
      <c r="F768" s="42"/>
      <c r="G768" s="42"/>
      <c r="H768" s="42"/>
      <c r="I768" s="42"/>
    </row>
    <row r="769" spans="2:9" x14ac:dyDescent="0.25">
      <c r="B769" s="42"/>
      <c r="C769" s="42"/>
      <c r="D769" s="42"/>
      <c r="E769" s="42"/>
      <c r="F769" s="42"/>
      <c r="G769" s="42"/>
      <c r="H769" s="42"/>
      <c r="I769" s="42"/>
    </row>
    <row r="770" spans="2:9" x14ac:dyDescent="0.25">
      <c r="B770" s="42"/>
      <c r="C770" s="42"/>
      <c r="D770" s="42"/>
      <c r="E770" s="42"/>
      <c r="F770" s="42"/>
      <c r="G770" s="42"/>
      <c r="H770" s="42"/>
      <c r="I770" s="42"/>
    </row>
    <row r="771" spans="2:9" x14ac:dyDescent="0.25">
      <c r="B771" s="42"/>
      <c r="C771" s="42"/>
      <c r="D771" s="42"/>
      <c r="E771" s="42"/>
      <c r="F771" s="42"/>
      <c r="G771" s="42"/>
      <c r="H771" s="42"/>
      <c r="I771" s="42"/>
    </row>
    <row r="772" spans="2:9" x14ac:dyDescent="0.25">
      <c r="B772" s="42"/>
      <c r="C772" s="42"/>
      <c r="D772" s="42"/>
      <c r="E772" s="42"/>
      <c r="F772" s="42"/>
      <c r="G772" s="42"/>
      <c r="H772" s="42"/>
      <c r="I772" s="42"/>
    </row>
    <row r="773" spans="2:9" x14ac:dyDescent="0.25">
      <c r="B773" s="42"/>
      <c r="C773" s="42"/>
      <c r="D773" s="42"/>
      <c r="E773" s="42"/>
      <c r="F773" s="42"/>
      <c r="G773" s="42"/>
      <c r="H773" s="42"/>
      <c r="I773" s="42"/>
    </row>
    <row r="774" spans="2:9" x14ac:dyDescent="0.25">
      <c r="B774" s="42"/>
      <c r="C774" s="42"/>
      <c r="D774" s="42"/>
      <c r="E774" s="42"/>
      <c r="F774" s="42"/>
      <c r="G774" s="42"/>
      <c r="H774" s="42"/>
      <c r="I774" s="42"/>
    </row>
    <row r="775" spans="2:9" x14ac:dyDescent="0.25">
      <c r="B775" s="42"/>
      <c r="C775" s="42"/>
      <c r="D775" s="42"/>
      <c r="E775" s="42"/>
      <c r="F775" s="42"/>
      <c r="G775" s="42"/>
      <c r="H775" s="42"/>
      <c r="I775" s="42"/>
    </row>
    <row r="776" spans="2:9" x14ac:dyDescent="0.25">
      <c r="B776" s="42"/>
      <c r="C776" s="42"/>
      <c r="D776" s="42"/>
      <c r="E776" s="42"/>
      <c r="F776" s="42"/>
      <c r="G776" s="42"/>
      <c r="H776" s="42"/>
      <c r="I776" s="42"/>
    </row>
    <row r="777" spans="2:9" x14ac:dyDescent="0.25">
      <c r="B777" s="42"/>
      <c r="C777" s="42"/>
      <c r="D777" s="42"/>
      <c r="E777" s="42"/>
      <c r="F777" s="42"/>
      <c r="G777" s="42"/>
      <c r="H777" s="42"/>
      <c r="I777" s="42"/>
    </row>
    <row r="778" spans="2:9" x14ac:dyDescent="0.25">
      <c r="B778" s="42"/>
      <c r="C778" s="42"/>
      <c r="D778" s="42"/>
      <c r="E778" s="42"/>
      <c r="F778" s="42"/>
      <c r="G778" s="42"/>
      <c r="H778" s="42"/>
      <c r="I778" s="42"/>
    </row>
    <row r="779" spans="2:9" x14ac:dyDescent="0.25">
      <c r="B779" s="42"/>
      <c r="C779" s="42"/>
      <c r="D779" s="42"/>
      <c r="E779" s="42"/>
      <c r="F779" s="42"/>
      <c r="G779" s="42"/>
      <c r="H779" s="42"/>
      <c r="I779" s="42"/>
    </row>
    <row r="780" spans="2:9" x14ac:dyDescent="0.25">
      <c r="B780" s="42"/>
      <c r="C780" s="42"/>
      <c r="D780" s="42"/>
      <c r="E780" s="42"/>
      <c r="F780" s="42"/>
      <c r="G780" s="42"/>
      <c r="H780" s="42"/>
      <c r="I780" s="42"/>
    </row>
    <row r="781" spans="2:9" x14ac:dyDescent="0.25">
      <c r="B781" s="42"/>
      <c r="C781" s="42"/>
      <c r="D781" s="42"/>
      <c r="E781" s="42"/>
      <c r="F781" s="42"/>
      <c r="G781" s="42"/>
      <c r="H781" s="42"/>
      <c r="I781" s="42"/>
    </row>
    <row r="782" spans="2:9" x14ac:dyDescent="0.25">
      <c r="B782" s="42"/>
      <c r="C782" s="42"/>
      <c r="D782" s="42"/>
      <c r="E782" s="42"/>
      <c r="F782" s="42"/>
      <c r="G782" s="42"/>
      <c r="H782" s="42"/>
      <c r="I782" s="42"/>
    </row>
    <row r="783" spans="2:9" x14ac:dyDescent="0.25">
      <c r="B783" s="42"/>
      <c r="C783" s="42"/>
      <c r="D783" s="42"/>
      <c r="E783" s="42"/>
      <c r="F783" s="42"/>
      <c r="G783" s="42"/>
      <c r="H783" s="42"/>
      <c r="I783" s="42"/>
    </row>
    <row r="784" spans="2:9" x14ac:dyDescent="0.25">
      <c r="B784" s="42"/>
      <c r="C784" s="42"/>
      <c r="D784" s="42"/>
      <c r="E784" s="42"/>
      <c r="F784" s="42"/>
      <c r="G784" s="42"/>
      <c r="H784" s="42"/>
      <c r="I784" s="42"/>
    </row>
    <row r="785" spans="2:9" x14ac:dyDescent="0.25">
      <c r="B785" s="42"/>
      <c r="C785" s="42"/>
      <c r="D785" s="42"/>
      <c r="E785" s="42"/>
      <c r="F785" s="42"/>
      <c r="G785" s="42"/>
      <c r="H785" s="42"/>
      <c r="I785" s="42"/>
    </row>
    <row r="786" spans="2:9" x14ac:dyDescent="0.25">
      <c r="B786" s="42"/>
      <c r="C786" s="42"/>
      <c r="D786" s="42"/>
      <c r="E786" s="42"/>
      <c r="F786" s="42"/>
      <c r="G786" s="42"/>
      <c r="H786" s="42"/>
      <c r="I786" s="42"/>
    </row>
    <row r="787" spans="2:9" x14ac:dyDescent="0.25">
      <c r="B787" s="42"/>
      <c r="C787" s="42"/>
      <c r="D787" s="42"/>
      <c r="E787" s="42"/>
      <c r="F787" s="42"/>
      <c r="G787" s="42"/>
      <c r="H787" s="42"/>
      <c r="I787" s="42"/>
    </row>
    <row r="788" spans="2:9" x14ac:dyDescent="0.25">
      <c r="B788" s="42"/>
      <c r="C788" s="42"/>
      <c r="D788" s="42"/>
      <c r="E788" s="42"/>
      <c r="F788" s="42"/>
      <c r="G788" s="42"/>
      <c r="H788" s="42"/>
      <c r="I788" s="42"/>
    </row>
    <row r="789" spans="2:9" x14ac:dyDescent="0.25">
      <c r="B789" s="42"/>
      <c r="C789" s="42"/>
      <c r="D789" s="42"/>
      <c r="E789" s="42"/>
      <c r="F789" s="42"/>
      <c r="G789" s="42"/>
      <c r="H789" s="42"/>
      <c r="I789" s="42"/>
    </row>
    <row r="790" spans="2:9" x14ac:dyDescent="0.25">
      <c r="B790" s="42"/>
      <c r="C790" s="42"/>
      <c r="D790" s="42"/>
      <c r="E790" s="42"/>
      <c r="F790" s="42"/>
      <c r="G790" s="42"/>
      <c r="H790" s="42"/>
      <c r="I790" s="42"/>
    </row>
    <row r="791" spans="2:9" x14ac:dyDescent="0.25">
      <c r="C791" s="42"/>
    </row>
    <row r="792" spans="2:9" x14ac:dyDescent="0.25">
      <c r="C792" s="42"/>
    </row>
    <row r="793" spans="2:9" x14ac:dyDescent="0.25">
      <c r="C793" s="42"/>
    </row>
    <row r="794" spans="2:9" x14ac:dyDescent="0.25">
      <c r="C794" s="42"/>
    </row>
    <row r="795" spans="2:9" x14ac:dyDescent="0.25">
      <c r="C795" s="42"/>
    </row>
    <row r="796" spans="2:9" x14ac:dyDescent="0.25">
      <c r="C796" s="42"/>
    </row>
    <row r="797" spans="2:9" x14ac:dyDescent="0.25">
      <c r="C797" s="42"/>
    </row>
    <row r="798" spans="2:9" x14ac:dyDescent="0.25">
      <c r="C798" s="42"/>
    </row>
    <row r="799" spans="2:9" x14ac:dyDescent="0.25">
      <c r="C799" s="42"/>
    </row>
  </sheetData>
  <autoFilter ref="A10:V358" xr:uid="{2FC94385-F66C-476C-ACAB-F5636CD4650F}"/>
  <sortState xmlns:xlrd2="http://schemas.microsoft.com/office/spreadsheetml/2017/richdata2" ref="B11:I348">
    <sortCondition ref="B11:B348"/>
  </sortState>
  <mergeCells count="15">
    <mergeCell ref="F1:H1"/>
    <mergeCell ref="F2:H2"/>
    <mergeCell ref="A5:H5"/>
    <mergeCell ref="A6:H6"/>
    <mergeCell ref="A7:H7"/>
    <mergeCell ref="F9:F10"/>
    <mergeCell ref="H9:H10"/>
    <mergeCell ref="A357:F357"/>
    <mergeCell ref="F360:H360"/>
    <mergeCell ref="F361:H361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4385-F66C-476C-ACAB-F5636CD4650F}">
  <dimension ref="A1:V829"/>
  <sheetViews>
    <sheetView topLeftCell="A365" zoomScale="80" zoomScaleNormal="80" workbookViewId="0">
      <selection activeCell="F395" sqref="F395"/>
    </sheetView>
  </sheetViews>
  <sheetFormatPr defaultColWidth="8.875" defaultRowHeight="15.75" x14ac:dyDescent="0.25"/>
  <cols>
    <col min="1" max="1" width="5.625" style="8" customWidth="1"/>
    <col min="2" max="2" width="13.625" style="2" bestFit="1" customWidth="1"/>
    <col min="3" max="3" width="27.125" style="9" customWidth="1"/>
    <col min="4" max="4" width="7.375" style="8" customWidth="1"/>
    <col min="5" max="5" width="8.375" style="8" customWidth="1"/>
    <col min="6" max="6" width="31.125" style="37" bestFit="1" customWidth="1"/>
    <col min="7" max="7" width="15.625" style="8" customWidth="1"/>
    <col min="8" max="8" width="12.875" style="7" customWidth="1"/>
    <col min="9" max="9" width="28.125" style="8" bestFit="1" customWidth="1"/>
    <col min="10" max="10" width="8.875" style="8"/>
    <col min="11" max="11" width="13.125" style="8" bestFit="1" customWidth="1"/>
    <col min="12" max="12" width="11.375" style="8" bestFit="1" customWidth="1"/>
    <col min="13" max="16384" width="8.875" style="8"/>
  </cols>
  <sheetData>
    <row r="1" spans="1:22" s="15" customFormat="1" x14ac:dyDescent="0.25">
      <c r="A1" s="11" t="s">
        <v>0</v>
      </c>
      <c r="B1" s="5"/>
      <c r="C1" s="5"/>
      <c r="D1" s="14"/>
      <c r="E1" s="14"/>
      <c r="F1" s="216" t="s">
        <v>1</v>
      </c>
      <c r="G1" s="216"/>
      <c r="H1" s="216"/>
      <c r="J1" s="16"/>
      <c r="K1" s="16"/>
    </row>
    <row r="2" spans="1:22" s="15" customFormat="1" ht="15" customHeight="1" x14ac:dyDescent="0.25">
      <c r="A2" s="11" t="s">
        <v>2</v>
      </c>
      <c r="B2" s="5"/>
      <c r="C2" s="5"/>
      <c r="D2" s="14"/>
      <c r="E2" s="14"/>
      <c r="F2" s="216" t="s">
        <v>3</v>
      </c>
      <c r="G2" s="216"/>
      <c r="H2" s="216"/>
      <c r="J2" s="16"/>
      <c r="K2" s="16"/>
    </row>
    <row r="3" spans="1:22" ht="15" customHeight="1" x14ac:dyDescent="0.25">
      <c r="B3" s="17"/>
      <c r="C3" s="18"/>
      <c r="D3" s="19"/>
      <c r="E3" s="19"/>
      <c r="F3" s="36"/>
      <c r="G3" s="19"/>
      <c r="J3" s="20"/>
      <c r="K3" s="20"/>
    </row>
    <row r="4" spans="1:22" x14ac:dyDescent="0.25">
      <c r="B4" s="8"/>
      <c r="J4" s="20"/>
      <c r="K4" s="20"/>
    </row>
    <row r="5" spans="1:22" x14ac:dyDescent="0.25">
      <c r="A5" s="218" t="s">
        <v>4</v>
      </c>
      <c r="B5" s="218"/>
      <c r="C5" s="218"/>
      <c r="D5" s="218"/>
      <c r="E5" s="218"/>
      <c r="F5" s="218"/>
      <c r="G5" s="218"/>
      <c r="H5" s="218"/>
      <c r="J5" s="20"/>
      <c r="K5" s="20"/>
    </row>
    <row r="6" spans="1:22" s="3" customFormat="1" x14ac:dyDescent="0.25">
      <c r="A6" s="218" t="s">
        <v>5</v>
      </c>
      <c r="B6" s="218"/>
      <c r="C6" s="218"/>
      <c r="D6" s="218"/>
      <c r="E6" s="218"/>
      <c r="F6" s="218"/>
      <c r="G6" s="218"/>
      <c r="H6" s="218"/>
      <c r="I6" s="7"/>
      <c r="J6" s="21"/>
      <c r="K6" s="21"/>
    </row>
    <row r="7" spans="1:22" s="3" customFormat="1" x14ac:dyDescent="0.25">
      <c r="A7" s="220" t="s">
        <v>37</v>
      </c>
      <c r="B7" s="220"/>
      <c r="C7" s="220"/>
      <c r="D7" s="220"/>
      <c r="E7" s="220"/>
      <c r="F7" s="220"/>
      <c r="G7" s="220"/>
      <c r="H7" s="220"/>
      <c r="I7" s="22"/>
      <c r="J7" s="21"/>
      <c r="K7" s="21"/>
    </row>
    <row r="8" spans="1:22" s="3" customFormat="1" x14ac:dyDescent="0.25">
      <c r="A8" s="23"/>
      <c r="B8" s="13"/>
      <c r="C8" s="24"/>
      <c r="D8" s="23"/>
      <c r="E8" s="23"/>
      <c r="F8" s="25"/>
      <c r="G8" s="23"/>
      <c r="H8" s="7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s="29" customFormat="1" ht="18" customHeight="1" x14ac:dyDescent="0.25">
      <c r="A9" s="226" t="s">
        <v>6</v>
      </c>
      <c r="B9" s="226" t="s">
        <v>7</v>
      </c>
      <c r="C9" s="226" t="s">
        <v>8</v>
      </c>
      <c r="D9" s="226" t="s">
        <v>9</v>
      </c>
      <c r="E9" s="229" t="s">
        <v>10</v>
      </c>
      <c r="F9" s="226" t="s">
        <v>11</v>
      </c>
      <c r="G9" s="28" t="s">
        <v>12</v>
      </c>
      <c r="H9" s="227" t="s">
        <v>13</v>
      </c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s="29" customFormat="1" ht="18" customHeight="1" x14ac:dyDescent="0.25">
      <c r="A10" s="226"/>
      <c r="B10" s="226"/>
      <c r="C10" s="226"/>
      <c r="D10" s="226"/>
      <c r="E10" s="229"/>
      <c r="F10" s="226"/>
      <c r="G10" s="32" t="s">
        <v>14</v>
      </c>
      <c r="H10" s="227"/>
      <c r="I10" s="29" t="s">
        <v>271</v>
      </c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s="29" customFormat="1" ht="18" customHeight="1" x14ac:dyDescent="0.25">
      <c r="A11" s="40">
        <v>1</v>
      </c>
      <c r="B11" s="65">
        <v>46021</v>
      </c>
      <c r="C11" s="67" t="s">
        <v>38</v>
      </c>
      <c r="D11" s="66">
        <v>40</v>
      </c>
      <c r="E11" s="66" t="s">
        <v>20</v>
      </c>
      <c r="F11" s="66" t="s">
        <v>39</v>
      </c>
      <c r="G11" s="84">
        <v>310000</v>
      </c>
      <c r="H11" s="82" t="s">
        <v>16</v>
      </c>
      <c r="I11" s="29" t="s">
        <v>270</v>
      </c>
      <c r="J11" s="30" cm="1">
        <f t="array" ref="J11">INDEX('[1]Container List'!$G$18:$G$318,MATCH(C11,'[1]Container List'!$C$18:$C$318,0),0)</f>
        <v>4200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s="29" customFormat="1" ht="18" customHeight="1" x14ac:dyDescent="0.25">
      <c r="A12" s="40">
        <v>2</v>
      </c>
      <c r="B12" s="65">
        <v>46021</v>
      </c>
      <c r="C12" s="66" t="s">
        <v>40</v>
      </c>
      <c r="D12" s="66">
        <v>40</v>
      </c>
      <c r="E12" s="66" t="s">
        <v>20</v>
      </c>
      <c r="F12" s="66" t="s">
        <v>39</v>
      </c>
      <c r="G12" s="84">
        <v>310000</v>
      </c>
      <c r="H12" s="82" t="s">
        <v>16</v>
      </c>
      <c r="I12" s="29" t="s">
        <v>270</v>
      </c>
      <c r="J12" s="30" cm="1">
        <f t="array" ref="J12">INDEX('[1]Container List'!$G$18:$G$318,MATCH(C12,'[1]Container List'!$C$18:$C$318,0),0)</f>
        <v>4200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s="29" customFormat="1" ht="18" customHeight="1" x14ac:dyDescent="0.25">
      <c r="A13" s="40">
        <v>3</v>
      </c>
      <c r="B13" s="65">
        <v>46021</v>
      </c>
      <c r="C13" s="66" t="s">
        <v>41</v>
      </c>
      <c r="D13" s="66">
        <v>40</v>
      </c>
      <c r="E13" s="66" t="s">
        <v>20</v>
      </c>
      <c r="F13" s="66" t="s">
        <v>39</v>
      </c>
      <c r="G13" s="84">
        <v>310000</v>
      </c>
      <c r="H13" s="82" t="s">
        <v>16</v>
      </c>
      <c r="I13" s="29" t="s">
        <v>270</v>
      </c>
      <c r="J13" s="30" cm="1">
        <f t="array" ref="J13">INDEX('[1]Container List'!$G$18:$G$318,MATCH(C13,'[1]Container List'!$C$18:$C$318,0),0)</f>
        <v>4200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s="29" customFormat="1" ht="18" customHeight="1" x14ac:dyDescent="0.25">
      <c r="A14" s="40">
        <v>4</v>
      </c>
      <c r="B14" s="65">
        <v>46021</v>
      </c>
      <c r="C14" s="66" t="s">
        <v>42</v>
      </c>
      <c r="D14" s="66">
        <v>40</v>
      </c>
      <c r="E14" s="66" t="s">
        <v>20</v>
      </c>
      <c r="F14" s="66" t="s">
        <v>39</v>
      </c>
      <c r="G14" s="84">
        <v>310000</v>
      </c>
      <c r="H14" s="82" t="s">
        <v>16</v>
      </c>
      <c r="I14" s="29" t="s">
        <v>270</v>
      </c>
      <c r="J14" s="30" cm="1">
        <f t="array" ref="J14">INDEX('[1]Container List'!$G$18:$G$318,MATCH(C14,'[1]Container List'!$C$18:$C$318,0),0)</f>
        <v>4200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s="29" customFormat="1" ht="18" customHeight="1" x14ac:dyDescent="0.25">
      <c r="A15" s="40">
        <v>5</v>
      </c>
      <c r="B15" s="65">
        <v>46021</v>
      </c>
      <c r="C15" s="66" t="s">
        <v>43</v>
      </c>
      <c r="D15" s="66">
        <v>40</v>
      </c>
      <c r="E15" s="66" t="s">
        <v>20</v>
      </c>
      <c r="F15" s="66" t="s">
        <v>39</v>
      </c>
      <c r="G15" s="84">
        <v>310000</v>
      </c>
      <c r="H15" s="82" t="s">
        <v>30</v>
      </c>
      <c r="I15" s="29" t="s">
        <v>270</v>
      </c>
      <c r="J15" s="30" cm="1">
        <f t="array" ref="J15">INDEX('[1]Container List'!$G$18:$G$318,MATCH(C15,'[1]Container List'!$C$18:$C$318,0),0)</f>
        <v>4200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s="29" customFormat="1" ht="18" customHeight="1" x14ac:dyDescent="0.25">
      <c r="A16" s="40">
        <v>6</v>
      </c>
      <c r="B16" s="65">
        <v>46021</v>
      </c>
      <c r="C16" s="66" t="s">
        <v>44</v>
      </c>
      <c r="D16" s="66">
        <v>40</v>
      </c>
      <c r="E16" s="66" t="s">
        <v>20</v>
      </c>
      <c r="F16" s="66" t="s">
        <v>39</v>
      </c>
      <c r="G16" s="84">
        <v>310000</v>
      </c>
      <c r="H16" s="82" t="s">
        <v>30</v>
      </c>
      <c r="I16" s="29" t="s">
        <v>270</v>
      </c>
      <c r="J16" s="30" cm="1">
        <f t="array" ref="J16">INDEX('[1]Container List'!$G$18:$G$318,MATCH(C16,'[1]Container List'!$C$18:$C$318,0),0)</f>
        <v>4200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s="29" customFormat="1" ht="18" customHeight="1" x14ac:dyDescent="0.25">
      <c r="A17" s="40">
        <v>7</v>
      </c>
      <c r="B17" s="65">
        <v>46021</v>
      </c>
      <c r="C17" s="67" t="s">
        <v>45</v>
      </c>
      <c r="D17" s="66">
        <v>40</v>
      </c>
      <c r="E17" s="66" t="s">
        <v>20</v>
      </c>
      <c r="F17" s="66" t="s">
        <v>39</v>
      </c>
      <c r="G17" s="84">
        <v>310000</v>
      </c>
      <c r="H17" s="82" t="s">
        <v>30</v>
      </c>
      <c r="I17" s="29" t="s">
        <v>270</v>
      </c>
      <c r="J17" s="30" cm="1">
        <f t="array" ref="J17">INDEX('[1]Container List'!$G$18:$G$318,MATCH(C17,'[1]Container List'!$C$18:$C$318,0),0)</f>
        <v>4200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s="29" customFormat="1" ht="18" customHeight="1" x14ac:dyDescent="0.25">
      <c r="A18" s="40">
        <v>8</v>
      </c>
      <c r="B18" s="65">
        <v>46021</v>
      </c>
      <c r="C18" s="67" t="s">
        <v>46</v>
      </c>
      <c r="D18" s="66">
        <v>40</v>
      </c>
      <c r="E18" s="66" t="s">
        <v>20</v>
      </c>
      <c r="F18" s="66" t="s">
        <v>39</v>
      </c>
      <c r="G18" s="84">
        <v>310000</v>
      </c>
      <c r="H18" s="82" t="s">
        <v>30</v>
      </c>
      <c r="I18" s="29" t="s">
        <v>270</v>
      </c>
      <c r="J18" s="30" cm="1">
        <f t="array" ref="J18">INDEX('[1]Container List'!$G$18:$G$318,MATCH(C18,'[1]Container List'!$C$18:$C$318,0),0)</f>
        <v>4200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s="29" customFormat="1" ht="18" customHeight="1" x14ac:dyDescent="0.25">
      <c r="A19" s="40">
        <v>9</v>
      </c>
      <c r="B19" s="65">
        <v>46021</v>
      </c>
      <c r="C19" s="67" t="s">
        <v>47</v>
      </c>
      <c r="D19" s="66">
        <v>40</v>
      </c>
      <c r="E19" s="66" t="s">
        <v>20</v>
      </c>
      <c r="F19" s="66" t="s">
        <v>39</v>
      </c>
      <c r="G19" s="84">
        <v>310000</v>
      </c>
      <c r="H19" s="82" t="s">
        <v>30</v>
      </c>
      <c r="I19" s="29" t="s">
        <v>270</v>
      </c>
      <c r="J19" s="30" cm="1">
        <f t="array" ref="J19">INDEX('[1]Container List'!$G$18:$G$318,MATCH(C19,'[1]Container List'!$C$18:$C$318,0),0)</f>
        <v>4200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s="29" customFormat="1" ht="18" customHeight="1" x14ac:dyDescent="0.25">
      <c r="A20" s="40">
        <v>10</v>
      </c>
      <c r="B20" s="65">
        <v>46021</v>
      </c>
      <c r="C20" s="67" t="s">
        <v>48</v>
      </c>
      <c r="D20" s="66">
        <v>40</v>
      </c>
      <c r="E20" s="66" t="s">
        <v>20</v>
      </c>
      <c r="F20" s="66" t="s">
        <v>39</v>
      </c>
      <c r="G20" s="84">
        <v>310000</v>
      </c>
      <c r="H20" s="82" t="s">
        <v>30</v>
      </c>
      <c r="I20" s="29" t="s">
        <v>270</v>
      </c>
      <c r="J20" s="30" cm="1">
        <f t="array" ref="J20">INDEX('[1]Container List'!$G$18:$G$318,MATCH(C20,'[1]Container List'!$C$18:$C$318,0),0)</f>
        <v>4200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s="29" customFormat="1" ht="18" customHeight="1" x14ac:dyDescent="0.25">
      <c r="A21" s="40">
        <v>11</v>
      </c>
      <c r="B21" s="65">
        <v>46021</v>
      </c>
      <c r="C21" s="67" t="s">
        <v>49</v>
      </c>
      <c r="D21" s="66">
        <v>40</v>
      </c>
      <c r="E21" s="66" t="s">
        <v>20</v>
      </c>
      <c r="F21" s="66" t="s">
        <v>39</v>
      </c>
      <c r="G21" s="84">
        <v>310000</v>
      </c>
      <c r="H21" s="82" t="s">
        <v>30</v>
      </c>
      <c r="I21" s="29" t="s">
        <v>270</v>
      </c>
      <c r="J21" s="30" cm="1">
        <f t="array" ref="J21">INDEX('[1]Container List'!$G$18:$G$318,MATCH(C21,'[1]Container List'!$C$18:$C$318,0),0)</f>
        <v>4200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s="29" customFormat="1" ht="18" customHeight="1" x14ac:dyDescent="0.25">
      <c r="A22" s="40">
        <v>12</v>
      </c>
      <c r="B22" s="65">
        <v>46021</v>
      </c>
      <c r="C22" s="67" t="s">
        <v>50</v>
      </c>
      <c r="D22" s="66">
        <v>40</v>
      </c>
      <c r="E22" s="66" t="s">
        <v>20</v>
      </c>
      <c r="F22" s="66" t="s">
        <v>39</v>
      </c>
      <c r="G22" s="84">
        <v>310000</v>
      </c>
      <c r="H22" s="82" t="s">
        <v>30</v>
      </c>
      <c r="I22" s="29" t="s">
        <v>270</v>
      </c>
      <c r="J22" s="30" cm="1">
        <f t="array" ref="J22">INDEX('[1]Container List'!$G$18:$G$318,MATCH(C22,'[1]Container List'!$C$18:$C$318,0),0)</f>
        <v>4200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s="29" customFormat="1" ht="18" customHeight="1" x14ac:dyDescent="0.25">
      <c r="A23" s="40">
        <v>13</v>
      </c>
      <c r="B23" s="65">
        <v>46021</v>
      </c>
      <c r="C23" s="67" t="s">
        <v>51</v>
      </c>
      <c r="D23" s="66">
        <v>40</v>
      </c>
      <c r="E23" s="66" t="s">
        <v>20</v>
      </c>
      <c r="F23" s="66" t="s">
        <v>39</v>
      </c>
      <c r="G23" s="84">
        <v>310000</v>
      </c>
      <c r="H23" s="82" t="s">
        <v>30</v>
      </c>
      <c r="I23" s="29" t="s">
        <v>270</v>
      </c>
      <c r="J23" s="30" cm="1">
        <f t="array" ref="J23">INDEX('[1]Container List'!$G$18:$G$318,MATCH(C23,'[1]Container List'!$C$18:$C$318,0),0)</f>
        <v>4200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s="29" customFormat="1" ht="18" customHeight="1" x14ac:dyDescent="0.25">
      <c r="A24" s="40">
        <v>14</v>
      </c>
      <c r="B24" s="65">
        <v>46021</v>
      </c>
      <c r="C24" s="66" t="s">
        <v>52</v>
      </c>
      <c r="D24" s="66">
        <v>40</v>
      </c>
      <c r="E24" s="66" t="s">
        <v>20</v>
      </c>
      <c r="F24" s="66" t="s">
        <v>39</v>
      </c>
      <c r="G24" s="84">
        <v>310000</v>
      </c>
      <c r="H24" s="82" t="s">
        <v>30</v>
      </c>
      <c r="I24" s="29" t="s">
        <v>270</v>
      </c>
      <c r="J24" s="30" cm="1">
        <f t="array" ref="J24">INDEX('[1]Container List'!$G$18:$G$318,MATCH(C24,'[1]Container List'!$C$18:$C$318,0),0)</f>
        <v>4200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s="29" customFormat="1" ht="18" customHeight="1" x14ac:dyDescent="0.25">
      <c r="A25" s="40">
        <v>15</v>
      </c>
      <c r="B25" s="65">
        <v>46021</v>
      </c>
      <c r="C25" s="66" t="s">
        <v>53</v>
      </c>
      <c r="D25" s="66">
        <v>40</v>
      </c>
      <c r="E25" s="66" t="s">
        <v>20</v>
      </c>
      <c r="F25" s="66" t="s">
        <v>39</v>
      </c>
      <c r="G25" s="84">
        <v>310000</v>
      </c>
      <c r="H25" s="82" t="s">
        <v>30</v>
      </c>
      <c r="I25" s="29" t="s">
        <v>270</v>
      </c>
      <c r="J25" s="30" cm="1">
        <f t="array" ref="J25">INDEX('[1]Container List'!$G$18:$G$318,MATCH(C25,'[1]Container List'!$C$18:$C$318,0),0)</f>
        <v>4200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s="29" customFormat="1" ht="18" customHeight="1" x14ac:dyDescent="0.25">
      <c r="A26" s="40">
        <v>16</v>
      </c>
      <c r="B26" s="65">
        <v>46021</v>
      </c>
      <c r="C26" s="66" t="s">
        <v>54</v>
      </c>
      <c r="D26" s="66">
        <v>40</v>
      </c>
      <c r="E26" s="66" t="s">
        <v>20</v>
      </c>
      <c r="F26" s="66" t="s">
        <v>39</v>
      </c>
      <c r="G26" s="84">
        <v>310000</v>
      </c>
      <c r="H26" s="82" t="s">
        <v>28</v>
      </c>
      <c r="I26" s="29" t="s">
        <v>270</v>
      </c>
      <c r="J26" s="30" cm="1">
        <f t="array" ref="J26">INDEX('[1]Container List'!$G$18:$G$318,MATCH(C26,'[1]Container List'!$C$18:$C$318,0),0)</f>
        <v>4200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s="29" customFormat="1" ht="18" customHeight="1" x14ac:dyDescent="0.25">
      <c r="A27" s="40">
        <v>17</v>
      </c>
      <c r="B27" s="65">
        <v>46021</v>
      </c>
      <c r="C27" s="66" t="s">
        <v>55</v>
      </c>
      <c r="D27" s="66">
        <v>40</v>
      </c>
      <c r="E27" s="66" t="s">
        <v>20</v>
      </c>
      <c r="F27" s="66" t="s">
        <v>39</v>
      </c>
      <c r="G27" s="84">
        <v>310000</v>
      </c>
      <c r="H27" s="82" t="s">
        <v>28</v>
      </c>
      <c r="I27" s="29" t="s">
        <v>270</v>
      </c>
      <c r="J27" s="30" cm="1">
        <f t="array" ref="J27">INDEX('[1]Container List'!$G$18:$G$318,MATCH(C27,'[1]Container List'!$C$18:$C$318,0),0)</f>
        <v>4200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s="29" customFormat="1" ht="18" customHeight="1" x14ac:dyDescent="0.25">
      <c r="A28" s="40">
        <v>18</v>
      </c>
      <c r="B28" s="65">
        <v>46021</v>
      </c>
      <c r="C28" s="66" t="s">
        <v>56</v>
      </c>
      <c r="D28" s="66">
        <v>40</v>
      </c>
      <c r="E28" s="66" t="s">
        <v>20</v>
      </c>
      <c r="F28" s="66" t="s">
        <v>39</v>
      </c>
      <c r="G28" s="84">
        <v>310000</v>
      </c>
      <c r="H28" s="82" t="s">
        <v>28</v>
      </c>
      <c r="I28" s="29" t="s">
        <v>270</v>
      </c>
      <c r="J28" s="30" cm="1">
        <f t="array" ref="J28">INDEX('[1]Container List'!$G$18:$G$318,MATCH(C28,'[1]Container List'!$C$18:$C$318,0),0)</f>
        <v>4200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s="29" customFormat="1" ht="18" customHeight="1" x14ac:dyDescent="0.25">
      <c r="A29" s="40">
        <v>19</v>
      </c>
      <c r="B29" s="65">
        <v>46021</v>
      </c>
      <c r="C29" s="66" t="s">
        <v>57</v>
      </c>
      <c r="D29" s="66">
        <v>40</v>
      </c>
      <c r="E29" s="66" t="s">
        <v>20</v>
      </c>
      <c r="F29" s="66" t="s">
        <v>39</v>
      </c>
      <c r="G29" s="84">
        <v>310000</v>
      </c>
      <c r="H29" s="82" t="s">
        <v>28</v>
      </c>
      <c r="I29" s="29" t="s">
        <v>270</v>
      </c>
      <c r="J29" s="30" cm="1">
        <f t="array" ref="J29">INDEX('[1]Container List'!$G$18:$G$318,MATCH(C29,'[1]Container List'!$C$18:$C$318,0),0)</f>
        <v>4200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s="29" customFormat="1" ht="18" customHeight="1" x14ac:dyDescent="0.25">
      <c r="A30" s="40">
        <v>20</v>
      </c>
      <c r="B30" s="65">
        <v>46021</v>
      </c>
      <c r="C30" s="66" t="s">
        <v>58</v>
      </c>
      <c r="D30" s="66">
        <v>40</v>
      </c>
      <c r="E30" s="66" t="s">
        <v>20</v>
      </c>
      <c r="F30" s="66" t="s">
        <v>39</v>
      </c>
      <c r="G30" s="84">
        <v>310000</v>
      </c>
      <c r="H30" s="82" t="s">
        <v>28</v>
      </c>
      <c r="I30" s="29" t="s">
        <v>270</v>
      </c>
      <c r="J30" s="30" cm="1">
        <f t="array" ref="J30">INDEX('[1]Container List'!$G$18:$G$318,MATCH(C30,'[1]Container List'!$C$18:$C$318,0),0)</f>
        <v>4200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s="29" customFormat="1" ht="18" customHeight="1" x14ac:dyDescent="0.25">
      <c r="A31" s="40">
        <v>21</v>
      </c>
      <c r="B31" s="65">
        <v>46021</v>
      </c>
      <c r="C31" s="66" t="s">
        <v>59</v>
      </c>
      <c r="D31" s="66">
        <v>40</v>
      </c>
      <c r="E31" s="66" t="s">
        <v>20</v>
      </c>
      <c r="F31" s="66" t="s">
        <v>39</v>
      </c>
      <c r="G31" s="84">
        <v>310000</v>
      </c>
      <c r="H31" s="82" t="s">
        <v>28</v>
      </c>
      <c r="I31" s="29" t="s">
        <v>270</v>
      </c>
      <c r="J31" s="30" cm="1">
        <f t="array" ref="J31">INDEX('[1]Container List'!$G$18:$G$318,MATCH(C31,'[1]Container List'!$C$18:$C$318,0),0)</f>
        <v>4200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29" customFormat="1" ht="18" customHeight="1" x14ac:dyDescent="0.25">
      <c r="A32" s="40">
        <v>22</v>
      </c>
      <c r="B32" s="65">
        <v>46021</v>
      </c>
      <c r="C32" s="66" t="s">
        <v>60</v>
      </c>
      <c r="D32" s="66">
        <v>40</v>
      </c>
      <c r="E32" s="66" t="s">
        <v>20</v>
      </c>
      <c r="F32" s="66" t="s">
        <v>39</v>
      </c>
      <c r="G32" s="84">
        <v>310000</v>
      </c>
      <c r="H32" s="82" t="s">
        <v>28</v>
      </c>
      <c r="I32" s="29" t="s">
        <v>270</v>
      </c>
      <c r="J32" s="30" cm="1">
        <f t="array" ref="J32">INDEX('[1]Container List'!$G$18:$G$318,MATCH(C32,'[1]Container List'!$C$18:$C$318,0),0)</f>
        <v>4200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s="29" customFormat="1" ht="18" customHeight="1" x14ac:dyDescent="0.25">
      <c r="A33" s="40">
        <v>23</v>
      </c>
      <c r="B33" s="65">
        <v>46021</v>
      </c>
      <c r="C33" s="66" t="s">
        <v>61</v>
      </c>
      <c r="D33" s="66">
        <v>40</v>
      </c>
      <c r="E33" s="66" t="s">
        <v>20</v>
      </c>
      <c r="F33" s="66" t="s">
        <v>39</v>
      </c>
      <c r="G33" s="84">
        <v>310000</v>
      </c>
      <c r="H33" s="82" t="s">
        <v>28</v>
      </c>
      <c r="I33" s="29" t="s">
        <v>270</v>
      </c>
      <c r="J33" s="30" cm="1">
        <f t="array" ref="J33">INDEX('[1]Container List'!$G$18:$G$318,MATCH(C33,'[1]Container List'!$C$18:$C$318,0),0)</f>
        <v>4200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s="29" customFormat="1" ht="18" customHeight="1" x14ac:dyDescent="0.25">
      <c r="A34" s="40">
        <v>24</v>
      </c>
      <c r="B34" s="65">
        <v>46021</v>
      </c>
      <c r="C34" s="66" t="s">
        <v>62</v>
      </c>
      <c r="D34" s="66">
        <v>40</v>
      </c>
      <c r="E34" s="66" t="s">
        <v>20</v>
      </c>
      <c r="F34" s="66" t="s">
        <v>39</v>
      </c>
      <c r="G34" s="84">
        <v>310000</v>
      </c>
      <c r="H34" s="82" t="s">
        <v>28</v>
      </c>
      <c r="I34" s="29" t="s">
        <v>270</v>
      </c>
      <c r="J34" s="30" cm="1">
        <f t="array" ref="J34">INDEX('[1]Container List'!$G$18:$G$318,MATCH(C34,'[1]Container List'!$C$18:$C$318,0),0)</f>
        <v>4200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s="29" customFormat="1" ht="18" customHeight="1" x14ac:dyDescent="0.25">
      <c r="A35" s="40">
        <v>25</v>
      </c>
      <c r="B35" s="65">
        <v>46021</v>
      </c>
      <c r="C35" s="66" t="s">
        <v>63</v>
      </c>
      <c r="D35" s="66">
        <v>40</v>
      </c>
      <c r="E35" s="66" t="s">
        <v>20</v>
      </c>
      <c r="F35" s="66" t="s">
        <v>39</v>
      </c>
      <c r="G35" s="84">
        <v>310000</v>
      </c>
      <c r="H35" s="82" t="s">
        <v>28</v>
      </c>
      <c r="I35" s="29" t="s">
        <v>270</v>
      </c>
      <c r="J35" s="30" cm="1">
        <f t="array" ref="J35">INDEX('[1]Container List'!$G$18:$G$318,MATCH(C35,'[1]Container List'!$C$18:$C$318,0),0)</f>
        <v>4200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s="29" customFormat="1" ht="18" customHeight="1" x14ac:dyDescent="0.25">
      <c r="A36" s="40">
        <v>26</v>
      </c>
      <c r="B36" s="65">
        <v>46021</v>
      </c>
      <c r="C36" s="66" t="s">
        <v>64</v>
      </c>
      <c r="D36" s="66">
        <v>40</v>
      </c>
      <c r="E36" s="66" t="s">
        <v>20</v>
      </c>
      <c r="F36" s="66" t="s">
        <v>39</v>
      </c>
      <c r="G36" s="84">
        <v>310000</v>
      </c>
      <c r="H36" s="82" t="s">
        <v>28</v>
      </c>
      <c r="I36" s="29" t="s">
        <v>270</v>
      </c>
      <c r="J36" s="30" cm="1">
        <f t="array" ref="J36">INDEX('[1]Container List'!$G$18:$G$318,MATCH(C36,'[1]Container List'!$C$18:$C$318,0),0)</f>
        <v>4200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s="29" customFormat="1" ht="18" customHeight="1" x14ac:dyDescent="0.25">
      <c r="A37" s="40">
        <v>27</v>
      </c>
      <c r="B37" s="65">
        <v>46021</v>
      </c>
      <c r="C37" s="66" t="s">
        <v>65</v>
      </c>
      <c r="D37" s="66">
        <v>40</v>
      </c>
      <c r="E37" s="66" t="s">
        <v>20</v>
      </c>
      <c r="F37" s="66" t="s">
        <v>39</v>
      </c>
      <c r="G37" s="84">
        <v>310000</v>
      </c>
      <c r="H37" s="82" t="s">
        <v>25</v>
      </c>
      <c r="I37" s="29" t="s">
        <v>270</v>
      </c>
      <c r="J37" s="30" cm="1">
        <f t="array" ref="J37">INDEX('[1]Container List'!$G$18:$G$318,MATCH(C37,'[1]Container List'!$C$18:$C$318,0),0)</f>
        <v>4200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1:22" s="29" customFormat="1" ht="18" customHeight="1" x14ac:dyDescent="0.25">
      <c r="A38" s="40">
        <v>28</v>
      </c>
      <c r="B38" s="65">
        <v>46021</v>
      </c>
      <c r="C38" s="66" t="s">
        <v>66</v>
      </c>
      <c r="D38" s="66">
        <v>40</v>
      </c>
      <c r="E38" s="66" t="s">
        <v>20</v>
      </c>
      <c r="F38" s="66" t="s">
        <v>39</v>
      </c>
      <c r="G38" s="84">
        <v>310000</v>
      </c>
      <c r="H38" s="82" t="s">
        <v>25</v>
      </c>
      <c r="I38" s="29" t="s">
        <v>270</v>
      </c>
      <c r="J38" s="30" cm="1">
        <f t="array" ref="J38">INDEX('[1]Container List'!$G$18:$G$318,MATCH(C38,'[1]Container List'!$C$18:$C$318,0),0)</f>
        <v>4200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s="29" customFormat="1" ht="18" customHeight="1" x14ac:dyDescent="0.25">
      <c r="A39" s="40">
        <v>29</v>
      </c>
      <c r="B39" s="65">
        <v>46021</v>
      </c>
      <c r="C39" s="66" t="s">
        <v>67</v>
      </c>
      <c r="D39" s="66">
        <v>40</v>
      </c>
      <c r="E39" s="66" t="s">
        <v>20</v>
      </c>
      <c r="F39" s="66" t="s">
        <v>39</v>
      </c>
      <c r="G39" s="84">
        <v>310000</v>
      </c>
      <c r="H39" s="82" t="s">
        <v>25</v>
      </c>
      <c r="I39" s="29" t="s">
        <v>270</v>
      </c>
      <c r="J39" s="30" cm="1">
        <f t="array" ref="J39">INDEX('[1]Container List'!$G$18:$G$318,MATCH(C39,'[1]Container List'!$C$18:$C$318,0),0)</f>
        <v>4200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1:22" s="29" customFormat="1" ht="18" customHeight="1" x14ac:dyDescent="0.25">
      <c r="A40" s="40">
        <v>30</v>
      </c>
      <c r="B40" s="65">
        <v>46021</v>
      </c>
      <c r="C40" s="66" t="s">
        <v>68</v>
      </c>
      <c r="D40" s="66">
        <v>40</v>
      </c>
      <c r="E40" s="66" t="s">
        <v>20</v>
      </c>
      <c r="F40" s="66" t="s">
        <v>39</v>
      </c>
      <c r="G40" s="84">
        <v>310000</v>
      </c>
      <c r="H40" s="82" t="s">
        <v>25</v>
      </c>
      <c r="I40" s="29" t="s">
        <v>270</v>
      </c>
      <c r="J40" s="30" cm="1">
        <f t="array" ref="J40">INDEX('[1]Container List'!$G$18:$G$318,MATCH(C40,'[1]Container List'!$C$18:$C$318,0),0)</f>
        <v>4200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s="29" customFormat="1" ht="18" customHeight="1" x14ac:dyDescent="0.25">
      <c r="A41" s="40">
        <v>31</v>
      </c>
      <c r="B41" s="65">
        <v>46021</v>
      </c>
      <c r="C41" s="66" t="s">
        <v>69</v>
      </c>
      <c r="D41" s="66">
        <v>40</v>
      </c>
      <c r="E41" s="66" t="s">
        <v>20</v>
      </c>
      <c r="F41" s="66" t="s">
        <v>39</v>
      </c>
      <c r="G41" s="84">
        <v>310000</v>
      </c>
      <c r="H41" s="82" t="s">
        <v>25</v>
      </c>
      <c r="I41" s="29" t="s">
        <v>270</v>
      </c>
      <c r="J41" s="30" cm="1">
        <f t="array" ref="J41">INDEX('[1]Container List'!$G$18:$G$318,MATCH(C41,'[1]Container List'!$C$18:$C$318,0),0)</f>
        <v>4200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1:22" s="29" customFormat="1" ht="18" customHeight="1" x14ac:dyDescent="0.25">
      <c r="A42" s="40">
        <v>32</v>
      </c>
      <c r="B42" s="65">
        <v>46021</v>
      </c>
      <c r="C42" s="66" t="s">
        <v>70</v>
      </c>
      <c r="D42" s="66">
        <v>40</v>
      </c>
      <c r="E42" s="66" t="s">
        <v>20</v>
      </c>
      <c r="F42" s="66" t="s">
        <v>39</v>
      </c>
      <c r="G42" s="84">
        <v>310000</v>
      </c>
      <c r="H42" s="82" t="s">
        <v>25</v>
      </c>
      <c r="I42" s="29" t="s">
        <v>270</v>
      </c>
      <c r="J42" s="30" cm="1">
        <f t="array" ref="J42">INDEX('[1]Container List'!$G$18:$G$318,MATCH(C42,'[1]Container List'!$C$18:$C$318,0),0)</f>
        <v>4200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1:22" s="29" customFormat="1" ht="18" customHeight="1" x14ac:dyDescent="0.25">
      <c r="A43" s="40">
        <v>33</v>
      </c>
      <c r="B43" s="70">
        <v>46021</v>
      </c>
      <c r="C43" s="68" t="s">
        <v>80</v>
      </c>
      <c r="D43" s="66">
        <v>40</v>
      </c>
      <c r="E43" s="66" t="s">
        <v>20</v>
      </c>
      <c r="F43" s="66" t="s">
        <v>39</v>
      </c>
      <c r="G43" s="84">
        <v>310000</v>
      </c>
      <c r="H43" s="82" t="s">
        <v>22</v>
      </c>
      <c r="I43" s="29" t="s">
        <v>270</v>
      </c>
      <c r="J43" s="30" cm="1">
        <f t="array" ref="J43">INDEX('[1]Container List'!$G$18:$G$318,MATCH(C43,'[1]Container List'!$C$18:$C$318,0),0)</f>
        <v>4200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1:22" s="29" customFormat="1" ht="18" customHeight="1" x14ac:dyDescent="0.25">
      <c r="A44" s="40">
        <v>34</v>
      </c>
      <c r="B44" s="70">
        <v>46021</v>
      </c>
      <c r="C44" s="68" t="s">
        <v>81</v>
      </c>
      <c r="D44" s="81">
        <v>40</v>
      </c>
      <c r="E44" s="66" t="s">
        <v>20</v>
      </c>
      <c r="F44" s="66" t="s">
        <v>39</v>
      </c>
      <c r="G44" s="84">
        <v>310000</v>
      </c>
      <c r="H44" s="82" t="s">
        <v>22</v>
      </c>
      <c r="I44" s="29" t="s">
        <v>270</v>
      </c>
      <c r="J44" s="30" cm="1">
        <f t="array" ref="J44">INDEX('[1]Container List'!$G$18:$G$318,MATCH(C44,'[1]Container List'!$C$18:$C$318,0),0)</f>
        <v>4200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1:22" s="29" customFormat="1" ht="18" customHeight="1" x14ac:dyDescent="0.25">
      <c r="A45" s="40">
        <v>35</v>
      </c>
      <c r="B45" s="70">
        <v>46021</v>
      </c>
      <c r="C45" s="68" t="s">
        <v>82</v>
      </c>
      <c r="D45" s="66">
        <v>40</v>
      </c>
      <c r="E45" s="66" t="s">
        <v>20</v>
      </c>
      <c r="F45" s="66" t="s">
        <v>39</v>
      </c>
      <c r="G45" s="84">
        <v>310000</v>
      </c>
      <c r="H45" s="82" t="s">
        <v>22</v>
      </c>
      <c r="I45" s="29" t="s">
        <v>270</v>
      </c>
      <c r="J45" s="30" cm="1">
        <f t="array" ref="J45">INDEX('[1]Container List'!$G$18:$G$318,MATCH(C45,'[1]Container List'!$C$18:$C$318,0),0)</f>
        <v>4200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1:22" s="29" customFormat="1" ht="18" customHeight="1" x14ac:dyDescent="0.25">
      <c r="A46" s="40">
        <v>36</v>
      </c>
      <c r="B46" s="70">
        <v>46021</v>
      </c>
      <c r="C46" s="66" t="s">
        <v>83</v>
      </c>
      <c r="D46" s="81">
        <v>40</v>
      </c>
      <c r="E46" s="66" t="s">
        <v>20</v>
      </c>
      <c r="F46" s="66" t="s">
        <v>39</v>
      </c>
      <c r="G46" s="84">
        <v>310000</v>
      </c>
      <c r="H46" s="82" t="s">
        <v>22</v>
      </c>
      <c r="I46" s="29" t="s">
        <v>270</v>
      </c>
      <c r="J46" s="30" cm="1">
        <f t="array" ref="J46">INDEX('[1]Container List'!$G$18:$G$318,MATCH(C46,'[1]Container List'!$C$18:$C$318,0),0)</f>
        <v>4200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1:22" s="29" customFormat="1" ht="18" customHeight="1" x14ac:dyDescent="0.25">
      <c r="A47" s="40">
        <v>37</v>
      </c>
      <c r="B47" s="70">
        <v>46021</v>
      </c>
      <c r="C47" s="66" t="s">
        <v>84</v>
      </c>
      <c r="D47" s="66">
        <v>40</v>
      </c>
      <c r="E47" s="66" t="s">
        <v>20</v>
      </c>
      <c r="F47" s="66" t="s">
        <v>39</v>
      </c>
      <c r="G47" s="84">
        <v>310000</v>
      </c>
      <c r="H47" s="82" t="s">
        <v>22</v>
      </c>
      <c r="I47" s="29" t="s">
        <v>270</v>
      </c>
      <c r="J47" s="30" cm="1">
        <f t="array" ref="J47">INDEX('[1]Container List'!$G$18:$G$318,MATCH(C47,'[1]Container List'!$C$18:$C$318,0),0)</f>
        <v>4200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22" s="29" customFormat="1" ht="18" customHeight="1" x14ac:dyDescent="0.25">
      <c r="A48" s="40">
        <v>38</v>
      </c>
      <c r="B48" s="70">
        <v>46021</v>
      </c>
      <c r="C48" s="66" t="s">
        <v>85</v>
      </c>
      <c r="D48" s="66">
        <v>40</v>
      </c>
      <c r="E48" s="66" t="s">
        <v>20</v>
      </c>
      <c r="F48" s="66" t="s">
        <v>39</v>
      </c>
      <c r="G48" s="84">
        <v>310000</v>
      </c>
      <c r="H48" s="82" t="s">
        <v>22</v>
      </c>
      <c r="I48" s="29" t="s">
        <v>270</v>
      </c>
      <c r="J48" s="30" cm="1">
        <f t="array" ref="J48">INDEX('[1]Container List'!$G$18:$G$318,MATCH(C48,'[1]Container List'!$C$18:$C$318,0),0)</f>
        <v>4200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:22" s="29" customFormat="1" ht="18" customHeight="1" x14ac:dyDescent="0.25">
      <c r="A49" s="40">
        <v>39</v>
      </c>
      <c r="B49" s="70">
        <v>46021</v>
      </c>
      <c r="C49" s="66" t="s">
        <v>86</v>
      </c>
      <c r="D49" s="66">
        <v>40</v>
      </c>
      <c r="E49" s="66" t="s">
        <v>20</v>
      </c>
      <c r="F49" s="66" t="s">
        <v>39</v>
      </c>
      <c r="G49" s="84">
        <v>310000</v>
      </c>
      <c r="H49" s="82" t="s">
        <v>22</v>
      </c>
      <c r="I49" s="29" t="s">
        <v>270</v>
      </c>
      <c r="J49" s="30" cm="1">
        <f t="array" ref="J49">INDEX('[1]Container List'!$G$18:$G$318,MATCH(C49,'[1]Container List'!$C$18:$C$318,0),0)</f>
        <v>4200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1:22" s="29" customFormat="1" ht="18" customHeight="1" x14ac:dyDescent="0.25">
      <c r="A50" s="40">
        <v>40</v>
      </c>
      <c r="B50" s="70">
        <v>46021</v>
      </c>
      <c r="C50" s="66" t="s">
        <v>87</v>
      </c>
      <c r="D50" s="66">
        <v>40</v>
      </c>
      <c r="E50" s="66" t="s">
        <v>20</v>
      </c>
      <c r="F50" s="66" t="s">
        <v>39</v>
      </c>
      <c r="G50" s="84">
        <v>310000</v>
      </c>
      <c r="H50" s="82" t="s">
        <v>22</v>
      </c>
      <c r="I50" s="29" t="s">
        <v>270</v>
      </c>
      <c r="J50" s="30" cm="1">
        <f t="array" ref="J50">INDEX('[1]Container List'!$G$18:$G$318,MATCH(C50,'[1]Container List'!$C$18:$C$318,0),0)</f>
        <v>4200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:22" s="29" customFormat="1" ht="18" customHeight="1" x14ac:dyDescent="0.25">
      <c r="A51" s="40">
        <v>41</v>
      </c>
      <c r="B51" s="70">
        <v>46021</v>
      </c>
      <c r="C51" s="66" t="s">
        <v>88</v>
      </c>
      <c r="D51" s="66">
        <v>40</v>
      </c>
      <c r="E51" s="66" t="s">
        <v>20</v>
      </c>
      <c r="F51" s="66" t="s">
        <v>39</v>
      </c>
      <c r="G51" s="84">
        <v>310000</v>
      </c>
      <c r="H51" s="82" t="s">
        <v>22</v>
      </c>
      <c r="I51" s="29" t="s">
        <v>270</v>
      </c>
      <c r="J51" s="30" cm="1">
        <f t="array" ref="J51">INDEX('[1]Container List'!$G$18:$G$318,MATCH(C51,'[1]Container List'!$C$18:$C$318,0),0)</f>
        <v>4200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:22" s="29" customFormat="1" ht="18" customHeight="1" x14ac:dyDescent="0.25">
      <c r="A52" s="40">
        <v>42</v>
      </c>
      <c r="B52" s="70">
        <v>46021</v>
      </c>
      <c r="C52" s="66" t="s">
        <v>89</v>
      </c>
      <c r="D52" s="66">
        <v>40</v>
      </c>
      <c r="E52" s="66" t="s">
        <v>20</v>
      </c>
      <c r="F52" s="66" t="s">
        <v>39</v>
      </c>
      <c r="G52" s="84">
        <v>310000</v>
      </c>
      <c r="H52" s="82" t="s">
        <v>22</v>
      </c>
      <c r="I52" s="29" t="s">
        <v>270</v>
      </c>
      <c r="J52" s="30" cm="1">
        <f t="array" ref="J52">INDEX('[1]Container List'!$G$18:$G$318,MATCH(C52,'[1]Container List'!$C$18:$C$318,0),0)</f>
        <v>4200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1:22" s="29" customFormat="1" ht="18" customHeight="1" x14ac:dyDescent="0.25">
      <c r="A53" s="40">
        <v>43</v>
      </c>
      <c r="B53" s="70">
        <v>46021</v>
      </c>
      <c r="C53" s="66" t="s">
        <v>90</v>
      </c>
      <c r="D53" s="66">
        <v>40</v>
      </c>
      <c r="E53" s="66" t="s">
        <v>20</v>
      </c>
      <c r="F53" s="66" t="s">
        <v>39</v>
      </c>
      <c r="G53" s="84">
        <v>310000</v>
      </c>
      <c r="H53" s="82" t="s">
        <v>22</v>
      </c>
      <c r="I53" s="29" t="s">
        <v>270</v>
      </c>
      <c r="J53" s="30" cm="1">
        <f t="array" ref="J53">INDEX('[1]Container List'!$G$18:$G$318,MATCH(C53,'[1]Container List'!$C$18:$C$318,0),0)</f>
        <v>4200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1:22" s="29" customFormat="1" ht="18" customHeight="1" x14ac:dyDescent="0.25">
      <c r="A54" s="40">
        <v>44</v>
      </c>
      <c r="B54" s="70">
        <v>46021</v>
      </c>
      <c r="C54" s="66" t="s">
        <v>91</v>
      </c>
      <c r="D54" s="66">
        <v>40</v>
      </c>
      <c r="E54" s="66" t="s">
        <v>20</v>
      </c>
      <c r="F54" s="66" t="s">
        <v>39</v>
      </c>
      <c r="G54" s="84">
        <v>310000</v>
      </c>
      <c r="H54" s="82" t="s">
        <v>22</v>
      </c>
      <c r="I54" s="29" t="s">
        <v>270</v>
      </c>
      <c r="J54" s="30" cm="1">
        <f t="array" ref="J54">INDEX('[1]Container List'!$G$18:$G$318,MATCH(C54,'[1]Container List'!$C$18:$C$318,0),0)</f>
        <v>4200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s="29" customFormat="1" ht="18" customHeight="1" x14ac:dyDescent="0.25">
      <c r="A55" s="40">
        <v>45</v>
      </c>
      <c r="B55" s="65">
        <v>46022</v>
      </c>
      <c r="C55" s="66" t="s">
        <v>71</v>
      </c>
      <c r="D55" s="66">
        <v>40</v>
      </c>
      <c r="E55" s="66" t="s">
        <v>20</v>
      </c>
      <c r="F55" s="66" t="s">
        <v>39</v>
      </c>
      <c r="G55" s="84">
        <v>310000</v>
      </c>
      <c r="H55" s="82" t="s">
        <v>28</v>
      </c>
      <c r="I55" s="29" t="s">
        <v>270</v>
      </c>
      <c r="J55" s="30" cm="1">
        <f t="array" ref="J55">INDEX('[1]Container List'!$G$18:$G$318,MATCH(C55,'[1]Container List'!$C$18:$C$318,0),0)</f>
        <v>4200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1:22" s="29" customFormat="1" ht="18" customHeight="1" x14ac:dyDescent="0.25">
      <c r="A56" s="40">
        <v>46</v>
      </c>
      <c r="B56" s="65">
        <v>46022</v>
      </c>
      <c r="C56" s="66" t="s">
        <v>72</v>
      </c>
      <c r="D56" s="74">
        <v>40</v>
      </c>
      <c r="E56" s="66" t="s">
        <v>20</v>
      </c>
      <c r="F56" s="66" t="s">
        <v>34</v>
      </c>
      <c r="G56" s="84">
        <v>330000</v>
      </c>
      <c r="H56" s="82" t="s">
        <v>28</v>
      </c>
      <c r="I56" s="29" t="s">
        <v>273</v>
      </c>
      <c r="J56" s="30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1:22" s="29" customFormat="1" ht="18" customHeight="1" x14ac:dyDescent="0.25">
      <c r="A57" s="40">
        <v>47</v>
      </c>
      <c r="B57" s="65">
        <v>46022</v>
      </c>
      <c r="C57" s="66" t="s">
        <v>73</v>
      </c>
      <c r="D57" s="66">
        <v>40</v>
      </c>
      <c r="E57" s="66" t="s">
        <v>20</v>
      </c>
      <c r="F57" s="66" t="s">
        <v>34</v>
      </c>
      <c r="G57" s="84">
        <v>330000</v>
      </c>
      <c r="H57" s="82" t="s">
        <v>28</v>
      </c>
      <c r="I57" s="29" t="s">
        <v>273</v>
      </c>
      <c r="J57" s="3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1:22" s="29" customFormat="1" ht="18" customHeight="1" x14ac:dyDescent="0.25">
      <c r="A58" s="40">
        <v>48</v>
      </c>
      <c r="B58" s="65">
        <v>46022</v>
      </c>
      <c r="C58" s="66" t="s">
        <v>74</v>
      </c>
      <c r="D58" s="74">
        <v>40</v>
      </c>
      <c r="E58" s="66" t="s">
        <v>20</v>
      </c>
      <c r="F58" s="66" t="s">
        <v>34</v>
      </c>
      <c r="G58" s="84">
        <v>330000</v>
      </c>
      <c r="H58" s="82" t="s">
        <v>28</v>
      </c>
      <c r="I58" s="29" t="s">
        <v>273</v>
      </c>
      <c r="J58" s="30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1:22" s="29" customFormat="1" ht="18" customHeight="1" x14ac:dyDescent="0.25">
      <c r="A59" s="40">
        <v>49</v>
      </c>
      <c r="B59" s="65">
        <v>46022</v>
      </c>
      <c r="C59" s="66" t="s">
        <v>75</v>
      </c>
      <c r="D59" s="66">
        <v>40</v>
      </c>
      <c r="E59" s="66" t="s">
        <v>20</v>
      </c>
      <c r="F59" s="66" t="s">
        <v>34</v>
      </c>
      <c r="G59" s="84">
        <v>330000</v>
      </c>
      <c r="H59" s="82" t="s">
        <v>28</v>
      </c>
      <c r="I59" s="29" t="s">
        <v>273</v>
      </c>
      <c r="J59" s="3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2" s="29" customFormat="1" ht="18" customHeight="1" x14ac:dyDescent="0.25">
      <c r="A60" s="40">
        <v>50</v>
      </c>
      <c r="B60" s="65">
        <v>46022</v>
      </c>
      <c r="C60" s="66" t="s">
        <v>76</v>
      </c>
      <c r="D60" s="66">
        <v>40</v>
      </c>
      <c r="E60" s="66" t="s">
        <v>20</v>
      </c>
      <c r="F60" s="66" t="s">
        <v>34</v>
      </c>
      <c r="G60" s="84">
        <v>330000</v>
      </c>
      <c r="H60" s="83" t="s">
        <v>23</v>
      </c>
      <c r="I60" s="29" t="s">
        <v>273</v>
      </c>
      <c r="J60" s="3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1:22" s="29" customFormat="1" ht="18" customHeight="1" x14ac:dyDescent="0.25">
      <c r="A61" s="40">
        <v>51</v>
      </c>
      <c r="B61" s="65">
        <v>46022</v>
      </c>
      <c r="C61" s="66" t="s">
        <v>77</v>
      </c>
      <c r="D61" s="66">
        <v>40</v>
      </c>
      <c r="E61" s="66" t="s">
        <v>20</v>
      </c>
      <c r="F61" s="66" t="s">
        <v>34</v>
      </c>
      <c r="G61" s="84">
        <v>330000</v>
      </c>
      <c r="H61" s="82" t="s">
        <v>25</v>
      </c>
      <c r="I61" s="29" t="s">
        <v>273</v>
      </c>
      <c r="J61" s="30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s="29" customFormat="1" ht="18" customHeight="1" x14ac:dyDescent="0.25">
      <c r="A62" s="40">
        <v>52</v>
      </c>
      <c r="B62" s="65">
        <v>46022</v>
      </c>
      <c r="C62" s="66" t="s">
        <v>78</v>
      </c>
      <c r="D62" s="66">
        <v>40</v>
      </c>
      <c r="E62" s="66" t="s">
        <v>20</v>
      </c>
      <c r="F62" s="66" t="s">
        <v>34</v>
      </c>
      <c r="G62" s="84">
        <v>330000</v>
      </c>
      <c r="H62" s="82" t="s">
        <v>25</v>
      </c>
      <c r="I62" s="29" t="s">
        <v>273</v>
      </c>
      <c r="J62" s="3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2" s="29" customFormat="1" ht="18" customHeight="1" x14ac:dyDescent="0.25">
      <c r="A63" s="40">
        <v>53</v>
      </c>
      <c r="B63" s="65">
        <v>46022</v>
      </c>
      <c r="C63" s="66" t="s">
        <v>79</v>
      </c>
      <c r="D63" s="66">
        <v>40</v>
      </c>
      <c r="E63" s="66" t="s">
        <v>20</v>
      </c>
      <c r="F63" s="66" t="s">
        <v>39</v>
      </c>
      <c r="G63" s="84">
        <v>310000</v>
      </c>
      <c r="H63" s="82" t="s">
        <v>25</v>
      </c>
      <c r="I63" s="29" t="s">
        <v>270</v>
      </c>
      <c r="J63" s="30" cm="1">
        <f t="array" ref="J63">INDEX('[1]Container List'!$G$18:$G$318,MATCH(C63,'[1]Container List'!$C$18:$C$318,0),0)</f>
        <v>4200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2" s="29" customFormat="1" ht="18" customHeight="1" x14ac:dyDescent="0.25">
      <c r="A64" s="40">
        <v>54</v>
      </c>
      <c r="B64" s="70">
        <v>46022</v>
      </c>
      <c r="C64" s="66" t="s">
        <v>92</v>
      </c>
      <c r="D64" s="66">
        <v>40</v>
      </c>
      <c r="E64" s="66" t="s">
        <v>20</v>
      </c>
      <c r="F64" s="66" t="s">
        <v>39</v>
      </c>
      <c r="G64" s="84">
        <v>310000</v>
      </c>
      <c r="H64" s="82" t="s">
        <v>22</v>
      </c>
      <c r="I64" s="29" t="s">
        <v>270</v>
      </c>
      <c r="J64" s="30" cm="1">
        <f t="array" ref="J64">INDEX('[1]Container List'!$G$18:$G$318,MATCH(C64,'[1]Container List'!$C$18:$C$318,0),0)</f>
        <v>4200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s="29" customFormat="1" ht="18" customHeight="1" x14ac:dyDescent="0.25">
      <c r="A65" s="40">
        <v>55</v>
      </c>
      <c r="B65" s="65">
        <v>46022</v>
      </c>
      <c r="C65" s="66" t="s">
        <v>93</v>
      </c>
      <c r="D65" s="66">
        <v>40</v>
      </c>
      <c r="E65" s="66" t="s">
        <v>20</v>
      </c>
      <c r="F65" s="66" t="s">
        <v>34</v>
      </c>
      <c r="G65" s="84">
        <v>330000</v>
      </c>
      <c r="H65" s="82" t="s">
        <v>22</v>
      </c>
      <c r="I65" s="29" t="s">
        <v>273</v>
      </c>
      <c r="J65" s="30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s="29" customFormat="1" ht="18" customHeight="1" x14ac:dyDescent="0.25">
      <c r="A66" s="40">
        <v>56</v>
      </c>
      <c r="B66" s="65">
        <v>46022</v>
      </c>
      <c r="C66" s="66" t="s">
        <v>24</v>
      </c>
      <c r="D66" s="66">
        <v>20</v>
      </c>
      <c r="E66" s="66" t="s">
        <v>20</v>
      </c>
      <c r="F66" s="66" t="s">
        <v>34</v>
      </c>
      <c r="G66" s="84">
        <v>175000</v>
      </c>
      <c r="H66" s="82" t="s">
        <v>22</v>
      </c>
      <c r="I66" s="29" t="e" cm="1">
        <f t="array" ref="I66">INDEX('[2]GLORY SHANGHAI V.2551SN'!$E$3:$E$63,MATCH(C66,'[2]GLORY SHANGHAI V.2551SN'!$C$3:$C$63,0),0)</f>
        <v>#N/A</v>
      </c>
      <c r="J66" s="3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s="29" customFormat="1" ht="18" customHeight="1" x14ac:dyDescent="0.25">
      <c r="A67" s="40">
        <v>57</v>
      </c>
      <c r="B67" s="65">
        <v>46022</v>
      </c>
      <c r="C67" s="66" t="s">
        <v>94</v>
      </c>
      <c r="D67" s="66">
        <v>20</v>
      </c>
      <c r="E67" s="66" t="s">
        <v>20</v>
      </c>
      <c r="F67" s="66" t="s">
        <v>34</v>
      </c>
      <c r="G67" s="84">
        <v>175000</v>
      </c>
      <c r="H67" s="82" t="s">
        <v>22</v>
      </c>
      <c r="I67" s="29" t="e" cm="1">
        <f t="array" ref="I67">INDEX('[2]GLORY SHANGHAI V.2551SN'!$E$3:$E$63,MATCH(C67,'[2]GLORY SHANGHAI V.2551SN'!$C$3:$C$63,0),0)</f>
        <v>#N/A</v>
      </c>
      <c r="J67" s="30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s="29" customFormat="1" ht="18" customHeight="1" x14ac:dyDescent="0.25">
      <c r="A68" s="40">
        <v>58</v>
      </c>
      <c r="B68" s="65">
        <v>46022</v>
      </c>
      <c r="C68" s="66" t="s">
        <v>95</v>
      </c>
      <c r="D68" s="66">
        <v>20</v>
      </c>
      <c r="E68" s="66" t="s">
        <v>20</v>
      </c>
      <c r="F68" s="66" t="s">
        <v>34</v>
      </c>
      <c r="G68" s="84">
        <v>175000</v>
      </c>
      <c r="H68" s="82" t="s">
        <v>22</v>
      </c>
      <c r="I68" s="29" t="s">
        <v>272</v>
      </c>
      <c r="J68" s="3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s="29" customFormat="1" ht="18" customHeight="1" x14ac:dyDescent="0.25">
      <c r="A69" s="40">
        <v>59</v>
      </c>
      <c r="B69" s="65">
        <v>46022</v>
      </c>
      <c r="C69" s="66" t="s">
        <v>96</v>
      </c>
      <c r="D69" s="66">
        <v>20</v>
      </c>
      <c r="E69" s="66" t="s">
        <v>20</v>
      </c>
      <c r="F69" s="66" t="s">
        <v>34</v>
      </c>
      <c r="G69" s="84">
        <v>175000</v>
      </c>
      <c r="H69" s="82" t="s">
        <v>22</v>
      </c>
      <c r="I69" s="29" t="s">
        <v>272</v>
      </c>
      <c r="J69" s="30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s="29" customFormat="1" ht="18" customHeight="1" x14ac:dyDescent="0.25">
      <c r="A70" s="40">
        <v>60</v>
      </c>
      <c r="B70" s="65">
        <v>46022</v>
      </c>
      <c r="C70" s="66" t="s">
        <v>97</v>
      </c>
      <c r="D70" s="66">
        <v>40</v>
      </c>
      <c r="E70" s="66" t="s">
        <v>20</v>
      </c>
      <c r="F70" s="66" t="s">
        <v>34</v>
      </c>
      <c r="G70" s="84">
        <v>330000</v>
      </c>
      <c r="H70" s="82" t="s">
        <v>22</v>
      </c>
      <c r="I70" s="29" t="s">
        <v>272</v>
      </c>
      <c r="J70" s="30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s="29" customFormat="1" ht="18" customHeight="1" x14ac:dyDescent="0.25">
      <c r="A71" s="40">
        <v>61</v>
      </c>
      <c r="B71" s="65">
        <v>46022</v>
      </c>
      <c r="C71" s="66" t="s">
        <v>98</v>
      </c>
      <c r="D71" s="66">
        <v>40</v>
      </c>
      <c r="E71" s="66" t="s">
        <v>20</v>
      </c>
      <c r="F71" s="66" t="s">
        <v>34</v>
      </c>
      <c r="G71" s="84">
        <v>330000</v>
      </c>
      <c r="H71" s="82" t="s">
        <v>22</v>
      </c>
      <c r="I71" s="29" t="s">
        <v>272</v>
      </c>
      <c r="J71" s="3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s="29" customFormat="1" ht="18" customHeight="1" x14ac:dyDescent="0.25">
      <c r="A72" s="40">
        <v>62</v>
      </c>
      <c r="B72" s="65">
        <v>46022</v>
      </c>
      <c r="C72" s="66" t="s">
        <v>99</v>
      </c>
      <c r="D72" s="66">
        <v>40</v>
      </c>
      <c r="E72" s="66" t="s">
        <v>20</v>
      </c>
      <c r="F72" s="66" t="s">
        <v>34</v>
      </c>
      <c r="G72" s="84">
        <v>330000</v>
      </c>
      <c r="H72" s="82" t="s">
        <v>22</v>
      </c>
      <c r="I72" s="29" t="s">
        <v>272</v>
      </c>
      <c r="J72" s="3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s="29" customFormat="1" ht="18" customHeight="1" x14ac:dyDescent="0.25">
      <c r="A73" s="40">
        <v>63</v>
      </c>
      <c r="B73" s="65">
        <v>46022</v>
      </c>
      <c r="C73" s="69" t="s">
        <v>107</v>
      </c>
      <c r="D73" s="66">
        <v>20</v>
      </c>
      <c r="E73" s="66" t="s">
        <v>20</v>
      </c>
      <c r="F73" s="66" t="s">
        <v>34</v>
      </c>
      <c r="G73" s="84">
        <v>175000</v>
      </c>
      <c r="H73" s="82" t="s">
        <v>29</v>
      </c>
      <c r="I73" s="29" t="e" cm="1">
        <f t="array" ref="I73">INDEX('[2]GLORY SHANGHAI V.2551SN'!$E$3:$E$63,MATCH(C73,'[2]GLORY SHANGHAI V.2551SN'!$C$3:$C$63,0),0)</f>
        <v>#N/A</v>
      </c>
      <c r="J73" s="3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s="29" customFormat="1" ht="18" customHeight="1" x14ac:dyDescent="0.25">
      <c r="A74" s="40">
        <v>64</v>
      </c>
      <c r="B74" s="65">
        <v>46022</v>
      </c>
      <c r="C74" s="69" t="s">
        <v>108</v>
      </c>
      <c r="D74" s="66">
        <v>20</v>
      </c>
      <c r="E74" s="66" t="s">
        <v>20</v>
      </c>
      <c r="F74" s="66" t="s">
        <v>34</v>
      </c>
      <c r="G74" s="84">
        <v>175000</v>
      </c>
      <c r="H74" s="82" t="s">
        <v>29</v>
      </c>
      <c r="I74" s="29" t="e" cm="1">
        <f t="array" ref="I74">INDEX('[2]GLORY SHANGHAI V.2551SN'!$E$3:$E$63,MATCH(C74,'[2]GLORY SHANGHAI V.2551SN'!$C$3:$C$63,0),0)</f>
        <v>#N/A</v>
      </c>
      <c r="J74" s="30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s="29" customFormat="1" ht="18" customHeight="1" x14ac:dyDescent="0.25">
      <c r="A75" s="40">
        <v>65</v>
      </c>
      <c r="B75" s="65">
        <v>46022</v>
      </c>
      <c r="C75" s="69" t="s">
        <v>111</v>
      </c>
      <c r="D75" s="66">
        <v>20</v>
      </c>
      <c r="E75" s="66" t="s">
        <v>20</v>
      </c>
      <c r="F75" s="66" t="s">
        <v>34</v>
      </c>
      <c r="G75" s="84">
        <v>175000</v>
      </c>
      <c r="H75" s="82" t="s">
        <v>29</v>
      </c>
      <c r="I75" s="29" t="s">
        <v>272</v>
      </c>
      <c r="J75" s="30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s="29" customFormat="1" ht="18" customHeight="1" x14ac:dyDescent="0.25">
      <c r="A76" s="40">
        <v>66</v>
      </c>
      <c r="B76" s="65">
        <v>46022</v>
      </c>
      <c r="C76" s="69" t="s">
        <v>112</v>
      </c>
      <c r="D76" s="66">
        <v>20</v>
      </c>
      <c r="E76" s="66" t="s">
        <v>20</v>
      </c>
      <c r="F76" s="66" t="s">
        <v>34</v>
      </c>
      <c r="G76" s="84">
        <v>175000</v>
      </c>
      <c r="H76" s="82" t="s">
        <v>29</v>
      </c>
      <c r="I76" s="29" t="s">
        <v>272</v>
      </c>
      <c r="J76" s="30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s="29" customFormat="1" ht="18" customHeight="1" x14ac:dyDescent="0.25">
      <c r="A77" s="40">
        <v>67</v>
      </c>
      <c r="B77" s="65">
        <v>46022</v>
      </c>
      <c r="C77" s="73" t="s">
        <v>113</v>
      </c>
      <c r="D77" s="72">
        <v>40</v>
      </c>
      <c r="E77" s="66" t="s">
        <v>20</v>
      </c>
      <c r="F77" s="72" t="s">
        <v>31</v>
      </c>
      <c r="G77" s="84">
        <v>330000</v>
      </c>
      <c r="H77" s="82" t="s">
        <v>30</v>
      </c>
      <c r="I77" s="29" t="s">
        <v>273</v>
      </c>
      <c r="J77" s="30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s="29" customFormat="1" ht="18" customHeight="1" x14ac:dyDescent="0.25">
      <c r="A78" s="40">
        <v>68</v>
      </c>
      <c r="B78" s="65">
        <v>46022</v>
      </c>
      <c r="C78" s="73" t="s">
        <v>114</v>
      </c>
      <c r="D78" s="72">
        <v>40</v>
      </c>
      <c r="E78" s="66" t="s">
        <v>20</v>
      </c>
      <c r="F78" s="72" t="s">
        <v>31</v>
      </c>
      <c r="G78" s="84">
        <v>330000</v>
      </c>
      <c r="H78" s="82" t="s">
        <v>30</v>
      </c>
      <c r="I78" s="29" t="s">
        <v>273</v>
      </c>
      <c r="J78" s="30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s="29" customFormat="1" ht="18" customHeight="1" x14ac:dyDescent="0.25">
      <c r="A79" s="40">
        <v>69</v>
      </c>
      <c r="B79" s="65">
        <v>46022</v>
      </c>
      <c r="C79" s="73" t="s">
        <v>115</v>
      </c>
      <c r="D79" s="72">
        <v>40</v>
      </c>
      <c r="E79" s="66" t="s">
        <v>20</v>
      </c>
      <c r="F79" s="72" t="s">
        <v>31</v>
      </c>
      <c r="G79" s="84">
        <v>330000</v>
      </c>
      <c r="H79" s="82" t="s">
        <v>30</v>
      </c>
      <c r="I79" s="29" t="s">
        <v>273</v>
      </c>
      <c r="J79" s="30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s="29" customFormat="1" ht="18" customHeight="1" x14ac:dyDescent="0.25">
      <c r="A80" s="40">
        <v>70</v>
      </c>
      <c r="B80" s="65">
        <v>46022</v>
      </c>
      <c r="C80" s="73" t="s">
        <v>116</v>
      </c>
      <c r="D80" s="72">
        <v>40</v>
      </c>
      <c r="E80" s="66" t="s">
        <v>20</v>
      </c>
      <c r="F80" s="72" t="s">
        <v>31</v>
      </c>
      <c r="G80" s="84">
        <v>330000</v>
      </c>
      <c r="H80" s="82" t="s">
        <v>30</v>
      </c>
      <c r="I80" s="29" t="s">
        <v>272</v>
      </c>
      <c r="J80" s="3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s="29" customFormat="1" ht="18" customHeight="1" x14ac:dyDescent="0.25">
      <c r="A81" s="40">
        <v>71</v>
      </c>
      <c r="B81" s="65">
        <v>46022</v>
      </c>
      <c r="C81" s="73" t="s">
        <v>117</v>
      </c>
      <c r="D81" s="72">
        <v>40</v>
      </c>
      <c r="E81" s="66" t="s">
        <v>20</v>
      </c>
      <c r="F81" s="72" t="s">
        <v>31</v>
      </c>
      <c r="G81" s="84">
        <v>330000</v>
      </c>
      <c r="H81" s="82" t="s">
        <v>30</v>
      </c>
      <c r="I81" s="29" t="s">
        <v>272</v>
      </c>
      <c r="J81" s="30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s="29" customFormat="1" ht="18" customHeight="1" x14ac:dyDescent="0.25">
      <c r="A82" s="40">
        <v>72</v>
      </c>
      <c r="B82" s="65">
        <v>46022</v>
      </c>
      <c r="C82" s="73" t="s">
        <v>118</v>
      </c>
      <c r="D82" s="72">
        <v>20</v>
      </c>
      <c r="E82" s="66" t="s">
        <v>20</v>
      </c>
      <c r="F82" s="72" t="s">
        <v>31</v>
      </c>
      <c r="G82" s="84">
        <v>175000</v>
      </c>
      <c r="H82" s="82" t="s">
        <v>30</v>
      </c>
      <c r="I82" s="29" t="s">
        <v>272</v>
      </c>
      <c r="J82" s="3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s="29" customFormat="1" ht="18" customHeight="1" x14ac:dyDescent="0.25">
      <c r="A83" s="40">
        <v>73</v>
      </c>
      <c r="B83" s="65">
        <v>46022</v>
      </c>
      <c r="C83" s="73" t="s">
        <v>119</v>
      </c>
      <c r="D83" s="72">
        <v>20</v>
      </c>
      <c r="E83" s="66" t="s">
        <v>20</v>
      </c>
      <c r="F83" s="72" t="s">
        <v>31</v>
      </c>
      <c r="G83" s="84">
        <v>175000</v>
      </c>
      <c r="H83" s="82" t="s">
        <v>30</v>
      </c>
      <c r="I83" s="29" t="s">
        <v>272</v>
      </c>
      <c r="J83" s="30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s="29" customFormat="1" ht="18" customHeight="1" x14ac:dyDescent="0.25">
      <c r="A84" s="40">
        <v>74</v>
      </c>
      <c r="B84" s="65">
        <v>46022</v>
      </c>
      <c r="C84" s="73" t="s">
        <v>120</v>
      </c>
      <c r="D84" s="72">
        <v>20</v>
      </c>
      <c r="E84" s="66" t="s">
        <v>20</v>
      </c>
      <c r="F84" s="72" t="s">
        <v>31</v>
      </c>
      <c r="G84" s="84">
        <v>175000</v>
      </c>
      <c r="H84" s="82" t="s">
        <v>30</v>
      </c>
      <c r="I84" s="29" t="e" cm="1">
        <f t="array" ref="I84">INDEX('[2]GLORY SHANGHAI V.2551SN'!$E$3:$E$63,MATCH(C84,'[2]GLORY SHANGHAI V.2551SN'!$C$3:$C$63,0),0)</f>
        <v>#N/A</v>
      </c>
      <c r="J84" s="3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s="29" customFormat="1" ht="18" customHeight="1" x14ac:dyDescent="0.25">
      <c r="A85" s="40">
        <v>75</v>
      </c>
      <c r="B85" s="65">
        <v>46022</v>
      </c>
      <c r="C85" s="73" t="s">
        <v>121</v>
      </c>
      <c r="D85" s="72">
        <v>20</v>
      </c>
      <c r="E85" s="66" t="s">
        <v>20</v>
      </c>
      <c r="F85" s="72" t="s">
        <v>31</v>
      </c>
      <c r="G85" s="84">
        <v>175000</v>
      </c>
      <c r="H85" s="82" t="s">
        <v>30</v>
      </c>
      <c r="I85" s="29" t="e" cm="1">
        <f t="array" ref="I85">INDEX('[2]GLORY SHANGHAI V.2551SN'!$E$3:$E$63,MATCH(C85,'[2]GLORY SHANGHAI V.2551SN'!$C$3:$C$63,0),0)</f>
        <v>#N/A</v>
      </c>
      <c r="J85" s="30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s="29" customFormat="1" ht="18" customHeight="1" x14ac:dyDescent="0.25">
      <c r="A86" s="40">
        <v>76</v>
      </c>
      <c r="B86" s="65">
        <v>46022</v>
      </c>
      <c r="C86" s="73" t="s">
        <v>124</v>
      </c>
      <c r="D86" s="73">
        <v>40</v>
      </c>
      <c r="E86" s="66" t="s">
        <v>20</v>
      </c>
      <c r="F86" s="73" t="s">
        <v>31</v>
      </c>
      <c r="G86" s="84">
        <v>330000</v>
      </c>
      <c r="H86" s="82" t="s">
        <v>35</v>
      </c>
      <c r="I86" s="29" t="s">
        <v>273</v>
      </c>
      <c r="J86" s="3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s="29" customFormat="1" ht="18" customHeight="1" x14ac:dyDescent="0.25">
      <c r="A87" s="40">
        <v>77</v>
      </c>
      <c r="B87" s="65">
        <v>46022</v>
      </c>
      <c r="C87" s="73" t="s">
        <v>125</v>
      </c>
      <c r="D87" s="72">
        <v>40</v>
      </c>
      <c r="E87" s="71" t="s">
        <v>20</v>
      </c>
      <c r="F87" s="72" t="s">
        <v>31</v>
      </c>
      <c r="G87" s="84">
        <v>330000</v>
      </c>
      <c r="H87" s="82" t="s">
        <v>35</v>
      </c>
      <c r="I87" s="29" t="s">
        <v>272</v>
      </c>
      <c r="J87" s="3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s="29" customFormat="1" ht="18" customHeight="1" x14ac:dyDescent="0.25">
      <c r="A88" s="40">
        <v>78</v>
      </c>
      <c r="B88" s="65">
        <v>46022</v>
      </c>
      <c r="C88" s="72" t="s">
        <v>126</v>
      </c>
      <c r="D88" s="72">
        <v>20</v>
      </c>
      <c r="E88" s="71" t="s">
        <v>20</v>
      </c>
      <c r="F88" s="72" t="s">
        <v>31</v>
      </c>
      <c r="G88" s="84">
        <v>175000</v>
      </c>
      <c r="H88" s="82" t="s">
        <v>35</v>
      </c>
      <c r="I88" s="29" t="e" cm="1">
        <f t="array" ref="I88">INDEX('[2]GLORY SHANGHAI V.2551SN'!$E$3:$E$63,MATCH(C88,'[2]GLORY SHANGHAI V.2551SN'!$C$3:$C$63,0),0)</f>
        <v>#N/A</v>
      </c>
      <c r="J88" s="3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s="29" customFormat="1" ht="18" customHeight="1" x14ac:dyDescent="0.25">
      <c r="A89" s="40">
        <v>79</v>
      </c>
      <c r="B89" s="65">
        <v>46022</v>
      </c>
      <c r="C89" s="72" t="s">
        <v>127</v>
      </c>
      <c r="D89" s="72">
        <v>20</v>
      </c>
      <c r="E89" s="71" t="s">
        <v>20</v>
      </c>
      <c r="F89" s="72" t="s">
        <v>31</v>
      </c>
      <c r="G89" s="84">
        <v>175000</v>
      </c>
      <c r="H89" s="82" t="s">
        <v>35</v>
      </c>
      <c r="I89" s="29" t="e" cm="1">
        <f t="array" ref="I89">INDEX('[2]GLORY SHANGHAI V.2551SN'!$E$3:$E$63,MATCH(C89,'[2]GLORY SHANGHAI V.2551SN'!$C$3:$C$63,0),0)</f>
        <v>#N/A</v>
      </c>
      <c r="J89" s="30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s="29" customFormat="1" ht="18" customHeight="1" x14ac:dyDescent="0.25">
      <c r="A90" s="40">
        <v>80</v>
      </c>
      <c r="B90" s="65">
        <v>46022</v>
      </c>
      <c r="C90" s="72" t="s">
        <v>128</v>
      </c>
      <c r="D90" s="72">
        <v>20</v>
      </c>
      <c r="E90" s="71" t="s">
        <v>20</v>
      </c>
      <c r="F90" s="72" t="s">
        <v>31</v>
      </c>
      <c r="G90" s="84">
        <v>175000</v>
      </c>
      <c r="H90" s="82" t="s">
        <v>35</v>
      </c>
      <c r="I90" s="29" t="s">
        <v>272</v>
      </c>
      <c r="J90" s="30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s="29" customFormat="1" ht="18" customHeight="1" x14ac:dyDescent="0.25">
      <c r="A91" s="40">
        <v>81</v>
      </c>
      <c r="B91" s="65">
        <v>46022</v>
      </c>
      <c r="C91" s="72" t="s">
        <v>129</v>
      </c>
      <c r="D91" s="72">
        <v>20</v>
      </c>
      <c r="E91" s="71" t="s">
        <v>20</v>
      </c>
      <c r="F91" s="72" t="s">
        <v>31</v>
      </c>
      <c r="G91" s="84">
        <v>175000</v>
      </c>
      <c r="H91" s="82" t="s">
        <v>35</v>
      </c>
      <c r="I91" s="29" t="s">
        <v>272</v>
      </c>
      <c r="J91" s="30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s="29" customFormat="1" ht="18" customHeight="1" x14ac:dyDescent="0.25">
      <c r="A92" s="40">
        <v>82</v>
      </c>
      <c r="B92" s="65">
        <v>46022</v>
      </c>
      <c r="C92" s="115" t="s">
        <v>130</v>
      </c>
      <c r="D92" s="66">
        <v>40</v>
      </c>
      <c r="E92" s="71" t="s">
        <v>20</v>
      </c>
      <c r="F92" s="72" t="s">
        <v>39</v>
      </c>
      <c r="G92" s="84">
        <v>310000</v>
      </c>
      <c r="H92" s="82" t="s">
        <v>35</v>
      </c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s="29" customFormat="1" ht="18" customHeight="1" x14ac:dyDescent="0.25">
      <c r="A93" s="40">
        <v>83</v>
      </c>
      <c r="B93" s="65">
        <v>46022</v>
      </c>
      <c r="C93" s="67" t="s">
        <v>131</v>
      </c>
      <c r="D93" s="66">
        <v>40</v>
      </c>
      <c r="E93" s="71" t="s">
        <v>20</v>
      </c>
      <c r="F93" s="66" t="s">
        <v>39</v>
      </c>
      <c r="G93" s="84">
        <v>310000</v>
      </c>
      <c r="H93" s="82" t="s">
        <v>30</v>
      </c>
      <c r="I93" s="29" t="s">
        <v>270</v>
      </c>
      <c r="J93" s="30" cm="1">
        <f t="array" ref="J93">INDEX('[1]Container List'!$G$18:$G$318,MATCH(C93,'[1]Container List'!$C$18:$C$318,0),0)</f>
        <v>4200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s="29" customFormat="1" ht="18" customHeight="1" x14ac:dyDescent="0.25">
      <c r="A94" s="40">
        <v>84</v>
      </c>
      <c r="B94" s="65">
        <v>46022</v>
      </c>
      <c r="C94" s="64" t="s">
        <v>32</v>
      </c>
      <c r="D94" s="64">
        <v>40</v>
      </c>
      <c r="E94" s="80" t="s">
        <v>20</v>
      </c>
      <c r="F94" s="63" t="s">
        <v>34</v>
      </c>
      <c r="G94" s="84">
        <v>330000</v>
      </c>
      <c r="H94" s="82" t="s">
        <v>26</v>
      </c>
      <c r="I94" s="29" t="s">
        <v>272</v>
      </c>
      <c r="J94" s="30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s="29" customFormat="1" ht="18" customHeight="1" x14ac:dyDescent="0.25">
      <c r="A95" s="40">
        <v>85</v>
      </c>
      <c r="B95" s="65">
        <v>46022</v>
      </c>
      <c r="C95" s="64" t="s">
        <v>132</v>
      </c>
      <c r="D95" s="64">
        <v>40</v>
      </c>
      <c r="E95" s="80" t="s">
        <v>20</v>
      </c>
      <c r="F95" s="63" t="s">
        <v>34</v>
      </c>
      <c r="G95" s="84">
        <v>330000</v>
      </c>
      <c r="H95" s="82" t="s">
        <v>26</v>
      </c>
      <c r="I95" s="29" t="s">
        <v>272</v>
      </c>
      <c r="J95" s="30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22" s="29" customFormat="1" ht="18" customHeight="1" x14ac:dyDescent="0.25">
      <c r="A96" s="40">
        <v>86</v>
      </c>
      <c r="B96" s="65">
        <v>46022</v>
      </c>
      <c r="C96" s="67" t="s">
        <v>133</v>
      </c>
      <c r="D96" s="66">
        <v>40</v>
      </c>
      <c r="E96" s="71" t="s">
        <v>20</v>
      </c>
      <c r="F96" s="66" t="s">
        <v>39</v>
      </c>
      <c r="G96" s="84">
        <v>310000</v>
      </c>
      <c r="H96" s="82" t="s">
        <v>36</v>
      </c>
      <c r="I96" s="29" t="s">
        <v>270</v>
      </c>
      <c r="J96" s="30" cm="1">
        <f t="array" ref="J96">INDEX('[1]Container List'!$G$18:$G$318,MATCH(C96,'[1]Container List'!$C$18:$C$318,0),0)</f>
        <v>4200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s="29" customFormat="1" ht="18" customHeight="1" x14ac:dyDescent="0.25">
      <c r="A97" s="40">
        <v>87</v>
      </c>
      <c r="B97" s="43">
        <v>46022</v>
      </c>
      <c r="C97" s="44" t="s">
        <v>143</v>
      </c>
      <c r="D97" s="44">
        <v>40</v>
      </c>
      <c r="E97" s="76" t="s">
        <v>20</v>
      </c>
      <c r="F97" s="46" t="s">
        <v>34</v>
      </c>
      <c r="G97" s="47">
        <v>330000</v>
      </c>
      <c r="H97" s="44" t="s">
        <v>21</v>
      </c>
      <c r="I97" s="29" t="s">
        <v>272</v>
      </c>
      <c r="J97" s="30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s="29" customFormat="1" ht="18" customHeight="1" x14ac:dyDescent="0.25">
      <c r="A98" s="40">
        <v>88</v>
      </c>
      <c r="B98" s="43">
        <v>46022</v>
      </c>
      <c r="C98" s="49" t="s">
        <v>144</v>
      </c>
      <c r="D98" s="44">
        <v>40</v>
      </c>
      <c r="E98" s="76" t="s">
        <v>20</v>
      </c>
      <c r="F98" s="46" t="s">
        <v>34</v>
      </c>
      <c r="G98" s="47">
        <v>330000</v>
      </c>
      <c r="H98" s="44" t="s">
        <v>21</v>
      </c>
      <c r="I98" s="29" t="s">
        <v>272</v>
      </c>
      <c r="J98" s="30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s="29" customFormat="1" ht="18" customHeight="1" x14ac:dyDescent="0.25">
      <c r="A99" s="40">
        <v>89</v>
      </c>
      <c r="B99" s="43">
        <v>46022</v>
      </c>
      <c r="C99" s="50" t="s">
        <v>145</v>
      </c>
      <c r="D99" s="44">
        <v>40</v>
      </c>
      <c r="E99" s="76" t="s">
        <v>20</v>
      </c>
      <c r="F99" s="46" t="s">
        <v>34</v>
      </c>
      <c r="G99" s="47">
        <v>330000</v>
      </c>
      <c r="H99" s="44" t="s">
        <v>21</v>
      </c>
      <c r="I99" s="29" t="s">
        <v>273</v>
      </c>
      <c r="J99" s="30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s="29" customFormat="1" ht="18" customHeight="1" x14ac:dyDescent="0.25">
      <c r="A100" s="40">
        <v>90</v>
      </c>
      <c r="B100" s="43">
        <v>46022</v>
      </c>
      <c r="C100" s="50" t="s">
        <v>146</v>
      </c>
      <c r="D100" s="50">
        <v>20</v>
      </c>
      <c r="E100" s="78" t="s">
        <v>20</v>
      </c>
      <c r="F100" s="46" t="s">
        <v>34</v>
      </c>
      <c r="G100" s="51">
        <v>175000</v>
      </c>
      <c r="H100" s="50" t="s">
        <v>28</v>
      </c>
      <c r="I100" s="29" t="s">
        <v>272</v>
      </c>
      <c r="J100" s="30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s="29" customFormat="1" ht="18" customHeight="1" x14ac:dyDescent="0.25">
      <c r="A101" s="40">
        <v>91</v>
      </c>
      <c r="B101" s="43">
        <v>46022</v>
      </c>
      <c r="C101" s="50" t="s">
        <v>147</v>
      </c>
      <c r="D101" s="50">
        <v>20</v>
      </c>
      <c r="E101" s="78" t="s">
        <v>20</v>
      </c>
      <c r="F101" s="46" t="s">
        <v>34</v>
      </c>
      <c r="G101" s="51">
        <v>175000</v>
      </c>
      <c r="H101" s="50" t="s">
        <v>28</v>
      </c>
      <c r="I101" s="29" t="e" cm="1">
        <f t="array" ref="I101">INDEX('[2]GLORY SHANGHAI V.2551SN'!$E$3:$E$63,MATCH(C101,'[2]GLORY SHANGHAI V.2551SN'!$C$3:$C$63,0),0)</f>
        <v>#N/A</v>
      </c>
      <c r="J101" s="30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s="29" customFormat="1" ht="18" customHeight="1" x14ac:dyDescent="0.25">
      <c r="A102" s="40">
        <v>92</v>
      </c>
      <c r="B102" s="43">
        <v>46022</v>
      </c>
      <c r="C102" s="50" t="s">
        <v>148</v>
      </c>
      <c r="D102" s="50">
        <v>20</v>
      </c>
      <c r="E102" s="78" t="s">
        <v>20</v>
      </c>
      <c r="F102" s="46" t="s">
        <v>34</v>
      </c>
      <c r="G102" s="51">
        <v>175000</v>
      </c>
      <c r="H102" s="50" t="s">
        <v>28</v>
      </c>
      <c r="I102" s="29" t="s">
        <v>272</v>
      </c>
      <c r="J102" s="30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s="29" customFormat="1" ht="18" customHeight="1" x14ac:dyDescent="0.25">
      <c r="A103" s="40">
        <v>93</v>
      </c>
      <c r="B103" s="43">
        <v>46022</v>
      </c>
      <c r="C103" s="50" t="s">
        <v>149</v>
      </c>
      <c r="D103" s="50">
        <v>20</v>
      </c>
      <c r="E103" s="78" t="s">
        <v>20</v>
      </c>
      <c r="F103" s="46" t="s">
        <v>34</v>
      </c>
      <c r="G103" s="51">
        <v>175000</v>
      </c>
      <c r="H103" s="50" t="s">
        <v>28</v>
      </c>
      <c r="I103" s="29" t="e" cm="1">
        <f t="array" ref="I103">INDEX('[2]GLORY SHANGHAI V.2551SN'!$E$3:$E$63,MATCH(C103,'[2]GLORY SHANGHAI V.2551SN'!$C$3:$C$63,0),0)</f>
        <v>#N/A</v>
      </c>
      <c r="J103" s="30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s="29" customFormat="1" ht="18" customHeight="1" x14ac:dyDescent="0.25">
      <c r="A104" s="40">
        <v>94</v>
      </c>
      <c r="B104" s="43">
        <v>46022</v>
      </c>
      <c r="C104" s="49" t="s">
        <v>150</v>
      </c>
      <c r="D104" s="50">
        <v>40</v>
      </c>
      <c r="E104" s="50" t="s">
        <v>20</v>
      </c>
      <c r="F104" s="46" t="s">
        <v>34</v>
      </c>
      <c r="G104" s="51">
        <v>330000</v>
      </c>
      <c r="H104" s="50" t="s">
        <v>28</v>
      </c>
      <c r="I104" s="29" t="s">
        <v>272</v>
      </c>
      <c r="J104" s="30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s="29" customFormat="1" ht="18" customHeight="1" x14ac:dyDescent="0.25">
      <c r="A105" s="40">
        <v>95</v>
      </c>
      <c r="B105" s="48">
        <v>46022</v>
      </c>
      <c r="C105" s="50" t="s">
        <v>161</v>
      </c>
      <c r="D105" s="50">
        <v>20</v>
      </c>
      <c r="E105" s="50" t="s">
        <v>20</v>
      </c>
      <c r="F105" s="46" t="s">
        <v>34</v>
      </c>
      <c r="G105" s="51">
        <v>175000</v>
      </c>
      <c r="H105" s="50" t="s">
        <v>19</v>
      </c>
      <c r="I105" s="29" t="e" cm="1">
        <f t="array" ref="I105">INDEX('[2]GLORY SHANGHAI V.2551SN'!$E$3:$E$63,MATCH(C105,'[2]GLORY SHANGHAI V.2551SN'!$C$3:$C$63,0),0)</f>
        <v>#N/A</v>
      </c>
      <c r="J105" s="30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s="29" customFormat="1" ht="18" customHeight="1" x14ac:dyDescent="0.25">
      <c r="A106" s="40">
        <v>96</v>
      </c>
      <c r="B106" s="48">
        <v>46022</v>
      </c>
      <c r="C106" s="50" t="s">
        <v>162</v>
      </c>
      <c r="D106" s="50">
        <v>20</v>
      </c>
      <c r="E106" s="50" t="s">
        <v>20</v>
      </c>
      <c r="F106" s="46" t="s">
        <v>34</v>
      </c>
      <c r="G106" s="51">
        <v>175000</v>
      </c>
      <c r="H106" s="50" t="s">
        <v>19</v>
      </c>
      <c r="I106" s="29" t="s">
        <v>272</v>
      </c>
      <c r="J106" s="30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s="29" customFormat="1" ht="18" customHeight="1" x14ac:dyDescent="0.25">
      <c r="A107" s="40">
        <v>97</v>
      </c>
      <c r="B107" s="48">
        <v>46022</v>
      </c>
      <c r="C107" s="50" t="s">
        <v>163</v>
      </c>
      <c r="D107" s="50">
        <v>20</v>
      </c>
      <c r="E107" s="50" t="s">
        <v>20</v>
      </c>
      <c r="F107" s="46" t="s">
        <v>34</v>
      </c>
      <c r="G107" s="51">
        <v>175000</v>
      </c>
      <c r="H107" s="50" t="s">
        <v>19</v>
      </c>
      <c r="I107" s="29" t="s">
        <v>272</v>
      </c>
      <c r="J107" s="30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s="29" customFormat="1" ht="18" customHeight="1" x14ac:dyDescent="0.25">
      <c r="A108" s="40">
        <v>98</v>
      </c>
      <c r="B108" s="48">
        <v>46022</v>
      </c>
      <c r="C108" s="50" t="s">
        <v>164</v>
      </c>
      <c r="D108" s="50">
        <v>40</v>
      </c>
      <c r="E108" s="50" t="s">
        <v>20</v>
      </c>
      <c r="F108" s="46" t="s">
        <v>34</v>
      </c>
      <c r="G108" s="51">
        <v>330000</v>
      </c>
      <c r="H108" s="50" t="s">
        <v>19</v>
      </c>
      <c r="I108" s="29" t="s">
        <v>272</v>
      </c>
      <c r="J108" s="30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s="29" customFormat="1" ht="18" customHeight="1" x14ac:dyDescent="0.25">
      <c r="A109" s="40">
        <v>99</v>
      </c>
      <c r="B109" s="48">
        <v>46022</v>
      </c>
      <c r="C109" s="50" t="s">
        <v>165</v>
      </c>
      <c r="D109" s="50">
        <v>40</v>
      </c>
      <c r="E109" s="50" t="s">
        <v>20</v>
      </c>
      <c r="F109" s="46" t="s">
        <v>34</v>
      </c>
      <c r="G109" s="51">
        <v>330000</v>
      </c>
      <c r="H109" s="50" t="s">
        <v>19</v>
      </c>
      <c r="I109" s="29" t="s">
        <v>272</v>
      </c>
      <c r="J109" s="30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s="29" customFormat="1" ht="18" customHeight="1" x14ac:dyDescent="0.25">
      <c r="A110" s="40">
        <v>100</v>
      </c>
      <c r="B110" s="65">
        <v>46022</v>
      </c>
      <c r="C110" s="73" t="s">
        <v>122</v>
      </c>
      <c r="D110" s="73">
        <v>40</v>
      </c>
      <c r="E110" s="66" t="s">
        <v>20</v>
      </c>
      <c r="F110" s="73" t="s">
        <v>31</v>
      </c>
      <c r="G110" s="84">
        <v>330000</v>
      </c>
      <c r="H110" s="82" t="s">
        <v>35</v>
      </c>
      <c r="I110" s="29" t="s">
        <v>273</v>
      </c>
      <c r="J110" s="30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s="29" customFormat="1" ht="18" customHeight="1" x14ac:dyDescent="0.25">
      <c r="A111" s="40">
        <v>101</v>
      </c>
      <c r="B111" s="65">
        <v>46023</v>
      </c>
      <c r="C111" s="66" t="s">
        <v>100</v>
      </c>
      <c r="D111" s="66">
        <v>40</v>
      </c>
      <c r="E111" s="66" t="s">
        <v>20</v>
      </c>
      <c r="F111" s="66" t="s">
        <v>34</v>
      </c>
      <c r="G111" s="84">
        <v>330000</v>
      </c>
      <c r="H111" s="82" t="s">
        <v>22</v>
      </c>
      <c r="I111" s="29" t="s">
        <v>272</v>
      </c>
      <c r="J111" s="30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s="29" customFormat="1" ht="18" customHeight="1" x14ac:dyDescent="0.25">
      <c r="A112" s="40">
        <v>102</v>
      </c>
      <c r="B112" s="65">
        <v>46023</v>
      </c>
      <c r="C112" s="66" t="s">
        <v>101</v>
      </c>
      <c r="D112" s="66">
        <v>40</v>
      </c>
      <c r="E112" s="66" t="s">
        <v>20</v>
      </c>
      <c r="F112" s="66" t="s">
        <v>34</v>
      </c>
      <c r="G112" s="84">
        <v>330000</v>
      </c>
      <c r="H112" s="82" t="s">
        <v>22</v>
      </c>
      <c r="I112" s="29" t="s">
        <v>272</v>
      </c>
      <c r="J112" s="30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s="29" customFormat="1" ht="18" customHeight="1" x14ac:dyDescent="0.25">
      <c r="A113" s="40">
        <v>103</v>
      </c>
      <c r="B113" s="65">
        <v>46023</v>
      </c>
      <c r="C113" s="66" t="s">
        <v>102</v>
      </c>
      <c r="D113" s="66">
        <v>40</v>
      </c>
      <c r="E113" s="66" t="s">
        <v>20</v>
      </c>
      <c r="F113" s="66" t="s">
        <v>34</v>
      </c>
      <c r="G113" s="84">
        <v>330000</v>
      </c>
      <c r="H113" s="82" t="s">
        <v>22</v>
      </c>
      <c r="I113" s="29" t="e" cm="1">
        <f t="array" ref="I113">INDEX('[2]GLORY SHANGHAI V.2551SN'!$E$3:$E$63,MATCH(C113,'[2]GLORY SHANGHAI V.2551SN'!$C$3:$C$63,0),0)</f>
        <v>#N/A</v>
      </c>
      <c r="J113" s="30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s="29" customFormat="1" ht="18" customHeight="1" x14ac:dyDescent="0.25">
      <c r="A114" s="40">
        <v>104</v>
      </c>
      <c r="B114" s="65">
        <v>46023</v>
      </c>
      <c r="C114" s="66" t="s">
        <v>103</v>
      </c>
      <c r="D114" s="66">
        <v>20</v>
      </c>
      <c r="E114" s="66" t="s">
        <v>20</v>
      </c>
      <c r="F114" s="66" t="s">
        <v>34</v>
      </c>
      <c r="G114" s="84">
        <v>175000</v>
      </c>
      <c r="H114" s="82" t="s">
        <v>22</v>
      </c>
      <c r="I114" s="29" t="s">
        <v>272</v>
      </c>
      <c r="J114" s="30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s="29" customFormat="1" ht="18" customHeight="1" x14ac:dyDescent="0.25">
      <c r="A115" s="40">
        <v>105</v>
      </c>
      <c r="B115" s="65">
        <v>46023</v>
      </c>
      <c r="C115" s="66" t="s">
        <v>104</v>
      </c>
      <c r="D115" s="66">
        <v>20</v>
      </c>
      <c r="E115" s="66" t="s">
        <v>20</v>
      </c>
      <c r="F115" s="66" t="s">
        <v>34</v>
      </c>
      <c r="G115" s="84">
        <v>175000</v>
      </c>
      <c r="H115" s="82" t="s">
        <v>22</v>
      </c>
      <c r="I115" s="29" t="s">
        <v>272</v>
      </c>
      <c r="J115" s="30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s="29" customFormat="1" ht="18" customHeight="1" x14ac:dyDescent="0.25">
      <c r="A116" s="40">
        <v>106</v>
      </c>
      <c r="B116" s="65">
        <v>46023</v>
      </c>
      <c r="C116" s="66" t="s">
        <v>105</v>
      </c>
      <c r="D116" s="66">
        <v>40</v>
      </c>
      <c r="E116" s="66" t="s">
        <v>20</v>
      </c>
      <c r="F116" s="66" t="s">
        <v>34</v>
      </c>
      <c r="G116" s="84">
        <v>330000</v>
      </c>
      <c r="H116" s="82" t="s">
        <v>22</v>
      </c>
      <c r="I116" s="29" t="e" cm="1">
        <f t="array" ref="I116">INDEX('[2]GLORY SHANGHAI V.2551SN'!$E$3:$E$63,MATCH(C116,'[2]GLORY SHANGHAI V.2551SN'!$C$3:$C$63,0),0)</f>
        <v>#N/A</v>
      </c>
      <c r="J116" s="30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s="29" customFormat="1" ht="18" customHeight="1" x14ac:dyDescent="0.25">
      <c r="A117" s="40">
        <v>107</v>
      </c>
      <c r="B117" s="65">
        <v>46023</v>
      </c>
      <c r="C117" s="69" t="s">
        <v>106</v>
      </c>
      <c r="D117" s="66">
        <v>40</v>
      </c>
      <c r="E117" s="66" t="s">
        <v>20</v>
      </c>
      <c r="F117" s="66" t="s">
        <v>34</v>
      </c>
      <c r="G117" s="84">
        <v>330000</v>
      </c>
      <c r="H117" s="82" t="s">
        <v>22</v>
      </c>
      <c r="I117" s="29" t="s">
        <v>272</v>
      </c>
      <c r="J117" s="30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s="29" customFormat="1" ht="18" customHeight="1" x14ac:dyDescent="0.25">
      <c r="A118" s="40">
        <v>108</v>
      </c>
      <c r="B118" s="65">
        <v>46023</v>
      </c>
      <c r="C118" s="69" t="s">
        <v>27</v>
      </c>
      <c r="D118" s="66">
        <v>40</v>
      </c>
      <c r="E118" s="66" t="s">
        <v>20</v>
      </c>
      <c r="F118" s="66" t="s">
        <v>34</v>
      </c>
      <c r="G118" s="84">
        <v>330000</v>
      </c>
      <c r="H118" s="82" t="s">
        <v>29</v>
      </c>
      <c r="I118" s="29" t="s">
        <v>272</v>
      </c>
      <c r="J118" s="30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s="29" customFormat="1" ht="18" customHeight="1" x14ac:dyDescent="0.25">
      <c r="A119" s="40">
        <v>109</v>
      </c>
      <c r="B119" s="65">
        <v>46023</v>
      </c>
      <c r="C119" s="69" t="s">
        <v>109</v>
      </c>
      <c r="D119" s="66">
        <v>40</v>
      </c>
      <c r="E119" s="66" t="s">
        <v>20</v>
      </c>
      <c r="F119" s="66" t="s">
        <v>34</v>
      </c>
      <c r="G119" s="84">
        <v>330000</v>
      </c>
      <c r="H119" s="82" t="s">
        <v>29</v>
      </c>
      <c r="I119" s="29" t="s">
        <v>272</v>
      </c>
      <c r="J119" s="30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s="29" customFormat="1" ht="18" customHeight="1" x14ac:dyDescent="0.25">
      <c r="A120" s="40">
        <v>110</v>
      </c>
      <c r="B120" s="65">
        <v>46023</v>
      </c>
      <c r="C120" s="69" t="s">
        <v>110</v>
      </c>
      <c r="D120" s="66">
        <v>40</v>
      </c>
      <c r="E120" s="66" t="s">
        <v>20</v>
      </c>
      <c r="F120" s="66" t="s">
        <v>34</v>
      </c>
      <c r="G120" s="84">
        <v>330000</v>
      </c>
      <c r="H120" s="82" t="s">
        <v>29</v>
      </c>
      <c r="I120" s="29" t="e" cm="1">
        <f t="array" ref="I120">INDEX('[2]GLORY SHANGHAI V.2551SN'!$E$3:$E$63,MATCH(C120,'[2]GLORY SHANGHAI V.2551SN'!$C$3:$C$63,0),0)</f>
        <v>#N/A</v>
      </c>
      <c r="J120" s="30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s="29" customFormat="1" ht="18" customHeight="1" x14ac:dyDescent="0.25">
      <c r="A121" s="40">
        <v>111</v>
      </c>
      <c r="B121" s="65">
        <v>46023</v>
      </c>
      <c r="C121" s="73" t="s">
        <v>123</v>
      </c>
      <c r="D121" s="73">
        <v>40</v>
      </c>
      <c r="E121" s="66" t="s">
        <v>20</v>
      </c>
      <c r="F121" s="73" t="s">
        <v>31</v>
      </c>
      <c r="G121" s="84">
        <v>330000</v>
      </c>
      <c r="H121" s="82" t="s">
        <v>35</v>
      </c>
      <c r="I121" s="29" t="s">
        <v>272</v>
      </c>
      <c r="J121" s="30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s="29" customFormat="1" ht="18" customHeight="1" x14ac:dyDescent="0.25">
      <c r="A122" s="40">
        <v>112</v>
      </c>
      <c r="B122" s="43">
        <v>46023</v>
      </c>
      <c r="C122" s="44" t="s">
        <v>134</v>
      </c>
      <c r="D122" s="44">
        <v>40</v>
      </c>
      <c r="E122" s="44" t="s">
        <v>20</v>
      </c>
      <c r="F122" s="46" t="s">
        <v>34</v>
      </c>
      <c r="G122" s="47">
        <v>330000</v>
      </c>
      <c r="H122" s="44" t="s">
        <v>26</v>
      </c>
      <c r="I122" s="29" t="s">
        <v>272</v>
      </c>
      <c r="J122" s="30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s="29" customFormat="1" ht="18" customHeight="1" x14ac:dyDescent="0.25">
      <c r="A123" s="40">
        <v>113</v>
      </c>
      <c r="B123" s="43">
        <v>46023</v>
      </c>
      <c r="C123" s="44" t="s">
        <v>135</v>
      </c>
      <c r="D123" s="44">
        <v>40</v>
      </c>
      <c r="E123" s="44" t="s">
        <v>20</v>
      </c>
      <c r="F123" s="46" t="s">
        <v>34</v>
      </c>
      <c r="G123" s="47">
        <v>330000</v>
      </c>
      <c r="H123" s="44" t="s">
        <v>26</v>
      </c>
      <c r="I123" s="29" t="s">
        <v>272</v>
      </c>
      <c r="J123" s="30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s="29" customFormat="1" ht="18" customHeight="1" x14ac:dyDescent="0.25">
      <c r="A124" s="40">
        <v>114</v>
      </c>
      <c r="B124" s="43">
        <v>46023</v>
      </c>
      <c r="C124" s="44" t="s">
        <v>136</v>
      </c>
      <c r="D124" s="44">
        <v>40</v>
      </c>
      <c r="E124" s="44" t="s">
        <v>20</v>
      </c>
      <c r="F124" s="46" t="s">
        <v>34</v>
      </c>
      <c r="G124" s="47">
        <v>330000</v>
      </c>
      <c r="H124" s="44" t="s">
        <v>26</v>
      </c>
      <c r="I124" s="29" t="e" cm="1">
        <f t="array" ref="I124">INDEX('[2]GLORY SHANGHAI V.2551SN'!$E$3:$E$63,MATCH(C124,'[2]GLORY SHANGHAI V.2551SN'!$C$3:$C$63,0),0)</f>
        <v>#N/A</v>
      </c>
      <c r="J124" s="30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s="29" customFormat="1" ht="18" customHeight="1" x14ac:dyDescent="0.25">
      <c r="A125" s="40">
        <v>115</v>
      </c>
      <c r="B125" s="43">
        <v>46023</v>
      </c>
      <c r="C125" s="44" t="s">
        <v>137</v>
      </c>
      <c r="D125" s="44">
        <v>40</v>
      </c>
      <c r="E125" s="44" t="s">
        <v>20</v>
      </c>
      <c r="F125" s="46" t="s">
        <v>34</v>
      </c>
      <c r="G125" s="47">
        <v>330000</v>
      </c>
      <c r="H125" s="44" t="s">
        <v>26</v>
      </c>
      <c r="I125" s="29" t="s">
        <v>272</v>
      </c>
      <c r="J125" s="30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s="29" customFormat="1" ht="18" customHeight="1" x14ac:dyDescent="0.25">
      <c r="A126" s="40">
        <v>116</v>
      </c>
      <c r="B126" s="43">
        <v>46023</v>
      </c>
      <c r="C126" s="44" t="s">
        <v>138</v>
      </c>
      <c r="D126" s="44">
        <v>40</v>
      </c>
      <c r="E126" s="44" t="s">
        <v>20</v>
      </c>
      <c r="F126" s="46" t="s">
        <v>34</v>
      </c>
      <c r="G126" s="47">
        <v>330000</v>
      </c>
      <c r="H126" s="44" t="s">
        <v>26</v>
      </c>
      <c r="I126" s="29" t="s">
        <v>272</v>
      </c>
      <c r="J126" s="30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s="29" customFormat="1" ht="18" customHeight="1" x14ac:dyDescent="0.25">
      <c r="A127" s="40">
        <v>117</v>
      </c>
      <c r="B127" s="43">
        <v>46023</v>
      </c>
      <c r="C127" s="44" t="s">
        <v>139</v>
      </c>
      <c r="D127" s="44">
        <v>40</v>
      </c>
      <c r="E127" s="44" t="s">
        <v>20</v>
      </c>
      <c r="F127" s="46" t="s">
        <v>34</v>
      </c>
      <c r="G127" s="47">
        <v>330000</v>
      </c>
      <c r="H127" s="44" t="s">
        <v>26</v>
      </c>
      <c r="I127" s="29" t="s">
        <v>272</v>
      </c>
      <c r="J127" s="30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s="29" customFormat="1" ht="18" customHeight="1" x14ac:dyDescent="0.25">
      <c r="A128" s="40">
        <v>118</v>
      </c>
      <c r="B128" s="43">
        <v>46023</v>
      </c>
      <c r="C128" s="44" t="s">
        <v>140</v>
      </c>
      <c r="D128" s="44">
        <v>40</v>
      </c>
      <c r="E128" s="44" t="s">
        <v>20</v>
      </c>
      <c r="F128" s="46" t="s">
        <v>34</v>
      </c>
      <c r="G128" s="47">
        <v>330000</v>
      </c>
      <c r="H128" s="44" t="s">
        <v>21</v>
      </c>
      <c r="I128" s="29" t="s">
        <v>272</v>
      </c>
      <c r="J128" s="30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s="29" customFormat="1" ht="18" customHeight="1" x14ac:dyDescent="0.25">
      <c r="A129" s="40">
        <v>119</v>
      </c>
      <c r="B129" s="43">
        <v>46023</v>
      </c>
      <c r="C129" s="75" t="s">
        <v>141</v>
      </c>
      <c r="D129" s="44">
        <v>40</v>
      </c>
      <c r="E129" s="44" t="s">
        <v>20</v>
      </c>
      <c r="F129" s="46" t="s">
        <v>34</v>
      </c>
      <c r="G129" s="47">
        <v>330000</v>
      </c>
      <c r="H129" s="44" t="s">
        <v>21</v>
      </c>
      <c r="I129" s="29" t="s">
        <v>272</v>
      </c>
      <c r="J129" s="30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s="29" customFormat="1" ht="18" customHeight="1" x14ac:dyDescent="0.25">
      <c r="A130" s="40">
        <v>120</v>
      </c>
      <c r="B130" s="43">
        <v>46023</v>
      </c>
      <c r="C130" s="44" t="s">
        <v>142</v>
      </c>
      <c r="D130" s="44">
        <v>40</v>
      </c>
      <c r="E130" s="44" t="s">
        <v>20</v>
      </c>
      <c r="F130" s="46" t="s">
        <v>34</v>
      </c>
      <c r="G130" s="47">
        <v>330000</v>
      </c>
      <c r="H130" s="44" t="s">
        <v>21</v>
      </c>
      <c r="I130" s="29" t="s">
        <v>272</v>
      </c>
      <c r="J130" s="30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s="29" customFormat="1" ht="18" customHeight="1" x14ac:dyDescent="0.25">
      <c r="A131" s="40">
        <v>121</v>
      </c>
      <c r="B131" s="48">
        <v>46023</v>
      </c>
      <c r="C131" s="49" t="s">
        <v>151</v>
      </c>
      <c r="D131" s="50">
        <v>40</v>
      </c>
      <c r="E131" s="50" t="s">
        <v>20</v>
      </c>
      <c r="F131" s="46" t="s">
        <v>34</v>
      </c>
      <c r="G131" s="51">
        <v>330000</v>
      </c>
      <c r="H131" s="50" t="s">
        <v>28</v>
      </c>
      <c r="I131" s="29" t="s">
        <v>272</v>
      </c>
      <c r="J131" s="30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s="29" customFormat="1" ht="18" customHeight="1" x14ac:dyDescent="0.25">
      <c r="A132" s="40">
        <v>122</v>
      </c>
      <c r="B132" s="48">
        <v>46023</v>
      </c>
      <c r="C132" s="49" t="s">
        <v>152</v>
      </c>
      <c r="D132" s="50">
        <v>40</v>
      </c>
      <c r="E132" s="50" t="s">
        <v>20</v>
      </c>
      <c r="F132" s="46" t="s">
        <v>34</v>
      </c>
      <c r="G132" s="51">
        <v>330000</v>
      </c>
      <c r="H132" s="50" t="s">
        <v>28</v>
      </c>
      <c r="I132" s="29" t="e" cm="1">
        <f t="array" ref="I132">INDEX('[2]GLORY SHANGHAI V.2551SN'!$E$3:$E$63,MATCH(C132,'[2]GLORY SHANGHAI V.2551SN'!$C$3:$C$63,0),0)</f>
        <v>#N/A</v>
      </c>
      <c r="J132" s="30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s="29" customFormat="1" ht="18" customHeight="1" x14ac:dyDescent="0.25">
      <c r="A133" s="40">
        <v>123</v>
      </c>
      <c r="B133" s="48">
        <v>46023</v>
      </c>
      <c r="C133" s="49" t="s">
        <v>153</v>
      </c>
      <c r="D133" s="50">
        <v>40</v>
      </c>
      <c r="E133" s="50" t="s">
        <v>20</v>
      </c>
      <c r="F133" s="46" t="s">
        <v>34</v>
      </c>
      <c r="G133" s="51">
        <v>330000</v>
      </c>
      <c r="H133" s="50" t="s">
        <v>28</v>
      </c>
      <c r="I133" s="29" t="e" cm="1">
        <f t="array" ref="I133">INDEX('[2]GLORY SHANGHAI V.2551SN'!$E$3:$E$63,MATCH(C133,'[2]GLORY SHANGHAI V.2551SN'!$C$3:$C$63,0),0)</f>
        <v>#N/A</v>
      </c>
      <c r="J133" s="30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s="29" customFormat="1" ht="18" customHeight="1" x14ac:dyDescent="0.25">
      <c r="A134" s="40">
        <v>124</v>
      </c>
      <c r="B134" s="48">
        <v>46023</v>
      </c>
      <c r="C134" s="49" t="s">
        <v>154</v>
      </c>
      <c r="D134" s="50">
        <v>40</v>
      </c>
      <c r="E134" s="50" t="s">
        <v>20</v>
      </c>
      <c r="F134" s="46" t="s">
        <v>34</v>
      </c>
      <c r="G134" s="51">
        <v>330000</v>
      </c>
      <c r="H134" s="50" t="s">
        <v>28</v>
      </c>
      <c r="I134" s="29" t="e" cm="1">
        <f t="array" ref="I134">INDEX('[2]GLORY SHANGHAI V.2551SN'!$E$3:$E$63,MATCH(C134,'[2]GLORY SHANGHAI V.2551SN'!$C$3:$C$63,0),0)</f>
        <v>#N/A</v>
      </c>
      <c r="J134" s="30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s="29" customFormat="1" ht="18" customHeight="1" x14ac:dyDescent="0.25">
      <c r="A135" s="40">
        <v>125</v>
      </c>
      <c r="B135" s="48">
        <v>46023</v>
      </c>
      <c r="C135" s="49" t="s">
        <v>155</v>
      </c>
      <c r="D135" s="50">
        <v>40</v>
      </c>
      <c r="E135" s="50" t="s">
        <v>20</v>
      </c>
      <c r="F135" s="46" t="s">
        <v>34</v>
      </c>
      <c r="G135" s="51">
        <v>330000</v>
      </c>
      <c r="H135" s="50" t="s">
        <v>28</v>
      </c>
      <c r="I135" s="29" t="s">
        <v>272</v>
      </c>
      <c r="J135" s="30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s="29" customFormat="1" ht="18" customHeight="1" x14ac:dyDescent="0.25">
      <c r="A136" s="40">
        <v>126</v>
      </c>
      <c r="B136" s="48">
        <v>46023</v>
      </c>
      <c r="C136" s="50" t="s">
        <v>156</v>
      </c>
      <c r="D136" s="50">
        <v>40</v>
      </c>
      <c r="E136" s="50" t="s">
        <v>20</v>
      </c>
      <c r="F136" s="46" t="s">
        <v>34</v>
      </c>
      <c r="G136" s="51">
        <v>330000</v>
      </c>
      <c r="H136" s="50" t="s">
        <v>28</v>
      </c>
      <c r="I136" s="29" t="s">
        <v>272</v>
      </c>
      <c r="J136" s="30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s="29" customFormat="1" ht="18" customHeight="1" x14ac:dyDescent="0.25">
      <c r="A137" s="40">
        <v>127</v>
      </c>
      <c r="B137" s="48">
        <v>46023</v>
      </c>
      <c r="C137" s="50" t="s">
        <v>157</v>
      </c>
      <c r="D137" s="50">
        <v>40</v>
      </c>
      <c r="E137" s="50" t="s">
        <v>20</v>
      </c>
      <c r="F137" s="46" t="s">
        <v>34</v>
      </c>
      <c r="G137" s="51">
        <v>330000</v>
      </c>
      <c r="H137" s="50" t="s">
        <v>28</v>
      </c>
      <c r="I137" s="29" t="s">
        <v>272</v>
      </c>
      <c r="J137" s="30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s="29" customFormat="1" ht="18" customHeight="1" x14ac:dyDescent="0.25">
      <c r="A138" s="40">
        <v>128</v>
      </c>
      <c r="B138" s="48">
        <v>46023</v>
      </c>
      <c r="C138" s="50" t="s">
        <v>158</v>
      </c>
      <c r="D138" s="50">
        <v>20</v>
      </c>
      <c r="E138" s="50" t="s">
        <v>20</v>
      </c>
      <c r="F138" s="46" t="s">
        <v>34</v>
      </c>
      <c r="G138" s="51">
        <v>175000</v>
      </c>
      <c r="H138" s="50" t="s">
        <v>19</v>
      </c>
      <c r="I138" s="29" t="s">
        <v>272</v>
      </c>
      <c r="J138" s="30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s="29" customFormat="1" ht="18" customHeight="1" x14ac:dyDescent="0.25">
      <c r="A139" s="40">
        <v>129</v>
      </c>
      <c r="B139" s="48">
        <v>46023</v>
      </c>
      <c r="C139" s="50" t="s">
        <v>159</v>
      </c>
      <c r="D139" s="50">
        <v>20</v>
      </c>
      <c r="E139" s="50" t="s">
        <v>20</v>
      </c>
      <c r="F139" s="46" t="s">
        <v>34</v>
      </c>
      <c r="G139" s="51">
        <v>175000</v>
      </c>
      <c r="H139" s="50" t="s">
        <v>19</v>
      </c>
      <c r="I139" s="29" t="s">
        <v>272</v>
      </c>
      <c r="J139" s="30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s="29" customFormat="1" ht="18" customHeight="1" x14ac:dyDescent="0.25">
      <c r="A140" s="40">
        <v>130</v>
      </c>
      <c r="B140" s="48">
        <v>46023</v>
      </c>
      <c r="C140" s="50" t="s">
        <v>160</v>
      </c>
      <c r="D140" s="50">
        <v>20</v>
      </c>
      <c r="E140" s="50" t="s">
        <v>20</v>
      </c>
      <c r="F140" s="46" t="s">
        <v>34</v>
      </c>
      <c r="G140" s="51">
        <v>175000</v>
      </c>
      <c r="H140" s="50" t="s">
        <v>19</v>
      </c>
      <c r="I140" s="29" t="e" cm="1">
        <f t="array" ref="I140">INDEX('[2]GLORY SHANGHAI V.2551SN'!$E$3:$E$63,MATCH(C140,'[2]GLORY SHANGHAI V.2551SN'!$C$3:$C$63,0),0)</f>
        <v>#N/A</v>
      </c>
      <c r="J140" s="30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s="29" customFormat="1" ht="18" customHeight="1" x14ac:dyDescent="0.25">
      <c r="A141" s="40">
        <v>131</v>
      </c>
      <c r="B141" s="48">
        <v>46023</v>
      </c>
      <c r="C141" s="50" t="s">
        <v>166</v>
      </c>
      <c r="D141" s="50">
        <v>40</v>
      </c>
      <c r="E141" s="50" t="s">
        <v>20</v>
      </c>
      <c r="F141" s="46" t="s">
        <v>34</v>
      </c>
      <c r="G141" s="51">
        <v>330000</v>
      </c>
      <c r="H141" s="50" t="s">
        <v>19</v>
      </c>
      <c r="I141" s="29" t="s">
        <v>272</v>
      </c>
      <c r="J141" s="30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s="29" customFormat="1" ht="18" customHeight="1" x14ac:dyDescent="0.25">
      <c r="A142" s="40">
        <v>132</v>
      </c>
      <c r="B142" s="48">
        <v>46023</v>
      </c>
      <c r="C142" s="50" t="s">
        <v>167</v>
      </c>
      <c r="D142" s="50">
        <v>40</v>
      </c>
      <c r="E142" s="50" t="s">
        <v>20</v>
      </c>
      <c r="F142" s="46" t="s">
        <v>34</v>
      </c>
      <c r="G142" s="51">
        <v>330000</v>
      </c>
      <c r="H142" s="50" t="s">
        <v>19</v>
      </c>
      <c r="I142" s="29" t="s">
        <v>272</v>
      </c>
      <c r="J142" s="30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s="29" customFormat="1" ht="18" customHeight="1" x14ac:dyDescent="0.25">
      <c r="A143" s="40">
        <v>133</v>
      </c>
      <c r="B143" s="48">
        <v>46023</v>
      </c>
      <c r="C143" s="50" t="s">
        <v>168</v>
      </c>
      <c r="D143" s="50">
        <v>40</v>
      </c>
      <c r="E143" s="50" t="s">
        <v>20</v>
      </c>
      <c r="F143" s="46" t="s">
        <v>34</v>
      </c>
      <c r="G143" s="51">
        <v>330000</v>
      </c>
      <c r="H143" s="50" t="s">
        <v>19</v>
      </c>
      <c r="I143" s="29" t="e" cm="1">
        <f t="array" ref="I143">INDEX('[2]GLORY SHANGHAI V.2551SN'!$E$3:$E$63,MATCH(C143,'[2]GLORY SHANGHAI V.2551SN'!$C$3:$C$63,0),0)</f>
        <v>#N/A</v>
      </c>
      <c r="J143" s="30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s="29" customFormat="1" ht="18" customHeight="1" x14ac:dyDescent="0.25">
      <c r="A144" s="40">
        <v>134</v>
      </c>
      <c r="B144" s="48">
        <v>46023</v>
      </c>
      <c r="C144" s="50" t="s">
        <v>169</v>
      </c>
      <c r="D144" s="50">
        <v>40</v>
      </c>
      <c r="E144" s="50" t="s">
        <v>20</v>
      </c>
      <c r="F144" s="46" t="s">
        <v>34</v>
      </c>
      <c r="G144" s="51">
        <v>330000</v>
      </c>
      <c r="H144" s="50" t="s">
        <v>19</v>
      </c>
      <c r="I144" s="29" t="e" cm="1">
        <f t="array" ref="I144">INDEX('[2]GLORY SHANGHAI V.2551SN'!$E$3:$E$63,MATCH(C144,'[2]GLORY SHANGHAI V.2551SN'!$C$3:$C$63,0),0)</f>
        <v>#N/A</v>
      </c>
      <c r="J144" s="30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s="29" customFormat="1" ht="18" customHeight="1" x14ac:dyDescent="0.25">
      <c r="A145" s="40">
        <v>135</v>
      </c>
      <c r="B145" s="48">
        <v>46023</v>
      </c>
      <c r="C145" s="50" t="s">
        <v>33</v>
      </c>
      <c r="D145" s="50">
        <v>40</v>
      </c>
      <c r="E145" s="50" t="s">
        <v>20</v>
      </c>
      <c r="F145" s="46" t="s">
        <v>34</v>
      </c>
      <c r="G145" s="51">
        <v>330000</v>
      </c>
      <c r="H145" s="50" t="s">
        <v>19</v>
      </c>
      <c r="I145" s="29" t="s">
        <v>272</v>
      </c>
      <c r="J145" s="30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s="29" customFormat="1" ht="18" customHeight="1" x14ac:dyDescent="0.25">
      <c r="A146" s="40">
        <v>136</v>
      </c>
      <c r="B146" s="54">
        <v>46023</v>
      </c>
      <c r="C146" s="79" t="s">
        <v>170</v>
      </c>
      <c r="D146" s="79">
        <v>40</v>
      </c>
      <c r="E146" s="77" t="s">
        <v>20</v>
      </c>
      <c r="F146" s="79" t="s">
        <v>31</v>
      </c>
      <c r="G146" s="45">
        <v>330000</v>
      </c>
      <c r="H146" s="53" t="s">
        <v>30</v>
      </c>
      <c r="I146" s="29" t="s">
        <v>272</v>
      </c>
      <c r="J146" s="30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s="29" customFormat="1" ht="18" customHeight="1" x14ac:dyDescent="0.25">
      <c r="A147" s="40">
        <v>137</v>
      </c>
      <c r="B147" s="54">
        <v>46023</v>
      </c>
      <c r="C147" s="79" t="s">
        <v>171</v>
      </c>
      <c r="D147" s="79">
        <v>40</v>
      </c>
      <c r="E147" s="77" t="s">
        <v>20</v>
      </c>
      <c r="F147" s="79" t="s">
        <v>31</v>
      </c>
      <c r="G147" s="45">
        <v>330000</v>
      </c>
      <c r="H147" s="53" t="s">
        <v>30</v>
      </c>
      <c r="I147" s="29" t="s">
        <v>272</v>
      </c>
      <c r="J147" s="30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s="29" customFormat="1" ht="18" customHeight="1" x14ac:dyDescent="0.25">
      <c r="A148" s="40">
        <v>138</v>
      </c>
      <c r="B148" s="54">
        <v>46023</v>
      </c>
      <c r="C148" s="79" t="s">
        <v>172</v>
      </c>
      <c r="D148" s="79">
        <v>40</v>
      </c>
      <c r="E148" s="77" t="s">
        <v>20</v>
      </c>
      <c r="F148" s="79" t="s">
        <v>31</v>
      </c>
      <c r="G148" s="45">
        <v>330000</v>
      </c>
      <c r="H148" s="53" t="s">
        <v>30</v>
      </c>
      <c r="I148" s="29" t="e" cm="1">
        <f t="array" ref="I148">INDEX('[2]GLORY SHANGHAI V.2551SN'!$E$3:$E$63,MATCH(C148,'[2]GLORY SHANGHAI V.2551SN'!$C$3:$C$63,0),0)</f>
        <v>#N/A</v>
      </c>
      <c r="J148" s="30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s="29" customFormat="1" ht="18" customHeight="1" x14ac:dyDescent="0.25">
      <c r="A149" s="40">
        <v>139</v>
      </c>
      <c r="B149" s="54">
        <v>46023</v>
      </c>
      <c r="C149" s="79" t="s">
        <v>173</v>
      </c>
      <c r="D149" s="79">
        <v>40</v>
      </c>
      <c r="E149" s="77" t="s">
        <v>20</v>
      </c>
      <c r="F149" s="79" t="s">
        <v>31</v>
      </c>
      <c r="G149" s="45">
        <v>330000</v>
      </c>
      <c r="H149" s="53" t="s">
        <v>30</v>
      </c>
      <c r="I149" s="29" t="s">
        <v>272</v>
      </c>
      <c r="J149" s="30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s="29" customFormat="1" ht="18" customHeight="1" x14ac:dyDescent="0.25">
      <c r="A150" s="40">
        <v>140</v>
      </c>
      <c r="B150" s="54">
        <v>46023</v>
      </c>
      <c r="C150" s="79" t="s">
        <v>174</v>
      </c>
      <c r="D150" s="79">
        <v>40</v>
      </c>
      <c r="E150" s="77" t="s">
        <v>20</v>
      </c>
      <c r="F150" s="79" t="s">
        <v>31</v>
      </c>
      <c r="G150" s="45">
        <v>330000</v>
      </c>
      <c r="H150" s="53" t="s">
        <v>30</v>
      </c>
      <c r="I150" s="29" t="s">
        <v>272</v>
      </c>
      <c r="J150" s="30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s="29" customFormat="1" ht="18" customHeight="1" x14ac:dyDescent="0.25">
      <c r="A151" s="40">
        <v>141</v>
      </c>
      <c r="B151" s="54">
        <v>46023</v>
      </c>
      <c r="C151" s="79" t="s">
        <v>175</v>
      </c>
      <c r="D151" s="79">
        <v>40</v>
      </c>
      <c r="E151" s="77" t="s">
        <v>20</v>
      </c>
      <c r="F151" s="79" t="s">
        <v>31</v>
      </c>
      <c r="G151" s="45">
        <v>330000</v>
      </c>
      <c r="H151" s="53" t="s">
        <v>30</v>
      </c>
      <c r="I151" s="29" t="s">
        <v>272</v>
      </c>
      <c r="J151" s="30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s="29" customFormat="1" ht="18" customHeight="1" x14ac:dyDescent="0.25">
      <c r="A152" s="40">
        <v>142</v>
      </c>
      <c r="B152" s="54">
        <v>46029</v>
      </c>
      <c r="C152" s="53" t="s">
        <v>176</v>
      </c>
      <c r="D152" s="53">
        <v>40</v>
      </c>
      <c r="E152" s="53" t="s">
        <v>20</v>
      </c>
      <c r="F152" s="53" t="s">
        <v>34</v>
      </c>
      <c r="G152" s="45">
        <v>330000</v>
      </c>
      <c r="H152" s="53" t="s">
        <v>15</v>
      </c>
      <c r="I152" s="29" t="s">
        <v>274</v>
      </c>
      <c r="J152" s="30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s="29" customFormat="1" ht="18" customHeight="1" x14ac:dyDescent="0.25">
      <c r="A153" s="40">
        <v>143</v>
      </c>
      <c r="B153" s="54">
        <v>46029</v>
      </c>
      <c r="C153" s="53" t="s">
        <v>177</v>
      </c>
      <c r="D153" s="53">
        <v>20</v>
      </c>
      <c r="E153" s="53" t="s">
        <v>20</v>
      </c>
      <c r="F153" s="53" t="s">
        <v>34</v>
      </c>
      <c r="G153" s="52">
        <v>175000</v>
      </c>
      <c r="H153" s="53" t="s">
        <v>28</v>
      </c>
      <c r="I153" s="29" t="s">
        <v>274</v>
      </c>
      <c r="J153" s="30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s="29" customFormat="1" ht="18" customHeight="1" x14ac:dyDescent="0.25">
      <c r="A154" s="40">
        <v>144</v>
      </c>
      <c r="B154" s="54">
        <v>46029</v>
      </c>
      <c r="C154" s="53" t="s">
        <v>178</v>
      </c>
      <c r="D154" s="53">
        <v>20</v>
      </c>
      <c r="E154" s="53" t="s">
        <v>20</v>
      </c>
      <c r="F154" s="53" t="s">
        <v>34</v>
      </c>
      <c r="G154" s="52">
        <v>175000</v>
      </c>
      <c r="H154" s="53" t="s">
        <v>28</v>
      </c>
      <c r="I154" s="29" t="s">
        <v>274</v>
      </c>
      <c r="J154" s="30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s="29" customFormat="1" ht="18" customHeight="1" x14ac:dyDescent="0.25">
      <c r="A155" s="40">
        <v>145</v>
      </c>
      <c r="B155" s="54">
        <v>46029</v>
      </c>
      <c r="C155" s="53" t="s">
        <v>179</v>
      </c>
      <c r="D155" s="53">
        <v>20</v>
      </c>
      <c r="E155" s="53" t="s">
        <v>20</v>
      </c>
      <c r="F155" s="53" t="s">
        <v>34</v>
      </c>
      <c r="G155" s="52">
        <v>175000</v>
      </c>
      <c r="H155" s="53" t="s">
        <v>28</v>
      </c>
      <c r="I155" s="29" t="s">
        <v>274</v>
      </c>
      <c r="J155" s="30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s="29" customFormat="1" ht="18" customHeight="1" x14ac:dyDescent="0.25">
      <c r="A156" s="40">
        <v>146</v>
      </c>
      <c r="B156" s="54">
        <v>46029</v>
      </c>
      <c r="C156" s="53" t="s">
        <v>180</v>
      </c>
      <c r="D156" s="53">
        <v>20</v>
      </c>
      <c r="E156" s="53" t="s">
        <v>20</v>
      </c>
      <c r="F156" s="53" t="s">
        <v>34</v>
      </c>
      <c r="G156" s="52">
        <v>175000</v>
      </c>
      <c r="H156" s="53" t="s">
        <v>28</v>
      </c>
      <c r="I156" s="29" t="s">
        <v>274</v>
      </c>
      <c r="J156" s="30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s="29" customFormat="1" ht="18" customHeight="1" x14ac:dyDescent="0.25">
      <c r="A157" s="40">
        <v>147</v>
      </c>
      <c r="B157" s="54">
        <v>46029</v>
      </c>
      <c r="C157" s="53" t="s">
        <v>181</v>
      </c>
      <c r="D157" s="53">
        <v>40</v>
      </c>
      <c r="E157" s="53" t="s">
        <v>20</v>
      </c>
      <c r="F157" s="53" t="s">
        <v>34</v>
      </c>
      <c r="G157" s="52">
        <v>330000</v>
      </c>
      <c r="H157" s="53" t="s">
        <v>28</v>
      </c>
      <c r="I157" s="29" t="s">
        <v>274</v>
      </c>
      <c r="J157" s="30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s="29" customFormat="1" ht="18" customHeight="1" x14ac:dyDescent="0.25">
      <c r="A158" s="40">
        <v>148</v>
      </c>
      <c r="B158" s="54">
        <v>46029</v>
      </c>
      <c r="C158" s="53" t="s">
        <v>182</v>
      </c>
      <c r="D158" s="53">
        <v>40</v>
      </c>
      <c r="E158" s="53" t="s">
        <v>20</v>
      </c>
      <c r="F158" s="53" t="s">
        <v>34</v>
      </c>
      <c r="G158" s="52">
        <v>330000</v>
      </c>
      <c r="H158" s="53" t="s">
        <v>28</v>
      </c>
      <c r="I158" s="29" t="s">
        <v>274</v>
      </c>
      <c r="J158" s="30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s="102" customFormat="1" ht="18" customHeight="1" x14ac:dyDescent="0.25">
      <c r="A159" s="98">
        <v>149</v>
      </c>
      <c r="B159" s="99">
        <v>46029</v>
      </c>
      <c r="C159" s="100" t="s">
        <v>183</v>
      </c>
      <c r="D159" s="100">
        <v>40</v>
      </c>
      <c r="E159" s="100" t="s">
        <v>20</v>
      </c>
      <c r="F159" s="100" t="s">
        <v>34</v>
      </c>
      <c r="G159" s="101">
        <v>330000</v>
      </c>
      <c r="H159" s="100" t="s">
        <v>28</v>
      </c>
      <c r="I159" s="29" t="s">
        <v>274</v>
      </c>
      <c r="J159" s="103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</row>
    <row r="160" spans="1:22" s="29" customFormat="1" ht="18" customHeight="1" x14ac:dyDescent="0.25">
      <c r="A160" s="40">
        <v>150</v>
      </c>
      <c r="B160" s="54">
        <v>46029</v>
      </c>
      <c r="C160" s="53" t="s">
        <v>184</v>
      </c>
      <c r="D160" s="53">
        <v>20</v>
      </c>
      <c r="E160" s="53" t="s">
        <v>20</v>
      </c>
      <c r="F160" s="53" t="s">
        <v>34</v>
      </c>
      <c r="G160" s="52">
        <v>175000</v>
      </c>
      <c r="H160" s="53" t="s">
        <v>22</v>
      </c>
      <c r="I160" s="29" t="s">
        <v>274</v>
      </c>
      <c r="J160" s="30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s="29" customFormat="1" ht="18" customHeight="1" x14ac:dyDescent="0.25">
      <c r="A161" s="40">
        <v>151</v>
      </c>
      <c r="B161" s="54">
        <v>46029</v>
      </c>
      <c r="C161" s="53" t="s">
        <v>185</v>
      </c>
      <c r="D161" s="53">
        <v>20</v>
      </c>
      <c r="E161" s="53" t="s">
        <v>20</v>
      </c>
      <c r="F161" s="53" t="s">
        <v>34</v>
      </c>
      <c r="G161" s="52">
        <v>175000</v>
      </c>
      <c r="H161" s="53" t="s">
        <v>22</v>
      </c>
      <c r="I161" s="29" t="s">
        <v>274</v>
      </c>
      <c r="J161" s="30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spans="1:22" s="29" customFormat="1" ht="18" customHeight="1" x14ac:dyDescent="0.25">
      <c r="A162" s="40">
        <v>152</v>
      </c>
      <c r="B162" s="54">
        <v>46029</v>
      </c>
      <c r="C162" s="53" t="s">
        <v>186</v>
      </c>
      <c r="D162" s="53">
        <v>20</v>
      </c>
      <c r="E162" s="53" t="s">
        <v>20</v>
      </c>
      <c r="F162" s="53" t="s">
        <v>34</v>
      </c>
      <c r="G162" s="52">
        <v>175000</v>
      </c>
      <c r="H162" s="53" t="s">
        <v>22</v>
      </c>
      <c r="I162" s="29" t="s">
        <v>274</v>
      </c>
      <c r="J162" s="30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s="29" customFormat="1" ht="18" customHeight="1" x14ac:dyDescent="0.25">
      <c r="A163" s="40">
        <v>153</v>
      </c>
      <c r="B163" s="54">
        <v>46029</v>
      </c>
      <c r="C163" s="53" t="s">
        <v>187</v>
      </c>
      <c r="D163" s="53">
        <v>20</v>
      </c>
      <c r="E163" s="53" t="s">
        <v>20</v>
      </c>
      <c r="F163" s="53" t="s">
        <v>34</v>
      </c>
      <c r="G163" s="52">
        <v>175000</v>
      </c>
      <c r="H163" s="53" t="s">
        <v>22</v>
      </c>
      <c r="I163" s="29" t="s">
        <v>274</v>
      </c>
      <c r="J163" s="30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s="29" customFormat="1" ht="18" customHeight="1" x14ac:dyDescent="0.25">
      <c r="A164" s="40">
        <v>154</v>
      </c>
      <c r="B164" s="54">
        <v>46030</v>
      </c>
      <c r="C164" s="55" t="s">
        <v>188</v>
      </c>
      <c r="D164" s="53">
        <v>40</v>
      </c>
      <c r="E164" s="53" t="s">
        <v>20</v>
      </c>
      <c r="F164" s="53" t="s">
        <v>34</v>
      </c>
      <c r="G164" s="45">
        <v>330000</v>
      </c>
      <c r="H164" s="53" t="s">
        <v>30</v>
      </c>
      <c r="I164" s="29" t="s">
        <v>274</v>
      </c>
      <c r="J164" s="30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s="29" customFormat="1" ht="18" customHeight="1" x14ac:dyDescent="0.25">
      <c r="A165" s="40">
        <v>155</v>
      </c>
      <c r="B165" s="54">
        <v>46029</v>
      </c>
      <c r="C165" s="55" t="s">
        <v>189</v>
      </c>
      <c r="D165" s="53">
        <v>40</v>
      </c>
      <c r="E165" s="53" t="s">
        <v>20</v>
      </c>
      <c r="F165" s="53" t="s">
        <v>34</v>
      </c>
      <c r="G165" s="45">
        <v>330000</v>
      </c>
      <c r="H165" s="53" t="s">
        <v>30</v>
      </c>
      <c r="I165" s="29" t="s">
        <v>274</v>
      </c>
      <c r="J165" s="30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s="29" customFormat="1" ht="18" customHeight="1" x14ac:dyDescent="0.25">
      <c r="A166" s="40">
        <v>156</v>
      </c>
      <c r="B166" s="54">
        <v>46029</v>
      </c>
      <c r="C166" s="85" t="s">
        <v>190</v>
      </c>
      <c r="D166" s="53">
        <v>40</v>
      </c>
      <c r="E166" s="53" t="s">
        <v>20</v>
      </c>
      <c r="F166" s="53" t="s">
        <v>34</v>
      </c>
      <c r="G166" s="45">
        <v>330000</v>
      </c>
      <c r="H166" s="53" t="s">
        <v>30</v>
      </c>
      <c r="I166" s="29" t="s">
        <v>274</v>
      </c>
      <c r="J166" s="30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s="29" customFormat="1" ht="18" customHeight="1" x14ac:dyDescent="0.25">
      <c r="A167" s="40">
        <v>157</v>
      </c>
      <c r="B167" s="54">
        <v>46029</v>
      </c>
      <c r="C167" s="85" t="s">
        <v>191</v>
      </c>
      <c r="D167" s="53">
        <v>40</v>
      </c>
      <c r="E167" s="53" t="s">
        <v>20</v>
      </c>
      <c r="F167" s="53" t="s">
        <v>34</v>
      </c>
      <c r="G167" s="45">
        <v>330000</v>
      </c>
      <c r="H167" s="53" t="s">
        <v>30</v>
      </c>
      <c r="I167" s="29" t="s">
        <v>274</v>
      </c>
      <c r="J167" s="30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s="29" customFormat="1" ht="18" customHeight="1" x14ac:dyDescent="0.25">
      <c r="A168" s="40">
        <v>158</v>
      </c>
      <c r="B168" s="54">
        <v>46029</v>
      </c>
      <c r="C168" s="55" t="s">
        <v>192</v>
      </c>
      <c r="D168" s="53">
        <v>40</v>
      </c>
      <c r="E168" s="53" t="s">
        <v>20</v>
      </c>
      <c r="F168" s="53" t="s">
        <v>34</v>
      </c>
      <c r="G168" s="45">
        <v>330000</v>
      </c>
      <c r="H168" s="53" t="s">
        <v>30</v>
      </c>
      <c r="I168" s="29" t="s">
        <v>274</v>
      </c>
      <c r="J168" s="30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s="29" customFormat="1" ht="18" customHeight="1" x14ac:dyDescent="0.25">
      <c r="A169" s="40">
        <v>159</v>
      </c>
      <c r="B169" s="54">
        <v>46029</v>
      </c>
      <c r="C169" s="55" t="s">
        <v>193</v>
      </c>
      <c r="D169" s="53">
        <v>20</v>
      </c>
      <c r="E169" s="53" t="s">
        <v>20</v>
      </c>
      <c r="F169" s="53" t="s">
        <v>34</v>
      </c>
      <c r="G169" s="45">
        <v>175000</v>
      </c>
      <c r="H169" s="53" t="s">
        <v>30</v>
      </c>
      <c r="I169" s="29" t="s">
        <v>274</v>
      </c>
      <c r="J169" s="30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s="29" customFormat="1" ht="18" customHeight="1" x14ac:dyDescent="0.25">
      <c r="A170" s="40">
        <v>160</v>
      </c>
      <c r="B170" s="54">
        <v>46029</v>
      </c>
      <c r="C170" s="55" t="s">
        <v>194</v>
      </c>
      <c r="D170" s="53">
        <v>20</v>
      </c>
      <c r="E170" s="53" t="s">
        <v>20</v>
      </c>
      <c r="F170" s="53" t="s">
        <v>34</v>
      </c>
      <c r="G170" s="45">
        <v>175000</v>
      </c>
      <c r="H170" s="53" t="s">
        <v>30</v>
      </c>
      <c r="I170" s="29" t="s">
        <v>274</v>
      </c>
      <c r="J170" s="30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s="29" customFormat="1" ht="18" customHeight="1" x14ac:dyDescent="0.25">
      <c r="A171" s="40">
        <v>161</v>
      </c>
      <c r="B171" s="54">
        <v>46029</v>
      </c>
      <c r="C171" s="86" t="s">
        <v>195</v>
      </c>
      <c r="D171" s="53">
        <v>40</v>
      </c>
      <c r="E171" s="87" t="s">
        <v>20</v>
      </c>
      <c r="F171" s="53" t="s">
        <v>34</v>
      </c>
      <c r="G171" s="52">
        <v>330000</v>
      </c>
      <c r="H171" s="53" t="s">
        <v>22</v>
      </c>
      <c r="I171" s="29" t="s">
        <v>274</v>
      </c>
      <c r="J171" s="30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s="29" customFormat="1" ht="18" customHeight="1" x14ac:dyDescent="0.25">
      <c r="A172" s="40">
        <v>162</v>
      </c>
      <c r="B172" s="54">
        <v>46030</v>
      </c>
      <c r="C172" s="86" t="s">
        <v>196</v>
      </c>
      <c r="D172" s="53">
        <v>40</v>
      </c>
      <c r="E172" s="53" t="s">
        <v>20</v>
      </c>
      <c r="F172" s="53" t="s">
        <v>34</v>
      </c>
      <c r="G172" s="52">
        <v>330000</v>
      </c>
      <c r="H172" s="53" t="s">
        <v>22</v>
      </c>
      <c r="I172" s="29" t="s">
        <v>274</v>
      </c>
      <c r="J172" s="30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s="29" customFormat="1" ht="18" customHeight="1" x14ac:dyDescent="0.25">
      <c r="A173" s="40">
        <v>163</v>
      </c>
      <c r="B173" s="54">
        <v>46030</v>
      </c>
      <c r="C173" s="55" t="s">
        <v>197</v>
      </c>
      <c r="D173" s="53">
        <v>40</v>
      </c>
      <c r="E173" s="87" t="s">
        <v>20</v>
      </c>
      <c r="F173" s="53" t="s">
        <v>34</v>
      </c>
      <c r="G173" s="52">
        <v>330000</v>
      </c>
      <c r="H173" s="53" t="s">
        <v>22</v>
      </c>
      <c r="I173" s="29" t="s">
        <v>274</v>
      </c>
      <c r="J173" s="30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s="29" customFormat="1" ht="18" customHeight="1" x14ac:dyDescent="0.25">
      <c r="A174" s="40">
        <v>164</v>
      </c>
      <c r="B174" s="54">
        <v>46032</v>
      </c>
      <c r="C174" s="53" t="s">
        <v>198</v>
      </c>
      <c r="D174" s="53">
        <v>40</v>
      </c>
      <c r="E174" s="53" t="s">
        <v>20</v>
      </c>
      <c r="F174" s="53" t="s">
        <v>34</v>
      </c>
      <c r="G174" s="52">
        <v>330000</v>
      </c>
      <c r="H174" s="53" t="s">
        <v>29</v>
      </c>
      <c r="I174" s="29" t="s">
        <v>275</v>
      </c>
      <c r="J174" s="30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spans="1:22" s="29" customFormat="1" ht="18" customHeight="1" x14ac:dyDescent="0.25">
      <c r="A175" s="40">
        <v>165</v>
      </c>
      <c r="B175" s="54">
        <v>46032</v>
      </c>
      <c r="C175" s="53" t="s">
        <v>199</v>
      </c>
      <c r="D175" s="53">
        <v>40</v>
      </c>
      <c r="E175" s="53" t="s">
        <v>20</v>
      </c>
      <c r="F175" s="53" t="s">
        <v>34</v>
      </c>
      <c r="G175" s="52">
        <v>330000</v>
      </c>
      <c r="H175" s="53" t="s">
        <v>29</v>
      </c>
      <c r="I175" s="29" t="s">
        <v>275</v>
      </c>
      <c r="J175" s="30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spans="1:22" s="29" customFormat="1" ht="18" customHeight="1" x14ac:dyDescent="0.25">
      <c r="A176" s="40">
        <v>166</v>
      </c>
      <c r="B176" s="54">
        <v>46032</v>
      </c>
      <c r="C176" s="53" t="s">
        <v>200</v>
      </c>
      <c r="D176" s="53">
        <v>40</v>
      </c>
      <c r="E176" s="53" t="s">
        <v>20</v>
      </c>
      <c r="F176" s="53" t="s">
        <v>34</v>
      </c>
      <c r="G176" s="52">
        <v>330000</v>
      </c>
      <c r="H176" s="53" t="s">
        <v>29</v>
      </c>
      <c r="I176" s="29" t="s">
        <v>275</v>
      </c>
      <c r="J176" s="30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spans="1:22" s="29" customFormat="1" ht="18" customHeight="1" x14ac:dyDescent="0.25">
      <c r="A177" s="40">
        <v>167</v>
      </c>
      <c r="B177" s="54">
        <v>46032</v>
      </c>
      <c r="C177" s="53" t="s">
        <v>201</v>
      </c>
      <c r="D177" s="53">
        <v>40</v>
      </c>
      <c r="E177" s="53" t="s">
        <v>20</v>
      </c>
      <c r="F177" s="53" t="s">
        <v>34</v>
      </c>
      <c r="G177" s="52">
        <v>330000</v>
      </c>
      <c r="H177" s="53" t="s">
        <v>29</v>
      </c>
      <c r="I177" s="29" t="s">
        <v>275</v>
      </c>
      <c r="J177" s="30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spans="1:22" s="29" customFormat="1" ht="18" customHeight="1" x14ac:dyDescent="0.25">
      <c r="A178" s="40">
        <v>168</v>
      </c>
      <c r="B178" s="54">
        <v>46029</v>
      </c>
      <c r="C178" s="53" t="s">
        <v>202</v>
      </c>
      <c r="D178" s="88">
        <v>40</v>
      </c>
      <c r="E178" s="89" t="s">
        <v>20</v>
      </c>
      <c r="F178" s="53" t="s">
        <v>34</v>
      </c>
      <c r="G178" s="97">
        <v>330000</v>
      </c>
      <c r="H178" s="53" t="s">
        <v>267</v>
      </c>
      <c r="I178" s="29" t="s">
        <v>274</v>
      </c>
      <c r="J178" s="30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spans="1:22" s="29" customFormat="1" ht="18" customHeight="1" x14ac:dyDescent="0.25">
      <c r="A179" s="40">
        <v>169</v>
      </c>
      <c r="B179" s="54">
        <v>46029</v>
      </c>
      <c r="C179" s="53" t="s">
        <v>203</v>
      </c>
      <c r="D179" s="88">
        <v>40</v>
      </c>
      <c r="E179" s="89" t="s">
        <v>20</v>
      </c>
      <c r="F179" s="53" t="s">
        <v>34</v>
      </c>
      <c r="G179" s="97">
        <v>330000</v>
      </c>
      <c r="H179" s="53" t="s">
        <v>267</v>
      </c>
      <c r="I179" s="29" t="s">
        <v>274</v>
      </c>
      <c r="J179" s="30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spans="1:22" s="29" customFormat="1" ht="18" customHeight="1" x14ac:dyDescent="0.25">
      <c r="A180" s="40">
        <v>170</v>
      </c>
      <c r="B180" s="54">
        <v>46029</v>
      </c>
      <c r="C180" s="53" t="s">
        <v>204</v>
      </c>
      <c r="D180" s="88">
        <v>40</v>
      </c>
      <c r="E180" s="89" t="s">
        <v>20</v>
      </c>
      <c r="F180" s="53" t="s">
        <v>34</v>
      </c>
      <c r="G180" s="97">
        <v>330000</v>
      </c>
      <c r="H180" s="53" t="s">
        <v>267</v>
      </c>
      <c r="I180" s="29" t="s">
        <v>274</v>
      </c>
      <c r="J180" s="30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spans="1:22" s="29" customFormat="1" ht="18" customHeight="1" x14ac:dyDescent="0.25">
      <c r="A181" s="40">
        <v>171</v>
      </c>
      <c r="B181" s="54">
        <v>46032</v>
      </c>
      <c r="C181" s="55" t="s">
        <v>205</v>
      </c>
      <c r="D181" s="53">
        <v>40</v>
      </c>
      <c r="E181" s="87" t="s">
        <v>20</v>
      </c>
      <c r="F181" s="90" t="s">
        <v>34</v>
      </c>
      <c r="G181" s="52">
        <v>330000</v>
      </c>
      <c r="H181" s="53" t="s">
        <v>28</v>
      </c>
      <c r="I181" s="29" t="s">
        <v>275</v>
      </c>
      <c r="J181" s="30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spans="1:22" s="29" customFormat="1" ht="18" customHeight="1" x14ac:dyDescent="0.25">
      <c r="A182" s="40">
        <v>172</v>
      </c>
      <c r="B182" s="54">
        <v>46032</v>
      </c>
      <c r="C182" s="55" t="s">
        <v>206</v>
      </c>
      <c r="D182" s="53">
        <v>40</v>
      </c>
      <c r="E182" s="87" t="s">
        <v>20</v>
      </c>
      <c r="F182" s="90" t="s">
        <v>34</v>
      </c>
      <c r="G182" s="52">
        <v>330000</v>
      </c>
      <c r="H182" s="53" t="s">
        <v>28</v>
      </c>
      <c r="I182" s="29" t="s">
        <v>275</v>
      </c>
      <c r="J182" s="30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spans="1:22" s="29" customFormat="1" ht="18" customHeight="1" x14ac:dyDescent="0.25">
      <c r="A183" s="40">
        <v>173</v>
      </c>
      <c r="B183" s="54">
        <v>46032</v>
      </c>
      <c r="C183" s="55" t="s">
        <v>207</v>
      </c>
      <c r="D183" s="53">
        <v>40</v>
      </c>
      <c r="E183" s="87" t="s">
        <v>20</v>
      </c>
      <c r="F183" s="90" t="s">
        <v>34</v>
      </c>
      <c r="G183" s="52">
        <v>330000</v>
      </c>
      <c r="H183" s="53" t="s">
        <v>28</v>
      </c>
      <c r="I183" s="29" t="s">
        <v>275</v>
      </c>
      <c r="J183" s="30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spans="1:22" s="29" customFormat="1" ht="18" customHeight="1" x14ac:dyDescent="0.25">
      <c r="A184" s="40">
        <v>174</v>
      </c>
      <c r="B184" s="54">
        <v>46032</v>
      </c>
      <c r="C184" s="55" t="s">
        <v>208</v>
      </c>
      <c r="D184" s="53">
        <v>40</v>
      </c>
      <c r="E184" s="87" t="s">
        <v>20</v>
      </c>
      <c r="F184" s="90" t="s">
        <v>34</v>
      </c>
      <c r="G184" s="52">
        <v>330000</v>
      </c>
      <c r="H184" s="53" t="s">
        <v>28</v>
      </c>
      <c r="I184" s="29" t="s">
        <v>275</v>
      </c>
      <c r="J184" s="30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spans="1:22" s="29" customFormat="1" ht="18" customHeight="1" x14ac:dyDescent="0.25">
      <c r="A185" s="40">
        <v>175</v>
      </c>
      <c r="B185" s="54">
        <v>46032</v>
      </c>
      <c r="C185" s="55" t="s">
        <v>209</v>
      </c>
      <c r="D185" s="53">
        <v>40</v>
      </c>
      <c r="E185" s="87" t="s">
        <v>20</v>
      </c>
      <c r="F185" s="90" t="s">
        <v>34</v>
      </c>
      <c r="G185" s="52">
        <v>330000</v>
      </c>
      <c r="H185" s="53" t="s">
        <v>28</v>
      </c>
      <c r="I185" s="29" t="s">
        <v>275</v>
      </c>
      <c r="J185" s="30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spans="1:22" s="29" customFormat="1" ht="18" customHeight="1" x14ac:dyDescent="0.25">
      <c r="A186" s="40">
        <v>176</v>
      </c>
      <c r="B186" s="54">
        <v>46032</v>
      </c>
      <c r="C186" s="85" t="s">
        <v>210</v>
      </c>
      <c r="D186" s="53">
        <v>40</v>
      </c>
      <c r="E186" s="87" t="s">
        <v>20</v>
      </c>
      <c r="F186" s="90" t="s">
        <v>34</v>
      </c>
      <c r="G186" s="52">
        <v>330000</v>
      </c>
      <c r="H186" s="53" t="s">
        <v>28</v>
      </c>
      <c r="I186" s="29" t="s">
        <v>275</v>
      </c>
      <c r="J186" s="30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spans="1:22" s="29" customFormat="1" ht="18" customHeight="1" x14ac:dyDescent="0.25">
      <c r="A187" s="40">
        <v>177</v>
      </c>
      <c r="B187" s="91">
        <v>46031</v>
      </c>
      <c r="C187" s="92" t="s">
        <v>211</v>
      </c>
      <c r="D187" s="53">
        <v>20</v>
      </c>
      <c r="E187" s="53" t="s">
        <v>20</v>
      </c>
      <c r="F187" s="53" t="s">
        <v>34</v>
      </c>
      <c r="G187" s="45">
        <v>175000</v>
      </c>
      <c r="H187" s="53" t="s">
        <v>30</v>
      </c>
      <c r="I187" s="29" t="s">
        <v>275</v>
      </c>
      <c r="J187" s="30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spans="1:22" s="29" customFormat="1" ht="18" customHeight="1" x14ac:dyDescent="0.25">
      <c r="A188" s="40">
        <v>178</v>
      </c>
      <c r="B188" s="93">
        <v>46031</v>
      </c>
      <c r="C188" s="55" t="s">
        <v>212</v>
      </c>
      <c r="D188" s="53">
        <v>20</v>
      </c>
      <c r="E188" s="53" t="s">
        <v>20</v>
      </c>
      <c r="F188" s="53" t="s">
        <v>34</v>
      </c>
      <c r="G188" s="45">
        <v>175000</v>
      </c>
      <c r="H188" s="53" t="s">
        <v>30</v>
      </c>
      <c r="I188" s="29" t="s">
        <v>275</v>
      </c>
      <c r="J188" s="30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spans="1:22" s="29" customFormat="1" ht="18" customHeight="1" x14ac:dyDescent="0.25">
      <c r="A189" s="40">
        <v>179</v>
      </c>
      <c r="B189" s="91">
        <v>46031</v>
      </c>
      <c r="C189" s="55" t="s">
        <v>213</v>
      </c>
      <c r="D189" s="53">
        <v>40</v>
      </c>
      <c r="E189" s="53" t="s">
        <v>20</v>
      </c>
      <c r="F189" s="53" t="s">
        <v>34</v>
      </c>
      <c r="G189" s="45">
        <v>330000</v>
      </c>
      <c r="H189" s="53" t="s">
        <v>30</v>
      </c>
      <c r="I189" s="29" t="s">
        <v>275</v>
      </c>
      <c r="J189" s="30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spans="1:22" s="29" customFormat="1" ht="18" customHeight="1" x14ac:dyDescent="0.25">
      <c r="A190" s="40">
        <v>180</v>
      </c>
      <c r="B190" s="93">
        <v>46032</v>
      </c>
      <c r="C190" s="55" t="s">
        <v>214</v>
      </c>
      <c r="D190" s="53">
        <v>40</v>
      </c>
      <c r="E190" s="53" t="s">
        <v>20</v>
      </c>
      <c r="F190" s="53" t="s">
        <v>34</v>
      </c>
      <c r="G190" s="45">
        <v>330000</v>
      </c>
      <c r="H190" s="53" t="s">
        <v>30</v>
      </c>
      <c r="I190" s="29" t="s">
        <v>275</v>
      </c>
      <c r="J190" s="30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spans="1:22" s="29" customFormat="1" ht="18" customHeight="1" x14ac:dyDescent="0.25">
      <c r="A191" s="40">
        <v>181</v>
      </c>
      <c r="B191" s="93">
        <v>46032</v>
      </c>
      <c r="C191" s="55" t="s">
        <v>215</v>
      </c>
      <c r="D191" s="53">
        <v>40</v>
      </c>
      <c r="E191" s="53" t="s">
        <v>20</v>
      </c>
      <c r="F191" s="53" t="s">
        <v>34</v>
      </c>
      <c r="G191" s="45">
        <v>330000</v>
      </c>
      <c r="H191" s="53" t="s">
        <v>30</v>
      </c>
      <c r="I191" s="29" t="s">
        <v>275</v>
      </c>
      <c r="J191" s="30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spans="1:22" s="29" customFormat="1" ht="18" customHeight="1" x14ac:dyDescent="0.25">
      <c r="A192" s="40">
        <v>182</v>
      </c>
      <c r="B192" s="93">
        <v>46032</v>
      </c>
      <c r="C192" s="55" t="s">
        <v>216</v>
      </c>
      <c r="D192" s="53">
        <v>40</v>
      </c>
      <c r="E192" s="53" t="s">
        <v>20</v>
      </c>
      <c r="F192" s="53" t="s">
        <v>34</v>
      </c>
      <c r="G192" s="45">
        <v>330000</v>
      </c>
      <c r="H192" s="53" t="s">
        <v>30</v>
      </c>
      <c r="I192" s="29" t="s">
        <v>275</v>
      </c>
      <c r="J192" s="30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spans="1:22" s="29" customFormat="1" ht="18" customHeight="1" x14ac:dyDescent="0.25">
      <c r="A193" s="40">
        <v>183</v>
      </c>
      <c r="B193" s="93">
        <v>46032</v>
      </c>
      <c r="C193" s="55" t="s">
        <v>217</v>
      </c>
      <c r="D193" s="53">
        <v>40</v>
      </c>
      <c r="E193" s="53" t="s">
        <v>20</v>
      </c>
      <c r="F193" s="53" t="s">
        <v>34</v>
      </c>
      <c r="G193" s="45">
        <v>330000</v>
      </c>
      <c r="H193" s="53" t="s">
        <v>30</v>
      </c>
      <c r="I193" s="29" t="s">
        <v>275</v>
      </c>
      <c r="J193" s="30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22" s="29" customFormat="1" ht="18" customHeight="1" x14ac:dyDescent="0.25">
      <c r="A194" s="40">
        <v>184</v>
      </c>
      <c r="B194" s="93">
        <v>46032</v>
      </c>
      <c r="C194" s="55" t="s">
        <v>218</v>
      </c>
      <c r="D194" s="53">
        <v>40</v>
      </c>
      <c r="E194" s="53" t="s">
        <v>20</v>
      </c>
      <c r="F194" s="53" t="s">
        <v>34</v>
      </c>
      <c r="G194" s="45">
        <v>330000</v>
      </c>
      <c r="H194" s="53" t="s">
        <v>30</v>
      </c>
      <c r="I194" s="29" t="s">
        <v>275</v>
      </c>
      <c r="J194" s="30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spans="1:22" s="29" customFormat="1" ht="18" customHeight="1" x14ac:dyDescent="0.25">
      <c r="A195" s="40">
        <v>185</v>
      </c>
      <c r="B195" s="93">
        <v>46032</v>
      </c>
      <c r="C195" s="55" t="s">
        <v>219</v>
      </c>
      <c r="D195" s="53">
        <v>40</v>
      </c>
      <c r="E195" s="53" t="s">
        <v>20</v>
      </c>
      <c r="F195" s="53" t="s">
        <v>34</v>
      </c>
      <c r="G195" s="45">
        <v>330000</v>
      </c>
      <c r="H195" s="53" t="s">
        <v>30</v>
      </c>
      <c r="I195" s="29" t="s">
        <v>275</v>
      </c>
      <c r="J195" s="30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spans="1:22" s="29" customFormat="1" ht="18" customHeight="1" x14ac:dyDescent="0.25">
      <c r="A196" s="40">
        <v>186</v>
      </c>
      <c r="B196" s="54">
        <v>46032</v>
      </c>
      <c r="C196" s="53" t="s">
        <v>220</v>
      </c>
      <c r="D196" s="53">
        <v>40</v>
      </c>
      <c r="E196" s="53" t="s">
        <v>20</v>
      </c>
      <c r="F196" s="53" t="s">
        <v>34</v>
      </c>
      <c r="G196" s="45">
        <v>330000</v>
      </c>
      <c r="H196" s="53" t="s">
        <v>16</v>
      </c>
      <c r="I196" s="29" t="s">
        <v>275</v>
      </c>
      <c r="J196" s="30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spans="1:22" s="29" customFormat="1" ht="18" customHeight="1" x14ac:dyDescent="0.25">
      <c r="A197" s="40">
        <v>187</v>
      </c>
      <c r="B197" s="54">
        <v>46032</v>
      </c>
      <c r="C197" s="53" t="s">
        <v>221</v>
      </c>
      <c r="D197" s="53">
        <v>40</v>
      </c>
      <c r="E197" s="53" t="s">
        <v>20</v>
      </c>
      <c r="F197" s="53" t="s">
        <v>34</v>
      </c>
      <c r="G197" s="45">
        <v>330000</v>
      </c>
      <c r="H197" s="53" t="s">
        <v>16</v>
      </c>
      <c r="I197" s="29" t="s">
        <v>275</v>
      </c>
      <c r="J197" s="30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spans="1:22" s="29" customFormat="1" ht="18" customHeight="1" x14ac:dyDescent="0.25">
      <c r="A198" s="40">
        <v>188</v>
      </c>
      <c r="B198" s="54">
        <v>46032</v>
      </c>
      <c r="C198" s="53" t="s">
        <v>222</v>
      </c>
      <c r="D198" s="53">
        <v>40</v>
      </c>
      <c r="E198" s="53" t="s">
        <v>20</v>
      </c>
      <c r="F198" s="53" t="s">
        <v>34</v>
      </c>
      <c r="G198" s="45">
        <v>330000</v>
      </c>
      <c r="H198" s="53" t="s">
        <v>16</v>
      </c>
      <c r="I198" s="29" t="s">
        <v>275</v>
      </c>
      <c r="J198" s="30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spans="1:22" s="29" customFormat="1" ht="18" customHeight="1" x14ac:dyDescent="0.25">
      <c r="A199" s="40">
        <v>189</v>
      </c>
      <c r="B199" s="54">
        <v>46032</v>
      </c>
      <c r="C199" s="53" t="s">
        <v>223</v>
      </c>
      <c r="D199" s="53">
        <v>40</v>
      </c>
      <c r="E199" s="53" t="s">
        <v>20</v>
      </c>
      <c r="F199" s="53" t="s">
        <v>34</v>
      </c>
      <c r="G199" s="45">
        <v>330000</v>
      </c>
      <c r="H199" s="53" t="s">
        <v>16</v>
      </c>
      <c r="I199" s="29" t="s">
        <v>275</v>
      </c>
      <c r="J199" s="30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1:22" s="29" customFormat="1" ht="18" customHeight="1" x14ac:dyDescent="0.25">
      <c r="A200" s="40">
        <v>190</v>
      </c>
      <c r="B200" s="54">
        <v>46032</v>
      </c>
      <c r="C200" s="53" t="s">
        <v>224</v>
      </c>
      <c r="D200" s="53">
        <v>40</v>
      </c>
      <c r="E200" s="53" t="s">
        <v>20</v>
      </c>
      <c r="F200" s="53" t="s">
        <v>34</v>
      </c>
      <c r="G200" s="45">
        <v>330000</v>
      </c>
      <c r="H200" s="53" t="s">
        <v>16</v>
      </c>
      <c r="I200" s="29" t="s">
        <v>275</v>
      </c>
      <c r="J200" s="30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1:22" s="29" customFormat="1" ht="18" customHeight="1" x14ac:dyDescent="0.25">
      <c r="A201" s="40">
        <v>191</v>
      </c>
      <c r="B201" s="54">
        <v>46032</v>
      </c>
      <c r="C201" s="53" t="s">
        <v>225</v>
      </c>
      <c r="D201" s="53">
        <v>40</v>
      </c>
      <c r="E201" s="53" t="s">
        <v>20</v>
      </c>
      <c r="F201" s="53" t="s">
        <v>34</v>
      </c>
      <c r="G201" s="45">
        <v>330000</v>
      </c>
      <c r="H201" s="53" t="s">
        <v>16</v>
      </c>
      <c r="I201" s="29" t="s">
        <v>275</v>
      </c>
      <c r="J201" s="30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spans="1:22" s="29" customFormat="1" ht="18" customHeight="1" x14ac:dyDescent="0.25">
      <c r="A202" s="40">
        <v>192</v>
      </c>
      <c r="B202" s="54">
        <v>46029</v>
      </c>
      <c r="C202" s="54" t="s">
        <v>226</v>
      </c>
      <c r="D202" s="53">
        <v>40</v>
      </c>
      <c r="E202" s="53" t="s">
        <v>20</v>
      </c>
      <c r="F202" s="53" t="s">
        <v>34</v>
      </c>
      <c r="G202" s="52">
        <v>330000</v>
      </c>
      <c r="H202" s="53" t="s">
        <v>35</v>
      </c>
      <c r="I202" s="29" t="s">
        <v>274</v>
      </c>
      <c r="J202" s="30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spans="1:22" s="29" customFormat="1" ht="18" customHeight="1" x14ac:dyDescent="0.25">
      <c r="A203" s="40">
        <v>193</v>
      </c>
      <c r="B203" s="54">
        <v>46029</v>
      </c>
      <c r="C203" s="53" t="s">
        <v>227</v>
      </c>
      <c r="D203" s="53">
        <v>40</v>
      </c>
      <c r="E203" s="53" t="s">
        <v>20</v>
      </c>
      <c r="F203" s="53" t="s">
        <v>34</v>
      </c>
      <c r="G203" s="45">
        <v>330000</v>
      </c>
      <c r="H203" s="53" t="s">
        <v>35</v>
      </c>
      <c r="I203" s="29" t="s">
        <v>274</v>
      </c>
      <c r="J203" s="30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spans="1:22" s="29" customFormat="1" ht="18" customHeight="1" x14ac:dyDescent="0.25">
      <c r="A204" s="40">
        <v>194</v>
      </c>
      <c r="B204" s="54">
        <v>46029</v>
      </c>
      <c r="C204" s="53" t="s">
        <v>228</v>
      </c>
      <c r="D204" s="53">
        <v>40</v>
      </c>
      <c r="E204" s="53" t="s">
        <v>20</v>
      </c>
      <c r="F204" s="53" t="s">
        <v>34</v>
      </c>
      <c r="G204" s="45">
        <v>330000</v>
      </c>
      <c r="H204" s="53" t="s">
        <v>35</v>
      </c>
      <c r="I204" s="29" t="s">
        <v>274</v>
      </c>
      <c r="J204" s="30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spans="1:22" s="29" customFormat="1" ht="18" customHeight="1" x14ac:dyDescent="0.25">
      <c r="A205" s="40">
        <v>195</v>
      </c>
      <c r="B205" s="54">
        <v>46032</v>
      </c>
      <c r="C205" s="53" t="s">
        <v>229</v>
      </c>
      <c r="D205" s="53">
        <v>20</v>
      </c>
      <c r="E205" s="53" t="s">
        <v>20</v>
      </c>
      <c r="F205" s="53" t="s">
        <v>34</v>
      </c>
      <c r="G205" s="45">
        <v>175000</v>
      </c>
      <c r="H205" s="96" t="s">
        <v>268</v>
      </c>
      <c r="I205" s="29" t="s">
        <v>275</v>
      </c>
      <c r="J205" s="30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spans="1:22" s="29" customFormat="1" ht="18" customHeight="1" x14ac:dyDescent="0.25">
      <c r="A206" s="40">
        <v>196</v>
      </c>
      <c r="B206" s="54">
        <v>46032</v>
      </c>
      <c r="C206" s="53" t="s">
        <v>230</v>
      </c>
      <c r="D206" s="53">
        <v>20</v>
      </c>
      <c r="E206" s="53" t="s">
        <v>20</v>
      </c>
      <c r="F206" s="53" t="s">
        <v>34</v>
      </c>
      <c r="G206" s="45">
        <v>175000</v>
      </c>
      <c r="H206" s="96" t="s">
        <v>268</v>
      </c>
      <c r="I206" s="29" t="s">
        <v>275</v>
      </c>
      <c r="J206" s="30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spans="1:22" s="29" customFormat="1" ht="18" customHeight="1" x14ac:dyDescent="0.25">
      <c r="A207" s="40">
        <v>197</v>
      </c>
      <c r="B207" s="54">
        <v>46032</v>
      </c>
      <c r="C207" s="53" t="s">
        <v>231</v>
      </c>
      <c r="D207" s="53">
        <v>40</v>
      </c>
      <c r="E207" s="53" t="s">
        <v>20</v>
      </c>
      <c r="F207" s="53" t="s">
        <v>34</v>
      </c>
      <c r="G207" s="45">
        <v>330000</v>
      </c>
      <c r="H207" s="96" t="s">
        <v>268</v>
      </c>
      <c r="I207" s="29" t="s">
        <v>275</v>
      </c>
      <c r="J207" s="30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spans="1:22" s="29" customFormat="1" ht="18" customHeight="1" x14ac:dyDescent="0.25">
      <c r="A208" s="40">
        <v>198</v>
      </c>
      <c r="B208" s="54">
        <v>46032</v>
      </c>
      <c r="C208" s="53" t="s">
        <v>232</v>
      </c>
      <c r="D208" s="53">
        <v>40</v>
      </c>
      <c r="E208" s="53" t="s">
        <v>20</v>
      </c>
      <c r="F208" s="53" t="s">
        <v>34</v>
      </c>
      <c r="G208" s="45">
        <v>330000</v>
      </c>
      <c r="H208" s="96" t="s">
        <v>268</v>
      </c>
      <c r="I208" s="29" t="s">
        <v>275</v>
      </c>
      <c r="J208" s="30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spans="1:22" s="29" customFormat="1" ht="18" customHeight="1" x14ac:dyDescent="0.25">
      <c r="A209" s="40">
        <v>199</v>
      </c>
      <c r="B209" s="54">
        <v>46032</v>
      </c>
      <c r="C209" s="53" t="s">
        <v>233</v>
      </c>
      <c r="D209" s="53">
        <v>40</v>
      </c>
      <c r="E209" s="53" t="s">
        <v>20</v>
      </c>
      <c r="F209" s="53" t="s">
        <v>34</v>
      </c>
      <c r="G209" s="45">
        <v>330000</v>
      </c>
      <c r="H209" s="96" t="s">
        <v>268</v>
      </c>
      <c r="I209" s="29" t="s">
        <v>275</v>
      </c>
      <c r="J209" s="30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spans="1:22" s="29" customFormat="1" ht="18" customHeight="1" x14ac:dyDescent="0.25">
      <c r="A210" s="40">
        <v>200</v>
      </c>
      <c r="B210" s="54">
        <v>46032</v>
      </c>
      <c r="C210" s="53" t="s">
        <v>234</v>
      </c>
      <c r="D210" s="53">
        <v>40</v>
      </c>
      <c r="E210" s="53" t="s">
        <v>20</v>
      </c>
      <c r="F210" s="53" t="s">
        <v>34</v>
      </c>
      <c r="G210" s="45">
        <v>330000</v>
      </c>
      <c r="H210" s="96" t="s">
        <v>268</v>
      </c>
      <c r="I210" s="29" t="s">
        <v>275</v>
      </c>
      <c r="J210" s="30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spans="1:22" s="29" customFormat="1" ht="18" customHeight="1" x14ac:dyDescent="0.25">
      <c r="A211" s="40">
        <v>201</v>
      </c>
      <c r="B211" s="54">
        <v>46032</v>
      </c>
      <c r="C211" s="53" t="s">
        <v>235</v>
      </c>
      <c r="D211" s="53">
        <v>40</v>
      </c>
      <c r="E211" s="53" t="s">
        <v>20</v>
      </c>
      <c r="F211" s="53" t="s">
        <v>34</v>
      </c>
      <c r="G211" s="45">
        <v>330000</v>
      </c>
      <c r="H211" s="96" t="s">
        <v>268</v>
      </c>
      <c r="I211" s="29" t="s">
        <v>275</v>
      </c>
      <c r="J211" s="30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spans="1:22" s="29" customFormat="1" ht="18" customHeight="1" x14ac:dyDescent="0.25">
      <c r="A212" s="40">
        <v>202</v>
      </c>
      <c r="B212" s="54">
        <v>46032</v>
      </c>
      <c r="C212" s="53" t="s">
        <v>236</v>
      </c>
      <c r="D212" s="53">
        <v>40</v>
      </c>
      <c r="E212" s="53" t="s">
        <v>20</v>
      </c>
      <c r="F212" s="53" t="s">
        <v>34</v>
      </c>
      <c r="G212" s="45">
        <v>330000</v>
      </c>
      <c r="H212" s="96" t="s">
        <v>268</v>
      </c>
      <c r="I212" s="29" t="s">
        <v>275</v>
      </c>
      <c r="J212" s="30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spans="1:22" s="29" customFormat="1" ht="18" customHeight="1" x14ac:dyDescent="0.25">
      <c r="A213" s="40">
        <v>203</v>
      </c>
      <c r="B213" s="54">
        <v>46032</v>
      </c>
      <c r="C213" s="53" t="s">
        <v>237</v>
      </c>
      <c r="D213" s="53">
        <v>40</v>
      </c>
      <c r="E213" s="53" t="s">
        <v>20</v>
      </c>
      <c r="F213" s="53" t="s">
        <v>34</v>
      </c>
      <c r="G213" s="45">
        <v>330000</v>
      </c>
      <c r="H213" s="96" t="s">
        <v>268</v>
      </c>
      <c r="I213" s="29" t="s">
        <v>275</v>
      </c>
      <c r="J213" s="30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spans="1:22" s="29" customFormat="1" ht="18" customHeight="1" x14ac:dyDescent="0.25">
      <c r="A214" s="40">
        <v>204</v>
      </c>
      <c r="B214" s="54">
        <v>46031</v>
      </c>
      <c r="C214" s="53" t="s">
        <v>238</v>
      </c>
      <c r="D214" s="53">
        <v>40</v>
      </c>
      <c r="E214" s="53" t="s">
        <v>20</v>
      </c>
      <c r="F214" s="53" t="s">
        <v>34</v>
      </c>
      <c r="G214" s="45">
        <v>330000</v>
      </c>
      <c r="H214" s="96" t="s">
        <v>268</v>
      </c>
      <c r="I214" s="29" t="s">
        <v>275</v>
      </c>
      <c r="J214" s="30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spans="1:22" s="29" customFormat="1" ht="18" customHeight="1" x14ac:dyDescent="0.25">
      <c r="A215" s="40">
        <v>205</v>
      </c>
      <c r="B215" s="54">
        <v>46029</v>
      </c>
      <c r="C215" s="53" t="s">
        <v>239</v>
      </c>
      <c r="D215" s="53">
        <v>40</v>
      </c>
      <c r="E215" s="53" t="s">
        <v>20</v>
      </c>
      <c r="F215" s="53" t="s">
        <v>34</v>
      </c>
      <c r="G215" s="45">
        <v>330000</v>
      </c>
      <c r="H215" s="53" t="s">
        <v>26</v>
      </c>
      <c r="I215" s="29" t="s">
        <v>274</v>
      </c>
      <c r="J215" s="30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spans="1:22" s="29" customFormat="1" ht="18" customHeight="1" x14ac:dyDescent="0.25">
      <c r="A216" s="40">
        <v>206</v>
      </c>
      <c r="B216" s="54">
        <v>46029</v>
      </c>
      <c r="C216" s="53" t="s">
        <v>240</v>
      </c>
      <c r="D216" s="53">
        <v>40</v>
      </c>
      <c r="E216" s="53" t="s">
        <v>20</v>
      </c>
      <c r="F216" s="53" t="s">
        <v>34</v>
      </c>
      <c r="G216" s="45">
        <v>330000</v>
      </c>
      <c r="H216" s="53" t="s">
        <v>26</v>
      </c>
      <c r="I216" s="29" t="s">
        <v>274</v>
      </c>
      <c r="J216" s="30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spans="1:22" s="29" customFormat="1" ht="18" customHeight="1" x14ac:dyDescent="0.25">
      <c r="A217" s="40">
        <v>207</v>
      </c>
      <c r="B217" s="54">
        <v>46029</v>
      </c>
      <c r="C217" s="53" t="s">
        <v>241</v>
      </c>
      <c r="D217" s="53">
        <v>40</v>
      </c>
      <c r="E217" s="53" t="s">
        <v>20</v>
      </c>
      <c r="F217" s="53" t="s">
        <v>34</v>
      </c>
      <c r="G217" s="45">
        <v>330000</v>
      </c>
      <c r="H217" s="53" t="s">
        <v>26</v>
      </c>
      <c r="I217" s="29" t="s">
        <v>274</v>
      </c>
      <c r="J217" s="30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spans="1:22" s="29" customFormat="1" ht="18" customHeight="1" x14ac:dyDescent="0.25">
      <c r="A218" s="40">
        <v>208</v>
      </c>
      <c r="B218" s="54">
        <v>46032</v>
      </c>
      <c r="C218" s="53" t="s">
        <v>242</v>
      </c>
      <c r="D218" s="53">
        <v>40</v>
      </c>
      <c r="E218" s="53" t="s">
        <v>20</v>
      </c>
      <c r="F218" s="53" t="s">
        <v>34</v>
      </c>
      <c r="G218" s="45">
        <v>330000</v>
      </c>
      <c r="H218" s="53" t="s">
        <v>26</v>
      </c>
      <c r="I218" s="29" t="s">
        <v>275</v>
      </c>
      <c r="J218" s="30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spans="1:22" s="29" customFormat="1" ht="18" customHeight="1" x14ac:dyDescent="0.25">
      <c r="A219" s="40">
        <v>209</v>
      </c>
      <c r="B219" s="54">
        <v>46032</v>
      </c>
      <c r="C219" s="53" t="s">
        <v>243</v>
      </c>
      <c r="D219" s="53">
        <v>20</v>
      </c>
      <c r="E219" s="53" t="s">
        <v>20</v>
      </c>
      <c r="F219" s="53" t="s">
        <v>34</v>
      </c>
      <c r="G219" s="45">
        <v>175000</v>
      </c>
      <c r="H219" s="53" t="s">
        <v>26</v>
      </c>
      <c r="I219" s="29" t="s">
        <v>275</v>
      </c>
      <c r="J219" s="30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spans="1:22" s="29" customFormat="1" ht="18" customHeight="1" x14ac:dyDescent="0.25">
      <c r="A220" s="40">
        <v>210</v>
      </c>
      <c r="B220" s="54">
        <v>46032</v>
      </c>
      <c r="C220" s="53" t="s">
        <v>244</v>
      </c>
      <c r="D220" s="53">
        <v>20</v>
      </c>
      <c r="E220" s="53" t="s">
        <v>20</v>
      </c>
      <c r="F220" s="53" t="s">
        <v>34</v>
      </c>
      <c r="G220" s="45">
        <v>175000</v>
      </c>
      <c r="H220" s="53" t="s">
        <v>26</v>
      </c>
      <c r="I220" s="29" t="s">
        <v>275</v>
      </c>
      <c r="J220" s="30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spans="1:22" s="29" customFormat="1" ht="18" customHeight="1" x14ac:dyDescent="0.25">
      <c r="A221" s="40">
        <v>211</v>
      </c>
      <c r="B221" s="54">
        <v>46032</v>
      </c>
      <c r="C221" s="53" t="s">
        <v>245</v>
      </c>
      <c r="D221" s="53">
        <v>40</v>
      </c>
      <c r="E221" s="53" t="s">
        <v>20</v>
      </c>
      <c r="F221" s="53" t="s">
        <v>34</v>
      </c>
      <c r="G221" s="45">
        <v>330000</v>
      </c>
      <c r="H221" s="53" t="s">
        <v>26</v>
      </c>
      <c r="I221" s="29" t="s">
        <v>275</v>
      </c>
      <c r="J221" s="30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spans="1:22" s="29" customFormat="1" ht="18" customHeight="1" x14ac:dyDescent="0.25">
      <c r="A222" s="40">
        <v>212</v>
      </c>
      <c r="B222" s="54">
        <v>46032</v>
      </c>
      <c r="C222" s="53" t="s">
        <v>246</v>
      </c>
      <c r="D222" s="53">
        <v>40</v>
      </c>
      <c r="E222" s="53" t="s">
        <v>20</v>
      </c>
      <c r="F222" s="53" t="s">
        <v>34</v>
      </c>
      <c r="G222" s="45">
        <v>330000</v>
      </c>
      <c r="H222" s="53" t="s">
        <v>26</v>
      </c>
      <c r="I222" s="29" t="s">
        <v>275</v>
      </c>
      <c r="J222" s="30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spans="1:22" s="29" customFormat="1" ht="18" customHeight="1" x14ac:dyDescent="0.25">
      <c r="A223" s="40">
        <v>213</v>
      </c>
      <c r="B223" s="54">
        <v>46029</v>
      </c>
      <c r="C223" s="53" t="s">
        <v>247</v>
      </c>
      <c r="D223" s="53">
        <v>20</v>
      </c>
      <c r="E223" s="53" t="s">
        <v>20</v>
      </c>
      <c r="F223" s="53" t="s">
        <v>34</v>
      </c>
      <c r="G223" s="45">
        <v>175000</v>
      </c>
      <c r="H223" s="53" t="s">
        <v>26</v>
      </c>
      <c r="I223" s="29" t="s">
        <v>274</v>
      </c>
      <c r="J223" s="30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spans="1:22" s="29" customFormat="1" ht="18" customHeight="1" x14ac:dyDescent="0.25">
      <c r="A224" s="40">
        <v>214</v>
      </c>
      <c r="B224" s="54">
        <v>46029</v>
      </c>
      <c r="C224" s="53" t="s">
        <v>248</v>
      </c>
      <c r="D224" s="53">
        <v>20</v>
      </c>
      <c r="E224" s="53" t="s">
        <v>20</v>
      </c>
      <c r="F224" s="53" t="s">
        <v>34</v>
      </c>
      <c r="G224" s="45">
        <v>175000</v>
      </c>
      <c r="H224" s="53" t="s">
        <v>26</v>
      </c>
      <c r="I224" s="29" t="s">
        <v>274</v>
      </c>
      <c r="J224" s="30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22" s="29" customFormat="1" ht="18" customHeight="1" x14ac:dyDescent="0.25">
      <c r="A225" s="40">
        <v>215</v>
      </c>
      <c r="B225" s="54">
        <v>46031</v>
      </c>
      <c r="C225" s="53" t="s">
        <v>249</v>
      </c>
      <c r="D225" s="53">
        <v>20</v>
      </c>
      <c r="E225" s="53" t="s">
        <v>20</v>
      </c>
      <c r="F225" s="53" t="s">
        <v>34</v>
      </c>
      <c r="G225" s="45">
        <v>175000</v>
      </c>
      <c r="H225" s="53" t="s">
        <v>23</v>
      </c>
      <c r="I225" s="29" t="s">
        <v>275</v>
      </c>
      <c r="J225" s="30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spans="1:22" s="29" customFormat="1" ht="18" customHeight="1" x14ac:dyDescent="0.25">
      <c r="A226" s="40">
        <v>216</v>
      </c>
      <c r="B226" s="54">
        <v>46031</v>
      </c>
      <c r="C226" s="53" t="s">
        <v>250</v>
      </c>
      <c r="D226" s="53">
        <v>20</v>
      </c>
      <c r="E226" s="53" t="s">
        <v>20</v>
      </c>
      <c r="F226" s="53" t="s">
        <v>34</v>
      </c>
      <c r="G226" s="45">
        <v>175000</v>
      </c>
      <c r="H226" s="53" t="s">
        <v>23</v>
      </c>
      <c r="I226" s="29" t="s">
        <v>275</v>
      </c>
      <c r="J226" s="30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spans="1:22" s="29" customFormat="1" ht="18" customHeight="1" x14ac:dyDescent="0.25">
      <c r="A227" s="40">
        <v>217</v>
      </c>
      <c r="B227" s="54">
        <v>46031</v>
      </c>
      <c r="C227" s="53" t="s">
        <v>251</v>
      </c>
      <c r="D227" s="53">
        <v>40</v>
      </c>
      <c r="E227" s="53" t="s">
        <v>20</v>
      </c>
      <c r="F227" s="53" t="s">
        <v>34</v>
      </c>
      <c r="G227" s="45">
        <v>330000</v>
      </c>
      <c r="H227" s="53" t="s">
        <v>23</v>
      </c>
      <c r="I227" s="29" t="s">
        <v>275</v>
      </c>
      <c r="J227" s="30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spans="1:22" s="29" customFormat="1" ht="18" customHeight="1" x14ac:dyDescent="0.25">
      <c r="A228" s="40">
        <v>218</v>
      </c>
      <c r="B228" s="54">
        <v>46031</v>
      </c>
      <c r="C228" s="53" t="s">
        <v>252</v>
      </c>
      <c r="D228" s="53">
        <v>40</v>
      </c>
      <c r="E228" s="53" t="s">
        <v>20</v>
      </c>
      <c r="F228" s="53" t="s">
        <v>34</v>
      </c>
      <c r="G228" s="45">
        <v>330000</v>
      </c>
      <c r="H228" s="53" t="s">
        <v>23</v>
      </c>
      <c r="I228" s="29" t="s">
        <v>275</v>
      </c>
      <c r="J228" s="30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spans="1:22" s="29" customFormat="1" ht="18" customHeight="1" x14ac:dyDescent="0.25">
      <c r="A229" s="40">
        <v>219</v>
      </c>
      <c r="B229" s="54">
        <v>46031</v>
      </c>
      <c r="C229" s="53" t="s">
        <v>253</v>
      </c>
      <c r="D229" s="53">
        <v>40</v>
      </c>
      <c r="E229" s="53" t="s">
        <v>20</v>
      </c>
      <c r="F229" s="53" t="s">
        <v>34</v>
      </c>
      <c r="G229" s="45">
        <v>330000</v>
      </c>
      <c r="H229" s="53" t="s">
        <v>23</v>
      </c>
      <c r="I229" s="29" t="s">
        <v>275</v>
      </c>
      <c r="J229" s="30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spans="1:22" s="29" customFormat="1" ht="18" customHeight="1" x14ac:dyDescent="0.25">
      <c r="A230" s="40">
        <v>220</v>
      </c>
      <c r="B230" s="54">
        <v>46031</v>
      </c>
      <c r="C230" s="53" t="s">
        <v>254</v>
      </c>
      <c r="D230" s="53">
        <v>40</v>
      </c>
      <c r="E230" s="53" t="s">
        <v>20</v>
      </c>
      <c r="F230" s="53" t="s">
        <v>34</v>
      </c>
      <c r="G230" s="45">
        <v>330000</v>
      </c>
      <c r="H230" s="53" t="s">
        <v>23</v>
      </c>
      <c r="I230" s="29" t="s">
        <v>275</v>
      </c>
      <c r="J230" s="30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spans="1:22" s="29" customFormat="1" ht="18" customHeight="1" x14ac:dyDescent="0.25">
      <c r="A231" s="40">
        <v>221</v>
      </c>
      <c r="B231" s="54">
        <v>46031</v>
      </c>
      <c r="C231" s="53" t="s">
        <v>255</v>
      </c>
      <c r="D231" s="53">
        <v>40</v>
      </c>
      <c r="E231" s="53" t="s">
        <v>20</v>
      </c>
      <c r="F231" s="53" t="s">
        <v>34</v>
      </c>
      <c r="G231" s="45">
        <v>330000</v>
      </c>
      <c r="H231" s="53" t="s">
        <v>23</v>
      </c>
      <c r="I231" s="29" t="s">
        <v>275</v>
      </c>
      <c r="J231" s="30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spans="1:22" s="29" customFormat="1" ht="18" customHeight="1" x14ac:dyDescent="0.25">
      <c r="A232" s="40">
        <v>222</v>
      </c>
      <c r="B232" s="54">
        <v>46031</v>
      </c>
      <c r="C232" s="53" t="s">
        <v>256</v>
      </c>
      <c r="D232" s="53">
        <v>40</v>
      </c>
      <c r="E232" s="53" t="s">
        <v>20</v>
      </c>
      <c r="F232" s="53" t="s">
        <v>34</v>
      </c>
      <c r="G232" s="45">
        <v>330000</v>
      </c>
      <c r="H232" s="53" t="s">
        <v>23</v>
      </c>
      <c r="I232" s="29" t="s">
        <v>275</v>
      </c>
      <c r="J232" s="30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spans="1:22" s="29" customFormat="1" ht="18" customHeight="1" x14ac:dyDescent="0.25">
      <c r="A233" s="40">
        <v>223</v>
      </c>
      <c r="B233" s="54">
        <v>46031</v>
      </c>
      <c r="C233" s="53" t="s">
        <v>257</v>
      </c>
      <c r="D233" s="53">
        <v>40</v>
      </c>
      <c r="E233" s="53" t="s">
        <v>20</v>
      </c>
      <c r="F233" s="53" t="s">
        <v>34</v>
      </c>
      <c r="G233" s="45">
        <v>330000</v>
      </c>
      <c r="H233" s="53" t="s">
        <v>23</v>
      </c>
      <c r="I233" s="29" t="s">
        <v>275</v>
      </c>
      <c r="J233" s="30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spans="1:22" s="29" customFormat="1" ht="18" customHeight="1" x14ac:dyDescent="0.25">
      <c r="A234" s="40">
        <v>224</v>
      </c>
      <c r="B234" s="54">
        <v>46031</v>
      </c>
      <c r="C234" s="53" t="s">
        <v>258</v>
      </c>
      <c r="D234" s="53">
        <v>40</v>
      </c>
      <c r="E234" s="53" t="s">
        <v>20</v>
      </c>
      <c r="F234" s="53" t="s">
        <v>34</v>
      </c>
      <c r="G234" s="45">
        <v>330000</v>
      </c>
      <c r="H234" s="53" t="s">
        <v>23</v>
      </c>
      <c r="I234" s="29" t="s">
        <v>275</v>
      </c>
      <c r="J234" s="30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spans="1:22" s="29" customFormat="1" ht="18" customHeight="1" x14ac:dyDescent="0.25">
      <c r="A235" s="40">
        <v>225</v>
      </c>
      <c r="B235" s="54">
        <v>46031</v>
      </c>
      <c r="C235" s="53" t="s">
        <v>259</v>
      </c>
      <c r="D235" s="53">
        <v>40</v>
      </c>
      <c r="E235" s="53" t="s">
        <v>20</v>
      </c>
      <c r="F235" s="53" t="s">
        <v>34</v>
      </c>
      <c r="G235" s="45">
        <v>330000</v>
      </c>
      <c r="H235" s="53" t="s">
        <v>23</v>
      </c>
      <c r="I235" s="29" t="s">
        <v>275</v>
      </c>
      <c r="J235" s="30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spans="1:22" s="29" customFormat="1" ht="18" customHeight="1" x14ac:dyDescent="0.25">
      <c r="A236" s="40">
        <v>226</v>
      </c>
      <c r="B236" s="54">
        <v>46030</v>
      </c>
      <c r="C236" s="53" t="s">
        <v>260</v>
      </c>
      <c r="D236" s="53">
        <v>40</v>
      </c>
      <c r="E236" s="53" t="s">
        <v>20</v>
      </c>
      <c r="F236" s="53" t="s">
        <v>34</v>
      </c>
      <c r="G236" s="45">
        <v>330000</v>
      </c>
      <c r="H236" s="53" t="s">
        <v>21</v>
      </c>
      <c r="I236" s="29" t="s">
        <v>274</v>
      </c>
      <c r="J236" s="30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spans="1:22" s="29" customFormat="1" ht="18" customHeight="1" x14ac:dyDescent="0.25">
      <c r="A237" s="40">
        <v>227</v>
      </c>
      <c r="B237" s="54">
        <v>46030</v>
      </c>
      <c r="C237" s="53" t="s">
        <v>261</v>
      </c>
      <c r="D237" s="53">
        <v>40</v>
      </c>
      <c r="E237" s="53" t="s">
        <v>20</v>
      </c>
      <c r="F237" s="53" t="s">
        <v>34</v>
      </c>
      <c r="G237" s="45">
        <v>330000</v>
      </c>
      <c r="H237" s="53" t="s">
        <v>21</v>
      </c>
      <c r="I237" s="29" t="s">
        <v>274</v>
      </c>
      <c r="J237" s="30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spans="1:22" s="29" customFormat="1" ht="18" customHeight="1" x14ac:dyDescent="0.25">
      <c r="A238" s="40">
        <v>228</v>
      </c>
      <c r="B238" s="54">
        <v>46030</v>
      </c>
      <c r="C238" s="53" t="s">
        <v>262</v>
      </c>
      <c r="D238" s="53">
        <v>40</v>
      </c>
      <c r="E238" s="53" t="s">
        <v>20</v>
      </c>
      <c r="F238" s="53" t="s">
        <v>34</v>
      </c>
      <c r="G238" s="45">
        <v>330000</v>
      </c>
      <c r="H238" s="53" t="s">
        <v>21</v>
      </c>
      <c r="I238" s="29" t="s">
        <v>274</v>
      </c>
      <c r="J238" s="30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spans="1:22" s="29" customFormat="1" ht="18" customHeight="1" x14ac:dyDescent="0.25">
      <c r="A239" s="40">
        <v>229</v>
      </c>
      <c r="B239" s="54">
        <v>46031</v>
      </c>
      <c r="C239" s="94" t="s">
        <v>263</v>
      </c>
      <c r="D239" s="82">
        <v>40</v>
      </c>
      <c r="E239" s="82" t="s">
        <v>20</v>
      </c>
      <c r="F239" s="95" t="s">
        <v>34</v>
      </c>
      <c r="G239" s="45">
        <v>330000</v>
      </c>
      <c r="H239" s="53" t="s">
        <v>21</v>
      </c>
      <c r="I239" s="29" t="s">
        <v>275</v>
      </c>
      <c r="J239" s="30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spans="1:22" s="29" customFormat="1" ht="18" customHeight="1" x14ac:dyDescent="0.25">
      <c r="A240" s="40">
        <v>230</v>
      </c>
      <c r="B240" s="54">
        <v>46031</v>
      </c>
      <c r="C240" s="94" t="s">
        <v>264</v>
      </c>
      <c r="D240" s="53">
        <v>40</v>
      </c>
      <c r="E240" s="53" t="s">
        <v>20</v>
      </c>
      <c r="F240" s="95" t="s">
        <v>34</v>
      </c>
      <c r="G240" s="45">
        <v>330000</v>
      </c>
      <c r="H240" s="53" t="s">
        <v>21</v>
      </c>
      <c r="I240" s="29" t="s">
        <v>275</v>
      </c>
      <c r="J240" s="30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spans="1:22" s="29" customFormat="1" ht="18" customHeight="1" x14ac:dyDescent="0.25">
      <c r="A241" s="40">
        <v>231</v>
      </c>
      <c r="B241" s="54">
        <v>46031</v>
      </c>
      <c r="C241" s="53" t="s">
        <v>265</v>
      </c>
      <c r="D241" s="82">
        <v>20</v>
      </c>
      <c r="E241" s="82" t="s">
        <v>20</v>
      </c>
      <c r="F241" s="95" t="s">
        <v>34</v>
      </c>
      <c r="G241" s="45">
        <v>175000</v>
      </c>
      <c r="H241" s="53" t="s">
        <v>21</v>
      </c>
      <c r="I241" s="29" t="s">
        <v>275</v>
      </c>
      <c r="J241" s="30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spans="1:22" s="29" customFormat="1" ht="18" customHeight="1" x14ac:dyDescent="0.25">
      <c r="A242" s="40">
        <v>232</v>
      </c>
      <c r="B242" s="54">
        <v>46031</v>
      </c>
      <c r="C242" s="53" t="s">
        <v>266</v>
      </c>
      <c r="D242" s="82">
        <v>20</v>
      </c>
      <c r="E242" s="82" t="s">
        <v>20</v>
      </c>
      <c r="F242" s="95" t="s">
        <v>34</v>
      </c>
      <c r="G242" s="45">
        <v>175000</v>
      </c>
      <c r="H242" s="53" t="s">
        <v>21</v>
      </c>
      <c r="I242" s="29" t="s">
        <v>275</v>
      </c>
      <c r="J242" s="30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spans="1:22" s="112" customFormat="1" ht="18" customHeight="1" x14ac:dyDescent="0.25">
      <c r="A243" s="111">
        <v>233</v>
      </c>
      <c r="B243" s="107">
        <v>46046</v>
      </c>
      <c r="C243" s="108" t="s">
        <v>276</v>
      </c>
      <c r="D243" s="109">
        <v>20</v>
      </c>
      <c r="E243" s="109" t="s">
        <v>20</v>
      </c>
      <c r="F243" s="109" t="s">
        <v>34</v>
      </c>
      <c r="G243" s="110">
        <v>175000</v>
      </c>
      <c r="H243" s="108" t="s">
        <v>23</v>
      </c>
      <c r="J243" s="113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</row>
    <row r="244" spans="1:22" s="29" customFormat="1" ht="18" customHeight="1" x14ac:dyDescent="0.25">
      <c r="A244" s="40">
        <v>234</v>
      </c>
      <c r="B244" s="54">
        <v>46046</v>
      </c>
      <c r="C244" s="106" t="s">
        <v>277</v>
      </c>
      <c r="D244" s="53">
        <v>20</v>
      </c>
      <c r="E244" s="53" t="s">
        <v>20</v>
      </c>
      <c r="F244" s="53" t="s">
        <v>34</v>
      </c>
      <c r="G244" s="45">
        <v>175000</v>
      </c>
      <c r="H244" s="106" t="s">
        <v>23</v>
      </c>
      <c r="J244" s="30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spans="1:22" s="29" customFormat="1" ht="18" customHeight="1" x14ac:dyDescent="0.25">
      <c r="A245" s="40">
        <v>235</v>
      </c>
      <c r="B245" s="105">
        <v>46046</v>
      </c>
      <c r="C245" s="106" t="s">
        <v>278</v>
      </c>
      <c r="D245" s="53">
        <v>40</v>
      </c>
      <c r="E245" s="53" t="s">
        <v>20</v>
      </c>
      <c r="F245" s="53" t="s">
        <v>34</v>
      </c>
      <c r="G245" s="45">
        <v>330000</v>
      </c>
      <c r="H245" s="106" t="s">
        <v>23</v>
      </c>
      <c r="J245" s="30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spans="1:22" s="29" customFormat="1" ht="18" customHeight="1" x14ac:dyDescent="0.25">
      <c r="A246" s="40">
        <v>236</v>
      </c>
      <c r="B246" s="54">
        <v>46046</v>
      </c>
      <c r="C246" s="106" t="s">
        <v>279</v>
      </c>
      <c r="D246" s="53">
        <v>40</v>
      </c>
      <c r="E246" s="53" t="s">
        <v>20</v>
      </c>
      <c r="F246" s="53" t="s">
        <v>34</v>
      </c>
      <c r="G246" s="45">
        <v>330000</v>
      </c>
      <c r="H246" s="106" t="s">
        <v>23</v>
      </c>
      <c r="J246" s="30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spans="1:22" s="29" customFormat="1" ht="18" customHeight="1" x14ac:dyDescent="0.25">
      <c r="A247" s="40">
        <v>237</v>
      </c>
      <c r="B247" s="105">
        <v>46046</v>
      </c>
      <c r="C247" s="106" t="s">
        <v>280</v>
      </c>
      <c r="D247" s="53">
        <v>40</v>
      </c>
      <c r="E247" s="53" t="s">
        <v>20</v>
      </c>
      <c r="F247" s="53" t="s">
        <v>34</v>
      </c>
      <c r="G247" s="45">
        <v>330000</v>
      </c>
      <c r="H247" s="106" t="s">
        <v>23</v>
      </c>
      <c r="J247" s="30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spans="1:22" s="29" customFormat="1" ht="18" customHeight="1" x14ac:dyDescent="0.25">
      <c r="A248" s="40">
        <v>238</v>
      </c>
      <c r="B248" s="54">
        <v>46046</v>
      </c>
      <c r="C248" s="106" t="s">
        <v>281</v>
      </c>
      <c r="D248" s="53">
        <v>40</v>
      </c>
      <c r="E248" s="53" t="s">
        <v>20</v>
      </c>
      <c r="F248" s="53" t="s">
        <v>34</v>
      </c>
      <c r="G248" s="45">
        <v>330000</v>
      </c>
      <c r="H248" s="106" t="s">
        <v>23</v>
      </c>
      <c r="J248" s="30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spans="1:22" s="29" customFormat="1" ht="18" customHeight="1" x14ac:dyDescent="0.25">
      <c r="A249" s="40">
        <v>239</v>
      </c>
      <c r="B249" s="105">
        <v>46046</v>
      </c>
      <c r="C249" s="106" t="s">
        <v>282</v>
      </c>
      <c r="D249" s="53">
        <v>20</v>
      </c>
      <c r="E249" s="53" t="s">
        <v>20</v>
      </c>
      <c r="F249" s="53" t="s">
        <v>34</v>
      </c>
      <c r="G249" s="45">
        <v>175000</v>
      </c>
      <c r="H249" s="106" t="s">
        <v>35</v>
      </c>
      <c r="J249" s="30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spans="1:22" s="29" customFormat="1" ht="18" customHeight="1" x14ac:dyDescent="0.25">
      <c r="A250" s="40">
        <v>240</v>
      </c>
      <c r="B250" s="54">
        <v>46046</v>
      </c>
      <c r="C250" s="106" t="s">
        <v>283</v>
      </c>
      <c r="D250" s="53">
        <v>20</v>
      </c>
      <c r="E250" s="53" t="s">
        <v>20</v>
      </c>
      <c r="F250" s="53" t="s">
        <v>34</v>
      </c>
      <c r="G250" s="45">
        <v>175000</v>
      </c>
      <c r="H250" s="106" t="s">
        <v>35</v>
      </c>
      <c r="J250" s="30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spans="1:22" s="29" customFormat="1" ht="18" customHeight="1" x14ac:dyDescent="0.25">
      <c r="A251" s="40">
        <v>241</v>
      </c>
      <c r="B251" s="105">
        <v>46046</v>
      </c>
      <c r="C251" s="106" t="s">
        <v>284</v>
      </c>
      <c r="D251" s="53">
        <v>40</v>
      </c>
      <c r="E251" s="53" t="s">
        <v>20</v>
      </c>
      <c r="F251" s="53" t="s">
        <v>34</v>
      </c>
      <c r="G251" s="45">
        <v>330000</v>
      </c>
      <c r="H251" s="106" t="s">
        <v>296</v>
      </c>
      <c r="J251" s="30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spans="1:22" s="29" customFormat="1" ht="18" customHeight="1" x14ac:dyDescent="0.25">
      <c r="A252" s="40">
        <v>242</v>
      </c>
      <c r="B252" s="54">
        <v>46046</v>
      </c>
      <c r="C252" s="106" t="s">
        <v>285</v>
      </c>
      <c r="D252" s="53">
        <v>40</v>
      </c>
      <c r="E252" s="53" t="s">
        <v>20</v>
      </c>
      <c r="F252" s="53" t="s">
        <v>34</v>
      </c>
      <c r="G252" s="45">
        <v>330000</v>
      </c>
      <c r="H252" s="106" t="s">
        <v>296</v>
      </c>
      <c r="J252" s="30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spans="1:22" s="29" customFormat="1" ht="18" customHeight="1" x14ac:dyDescent="0.25">
      <c r="A253" s="40">
        <v>243</v>
      </c>
      <c r="B253" s="105">
        <v>46046</v>
      </c>
      <c r="C253" s="106" t="s">
        <v>286</v>
      </c>
      <c r="D253" s="53">
        <v>40</v>
      </c>
      <c r="E253" s="53" t="s">
        <v>20</v>
      </c>
      <c r="F253" s="53" t="s">
        <v>34</v>
      </c>
      <c r="G253" s="45">
        <v>330000</v>
      </c>
      <c r="H253" s="106" t="s">
        <v>296</v>
      </c>
      <c r="J253" s="30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spans="1:22" s="29" customFormat="1" ht="18" customHeight="1" x14ac:dyDescent="0.25">
      <c r="A254" s="40">
        <v>244</v>
      </c>
      <c r="B254" s="54">
        <v>46046</v>
      </c>
      <c r="C254" s="106" t="s">
        <v>287</v>
      </c>
      <c r="D254" s="53">
        <v>20</v>
      </c>
      <c r="E254" s="53" t="s">
        <v>20</v>
      </c>
      <c r="F254" s="53" t="s">
        <v>34</v>
      </c>
      <c r="G254" s="45">
        <v>175000</v>
      </c>
      <c r="H254" s="106" t="s">
        <v>296</v>
      </c>
      <c r="J254" s="30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spans="1:22" s="29" customFormat="1" ht="18" customHeight="1" x14ac:dyDescent="0.25">
      <c r="A255" s="40">
        <v>245</v>
      </c>
      <c r="B255" s="105">
        <v>46046</v>
      </c>
      <c r="C255" s="106" t="s">
        <v>288</v>
      </c>
      <c r="D255" s="53">
        <v>20</v>
      </c>
      <c r="E255" s="53" t="s">
        <v>20</v>
      </c>
      <c r="F255" s="53" t="s">
        <v>34</v>
      </c>
      <c r="G255" s="45">
        <v>175000</v>
      </c>
      <c r="H255" s="106" t="s">
        <v>296</v>
      </c>
      <c r="J255" s="30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spans="1:22" s="29" customFormat="1" ht="18" customHeight="1" x14ac:dyDescent="0.25">
      <c r="A256" s="40">
        <v>246</v>
      </c>
      <c r="B256" s="54">
        <v>46046</v>
      </c>
      <c r="C256" s="106" t="s">
        <v>289</v>
      </c>
      <c r="D256" s="53">
        <v>20</v>
      </c>
      <c r="E256" s="53" t="s">
        <v>20</v>
      </c>
      <c r="F256" s="53" t="s">
        <v>34</v>
      </c>
      <c r="G256" s="45">
        <v>175000</v>
      </c>
      <c r="H256" s="106" t="s">
        <v>296</v>
      </c>
      <c r="J256" s="30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spans="1:22" s="29" customFormat="1" ht="18" customHeight="1" x14ac:dyDescent="0.25">
      <c r="A257" s="40">
        <v>247</v>
      </c>
      <c r="B257" s="105">
        <v>46046</v>
      </c>
      <c r="C257" s="106" t="s">
        <v>290</v>
      </c>
      <c r="D257" s="53">
        <v>20</v>
      </c>
      <c r="E257" s="53" t="s">
        <v>20</v>
      </c>
      <c r="F257" s="53" t="s">
        <v>34</v>
      </c>
      <c r="G257" s="45">
        <v>175000</v>
      </c>
      <c r="H257" s="106" t="s">
        <v>296</v>
      </c>
      <c r="J257" s="30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spans="1:22" s="29" customFormat="1" ht="18" customHeight="1" x14ac:dyDescent="0.25">
      <c r="A258" s="40">
        <v>248</v>
      </c>
      <c r="B258" s="54">
        <v>46046</v>
      </c>
      <c r="C258" s="106" t="s">
        <v>291</v>
      </c>
      <c r="D258" s="53">
        <v>40</v>
      </c>
      <c r="E258" s="53" t="s">
        <v>20</v>
      </c>
      <c r="F258" s="53" t="s">
        <v>34</v>
      </c>
      <c r="G258" s="45">
        <v>330000</v>
      </c>
      <c r="H258" s="106" t="s">
        <v>296</v>
      </c>
      <c r="J258" s="30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spans="1:22" s="29" customFormat="1" ht="18" customHeight="1" x14ac:dyDescent="0.25">
      <c r="A259" s="40">
        <v>249</v>
      </c>
      <c r="B259" s="105">
        <v>46046</v>
      </c>
      <c r="C259" s="106" t="s">
        <v>292</v>
      </c>
      <c r="D259" s="53">
        <v>40</v>
      </c>
      <c r="E259" s="53" t="s">
        <v>20</v>
      </c>
      <c r="F259" s="53" t="s">
        <v>34</v>
      </c>
      <c r="G259" s="45">
        <v>330000</v>
      </c>
      <c r="H259" s="106" t="s">
        <v>296</v>
      </c>
      <c r="J259" s="30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spans="1:22" s="29" customFormat="1" ht="18" customHeight="1" x14ac:dyDescent="0.25">
      <c r="A260" s="40">
        <v>250</v>
      </c>
      <c r="B260" s="54">
        <v>46046</v>
      </c>
      <c r="C260" s="106" t="s">
        <v>293</v>
      </c>
      <c r="D260" s="53">
        <v>40</v>
      </c>
      <c r="E260" s="53" t="s">
        <v>20</v>
      </c>
      <c r="F260" s="53" t="s">
        <v>34</v>
      </c>
      <c r="G260" s="45">
        <v>330000</v>
      </c>
      <c r="H260" s="106" t="s">
        <v>296</v>
      </c>
      <c r="J260" s="30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spans="1:22" s="29" customFormat="1" ht="18" customHeight="1" x14ac:dyDescent="0.25">
      <c r="A261" s="40">
        <v>251</v>
      </c>
      <c r="B261" s="105">
        <v>46046</v>
      </c>
      <c r="C261" s="106" t="s">
        <v>294</v>
      </c>
      <c r="D261" s="53">
        <v>40</v>
      </c>
      <c r="E261" s="53" t="s">
        <v>20</v>
      </c>
      <c r="F261" s="53" t="s">
        <v>34</v>
      </c>
      <c r="G261" s="45">
        <v>330000</v>
      </c>
      <c r="H261" s="106" t="s">
        <v>296</v>
      </c>
      <c r="J261" s="30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spans="1:22" s="29" customFormat="1" ht="18" customHeight="1" x14ac:dyDescent="0.25">
      <c r="A262" s="40">
        <v>252</v>
      </c>
      <c r="B262" s="54">
        <v>46046</v>
      </c>
      <c r="C262" s="106" t="s">
        <v>295</v>
      </c>
      <c r="D262" s="53">
        <v>40</v>
      </c>
      <c r="E262" s="53" t="s">
        <v>20</v>
      </c>
      <c r="F262" s="53" t="s">
        <v>34</v>
      </c>
      <c r="G262" s="45">
        <v>330000</v>
      </c>
      <c r="H262" s="106" t="s">
        <v>296</v>
      </c>
      <c r="J262" s="30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spans="1:22" s="29" customFormat="1" ht="18" customHeight="1" x14ac:dyDescent="0.25">
      <c r="A263" s="40">
        <v>253</v>
      </c>
      <c r="B263" s="54">
        <v>46046</v>
      </c>
      <c r="C263" s="53" t="s">
        <v>297</v>
      </c>
      <c r="D263" s="53">
        <v>20</v>
      </c>
      <c r="E263" s="53" t="s">
        <v>20</v>
      </c>
      <c r="F263" s="53" t="s">
        <v>34</v>
      </c>
      <c r="G263" s="45">
        <v>175000</v>
      </c>
      <c r="H263" s="53" t="s">
        <v>30</v>
      </c>
      <c r="J263" s="30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spans="1:22" s="29" customFormat="1" ht="18" customHeight="1" x14ac:dyDescent="0.25">
      <c r="A264" s="40">
        <v>254</v>
      </c>
      <c r="B264" s="54">
        <v>46046</v>
      </c>
      <c r="C264" s="53" t="s">
        <v>298</v>
      </c>
      <c r="D264" s="53">
        <v>20</v>
      </c>
      <c r="E264" s="53" t="s">
        <v>20</v>
      </c>
      <c r="F264" s="53" t="s">
        <v>34</v>
      </c>
      <c r="G264" s="45">
        <v>175000</v>
      </c>
      <c r="H264" s="53" t="s">
        <v>30</v>
      </c>
      <c r="J264" s="30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spans="1:22" s="29" customFormat="1" ht="18" customHeight="1" x14ac:dyDescent="0.25">
      <c r="A265" s="40">
        <v>255</v>
      </c>
      <c r="B265" s="54">
        <v>46046</v>
      </c>
      <c r="C265" s="53" t="s">
        <v>299</v>
      </c>
      <c r="D265" s="53">
        <v>40</v>
      </c>
      <c r="E265" s="53" t="s">
        <v>20</v>
      </c>
      <c r="F265" s="53" t="s">
        <v>34</v>
      </c>
      <c r="G265" s="45">
        <v>330000</v>
      </c>
      <c r="H265" s="53" t="s">
        <v>30</v>
      </c>
      <c r="J265" s="30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spans="1:22" s="29" customFormat="1" ht="18" customHeight="1" x14ac:dyDescent="0.25">
      <c r="A266" s="40">
        <v>256</v>
      </c>
      <c r="B266" s="54">
        <v>46046</v>
      </c>
      <c r="C266" s="53" t="s">
        <v>300</v>
      </c>
      <c r="D266" s="53">
        <v>40</v>
      </c>
      <c r="E266" s="53" t="s">
        <v>20</v>
      </c>
      <c r="F266" s="53" t="s">
        <v>34</v>
      </c>
      <c r="G266" s="45">
        <v>330000</v>
      </c>
      <c r="H266" s="53" t="s">
        <v>30</v>
      </c>
      <c r="J266" s="30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spans="1:22" s="29" customFormat="1" ht="18" customHeight="1" x14ac:dyDescent="0.25">
      <c r="A267" s="40">
        <v>257</v>
      </c>
      <c r="B267" s="54">
        <v>46046</v>
      </c>
      <c r="C267" s="55" t="s">
        <v>301</v>
      </c>
      <c r="D267" s="53">
        <v>40</v>
      </c>
      <c r="E267" s="53" t="s">
        <v>20</v>
      </c>
      <c r="F267" s="53" t="s">
        <v>34</v>
      </c>
      <c r="G267" s="45">
        <v>330000</v>
      </c>
      <c r="H267" s="53" t="s">
        <v>30</v>
      </c>
      <c r="J267" s="30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spans="1:22" s="29" customFormat="1" ht="18" customHeight="1" x14ac:dyDescent="0.25">
      <c r="A268" s="40">
        <v>258</v>
      </c>
      <c r="B268" s="54">
        <v>46046</v>
      </c>
      <c r="C268" s="53" t="s">
        <v>302</v>
      </c>
      <c r="D268" s="53">
        <v>20</v>
      </c>
      <c r="E268" s="53" t="s">
        <v>20</v>
      </c>
      <c r="F268" s="53" t="s">
        <v>34</v>
      </c>
      <c r="G268" s="45">
        <v>175000</v>
      </c>
      <c r="H268" s="53" t="s">
        <v>30</v>
      </c>
      <c r="J268" s="30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spans="1:22" s="29" customFormat="1" ht="18" customHeight="1" x14ac:dyDescent="0.25">
      <c r="A269" s="40">
        <v>259</v>
      </c>
      <c r="B269" s="54">
        <v>46046</v>
      </c>
      <c r="C269" s="53" t="s">
        <v>303</v>
      </c>
      <c r="D269" s="53">
        <v>20</v>
      </c>
      <c r="E269" s="53" t="s">
        <v>20</v>
      </c>
      <c r="F269" s="53" t="s">
        <v>34</v>
      </c>
      <c r="G269" s="45">
        <v>175000</v>
      </c>
      <c r="H269" s="53" t="s">
        <v>30</v>
      </c>
      <c r="J269" s="30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spans="1:22" s="29" customFormat="1" ht="18" customHeight="1" x14ac:dyDescent="0.25">
      <c r="A270" s="40">
        <v>260</v>
      </c>
      <c r="B270" s="54">
        <v>46046</v>
      </c>
      <c r="C270" s="53" t="s">
        <v>304</v>
      </c>
      <c r="D270" s="53">
        <v>40</v>
      </c>
      <c r="E270" s="53" t="s">
        <v>20</v>
      </c>
      <c r="F270" s="53" t="s">
        <v>34</v>
      </c>
      <c r="G270" s="45">
        <v>330000</v>
      </c>
      <c r="H270" s="53" t="s">
        <v>30</v>
      </c>
      <c r="J270" s="30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spans="1:22" s="29" customFormat="1" ht="18" customHeight="1" x14ac:dyDescent="0.25">
      <c r="A271" s="40">
        <v>261</v>
      </c>
      <c r="B271" s="105">
        <v>46046</v>
      </c>
      <c r="C271" s="106" t="s">
        <v>305</v>
      </c>
      <c r="D271" s="53">
        <v>40</v>
      </c>
      <c r="E271" s="53" t="s">
        <v>20</v>
      </c>
      <c r="F271" s="53" t="s">
        <v>34</v>
      </c>
      <c r="G271" s="45">
        <v>330000</v>
      </c>
      <c r="H271" s="53" t="s">
        <v>30</v>
      </c>
      <c r="J271" s="30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spans="1:22" s="29" customFormat="1" ht="18" customHeight="1" x14ac:dyDescent="0.25">
      <c r="A272" s="40">
        <v>262</v>
      </c>
      <c r="B272" s="105">
        <v>46046</v>
      </c>
      <c r="C272" s="106" t="s">
        <v>306</v>
      </c>
      <c r="D272" s="53">
        <v>20</v>
      </c>
      <c r="E272" s="53" t="s">
        <v>20</v>
      </c>
      <c r="F272" s="53" t="s">
        <v>31</v>
      </c>
      <c r="G272" s="45">
        <v>175000</v>
      </c>
      <c r="H272" s="106" t="s">
        <v>28</v>
      </c>
      <c r="J272" s="30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spans="1:22" s="29" customFormat="1" ht="18" customHeight="1" x14ac:dyDescent="0.25">
      <c r="A273" s="40">
        <v>263</v>
      </c>
      <c r="B273" s="54">
        <v>46046</v>
      </c>
      <c r="C273" s="106" t="s">
        <v>307</v>
      </c>
      <c r="D273" s="53">
        <v>20</v>
      </c>
      <c r="E273" s="53" t="s">
        <v>20</v>
      </c>
      <c r="F273" s="53" t="s">
        <v>31</v>
      </c>
      <c r="G273" s="45">
        <v>175000</v>
      </c>
      <c r="H273" s="106" t="s">
        <v>28</v>
      </c>
      <c r="J273" s="30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spans="1:22" s="29" customFormat="1" ht="18" customHeight="1" x14ac:dyDescent="0.25">
      <c r="A274" s="40">
        <v>264</v>
      </c>
      <c r="B274" s="105">
        <v>46046</v>
      </c>
      <c r="C274" s="55" t="s">
        <v>308</v>
      </c>
      <c r="D274" s="53">
        <v>20</v>
      </c>
      <c r="E274" s="53" t="s">
        <v>20</v>
      </c>
      <c r="F274" s="53" t="s">
        <v>31</v>
      </c>
      <c r="G274" s="45">
        <v>175000</v>
      </c>
      <c r="H274" s="106" t="s">
        <v>28</v>
      </c>
      <c r="J274" s="30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spans="1:22" s="29" customFormat="1" ht="18" customHeight="1" x14ac:dyDescent="0.25">
      <c r="A275" s="40">
        <v>265</v>
      </c>
      <c r="B275" s="54">
        <v>46046</v>
      </c>
      <c r="C275" s="55" t="s">
        <v>309</v>
      </c>
      <c r="D275" s="53">
        <v>20</v>
      </c>
      <c r="E275" s="53" t="s">
        <v>20</v>
      </c>
      <c r="F275" s="53" t="s">
        <v>31</v>
      </c>
      <c r="G275" s="45">
        <v>175000</v>
      </c>
      <c r="H275" s="106" t="s">
        <v>28</v>
      </c>
      <c r="J275" s="30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spans="1:22" s="29" customFormat="1" ht="18" customHeight="1" x14ac:dyDescent="0.25">
      <c r="A276" s="40">
        <v>266</v>
      </c>
      <c r="B276" s="105">
        <v>46046</v>
      </c>
      <c r="C276" s="55" t="s">
        <v>310</v>
      </c>
      <c r="D276" s="53">
        <v>40</v>
      </c>
      <c r="E276" s="53" t="s">
        <v>20</v>
      </c>
      <c r="F276" s="53" t="s">
        <v>31</v>
      </c>
      <c r="G276" s="45">
        <v>330000</v>
      </c>
      <c r="H276" s="106" t="s">
        <v>28</v>
      </c>
      <c r="J276" s="30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spans="1:22" s="29" customFormat="1" ht="18" customHeight="1" x14ac:dyDescent="0.25">
      <c r="A277" s="40">
        <v>267</v>
      </c>
      <c r="B277" s="54">
        <v>46046</v>
      </c>
      <c r="C277" s="55" t="s">
        <v>311</v>
      </c>
      <c r="D277" s="53">
        <v>40</v>
      </c>
      <c r="E277" s="53" t="s">
        <v>20</v>
      </c>
      <c r="F277" s="53" t="s">
        <v>31</v>
      </c>
      <c r="G277" s="45">
        <v>330000</v>
      </c>
      <c r="H277" s="106" t="s">
        <v>28</v>
      </c>
      <c r="J277" s="30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spans="1:22" s="29" customFormat="1" ht="18" customHeight="1" x14ac:dyDescent="0.25">
      <c r="A278" s="40">
        <v>268</v>
      </c>
      <c r="B278" s="105">
        <v>46046</v>
      </c>
      <c r="C278" s="55" t="s">
        <v>312</v>
      </c>
      <c r="D278" s="53">
        <v>40</v>
      </c>
      <c r="E278" s="53" t="s">
        <v>20</v>
      </c>
      <c r="F278" s="53" t="s">
        <v>31</v>
      </c>
      <c r="G278" s="45">
        <v>330000</v>
      </c>
      <c r="H278" s="106" t="s">
        <v>28</v>
      </c>
      <c r="J278" s="30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spans="1:22" s="29" customFormat="1" ht="18" customHeight="1" x14ac:dyDescent="0.25">
      <c r="A279" s="40">
        <v>269</v>
      </c>
      <c r="B279" s="54">
        <v>46046</v>
      </c>
      <c r="C279" s="55" t="s">
        <v>313</v>
      </c>
      <c r="D279" s="53">
        <v>40</v>
      </c>
      <c r="E279" s="53" t="s">
        <v>20</v>
      </c>
      <c r="F279" s="53" t="s">
        <v>31</v>
      </c>
      <c r="G279" s="45">
        <v>330000</v>
      </c>
      <c r="H279" s="106" t="s">
        <v>28</v>
      </c>
      <c r="J279" s="30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spans="1:22" s="29" customFormat="1" ht="18" customHeight="1" x14ac:dyDescent="0.25">
      <c r="A280" s="40">
        <v>270</v>
      </c>
      <c r="B280" s="105">
        <v>46046</v>
      </c>
      <c r="C280" s="55" t="s">
        <v>314</v>
      </c>
      <c r="D280" s="53">
        <v>40</v>
      </c>
      <c r="E280" s="53" t="s">
        <v>20</v>
      </c>
      <c r="F280" s="53" t="s">
        <v>31</v>
      </c>
      <c r="G280" s="45">
        <v>330000</v>
      </c>
      <c r="H280" s="53" t="s">
        <v>334</v>
      </c>
      <c r="J280" s="30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spans="1:22" s="29" customFormat="1" ht="18" customHeight="1" x14ac:dyDescent="0.25">
      <c r="A281" s="40">
        <v>271</v>
      </c>
      <c r="B281" s="54">
        <v>46046</v>
      </c>
      <c r="C281" s="55" t="s">
        <v>315</v>
      </c>
      <c r="D281" s="53">
        <v>40</v>
      </c>
      <c r="E281" s="53" t="s">
        <v>20</v>
      </c>
      <c r="F281" s="53" t="s">
        <v>31</v>
      </c>
      <c r="G281" s="45">
        <v>330000</v>
      </c>
      <c r="H281" s="53" t="s">
        <v>334</v>
      </c>
      <c r="J281" s="30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spans="1:22" s="29" customFormat="1" ht="18" customHeight="1" x14ac:dyDescent="0.25">
      <c r="A282" s="40">
        <v>272</v>
      </c>
      <c r="B282" s="105">
        <v>46046</v>
      </c>
      <c r="C282" s="55" t="s">
        <v>316</v>
      </c>
      <c r="D282" s="53">
        <v>40</v>
      </c>
      <c r="E282" s="53" t="s">
        <v>20</v>
      </c>
      <c r="F282" s="53" t="s">
        <v>31</v>
      </c>
      <c r="G282" s="45">
        <v>330000</v>
      </c>
      <c r="H282" s="53" t="s">
        <v>334</v>
      </c>
      <c r="J282" s="30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spans="1:22" s="29" customFormat="1" ht="18" customHeight="1" x14ac:dyDescent="0.25">
      <c r="A283" s="40">
        <v>273</v>
      </c>
      <c r="B283" s="54">
        <v>46046</v>
      </c>
      <c r="C283" s="55" t="s">
        <v>317</v>
      </c>
      <c r="D283" s="53">
        <v>40</v>
      </c>
      <c r="E283" s="53" t="s">
        <v>20</v>
      </c>
      <c r="F283" s="53" t="s">
        <v>31</v>
      </c>
      <c r="G283" s="45">
        <v>330000</v>
      </c>
      <c r="H283" s="53" t="s">
        <v>334</v>
      </c>
      <c r="J283" s="30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spans="1:22" s="29" customFormat="1" ht="18" customHeight="1" x14ac:dyDescent="0.25">
      <c r="A284" s="40">
        <v>274</v>
      </c>
      <c r="B284" s="105">
        <v>46046</v>
      </c>
      <c r="C284" s="55" t="s">
        <v>318</v>
      </c>
      <c r="D284" s="53">
        <v>40</v>
      </c>
      <c r="E284" s="53" t="s">
        <v>20</v>
      </c>
      <c r="F284" s="53" t="s">
        <v>31</v>
      </c>
      <c r="G284" s="45">
        <v>330000</v>
      </c>
      <c r="H284" s="53" t="s">
        <v>334</v>
      </c>
      <c r="J284" s="30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spans="1:22" s="29" customFormat="1" ht="18" customHeight="1" x14ac:dyDescent="0.25">
      <c r="A285" s="40">
        <v>275</v>
      </c>
      <c r="B285" s="54">
        <v>46046</v>
      </c>
      <c r="C285" s="53" t="s">
        <v>319</v>
      </c>
      <c r="D285" s="53">
        <v>40</v>
      </c>
      <c r="E285" s="53" t="s">
        <v>20</v>
      </c>
      <c r="F285" s="53" t="s">
        <v>31</v>
      </c>
      <c r="G285" s="45">
        <v>330000</v>
      </c>
      <c r="H285" s="53" t="s">
        <v>334</v>
      </c>
      <c r="J285" s="30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spans="1:22" s="29" customFormat="1" ht="18" customHeight="1" x14ac:dyDescent="0.25">
      <c r="A286" s="40">
        <v>276</v>
      </c>
      <c r="B286" s="105">
        <v>46046</v>
      </c>
      <c r="C286" s="53" t="s">
        <v>320</v>
      </c>
      <c r="D286" s="53">
        <v>40</v>
      </c>
      <c r="E286" s="53" t="s">
        <v>20</v>
      </c>
      <c r="F286" s="53" t="s">
        <v>31</v>
      </c>
      <c r="G286" s="45">
        <v>330000</v>
      </c>
      <c r="H286" s="53" t="s">
        <v>334</v>
      </c>
      <c r="J286" s="30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spans="1:22" s="29" customFormat="1" ht="18" customHeight="1" x14ac:dyDescent="0.25">
      <c r="A287" s="40">
        <v>277</v>
      </c>
      <c r="B287" s="54">
        <v>46046</v>
      </c>
      <c r="C287" s="53" t="s">
        <v>321</v>
      </c>
      <c r="D287" s="53">
        <v>40</v>
      </c>
      <c r="E287" s="53" t="s">
        <v>20</v>
      </c>
      <c r="F287" s="53" t="s">
        <v>31</v>
      </c>
      <c r="G287" s="45">
        <v>330000</v>
      </c>
      <c r="H287" s="53" t="s">
        <v>334</v>
      </c>
      <c r="J287" s="30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spans="1:22" s="29" customFormat="1" ht="18" customHeight="1" x14ac:dyDescent="0.25">
      <c r="A288" s="40">
        <v>278</v>
      </c>
      <c r="B288" s="105">
        <v>46046</v>
      </c>
      <c r="C288" s="53" t="s">
        <v>322</v>
      </c>
      <c r="D288" s="53">
        <v>40</v>
      </c>
      <c r="E288" s="53" t="s">
        <v>20</v>
      </c>
      <c r="F288" s="53" t="s">
        <v>31</v>
      </c>
      <c r="G288" s="45">
        <v>330000</v>
      </c>
      <c r="H288" s="53" t="s">
        <v>334</v>
      </c>
      <c r="J288" s="30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spans="1:22" s="29" customFormat="1" ht="18" customHeight="1" x14ac:dyDescent="0.25">
      <c r="A289" s="40">
        <v>279</v>
      </c>
      <c r="B289" s="54">
        <v>46046</v>
      </c>
      <c r="C289" s="53" t="s">
        <v>323</v>
      </c>
      <c r="D289" s="53">
        <v>40</v>
      </c>
      <c r="E289" s="53" t="s">
        <v>20</v>
      </c>
      <c r="F289" s="53" t="s">
        <v>31</v>
      </c>
      <c r="G289" s="45">
        <v>330000</v>
      </c>
      <c r="H289" s="53" t="s">
        <v>334</v>
      </c>
      <c r="J289" s="30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spans="1:22" s="29" customFormat="1" ht="18" customHeight="1" x14ac:dyDescent="0.25">
      <c r="A290" s="40">
        <v>280</v>
      </c>
      <c r="B290" s="105">
        <v>46046</v>
      </c>
      <c r="C290" s="53" t="s">
        <v>324</v>
      </c>
      <c r="D290" s="53">
        <v>20</v>
      </c>
      <c r="E290" s="53" t="s">
        <v>20</v>
      </c>
      <c r="F290" s="53" t="s">
        <v>31</v>
      </c>
      <c r="G290" s="45">
        <v>175000</v>
      </c>
      <c r="H290" s="53" t="s">
        <v>334</v>
      </c>
      <c r="J290" s="30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spans="1:22" s="29" customFormat="1" ht="18" customHeight="1" x14ac:dyDescent="0.25">
      <c r="A291" s="40">
        <v>281</v>
      </c>
      <c r="B291" s="54">
        <v>46046</v>
      </c>
      <c r="C291" s="53" t="s">
        <v>325</v>
      </c>
      <c r="D291" s="53">
        <v>20</v>
      </c>
      <c r="E291" s="53" t="s">
        <v>20</v>
      </c>
      <c r="F291" s="53" t="s">
        <v>31</v>
      </c>
      <c r="G291" s="45">
        <v>175000</v>
      </c>
      <c r="H291" s="53" t="s">
        <v>334</v>
      </c>
      <c r="J291" s="30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spans="1:22" s="29" customFormat="1" ht="18" customHeight="1" x14ac:dyDescent="0.25">
      <c r="A292" s="40">
        <v>282</v>
      </c>
      <c r="B292" s="105">
        <v>46046</v>
      </c>
      <c r="C292" s="53" t="s">
        <v>326</v>
      </c>
      <c r="D292" s="53">
        <v>20</v>
      </c>
      <c r="E292" s="53" t="s">
        <v>20</v>
      </c>
      <c r="F292" s="53" t="s">
        <v>31</v>
      </c>
      <c r="G292" s="45">
        <v>175000</v>
      </c>
      <c r="H292" s="53" t="s">
        <v>334</v>
      </c>
      <c r="J292" s="30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spans="1:22" s="29" customFormat="1" ht="18" customHeight="1" x14ac:dyDescent="0.25">
      <c r="A293" s="40">
        <v>283</v>
      </c>
      <c r="B293" s="54">
        <v>46046</v>
      </c>
      <c r="C293" s="53" t="s">
        <v>327</v>
      </c>
      <c r="D293" s="53">
        <v>20</v>
      </c>
      <c r="E293" s="53" t="s">
        <v>20</v>
      </c>
      <c r="F293" s="53" t="s">
        <v>31</v>
      </c>
      <c r="G293" s="45">
        <v>175000</v>
      </c>
      <c r="H293" s="53" t="s">
        <v>334</v>
      </c>
      <c r="J293" s="30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spans="1:22" s="29" customFormat="1" ht="18" customHeight="1" x14ac:dyDescent="0.25">
      <c r="A294" s="40">
        <v>284</v>
      </c>
      <c r="B294" s="105">
        <v>46046</v>
      </c>
      <c r="C294" s="53" t="s">
        <v>328</v>
      </c>
      <c r="D294" s="53">
        <v>20</v>
      </c>
      <c r="E294" s="53" t="s">
        <v>20</v>
      </c>
      <c r="F294" s="53" t="s">
        <v>31</v>
      </c>
      <c r="G294" s="45">
        <v>175000</v>
      </c>
      <c r="H294" s="53" t="s">
        <v>334</v>
      </c>
      <c r="J294" s="30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spans="1:22" s="29" customFormat="1" ht="18" customHeight="1" x14ac:dyDescent="0.25">
      <c r="A295" s="40">
        <v>285</v>
      </c>
      <c r="B295" s="54">
        <v>46046</v>
      </c>
      <c r="C295" s="53" t="s">
        <v>329</v>
      </c>
      <c r="D295" s="53">
        <v>20</v>
      </c>
      <c r="E295" s="53" t="s">
        <v>20</v>
      </c>
      <c r="F295" s="53" t="s">
        <v>31</v>
      </c>
      <c r="G295" s="45">
        <v>175000</v>
      </c>
      <c r="H295" s="53" t="s">
        <v>334</v>
      </c>
      <c r="J295" s="30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spans="1:22" s="29" customFormat="1" ht="18" customHeight="1" x14ac:dyDescent="0.25">
      <c r="A296" s="40">
        <v>286</v>
      </c>
      <c r="B296" s="105">
        <v>46046</v>
      </c>
      <c r="C296" s="53" t="s">
        <v>330</v>
      </c>
      <c r="D296" s="53">
        <v>20</v>
      </c>
      <c r="E296" s="53" t="s">
        <v>20</v>
      </c>
      <c r="F296" s="53" t="s">
        <v>31</v>
      </c>
      <c r="G296" s="45">
        <v>175000</v>
      </c>
      <c r="H296" s="53" t="s">
        <v>334</v>
      </c>
      <c r="J296" s="30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spans="1:22" s="29" customFormat="1" ht="18" customHeight="1" x14ac:dyDescent="0.25">
      <c r="A297" s="40">
        <v>287</v>
      </c>
      <c r="B297" s="54">
        <v>46046</v>
      </c>
      <c r="C297" s="53" t="s">
        <v>331</v>
      </c>
      <c r="D297" s="53">
        <v>20</v>
      </c>
      <c r="E297" s="53" t="s">
        <v>20</v>
      </c>
      <c r="F297" s="53" t="s">
        <v>31</v>
      </c>
      <c r="G297" s="45">
        <v>175000</v>
      </c>
      <c r="H297" s="53" t="s">
        <v>334</v>
      </c>
      <c r="J297" s="30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spans="1:22" s="29" customFormat="1" ht="18" customHeight="1" x14ac:dyDescent="0.25">
      <c r="A298" s="40">
        <v>288</v>
      </c>
      <c r="B298" s="105">
        <v>46046</v>
      </c>
      <c r="C298" s="53" t="s">
        <v>332</v>
      </c>
      <c r="D298" s="53">
        <v>20</v>
      </c>
      <c r="E298" s="53" t="s">
        <v>20</v>
      </c>
      <c r="F298" s="53" t="s">
        <v>31</v>
      </c>
      <c r="G298" s="45">
        <v>175000</v>
      </c>
      <c r="H298" s="53" t="s">
        <v>334</v>
      </c>
      <c r="J298" s="30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spans="1:22" s="29" customFormat="1" ht="18" customHeight="1" x14ac:dyDescent="0.25">
      <c r="A299" s="40">
        <v>289</v>
      </c>
      <c r="B299" s="54">
        <v>46046</v>
      </c>
      <c r="C299" s="53" t="s">
        <v>333</v>
      </c>
      <c r="D299" s="53">
        <v>20</v>
      </c>
      <c r="E299" s="53" t="s">
        <v>20</v>
      </c>
      <c r="F299" s="53" t="s">
        <v>31</v>
      </c>
      <c r="G299" s="45">
        <v>175000</v>
      </c>
      <c r="H299" s="53" t="s">
        <v>334</v>
      </c>
      <c r="J299" s="30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spans="1:22" s="29" customFormat="1" ht="18" customHeight="1" x14ac:dyDescent="0.25">
      <c r="A300" s="40">
        <v>290</v>
      </c>
      <c r="B300" s="54">
        <v>46044</v>
      </c>
      <c r="C300" s="53" t="s">
        <v>405</v>
      </c>
      <c r="D300" s="53">
        <v>40</v>
      </c>
      <c r="E300" s="53" t="s">
        <v>20</v>
      </c>
      <c r="F300" s="53" t="s">
        <v>34</v>
      </c>
      <c r="G300" s="45">
        <v>330000</v>
      </c>
      <c r="H300" s="53" t="s">
        <v>26</v>
      </c>
      <c r="J300" s="30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spans="1:22" s="29" customFormat="1" ht="18" customHeight="1" x14ac:dyDescent="0.25">
      <c r="A301" s="40">
        <v>291</v>
      </c>
      <c r="B301" s="54">
        <v>46044</v>
      </c>
      <c r="C301" s="53" t="s">
        <v>406</v>
      </c>
      <c r="D301" s="53">
        <v>40</v>
      </c>
      <c r="E301" s="53" t="s">
        <v>20</v>
      </c>
      <c r="F301" s="53" t="s">
        <v>34</v>
      </c>
      <c r="G301" s="45">
        <v>330000</v>
      </c>
      <c r="H301" s="53" t="s">
        <v>26</v>
      </c>
      <c r="J301" s="30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spans="1:22" s="29" customFormat="1" ht="18" customHeight="1" x14ac:dyDescent="0.25">
      <c r="A302" s="40">
        <v>292</v>
      </c>
      <c r="B302" s="54">
        <v>46042</v>
      </c>
      <c r="C302" s="53" t="s">
        <v>335</v>
      </c>
      <c r="D302" s="53">
        <v>40</v>
      </c>
      <c r="E302" s="53" t="s">
        <v>20</v>
      </c>
      <c r="F302" s="53" t="s">
        <v>407</v>
      </c>
      <c r="G302" s="45">
        <v>358000</v>
      </c>
      <c r="H302" s="53" t="s">
        <v>334</v>
      </c>
      <c r="J302" s="30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spans="1:22" s="29" customFormat="1" ht="18" customHeight="1" x14ac:dyDescent="0.25">
      <c r="A303" s="40">
        <v>293</v>
      </c>
      <c r="B303" s="54">
        <v>46042</v>
      </c>
      <c r="C303" s="53" t="s">
        <v>336</v>
      </c>
      <c r="D303" s="53">
        <v>40</v>
      </c>
      <c r="E303" s="53" t="s">
        <v>20</v>
      </c>
      <c r="F303" s="53" t="s">
        <v>407</v>
      </c>
      <c r="G303" s="45">
        <v>358000</v>
      </c>
      <c r="H303" s="53" t="s">
        <v>334</v>
      </c>
      <c r="J303" s="30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spans="1:22" s="29" customFormat="1" ht="18" customHeight="1" x14ac:dyDescent="0.25">
      <c r="A304" s="40">
        <v>294</v>
      </c>
      <c r="B304" s="54">
        <v>46042</v>
      </c>
      <c r="C304" s="53" t="s">
        <v>337</v>
      </c>
      <c r="D304" s="53">
        <v>40</v>
      </c>
      <c r="E304" s="53" t="s">
        <v>20</v>
      </c>
      <c r="F304" s="53" t="s">
        <v>407</v>
      </c>
      <c r="G304" s="45">
        <v>358000</v>
      </c>
      <c r="H304" s="53" t="s">
        <v>334</v>
      </c>
      <c r="J304" s="30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spans="1:22" s="29" customFormat="1" ht="18" customHeight="1" x14ac:dyDescent="0.25">
      <c r="A305" s="40">
        <v>295</v>
      </c>
      <c r="B305" s="54">
        <v>46042</v>
      </c>
      <c r="C305" s="53" t="s">
        <v>338</v>
      </c>
      <c r="D305" s="53">
        <v>40</v>
      </c>
      <c r="E305" s="53" t="s">
        <v>20</v>
      </c>
      <c r="F305" s="53" t="s">
        <v>407</v>
      </c>
      <c r="G305" s="45">
        <v>358000</v>
      </c>
      <c r="H305" s="53" t="s">
        <v>334</v>
      </c>
      <c r="J305" s="30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spans="1:22" s="29" customFormat="1" ht="18" customHeight="1" x14ac:dyDescent="0.25">
      <c r="A306" s="40">
        <v>296</v>
      </c>
      <c r="B306" s="54">
        <v>46042</v>
      </c>
      <c r="C306" s="53" t="s">
        <v>339</v>
      </c>
      <c r="D306" s="53">
        <v>40</v>
      </c>
      <c r="E306" s="53" t="s">
        <v>20</v>
      </c>
      <c r="F306" s="53" t="s">
        <v>408</v>
      </c>
      <c r="G306" s="45">
        <v>356000</v>
      </c>
      <c r="H306" s="53" t="s">
        <v>334</v>
      </c>
      <c r="J306" s="30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  <row r="307" spans="1:22" s="29" customFormat="1" ht="18" customHeight="1" x14ac:dyDescent="0.25">
      <c r="A307" s="40">
        <v>297</v>
      </c>
      <c r="B307" s="54">
        <v>46042</v>
      </c>
      <c r="C307" s="53" t="s">
        <v>340</v>
      </c>
      <c r="D307" s="53">
        <v>40</v>
      </c>
      <c r="E307" s="53" t="s">
        <v>20</v>
      </c>
      <c r="F307" s="53" t="s">
        <v>408</v>
      </c>
      <c r="G307" s="45">
        <v>356000</v>
      </c>
      <c r="H307" s="53" t="s">
        <v>334</v>
      </c>
      <c r="J307" s="30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</row>
    <row r="308" spans="1:22" s="29" customFormat="1" ht="18" customHeight="1" x14ac:dyDescent="0.25">
      <c r="A308" s="40">
        <v>298</v>
      </c>
      <c r="B308" s="54">
        <v>46042</v>
      </c>
      <c r="C308" s="53" t="s">
        <v>341</v>
      </c>
      <c r="D308" s="53">
        <v>40</v>
      </c>
      <c r="E308" s="53" t="s">
        <v>20</v>
      </c>
      <c r="F308" s="53" t="s">
        <v>408</v>
      </c>
      <c r="G308" s="45">
        <v>356000</v>
      </c>
      <c r="H308" s="53" t="s">
        <v>334</v>
      </c>
      <c r="J308" s="30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</row>
    <row r="309" spans="1:22" s="29" customFormat="1" ht="18" customHeight="1" x14ac:dyDescent="0.25">
      <c r="A309" s="40">
        <v>299</v>
      </c>
      <c r="B309" s="54">
        <v>46042</v>
      </c>
      <c r="C309" s="53" t="s">
        <v>342</v>
      </c>
      <c r="D309" s="53">
        <v>40</v>
      </c>
      <c r="E309" s="53" t="s">
        <v>20</v>
      </c>
      <c r="F309" s="53" t="s">
        <v>408</v>
      </c>
      <c r="G309" s="45">
        <v>356000</v>
      </c>
      <c r="H309" s="53" t="s">
        <v>334</v>
      </c>
      <c r="J309" s="30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</row>
    <row r="310" spans="1:22" s="29" customFormat="1" ht="18" customHeight="1" x14ac:dyDescent="0.25">
      <c r="A310" s="40">
        <v>300</v>
      </c>
      <c r="B310" s="54">
        <v>46042</v>
      </c>
      <c r="C310" s="53" t="s">
        <v>343</v>
      </c>
      <c r="D310" s="53">
        <v>40</v>
      </c>
      <c r="E310" s="53" t="s">
        <v>20</v>
      </c>
      <c r="F310" s="53" t="s">
        <v>408</v>
      </c>
      <c r="G310" s="45">
        <v>356000</v>
      </c>
      <c r="H310" s="53" t="s">
        <v>334</v>
      </c>
      <c r="J310" s="30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</row>
    <row r="311" spans="1:22" s="29" customFormat="1" ht="18" customHeight="1" x14ac:dyDescent="0.25">
      <c r="A311" s="40">
        <v>301</v>
      </c>
      <c r="B311" s="54">
        <v>46042</v>
      </c>
      <c r="C311" s="53" t="s">
        <v>344</v>
      </c>
      <c r="D311" s="53">
        <v>40</v>
      </c>
      <c r="E311" s="53" t="s">
        <v>20</v>
      </c>
      <c r="F311" s="53" t="s">
        <v>408</v>
      </c>
      <c r="G311" s="45">
        <v>356000</v>
      </c>
      <c r="H311" s="53" t="s">
        <v>334</v>
      </c>
      <c r="J311" s="30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</row>
    <row r="312" spans="1:22" s="29" customFormat="1" ht="18" customHeight="1" x14ac:dyDescent="0.25">
      <c r="A312" s="40">
        <v>302</v>
      </c>
      <c r="B312" s="54">
        <v>46042</v>
      </c>
      <c r="C312" s="53" t="s">
        <v>345</v>
      </c>
      <c r="D312" s="53">
        <v>40</v>
      </c>
      <c r="E312" s="53" t="s">
        <v>20</v>
      </c>
      <c r="F312" s="53" t="s">
        <v>408</v>
      </c>
      <c r="G312" s="45">
        <v>356000</v>
      </c>
      <c r="H312" s="53" t="s">
        <v>334</v>
      </c>
      <c r="J312" s="30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</row>
    <row r="313" spans="1:22" s="29" customFormat="1" ht="18" customHeight="1" x14ac:dyDescent="0.25">
      <c r="A313" s="40">
        <v>303</v>
      </c>
      <c r="B313" s="54">
        <v>46042</v>
      </c>
      <c r="C313" s="53" t="s">
        <v>346</v>
      </c>
      <c r="D313" s="53">
        <v>40</v>
      </c>
      <c r="E313" s="53" t="s">
        <v>20</v>
      </c>
      <c r="F313" s="53" t="s">
        <v>408</v>
      </c>
      <c r="G313" s="45">
        <v>356000</v>
      </c>
      <c r="H313" s="53" t="s">
        <v>334</v>
      </c>
      <c r="J313" s="30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</row>
    <row r="314" spans="1:22" s="29" customFormat="1" ht="18" customHeight="1" x14ac:dyDescent="0.25">
      <c r="A314" s="40">
        <v>304</v>
      </c>
      <c r="B314" s="54">
        <v>46042</v>
      </c>
      <c r="C314" s="53" t="s">
        <v>347</v>
      </c>
      <c r="D314" s="53">
        <v>40</v>
      </c>
      <c r="E314" s="53" t="s">
        <v>20</v>
      </c>
      <c r="F314" s="53" t="s">
        <v>407</v>
      </c>
      <c r="G314" s="45">
        <v>358000</v>
      </c>
      <c r="H314" s="53" t="s">
        <v>30</v>
      </c>
      <c r="J314" s="30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</row>
    <row r="315" spans="1:22" s="29" customFormat="1" ht="18" customHeight="1" x14ac:dyDescent="0.25">
      <c r="A315" s="40">
        <v>305</v>
      </c>
      <c r="B315" s="54">
        <v>46042</v>
      </c>
      <c r="C315" s="53" t="s">
        <v>348</v>
      </c>
      <c r="D315" s="53">
        <v>40</v>
      </c>
      <c r="E315" s="53" t="s">
        <v>20</v>
      </c>
      <c r="F315" s="53" t="s">
        <v>407</v>
      </c>
      <c r="G315" s="45">
        <v>358000</v>
      </c>
      <c r="H315" s="53" t="s">
        <v>30</v>
      </c>
      <c r="J315" s="30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</row>
    <row r="316" spans="1:22" s="29" customFormat="1" ht="18" customHeight="1" x14ac:dyDescent="0.25">
      <c r="A316" s="40">
        <v>306</v>
      </c>
      <c r="B316" s="54">
        <v>46042</v>
      </c>
      <c r="C316" s="53" t="s">
        <v>349</v>
      </c>
      <c r="D316" s="53">
        <v>40</v>
      </c>
      <c r="E316" s="53" t="s">
        <v>20</v>
      </c>
      <c r="F316" s="53" t="s">
        <v>407</v>
      </c>
      <c r="G316" s="45">
        <v>358000</v>
      </c>
      <c r="H316" s="53" t="s">
        <v>30</v>
      </c>
      <c r="J316" s="30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spans="1:22" s="29" customFormat="1" ht="18" customHeight="1" x14ac:dyDescent="0.25">
      <c r="A317" s="40">
        <v>307</v>
      </c>
      <c r="B317" s="54">
        <v>46041</v>
      </c>
      <c r="C317" s="106" t="s">
        <v>350</v>
      </c>
      <c r="D317" s="53">
        <v>40</v>
      </c>
      <c r="E317" s="53" t="s">
        <v>20</v>
      </c>
      <c r="F317" s="53" t="s">
        <v>407</v>
      </c>
      <c r="G317" s="45">
        <v>358000</v>
      </c>
      <c r="H317" s="53" t="s">
        <v>30</v>
      </c>
      <c r="J317" s="30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spans="1:22" s="29" customFormat="1" ht="18" customHeight="1" x14ac:dyDescent="0.25">
      <c r="A318" s="40">
        <v>308</v>
      </c>
      <c r="B318" s="54">
        <v>46041</v>
      </c>
      <c r="C318" s="53" t="s">
        <v>351</v>
      </c>
      <c r="D318" s="53">
        <v>40</v>
      </c>
      <c r="E318" s="53" t="s">
        <v>20</v>
      </c>
      <c r="F318" s="53" t="s">
        <v>408</v>
      </c>
      <c r="G318" s="45">
        <v>356000</v>
      </c>
      <c r="H318" s="53" t="s">
        <v>30</v>
      </c>
      <c r="J318" s="30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spans="1:22" s="29" customFormat="1" ht="18" customHeight="1" x14ac:dyDescent="0.25">
      <c r="A319" s="40">
        <v>309</v>
      </c>
      <c r="B319" s="54">
        <v>46041</v>
      </c>
      <c r="C319" s="53" t="s">
        <v>352</v>
      </c>
      <c r="D319" s="53">
        <v>40</v>
      </c>
      <c r="E319" s="53" t="s">
        <v>20</v>
      </c>
      <c r="F319" s="53" t="s">
        <v>408</v>
      </c>
      <c r="G319" s="45">
        <v>356000</v>
      </c>
      <c r="H319" s="53" t="s">
        <v>30</v>
      </c>
      <c r="J319" s="30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spans="1:22" s="29" customFormat="1" ht="18" customHeight="1" x14ac:dyDescent="0.25">
      <c r="A320" s="40">
        <v>310</v>
      </c>
      <c r="B320" s="54">
        <v>46041</v>
      </c>
      <c r="C320" s="53" t="s">
        <v>353</v>
      </c>
      <c r="D320" s="53">
        <v>40</v>
      </c>
      <c r="E320" s="53" t="s">
        <v>20</v>
      </c>
      <c r="F320" s="53" t="s">
        <v>408</v>
      </c>
      <c r="G320" s="45">
        <v>356000</v>
      </c>
      <c r="H320" s="53" t="s">
        <v>30</v>
      </c>
      <c r="J320" s="30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spans="1:22" s="29" customFormat="1" ht="18" customHeight="1" x14ac:dyDescent="0.25">
      <c r="A321" s="40">
        <v>311</v>
      </c>
      <c r="B321" s="54">
        <v>46041</v>
      </c>
      <c r="C321" s="53" t="s">
        <v>354</v>
      </c>
      <c r="D321" s="53">
        <v>40</v>
      </c>
      <c r="E321" s="53" t="s">
        <v>20</v>
      </c>
      <c r="F321" s="53" t="s">
        <v>408</v>
      </c>
      <c r="G321" s="45">
        <v>356000</v>
      </c>
      <c r="H321" s="53" t="s">
        <v>30</v>
      </c>
      <c r="J321" s="30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spans="1:22" s="29" customFormat="1" ht="18" customHeight="1" x14ac:dyDescent="0.25">
      <c r="A322" s="40">
        <v>312</v>
      </c>
      <c r="B322" s="54">
        <v>46041</v>
      </c>
      <c r="C322" s="53" t="s">
        <v>355</v>
      </c>
      <c r="D322" s="53">
        <v>40</v>
      </c>
      <c r="E322" s="53" t="s">
        <v>20</v>
      </c>
      <c r="F322" s="53" t="s">
        <v>408</v>
      </c>
      <c r="G322" s="45">
        <v>356000</v>
      </c>
      <c r="H322" s="53" t="s">
        <v>30</v>
      </c>
      <c r="J322" s="30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spans="1:22" s="29" customFormat="1" ht="18" customHeight="1" x14ac:dyDescent="0.25">
      <c r="A323" s="40">
        <v>313</v>
      </c>
      <c r="B323" s="54">
        <v>46041</v>
      </c>
      <c r="C323" s="53" t="s">
        <v>356</v>
      </c>
      <c r="D323" s="53">
        <v>40</v>
      </c>
      <c r="E323" s="53" t="s">
        <v>20</v>
      </c>
      <c r="F323" s="53" t="s">
        <v>408</v>
      </c>
      <c r="G323" s="45">
        <v>356000</v>
      </c>
      <c r="H323" s="53" t="s">
        <v>30</v>
      </c>
      <c r="J323" s="30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spans="1:22" s="29" customFormat="1" ht="18" customHeight="1" x14ac:dyDescent="0.25">
      <c r="A324" s="40">
        <v>314</v>
      </c>
      <c r="B324" s="54">
        <v>46041</v>
      </c>
      <c r="C324" s="53" t="s">
        <v>357</v>
      </c>
      <c r="D324" s="53">
        <v>40</v>
      </c>
      <c r="E324" s="53" t="s">
        <v>20</v>
      </c>
      <c r="F324" s="53" t="s">
        <v>408</v>
      </c>
      <c r="G324" s="45">
        <v>356000</v>
      </c>
      <c r="H324" s="53" t="s">
        <v>30</v>
      </c>
      <c r="J324" s="30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spans="1:22" s="29" customFormat="1" ht="18" customHeight="1" x14ac:dyDescent="0.25">
      <c r="A325" s="40">
        <v>315</v>
      </c>
      <c r="B325" s="54">
        <v>46041</v>
      </c>
      <c r="C325" s="53" t="s">
        <v>358</v>
      </c>
      <c r="D325" s="53">
        <v>40</v>
      </c>
      <c r="E325" s="53" t="s">
        <v>20</v>
      </c>
      <c r="F325" s="53" t="s">
        <v>408</v>
      </c>
      <c r="G325" s="45">
        <v>356000</v>
      </c>
      <c r="H325" s="53" t="s">
        <v>30</v>
      </c>
      <c r="J325" s="30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spans="1:22" s="29" customFormat="1" ht="18" customHeight="1" x14ac:dyDescent="0.25">
      <c r="A326" s="40">
        <v>316</v>
      </c>
      <c r="B326" s="54">
        <v>46041</v>
      </c>
      <c r="C326" s="53" t="s">
        <v>359</v>
      </c>
      <c r="D326" s="53">
        <v>20</v>
      </c>
      <c r="E326" s="53" t="s">
        <v>20</v>
      </c>
      <c r="F326" s="53" t="s">
        <v>409</v>
      </c>
      <c r="G326" s="45">
        <v>358000</v>
      </c>
      <c r="H326" s="53" t="s">
        <v>30</v>
      </c>
      <c r="J326" s="30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spans="1:22" s="29" customFormat="1" ht="18" customHeight="1" x14ac:dyDescent="0.25">
      <c r="A327" s="40">
        <v>317</v>
      </c>
      <c r="B327" s="54">
        <v>46042</v>
      </c>
      <c r="C327" s="53" t="s">
        <v>360</v>
      </c>
      <c r="D327" s="53">
        <v>20</v>
      </c>
      <c r="E327" s="53" t="s">
        <v>20</v>
      </c>
      <c r="F327" s="53" t="s">
        <v>409</v>
      </c>
      <c r="G327" s="45">
        <v>358000</v>
      </c>
      <c r="H327" s="53" t="s">
        <v>30</v>
      </c>
      <c r="J327" s="30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spans="1:22" s="29" customFormat="1" ht="18" customHeight="1" x14ac:dyDescent="0.25">
      <c r="A328" s="40">
        <v>318</v>
      </c>
      <c r="B328" s="54">
        <v>46041</v>
      </c>
      <c r="C328" s="53" t="s">
        <v>361</v>
      </c>
      <c r="D328" s="53">
        <v>40</v>
      </c>
      <c r="E328" s="53" t="s">
        <v>20</v>
      </c>
      <c r="F328" s="53" t="s">
        <v>407</v>
      </c>
      <c r="G328" s="45">
        <v>358000</v>
      </c>
      <c r="H328" s="53" t="s">
        <v>23</v>
      </c>
      <c r="J328" s="30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spans="1:22" s="29" customFormat="1" ht="18" customHeight="1" x14ac:dyDescent="0.25">
      <c r="A329" s="40">
        <v>319</v>
      </c>
      <c r="B329" s="54">
        <v>46041</v>
      </c>
      <c r="C329" s="53" t="s">
        <v>362</v>
      </c>
      <c r="D329" s="53">
        <v>20</v>
      </c>
      <c r="E329" s="53" t="s">
        <v>20</v>
      </c>
      <c r="F329" s="53" t="s">
        <v>409</v>
      </c>
      <c r="G329" s="45">
        <v>358000</v>
      </c>
      <c r="H329" s="53" t="s">
        <v>23</v>
      </c>
      <c r="J329" s="30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spans="1:22" s="29" customFormat="1" ht="18" customHeight="1" x14ac:dyDescent="0.25">
      <c r="A330" s="40">
        <v>320</v>
      </c>
      <c r="B330" s="54">
        <v>46041</v>
      </c>
      <c r="C330" s="53" t="s">
        <v>363</v>
      </c>
      <c r="D330" s="53">
        <v>40</v>
      </c>
      <c r="E330" s="53" t="s">
        <v>20</v>
      </c>
      <c r="F330" s="53" t="s">
        <v>408</v>
      </c>
      <c r="G330" s="45">
        <v>356000</v>
      </c>
      <c r="H330" s="53" t="s">
        <v>23</v>
      </c>
      <c r="J330" s="30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spans="1:22" s="29" customFormat="1" ht="18" customHeight="1" x14ac:dyDescent="0.25">
      <c r="A331" s="40">
        <v>321</v>
      </c>
      <c r="B331" s="54">
        <v>46041</v>
      </c>
      <c r="C331" s="55" t="s">
        <v>364</v>
      </c>
      <c r="D331" s="53">
        <v>40</v>
      </c>
      <c r="E331" s="53" t="s">
        <v>20</v>
      </c>
      <c r="F331" s="53" t="s">
        <v>408</v>
      </c>
      <c r="G331" s="45">
        <v>356000</v>
      </c>
      <c r="H331" s="53" t="s">
        <v>23</v>
      </c>
      <c r="J331" s="30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spans="1:22" s="29" customFormat="1" ht="18" customHeight="1" x14ac:dyDescent="0.25">
      <c r="A332" s="40">
        <v>322</v>
      </c>
      <c r="B332" s="54">
        <v>46041</v>
      </c>
      <c r="C332" s="55" t="s">
        <v>365</v>
      </c>
      <c r="D332" s="53">
        <v>40</v>
      </c>
      <c r="E332" s="53" t="s">
        <v>20</v>
      </c>
      <c r="F332" s="53" t="s">
        <v>408</v>
      </c>
      <c r="G332" s="45">
        <v>356000</v>
      </c>
      <c r="H332" s="53" t="s">
        <v>23</v>
      </c>
      <c r="J332" s="30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spans="1:22" s="29" customFormat="1" ht="18" customHeight="1" x14ac:dyDescent="0.25">
      <c r="A333" s="40">
        <v>323</v>
      </c>
      <c r="B333" s="54">
        <v>46041</v>
      </c>
      <c r="C333" s="55" t="s">
        <v>366</v>
      </c>
      <c r="D333" s="53">
        <v>40</v>
      </c>
      <c r="E333" s="53" t="s">
        <v>20</v>
      </c>
      <c r="F333" s="53" t="s">
        <v>408</v>
      </c>
      <c r="G333" s="45">
        <v>356000</v>
      </c>
      <c r="H333" s="53" t="s">
        <v>23</v>
      </c>
      <c r="J333" s="30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spans="1:22" s="29" customFormat="1" ht="18" customHeight="1" x14ac:dyDescent="0.25">
      <c r="A334" s="40">
        <v>324</v>
      </c>
      <c r="B334" s="54">
        <v>46041</v>
      </c>
      <c r="C334" s="90" t="s">
        <v>367</v>
      </c>
      <c r="D334" s="53">
        <v>40</v>
      </c>
      <c r="E334" s="53" t="s">
        <v>20</v>
      </c>
      <c r="F334" s="53" t="s">
        <v>408</v>
      </c>
      <c r="G334" s="45">
        <v>356000</v>
      </c>
      <c r="H334" s="53" t="s">
        <v>23</v>
      </c>
      <c r="J334" s="30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spans="1:22" s="29" customFormat="1" ht="18" customHeight="1" x14ac:dyDescent="0.25">
      <c r="A335" s="40">
        <v>325</v>
      </c>
      <c r="B335" s="54">
        <v>46042</v>
      </c>
      <c r="C335" s="55" t="s">
        <v>368</v>
      </c>
      <c r="D335" s="88">
        <v>40</v>
      </c>
      <c r="E335" s="89" t="s">
        <v>20</v>
      </c>
      <c r="F335" s="53" t="s">
        <v>407</v>
      </c>
      <c r="G335" s="45">
        <v>358000</v>
      </c>
      <c r="H335" s="53" t="s">
        <v>28</v>
      </c>
      <c r="J335" s="30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spans="1:22" s="29" customFormat="1" ht="18" customHeight="1" x14ac:dyDescent="0.25">
      <c r="A336" s="40">
        <v>326</v>
      </c>
      <c r="B336" s="54">
        <v>46042</v>
      </c>
      <c r="C336" s="53" t="s">
        <v>369</v>
      </c>
      <c r="D336" s="88">
        <v>40</v>
      </c>
      <c r="E336" s="89" t="s">
        <v>20</v>
      </c>
      <c r="F336" s="53" t="s">
        <v>407</v>
      </c>
      <c r="G336" s="45">
        <v>358000</v>
      </c>
      <c r="H336" s="53" t="s">
        <v>28</v>
      </c>
      <c r="J336" s="30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spans="1:22" s="29" customFormat="1" ht="18" customHeight="1" x14ac:dyDescent="0.25">
      <c r="A337" s="40">
        <v>327</v>
      </c>
      <c r="B337" s="54">
        <v>46042</v>
      </c>
      <c r="C337" s="55" t="s">
        <v>370</v>
      </c>
      <c r="D337" s="88">
        <v>40</v>
      </c>
      <c r="E337" s="89" t="s">
        <v>20</v>
      </c>
      <c r="F337" s="53" t="s">
        <v>407</v>
      </c>
      <c r="G337" s="45">
        <v>358000</v>
      </c>
      <c r="H337" s="53" t="s">
        <v>28</v>
      </c>
      <c r="J337" s="30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spans="1:22" s="29" customFormat="1" ht="18" customHeight="1" x14ac:dyDescent="0.25">
      <c r="A338" s="40">
        <v>328</v>
      </c>
      <c r="B338" s="54">
        <v>46042</v>
      </c>
      <c r="C338" s="55" t="s">
        <v>371</v>
      </c>
      <c r="D338" s="88">
        <v>20</v>
      </c>
      <c r="E338" s="89" t="s">
        <v>20</v>
      </c>
      <c r="F338" s="53" t="s">
        <v>409</v>
      </c>
      <c r="G338" s="45">
        <v>358000</v>
      </c>
      <c r="H338" s="53" t="s">
        <v>28</v>
      </c>
      <c r="J338" s="30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spans="1:22" s="29" customFormat="1" ht="18" customHeight="1" x14ac:dyDescent="0.25">
      <c r="A339" s="40">
        <v>329</v>
      </c>
      <c r="B339" s="54">
        <v>46042</v>
      </c>
      <c r="C339" s="55" t="s">
        <v>372</v>
      </c>
      <c r="D339" s="88">
        <v>20</v>
      </c>
      <c r="E339" s="89" t="s">
        <v>20</v>
      </c>
      <c r="F339" s="53" t="s">
        <v>409</v>
      </c>
      <c r="G339" s="45">
        <v>358000</v>
      </c>
      <c r="H339" s="53" t="s">
        <v>28</v>
      </c>
      <c r="J339" s="30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spans="1:22" s="29" customFormat="1" ht="18" customHeight="1" x14ac:dyDescent="0.25">
      <c r="A340" s="40">
        <v>330</v>
      </c>
      <c r="B340" s="54">
        <v>46041</v>
      </c>
      <c r="C340" s="55" t="s">
        <v>373</v>
      </c>
      <c r="D340" s="88">
        <v>40</v>
      </c>
      <c r="E340" s="89" t="s">
        <v>20</v>
      </c>
      <c r="F340" s="53" t="s">
        <v>408</v>
      </c>
      <c r="G340" s="45">
        <v>356000</v>
      </c>
      <c r="H340" s="53" t="s">
        <v>28</v>
      </c>
      <c r="J340" s="30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spans="1:22" s="29" customFormat="1" ht="18" customHeight="1" x14ac:dyDescent="0.25">
      <c r="A341" s="40">
        <v>331</v>
      </c>
      <c r="B341" s="54">
        <v>46041</v>
      </c>
      <c r="C341" s="55" t="s">
        <v>374</v>
      </c>
      <c r="D341" s="88">
        <v>40</v>
      </c>
      <c r="E341" s="89" t="s">
        <v>20</v>
      </c>
      <c r="F341" s="53" t="s">
        <v>408</v>
      </c>
      <c r="G341" s="45">
        <v>356000</v>
      </c>
      <c r="H341" s="53" t="s">
        <v>28</v>
      </c>
      <c r="J341" s="30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spans="1:22" s="29" customFormat="1" ht="18" customHeight="1" x14ac:dyDescent="0.25">
      <c r="A342" s="40">
        <v>332</v>
      </c>
      <c r="B342" s="54">
        <v>46041</v>
      </c>
      <c r="C342" s="55" t="s">
        <v>375</v>
      </c>
      <c r="D342" s="88">
        <v>40</v>
      </c>
      <c r="E342" s="89" t="s">
        <v>20</v>
      </c>
      <c r="F342" s="53" t="s">
        <v>408</v>
      </c>
      <c r="G342" s="45">
        <v>356000</v>
      </c>
      <c r="H342" s="53" t="s">
        <v>28</v>
      </c>
      <c r="J342" s="30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spans="1:22" s="29" customFormat="1" ht="18" customHeight="1" x14ac:dyDescent="0.25">
      <c r="A343" s="40">
        <v>333</v>
      </c>
      <c r="B343" s="54">
        <v>46041</v>
      </c>
      <c r="C343" s="55" t="s">
        <v>376</v>
      </c>
      <c r="D343" s="88">
        <v>40</v>
      </c>
      <c r="E343" s="89" t="s">
        <v>20</v>
      </c>
      <c r="F343" s="53" t="s">
        <v>408</v>
      </c>
      <c r="G343" s="45">
        <v>356000</v>
      </c>
      <c r="H343" s="53" t="s">
        <v>28</v>
      </c>
      <c r="J343" s="30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spans="1:22" s="29" customFormat="1" ht="18" customHeight="1" x14ac:dyDescent="0.25">
      <c r="A344" s="40">
        <v>334</v>
      </c>
      <c r="B344" s="54">
        <v>46041</v>
      </c>
      <c r="C344" s="55" t="s">
        <v>377</v>
      </c>
      <c r="D344" s="88">
        <v>40</v>
      </c>
      <c r="E344" s="89" t="s">
        <v>20</v>
      </c>
      <c r="F344" s="53" t="s">
        <v>408</v>
      </c>
      <c r="G344" s="45">
        <v>356000</v>
      </c>
      <c r="H344" s="53" t="s">
        <v>28</v>
      </c>
      <c r="J344" s="30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spans="1:22" s="29" customFormat="1" ht="18" customHeight="1" x14ac:dyDescent="0.25">
      <c r="A345" s="40">
        <v>335</v>
      </c>
      <c r="B345" s="54">
        <v>46041</v>
      </c>
      <c r="C345" s="55" t="s">
        <v>378</v>
      </c>
      <c r="D345" s="88">
        <v>40</v>
      </c>
      <c r="E345" s="89" t="s">
        <v>20</v>
      </c>
      <c r="F345" s="53" t="s">
        <v>408</v>
      </c>
      <c r="G345" s="45">
        <v>356000</v>
      </c>
      <c r="H345" s="53" t="s">
        <v>28</v>
      </c>
      <c r="J345" s="30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spans="1:22" s="29" customFormat="1" ht="18" customHeight="1" x14ac:dyDescent="0.25">
      <c r="A346" s="40">
        <v>336</v>
      </c>
      <c r="B346" s="54">
        <v>46041</v>
      </c>
      <c r="C346" s="55" t="s">
        <v>379</v>
      </c>
      <c r="D346" s="88">
        <v>40</v>
      </c>
      <c r="E346" s="89" t="s">
        <v>20</v>
      </c>
      <c r="F346" s="53" t="s">
        <v>408</v>
      </c>
      <c r="G346" s="45">
        <v>356000</v>
      </c>
      <c r="H346" s="53" t="s">
        <v>28</v>
      </c>
      <c r="J346" s="30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spans="1:22" s="29" customFormat="1" ht="18" customHeight="1" x14ac:dyDescent="0.25">
      <c r="A347" s="40">
        <v>337</v>
      </c>
      <c r="B347" s="54">
        <v>46041</v>
      </c>
      <c r="C347" s="53" t="s">
        <v>380</v>
      </c>
      <c r="D347" s="53">
        <v>40</v>
      </c>
      <c r="E347" s="53" t="s">
        <v>20</v>
      </c>
      <c r="F347" s="53" t="s">
        <v>408</v>
      </c>
      <c r="G347" s="45">
        <v>356000</v>
      </c>
      <c r="H347" s="53" t="s">
        <v>26</v>
      </c>
      <c r="J347" s="30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spans="1:22" s="29" customFormat="1" ht="18" customHeight="1" x14ac:dyDescent="0.25">
      <c r="A348" s="40">
        <v>338</v>
      </c>
      <c r="B348" s="54">
        <v>46041</v>
      </c>
      <c r="C348" s="53" t="s">
        <v>381</v>
      </c>
      <c r="D348" s="53">
        <v>40</v>
      </c>
      <c r="E348" s="53" t="s">
        <v>20</v>
      </c>
      <c r="F348" s="53" t="s">
        <v>408</v>
      </c>
      <c r="G348" s="45">
        <v>356000</v>
      </c>
      <c r="H348" s="53" t="s">
        <v>26</v>
      </c>
      <c r="J348" s="30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spans="1:22" s="29" customFormat="1" ht="18" customHeight="1" x14ac:dyDescent="0.25">
      <c r="A349" s="40">
        <v>339</v>
      </c>
      <c r="B349" s="54">
        <v>46041</v>
      </c>
      <c r="C349" s="53" t="s">
        <v>382</v>
      </c>
      <c r="D349" s="53">
        <v>40</v>
      </c>
      <c r="E349" s="53" t="s">
        <v>20</v>
      </c>
      <c r="F349" s="53" t="s">
        <v>408</v>
      </c>
      <c r="G349" s="45">
        <v>356000</v>
      </c>
      <c r="H349" s="53" t="s">
        <v>26</v>
      </c>
      <c r="J349" s="30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spans="1:22" s="29" customFormat="1" ht="18" customHeight="1" x14ac:dyDescent="0.25">
      <c r="A350" s="40">
        <v>340</v>
      </c>
      <c r="B350" s="54">
        <v>46041</v>
      </c>
      <c r="C350" s="53" t="s">
        <v>383</v>
      </c>
      <c r="D350" s="53">
        <v>40</v>
      </c>
      <c r="E350" s="53" t="s">
        <v>20</v>
      </c>
      <c r="F350" s="53" t="s">
        <v>408</v>
      </c>
      <c r="G350" s="45">
        <v>356000</v>
      </c>
      <c r="H350" s="53" t="s">
        <v>26</v>
      </c>
      <c r="J350" s="30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spans="1:22" s="29" customFormat="1" ht="18" customHeight="1" x14ac:dyDescent="0.25">
      <c r="A351" s="40">
        <v>341</v>
      </c>
      <c r="B351" s="54">
        <v>46041</v>
      </c>
      <c r="C351" s="53" t="s">
        <v>384</v>
      </c>
      <c r="D351" s="53">
        <v>40</v>
      </c>
      <c r="E351" s="53" t="s">
        <v>20</v>
      </c>
      <c r="F351" s="53" t="s">
        <v>408</v>
      </c>
      <c r="G351" s="45">
        <v>356000</v>
      </c>
      <c r="H351" s="53" t="s">
        <v>26</v>
      </c>
      <c r="J351" s="30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spans="1:22" s="29" customFormat="1" ht="18" customHeight="1" x14ac:dyDescent="0.25">
      <c r="A352" s="40">
        <v>342</v>
      </c>
      <c r="B352" s="54">
        <v>46041</v>
      </c>
      <c r="C352" s="53" t="s">
        <v>385</v>
      </c>
      <c r="D352" s="53">
        <v>40</v>
      </c>
      <c r="E352" s="53" t="s">
        <v>20</v>
      </c>
      <c r="F352" s="53" t="s">
        <v>408</v>
      </c>
      <c r="G352" s="45">
        <v>356000</v>
      </c>
      <c r="H352" s="53" t="s">
        <v>26</v>
      </c>
      <c r="J352" s="30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spans="1:22" s="29" customFormat="1" ht="18" customHeight="1" x14ac:dyDescent="0.25">
      <c r="A353" s="40">
        <v>343</v>
      </c>
      <c r="B353" s="54">
        <v>46041</v>
      </c>
      <c r="C353" s="53" t="s">
        <v>386</v>
      </c>
      <c r="D353" s="53">
        <v>40</v>
      </c>
      <c r="E353" s="53" t="s">
        <v>20</v>
      </c>
      <c r="F353" s="53" t="s">
        <v>408</v>
      </c>
      <c r="G353" s="45">
        <v>356000</v>
      </c>
      <c r="H353" s="53" t="s">
        <v>26</v>
      </c>
      <c r="J353" s="30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spans="1:22" s="29" customFormat="1" ht="18" customHeight="1" x14ac:dyDescent="0.25">
      <c r="A354" s="40">
        <v>344</v>
      </c>
      <c r="B354" s="54">
        <v>46043</v>
      </c>
      <c r="C354" s="53" t="s">
        <v>387</v>
      </c>
      <c r="D354" s="53">
        <v>40</v>
      </c>
      <c r="E354" s="53" t="s">
        <v>20</v>
      </c>
      <c r="F354" s="53" t="s">
        <v>34</v>
      </c>
      <c r="G354" s="45">
        <v>330000</v>
      </c>
      <c r="H354" s="53" t="s">
        <v>28</v>
      </c>
      <c r="J354" s="30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spans="1:22" s="29" customFormat="1" ht="18" customHeight="1" x14ac:dyDescent="0.25">
      <c r="A355" s="40">
        <v>345</v>
      </c>
      <c r="B355" s="54">
        <v>46043</v>
      </c>
      <c r="C355" s="53" t="s">
        <v>388</v>
      </c>
      <c r="D355" s="53">
        <v>40</v>
      </c>
      <c r="E355" s="53" t="s">
        <v>20</v>
      </c>
      <c r="F355" s="53" t="s">
        <v>34</v>
      </c>
      <c r="G355" s="45">
        <v>330000</v>
      </c>
      <c r="H355" s="53" t="s">
        <v>28</v>
      </c>
      <c r="J355" s="30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spans="1:22" s="29" customFormat="1" ht="18" customHeight="1" x14ac:dyDescent="0.25">
      <c r="A356" s="40">
        <v>346</v>
      </c>
      <c r="B356" s="54">
        <v>46043</v>
      </c>
      <c r="C356" s="53" t="s">
        <v>389</v>
      </c>
      <c r="D356" s="53">
        <v>40</v>
      </c>
      <c r="E356" s="53" t="s">
        <v>20</v>
      </c>
      <c r="F356" s="53" t="s">
        <v>34</v>
      </c>
      <c r="G356" s="45">
        <v>330000</v>
      </c>
      <c r="H356" s="53" t="s">
        <v>28</v>
      </c>
      <c r="J356" s="30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spans="1:22" s="29" customFormat="1" ht="18" customHeight="1" x14ac:dyDescent="0.25">
      <c r="A357" s="40">
        <v>347</v>
      </c>
      <c r="B357" s="54">
        <v>46043</v>
      </c>
      <c r="C357" s="53" t="s">
        <v>390</v>
      </c>
      <c r="D357" s="53">
        <v>40</v>
      </c>
      <c r="E357" s="53" t="s">
        <v>20</v>
      </c>
      <c r="F357" s="53" t="s">
        <v>34</v>
      </c>
      <c r="G357" s="45">
        <v>330000</v>
      </c>
      <c r="H357" s="53" t="s">
        <v>28</v>
      </c>
      <c r="J357" s="30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</row>
    <row r="358" spans="1:22" s="29" customFormat="1" ht="18" customHeight="1" x14ac:dyDescent="0.25">
      <c r="A358" s="40">
        <v>348</v>
      </c>
      <c r="B358" s="54">
        <v>46043</v>
      </c>
      <c r="C358" s="53" t="s">
        <v>391</v>
      </c>
      <c r="D358" s="53">
        <v>40</v>
      </c>
      <c r="E358" s="53" t="s">
        <v>20</v>
      </c>
      <c r="F358" s="53" t="s">
        <v>34</v>
      </c>
      <c r="G358" s="45">
        <v>330000</v>
      </c>
      <c r="H358" s="53" t="s">
        <v>30</v>
      </c>
      <c r="J358" s="30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</row>
    <row r="359" spans="1:22" s="29" customFormat="1" ht="18" customHeight="1" x14ac:dyDescent="0.25">
      <c r="A359" s="40">
        <v>349</v>
      </c>
      <c r="B359" s="54">
        <v>46043</v>
      </c>
      <c r="C359" s="53" t="s">
        <v>392</v>
      </c>
      <c r="D359" s="53">
        <v>40</v>
      </c>
      <c r="E359" s="53" t="s">
        <v>20</v>
      </c>
      <c r="F359" s="53" t="s">
        <v>34</v>
      </c>
      <c r="G359" s="45">
        <v>330000</v>
      </c>
      <c r="H359" s="53" t="s">
        <v>30</v>
      </c>
      <c r="J359" s="30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</row>
    <row r="360" spans="1:22" s="29" customFormat="1" ht="18" customHeight="1" x14ac:dyDescent="0.25">
      <c r="A360" s="40">
        <v>350</v>
      </c>
      <c r="B360" s="54">
        <v>46043</v>
      </c>
      <c r="C360" s="53" t="s">
        <v>393</v>
      </c>
      <c r="D360" s="53">
        <v>40</v>
      </c>
      <c r="E360" s="53" t="s">
        <v>20</v>
      </c>
      <c r="F360" s="53" t="s">
        <v>34</v>
      </c>
      <c r="G360" s="45">
        <v>330000</v>
      </c>
      <c r="H360" s="53" t="s">
        <v>30</v>
      </c>
      <c r="J360" s="30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</row>
    <row r="361" spans="1:22" s="29" customFormat="1" ht="18" customHeight="1" x14ac:dyDescent="0.25">
      <c r="A361" s="40">
        <v>351</v>
      </c>
      <c r="B361" s="54">
        <v>46043</v>
      </c>
      <c r="C361" s="53" t="s">
        <v>394</v>
      </c>
      <c r="D361" s="53">
        <v>40</v>
      </c>
      <c r="E361" s="53" t="s">
        <v>20</v>
      </c>
      <c r="F361" s="53" t="s">
        <v>34</v>
      </c>
      <c r="G361" s="45">
        <v>330000</v>
      </c>
      <c r="H361" s="53" t="s">
        <v>30</v>
      </c>
      <c r="J361" s="30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</row>
    <row r="362" spans="1:22" s="29" customFormat="1" ht="18" customHeight="1" x14ac:dyDescent="0.25">
      <c r="A362" s="40">
        <v>352</v>
      </c>
      <c r="B362" s="54">
        <v>46043</v>
      </c>
      <c r="C362" s="53" t="s">
        <v>395</v>
      </c>
      <c r="D362" s="53">
        <v>40</v>
      </c>
      <c r="E362" s="53" t="s">
        <v>20</v>
      </c>
      <c r="F362" s="53" t="s">
        <v>34</v>
      </c>
      <c r="G362" s="45">
        <v>330000</v>
      </c>
      <c r="H362" s="53" t="s">
        <v>30</v>
      </c>
      <c r="J362" s="30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</row>
    <row r="363" spans="1:22" s="29" customFormat="1" ht="18" customHeight="1" x14ac:dyDescent="0.25">
      <c r="A363" s="40">
        <v>353</v>
      </c>
      <c r="B363" s="54">
        <v>46043</v>
      </c>
      <c r="C363" s="55" t="s">
        <v>396</v>
      </c>
      <c r="D363" s="53">
        <v>40</v>
      </c>
      <c r="E363" s="53" t="s">
        <v>20</v>
      </c>
      <c r="F363" s="53" t="s">
        <v>34</v>
      </c>
      <c r="G363" s="45">
        <v>330000</v>
      </c>
      <c r="H363" s="53" t="s">
        <v>21</v>
      </c>
      <c r="J363" s="30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</row>
    <row r="364" spans="1:22" s="29" customFormat="1" ht="18" customHeight="1" x14ac:dyDescent="0.25">
      <c r="A364" s="40">
        <v>354</v>
      </c>
      <c r="B364" s="54">
        <v>46043</v>
      </c>
      <c r="C364" s="53" t="s">
        <v>397</v>
      </c>
      <c r="D364" s="53">
        <v>40</v>
      </c>
      <c r="E364" s="53" t="s">
        <v>20</v>
      </c>
      <c r="F364" s="53" t="s">
        <v>34</v>
      </c>
      <c r="G364" s="45">
        <v>330000</v>
      </c>
      <c r="H364" s="53" t="s">
        <v>21</v>
      </c>
      <c r="J364" s="30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</row>
    <row r="365" spans="1:22" s="29" customFormat="1" ht="18" customHeight="1" x14ac:dyDescent="0.25">
      <c r="A365" s="40">
        <v>355</v>
      </c>
      <c r="B365" s="54">
        <v>46043</v>
      </c>
      <c r="C365" s="53" t="s">
        <v>398</v>
      </c>
      <c r="D365" s="53">
        <v>40</v>
      </c>
      <c r="E365" s="53" t="s">
        <v>20</v>
      </c>
      <c r="F365" s="53" t="s">
        <v>34</v>
      </c>
      <c r="G365" s="45">
        <v>330000</v>
      </c>
      <c r="H365" s="53" t="s">
        <v>26</v>
      </c>
      <c r="J365" s="30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</row>
    <row r="366" spans="1:22" s="29" customFormat="1" ht="18" customHeight="1" x14ac:dyDescent="0.25">
      <c r="A366" s="40">
        <v>356</v>
      </c>
      <c r="B366" s="54">
        <v>46043</v>
      </c>
      <c r="C366" s="53" t="s">
        <v>399</v>
      </c>
      <c r="D366" s="53">
        <v>40</v>
      </c>
      <c r="E366" s="53" t="s">
        <v>20</v>
      </c>
      <c r="F366" s="53" t="s">
        <v>34</v>
      </c>
      <c r="G366" s="45">
        <v>330000</v>
      </c>
      <c r="H366" s="53" t="s">
        <v>26</v>
      </c>
      <c r="J366" s="30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</row>
    <row r="367" spans="1:22" s="29" customFormat="1" ht="18" customHeight="1" x14ac:dyDescent="0.25">
      <c r="A367" s="40">
        <v>357</v>
      </c>
      <c r="B367" s="54">
        <v>46043</v>
      </c>
      <c r="C367" s="53" t="s">
        <v>400</v>
      </c>
      <c r="D367" s="53">
        <v>40</v>
      </c>
      <c r="E367" s="53" t="s">
        <v>20</v>
      </c>
      <c r="F367" s="53" t="s">
        <v>34</v>
      </c>
      <c r="G367" s="45">
        <v>330000</v>
      </c>
      <c r="H367" s="53" t="s">
        <v>26</v>
      </c>
      <c r="J367" s="30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</row>
    <row r="368" spans="1:22" s="29" customFormat="1" ht="18" customHeight="1" x14ac:dyDescent="0.25">
      <c r="A368" s="40">
        <v>358</v>
      </c>
      <c r="B368" s="54">
        <v>46043</v>
      </c>
      <c r="C368" s="53" t="s">
        <v>401</v>
      </c>
      <c r="D368" s="53">
        <v>40</v>
      </c>
      <c r="E368" s="53" t="s">
        <v>20</v>
      </c>
      <c r="F368" s="53" t="s">
        <v>34</v>
      </c>
      <c r="G368" s="45">
        <v>330000</v>
      </c>
      <c r="H368" s="53" t="s">
        <v>26</v>
      </c>
      <c r="J368" s="30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</row>
    <row r="369" spans="1:22" s="29" customFormat="1" ht="18" customHeight="1" x14ac:dyDescent="0.25">
      <c r="A369" s="40">
        <v>359</v>
      </c>
      <c r="B369" s="54">
        <v>46043</v>
      </c>
      <c r="C369" s="53" t="s">
        <v>402</v>
      </c>
      <c r="D369" s="53">
        <v>40</v>
      </c>
      <c r="E369" s="53" t="s">
        <v>20</v>
      </c>
      <c r="F369" s="53" t="s">
        <v>34</v>
      </c>
      <c r="G369" s="45">
        <v>330000</v>
      </c>
      <c r="H369" s="53" t="s">
        <v>26</v>
      </c>
      <c r="J369" s="30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</row>
    <row r="370" spans="1:22" s="29" customFormat="1" ht="18" customHeight="1" x14ac:dyDescent="0.25">
      <c r="A370" s="40">
        <v>360</v>
      </c>
      <c r="B370" s="54">
        <v>46043</v>
      </c>
      <c r="C370" s="53" t="s">
        <v>403</v>
      </c>
      <c r="D370" s="53">
        <v>40</v>
      </c>
      <c r="E370" s="53" t="s">
        <v>20</v>
      </c>
      <c r="F370" s="53" t="s">
        <v>34</v>
      </c>
      <c r="G370" s="45">
        <v>330000</v>
      </c>
      <c r="H370" s="53" t="s">
        <v>334</v>
      </c>
      <c r="J370" s="30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</row>
    <row r="371" spans="1:22" s="29" customFormat="1" ht="18" customHeight="1" x14ac:dyDescent="0.25">
      <c r="A371" s="40">
        <v>361</v>
      </c>
      <c r="B371" s="54">
        <v>46043</v>
      </c>
      <c r="C371" s="53" t="s">
        <v>404</v>
      </c>
      <c r="D371" s="53">
        <v>40</v>
      </c>
      <c r="E371" s="53" t="s">
        <v>20</v>
      </c>
      <c r="F371" s="53" t="s">
        <v>34</v>
      </c>
      <c r="G371" s="45">
        <v>330000</v>
      </c>
      <c r="H371" s="53" t="s">
        <v>334</v>
      </c>
      <c r="J371" s="30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</row>
    <row r="372" spans="1:22" s="29" customFormat="1" ht="18" customHeight="1" x14ac:dyDescent="0.25">
      <c r="A372" s="40">
        <v>362</v>
      </c>
      <c r="B372" s="54">
        <v>46046</v>
      </c>
      <c r="C372" s="53" t="s">
        <v>410</v>
      </c>
      <c r="D372" s="53">
        <v>40</v>
      </c>
      <c r="E372" s="53" t="s">
        <v>20</v>
      </c>
      <c r="F372" s="53" t="s">
        <v>34</v>
      </c>
      <c r="G372" s="45">
        <v>330000</v>
      </c>
      <c r="H372" s="53" t="s">
        <v>26</v>
      </c>
      <c r="J372" s="30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</row>
    <row r="373" spans="1:22" s="29" customFormat="1" ht="18" customHeight="1" x14ac:dyDescent="0.25">
      <c r="A373" s="40">
        <v>363</v>
      </c>
      <c r="B373" s="54">
        <v>46046</v>
      </c>
      <c r="C373" s="53" t="s">
        <v>411</v>
      </c>
      <c r="D373" s="53">
        <v>20</v>
      </c>
      <c r="E373" s="53" t="s">
        <v>20</v>
      </c>
      <c r="F373" s="53" t="s">
        <v>34</v>
      </c>
      <c r="G373" s="45">
        <v>175000</v>
      </c>
      <c r="H373" s="53" t="s">
        <v>26</v>
      </c>
      <c r="J373" s="30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</row>
    <row r="374" spans="1:22" s="29" customFormat="1" ht="18" customHeight="1" x14ac:dyDescent="0.25">
      <c r="A374" s="40">
        <v>364</v>
      </c>
      <c r="B374" s="54">
        <v>46046</v>
      </c>
      <c r="C374" s="53" t="s">
        <v>412</v>
      </c>
      <c r="D374" s="53">
        <v>20</v>
      </c>
      <c r="E374" s="53" t="s">
        <v>20</v>
      </c>
      <c r="F374" s="53" t="s">
        <v>34</v>
      </c>
      <c r="G374" s="45">
        <v>175000</v>
      </c>
      <c r="H374" s="53" t="s">
        <v>26</v>
      </c>
      <c r="J374" s="30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</row>
    <row r="375" spans="1:22" s="29" customFormat="1" ht="18" customHeight="1" x14ac:dyDescent="0.25">
      <c r="A375" s="40">
        <v>365</v>
      </c>
      <c r="B375" s="54">
        <v>46046</v>
      </c>
      <c r="C375" s="53" t="s">
        <v>413</v>
      </c>
      <c r="D375" s="53">
        <v>20</v>
      </c>
      <c r="E375" s="53" t="s">
        <v>20</v>
      </c>
      <c r="F375" s="53" t="s">
        <v>34</v>
      </c>
      <c r="G375" s="45">
        <v>175000</v>
      </c>
      <c r="H375" s="53" t="s">
        <v>26</v>
      </c>
      <c r="J375" s="30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</row>
    <row r="376" spans="1:22" s="29" customFormat="1" ht="18" customHeight="1" x14ac:dyDescent="0.25">
      <c r="A376" s="40">
        <v>366</v>
      </c>
      <c r="B376" s="54">
        <v>46046</v>
      </c>
      <c r="C376" s="53" t="s">
        <v>414</v>
      </c>
      <c r="D376" s="53">
        <v>20</v>
      </c>
      <c r="E376" s="53" t="s">
        <v>20</v>
      </c>
      <c r="F376" s="53" t="s">
        <v>34</v>
      </c>
      <c r="G376" s="45">
        <v>175000</v>
      </c>
      <c r="H376" s="53" t="s">
        <v>26</v>
      </c>
      <c r="J376" s="30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</row>
    <row r="377" spans="1:22" s="29" customFormat="1" ht="18" customHeight="1" x14ac:dyDescent="0.25">
      <c r="A377" s="40"/>
      <c r="B377" s="54"/>
      <c r="C377" s="53"/>
      <c r="D377" s="53"/>
      <c r="E377" s="53"/>
      <c r="F377" s="53"/>
      <c r="G377" s="45"/>
      <c r="H377" s="53"/>
      <c r="J377" s="30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</row>
    <row r="378" spans="1:22" s="29" customFormat="1" ht="18" customHeight="1" x14ac:dyDescent="0.25">
      <c r="A378" s="40"/>
      <c r="B378" s="54"/>
      <c r="C378" s="53"/>
      <c r="D378" s="53"/>
      <c r="E378" s="53"/>
      <c r="F378" s="53"/>
      <c r="G378" s="45"/>
      <c r="H378" s="53"/>
      <c r="J378" s="30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</row>
    <row r="379" spans="1:22" s="29" customFormat="1" ht="18" customHeight="1" x14ac:dyDescent="0.25">
      <c r="A379" s="40"/>
      <c r="B379" s="54"/>
      <c r="C379" s="53"/>
      <c r="D379" s="53"/>
      <c r="E379" s="53"/>
      <c r="F379" s="53"/>
      <c r="G379" s="45"/>
      <c r="H379" s="53"/>
      <c r="J379" s="30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</row>
    <row r="380" spans="1:22" s="29" customFormat="1" ht="18" customHeight="1" x14ac:dyDescent="0.25">
      <c r="A380" s="40"/>
      <c r="B380" s="54"/>
      <c r="C380" s="53"/>
      <c r="D380" s="53"/>
      <c r="E380" s="53"/>
      <c r="F380" s="53"/>
      <c r="G380" s="45"/>
      <c r="H380" s="53"/>
      <c r="J380" s="30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</row>
    <row r="381" spans="1:22" s="29" customFormat="1" ht="18" customHeight="1" x14ac:dyDescent="0.25">
      <c r="A381" s="40"/>
      <c r="B381" s="54"/>
      <c r="C381" s="53"/>
      <c r="D381" s="53"/>
      <c r="E381" s="53"/>
      <c r="F381" s="53"/>
      <c r="G381" s="45"/>
      <c r="H381" s="53"/>
      <c r="J381" s="30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</row>
    <row r="382" spans="1:22" s="29" customFormat="1" ht="18" customHeight="1" x14ac:dyDescent="0.25">
      <c r="A382" s="40"/>
      <c r="B382" s="54"/>
      <c r="C382" s="53"/>
      <c r="D382" s="53"/>
      <c r="E382" s="53"/>
      <c r="F382" s="53"/>
      <c r="G382" s="45"/>
      <c r="H382" s="53"/>
      <c r="J382" s="30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</row>
    <row r="383" spans="1:22" s="29" customFormat="1" ht="18" customHeight="1" x14ac:dyDescent="0.25">
      <c r="A383" s="40"/>
      <c r="B383" s="54"/>
      <c r="C383" s="53"/>
      <c r="D383" s="53"/>
      <c r="E383" s="53"/>
      <c r="F383" s="53"/>
      <c r="G383" s="45"/>
      <c r="H383" s="53"/>
      <c r="J383" s="30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</row>
    <row r="384" spans="1:22" s="29" customFormat="1" ht="18" customHeight="1" x14ac:dyDescent="0.25">
      <c r="A384" s="40"/>
      <c r="B384" s="54"/>
      <c r="C384" s="53"/>
      <c r="D384" s="53"/>
      <c r="E384" s="53"/>
      <c r="F384" s="53"/>
      <c r="G384" s="45"/>
      <c r="H384" s="53"/>
      <c r="J384" s="30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</row>
    <row r="385" spans="1:22" s="29" customFormat="1" ht="18" customHeight="1" x14ac:dyDescent="0.25">
      <c r="A385" s="40"/>
      <c r="B385" s="54"/>
      <c r="C385" s="53"/>
      <c r="D385" s="53"/>
      <c r="E385" s="53"/>
      <c r="F385" s="53"/>
      <c r="G385" s="45"/>
      <c r="H385" s="53"/>
      <c r="J385" s="30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</row>
    <row r="386" spans="1:22" s="29" customFormat="1" ht="18" customHeight="1" x14ac:dyDescent="0.25">
      <c r="A386" s="40"/>
      <c r="B386" s="54"/>
      <c r="C386" s="53"/>
      <c r="D386" s="53"/>
      <c r="E386" s="53"/>
      <c r="F386" s="53"/>
      <c r="G386" s="45"/>
      <c r="H386" s="53"/>
      <c r="J386" s="30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</row>
    <row r="387" spans="1:22" s="5" customFormat="1" ht="19.5" customHeight="1" x14ac:dyDescent="0.25">
      <c r="A387" s="228" t="s">
        <v>17</v>
      </c>
      <c r="B387" s="228"/>
      <c r="C387" s="228"/>
      <c r="D387" s="228"/>
      <c r="E387" s="228"/>
      <c r="F387" s="228"/>
      <c r="G387" s="56">
        <f>SUM(G11:G386)</f>
        <v>108766000</v>
      </c>
      <c r="H387" s="57"/>
      <c r="I387" s="4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ht="16.5" customHeight="1" x14ac:dyDescent="0.25">
      <c r="A388" s="58" t="s">
        <v>18</v>
      </c>
      <c r="B388" s="59"/>
      <c r="C388" s="60"/>
      <c r="D388" s="61"/>
      <c r="E388" s="61"/>
      <c r="F388" s="41"/>
      <c r="G388" s="61"/>
      <c r="H388" s="62"/>
      <c r="I388" s="10"/>
    </row>
    <row r="389" spans="1:22" s="3" customFormat="1" x14ac:dyDescent="0.25">
      <c r="C389" s="1"/>
      <c r="F389" s="38"/>
      <c r="H389" s="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s="12" customFormat="1" x14ac:dyDescent="0.25">
      <c r="A390" s="39"/>
      <c r="B390" s="33"/>
      <c r="C390" s="6"/>
      <c r="F390" s="212" t="s">
        <v>269</v>
      </c>
      <c r="G390" s="212"/>
      <c r="H390" s="21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s="3" customFormat="1" ht="35.25" customHeight="1" x14ac:dyDescent="0.25">
      <c r="A391" s="42"/>
      <c r="B391" s="42"/>
      <c r="C391" s="42"/>
      <c r="D391" s="42"/>
      <c r="E391" s="34"/>
      <c r="F391" s="214" t="s">
        <v>0</v>
      </c>
      <c r="G391" s="214"/>
      <c r="H391" s="214"/>
      <c r="I391" s="35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x14ac:dyDescent="0.25">
      <c r="A392" s="42"/>
      <c r="B392" s="42"/>
      <c r="C392" s="42"/>
      <c r="D392" s="42"/>
    </row>
    <row r="393" spans="1:22" x14ac:dyDescent="0.25">
      <c r="A393" s="42"/>
      <c r="B393" s="42"/>
      <c r="C393" s="42"/>
      <c r="D393" s="42"/>
    </row>
    <row r="394" spans="1:22" x14ac:dyDescent="0.25">
      <c r="A394" s="42"/>
      <c r="B394" s="42"/>
      <c r="C394" s="42"/>
      <c r="D394" s="42"/>
      <c r="E394" s="42"/>
      <c r="F394" s="42"/>
      <c r="G394" s="42"/>
      <c r="H394" s="42"/>
      <c r="I394" s="42"/>
    </row>
    <row r="395" spans="1:22" x14ac:dyDescent="0.25">
      <c r="A395" s="42"/>
      <c r="B395" s="42"/>
      <c r="C395" s="42"/>
      <c r="D395" s="42"/>
      <c r="E395" s="42"/>
      <c r="F395" s="42"/>
      <c r="G395" s="42"/>
      <c r="H395" s="42"/>
      <c r="I395" s="42"/>
    </row>
    <row r="396" spans="1:22" x14ac:dyDescent="0.25">
      <c r="A396" s="42"/>
      <c r="B396" s="42"/>
      <c r="C396" s="42"/>
      <c r="D396" s="42"/>
      <c r="E396" s="42"/>
      <c r="F396" s="42"/>
      <c r="G396" s="42"/>
      <c r="H396" s="42"/>
      <c r="I396" s="42"/>
    </row>
    <row r="397" spans="1:22" x14ac:dyDescent="0.25">
      <c r="A397" s="42"/>
      <c r="B397" s="42"/>
      <c r="C397" s="42"/>
      <c r="D397" s="42"/>
      <c r="E397" s="42"/>
      <c r="F397" s="42"/>
      <c r="G397" s="42"/>
      <c r="H397" s="42"/>
      <c r="I397" s="42"/>
    </row>
    <row r="398" spans="1:22" x14ac:dyDescent="0.25">
      <c r="A398" s="42"/>
      <c r="B398" s="42"/>
      <c r="C398" s="42"/>
      <c r="D398" s="42"/>
      <c r="E398" s="42"/>
      <c r="F398" s="42"/>
      <c r="G398" s="42"/>
      <c r="H398" s="42"/>
      <c r="I398" s="42"/>
    </row>
    <row r="399" spans="1:22" x14ac:dyDescent="0.25">
      <c r="A399" s="42"/>
      <c r="B399" s="42"/>
      <c r="C399" s="42"/>
      <c r="D399" s="42"/>
      <c r="E399" s="42"/>
      <c r="F399" s="42"/>
      <c r="G399" s="42"/>
      <c r="H399" s="42"/>
      <c r="I399" s="42"/>
    </row>
    <row r="400" spans="1:22" x14ac:dyDescent="0.25">
      <c r="A400" s="42"/>
      <c r="B400" s="42"/>
      <c r="C400" s="42"/>
      <c r="D400" s="42"/>
      <c r="E400" s="42"/>
      <c r="F400" s="42"/>
      <c r="G400" s="42"/>
      <c r="H400" s="42"/>
      <c r="I400" s="42"/>
    </row>
    <row r="401" spans="1:9" x14ac:dyDescent="0.25">
      <c r="A401" s="42"/>
      <c r="B401" s="42"/>
      <c r="C401" s="50" t="s">
        <v>146</v>
      </c>
      <c r="D401" s="42"/>
      <c r="E401" s="42"/>
      <c r="F401" s="42"/>
      <c r="G401" s="42"/>
      <c r="H401" s="42"/>
      <c r="I401" s="42"/>
    </row>
    <row r="402" spans="1:9" x14ac:dyDescent="0.25">
      <c r="A402" s="42"/>
      <c r="B402" s="42"/>
      <c r="C402" s="50" t="s">
        <v>147</v>
      </c>
      <c r="D402" s="42"/>
      <c r="E402" s="42"/>
      <c r="F402" s="42"/>
      <c r="G402" s="42"/>
      <c r="H402" s="42"/>
      <c r="I402" s="42"/>
    </row>
    <row r="403" spans="1:9" x14ac:dyDescent="0.25">
      <c r="A403" s="42"/>
      <c r="B403" s="42"/>
      <c r="C403" s="50" t="s">
        <v>148</v>
      </c>
      <c r="D403" s="42"/>
      <c r="E403" s="42"/>
      <c r="F403" s="42"/>
      <c r="G403" s="42"/>
      <c r="H403" s="42"/>
      <c r="I403" s="42"/>
    </row>
    <row r="404" spans="1:9" x14ac:dyDescent="0.25">
      <c r="A404" s="42"/>
      <c r="B404" s="42"/>
      <c r="C404" s="50" t="s">
        <v>149</v>
      </c>
      <c r="D404" s="42"/>
      <c r="E404" s="42"/>
      <c r="F404" s="42"/>
      <c r="G404" s="42"/>
      <c r="H404" s="42"/>
      <c r="I404" s="42"/>
    </row>
    <row r="405" spans="1:9" x14ac:dyDescent="0.25">
      <c r="A405" s="42"/>
      <c r="B405" s="42"/>
      <c r="C405" s="49" t="s">
        <v>150</v>
      </c>
      <c r="D405" s="42"/>
      <c r="E405" s="42"/>
      <c r="F405" s="42"/>
      <c r="G405" s="42"/>
      <c r="H405" s="42"/>
      <c r="I405" s="42"/>
    </row>
    <row r="406" spans="1:9" x14ac:dyDescent="0.25">
      <c r="A406" s="42"/>
      <c r="B406" s="42"/>
      <c r="C406" s="50" t="s">
        <v>161</v>
      </c>
      <c r="D406" s="42"/>
      <c r="E406" s="42"/>
      <c r="F406" s="42"/>
      <c r="G406" s="42"/>
      <c r="H406" s="42"/>
      <c r="I406" s="42"/>
    </row>
    <row r="407" spans="1:9" x14ac:dyDescent="0.25">
      <c r="A407" s="42"/>
      <c r="B407" s="42"/>
      <c r="C407" s="50" t="s">
        <v>162</v>
      </c>
      <c r="D407" s="42"/>
      <c r="E407" s="42"/>
      <c r="F407" s="42"/>
      <c r="G407" s="42"/>
      <c r="H407" s="42"/>
      <c r="I407" s="42"/>
    </row>
    <row r="408" spans="1:9" x14ac:dyDescent="0.25">
      <c r="A408" s="42"/>
      <c r="B408" s="42"/>
      <c r="C408" s="50" t="s">
        <v>163</v>
      </c>
      <c r="D408" s="42"/>
      <c r="E408" s="42"/>
      <c r="F408" s="42"/>
      <c r="G408" s="42"/>
      <c r="H408" s="42"/>
      <c r="I408" s="42"/>
    </row>
    <row r="409" spans="1:9" x14ac:dyDescent="0.25">
      <c r="A409" s="42"/>
      <c r="B409" s="42"/>
      <c r="C409" s="50" t="s">
        <v>164</v>
      </c>
      <c r="D409" s="42"/>
      <c r="E409" s="42"/>
      <c r="F409" s="42"/>
      <c r="G409" s="42"/>
      <c r="H409" s="42"/>
      <c r="I409" s="42"/>
    </row>
    <row r="410" spans="1:9" x14ac:dyDescent="0.25">
      <c r="A410" s="42"/>
      <c r="B410" s="42"/>
      <c r="C410" s="50" t="s">
        <v>165</v>
      </c>
      <c r="D410" s="42"/>
      <c r="E410" s="42"/>
      <c r="F410" s="42"/>
      <c r="G410" s="42"/>
      <c r="H410" s="42"/>
      <c r="I410" s="42"/>
    </row>
    <row r="411" spans="1:9" x14ac:dyDescent="0.25">
      <c r="A411" s="42"/>
      <c r="B411" s="42"/>
      <c r="C411" s="42"/>
      <c r="D411" s="42"/>
      <c r="E411" s="42"/>
      <c r="F411" s="42"/>
      <c r="G411" s="42"/>
      <c r="H411" s="42"/>
      <c r="I411" s="42"/>
    </row>
    <row r="412" spans="1:9" x14ac:dyDescent="0.25">
      <c r="A412" s="42"/>
      <c r="B412" s="42"/>
      <c r="C412" s="42"/>
      <c r="D412" s="42"/>
      <c r="E412" s="42"/>
      <c r="F412" s="42"/>
      <c r="G412" s="42"/>
      <c r="H412" s="42"/>
      <c r="I412" s="42"/>
    </row>
    <row r="413" spans="1:9" x14ac:dyDescent="0.25">
      <c r="A413" s="42"/>
      <c r="B413" s="42"/>
      <c r="C413" s="42"/>
      <c r="D413" s="42"/>
      <c r="E413" s="42"/>
      <c r="F413" s="42"/>
      <c r="G413" s="42"/>
      <c r="H413" s="42"/>
      <c r="I413" s="42"/>
    </row>
    <row r="414" spans="1:9" x14ac:dyDescent="0.25">
      <c r="A414" s="42"/>
      <c r="B414" s="42"/>
      <c r="C414" s="53" t="s">
        <v>297</v>
      </c>
      <c r="D414" s="42"/>
      <c r="E414" s="42"/>
      <c r="F414" s="42"/>
      <c r="G414" s="42"/>
      <c r="H414" s="42"/>
      <c r="I414" s="42"/>
    </row>
    <row r="415" spans="1:9" x14ac:dyDescent="0.25">
      <c r="A415" s="42"/>
      <c r="B415" s="42"/>
      <c r="C415" s="53" t="s">
        <v>298</v>
      </c>
      <c r="D415" s="42"/>
      <c r="E415" s="42"/>
      <c r="F415" s="42"/>
      <c r="G415" s="42"/>
      <c r="H415" s="42"/>
      <c r="I415" s="42"/>
    </row>
    <row r="416" spans="1:9" x14ac:dyDescent="0.25">
      <c r="A416" s="42"/>
      <c r="B416" s="42"/>
      <c r="C416" s="53" t="s">
        <v>299</v>
      </c>
      <c r="D416" s="42"/>
      <c r="E416" s="42"/>
      <c r="F416" s="42"/>
      <c r="G416" s="42"/>
      <c r="H416" s="42"/>
      <c r="I416" s="42"/>
    </row>
    <row r="417" spans="1:9" x14ac:dyDescent="0.25">
      <c r="A417" s="42"/>
      <c r="B417" s="42"/>
      <c r="C417" s="53" t="s">
        <v>300</v>
      </c>
      <c r="D417" s="42"/>
      <c r="E417" s="42"/>
      <c r="F417" s="42"/>
      <c r="G417" s="42"/>
      <c r="H417" s="42"/>
      <c r="I417" s="42"/>
    </row>
    <row r="418" spans="1:9" x14ac:dyDescent="0.25">
      <c r="A418" s="42"/>
      <c r="B418" s="42"/>
      <c r="C418" s="55" t="s">
        <v>301</v>
      </c>
      <c r="D418" s="42"/>
      <c r="E418" s="42"/>
      <c r="F418" s="42"/>
      <c r="G418" s="42"/>
      <c r="H418" s="42"/>
      <c r="I418" s="42"/>
    </row>
    <row r="419" spans="1:9" x14ac:dyDescent="0.25">
      <c r="A419" s="42"/>
      <c r="B419" s="42"/>
      <c r="C419" s="53" t="s">
        <v>302</v>
      </c>
      <c r="D419" s="42"/>
      <c r="E419" s="42"/>
      <c r="F419" s="42"/>
      <c r="G419" s="42"/>
      <c r="H419" s="42"/>
      <c r="I419" s="42"/>
    </row>
    <row r="420" spans="1:9" x14ac:dyDescent="0.25">
      <c r="A420" s="42"/>
      <c r="B420" s="42"/>
      <c r="C420" s="53" t="s">
        <v>303</v>
      </c>
      <c r="D420" s="42"/>
      <c r="E420" s="42"/>
      <c r="F420" s="42"/>
      <c r="G420" s="42"/>
      <c r="H420" s="42"/>
      <c r="I420" s="42"/>
    </row>
    <row r="421" spans="1:9" x14ac:dyDescent="0.25">
      <c r="A421" s="42"/>
      <c r="B421" s="42"/>
      <c r="C421" s="53" t="s">
        <v>304</v>
      </c>
      <c r="D421" s="42"/>
      <c r="E421" s="42"/>
      <c r="F421" s="42"/>
      <c r="G421" s="42"/>
      <c r="H421" s="42"/>
      <c r="I421" s="42"/>
    </row>
    <row r="422" spans="1:9" x14ac:dyDescent="0.25">
      <c r="A422" s="42"/>
      <c r="B422" s="42"/>
      <c r="C422" s="106" t="s">
        <v>276</v>
      </c>
      <c r="D422" s="42"/>
      <c r="E422" s="42"/>
      <c r="F422" s="42"/>
      <c r="G422" s="42"/>
      <c r="H422" s="42"/>
      <c r="I422" s="42"/>
    </row>
    <row r="423" spans="1:9" x14ac:dyDescent="0.25">
      <c r="A423" s="42"/>
      <c r="B423" s="42"/>
      <c r="C423" s="106" t="s">
        <v>277</v>
      </c>
      <c r="D423" s="42"/>
      <c r="E423" s="42"/>
      <c r="F423" s="42"/>
      <c r="G423" s="42"/>
      <c r="H423" s="42"/>
      <c r="I423" s="42"/>
    </row>
    <row r="424" spans="1:9" x14ac:dyDescent="0.25">
      <c r="A424" s="42"/>
      <c r="B424" s="42"/>
      <c r="C424" s="106" t="s">
        <v>278</v>
      </c>
      <c r="D424" s="42"/>
      <c r="E424" s="42"/>
      <c r="F424" s="42"/>
      <c r="G424" s="42"/>
      <c r="H424" s="42"/>
      <c r="I424" s="42"/>
    </row>
    <row r="425" spans="1:9" x14ac:dyDescent="0.25">
      <c r="A425" s="42"/>
      <c r="B425" s="42"/>
      <c r="C425" s="106" t="s">
        <v>279</v>
      </c>
      <c r="D425" s="42"/>
      <c r="E425" s="42"/>
      <c r="F425" s="42"/>
      <c r="G425" s="42"/>
      <c r="H425" s="42"/>
      <c r="I425" s="42"/>
    </row>
    <row r="426" spans="1:9" x14ac:dyDescent="0.25">
      <c r="A426" s="42"/>
      <c r="B426" s="42"/>
      <c r="C426" s="106" t="s">
        <v>280</v>
      </c>
      <c r="D426" s="42"/>
      <c r="E426" s="42"/>
      <c r="F426" s="42"/>
      <c r="G426" s="42"/>
      <c r="H426" s="42"/>
      <c r="I426" s="42"/>
    </row>
    <row r="427" spans="1:9" x14ac:dyDescent="0.25">
      <c r="A427" s="42"/>
      <c r="B427" s="42"/>
      <c r="C427" s="106" t="s">
        <v>281</v>
      </c>
      <c r="D427" s="42"/>
      <c r="E427" s="42"/>
      <c r="F427" s="42"/>
      <c r="G427" s="42"/>
      <c r="H427" s="42"/>
      <c r="I427" s="42"/>
    </row>
    <row r="428" spans="1:9" x14ac:dyDescent="0.25">
      <c r="A428" s="42"/>
      <c r="B428" s="42"/>
      <c r="C428" s="106" t="s">
        <v>282</v>
      </c>
      <c r="D428" s="42"/>
      <c r="E428" s="42"/>
      <c r="F428" s="42"/>
      <c r="G428" s="42"/>
      <c r="H428" s="42"/>
      <c r="I428" s="42"/>
    </row>
    <row r="429" spans="1:9" x14ac:dyDescent="0.25">
      <c r="A429" s="42"/>
      <c r="B429" s="42"/>
      <c r="C429" s="106" t="s">
        <v>283</v>
      </c>
      <c r="D429" s="42"/>
      <c r="E429" s="42"/>
      <c r="F429" s="42"/>
      <c r="G429" s="42"/>
      <c r="H429" s="42"/>
      <c r="I429" s="42"/>
    </row>
    <row r="430" spans="1:9" x14ac:dyDescent="0.25">
      <c r="A430" s="42"/>
      <c r="B430" s="42"/>
      <c r="C430" s="106" t="s">
        <v>284</v>
      </c>
      <c r="D430" s="42"/>
      <c r="E430" s="42"/>
      <c r="F430" s="42"/>
      <c r="G430" s="42"/>
      <c r="H430" s="42"/>
      <c r="I430" s="42"/>
    </row>
    <row r="431" spans="1:9" x14ac:dyDescent="0.25">
      <c r="A431" s="42"/>
      <c r="B431" s="42"/>
      <c r="C431" s="106" t="s">
        <v>285</v>
      </c>
      <c r="D431" s="42"/>
      <c r="E431" s="42"/>
      <c r="F431" s="42"/>
      <c r="G431" s="42"/>
      <c r="H431" s="42"/>
      <c r="I431" s="42"/>
    </row>
    <row r="432" spans="1:9" x14ac:dyDescent="0.25">
      <c r="A432" s="42"/>
      <c r="B432" s="42"/>
      <c r="C432" s="106" t="s">
        <v>286</v>
      </c>
      <c r="D432" s="42"/>
      <c r="E432" s="42"/>
      <c r="F432" s="42"/>
      <c r="G432" s="42"/>
      <c r="H432" s="42"/>
      <c r="I432" s="42"/>
    </row>
    <row r="433" spans="1:9" x14ac:dyDescent="0.25">
      <c r="A433" s="42"/>
      <c r="B433" s="42"/>
      <c r="C433" s="106" t="s">
        <v>287</v>
      </c>
      <c r="D433" s="42"/>
      <c r="E433" s="42"/>
      <c r="F433" s="42"/>
      <c r="G433" s="42"/>
      <c r="H433" s="42"/>
      <c r="I433" s="42"/>
    </row>
    <row r="434" spans="1:9" x14ac:dyDescent="0.25">
      <c r="A434" s="42"/>
      <c r="B434" s="42"/>
      <c r="C434" s="106" t="s">
        <v>288</v>
      </c>
      <c r="D434" s="42"/>
      <c r="E434" s="42"/>
      <c r="F434" s="42"/>
      <c r="G434" s="42"/>
      <c r="H434" s="42"/>
      <c r="I434" s="42"/>
    </row>
    <row r="435" spans="1:9" x14ac:dyDescent="0.25">
      <c r="A435" s="42"/>
      <c r="B435" s="42"/>
      <c r="C435" s="106" t="s">
        <v>289</v>
      </c>
      <c r="D435" s="42"/>
      <c r="E435" s="42"/>
      <c r="F435" s="42"/>
      <c r="G435" s="42"/>
      <c r="H435" s="42"/>
      <c r="I435" s="42"/>
    </row>
    <row r="436" spans="1:9" x14ac:dyDescent="0.25">
      <c r="A436" s="42"/>
      <c r="B436" s="42"/>
      <c r="C436" s="106" t="s">
        <v>290</v>
      </c>
      <c r="D436" s="42"/>
      <c r="E436" s="42"/>
      <c r="F436" s="42"/>
      <c r="G436" s="42"/>
      <c r="H436" s="42"/>
      <c r="I436" s="42"/>
    </row>
    <row r="437" spans="1:9" x14ac:dyDescent="0.25">
      <c r="A437" s="42"/>
      <c r="B437" s="42"/>
      <c r="C437" s="106" t="s">
        <v>291</v>
      </c>
      <c r="D437" s="42"/>
      <c r="E437" s="42"/>
      <c r="F437" s="42"/>
      <c r="G437" s="42"/>
      <c r="H437" s="42"/>
      <c r="I437" s="42"/>
    </row>
    <row r="438" spans="1:9" x14ac:dyDescent="0.25">
      <c r="A438" s="42"/>
      <c r="B438" s="42"/>
      <c r="C438" s="106" t="s">
        <v>292</v>
      </c>
      <c r="D438" s="42"/>
      <c r="E438" s="42"/>
      <c r="F438" s="42"/>
      <c r="G438" s="42"/>
      <c r="H438" s="42"/>
      <c r="I438" s="42"/>
    </row>
    <row r="439" spans="1:9" x14ac:dyDescent="0.25">
      <c r="A439" s="42"/>
      <c r="B439" s="42"/>
      <c r="C439" s="106" t="s">
        <v>293</v>
      </c>
      <c r="D439" s="42"/>
      <c r="E439" s="42"/>
      <c r="F439" s="42"/>
      <c r="G439" s="42"/>
      <c r="H439" s="42"/>
      <c r="I439" s="42"/>
    </row>
    <row r="440" spans="1:9" x14ac:dyDescent="0.25">
      <c r="A440" s="42"/>
      <c r="B440" s="42"/>
      <c r="C440" s="106" t="s">
        <v>294</v>
      </c>
      <c r="D440" s="42"/>
      <c r="E440" s="42"/>
      <c r="F440" s="42"/>
      <c r="G440" s="42"/>
      <c r="H440" s="42"/>
      <c r="I440" s="42"/>
    </row>
    <row r="441" spans="1:9" x14ac:dyDescent="0.25">
      <c r="A441" s="42"/>
      <c r="B441" s="42"/>
      <c r="C441" s="106" t="s">
        <v>295</v>
      </c>
      <c r="D441" s="42"/>
      <c r="E441" s="42"/>
      <c r="F441" s="42"/>
      <c r="G441" s="42"/>
      <c r="H441" s="42"/>
      <c r="I441" s="42"/>
    </row>
    <row r="442" spans="1:9" x14ac:dyDescent="0.25">
      <c r="A442" s="42"/>
      <c r="B442" s="42"/>
      <c r="C442" s="106" t="s">
        <v>305</v>
      </c>
      <c r="D442" s="42"/>
      <c r="E442" s="42"/>
      <c r="F442" s="42"/>
      <c r="G442" s="42"/>
      <c r="H442" s="42"/>
      <c r="I442" s="42"/>
    </row>
    <row r="443" spans="1:9" x14ac:dyDescent="0.25">
      <c r="A443" s="42"/>
      <c r="B443" s="42"/>
      <c r="C443" s="106" t="s">
        <v>306</v>
      </c>
      <c r="D443" s="42"/>
      <c r="E443" s="42"/>
      <c r="F443" s="42"/>
      <c r="G443" s="42"/>
      <c r="H443" s="42"/>
      <c r="I443" s="42"/>
    </row>
    <row r="444" spans="1:9" x14ac:dyDescent="0.25">
      <c r="A444" s="42"/>
      <c r="B444" s="42"/>
      <c r="C444" s="106" t="s">
        <v>307</v>
      </c>
      <c r="D444" s="42"/>
      <c r="E444" s="42"/>
      <c r="F444" s="42"/>
      <c r="G444" s="42"/>
      <c r="H444" s="42"/>
      <c r="I444" s="42"/>
    </row>
    <row r="445" spans="1:9" x14ac:dyDescent="0.25">
      <c r="A445" s="42"/>
      <c r="B445" s="42"/>
      <c r="C445" s="55" t="s">
        <v>308</v>
      </c>
      <c r="D445" s="42"/>
      <c r="E445" s="42"/>
      <c r="F445" s="42"/>
      <c r="G445" s="42"/>
      <c r="H445" s="42"/>
      <c r="I445" s="42"/>
    </row>
    <row r="446" spans="1:9" x14ac:dyDescent="0.25">
      <c r="A446" s="42"/>
      <c r="B446" s="42"/>
      <c r="C446" s="55" t="s">
        <v>309</v>
      </c>
      <c r="D446" s="42"/>
      <c r="E446" s="42"/>
      <c r="F446" s="42"/>
      <c r="G446" s="42"/>
      <c r="H446" s="42"/>
      <c r="I446" s="42"/>
    </row>
    <row r="447" spans="1:9" x14ac:dyDescent="0.25">
      <c r="A447" s="42"/>
      <c r="B447" s="42"/>
      <c r="C447" s="55" t="s">
        <v>310</v>
      </c>
      <c r="D447" s="42"/>
      <c r="E447" s="42"/>
      <c r="F447" s="42"/>
      <c r="G447" s="42"/>
      <c r="H447" s="42"/>
      <c r="I447" s="42"/>
    </row>
    <row r="448" spans="1:9" x14ac:dyDescent="0.25">
      <c r="A448" s="42"/>
      <c r="B448" s="42"/>
      <c r="C448" s="55" t="s">
        <v>311</v>
      </c>
      <c r="D448" s="42"/>
      <c r="E448" s="42"/>
      <c r="F448" s="42"/>
      <c r="G448" s="42"/>
      <c r="H448" s="42"/>
      <c r="I448" s="42"/>
    </row>
    <row r="449" spans="1:9" x14ac:dyDescent="0.25">
      <c r="A449" s="42"/>
      <c r="B449" s="42"/>
      <c r="C449" s="55" t="s">
        <v>312</v>
      </c>
      <c r="D449" s="42"/>
      <c r="E449" s="42"/>
      <c r="F449" s="42"/>
      <c r="G449" s="42"/>
      <c r="H449" s="42"/>
      <c r="I449" s="42"/>
    </row>
    <row r="450" spans="1:9" x14ac:dyDescent="0.25">
      <c r="A450" s="42"/>
      <c r="B450" s="42"/>
      <c r="C450" s="55" t="s">
        <v>313</v>
      </c>
      <c r="D450" s="42"/>
      <c r="E450" s="42"/>
      <c r="F450" s="42"/>
      <c r="G450" s="42"/>
      <c r="H450" s="42"/>
      <c r="I450" s="42"/>
    </row>
    <row r="451" spans="1:9" x14ac:dyDescent="0.25">
      <c r="A451" s="42"/>
      <c r="B451" s="42"/>
      <c r="C451" s="55" t="s">
        <v>314</v>
      </c>
      <c r="D451" s="42"/>
      <c r="E451" s="42"/>
      <c r="F451" s="42"/>
      <c r="G451" s="42"/>
      <c r="H451" s="42"/>
      <c r="I451" s="42"/>
    </row>
    <row r="452" spans="1:9" x14ac:dyDescent="0.25">
      <c r="A452" s="42"/>
      <c r="B452" s="42"/>
      <c r="C452" s="55" t="s">
        <v>315</v>
      </c>
      <c r="D452" s="42"/>
      <c r="E452" s="42"/>
      <c r="F452" s="42"/>
      <c r="G452" s="42"/>
      <c r="H452" s="42"/>
      <c r="I452" s="42"/>
    </row>
    <row r="453" spans="1:9" x14ac:dyDescent="0.25">
      <c r="A453" s="42"/>
      <c r="B453" s="42"/>
      <c r="C453" s="55" t="s">
        <v>316</v>
      </c>
      <c r="D453" s="42"/>
      <c r="E453" s="42"/>
      <c r="F453" s="42"/>
      <c r="G453" s="42"/>
      <c r="H453" s="42"/>
      <c r="I453" s="42"/>
    </row>
    <row r="454" spans="1:9" x14ac:dyDescent="0.25">
      <c r="A454" s="42"/>
      <c r="B454" s="42"/>
      <c r="C454" s="55" t="s">
        <v>317</v>
      </c>
      <c r="D454" s="42"/>
      <c r="E454" s="42"/>
      <c r="F454" s="42"/>
      <c r="G454" s="42"/>
      <c r="H454" s="42"/>
      <c r="I454" s="42"/>
    </row>
    <row r="455" spans="1:9" x14ac:dyDescent="0.25">
      <c r="A455" s="42"/>
      <c r="B455" s="42"/>
      <c r="C455" s="55" t="s">
        <v>318</v>
      </c>
      <c r="D455" s="42"/>
      <c r="E455" s="42"/>
      <c r="F455" s="42"/>
      <c r="G455" s="42"/>
      <c r="H455" s="42"/>
      <c r="I455" s="42"/>
    </row>
    <row r="456" spans="1:9" x14ac:dyDescent="0.25">
      <c r="A456" s="42"/>
      <c r="B456" s="42"/>
      <c r="C456" s="53" t="s">
        <v>319</v>
      </c>
      <c r="D456" s="42"/>
      <c r="E456" s="42"/>
      <c r="F456" s="42"/>
      <c r="G456" s="42"/>
      <c r="H456" s="42"/>
      <c r="I456" s="42"/>
    </row>
    <row r="457" spans="1:9" x14ac:dyDescent="0.25">
      <c r="A457" s="42"/>
      <c r="B457" s="42"/>
      <c r="C457" s="53" t="s">
        <v>320</v>
      </c>
      <c r="D457" s="42"/>
      <c r="E457" s="42"/>
      <c r="F457" s="42"/>
      <c r="G457" s="42"/>
      <c r="H457" s="42"/>
      <c r="I457" s="42"/>
    </row>
    <row r="458" spans="1:9" x14ac:dyDescent="0.25">
      <c r="A458" s="42"/>
      <c r="B458" s="42"/>
      <c r="C458" s="53" t="s">
        <v>321</v>
      </c>
      <c r="D458" s="42"/>
      <c r="E458" s="42"/>
      <c r="F458" s="42"/>
      <c r="G458" s="42"/>
      <c r="H458" s="42"/>
      <c r="I458" s="42"/>
    </row>
    <row r="459" spans="1:9" x14ac:dyDescent="0.25">
      <c r="A459" s="42"/>
      <c r="B459" s="42"/>
      <c r="C459" s="53" t="s">
        <v>322</v>
      </c>
      <c r="D459" s="42"/>
      <c r="E459" s="42"/>
      <c r="F459" s="42"/>
      <c r="G459" s="42"/>
      <c r="H459" s="42"/>
      <c r="I459" s="42"/>
    </row>
    <row r="460" spans="1:9" x14ac:dyDescent="0.25">
      <c r="A460" s="42"/>
      <c r="B460" s="42"/>
      <c r="C460" s="53" t="s">
        <v>323</v>
      </c>
      <c r="D460" s="42"/>
      <c r="E460" s="42"/>
      <c r="F460" s="42"/>
      <c r="G460" s="42"/>
      <c r="H460" s="42"/>
      <c r="I460" s="42"/>
    </row>
    <row r="461" spans="1:9" x14ac:dyDescent="0.25">
      <c r="A461" s="42"/>
      <c r="B461" s="42"/>
      <c r="C461" s="53" t="s">
        <v>324</v>
      </c>
      <c r="D461" s="42"/>
      <c r="E461" s="42"/>
      <c r="F461" s="42"/>
      <c r="G461" s="42"/>
      <c r="H461" s="42"/>
      <c r="I461" s="42"/>
    </row>
    <row r="462" spans="1:9" x14ac:dyDescent="0.25">
      <c r="A462" s="42"/>
      <c r="B462" s="42"/>
      <c r="C462" s="53" t="s">
        <v>325</v>
      </c>
      <c r="D462" s="42"/>
      <c r="E462" s="42"/>
      <c r="F462" s="42"/>
      <c r="G462" s="42"/>
      <c r="H462" s="42"/>
      <c r="I462" s="42"/>
    </row>
    <row r="463" spans="1:9" x14ac:dyDescent="0.25">
      <c r="A463" s="42"/>
      <c r="B463" s="42"/>
      <c r="C463" s="53" t="s">
        <v>326</v>
      </c>
      <c r="D463" s="42"/>
      <c r="E463" s="42"/>
      <c r="F463" s="42"/>
      <c r="G463" s="42"/>
      <c r="H463" s="42"/>
      <c r="I463" s="42"/>
    </row>
    <row r="464" spans="1:9" x14ac:dyDescent="0.25">
      <c r="A464" s="42"/>
      <c r="B464" s="42"/>
      <c r="C464" s="53" t="s">
        <v>327</v>
      </c>
      <c r="D464" s="42"/>
      <c r="E464" s="42"/>
      <c r="F464" s="42"/>
      <c r="G464" s="42"/>
      <c r="H464" s="42"/>
      <c r="I464" s="42"/>
    </row>
    <row r="465" spans="1:9" x14ac:dyDescent="0.25">
      <c r="A465" s="42"/>
      <c r="B465" s="42"/>
      <c r="C465" s="53" t="s">
        <v>328</v>
      </c>
      <c r="D465" s="42"/>
      <c r="E465" s="42"/>
      <c r="F465" s="42"/>
      <c r="G465" s="42"/>
      <c r="H465" s="42"/>
      <c r="I465" s="42"/>
    </row>
    <row r="466" spans="1:9" x14ac:dyDescent="0.25">
      <c r="A466" s="42"/>
      <c r="B466" s="42"/>
      <c r="C466" s="53" t="s">
        <v>329</v>
      </c>
      <c r="D466" s="42"/>
      <c r="E466" s="42"/>
      <c r="F466" s="42"/>
      <c r="G466" s="42"/>
      <c r="H466" s="42"/>
      <c r="I466" s="42"/>
    </row>
    <row r="467" spans="1:9" x14ac:dyDescent="0.25">
      <c r="A467" s="42"/>
      <c r="B467" s="42"/>
      <c r="C467" s="53" t="s">
        <v>330</v>
      </c>
      <c r="D467" s="42"/>
      <c r="E467" s="42"/>
      <c r="F467" s="42"/>
      <c r="G467" s="42"/>
      <c r="H467" s="42"/>
      <c r="I467" s="42"/>
    </row>
    <row r="468" spans="1:9" x14ac:dyDescent="0.25">
      <c r="A468" s="42"/>
      <c r="B468" s="42"/>
      <c r="C468" s="53" t="s">
        <v>331</v>
      </c>
      <c r="D468" s="42"/>
      <c r="E468" s="42"/>
      <c r="F468" s="42"/>
      <c r="G468" s="42"/>
      <c r="H468" s="42"/>
      <c r="I468" s="42"/>
    </row>
    <row r="469" spans="1:9" x14ac:dyDescent="0.25">
      <c r="A469" s="42"/>
      <c r="B469" s="42"/>
      <c r="C469" s="53" t="s">
        <v>332</v>
      </c>
      <c r="D469" s="42"/>
      <c r="E469" s="42"/>
      <c r="F469" s="42"/>
      <c r="G469" s="42"/>
      <c r="H469" s="42"/>
      <c r="I469" s="42"/>
    </row>
    <row r="470" spans="1:9" x14ac:dyDescent="0.25">
      <c r="A470" s="42"/>
      <c r="B470" s="42"/>
      <c r="C470" s="53" t="s">
        <v>333</v>
      </c>
      <c r="D470" s="42"/>
      <c r="E470" s="42"/>
      <c r="F470" s="42"/>
      <c r="G470" s="42"/>
      <c r="H470" s="42"/>
      <c r="I470" s="42"/>
    </row>
    <row r="471" spans="1:9" x14ac:dyDescent="0.25">
      <c r="A471" s="42"/>
      <c r="B471" s="42"/>
      <c r="C471" s="53" t="s">
        <v>410</v>
      </c>
      <c r="D471" s="42"/>
      <c r="E471" s="42"/>
      <c r="F471" s="42"/>
      <c r="G471" s="42"/>
      <c r="H471" s="42"/>
      <c r="I471" s="42"/>
    </row>
    <row r="472" spans="1:9" x14ac:dyDescent="0.25">
      <c r="A472" s="42"/>
      <c r="B472" s="42"/>
      <c r="C472" s="117" t="s">
        <v>411</v>
      </c>
      <c r="D472" s="42"/>
      <c r="E472" s="42"/>
      <c r="F472" s="42"/>
      <c r="G472" s="42"/>
      <c r="H472" s="42"/>
      <c r="I472" s="42"/>
    </row>
    <row r="473" spans="1:9" x14ac:dyDescent="0.25">
      <c r="A473" s="42"/>
      <c r="B473" s="42"/>
      <c r="C473" s="53" t="s">
        <v>412</v>
      </c>
      <c r="D473" s="42"/>
      <c r="E473" s="42"/>
      <c r="F473" s="42"/>
      <c r="G473" s="42"/>
      <c r="H473" s="42"/>
      <c r="I473" s="42"/>
    </row>
    <row r="474" spans="1:9" x14ac:dyDescent="0.25">
      <c r="A474" s="42"/>
      <c r="B474" s="42"/>
      <c r="C474" s="117" t="s">
        <v>413</v>
      </c>
      <c r="D474" s="42"/>
      <c r="E474" s="42"/>
      <c r="F474" s="42"/>
      <c r="G474" s="42"/>
      <c r="H474" s="42"/>
      <c r="I474" s="42"/>
    </row>
    <row r="475" spans="1:9" x14ac:dyDescent="0.25">
      <c r="A475" s="42"/>
      <c r="B475" s="42"/>
      <c r="C475" s="53" t="s">
        <v>414</v>
      </c>
      <c r="D475" s="42"/>
      <c r="E475" s="42"/>
      <c r="F475" s="42"/>
      <c r="G475" s="42"/>
      <c r="H475" s="42"/>
      <c r="I475" s="42"/>
    </row>
    <row r="476" spans="1:9" x14ac:dyDescent="0.25">
      <c r="A476" s="42"/>
      <c r="B476" s="42"/>
      <c r="C476" s="53" t="s">
        <v>415</v>
      </c>
      <c r="D476" s="42"/>
      <c r="E476" s="42"/>
      <c r="F476" s="42"/>
      <c r="G476" s="42"/>
      <c r="H476" s="42"/>
      <c r="I476" s="42"/>
    </row>
    <row r="477" spans="1:9" x14ac:dyDescent="0.25">
      <c r="A477" s="42"/>
      <c r="B477" s="42"/>
      <c r="C477" s="53" t="s">
        <v>416</v>
      </c>
      <c r="D477" s="42"/>
      <c r="E477" s="42"/>
      <c r="F477" s="42"/>
      <c r="G477" s="42"/>
      <c r="H477" s="42"/>
      <c r="I477" s="42"/>
    </row>
    <row r="478" spans="1:9" x14ac:dyDescent="0.25">
      <c r="A478" s="42"/>
      <c r="B478" s="42"/>
      <c r="C478" s="42"/>
      <c r="D478" s="42"/>
      <c r="E478" s="42"/>
      <c r="F478" s="42"/>
      <c r="G478" s="42"/>
      <c r="H478" s="42"/>
      <c r="I478" s="42"/>
    </row>
    <row r="479" spans="1:9" x14ac:dyDescent="0.25">
      <c r="A479" s="42"/>
      <c r="B479" s="42"/>
      <c r="C479" s="42"/>
      <c r="D479" s="42"/>
      <c r="E479" s="42"/>
      <c r="F479" s="42"/>
      <c r="G479" s="42"/>
      <c r="H479" s="42"/>
      <c r="I479" s="42"/>
    </row>
    <row r="480" spans="1:9" x14ac:dyDescent="0.25">
      <c r="A480" s="42"/>
      <c r="B480" s="42"/>
      <c r="C480" s="42"/>
      <c r="D480" s="42"/>
      <c r="E480" s="42"/>
      <c r="F480" s="42"/>
      <c r="G480" s="42"/>
      <c r="H480" s="42"/>
      <c r="I480" s="42"/>
    </row>
    <row r="481" spans="1:9" x14ac:dyDescent="0.25">
      <c r="A481" s="42"/>
      <c r="B481" s="42"/>
      <c r="C481" s="42"/>
      <c r="D481" s="42"/>
      <c r="E481" s="42"/>
      <c r="F481" s="42"/>
      <c r="G481" s="42"/>
      <c r="H481" s="42"/>
      <c r="I481" s="42"/>
    </row>
    <row r="482" spans="1:9" x14ac:dyDescent="0.25">
      <c r="A482" s="42"/>
      <c r="B482" s="42"/>
      <c r="C482" s="42"/>
      <c r="D482" s="42"/>
      <c r="E482" s="42"/>
      <c r="F482" s="42"/>
      <c r="G482" s="42"/>
      <c r="H482" s="42"/>
      <c r="I482" s="42"/>
    </row>
    <row r="483" spans="1:9" x14ac:dyDescent="0.25">
      <c r="A483" s="42"/>
      <c r="B483" s="42"/>
      <c r="C483" s="42"/>
      <c r="D483" s="42"/>
      <c r="E483" s="42"/>
      <c r="F483" s="42"/>
      <c r="G483" s="42"/>
      <c r="H483" s="42"/>
      <c r="I483" s="42"/>
    </row>
    <row r="484" spans="1:9" x14ac:dyDescent="0.25">
      <c r="A484" s="42"/>
      <c r="B484" s="42"/>
      <c r="C484" s="42"/>
      <c r="D484" s="42"/>
      <c r="E484" s="42"/>
      <c r="F484" s="42"/>
      <c r="G484" s="42"/>
      <c r="H484" s="42"/>
      <c r="I484" s="42"/>
    </row>
    <row r="485" spans="1:9" x14ac:dyDescent="0.25">
      <c r="A485" s="42"/>
      <c r="B485" s="42"/>
      <c r="C485" s="42"/>
      <c r="D485" s="42"/>
      <c r="E485" s="42"/>
      <c r="F485" s="42"/>
      <c r="G485" s="42"/>
      <c r="H485" s="42"/>
      <c r="I485" s="42"/>
    </row>
    <row r="486" spans="1:9" x14ac:dyDescent="0.25">
      <c r="A486" s="42"/>
      <c r="B486" s="42"/>
      <c r="C486" s="42"/>
      <c r="D486" s="42"/>
      <c r="E486" s="42"/>
      <c r="F486" s="42"/>
      <c r="G486" s="42"/>
      <c r="H486" s="42"/>
      <c r="I486" s="42"/>
    </row>
    <row r="487" spans="1:9" x14ac:dyDescent="0.25">
      <c r="A487" s="42"/>
      <c r="B487" s="42"/>
      <c r="C487" s="42"/>
      <c r="D487" s="42"/>
      <c r="E487" s="42"/>
      <c r="F487" s="42"/>
      <c r="G487" s="42"/>
      <c r="H487" s="42"/>
      <c r="I487" s="42"/>
    </row>
    <row r="488" spans="1:9" x14ac:dyDescent="0.25">
      <c r="A488" s="42"/>
      <c r="B488" s="42"/>
      <c r="C488" s="53" t="s">
        <v>297</v>
      </c>
      <c r="D488" s="42"/>
      <c r="E488" s="42"/>
      <c r="F488" s="42"/>
      <c r="G488" s="42"/>
      <c r="H488" s="42"/>
      <c r="I488" s="42"/>
    </row>
    <row r="489" spans="1:9" x14ac:dyDescent="0.25">
      <c r="A489" s="42"/>
      <c r="B489" s="42"/>
      <c r="C489" s="53" t="s">
        <v>298</v>
      </c>
      <c r="D489" s="42"/>
      <c r="E489" s="42"/>
      <c r="F489" s="42"/>
      <c r="G489" s="42"/>
      <c r="H489" s="42"/>
      <c r="I489" s="42"/>
    </row>
    <row r="490" spans="1:9" x14ac:dyDescent="0.25">
      <c r="A490" s="42"/>
      <c r="B490" s="42"/>
      <c r="C490" s="53" t="s">
        <v>299</v>
      </c>
      <c r="D490" s="42"/>
      <c r="E490" s="42"/>
      <c r="F490" s="42"/>
      <c r="G490" s="42"/>
      <c r="H490" s="42"/>
      <c r="I490" s="42"/>
    </row>
    <row r="491" spans="1:9" x14ac:dyDescent="0.25">
      <c r="A491" s="42"/>
      <c r="B491" s="42"/>
      <c r="C491" s="53" t="s">
        <v>300</v>
      </c>
      <c r="D491" s="42"/>
      <c r="E491" s="42"/>
      <c r="F491" s="42"/>
      <c r="G491" s="42"/>
      <c r="H491" s="42"/>
      <c r="I491" s="42"/>
    </row>
    <row r="492" spans="1:9" x14ac:dyDescent="0.25">
      <c r="A492" s="42"/>
      <c r="B492" s="42"/>
      <c r="C492" s="55" t="s">
        <v>301</v>
      </c>
      <c r="D492" s="42"/>
      <c r="E492" s="42"/>
      <c r="F492" s="42"/>
      <c r="G492" s="42"/>
      <c r="H492" s="42"/>
      <c r="I492" s="42"/>
    </row>
    <row r="493" spans="1:9" x14ac:dyDescent="0.25">
      <c r="A493" s="42"/>
      <c r="B493" s="42"/>
      <c r="C493" s="53" t="s">
        <v>302</v>
      </c>
      <c r="D493" s="42"/>
      <c r="E493" s="42"/>
      <c r="F493" s="42"/>
      <c r="G493" s="42"/>
      <c r="H493" s="42"/>
      <c r="I493" s="42"/>
    </row>
    <row r="494" spans="1:9" x14ac:dyDescent="0.25">
      <c r="A494" s="42"/>
      <c r="B494" s="42"/>
      <c r="C494" s="53" t="s">
        <v>303</v>
      </c>
      <c r="D494" s="42"/>
      <c r="E494" s="42"/>
      <c r="F494" s="42"/>
      <c r="G494" s="42"/>
      <c r="H494" s="42"/>
      <c r="I494" s="42"/>
    </row>
    <row r="495" spans="1:9" x14ac:dyDescent="0.25">
      <c r="A495" s="42"/>
      <c r="B495" s="42"/>
      <c r="C495" s="53" t="s">
        <v>304</v>
      </c>
      <c r="D495" s="42"/>
      <c r="E495" s="42"/>
      <c r="F495" s="42"/>
      <c r="G495" s="42"/>
      <c r="H495" s="42"/>
      <c r="I495" s="42"/>
    </row>
    <row r="496" spans="1:9" x14ac:dyDescent="0.25">
      <c r="A496" s="42"/>
      <c r="B496" s="42"/>
      <c r="C496" s="106" t="s">
        <v>276</v>
      </c>
      <c r="D496" s="42"/>
      <c r="E496" s="42"/>
      <c r="F496" s="42"/>
      <c r="G496" s="42"/>
      <c r="H496" s="42"/>
      <c r="I496" s="42"/>
    </row>
    <row r="497" spans="1:9" x14ac:dyDescent="0.25">
      <c r="A497" s="42"/>
      <c r="B497" s="42"/>
      <c r="C497" s="106" t="s">
        <v>277</v>
      </c>
      <c r="D497" s="42"/>
      <c r="E497" s="42"/>
      <c r="F497" s="42"/>
      <c r="G497" s="42"/>
      <c r="H497" s="42"/>
      <c r="I497" s="42"/>
    </row>
    <row r="498" spans="1:9" x14ac:dyDescent="0.25">
      <c r="A498" s="42"/>
      <c r="B498" s="42"/>
      <c r="C498" s="106" t="s">
        <v>278</v>
      </c>
      <c r="D498" s="42"/>
      <c r="E498" s="42"/>
      <c r="F498" s="42"/>
      <c r="G498" s="42"/>
      <c r="H498" s="42"/>
      <c r="I498" s="42"/>
    </row>
    <row r="499" spans="1:9" x14ac:dyDescent="0.25">
      <c r="A499" s="42"/>
      <c r="B499" s="42"/>
      <c r="C499" s="106" t="s">
        <v>279</v>
      </c>
      <c r="D499" s="42"/>
      <c r="E499" s="42"/>
      <c r="F499" s="42"/>
      <c r="G499" s="42"/>
      <c r="H499" s="42"/>
      <c r="I499" s="42"/>
    </row>
    <row r="500" spans="1:9" x14ac:dyDescent="0.25">
      <c r="A500" s="42"/>
      <c r="B500" s="42"/>
      <c r="C500" s="106" t="s">
        <v>280</v>
      </c>
      <c r="D500" s="42"/>
      <c r="E500" s="42"/>
      <c r="F500" s="42"/>
      <c r="G500" s="42"/>
      <c r="H500" s="42"/>
      <c r="I500" s="42"/>
    </row>
    <row r="501" spans="1:9" x14ac:dyDescent="0.25">
      <c r="A501" s="42"/>
      <c r="B501" s="42"/>
      <c r="C501" s="106" t="s">
        <v>281</v>
      </c>
      <c r="D501" s="42"/>
      <c r="E501" s="42"/>
      <c r="F501" s="42"/>
      <c r="G501" s="42"/>
      <c r="H501" s="42"/>
      <c r="I501" s="42"/>
    </row>
    <row r="502" spans="1:9" x14ac:dyDescent="0.25">
      <c r="A502" s="42"/>
      <c r="B502" s="42"/>
      <c r="C502" s="106" t="s">
        <v>282</v>
      </c>
      <c r="D502" s="42"/>
      <c r="E502" s="42"/>
      <c r="F502" s="42"/>
      <c r="G502" s="42"/>
      <c r="H502" s="42"/>
      <c r="I502" s="42"/>
    </row>
    <row r="503" spans="1:9" x14ac:dyDescent="0.25">
      <c r="A503" s="42"/>
      <c r="B503" s="42"/>
      <c r="C503" s="106" t="s">
        <v>283</v>
      </c>
      <c r="D503" s="42"/>
      <c r="E503" s="42"/>
      <c r="F503" s="42"/>
      <c r="G503" s="42"/>
      <c r="H503" s="42"/>
      <c r="I503" s="42"/>
    </row>
    <row r="504" spans="1:9" x14ac:dyDescent="0.25">
      <c r="A504" s="42"/>
      <c r="B504" s="42"/>
      <c r="C504" s="106" t="s">
        <v>284</v>
      </c>
      <c r="D504" s="42"/>
      <c r="E504" s="42"/>
      <c r="F504" s="42"/>
      <c r="G504" s="42"/>
      <c r="H504" s="42"/>
      <c r="I504" s="42"/>
    </row>
    <row r="505" spans="1:9" x14ac:dyDescent="0.25">
      <c r="A505" s="42"/>
      <c r="B505" s="42"/>
      <c r="C505" s="106" t="s">
        <v>285</v>
      </c>
      <c r="D505" s="42"/>
      <c r="E505" s="42"/>
      <c r="F505" s="42"/>
      <c r="G505" s="42"/>
      <c r="H505" s="42"/>
      <c r="I505" s="42"/>
    </row>
    <row r="506" spans="1:9" x14ac:dyDescent="0.25">
      <c r="A506" s="42"/>
      <c r="B506" s="42"/>
      <c r="C506" s="106" t="s">
        <v>286</v>
      </c>
      <c r="D506" s="42"/>
      <c r="E506" s="42"/>
      <c r="F506" s="42"/>
      <c r="G506" s="42"/>
      <c r="H506" s="42"/>
      <c r="I506" s="42"/>
    </row>
    <row r="507" spans="1:9" x14ac:dyDescent="0.25">
      <c r="A507" s="42"/>
      <c r="B507" s="42"/>
      <c r="C507" s="106" t="s">
        <v>287</v>
      </c>
      <c r="D507" s="42"/>
      <c r="E507" s="42"/>
      <c r="F507" s="42"/>
      <c r="G507" s="42"/>
      <c r="H507" s="42"/>
      <c r="I507" s="42"/>
    </row>
    <row r="508" spans="1:9" x14ac:dyDescent="0.25">
      <c r="A508" s="42"/>
      <c r="B508" s="42"/>
      <c r="C508" s="106" t="s">
        <v>288</v>
      </c>
      <c r="D508" s="42"/>
      <c r="E508" s="42"/>
      <c r="F508" s="42"/>
      <c r="G508" s="42"/>
      <c r="H508" s="42"/>
      <c r="I508" s="42"/>
    </row>
    <row r="509" spans="1:9" x14ac:dyDescent="0.25">
      <c r="A509" s="42"/>
      <c r="B509" s="42"/>
      <c r="C509" s="106" t="s">
        <v>289</v>
      </c>
      <c r="D509" s="42"/>
      <c r="E509" s="42"/>
      <c r="F509" s="42"/>
      <c r="G509" s="42"/>
      <c r="H509" s="42"/>
      <c r="I509" s="42"/>
    </row>
    <row r="510" spans="1:9" x14ac:dyDescent="0.25">
      <c r="A510" s="42"/>
      <c r="B510" s="42"/>
      <c r="C510" s="106" t="s">
        <v>290</v>
      </c>
      <c r="D510" s="42"/>
      <c r="E510" s="42"/>
      <c r="F510" s="42"/>
      <c r="G510" s="42"/>
      <c r="H510" s="42"/>
      <c r="I510" s="42"/>
    </row>
    <row r="511" spans="1:9" x14ac:dyDescent="0.25">
      <c r="A511" s="42"/>
      <c r="B511" s="42"/>
      <c r="C511" s="106" t="s">
        <v>291</v>
      </c>
      <c r="D511" s="42"/>
      <c r="E511" s="42"/>
      <c r="F511" s="42"/>
      <c r="G511" s="42"/>
      <c r="H511" s="42"/>
      <c r="I511" s="42"/>
    </row>
    <row r="512" spans="1:9" x14ac:dyDescent="0.25">
      <c r="A512" s="42"/>
      <c r="B512" s="42"/>
      <c r="C512" s="106" t="s">
        <v>292</v>
      </c>
      <c r="D512" s="42"/>
      <c r="E512" s="42"/>
      <c r="F512" s="42"/>
      <c r="G512" s="42"/>
      <c r="H512" s="42"/>
      <c r="I512" s="42"/>
    </row>
    <row r="513" spans="1:9" x14ac:dyDescent="0.25">
      <c r="A513" s="42"/>
      <c r="B513" s="42"/>
      <c r="C513" s="106" t="s">
        <v>293</v>
      </c>
      <c r="D513" s="42"/>
      <c r="E513" s="42"/>
      <c r="F513" s="42"/>
      <c r="G513" s="42"/>
      <c r="H513" s="42"/>
      <c r="I513" s="42"/>
    </row>
    <row r="514" spans="1:9" x14ac:dyDescent="0.25">
      <c r="A514" s="42"/>
      <c r="B514" s="42"/>
      <c r="C514" s="106" t="s">
        <v>294</v>
      </c>
      <c r="D514" s="42"/>
      <c r="E514" s="42"/>
      <c r="F514" s="42"/>
      <c r="G514" s="42"/>
      <c r="H514" s="42"/>
      <c r="I514" s="42"/>
    </row>
    <row r="515" spans="1:9" x14ac:dyDescent="0.25">
      <c r="A515" s="42"/>
      <c r="B515" s="42"/>
      <c r="C515" s="106" t="s">
        <v>295</v>
      </c>
      <c r="D515" s="42"/>
      <c r="E515" s="42"/>
      <c r="F515" s="42"/>
      <c r="G515" s="42"/>
      <c r="H515" s="42"/>
      <c r="I515" s="42"/>
    </row>
    <row r="516" spans="1:9" x14ac:dyDescent="0.25">
      <c r="A516" s="42"/>
      <c r="B516" s="42"/>
      <c r="C516" s="106" t="s">
        <v>305</v>
      </c>
      <c r="D516" s="42"/>
      <c r="E516" s="42"/>
      <c r="F516" s="42"/>
      <c r="G516" s="42"/>
      <c r="H516" s="42"/>
      <c r="I516" s="42"/>
    </row>
    <row r="517" spans="1:9" x14ac:dyDescent="0.25">
      <c r="A517" s="42"/>
      <c r="B517" s="42"/>
      <c r="C517" s="106" t="s">
        <v>306</v>
      </c>
      <c r="D517" s="42"/>
      <c r="E517" s="42"/>
      <c r="F517" s="42"/>
      <c r="G517" s="42"/>
      <c r="H517" s="42"/>
      <c r="I517" s="42"/>
    </row>
    <row r="518" spans="1:9" x14ac:dyDescent="0.25">
      <c r="A518" s="42"/>
      <c r="B518" s="42"/>
      <c r="C518" s="106" t="s">
        <v>307</v>
      </c>
      <c r="D518" s="42"/>
      <c r="E518" s="42"/>
      <c r="F518" s="42"/>
      <c r="G518" s="42"/>
      <c r="H518" s="42"/>
      <c r="I518" s="42"/>
    </row>
    <row r="519" spans="1:9" x14ac:dyDescent="0.25">
      <c r="A519" s="42"/>
      <c r="B519" s="42"/>
      <c r="C519" s="55" t="s">
        <v>308</v>
      </c>
      <c r="D519" s="42"/>
      <c r="E519" s="42"/>
      <c r="F519" s="42"/>
      <c r="G519" s="42"/>
      <c r="H519" s="42"/>
      <c r="I519" s="42"/>
    </row>
    <row r="520" spans="1:9" x14ac:dyDescent="0.25">
      <c r="A520" s="42"/>
      <c r="B520" s="42"/>
      <c r="C520" s="55" t="s">
        <v>309</v>
      </c>
      <c r="D520" s="42"/>
      <c r="E520" s="42"/>
      <c r="F520" s="42"/>
      <c r="G520" s="42"/>
      <c r="H520" s="42"/>
      <c r="I520" s="42"/>
    </row>
    <row r="521" spans="1:9" x14ac:dyDescent="0.25">
      <c r="A521" s="42"/>
      <c r="B521" s="42"/>
      <c r="C521" s="55" t="s">
        <v>310</v>
      </c>
      <c r="D521" s="42"/>
      <c r="E521" s="42"/>
      <c r="F521" s="42"/>
      <c r="G521" s="42"/>
      <c r="H521" s="42"/>
      <c r="I521" s="42"/>
    </row>
    <row r="522" spans="1:9" x14ac:dyDescent="0.25">
      <c r="A522" s="42"/>
      <c r="B522" s="42"/>
      <c r="C522" s="55" t="s">
        <v>311</v>
      </c>
      <c r="D522" s="42"/>
      <c r="E522" s="42"/>
      <c r="F522" s="42"/>
      <c r="G522" s="42"/>
      <c r="H522" s="42"/>
      <c r="I522" s="42"/>
    </row>
    <row r="523" spans="1:9" x14ac:dyDescent="0.25">
      <c r="A523" s="42"/>
      <c r="B523" s="42"/>
      <c r="C523" s="55" t="s">
        <v>312</v>
      </c>
      <c r="D523" s="42"/>
      <c r="E523" s="42"/>
      <c r="F523" s="42"/>
      <c r="G523" s="42"/>
      <c r="H523" s="42"/>
      <c r="I523" s="42"/>
    </row>
    <row r="524" spans="1:9" x14ac:dyDescent="0.25">
      <c r="A524" s="42"/>
      <c r="B524" s="42"/>
      <c r="C524" s="55" t="s">
        <v>313</v>
      </c>
      <c r="D524" s="42"/>
      <c r="E524" s="42"/>
      <c r="F524" s="42"/>
      <c r="G524" s="42"/>
      <c r="H524" s="42"/>
      <c r="I524" s="42"/>
    </row>
    <row r="525" spans="1:9" x14ac:dyDescent="0.25">
      <c r="A525" s="42"/>
      <c r="B525" s="42"/>
      <c r="C525" s="55" t="s">
        <v>314</v>
      </c>
      <c r="D525" s="42"/>
      <c r="E525" s="42"/>
      <c r="F525" s="42"/>
      <c r="G525" s="42"/>
      <c r="H525" s="42"/>
      <c r="I525" s="42"/>
    </row>
    <row r="526" spans="1:9" x14ac:dyDescent="0.25">
      <c r="A526" s="42"/>
      <c r="B526" s="42"/>
      <c r="C526" s="55" t="s">
        <v>315</v>
      </c>
      <c r="D526" s="42"/>
      <c r="E526" s="42"/>
      <c r="F526" s="42"/>
      <c r="G526" s="42"/>
      <c r="H526" s="42"/>
      <c r="I526" s="42"/>
    </row>
    <row r="527" spans="1:9" x14ac:dyDescent="0.25">
      <c r="A527" s="42"/>
      <c r="B527" s="42"/>
      <c r="C527" s="55" t="s">
        <v>316</v>
      </c>
      <c r="D527" s="42"/>
      <c r="E527" s="42"/>
      <c r="F527" s="42"/>
      <c r="G527" s="42"/>
      <c r="H527" s="42"/>
      <c r="I527" s="42"/>
    </row>
    <row r="528" spans="1:9" x14ac:dyDescent="0.25">
      <c r="A528" s="42"/>
      <c r="B528" s="42"/>
      <c r="C528" s="55" t="s">
        <v>317</v>
      </c>
      <c r="D528" s="42"/>
      <c r="E528" s="42"/>
      <c r="F528" s="42"/>
      <c r="G528" s="42"/>
      <c r="H528" s="42"/>
      <c r="I528" s="42"/>
    </row>
    <row r="529" spans="1:9" x14ac:dyDescent="0.25">
      <c r="A529" s="42"/>
      <c r="B529" s="42"/>
      <c r="C529" s="55" t="s">
        <v>318</v>
      </c>
      <c r="D529" s="42"/>
      <c r="E529" s="42"/>
      <c r="F529" s="42"/>
      <c r="G529" s="42"/>
      <c r="H529" s="42"/>
      <c r="I529" s="42"/>
    </row>
    <row r="530" spans="1:9" x14ac:dyDescent="0.25">
      <c r="A530" s="42"/>
      <c r="B530" s="42"/>
      <c r="C530" s="53" t="s">
        <v>319</v>
      </c>
      <c r="D530" s="42"/>
      <c r="E530" s="42"/>
      <c r="F530" s="42"/>
      <c r="G530" s="42"/>
      <c r="H530" s="42"/>
      <c r="I530" s="42"/>
    </row>
    <row r="531" spans="1:9" x14ac:dyDescent="0.25">
      <c r="A531" s="42"/>
      <c r="B531" s="42"/>
      <c r="C531" s="53" t="s">
        <v>320</v>
      </c>
      <c r="D531" s="42"/>
      <c r="E531" s="42"/>
      <c r="F531" s="42"/>
      <c r="G531" s="42"/>
      <c r="H531" s="42"/>
      <c r="I531" s="42"/>
    </row>
    <row r="532" spans="1:9" x14ac:dyDescent="0.25">
      <c r="A532" s="42"/>
      <c r="B532" s="42"/>
      <c r="C532" s="53" t="s">
        <v>321</v>
      </c>
      <c r="D532" s="42"/>
      <c r="E532" s="42"/>
      <c r="F532" s="42"/>
      <c r="G532" s="42"/>
      <c r="H532" s="42"/>
      <c r="I532" s="42"/>
    </row>
    <row r="533" spans="1:9" x14ac:dyDescent="0.25">
      <c r="A533" s="42"/>
      <c r="B533" s="42"/>
      <c r="C533" s="53" t="s">
        <v>322</v>
      </c>
      <c r="D533" s="42"/>
      <c r="E533" s="42"/>
      <c r="F533" s="42"/>
      <c r="G533" s="42"/>
      <c r="H533" s="42"/>
      <c r="I533" s="42"/>
    </row>
    <row r="534" spans="1:9" x14ac:dyDescent="0.25">
      <c r="A534" s="42"/>
      <c r="B534" s="42"/>
      <c r="C534" s="53" t="s">
        <v>323</v>
      </c>
      <c r="D534" s="42"/>
      <c r="E534" s="42"/>
      <c r="F534" s="42"/>
      <c r="G534" s="42"/>
      <c r="H534" s="42"/>
      <c r="I534" s="42"/>
    </row>
    <row r="535" spans="1:9" x14ac:dyDescent="0.25">
      <c r="A535" s="42"/>
      <c r="B535" s="42"/>
      <c r="C535" s="53" t="s">
        <v>324</v>
      </c>
      <c r="D535" s="42"/>
      <c r="E535" s="42"/>
      <c r="F535" s="42"/>
      <c r="G535" s="42"/>
      <c r="H535" s="42"/>
      <c r="I535" s="42"/>
    </row>
    <row r="536" spans="1:9" x14ac:dyDescent="0.25">
      <c r="A536" s="42"/>
      <c r="B536" s="42"/>
      <c r="C536" s="53" t="s">
        <v>325</v>
      </c>
      <c r="D536" s="42"/>
      <c r="E536" s="42"/>
      <c r="F536" s="42"/>
      <c r="G536" s="42"/>
      <c r="H536" s="42"/>
      <c r="I536" s="42"/>
    </row>
    <row r="537" spans="1:9" x14ac:dyDescent="0.25">
      <c r="A537" s="42"/>
      <c r="B537" s="42"/>
      <c r="C537" s="53" t="s">
        <v>326</v>
      </c>
      <c r="D537" s="42"/>
      <c r="E537" s="42"/>
      <c r="F537" s="42"/>
      <c r="G537" s="42"/>
      <c r="H537" s="42"/>
      <c r="I537" s="42"/>
    </row>
    <row r="538" spans="1:9" x14ac:dyDescent="0.25">
      <c r="A538" s="42"/>
      <c r="B538" s="42"/>
      <c r="C538" s="53" t="s">
        <v>327</v>
      </c>
      <c r="D538" s="42"/>
      <c r="E538" s="42"/>
      <c r="F538" s="42"/>
      <c r="G538" s="42"/>
      <c r="H538" s="42"/>
      <c r="I538" s="42"/>
    </row>
    <row r="539" spans="1:9" x14ac:dyDescent="0.25">
      <c r="A539" s="42"/>
      <c r="B539" s="42"/>
      <c r="C539" s="53" t="s">
        <v>328</v>
      </c>
      <c r="D539" s="42"/>
      <c r="E539" s="42"/>
      <c r="F539" s="42"/>
      <c r="G539" s="42"/>
      <c r="H539" s="42"/>
      <c r="I539" s="42"/>
    </row>
    <row r="540" spans="1:9" x14ac:dyDescent="0.25">
      <c r="A540" s="42"/>
      <c r="B540" s="42"/>
      <c r="C540" s="53" t="s">
        <v>329</v>
      </c>
      <c r="D540" s="42"/>
      <c r="E540" s="42"/>
      <c r="F540" s="42"/>
      <c r="G540" s="42"/>
      <c r="H540" s="42"/>
      <c r="I540" s="42"/>
    </row>
    <row r="541" spans="1:9" x14ac:dyDescent="0.25">
      <c r="A541" s="42"/>
      <c r="B541" s="42"/>
      <c r="C541" s="53" t="s">
        <v>330</v>
      </c>
      <c r="D541" s="42"/>
      <c r="E541" s="42"/>
      <c r="F541" s="42"/>
      <c r="G541" s="42"/>
      <c r="H541" s="42"/>
      <c r="I541" s="42"/>
    </row>
    <row r="542" spans="1:9" x14ac:dyDescent="0.25">
      <c r="A542" s="42"/>
      <c r="B542" s="42"/>
      <c r="C542" s="53" t="s">
        <v>331</v>
      </c>
      <c r="D542" s="42"/>
      <c r="E542" s="42"/>
      <c r="F542" s="42"/>
      <c r="G542" s="42"/>
      <c r="H542" s="42"/>
      <c r="I542" s="42"/>
    </row>
    <row r="543" spans="1:9" x14ac:dyDescent="0.25">
      <c r="A543" s="42"/>
      <c r="B543" s="42"/>
      <c r="C543" s="53" t="s">
        <v>332</v>
      </c>
      <c r="D543" s="42"/>
      <c r="E543" s="42"/>
      <c r="F543" s="42"/>
      <c r="G543" s="42"/>
      <c r="H543" s="42"/>
      <c r="I543" s="42"/>
    </row>
    <row r="544" spans="1:9" x14ac:dyDescent="0.25">
      <c r="A544" s="42"/>
      <c r="B544" s="42"/>
      <c r="C544" s="53" t="s">
        <v>333</v>
      </c>
      <c r="D544" s="42"/>
      <c r="E544" s="42"/>
      <c r="F544" s="42"/>
      <c r="G544" s="42"/>
      <c r="H544" s="42"/>
      <c r="I544" s="42"/>
    </row>
    <row r="545" spans="1:9" x14ac:dyDescent="0.25">
      <c r="A545" s="42"/>
      <c r="B545" s="42"/>
      <c r="C545" s="53" t="s">
        <v>410</v>
      </c>
      <c r="D545" s="42"/>
      <c r="E545" s="42"/>
      <c r="F545" s="42"/>
      <c r="G545" s="42"/>
      <c r="H545" s="42"/>
      <c r="I545" s="42"/>
    </row>
    <row r="546" spans="1:9" x14ac:dyDescent="0.25">
      <c r="A546" s="42"/>
      <c r="B546" s="42"/>
      <c r="C546" s="117" t="s">
        <v>411</v>
      </c>
      <c r="D546" s="42"/>
      <c r="E546" s="42"/>
      <c r="F546" s="42"/>
      <c r="G546" s="42"/>
      <c r="H546" s="42"/>
      <c r="I546" s="42"/>
    </row>
    <row r="547" spans="1:9" x14ac:dyDescent="0.25">
      <c r="A547" s="42"/>
      <c r="B547" s="42"/>
      <c r="C547" s="53" t="s">
        <v>412</v>
      </c>
      <c r="D547" s="42"/>
      <c r="E547" s="42"/>
      <c r="F547" s="42"/>
      <c r="G547" s="42"/>
      <c r="H547" s="42"/>
      <c r="I547" s="42"/>
    </row>
    <row r="548" spans="1:9" x14ac:dyDescent="0.25">
      <c r="A548" s="42"/>
      <c r="B548" s="42"/>
      <c r="C548" s="117" t="s">
        <v>413</v>
      </c>
      <c r="D548" s="42"/>
      <c r="E548" s="42"/>
      <c r="F548" s="42"/>
      <c r="G548" s="42"/>
      <c r="H548" s="42"/>
      <c r="I548" s="42"/>
    </row>
    <row r="549" spans="1:9" x14ac:dyDescent="0.25">
      <c r="A549" s="42"/>
      <c r="B549" s="42"/>
      <c r="C549" s="53" t="s">
        <v>414</v>
      </c>
      <c r="D549" s="42"/>
      <c r="E549" s="42"/>
      <c r="F549" s="42"/>
      <c r="G549" s="42"/>
      <c r="H549" s="42"/>
      <c r="I549" s="42"/>
    </row>
    <row r="550" spans="1:9" x14ac:dyDescent="0.25">
      <c r="A550" s="42"/>
      <c r="B550" s="42"/>
      <c r="C550" s="42"/>
      <c r="D550" s="42"/>
      <c r="E550" s="42"/>
      <c r="F550" s="42"/>
      <c r="G550" s="42"/>
      <c r="H550" s="42"/>
      <c r="I550" s="42"/>
    </row>
    <row r="551" spans="1:9" x14ac:dyDescent="0.25">
      <c r="A551" s="42"/>
      <c r="B551" s="42"/>
      <c r="C551" s="42"/>
      <c r="D551" s="42"/>
      <c r="E551" s="42"/>
      <c r="F551" s="42"/>
      <c r="G551" s="42"/>
      <c r="H551" s="42"/>
      <c r="I551" s="42"/>
    </row>
    <row r="552" spans="1:9" x14ac:dyDescent="0.25">
      <c r="A552" s="42"/>
      <c r="B552" s="42"/>
      <c r="C552" s="42"/>
      <c r="D552" s="42"/>
      <c r="E552" s="42"/>
      <c r="F552" s="42"/>
      <c r="G552" s="42"/>
      <c r="H552" s="42"/>
      <c r="I552" s="42"/>
    </row>
    <row r="553" spans="1:9" x14ac:dyDescent="0.25">
      <c r="A553" s="42"/>
      <c r="B553" s="42"/>
      <c r="C553" s="42"/>
      <c r="D553" s="42"/>
      <c r="E553" s="42"/>
      <c r="F553" s="42"/>
      <c r="G553" s="42"/>
      <c r="H553" s="42"/>
      <c r="I553" s="42"/>
    </row>
    <row r="554" spans="1:9" x14ac:dyDescent="0.25">
      <c r="A554" s="42"/>
      <c r="B554" s="42"/>
      <c r="C554" s="42"/>
      <c r="D554" s="42"/>
      <c r="E554" s="42"/>
      <c r="F554" s="42"/>
      <c r="G554" s="42"/>
      <c r="H554" s="42"/>
      <c r="I554" s="42"/>
    </row>
    <row r="555" spans="1:9" x14ac:dyDescent="0.25">
      <c r="A555" s="42"/>
      <c r="B555" s="42"/>
      <c r="C555" s="42"/>
      <c r="D555" s="42"/>
      <c r="E555" s="42"/>
      <c r="F555" s="42"/>
      <c r="G555" s="42"/>
      <c r="H555" s="42"/>
      <c r="I555" s="42"/>
    </row>
    <row r="556" spans="1:9" x14ac:dyDescent="0.25">
      <c r="A556" s="42"/>
      <c r="B556" s="42"/>
      <c r="C556" s="42"/>
      <c r="D556" s="42"/>
      <c r="E556" s="42"/>
      <c r="F556" s="42"/>
      <c r="G556" s="42"/>
      <c r="H556" s="42"/>
      <c r="I556" s="42"/>
    </row>
    <row r="557" spans="1:9" x14ac:dyDescent="0.25">
      <c r="A557" s="42"/>
      <c r="B557" s="42"/>
      <c r="C557" s="42"/>
      <c r="D557" s="42"/>
      <c r="E557" s="42"/>
      <c r="F557" s="42"/>
      <c r="G557" s="42"/>
      <c r="H557" s="42"/>
      <c r="I557" s="42"/>
    </row>
    <row r="558" spans="1:9" x14ac:dyDescent="0.25">
      <c r="A558" s="42"/>
      <c r="B558" s="42"/>
      <c r="C558" s="42"/>
      <c r="D558" s="42"/>
      <c r="E558" s="42"/>
      <c r="F558" s="42"/>
      <c r="G558" s="42"/>
      <c r="H558" s="42"/>
      <c r="I558" s="42"/>
    </row>
    <row r="559" spans="1:9" x14ac:dyDescent="0.25">
      <c r="A559" s="42"/>
      <c r="B559" s="42"/>
      <c r="C559" s="42"/>
      <c r="D559" s="42"/>
      <c r="E559" s="42"/>
      <c r="F559" s="42"/>
      <c r="G559" s="42"/>
      <c r="H559" s="42"/>
      <c r="I559" s="42"/>
    </row>
    <row r="560" spans="1:9" x14ac:dyDescent="0.25">
      <c r="A560" s="42"/>
      <c r="B560" s="42"/>
      <c r="C560" s="42"/>
      <c r="D560" s="42"/>
      <c r="E560" s="42"/>
      <c r="F560" s="42"/>
      <c r="G560" s="42"/>
      <c r="H560" s="42"/>
      <c r="I560" s="42"/>
    </row>
    <row r="561" spans="1:9" x14ac:dyDescent="0.25">
      <c r="A561" s="42"/>
      <c r="B561" s="42"/>
      <c r="C561" s="42"/>
      <c r="D561" s="42"/>
      <c r="E561" s="42"/>
      <c r="F561" s="42"/>
      <c r="G561" s="42"/>
      <c r="H561" s="42"/>
      <c r="I561" s="42"/>
    </row>
    <row r="562" spans="1:9" x14ac:dyDescent="0.25">
      <c r="A562" s="42"/>
      <c r="B562" s="42"/>
      <c r="C562" s="42"/>
      <c r="D562" s="42"/>
      <c r="E562" s="42"/>
      <c r="F562" s="42"/>
      <c r="G562" s="42"/>
      <c r="H562" s="42"/>
      <c r="I562" s="42"/>
    </row>
    <row r="563" spans="1:9" x14ac:dyDescent="0.25">
      <c r="A563" s="42"/>
      <c r="B563" s="42"/>
      <c r="C563" s="42"/>
      <c r="D563" s="42"/>
      <c r="E563" s="42"/>
      <c r="F563" s="42"/>
      <c r="G563" s="42"/>
      <c r="H563" s="42"/>
      <c r="I563" s="42"/>
    </row>
    <row r="564" spans="1:9" x14ac:dyDescent="0.25">
      <c r="A564" s="42"/>
      <c r="B564" s="42"/>
      <c r="C564" s="42"/>
      <c r="D564" s="42"/>
      <c r="E564" s="42"/>
      <c r="F564" s="42"/>
      <c r="G564" s="42"/>
      <c r="H564" s="42"/>
      <c r="I564" s="42"/>
    </row>
    <row r="565" spans="1:9" x14ac:dyDescent="0.25">
      <c r="A565" s="42"/>
      <c r="B565" s="42"/>
      <c r="C565" s="42"/>
      <c r="D565" s="42"/>
      <c r="E565" s="42"/>
      <c r="F565" s="42"/>
      <c r="G565" s="42"/>
      <c r="H565" s="42"/>
      <c r="I565" s="42"/>
    </row>
    <row r="566" spans="1:9" x14ac:dyDescent="0.25">
      <c r="A566" s="42"/>
      <c r="B566" s="42"/>
      <c r="C566" s="42"/>
      <c r="D566" s="42"/>
      <c r="E566" s="42"/>
      <c r="F566" s="42"/>
      <c r="G566" s="42"/>
      <c r="H566" s="42"/>
      <c r="I566" s="42"/>
    </row>
    <row r="567" spans="1:9" x14ac:dyDescent="0.25">
      <c r="A567" s="42"/>
      <c r="B567" s="42"/>
      <c r="C567" s="42"/>
      <c r="D567" s="42"/>
      <c r="E567" s="42"/>
      <c r="F567" s="42"/>
      <c r="G567" s="42"/>
      <c r="H567" s="42"/>
      <c r="I567" s="42"/>
    </row>
    <row r="568" spans="1:9" x14ac:dyDescent="0.25">
      <c r="A568" s="42"/>
      <c r="B568" s="42"/>
      <c r="C568" s="42"/>
      <c r="D568" s="42"/>
      <c r="E568" s="42"/>
      <c r="F568" s="42"/>
      <c r="G568" s="42"/>
      <c r="H568" s="42"/>
      <c r="I568" s="42"/>
    </row>
    <row r="569" spans="1:9" x14ac:dyDescent="0.25">
      <c r="A569" s="42"/>
      <c r="B569" s="42"/>
      <c r="C569" s="42"/>
      <c r="D569" s="42"/>
      <c r="E569" s="42"/>
      <c r="F569" s="42"/>
      <c r="G569" s="42"/>
      <c r="H569" s="42"/>
      <c r="I569" s="42"/>
    </row>
    <row r="570" spans="1:9" x14ac:dyDescent="0.25">
      <c r="A570" s="42"/>
      <c r="B570" s="42"/>
      <c r="C570" s="42"/>
      <c r="D570" s="42"/>
      <c r="E570" s="42"/>
      <c r="F570" s="42"/>
      <c r="G570" s="42"/>
      <c r="H570" s="42"/>
      <c r="I570" s="42"/>
    </row>
    <row r="571" spans="1:9" x14ac:dyDescent="0.25">
      <c r="A571" s="42"/>
      <c r="B571" s="42"/>
      <c r="C571" s="42"/>
      <c r="D571" s="42"/>
      <c r="E571" s="42"/>
      <c r="F571" s="42"/>
      <c r="G571" s="42"/>
      <c r="H571" s="42"/>
      <c r="I571" s="42"/>
    </row>
    <row r="572" spans="1:9" x14ac:dyDescent="0.25">
      <c r="A572" s="42"/>
      <c r="B572" s="42"/>
      <c r="C572" s="42"/>
      <c r="D572" s="42"/>
      <c r="E572" s="42"/>
      <c r="F572" s="42"/>
      <c r="G572" s="42"/>
      <c r="H572" s="42"/>
      <c r="I572" s="42"/>
    </row>
    <row r="573" spans="1:9" x14ac:dyDescent="0.25">
      <c r="A573" s="42"/>
      <c r="B573" s="42"/>
      <c r="C573" s="42"/>
      <c r="D573" s="42"/>
      <c r="E573" s="42"/>
      <c r="F573" s="42"/>
      <c r="G573" s="42"/>
      <c r="H573" s="42"/>
      <c r="I573" s="42"/>
    </row>
    <row r="574" spans="1:9" x14ac:dyDescent="0.25">
      <c r="A574" s="42"/>
      <c r="B574" s="42"/>
      <c r="C574" s="42"/>
      <c r="D574" s="42"/>
      <c r="E574" s="42"/>
      <c r="F574" s="42"/>
      <c r="G574" s="42"/>
      <c r="H574" s="42"/>
      <c r="I574" s="42"/>
    </row>
    <row r="575" spans="1:9" x14ac:dyDescent="0.25">
      <c r="A575" s="42"/>
      <c r="B575" s="42"/>
      <c r="C575" s="42"/>
      <c r="D575" s="42"/>
      <c r="E575" s="42"/>
      <c r="F575" s="42"/>
      <c r="G575" s="42"/>
      <c r="H575" s="42"/>
      <c r="I575" s="42"/>
    </row>
    <row r="576" spans="1:9" x14ac:dyDescent="0.25">
      <c r="A576" s="42"/>
      <c r="B576" s="42"/>
      <c r="C576" s="42"/>
      <c r="D576" s="42"/>
      <c r="E576" s="42"/>
      <c r="F576" s="42"/>
      <c r="G576" s="42"/>
      <c r="H576" s="42"/>
      <c r="I576" s="42"/>
    </row>
    <row r="577" spans="1:9" x14ac:dyDescent="0.25">
      <c r="A577" s="42"/>
      <c r="B577" s="42"/>
      <c r="C577" s="42"/>
      <c r="D577" s="42"/>
      <c r="E577" s="42"/>
      <c r="F577" s="42"/>
      <c r="G577" s="42"/>
      <c r="H577" s="42"/>
      <c r="I577" s="42"/>
    </row>
    <row r="578" spans="1:9" x14ac:dyDescent="0.25">
      <c r="A578" s="42"/>
      <c r="B578" s="42"/>
      <c r="C578" s="42"/>
      <c r="D578" s="42"/>
      <c r="E578" s="42"/>
      <c r="F578" s="42"/>
      <c r="G578" s="42"/>
      <c r="H578" s="42"/>
      <c r="I578" s="42"/>
    </row>
    <row r="579" spans="1:9" x14ac:dyDescent="0.25">
      <c r="A579" s="42"/>
      <c r="B579" s="42"/>
      <c r="C579" s="42"/>
      <c r="D579" s="42"/>
      <c r="E579" s="42"/>
      <c r="F579" s="42"/>
      <c r="G579" s="42"/>
      <c r="H579" s="42"/>
      <c r="I579" s="42"/>
    </row>
    <row r="580" spans="1:9" x14ac:dyDescent="0.25">
      <c r="A580" s="42"/>
      <c r="B580" s="42"/>
      <c r="C580" s="42"/>
      <c r="D580" s="42"/>
      <c r="E580" s="42"/>
      <c r="F580" s="42"/>
      <c r="G580" s="42"/>
      <c r="H580" s="42"/>
      <c r="I580" s="42"/>
    </row>
    <row r="581" spans="1:9" x14ac:dyDescent="0.25">
      <c r="A581" s="42"/>
      <c r="B581" s="42"/>
      <c r="C581" s="42"/>
      <c r="D581" s="42"/>
      <c r="E581" s="42"/>
      <c r="F581" s="42"/>
      <c r="G581" s="42"/>
      <c r="H581" s="42"/>
      <c r="I581" s="42"/>
    </row>
    <row r="582" spans="1:9" x14ac:dyDescent="0.25">
      <c r="A582" s="42"/>
      <c r="B582" s="42"/>
      <c r="C582" s="42"/>
      <c r="D582" s="42"/>
      <c r="E582" s="42"/>
      <c r="F582" s="42"/>
      <c r="G582" s="42"/>
      <c r="H582" s="42"/>
      <c r="I582" s="42"/>
    </row>
    <row r="583" spans="1:9" x14ac:dyDescent="0.25">
      <c r="A583" s="42"/>
      <c r="B583" s="42"/>
      <c r="C583" s="42"/>
      <c r="D583" s="42"/>
      <c r="E583" s="42"/>
      <c r="F583" s="42"/>
      <c r="G583" s="42"/>
      <c r="H583" s="42"/>
      <c r="I583" s="42"/>
    </row>
    <row r="584" spans="1:9" x14ac:dyDescent="0.25">
      <c r="A584" s="42"/>
      <c r="B584" s="42"/>
      <c r="C584" s="42"/>
      <c r="D584" s="42"/>
      <c r="E584" s="42"/>
      <c r="F584" s="42"/>
      <c r="G584" s="42"/>
      <c r="H584" s="42"/>
      <c r="I584" s="42"/>
    </row>
    <row r="585" spans="1:9" x14ac:dyDescent="0.25">
      <c r="A585" s="42"/>
      <c r="B585" s="42"/>
      <c r="C585" s="42"/>
      <c r="D585" s="42"/>
      <c r="E585" s="42"/>
      <c r="F585" s="42"/>
      <c r="G585" s="42"/>
      <c r="H585" s="42"/>
      <c r="I585" s="42"/>
    </row>
    <row r="586" spans="1:9" x14ac:dyDescent="0.25">
      <c r="A586" s="42"/>
      <c r="B586" s="42"/>
      <c r="C586" s="42"/>
      <c r="D586" s="42"/>
      <c r="E586" s="42"/>
      <c r="F586" s="42"/>
      <c r="G586" s="42"/>
      <c r="H586" s="42"/>
      <c r="I586" s="42"/>
    </row>
    <row r="587" spans="1:9" x14ac:dyDescent="0.25">
      <c r="A587" s="42"/>
      <c r="B587" s="42"/>
      <c r="C587" s="42"/>
      <c r="D587" s="42"/>
      <c r="E587" s="42"/>
      <c r="F587" s="42"/>
      <c r="G587" s="42"/>
      <c r="H587" s="42"/>
      <c r="I587" s="42"/>
    </row>
    <row r="588" spans="1:9" x14ac:dyDescent="0.25">
      <c r="A588" s="42"/>
      <c r="B588" s="42"/>
      <c r="C588" s="42"/>
      <c r="D588" s="42"/>
      <c r="E588" s="42"/>
      <c r="F588" s="42"/>
      <c r="G588" s="42"/>
      <c r="H588" s="42"/>
      <c r="I588" s="42"/>
    </row>
    <row r="589" spans="1:9" x14ac:dyDescent="0.25">
      <c r="A589" s="42"/>
      <c r="B589" s="42"/>
      <c r="C589" s="42"/>
      <c r="D589" s="42"/>
      <c r="E589" s="42"/>
      <c r="F589" s="42"/>
      <c r="G589" s="42"/>
      <c r="H589" s="42"/>
      <c r="I589" s="42"/>
    </row>
    <row r="590" spans="1:9" x14ac:dyDescent="0.25">
      <c r="A590" s="42"/>
      <c r="B590" s="42"/>
      <c r="C590" s="42"/>
      <c r="D590" s="42"/>
      <c r="E590" s="42"/>
      <c r="F590" s="42"/>
      <c r="G590" s="42"/>
      <c r="H590" s="42"/>
      <c r="I590" s="42"/>
    </row>
    <row r="591" spans="1:9" x14ac:dyDescent="0.25">
      <c r="A591" s="42"/>
      <c r="B591" s="42"/>
      <c r="C591" s="42"/>
      <c r="D591" s="42"/>
      <c r="E591" s="42"/>
      <c r="F591" s="42"/>
      <c r="G591" s="42"/>
      <c r="H591" s="42"/>
      <c r="I591" s="42"/>
    </row>
    <row r="592" spans="1:9" x14ac:dyDescent="0.25">
      <c r="A592" s="42"/>
      <c r="B592" s="42"/>
      <c r="C592" s="42"/>
      <c r="D592" s="42"/>
      <c r="E592" s="42"/>
      <c r="F592" s="42"/>
      <c r="G592" s="42"/>
      <c r="H592" s="42"/>
      <c r="I592" s="42"/>
    </row>
    <row r="593" spans="1:9" x14ac:dyDescent="0.25">
      <c r="A593" s="42"/>
      <c r="B593" s="42"/>
      <c r="C593" s="42"/>
      <c r="D593" s="42"/>
      <c r="E593" s="42"/>
      <c r="F593" s="42"/>
      <c r="G593" s="42"/>
      <c r="H593" s="42"/>
      <c r="I593" s="42"/>
    </row>
    <row r="594" spans="1:9" x14ac:dyDescent="0.25">
      <c r="A594" s="42"/>
      <c r="B594" s="42"/>
      <c r="C594" s="42"/>
      <c r="D594" s="42"/>
      <c r="E594" s="42"/>
      <c r="F594" s="42"/>
      <c r="G594" s="42"/>
      <c r="H594" s="42"/>
      <c r="I594" s="42"/>
    </row>
    <row r="595" spans="1:9" x14ac:dyDescent="0.25">
      <c r="A595" s="42"/>
      <c r="B595" s="42"/>
      <c r="C595" s="42"/>
      <c r="D595" s="42"/>
      <c r="E595" s="42"/>
      <c r="F595" s="42"/>
      <c r="G595" s="42"/>
      <c r="H595" s="42"/>
      <c r="I595" s="42"/>
    </row>
    <row r="596" spans="1:9" x14ac:dyDescent="0.25">
      <c r="A596" s="42"/>
      <c r="B596" s="42"/>
      <c r="C596" s="42"/>
      <c r="D596" s="42"/>
      <c r="E596" s="42"/>
      <c r="F596" s="42"/>
      <c r="G596" s="42"/>
      <c r="H596" s="42"/>
      <c r="I596" s="42"/>
    </row>
    <row r="597" spans="1:9" x14ac:dyDescent="0.25">
      <c r="A597" s="42"/>
      <c r="B597" s="42"/>
      <c r="C597" s="42"/>
      <c r="D597" s="42"/>
      <c r="E597" s="42"/>
      <c r="F597" s="42"/>
      <c r="G597" s="42"/>
      <c r="H597" s="42"/>
      <c r="I597" s="42"/>
    </row>
    <row r="598" spans="1:9" x14ac:dyDescent="0.25">
      <c r="A598" s="42"/>
      <c r="B598" s="42"/>
      <c r="C598" s="42"/>
      <c r="D598" s="42"/>
      <c r="E598" s="42"/>
      <c r="F598" s="42"/>
      <c r="G598" s="42"/>
      <c r="H598" s="42"/>
      <c r="I598" s="42"/>
    </row>
    <row r="599" spans="1:9" x14ac:dyDescent="0.25">
      <c r="A599" s="42"/>
      <c r="B599" s="42"/>
      <c r="C599" s="42"/>
      <c r="D599" s="42"/>
      <c r="E599" s="42"/>
      <c r="F599" s="42"/>
      <c r="G599" s="42"/>
      <c r="H599" s="42"/>
      <c r="I599" s="42"/>
    </row>
    <row r="600" spans="1:9" x14ac:dyDescent="0.25">
      <c r="A600" s="42"/>
      <c r="B600" s="42"/>
      <c r="C600" s="42"/>
      <c r="D600" s="42"/>
      <c r="E600" s="42"/>
      <c r="F600" s="42"/>
      <c r="G600" s="42"/>
      <c r="H600" s="42"/>
      <c r="I600" s="42"/>
    </row>
    <row r="601" spans="1:9" x14ac:dyDescent="0.25">
      <c r="A601" s="42"/>
      <c r="B601" s="42"/>
      <c r="C601" s="42"/>
      <c r="D601" s="42"/>
      <c r="E601" s="42"/>
      <c r="F601" s="42"/>
      <c r="G601" s="42"/>
      <c r="H601" s="42"/>
      <c r="I601" s="42"/>
    </row>
    <row r="602" spans="1:9" x14ac:dyDescent="0.25">
      <c r="A602" s="42"/>
      <c r="B602" s="42"/>
      <c r="C602" s="42"/>
      <c r="D602" s="42"/>
      <c r="E602" s="42"/>
      <c r="F602" s="42"/>
      <c r="G602" s="42"/>
      <c r="H602" s="42"/>
      <c r="I602" s="42"/>
    </row>
    <row r="603" spans="1:9" x14ac:dyDescent="0.25">
      <c r="A603" s="42"/>
      <c r="B603" s="42"/>
      <c r="C603" s="42"/>
      <c r="D603" s="42"/>
      <c r="E603" s="42"/>
      <c r="F603" s="42"/>
      <c r="G603" s="42"/>
      <c r="H603" s="42"/>
      <c r="I603" s="42"/>
    </row>
    <row r="604" spans="1:9" x14ac:dyDescent="0.25">
      <c r="A604" s="42"/>
      <c r="B604" s="42"/>
      <c r="C604" s="42"/>
      <c r="D604" s="42"/>
      <c r="E604" s="42"/>
      <c r="F604" s="42"/>
      <c r="G604" s="42"/>
      <c r="H604" s="42"/>
      <c r="I604" s="42"/>
    </row>
    <row r="605" spans="1:9" x14ac:dyDescent="0.25">
      <c r="A605" s="42"/>
      <c r="B605" s="42"/>
      <c r="C605" s="42"/>
      <c r="D605" s="42"/>
      <c r="E605" s="42"/>
      <c r="F605" s="42"/>
      <c r="G605" s="42"/>
      <c r="H605" s="42"/>
      <c r="I605" s="42"/>
    </row>
    <row r="606" spans="1:9" x14ac:dyDescent="0.25">
      <c r="A606" s="42"/>
      <c r="B606" s="42"/>
      <c r="C606" s="42"/>
      <c r="D606" s="42"/>
      <c r="E606" s="42"/>
      <c r="F606" s="42"/>
      <c r="G606" s="42"/>
      <c r="H606" s="42"/>
      <c r="I606" s="42"/>
    </row>
    <row r="607" spans="1:9" x14ac:dyDescent="0.25">
      <c r="A607" s="42"/>
      <c r="B607" s="42"/>
      <c r="C607" s="42"/>
      <c r="D607" s="42"/>
      <c r="E607" s="42"/>
      <c r="F607" s="42"/>
      <c r="G607" s="42"/>
      <c r="H607" s="42"/>
      <c r="I607" s="42"/>
    </row>
    <row r="608" spans="1:9" x14ac:dyDescent="0.25">
      <c r="A608" s="42"/>
      <c r="B608" s="42"/>
      <c r="C608" s="42"/>
      <c r="D608" s="42"/>
      <c r="E608" s="42"/>
      <c r="F608" s="42"/>
      <c r="G608" s="42"/>
      <c r="H608" s="42"/>
      <c r="I608" s="42"/>
    </row>
    <row r="609" spans="1:9" x14ac:dyDescent="0.25">
      <c r="A609" s="42"/>
      <c r="B609" s="42"/>
      <c r="C609" s="42"/>
      <c r="D609" s="42"/>
      <c r="E609" s="42"/>
      <c r="F609" s="42"/>
      <c r="G609" s="42"/>
      <c r="H609" s="42"/>
      <c r="I609" s="42"/>
    </row>
    <row r="610" spans="1:9" x14ac:dyDescent="0.25">
      <c r="A610" s="42"/>
      <c r="B610" s="42"/>
      <c r="C610" s="42"/>
      <c r="D610" s="42"/>
      <c r="E610" s="42"/>
      <c r="F610" s="42"/>
      <c r="G610" s="42"/>
      <c r="H610" s="42"/>
      <c r="I610" s="42"/>
    </row>
    <row r="611" spans="1:9" x14ac:dyDescent="0.25">
      <c r="A611" s="42"/>
      <c r="B611" s="42"/>
      <c r="C611" s="42"/>
      <c r="D611" s="42"/>
      <c r="E611" s="42"/>
      <c r="F611" s="42"/>
      <c r="G611" s="42"/>
      <c r="H611" s="42"/>
      <c r="I611" s="42"/>
    </row>
    <row r="612" spans="1:9" x14ac:dyDescent="0.25">
      <c r="A612" s="42"/>
      <c r="B612" s="42"/>
      <c r="C612" s="42"/>
      <c r="D612" s="42"/>
      <c r="E612" s="42"/>
      <c r="F612" s="42"/>
      <c r="G612" s="42"/>
      <c r="H612" s="42"/>
      <c r="I612" s="42"/>
    </row>
    <row r="613" spans="1:9" x14ac:dyDescent="0.25">
      <c r="A613" s="42"/>
      <c r="B613" s="42"/>
      <c r="C613" s="42"/>
      <c r="D613" s="42"/>
      <c r="E613" s="42"/>
      <c r="F613" s="42"/>
      <c r="G613" s="42"/>
      <c r="H613" s="42"/>
      <c r="I613" s="42"/>
    </row>
    <row r="614" spans="1:9" x14ac:dyDescent="0.25">
      <c r="A614" s="42"/>
      <c r="B614" s="42"/>
      <c r="C614" s="42"/>
      <c r="D614" s="42"/>
      <c r="E614" s="42"/>
      <c r="F614" s="42"/>
      <c r="G614" s="42"/>
      <c r="H614" s="42"/>
      <c r="I614" s="42"/>
    </row>
    <row r="615" spans="1:9" x14ac:dyDescent="0.25">
      <c r="A615" s="42"/>
      <c r="B615" s="42"/>
      <c r="C615" s="42"/>
      <c r="D615" s="42"/>
      <c r="E615" s="42"/>
      <c r="F615" s="42"/>
      <c r="G615" s="42"/>
      <c r="H615" s="42"/>
      <c r="I615" s="42"/>
    </row>
    <row r="616" spans="1:9" x14ac:dyDescent="0.25">
      <c r="A616" s="42"/>
      <c r="B616" s="42"/>
      <c r="C616" s="42"/>
      <c r="D616" s="42"/>
      <c r="E616" s="42"/>
      <c r="F616" s="42"/>
      <c r="G616" s="42"/>
      <c r="H616" s="42"/>
      <c r="I616" s="42"/>
    </row>
    <row r="617" spans="1:9" x14ac:dyDescent="0.25">
      <c r="A617" s="42"/>
      <c r="B617" s="42"/>
      <c r="C617" s="42"/>
      <c r="D617" s="42"/>
      <c r="E617" s="42"/>
      <c r="F617" s="42"/>
      <c r="G617" s="42"/>
      <c r="H617" s="42"/>
      <c r="I617" s="42"/>
    </row>
    <row r="618" spans="1:9" x14ac:dyDescent="0.25">
      <c r="A618" s="42"/>
      <c r="B618" s="42"/>
      <c r="C618" s="42"/>
      <c r="D618" s="42"/>
      <c r="E618" s="42"/>
      <c r="F618" s="42"/>
      <c r="G618" s="42"/>
      <c r="H618" s="42"/>
      <c r="I618" s="42"/>
    </row>
    <row r="619" spans="1:9" x14ac:dyDescent="0.25">
      <c r="A619" s="42"/>
      <c r="B619" s="42"/>
      <c r="C619" s="42"/>
      <c r="D619" s="42"/>
      <c r="E619" s="42"/>
      <c r="F619" s="42"/>
      <c r="G619" s="42"/>
      <c r="H619" s="42"/>
      <c r="I619" s="42"/>
    </row>
    <row r="620" spans="1:9" x14ac:dyDescent="0.25">
      <c r="A620" s="42"/>
      <c r="B620" s="42"/>
      <c r="C620" s="42"/>
      <c r="D620" s="42"/>
      <c r="E620" s="42"/>
      <c r="F620" s="42"/>
      <c r="G620" s="42"/>
      <c r="H620" s="42"/>
      <c r="I620" s="42"/>
    </row>
    <row r="621" spans="1:9" x14ac:dyDescent="0.25">
      <c r="A621" s="42"/>
      <c r="B621" s="42"/>
      <c r="C621" s="42"/>
      <c r="D621" s="42"/>
      <c r="E621" s="42"/>
      <c r="F621" s="42"/>
      <c r="G621" s="42"/>
      <c r="H621" s="42"/>
      <c r="I621" s="42"/>
    </row>
    <row r="622" spans="1:9" x14ac:dyDescent="0.25">
      <c r="A622" s="42"/>
      <c r="B622" s="42"/>
      <c r="C622" s="42"/>
      <c r="D622" s="42"/>
      <c r="E622" s="42"/>
      <c r="F622" s="42"/>
      <c r="G622" s="42"/>
      <c r="H622" s="42"/>
      <c r="I622" s="42"/>
    </row>
    <row r="623" spans="1:9" x14ac:dyDescent="0.25">
      <c r="A623" s="42"/>
      <c r="B623" s="42"/>
      <c r="C623" s="42"/>
      <c r="D623" s="42"/>
      <c r="E623" s="42"/>
      <c r="F623" s="42"/>
      <c r="G623" s="42"/>
      <c r="H623" s="42"/>
      <c r="I623" s="42"/>
    </row>
    <row r="624" spans="1:9" x14ac:dyDescent="0.25">
      <c r="A624" s="42"/>
      <c r="B624" s="42"/>
      <c r="C624" s="42"/>
      <c r="D624" s="42"/>
      <c r="E624" s="42"/>
      <c r="F624" s="42"/>
      <c r="G624" s="42"/>
      <c r="H624" s="42"/>
      <c r="I624" s="42"/>
    </row>
    <row r="625" spans="1:9" x14ac:dyDescent="0.25">
      <c r="A625" s="42"/>
      <c r="B625" s="42"/>
      <c r="C625" s="42"/>
      <c r="D625" s="42"/>
      <c r="E625" s="42"/>
      <c r="F625" s="42"/>
      <c r="G625" s="42"/>
      <c r="H625" s="42"/>
      <c r="I625" s="42"/>
    </row>
    <row r="626" spans="1:9" x14ac:dyDescent="0.25">
      <c r="A626" s="42"/>
      <c r="B626" s="42"/>
      <c r="C626" s="42"/>
      <c r="D626" s="42"/>
      <c r="E626" s="42"/>
      <c r="F626" s="42"/>
      <c r="G626" s="42"/>
      <c r="H626" s="42"/>
      <c r="I626" s="42"/>
    </row>
    <row r="627" spans="1:9" x14ac:dyDescent="0.25">
      <c r="A627" s="42"/>
      <c r="B627" s="42"/>
      <c r="C627" s="42"/>
      <c r="D627" s="42"/>
      <c r="E627" s="42"/>
      <c r="F627" s="42"/>
      <c r="G627" s="42"/>
      <c r="H627" s="42"/>
      <c r="I627" s="42"/>
    </row>
    <row r="628" spans="1:9" x14ac:dyDescent="0.25">
      <c r="A628" s="42"/>
      <c r="B628" s="42"/>
      <c r="C628" s="42"/>
      <c r="D628" s="42"/>
      <c r="E628" s="42"/>
      <c r="F628" s="42"/>
      <c r="G628" s="42"/>
      <c r="H628" s="42"/>
      <c r="I628" s="42"/>
    </row>
    <row r="629" spans="1:9" x14ac:dyDescent="0.25">
      <c r="A629" s="42"/>
      <c r="B629" s="42"/>
      <c r="C629" s="42"/>
      <c r="D629" s="42"/>
      <c r="E629" s="42"/>
      <c r="F629" s="42"/>
      <c r="G629" s="42"/>
      <c r="H629" s="42"/>
      <c r="I629" s="42"/>
    </row>
    <row r="630" spans="1:9" x14ac:dyDescent="0.25">
      <c r="A630" s="42"/>
      <c r="B630" s="42"/>
      <c r="C630" s="42"/>
      <c r="D630" s="42"/>
      <c r="E630" s="42"/>
      <c r="F630" s="42"/>
      <c r="G630" s="42"/>
      <c r="H630" s="42"/>
      <c r="I630" s="42"/>
    </row>
    <row r="631" spans="1:9" x14ac:dyDescent="0.25">
      <c r="A631" s="42"/>
      <c r="B631" s="42"/>
      <c r="C631" s="42"/>
      <c r="D631" s="42"/>
      <c r="E631" s="42"/>
      <c r="F631" s="42"/>
      <c r="G631" s="42"/>
      <c r="H631" s="42"/>
      <c r="I631" s="42"/>
    </row>
    <row r="632" spans="1:9" x14ac:dyDescent="0.25">
      <c r="A632" s="42"/>
      <c r="B632" s="42"/>
      <c r="C632" s="42"/>
      <c r="D632" s="42"/>
      <c r="E632" s="42"/>
      <c r="F632" s="42"/>
      <c r="G632" s="42"/>
      <c r="H632" s="42"/>
      <c r="I632" s="42"/>
    </row>
    <row r="633" spans="1:9" x14ac:dyDescent="0.25">
      <c r="A633" s="42"/>
      <c r="B633" s="42"/>
      <c r="C633" s="42"/>
      <c r="D633" s="42"/>
      <c r="E633" s="42"/>
      <c r="F633" s="42"/>
      <c r="G633" s="42"/>
      <c r="H633" s="42"/>
      <c r="I633" s="42"/>
    </row>
    <row r="634" spans="1:9" x14ac:dyDescent="0.25">
      <c r="A634" s="42"/>
      <c r="B634" s="42"/>
      <c r="C634" s="42"/>
      <c r="D634" s="42"/>
      <c r="E634" s="42"/>
      <c r="F634" s="42"/>
      <c r="G634" s="42"/>
      <c r="H634" s="42"/>
      <c r="I634" s="42"/>
    </row>
    <row r="635" spans="1:9" x14ac:dyDescent="0.25">
      <c r="A635" s="42"/>
      <c r="B635" s="42"/>
      <c r="C635" s="42"/>
      <c r="D635" s="42"/>
      <c r="E635" s="42"/>
      <c r="F635" s="42"/>
      <c r="G635" s="42"/>
      <c r="H635" s="42"/>
      <c r="I635" s="42"/>
    </row>
    <row r="636" spans="1:9" x14ac:dyDescent="0.25">
      <c r="A636" s="42"/>
      <c r="B636" s="42"/>
      <c r="C636" s="42"/>
      <c r="D636" s="42"/>
      <c r="E636" s="42"/>
      <c r="F636" s="42"/>
      <c r="G636" s="42"/>
      <c r="H636" s="42"/>
      <c r="I636" s="42"/>
    </row>
    <row r="637" spans="1:9" x14ac:dyDescent="0.25">
      <c r="A637" s="42"/>
      <c r="B637" s="42"/>
      <c r="C637" s="42"/>
      <c r="D637" s="42"/>
      <c r="E637" s="42"/>
      <c r="F637" s="42"/>
      <c r="G637" s="42"/>
      <c r="H637" s="42"/>
      <c r="I637" s="42"/>
    </row>
    <row r="638" spans="1:9" x14ac:dyDescent="0.25">
      <c r="A638" s="42"/>
      <c r="B638" s="42"/>
      <c r="C638" s="42"/>
      <c r="D638" s="42"/>
      <c r="E638" s="42"/>
      <c r="F638" s="42"/>
      <c r="G638" s="42"/>
      <c r="H638" s="42"/>
      <c r="I638" s="42"/>
    </row>
    <row r="639" spans="1:9" x14ac:dyDescent="0.25">
      <c r="A639" s="42"/>
      <c r="B639" s="42"/>
      <c r="C639" s="42"/>
      <c r="D639" s="42"/>
      <c r="E639" s="42"/>
      <c r="F639" s="42"/>
      <c r="G639" s="42"/>
      <c r="H639" s="42"/>
      <c r="I639" s="42"/>
    </row>
    <row r="640" spans="1:9" x14ac:dyDescent="0.25">
      <c r="A640" s="42"/>
      <c r="B640" s="42"/>
      <c r="C640" s="42"/>
      <c r="D640" s="42"/>
      <c r="E640" s="42"/>
      <c r="F640" s="42"/>
      <c r="G640" s="42"/>
      <c r="H640" s="42"/>
      <c r="I640" s="42"/>
    </row>
    <row r="641" spans="1:9" x14ac:dyDescent="0.25">
      <c r="A641" s="42"/>
      <c r="B641" s="42"/>
      <c r="C641" s="42"/>
      <c r="D641" s="42"/>
      <c r="E641" s="42"/>
      <c r="F641" s="42"/>
      <c r="G641" s="42"/>
      <c r="H641" s="42"/>
      <c r="I641" s="42"/>
    </row>
    <row r="642" spans="1:9" x14ac:dyDescent="0.25">
      <c r="A642" s="42"/>
      <c r="B642" s="42"/>
      <c r="C642" s="42"/>
      <c r="D642" s="42"/>
      <c r="E642" s="42"/>
      <c r="F642" s="42"/>
      <c r="G642" s="42"/>
      <c r="H642" s="42"/>
      <c r="I642" s="42"/>
    </row>
    <row r="643" spans="1:9" x14ac:dyDescent="0.25">
      <c r="A643" s="42"/>
      <c r="B643" s="42"/>
      <c r="C643" s="42"/>
      <c r="D643" s="42"/>
      <c r="E643" s="42"/>
      <c r="F643" s="42"/>
      <c r="G643" s="42"/>
      <c r="H643" s="42"/>
      <c r="I643" s="42"/>
    </row>
    <row r="644" spans="1:9" x14ac:dyDescent="0.25">
      <c r="A644" s="42"/>
      <c r="B644" s="42"/>
      <c r="C644" s="42"/>
      <c r="D644" s="42"/>
      <c r="E644" s="42"/>
      <c r="F644" s="42"/>
      <c r="G644" s="42"/>
      <c r="H644" s="42"/>
      <c r="I644" s="42"/>
    </row>
    <row r="645" spans="1:9" x14ac:dyDescent="0.25">
      <c r="A645" s="42"/>
      <c r="B645" s="42"/>
      <c r="C645" s="42"/>
      <c r="D645" s="42"/>
      <c r="E645" s="42"/>
      <c r="F645" s="42"/>
      <c r="G645" s="42"/>
      <c r="H645" s="42"/>
      <c r="I645" s="42"/>
    </row>
    <row r="646" spans="1:9" x14ac:dyDescent="0.25">
      <c r="A646" s="42"/>
      <c r="B646" s="42"/>
      <c r="C646" s="42"/>
      <c r="D646" s="42"/>
      <c r="E646" s="42"/>
      <c r="F646" s="42"/>
      <c r="G646" s="42"/>
      <c r="H646" s="42"/>
      <c r="I646" s="42"/>
    </row>
    <row r="647" spans="1:9" x14ac:dyDescent="0.25">
      <c r="A647" s="42"/>
      <c r="B647" s="42"/>
      <c r="C647" s="42"/>
      <c r="D647" s="42"/>
      <c r="E647" s="42"/>
      <c r="F647" s="42"/>
      <c r="G647" s="42"/>
      <c r="H647" s="42"/>
      <c r="I647" s="42"/>
    </row>
    <row r="648" spans="1:9" x14ac:dyDescent="0.25">
      <c r="A648" s="42"/>
      <c r="B648" s="42"/>
      <c r="C648" s="42"/>
      <c r="D648" s="42"/>
      <c r="E648" s="42"/>
      <c r="F648" s="42"/>
      <c r="G648" s="42"/>
      <c r="H648" s="42"/>
      <c r="I648" s="42"/>
    </row>
    <row r="649" spans="1:9" x14ac:dyDescent="0.25">
      <c r="A649" s="42"/>
      <c r="B649" s="42"/>
      <c r="C649" s="42"/>
      <c r="D649" s="42"/>
      <c r="E649" s="42"/>
      <c r="F649" s="42"/>
      <c r="G649" s="42"/>
      <c r="H649" s="42"/>
      <c r="I649" s="42"/>
    </row>
    <row r="650" spans="1:9" x14ac:dyDescent="0.25">
      <c r="A650" s="42"/>
      <c r="B650" s="42"/>
      <c r="C650" s="42"/>
      <c r="D650" s="42"/>
      <c r="E650" s="42"/>
      <c r="F650" s="42"/>
      <c r="G650" s="42"/>
      <c r="H650" s="42"/>
      <c r="I650" s="42"/>
    </row>
    <row r="651" spans="1:9" x14ac:dyDescent="0.25">
      <c r="A651" s="42"/>
      <c r="B651" s="42"/>
      <c r="C651" s="42"/>
      <c r="D651" s="42"/>
      <c r="E651" s="42"/>
      <c r="F651" s="42"/>
      <c r="G651" s="42"/>
      <c r="H651" s="42"/>
      <c r="I651" s="42"/>
    </row>
    <row r="652" spans="1:9" x14ac:dyDescent="0.25">
      <c r="A652" s="42"/>
      <c r="B652" s="42"/>
      <c r="C652" s="42"/>
      <c r="D652" s="42"/>
      <c r="E652" s="42"/>
      <c r="F652" s="42"/>
      <c r="G652" s="42"/>
      <c r="H652" s="42"/>
      <c r="I652" s="42"/>
    </row>
    <row r="653" spans="1:9" x14ac:dyDescent="0.25">
      <c r="A653" s="42"/>
      <c r="B653" s="42"/>
      <c r="C653" s="42"/>
      <c r="D653" s="42"/>
      <c r="E653" s="42"/>
      <c r="F653" s="42"/>
      <c r="G653" s="42"/>
      <c r="H653" s="42"/>
      <c r="I653" s="42"/>
    </row>
    <row r="654" spans="1:9" x14ac:dyDescent="0.25">
      <c r="A654" s="42"/>
      <c r="B654" s="42"/>
      <c r="C654" s="42"/>
      <c r="D654" s="42"/>
      <c r="E654" s="42"/>
      <c r="F654" s="42"/>
      <c r="G654" s="42"/>
      <c r="H654" s="42"/>
      <c r="I654" s="42"/>
    </row>
    <row r="655" spans="1:9" x14ac:dyDescent="0.25">
      <c r="A655" s="42"/>
      <c r="B655" s="42"/>
      <c r="C655" s="42"/>
      <c r="D655" s="42"/>
      <c r="E655" s="42"/>
      <c r="F655" s="42"/>
      <c r="G655" s="42"/>
      <c r="H655" s="42"/>
      <c r="I655" s="42"/>
    </row>
    <row r="656" spans="1:9" x14ac:dyDescent="0.25">
      <c r="A656" s="42"/>
      <c r="B656" s="42"/>
      <c r="C656" s="42"/>
      <c r="D656" s="42"/>
      <c r="E656" s="42"/>
      <c r="F656" s="42"/>
      <c r="G656" s="42"/>
      <c r="H656" s="42"/>
      <c r="I656" s="42"/>
    </row>
    <row r="657" spans="1:9" x14ac:dyDescent="0.25">
      <c r="A657" s="42"/>
      <c r="B657" s="42"/>
      <c r="C657" s="42"/>
      <c r="D657" s="42"/>
      <c r="E657" s="42"/>
      <c r="F657" s="42"/>
      <c r="G657" s="42"/>
      <c r="H657" s="42"/>
      <c r="I657" s="42"/>
    </row>
    <row r="658" spans="1:9" x14ac:dyDescent="0.25">
      <c r="A658" s="42"/>
      <c r="B658" s="42"/>
      <c r="C658" s="42"/>
      <c r="D658" s="42"/>
      <c r="E658" s="42"/>
      <c r="F658" s="42"/>
      <c r="G658" s="42"/>
      <c r="H658" s="42"/>
      <c r="I658" s="42"/>
    </row>
    <row r="659" spans="1:9" x14ac:dyDescent="0.25">
      <c r="A659" s="42"/>
      <c r="B659" s="42"/>
      <c r="C659" s="42"/>
      <c r="D659" s="42"/>
      <c r="E659" s="42"/>
      <c r="F659" s="42"/>
      <c r="G659" s="42"/>
      <c r="H659" s="42"/>
      <c r="I659" s="42"/>
    </row>
    <row r="660" spans="1:9" x14ac:dyDescent="0.25">
      <c r="A660" s="42"/>
      <c r="B660" s="42"/>
      <c r="C660" s="42"/>
      <c r="D660" s="42"/>
      <c r="E660" s="42"/>
      <c r="F660" s="42"/>
      <c r="G660" s="42"/>
      <c r="H660" s="42"/>
      <c r="I660" s="42"/>
    </row>
    <row r="661" spans="1:9" x14ac:dyDescent="0.25">
      <c r="A661" s="42"/>
      <c r="B661" s="42"/>
      <c r="C661" s="42"/>
      <c r="D661" s="42"/>
      <c r="E661" s="42"/>
      <c r="F661" s="42"/>
      <c r="G661" s="42"/>
      <c r="H661" s="42"/>
      <c r="I661" s="42"/>
    </row>
    <row r="662" spans="1:9" x14ac:dyDescent="0.25">
      <c r="A662" s="42"/>
      <c r="B662" s="42"/>
      <c r="C662" s="42"/>
      <c r="D662" s="42"/>
      <c r="E662" s="42"/>
      <c r="F662" s="42"/>
      <c r="G662" s="42"/>
      <c r="H662" s="42"/>
      <c r="I662" s="42"/>
    </row>
    <row r="663" spans="1:9" x14ac:dyDescent="0.25">
      <c r="A663" s="42"/>
      <c r="B663" s="42"/>
      <c r="C663" s="42"/>
      <c r="D663" s="42"/>
      <c r="E663" s="42"/>
      <c r="F663" s="42"/>
      <c r="G663" s="42"/>
      <c r="H663" s="42"/>
      <c r="I663" s="42"/>
    </row>
    <row r="664" spans="1:9" x14ac:dyDescent="0.25">
      <c r="A664" s="42"/>
      <c r="B664" s="42"/>
      <c r="C664" s="42"/>
      <c r="D664" s="42"/>
      <c r="E664" s="42"/>
      <c r="F664" s="42"/>
      <c r="G664" s="42"/>
      <c r="H664" s="42"/>
      <c r="I664" s="42"/>
    </row>
    <row r="665" spans="1:9" x14ac:dyDescent="0.25">
      <c r="A665" s="42"/>
      <c r="B665" s="42"/>
      <c r="C665" s="42"/>
      <c r="D665" s="42"/>
      <c r="E665" s="42"/>
      <c r="F665" s="42"/>
      <c r="G665" s="42"/>
      <c r="H665" s="42"/>
      <c r="I665" s="42"/>
    </row>
    <row r="666" spans="1:9" x14ac:dyDescent="0.25">
      <c r="A666" s="42"/>
      <c r="B666" s="42"/>
      <c r="C666" s="42"/>
      <c r="D666" s="42"/>
      <c r="E666" s="42"/>
      <c r="F666" s="42"/>
      <c r="G666" s="42"/>
      <c r="H666" s="42"/>
      <c r="I666" s="42"/>
    </row>
    <row r="667" spans="1:9" x14ac:dyDescent="0.25">
      <c r="A667" s="42"/>
      <c r="B667" s="42"/>
      <c r="C667" s="42"/>
      <c r="D667" s="42"/>
      <c r="E667" s="42"/>
      <c r="F667" s="42"/>
      <c r="G667" s="42"/>
      <c r="H667" s="42"/>
      <c r="I667" s="42"/>
    </row>
    <row r="668" spans="1:9" x14ac:dyDescent="0.25">
      <c r="A668" s="42"/>
      <c r="B668" s="42"/>
      <c r="C668" s="42"/>
      <c r="D668" s="42"/>
      <c r="E668" s="42"/>
      <c r="F668" s="42"/>
      <c r="G668" s="42"/>
      <c r="H668" s="42"/>
      <c r="I668" s="42"/>
    </row>
    <row r="669" spans="1:9" x14ac:dyDescent="0.25">
      <c r="A669" s="42"/>
      <c r="B669" s="42"/>
      <c r="C669" s="42"/>
      <c r="D669" s="42"/>
      <c r="E669" s="42"/>
      <c r="F669" s="42"/>
      <c r="G669" s="42"/>
      <c r="H669" s="42"/>
      <c r="I669" s="42"/>
    </row>
    <row r="670" spans="1:9" x14ac:dyDescent="0.25">
      <c r="A670" s="42"/>
      <c r="B670" s="42"/>
      <c r="C670" s="42"/>
      <c r="D670" s="42"/>
      <c r="E670" s="42"/>
      <c r="F670" s="42"/>
      <c r="G670" s="42"/>
      <c r="H670" s="42"/>
      <c r="I670" s="42"/>
    </row>
    <row r="671" spans="1:9" x14ac:dyDescent="0.25">
      <c r="A671" s="42"/>
      <c r="B671" s="42"/>
      <c r="C671" s="42"/>
      <c r="D671" s="42"/>
      <c r="E671" s="42"/>
      <c r="F671" s="42"/>
      <c r="G671" s="42"/>
      <c r="H671" s="42"/>
      <c r="I671" s="42"/>
    </row>
    <row r="672" spans="1:9" x14ac:dyDescent="0.25">
      <c r="A672" s="42"/>
      <c r="B672" s="42"/>
      <c r="C672" s="42"/>
      <c r="D672" s="42"/>
      <c r="E672" s="42"/>
      <c r="F672" s="42"/>
      <c r="G672" s="42"/>
      <c r="H672" s="42"/>
      <c r="I672" s="42"/>
    </row>
    <row r="673" spans="1:9" x14ac:dyDescent="0.25">
      <c r="A673" s="42"/>
      <c r="B673" s="42"/>
      <c r="C673" s="42"/>
      <c r="D673" s="42"/>
      <c r="E673" s="42"/>
      <c r="F673" s="42"/>
      <c r="G673" s="42"/>
      <c r="H673" s="42"/>
      <c r="I673" s="42"/>
    </row>
    <row r="674" spans="1:9" x14ac:dyDescent="0.25">
      <c r="A674" s="42"/>
      <c r="B674" s="42"/>
      <c r="C674" s="42"/>
      <c r="D674" s="42"/>
      <c r="E674" s="42"/>
      <c r="F674" s="42"/>
      <c r="G674" s="42"/>
      <c r="H674" s="42"/>
      <c r="I674" s="42"/>
    </row>
    <row r="675" spans="1:9" x14ac:dyDescent="0.25">
      <c r="A675" s="42"/>
      <c r="B675" s="42"/>
      <c r="C675" s="42"/>
      <c r="D675" s="42"/>
      <c r="E675" s="42"/>
      <c r="F675" s="42"/>
      <c r="G675" s="42"/>
      <c r="H675" s="42"/>
      <c r="I675" s="42"/>
    </row>
    <row r="676" spans="1:9" x14ac:dyDescent="0.25">
      <c r="A676" s="42"/>
      <c r="B676" s="42"/>
      <c r="C676" s="42"/>
      <c r="D676" s="42"/>
      <c r="E676" s="42"/>
      <c r="F676" s="42"/>
      <c r="G676" s="42"/>
      <c r="H676" s="42"/>
      <c r="I676" s="42"/>
    </row>
    <row r="677" spans="1:9" x14ac:dyDescent="0.25">
      <c r="A677" s="42"/>
      <c r="B677" s="42"/>
      <c r="C677" s="42"/>
      <c r="D677" s="42"/>
      <c r="E677" s="42"/>
      <c r="F677" s="42"/>
      <c r="G677" s="42"/>
      <c r="H677" s="42"/>
      <c r="I677" s="42"/>
    </row>
    <row r="678" spans="1:9" x14ac:dyDescent="0.25">
      <c r="A678" s="42"/>
      <c r="B678" s="42"/>
      <c r="C678" s="42"/>
      <c r="D678" s="42"/>
      <c r="E678" s="42"/>
      <c r="F678" s="42"/>
      <c r="G678" s="42"/>
      <c r="H678" s="42"/>
      <c r="I678" s="42"/>
    </row>
    <row r="679" spans="1:9" x14ac:dyDescent="0.25">
      <c r="A679" s="42"/>
      <c r="B679" s="42"/>
      <c r="C679" s="42"/>
      <c r="D679" s="42"/>
      <c r="E679" s="42"/>
      <c r="F679" s="42"/>
      <c r="G679" s="42"/>
      <c r="H679" s="42"/>
      <c r="I679" s="42"/>
    </row>
    <row r="680" spans="1:9" x14ac:dyDescent="0.25">
      <c r="A680" s="42"/>
      <c r="B680" s="42"/>
      <c r="C680" s="42"/>
      <c r="D680" s="42"/>
      <c r="E680" s="42"/>
      <c r="F680" s="42"/>
      <c r="G680" s="42"/>
      <c r="H680" s="42"/>
      <c r="I680" s="42"/>
    </row>
    <row r="681" spans="1:9" x14ac:dyDescent="0.25">
      <c r="A681" s="42"/>
      <c r="B681" s="42"/>
      <c r="C681" s="42"/>
      <c r="D681" s="42"/>
      <c r="E681" s="42"/>
      <c r="F681" s="42"/>
      <c r="G681" s="42"/>
      <c r="H681" s="42"/>
      <c r="I681" s="42"/>
    </row>
    <row r="682" spans="1:9" x14ac:dyDescent="0.25">
      <c r="A682" s="42"/>
      <c r="B682" s="42"/>
      <c r="C682" s="42"/>
      <c r="D682" s="42"/>
      <c r="E682" s="42"/>
      <c r="F682" s="42"/>
      <c r="G682" s="42"/>
      <c r="H682" s="42"/>
      <c r="I682" s="42"/>
    </row>
    <row r="683" spans="1:9" x14ac:dyDescent="0.25">
      <c r="A683" s="42"/>
      <c r="B683" s="42"/>
      <c r="C683" s="42"/>
      <c r="D683" s="42"/>
      <c r="E683" s="42"/>
      <c r="F683" s="42"/>
      <c r="G683" s="42"/>
      <c r="H683" s="42"/>
      <c r="I683" s="42"/>
    </row>
    <row r="684" spans="1:9" x14ac:dyDescent="0.25">
      <c r="A684" s="42"/>
      <c r="B684" s="42"/>
      <c r="C684" s="42"/>
      <c r="D684" s="42"/>
      <c r="E684" s="42"/>
      <c r="F684" s="42"/>
      <c r="G684" s="42"/>
      <c r="H684" s="42"/>
      <c r="I684" s="42"/>
    </row>
    <row r="685" spans="1:9" x14ac:dyDescent="0.25">
      <c r="A685" s="42"/>
      <c r="B685" s="42"/>
      <c r="C685" s="42"/>
      <c r="D685" s="42"/>
      <c r="E685" s="42"/>
      <c r="F685" s="42"/>
      <c r="G685" s="42"/>
      <c r="H685" s="42"/>
      <c r="I685" s="42"/>
    </row>
    <row r="686" spans="1:9" x14ac:dyDescent="0.25">
      <c r="A686" s="42"/>
      <c r="B686" s="42"/>
      <c r="C686" s="42"/>
      <c r="D686" s="42"/>
      <c r="E686" s="42"/>
      <c r="F686" s="42"/>
      <c r="G686" s="42"/>
      <c r="H686" s="42"/>
      <c r="I686" s="42"/>
    </row>
    <row r="687" spans="1:9" x14ac:dyDescent="0.25">
      <c r="A687" s="42"/>
      <c r="B687" s="42"/>
      <c r="C687" s="42"/>
      <c r="D687" s="42"/>
      <c r="E687" s="42"/>
      <c r="F687" s="42"/>
      <c r="G687" s="42"/>
      <c r="H687" s="42"/>
      <c r="I687" s="42"/>
    </row>
    <row r="688" spans="1:9" x14ac:dyDescent="0.25">
      <c r="A688" s="42"/>
      <c r="B688" s="42"/>
      <c r="C688" s="42"/>
      <c r="D688" s="42"/>
      <c r="E688" s="42"/>
      <c r="F688" s="42"/>
      <c r="G688" s="42"/>
      <c r="H688" s="42"/>
      <c r="I688" s="42"/>
    </row>
    <row r="689" spans="1:9" x14ac:dyDescent="0.25">
      <c r="A689" s="42"/>
      <c r="B689" s="42"/>
      <c r="C689" s="42"/>
      <c r="D689" s="42"/>
      <c r="E689" s="42"/>
      <c r="F689" s="42"/>
      <c r="G689" s="42"/>
      <c r="H689" s="42"/>
      <c r="I689" s="42"/>
    </row>
    <row r="690" spans="1:9" x14ac:dyDescent="0.25">
      <c r="A690" s="42"/>
      <c r="B690" s="42"/>
      <c r="C690" s="42"/>
      <c r="D690" s="42"/>
      <c r="E690" s="42"/>
      <c r="F690" s="42"/>
      <c r="G690" s="42"/>
      <c r="H690" s="42"/>
      <c r="I690" s="42"/>
    </row>
    <row r="691" spans="1:9" x14ac:dyDescent="0.25">
      <c r="A691" s="42"/>
      <c r="B691" s="42"/>
      <c r="C691" s="42"/>
      <c r="D691" s="42"/>
      <c r="E691" s="42"/>
      <c r="F691" s="42"/>
      <c r="G691" s="42"/>
      <c r="H691" s="42"/>
      <c r="I691" s="42"/>
    </row>
    <row r="692" spans="1:9" x14ac:dyDescent="0.25">
      <c r="A692" s="42"/>
      <c r="B692" s="42"/>
      <c r="C692" s="42"/>
      <c r="D692" s="42"/>
      <c r="E692" s="42"/>
      <c r="F692" s="42"/>
      <c r="G692" s="42"/>
      <c r="H692" s="42"/>
      <c r="I692" s="42"/>
    </row>
    <row r="693" spans="1:9" x14ac:dyDescent="0.25">
      <c r="A693" s="42"/>
      <c r="B693" s="42"/>
      <c r="C693" s="42"/>
      <c r="D693" s="42"/>
      <c r="E693" s="42"/>
      <c r="F693" s="42"/>
      <c r="G693" s="42"/>
      <c r="H693" s="42"/>
      <c r="I693" s="42"/>
    </row>
    <row r="694" spans="1:9" x14ac:dyDescent="0.25">
      <c r="A694" s="42"/>
      <c r="B694" s="42"/>
      <c r="C694" s="42"/>
      <c r="D694" s="42"/>
      <c r="E694" s="42"/>
      <c r="F694" s="42"/>
      <c r="G694" s="42"/>
      <c r="H694" s="42"/>
      <c r="I694" s="42"/>
    </row>
    <row r="695" spans="1:9" x14ac:dyDescent="0.25">
      <c r="A695" s="42"/>
      <c r="B695" s="42"/>
      <c r="C695" s="42"/>
      <c r="D695" s="42"/>
      <c r="E695" s="42"/>
      <c r="F695" s="42"/>
      <c r="G695" s="42"/>
      <c r="H695" s="42"/>
      <c r="I695" s="42"/>
    </row>
    <row r="696" spans="1:9" x14ac:dyDescent="0.25">
      <c r="A696" s="42"/>
      <c r="B696" s="42"/>
      <c r="C696" s="42"/>
      <c r="D696" s="42"/>
      <c r="E696" s="42"/>
      <c r="F696" s="42"/>
      <c r="G696" s="42"/>
      <c r="H696" s="42"/>
      <c r="I696" s="42"/>
    </row>
    <row r="697" spans="1:9" x14ac:dyDescent="0.25">
      <c r="A697" s="42"/>
      <c r="B697" s="42"/>
      <c r="C697" s="42"/>
      <c r="D697" s="42"/>
      <c r="E697" s="42"/>
      <c r="F697" s="42"/>
      <c r="G697" s="42"/>
      <c r="H697" s="42"/>
      <c r="I697" s="42"/>
    </row>
    <row r="698" spans="1:9" x14ac:dyDescent="0.25">
      <c r="A698" s="42"/>
      <c r="B698" s="42"/>
      <c r="C698" s="42"/>
      <c r="D698" s="42"/>
      <c r="E698" s="42"/>
      <c r="F698" s="42"/>
      <c r="G698" s="42"/>
      <c r="H698" s="42"/>
      <c r="I698" s="42"/>
    </row>
    <row r="699" spans="1:9" x14ac:dyDescent="0.25">
      <c r="A699" s="42"/>
      <c r="B699" s="42"/>
      <c r="C699" s="42"/>
      <c r="D699" s="42"/>
      <c r="E699" s="42"/>
      <c r="F699" s="42"/>
      <c r="G699" s="42"/>
      <c r="H699" s="42"/>
      <c r="I699" s="42"/>
    </row>
    <row r="700" spans="1:9" x14ac:dyDescent="0.25">
      <c r="A700" s="42"/>
      <c r="B700" s="42"/>
      <c r="C700" s="42"/>
      <c r="D700" s="42"/>
      <c r="E700" s="42"/>
      <c r="F700" s="42"/>
      <c r="G700" s="42"/>
      <c r="H700" s="42"/>
      <c r="I700" s="42"/>
    </row>
    <row r="701" spans="1:9" x14ac:dyDescent="0.25">
      <c r="A701" s="42"/>
      <c r="B701" s="42"/>
      <c r="C701" s="42"/>
      <c r="D701" s="42"/>
      <c r="E701" s="42"/>
      <c r="F701" s="42"/>
      <c r="G701" s="42"/>
      <c r="H701" s="42"/>
      <c r="I701" s="42"/>
    </row>
    <row r="702" spans="1:9" x14ac:dyDescent="0.25">
      <c r="A702" s="42"/>
      <c r="B702" s="42"/>
      <c r="C702" s="42"/>
      <c r="D702" s="42"/>
      <c r="E702" s="42"/>
      <c r="F702" s="42"/>
      <c r="G702" s="42"/>
      <c r="H702" s="42"/>
      <c r="I702" s="42"/>
    </row>
    <row r="703" spans="1:9" x14ac:dyDescent="0.25">
      <c r="A703" s="42"/>
      <c r="B703" s="42"/>
      <c r="C703" s="42"/>
      <c r="D703" s="42"/>
      <c r="E703" s="42"/>
      <c r="F703" s="42"/>
      <c r="G703" s="42"/>
      <c r="H703" s="42"/>
      <c r="I703" s="42"/>
    </row>
    <row r="704" spans="1:9" x14ac:dyDescent="0.25">
      <c r="A704" s="42"/>
      <c r="B704" s="42"/>
      <c r="C704" s="42"/>
      <c r="D704" s="42"/>
      <c r="E704" s="42"/>
      <c r="F704" s="42"/>
      <c r="G704" s="42"/>
      <c r="H704" s="42"/>
      <c r="I704" s="42"/>
    </row>
    <row r="705" spans="1:9" x14ac:dyDescent="0.25">
      <c r="A705" s="42"/>
      <c r="B705" s="42"/>
      <c r="C705" s="42"/>
      <c r="D705" s="42"/>
      <c r="E705" s="42"/>
      <c r="F705" s="42"/>
      <c r="G705" s="42"/>
      <c r="H705" s="42"/>
      <c r="I705" s="42"/>
    </row>
    <row r="706" spans="1:9" x14ac:dyDescent="0.25">
      <c r="A706" s="42"/>
      <c r="B706" s="42"/>
      <c r="C706" s="42"/>
      <c r="D706" s="42"/>
      <c r="E706" s="42"/>
      <c r="F706" s="42"/>
      <c r="G706" s="42"/>
      <c r="H706" s="42"/>
      <c r="I706" s="42"/>
    </row>
    <row r="707" spans="1:9" x14ac:dyDescent="0.25">
      <c r="A707" s="42"/>
      <c r="B707" s="42"/>
      <c r="C707" s="42"/>
      <c r="D707" s="42"/>
      <c r="E707" s="42"/>
      <c r="F707" s="42"/>
      <c r="G707" s="42"/>
      <c r="H707" s="42"/>
      <c r="I707" s="42"/>
    </row>
    <row r="708" spans="1:9" x14ac:dyDescent="0.25">
      <c r="A708" s="42"/>
      <c r="B708" s="42"/>
      <c r="C708" s="42"/>
      <c r="D708" s="42"/>
      <c r="E708" s="42"/>
      <c r="F708" s="42"/>
      <c r="G708" s="42"/>
      <c r="H708" s="42"/>
      <c r="I708" s="42"/>
    </row>
    <row r="709" spans="1:9" x14ac:dyDescent="0.25">
      <c r="A709" s="42"/>
      <c r="B709" s="42"/>
      <c r="C709" s="42"/>
      <c r="D709" s="42"/>
      <c r="E709" s="42"/>
      <c r="F709" s="42"/>
      <c r="G709" s="42"/>
      <c r="H709" s="42"/>
      <c r="I709" s="42"/>
    </row>
    <row r="710" spans="1:9" x14ac:dyDescent="0.25">
      <c r="A710" s="42"/>
      <c r="B710" s="42"/>
      <c r="C710" s="42"/>
      <c r="D710" s="42"/>
      <c r="E710" s="42"/>
      <c r="F710" s="42"/>
      <c r="G710" s="42"/>
      <c r="H710" s="42"/>
      <c r="I710" s="42"/>
    </row>
    <row r="711" spans="1:9" x14ac:dyDescent="0.25">
      <c r="A711" s="42"/>
      <c r="B711" s="42"/>
      <c r="C711" s="42"/>
      <c r="D711" s="42"/>
      <c r="E711" s="42"/>
      <c r="F711" s="42"/>
      <c r="G711" s="42"/>
      <c r="H711" s="42"/>
      <c r="I711" s="42"/>
    </row>
    <row r="712" spans="1:9" x14ac:dyDescent="0.25">
      <c r="A712" s="42"/>
      <c r="B712" s="42"/>
      <c r="C712" s="42"/>
      <c r="D712" s="42"/>
      <c r="E712" s="42"/>
      <c r="F712" s="42"/>
      <c r="G712" s="42"/>
      <c r="H712" s="42"/>
      <c r="I712" s="42"/>
    </row>
    <row r="713" spans="1:9" x14ac:dyDescent="0.25">
      <c r="A713" s="42"/>
      <c r="B713" s="42"/>
      <c r="C713" s="42"/>
      <c r="D713" s="42"/>
      <c r="E713" s="42"/>
      <c r="F713" s="42"/>
      <c r="G713" s="42"/>
      <c r="H713" s="42"/>
      <c r="I713" s="42"/>
    </row>
    <row r="714" spans="1:9" x14ac:dyDescent="0.25">
      <c r="A714" s="42"/>
      <c r="B714" s="42"/>
      <c r="C714" s="42"/>
      <c r="D714" s="42"/>
      <c r="E714" s="42"/>
      <c r="F714" s="42"/>
      <c r="G714" s="42"/>
      <c r="H714" s="42"/>
      <c r="I714" s="42"/>
    </row>
    <row r="715" spans="1:9" x14ac:dyDescent="0.25">
      <c r="A715" s="42"/>
      <c r="B715" s="42"/>
      <c r="C715" s="42"/>
      <c r="D715" s="42"/>
      <c r="E715" s="42"/>
      <c r="F715" s="42"/>
      <c r="G715" s="42"/>
      <c r="H715" s="42"/>
      <c r="I715" s="42"/>
    </row>
    <row r="716" spans="1:9" x14ac:dyDescent="0.25">
      <c r="A716" s="42"/>
      <c r="B716" s="42"/>
      <c r="C716" s="42"/>
      <c r="D716" s="42"/>
      <c r="E716" s="42"/>
      <c r="F716" s="42"/>
      <c r="G716" s="42"/>
      <c r="H716" s="42"/>
      <c r="I716" s="42"/>
    </row>
    <row r="717" spans="1:9" x14ac:dyDescent="0.25">
      <c r="A717" s="42"/>
      <c r="B717" s="42"/>
      <c r="C717" s="42"/>
      <c r="D717" s="42"/>
      <c r="E717" s="42"/>
      <c r="F717" s="42"/>
      <c r="G717" s="42"/>
      <c r="H717" s="42"/>
      <c r="I717" s="42"/>
    </row>
    <row r="718" spans="1:9" x14ac:dyDescent="0.25">
      <c r="A718" s="42"/>
      <c r="B718" s="42"/>
      <c r="C718" s="42"/>
      <c r="D718" s="42"/>
      <c r="E718" s="42"/>
      <c r="F718" s="42"/>
      <c r="G718" s="42"/>
      <c r="H718" s="42"/>
      <c r="I718" s="42"/>
    </row>
    <row r="719" spans="1:9" x14ac:dyDescent="0.25">
      <c r="A719" s="42"/>
      <c r="B719" s="42"/>
      <c r="C719" s="42"/>
      <c r="D719" s="42"/>
      <c r="E719" s="42"/>
      <c r="F719" s="42"/>
      <c r="G719" s="42"/>
      <c r="H719" s="42"/>
      <c r="I719" s="42"/>
    </row>
    <row r="720" spans="1:9" x14ac:dyDescent="0.25">
      <c r="A720" s="42"/>
      <c r="B720" s="42"/>
      <c r="C720" s="42"/>
      <c r="D720" s="42"/>
      <c r="E720" s="42"/>
      <c r="F720" s="42"/>
      <c r="G720" s="42"/>
      <c r="H720" s="42"/>
      <c r="I720" s="42"/>
    </row>
    <row r="721" spans="1:9" x14ac:dyDescent="0.25">
      <c r="A721" s="42"/>
      <c r="B721" s="42"/>
      <c r="C721" s="42"/>
      <c r="D721" s="42"/>
      <c r="E721" s="42"/>
      <c r="F721" s="42"/>
      <c r="G721" s="42"/>
      <c r="H721" s="42"/>
      <c r="I721" s="42"/>
    </row>
    <row r="722" spans="1:9" x14ac:dyDescent="0.25">
      <c r="A722" s="42"/>
      <c r="B722" s="42"/>
      <c r="C722" s="42"/>
      <c r="D722" s="42"/>
      <c r="E722" s="42"/>
      <c r="F722" s="42"/>
      <c r="G722" s="42"/>
      <c r="H722" s="42"/>
      <c r="I722" s="42"/>
    </row>
    <row r="723" spans="1:9" x14ac:dyDescent="0.25">
      <c r="A723" s="42"/>
      <c r="B723" s="42"/>
      <c r="C723" s="42"/>
      <c r="D723" s="42"/>
      <c r="E723" s="42"/>
      <c r="F723" s="42"/>
      <c r="G723" s="42"/>
      <c r="H723" s="42"/>
      <c r="I723" s="42"/>
    </row>
    <row r="724" spans="1:9" x14ac:dyDescent="0.25">
      <c r="A724" s="42"/>
      <c r="B724" s="42"/>
      <c r="C724" s="42"/>
      <c r="D724" s="42"/>
      <c r="E724" s="42"/>
      <c r="F724" s="42"/>
      <c r="G724" s="42"/>
      <c r="H724" s="42"/>
      <c r="I724" s="42"/>
    </row>
    <row r="725" spans="1:9" x14ac:dyDescent="0.25">
      <c r="A725" s="42"/>
      <c r="B725" s="42"/>
      <c r="C725" s="42"/>
      <c r="D725" s="42"/>
      <c r="E725" s="42"/>
      <c r="F725" s="42"/>
      <c r="G725" s="42"/>
      <c r="H725" s="42"/>
      <c r="I725" s="42"/>
    </row>
    <row r="726" spans="1:9" x14ac:dyDescent="0.25">
      <c r="A726" s="42"/>
      <c r="B726" s="42"/>
      <c r="C726" s="42"/>
      <c r="D726" s="42"/>
      <c r="E726" s="42"/>
      <c r="F726" s="42"/>
      <c r="G726" s="42"/>
      <c r="H726" s="42"/>
      <c r="I726" s="42"/>
    </row>
    <row r="727" spans="1:9" x14ac:dyDescent="0.25">
      <c r="A727" s="42"/>
      <c r="B727" s="42"/>
      <c r="C727" s="42"/>
      <c r="D727" s="42"/>
      <c r="E727" s="42"/>
      <c r="F727" s="42"/>
      <c r="G727" s="42"/>
      <c r="H727" s="42"/>
      <c r="I727" s="42"/>
    </row>
    <row r="728" spans="1:9" x14ac:dyDescent="0.25">
      <c r="A728" s="42"/>
      <c r="B728" s="42"/>
      <c r="C728" s="42"/>
      <c r="D728" s="42"/>
      <c r="E728" s="42"/>
      <c r="F728" s="42"/>
      <c r="G728" s="42"/>
      <c r="H728" s="42"/>
      <c r="I728" s="42"/>
    </row>
    <row r="729" spans="1:9" x14ac:dyDescent="0.25">
      <c r="A729" s="42"/>
      <c r="B729" s="42"/>
      <c r="C729" s="42"/>
      <c r="D729" s="42"/>
      <c r="E729" s="42"/>
      <c r="F729" s="42"/>
      <c r="G729" s="42"/>
      <c r="H729" s="42"/>
      <c r="I729" s="42"/>
    </row>
    <row r="730" spans="1:9" x14ac:dyDescent="0.25">
      <c r="A730" s="42"/>
      <c r="B730" s="42"/>
      <c r="C730" s="42"/>
      <c r="D730" s="42"/>
      <c r="E730" s="42"/>
      <c r="F730" s="42"/>
      <c r="G730" s="42"/>
      <c r="H730" s="42"/>
      <c r="I730" s="42"/>
    </row>
    <row r="731" spans="1:9" x14ac:dyDescent="0.25">
      <c r="A731" s="42"/>
      <c r="B731" s="42"/>
      <c r="C731" s="42"/>
      <c r="D731" s="42"/>
      <c r="E731" s="42"/>
      <c r="F731" s="42"/>
      <c r="G731" s="42"/>
      <c r="H731" s="42"/>
      <c r="I731" s="42"/>
    </row>
    <row r="732" spans="1:9" x14ac:dyDescent="0.25">
      <c r="A732" s="42"/>
      <c r="B732" s="42"/>
      <c r="C732" s="42"/>
      <c r="D732" s="42"/>
      <c r="E732" s="42"/>
      <c r="F732" s="42"/>
      <c r="G732" s="42"/>
      <c r="H732" s="42"/>
      <c r="I732" s="42"/>
    </row>
    <row r="733" spans="1:9" x14ac:dyDescent="0.25">
      <c r="A733" s="42"/>
      <c r="B733" s="42"/>
      <c r="C733" s="42"/>
      <c r="D733" s="42"/>
      <c r="E733" s="42"/>
      <c r="F733" s="42"/>
      <c r="G733" s="42"/>
      <c r="H733" s="42"/>
      <c r="I733" s="42"/>
    </row>
    <row r="734" spans="1:9" x14ac:dyDescent="0.25">
      <c r="A734" s="42"/>
      <c r="B734" s="42"/>
      <c r="C734" s="42"/>
      <c r="D734" s="42"/>
      <c r="E734" s="42"/>
      <c r="F734" s="42"/>
      <c r="G734" s="42"/>
      <c r="H734" s="42"/>
      <c r="I734" s="42"/>
    </row>
    <row r="735" spans="1:9" x14ac:dyDescent="0.25">
      <c r="A735" s="42"/>
      <c r="B735" s="42"/>
      <c r="C735" s="42"/>
      <c r="D735" s="42"/>
      <c r="E735" s="42"/>
      <c r="F735" s="42"/>
      <c r="G735" s="42"/>
      <c r="H735" s="42"/>
      <c r="I735" s="42"/>
    </row>
    <row r="736" spans="1:9" x14ac:dyDescent="0.25">
      <c r="A736" s="42"/>
      <c r="B736" s="42"/>
      <c r="C736" s="42"/>
      <c r="D736" s="42"/>
      <c r="E736" s="42"/>
      <c r="F736" s="42"/>
      <c r="G736" s="42"/>
      <c r="H736" s="42"/>
      <c r="I736" s="42"/>
    </row>
    <row r="737" spans="1:9" x14ac:dyDescent="0.25">
      <c r="A737" s="42"/>
      <c r="B737" s="42"/>
      <c r="C737" s="42"/>
      <c r="D737" s="42"/>
      <c r="E737" s="42"/>
      <c r="F737" s="42"/>
      <c r="G737" s="42"/>
      <c r="H737" s="42"/>
      <c r="I737" s="42"/>
    </row>
    <row r="738" spans="1:9" x14ac:dyDescent="0.25">
      <c r="A738" s="42"/>
      <c r="B738" s="42"/>
      <c r="C738" s="42"/>
      <c r="D738" s="42"/>
      <c r="E738" s="42"/>
      <c r="F738" s="42"/>
      <c r="G738" s="42"/>
      <c r="H738" s="42"/>
      <c r="I738" s="42"/>
    </row>
    <row r="739" spans="1:9" x14ac:dyDescent="0.25">
      <c r="A739" s="42"/>
      <c r="B739" s="42"/>
      <c r="C739" s="42"/>
      <c r="D739" s="42"/>
      <c r="E739" s="42"/>
      <c r="F739" s="42"/>
      <c r="G739" s="42"/>
      <c r="H739" s="42"/>
      <c r="I739" s="42"/>
    </row>
    <row r="740" spans="1:9" x14ac:dyDescent="0.25">
      <c r="A740" s="42"/>
      <c r="B740" s="42"/>
      <c r="C740" s="42"/>
      <c r="D740" s="42"/>
      <c r="E740" s="42"/>
      <c r="F740" s="42"/>
      <c r="G740" s="42"/>
      <c r="H740" s="42"/>
      <c r="I740" s="42"/>
    </row>
    <row r="741" spans="1:9" x14ac:dyDescent="0.25">
      <c r="A741" s="42"/>
      <c r="B741" s="42"/>
      <c r="C741" s="42"/>
      <c r="D741" s="42"/>
      <c r="E741" s="42"/>
      <c r="F741" s="42"/>
      <c r="G741" s="42"/>
      <c r="H741" s="42"/>
      <c r="I741" s="42"/>
    </row>
    <row r="742" spans="1:9" x14ac:dyDescent="0.25">
      <c r="A742" s="42"/>
      <c r="B742" s="42"/>
      <c r="C742" s="42"/>
      <c r="D742" s="42"/>
      <c r="E742" s="42"/>
      <c r="F742" s="42"/>
      <c r="G742" s="42"/>
      <c r="H742" s="42"/>
      <c r="I742" s="42"/>
    </row>
    <row r="743" spans="1:9" x14ac:dyDescent="0.25">
      <c r="A743" s="42"/>
      <c r="B743" s="42"/>
      <c r="C743" s="42"/>
      <c r="D743" s="42"/>
      <c r="E743" s="42"/>
      <c r="F743" s="42"/>
      <c r="G743" s="42"/>
      <c r="H743" s="42"/>
      <c r="I743" s="42"/>
    </row>
    <row r="744" spans="1:9" x14ac:dyDescent="0.25">
      <c r="B744" s="42"/>
      <c r="C744" s="42"/>
      <c r="D744" s="42"/>
      <c r="E744" s="42"/>
      <c r="F744" s="42"/>
      <c r="G744" s="42"/>
      <c r="H744" s="42"/>
      <c r="I744" s="42"/>
    </row>
    <row r="745" spans="1:9" x14ac:dyDescent="0.25">
      <c r="B745" s="42"/>
      <c r="C745" s="42"/>
      <c r="D745" s="42"/>
      <c r="E745" s="42"/>
      <c r="F745" s="42"/>
      <c r="G745" s="42"/>
      <c r="H745" s="42"/>
      <c r="I745" s="42"/>
    </row>
    <row r="746" spans="1:9" x14ac:dyDescent="0.25">
      <c r="B746" s="42"/>
      <c r="C746" s="42"/>
      <c r="D746" s="42"/>
      <c r="E746" s="42"/>
      <c r="F746" s="42"/>
      <c r="G746" s="42"/>
      <c r="H746" s="42"/>
      <c r="I746" s="42"/>
    </row>
    <row r="747" spans="1:9" x14ac:dyDescent="0.25">
      <c r="B747" s="42"/>
      <c r="C747" s="42"/>
      <c r="D747" s="42"/>
      <c r="E747" s="42"/>
      <c r="F747" s="42"/>
      <c r="G747" s="42"/>
      <c r="H747" s="42"/>
      <c r="I747" s="42"/>
    </row>
    <row r="748" spans="1:9" x14ac:dyDescent="0.25">
      <c r="B748" s="42"/>
      <c r="C748" s="42"/>
      <c r="D748" s="42"/>
      <c r="E748" s="42"/>
      <c r="F748" s="42"/>
      <c r="G748" s="42"/>
      <c r="H748" s="42"/>
      <c r="I748" s="42"/>
    </row>
    <row r="749" spans="1:9" x14ac:dyDescent="0.25">
      <c r="B749" s="42"/>
      <c r="C749" s="42"/>
      <c r="D749" s="42"/>
      <c r="E749" s="42"/>
      <c r="F749" s="42"/>
      <c r="G749" s="42"/>
      <c r="H749" s="42"/>
      <c r="I749" s="42"/>
    </row>
    <row r="750" spans="1:9" x14ac:dyDescent="0.25">
      <c r="B750" s="42"/>
      <c r="C750" s="42"/>
      <c r="D750" s="42"/>
      <c r="E750" s="42"/>
      <c r="F750" s="42"/>
      <c r="G750" s="42"/>
      <c r="H750" s="42"/>
      <c r="I750" s="42"/>
    </row>
    <row r="751" spans="1:9" x14ac:dyDescent="0.25">
      <c r="B751" s="42"/>
      <c r="C751" s="42"/>
      <c r="D751" s="42"/>
      <c r="E751" s="42"/>
      <c r="F751" s="42"/>
      <c r="G751" s="42"/>
      <c r="H751" s="42"/>
      <c r="I751" s="42"/>
    </row>
    <row r="752" spans="1:9" x14ac:dyDescent="0.25">
      <c r="B752" s="42"/>
      <c r="C752" s="42"/>
      <c r="D752" s="42"/>
      <c r="E752" s="42"/>
      <c r="F752" s="42"/>
      <c r="G752" s="42"/>
      <c r="H752" s="42"/>
      <c r="I752" s="42"/>
    </row>
    <row r="753" spans="2:9" x14ac:dyDescent="0.25">
      <c r="B753" s="42"/>
      <c r="C753" s="42"/>
      <c r="D753" s="42"/>
      <c r="E753" s="42"/>
      <c r="F753" s="42"/>
      <c r="G753" s="42"/>
      <c r="H753" s="42"/>
      <c r="I753" s="42"/>
    </row>
    <row r="754" spans="2:9" x14ac:dyDescent="0.25">
      <c r="B754" s="42"/>
      <c r="C754" s="42"/>
      <c r="D754" s="42"/>
      <c r="E754" s="42"/>
      <c r="F754" s="42"/>
      <c r="G754" s="42"/>
      <c r="H754" s="42"/>
      <c r="I754" s="42"/>
    </row>
    <row r="755" spans="2:9" x14ac:dyDescent="0.25">
      <c r="B755" s="42"/>
      <c r="C755" s="42"/>
      <c r="D755" s="42"/>
      <c r="E755" s="42"/>
      <c r="F755" s="42"/>
      <c r="G755" s="42"/>
      <c r="H755" s="42"/>
      <c r="I755" s="42"/>
    </row>
    <row r="756" spans="2:9" x14ac:dyDescent="0.25">
      <c r="B756" s="42"/>
      <c r="C756" s="42"/>
      <c r="D756" s="42"/>
      <c r="E756" s="42"/>
      <c r="F756" s="42"/>
      <c r="G756" s="42"/>
      <c r="H756" s="42"/>
      <c r="I756" s="42"/>
    </row>
    <row r="757" spans="2:9" x14ac:dyDescent="0.25">
      <c r="B757" s="42"/>
      <c r="C757" s="42"/>
      <c r="D757" s="42"/>
      <c r="E757" s="42"/>
      <c r="F757" s="42"/>
      <c r="G757" s="42"/>
      <c r="H757" s="42"/>
      <c r="I757" s="42"/>
    </row>
    <row r="758" spans="2:9" x14ac:dyDescent="0.25">
      <c r="B758" s="42"/>
      <c r="C758" s="42"/>
      <c r="D758" s="42"/>
      <c r="E758" s="42"/>
      <c r="F758" s="42"/>
      <c r="G758" s="42"/>
      <c r="H758" s="42"/>
      <c r="I758" s="42"/>
    </row>
    <row r="759" spans="2:9" x14ac:dyDescent="0.25">
      <c r="B759" s="42"/>
      <c r="C759" s="42"/>
      <c r="D759" s="42"/>
      <c r="E759" s="42"/>
      <c r="F759" s="42"/>
      <c r="G759" s="42"/>
      <c r="H759" s="42"/>
      <c r="I759" s="42"/>
    </row>
    <row r="760" spans="2:9" x14ac:dyDescent="0.25">
      <c r="B760" s="42"/>
      <c r="C760" s="42"/>
      <c r="D760" s="42"/>
      <c r="E760" s="42"/>
      <c r="F760" s="42"/>
      <c r="G760" s="42"/>
      <c r="H760" s="42"/>
      <c r="I760" s="42"/>
    </row>
    <row r="761" spans="2:9" x14ac:dyDescent="0.25">
      <c r="B761" s="42"/>
      <c r="C761" s="42"/>
      <c r="D761" s="42"/>
      <c r="E761" s="42"/>
      <c r="F761" s="42"/>
      <c r="G761" s="42"/>
      <c r="H761" s="42"/>
      <c r="I761" s="42"/>
    </row>
    <row r="762" spans="2:9" x14ac:dyDescent="0.25">
      <c r="B762" s="42"/>
      <c r="C762" s="42"/>
      <c r="D762" s="42"/>
      <c r="E762" s="42"/>
      <c r="F762" s="42"/>
      <c r="G762" s="42"/>
      <c r="H762" s="42"/>
      <c r="I762" s="42"/>
    </row>
    <row r="763" spans="2:9" x14ac:dyDescent="0.25">
      <c r="B763" s="42"/>
      <c r="C763" s="42"/>
      <c r="D763" s="42"/>
      <c r="E763" s="42"/>
      <c r="F763" s="42"/>
      <c r="G763" s="42"/>
      <c r="H763" s="42"/>
      <c r="I763" s="42"/>
    </row>
    <row r="764" spans="2:9" x14ac:dyDescent="0.25">
      <c r="B764" s="42"/>
      <c r="C764" s="42"/>
      <c r="D764" s="42"/>
      <c r="E764" s="42"/>
      <c r="F764" s="42"/>
      <c r="G764" s="42"/>
      <c r="H764" s="42"/>
      <c r="I764" s="42"/>
    </row>
    <row r="765" spans="2:9" x14ac:dyDescent="0.25">
      <c r="B765" s="42"/>
      <c r="C765" s="42"/>
      <c r="D765" s="42"/>
      <c r="E765" s="42"/>
      <c r="F765" s="42"/>
      <c r="G765" s="42"/>
      <c r="H765" s="42"/>
      <c r="I765" s="42"/>
    </row>
    <row r="766" spans="2:9" x14ac:dyDescent="0.25">
      <c r="B766" s="42"/>
      <c r="C766" s="42"/>
      <c r="D766" s="42"/>
      <c r="E766" s="42"/>
      <c r="F766" s="42"/>
      <c r="G766" s="42"/>
      <c r="H766" s="42"/>
      <c r="I766" s="42"/>
    </row>
    <row r="767" spans="2:9" x14ac:dyDescent="0.25">
      <c r="B767" s="42"/>
      <c r="C767" s="42"/>
      <c r="D767" s="42"/>
      <c r="E767" s="42"/>
      <c r="F767" s="42"/>
      <c r="G767" s="42"/>
      <c r="H767" s="42"/>
      <c r="I767" s="42"/>
    </row>
    <row r="768" spans="2:9" x14ac:dyDescent="0.25">
      <c r="B768" s="42"/>
      <c r="C768" s="42"/>
      <c r="D768" s="42"/>
      <c r="E768" s="42"/>
      <c r="F768" s="42"/>
      <c r="G768" s="42"/>
      <c r="H768" s="42"/>
      <c r="I768" s="42"/>
    </row>
    <row r="769" spans="2:9" x14ac:dyDescent="0.25">
      <c r="B769" s="42"/>
      <c r="C769" s="42"/>
      <c r="D769" s="42"/>
      <c r="E769" s="42"/>
      <c r="F769" s="42"/>
      <c r="G769" s="42"/>
      <c r="H769" s="42"/>
      <c r="I769" s="42"/>
    </row>
    <row r="770" spans="2:9" x14ac:dyDescent="0.25">
      <c r="B770" s="42"/>
      <c r="C770" s="42"/>
      <c r="D770" s="42"/>
      <c r="E770" s="42"/>
      <c r="F770" s="42"/>
      <c r="G770" s="42"/>
      <c r="H770" s="42"/>
      <c r="I770" s="42"/>
    </row>
    <row r="771" spans="2:9" x14ac:dyDescent="0.25">
      <c r="B771" s="42"/>
      <c r="C771" s="42"/>
      <c r="D771" s="42"/>
      <c r="E771" s="42"/>
      <c r="F771" s="42"/>
      <c r="G771" s="42"/>
      <c r="H771" s="42"/>
      <c r="I771" s="42"/>
    </row>
    <row r="772" spans="2:9" x14ac:dyDescent="0.25">
      <c r="B772" s="42"/>
      <c r="C772" s="42"/>
      <c r="D772" s="42"/>
      <c r="E772" s="42"/>
      <c r="F772" s="42"/>
      <c r="G772" s="42"/>
      <c r="H772" s="42"/>
      <c r="I772" s="42"/>
    </row>
    <row r="773" spans="2:9" x14ac:dyDescent="0.25">
      <c r="B773" s="42"/>
      <c r="C773" s="42"/>
      <c r="D773" s="42"/>
      <c r="E773" s="42"/>
      <c r="F773" s="42"/>
      <c r="G773" s="42"/>
      <c r="H773" s="42"/>
      <c r="I773" s="42"/>
    </row>
    <row r="774" spans="2:9" x14ac:dyDescent="0.25">
      <c r="B774" s="42"/>
      <c r="C774" s="42"/>
      <c r="D774" s="42"/>
      <c r="E774" s="42"/>
      <c r="F774" s="42"/>
      <c r="G774" s="42"/>
      <c r="H774" s="42"/>
      <c r="I774" s="42"/>
    </row>
    <row r="775" spans="2:9" x14ac:dyDescent="0.25">
      <c r="B775" s="42"/>
      <c r="C775" s="42"/>
      <c r="D775" s="42"/>
      <c r="E775" s="42"/>
      <c r="F775" s="42"/>
      <c r="G775" s="42"/>
      <c r="H775" s="42"/>
      <c r="I775" s="42"/>
    </row>
    <row r="776" spans="2:9" x14ac:dyDescent="0.25">
      <c r="B776" s="42"/>
      <c r="C776" s="42"/>
      <c r="D776" s="42"/>
      <c r="E776" s="42"/>
      <c r="F776" s="42"/>
      <c r="G776" s="42"/>
      <c r="H776" s="42"/>
      <c r="I776" s="42"/>
    </row>
    <row r="777" spans="2:9" x14ac:dyDescent="0.25">
      <c r="B777" s="42"/>
      <c r="C777" s="42"/>
      <c r="D777" s="42"/>
      <c r="E777" s="42"/>
      <c r="F777" s="42"/>
      <c r="G777" s="42"/>
      <c r="H777" s="42"/>
      <c r="I777" s="42"/>
    </row>
    <row r="778" spans="2:9" x14ac:dyDescent="0.25">
      <c r="B778" s="42"/>
      <c r="C778" s="42"/>
      <c r="D778" s="42"/>
      <c r="E778" s="42"/>
      <c r="F778" s="42"/>
      <c r="G778" s="42"/>
      <c r="H778" s="42"/>
      <c r="I778" s="42"/>
    </row>
    <row r="779" spans="2:9" x14ac:dyDescent="0.25">
      <c r="B779" s="42"/>
      <c r="C779" s="42"/>
      <c r="D779" s="42"/>
      <c r="E779" s="42"/>
      <c r="F779" s="42"/>
      <c r="G779" s="42"/>
      <c r="H779" s="42"/>
      <c r="I779" s="42"/>
    </row>
    <row r="780" spans="2:9" x14ac:dyDescent="0.25">
      <c r="B780" s="42"/>
      <c r="C780" s="42"/>
      <c r="D780" s="42"/>
      <c r="E780" s="42"/>
      <c r="F780" s="42"/>
      <c r="G780" s="42"/>
      <c r="H780" s="42"/>
      <c r="I780" s="42"/>
    </row>
    <row r="781" spans="2:9" x14ac:dyDescent="0.25">
      <c r="B781" s="42"/>
      <c r="C781" s="42"/>
      <c r="D781" s="42"/>
      <c r="E781" s="42"/>
      <c r="F781" s="42"/>
      <c r="G781" s="42"/>
      <c r="H781" s="42"/>
      <c r="I781" s="42"/>
    </row>
    <row r="782" spans="2:9" x14ac:dyDescent="0.25">
      <c r="B782" s="42"/>
      <c r="C782" s="42"/>
      <c r="D782" s="42"/>
      <c r="E782" s="42"/>
      <c r="F782" s="42"/>
      <c r="G782" s="42"/>
      <c r="H782" s="42"/>
      <c r="I782" s="42"/>
    </row>
    <row r="783" spans="2:9" x14ac:dyDescent="0.25">
      <c r="B783" s="42"/>
      <c r="C783" s="42"/>
      <c r="D783" s="42"/>
      <c r="E783" s="42"/>
      <c r="F783" s="42"/>
      <c r="G783" s="42"/>
      <c r="H783" s="42"/>
      <c r="I783" s="42"/>
    </row>
    <row r="784" spans="2:9" x14ac:dyDescent="0.25">
      <c r="B784" s="42"/>
      <c r="C784" s="42"/>
      <c r="D784" s="42"/>
      <c r="E784" s="42"/>
      <c r="F784" s="42"/>
      <c r="G784" s="42"/>
      <c r="H784" s="42"/>
      <c r="I784" s="42"/>
    </row>
    <row r="785" spans="2:9" x14ac:dyDescent="0.25">
      <c r="B785" s="42"/>
      <c r="C785" s="42"/>
      <c r="D785" s="42"/>
      <c r="E785" s="42"/>
      <c r="F785" s="42"/>
      <c r="G785" s="42"/>
      <c r="H785" s="42"/>
      <c r="I785" s="42"/>
    </row>
    <row r="786" spans="2:9" x14ac:dyDescent="0.25">
      <c r="B786" s="42"/>
      <c r="C786" s="42"/>
      <c r="D786" s="42"/>
      <c r="E786" s="42"/>
      <c r="F786" s="42"/>
      <c r="G786" s="42"/>
      <c r="H786" s="42"/>
      <c r="I786" s="42"/>
    </row>
    <row r="787" spans="2:9" x14ac:dyDescent="0.25">
      <c r="B787" s="42"/>
      <c r="C787" s="42"/>
      <c r="D787" s="42"/>
      <c r="E787" s="42"/>
      <c r="F787" s="42"/>
      <c r="G787" s="42"/>
      <c r="H787" s="42"/>
      <c r="I787" s="42"/>
    </row>
    <row r="788" spans="2:9" x14ac:dyDescent="0.25">
      <c r="B788" s="42"/>
      <c r="C788" s="42"/>
      <c r="D788" s="42"/>
      <c r="E788" s="42"/>
      <c r="F788" s="42"/>
      <c r="G788" s="42"/>
      <c r="H788" s="42"/>
      <c r="I788" s="42"/>
    </row>
    <row r="789" spans="2:9" x14ac:dyDescent="0.25">
      <c r="B789" s="42"/>
      <c r="C789" s="42"/>
      <c r="D789" s="42"/>
      <c r="E789" s="42"/>
      <c r="F789" s="42"/>
      <c r="G789" s="42"/>
      <c r="H789" s="42"/>
      <c r="I789" s="42"/>
    </row>
    <row r="790" spans="2:9" x14ac:dyDescent="0.25">
      <c r="B790" s="42"/>
      <c r="C790" s="42"/>
      <c r="D790" s="42"/>
      <c r="E790" s="42"/>
      <c r="F790" s="42"/>
      <c r="G790" s="42"/>
      <c r="H790" s="42"/>
      <c r="I790" s="42"/>
    </row>
    <row r="791" spans="2:9" x14ac:dyDescent="0.25">
      <c r="B791" s="42"/>
      <c r="C791" s="42"/>
      <c r="D791" s="42"/>
      <c r="E791" s="42"/>
      <c r="F791" s="42"/>
      <c r="G791" s="42"/>
      <c r="H791" s="42"/>
      <c r="I791" s="42"/>
    </row>
    <row r="792" spans="2:9" x14ac:dyDescent="0.25">
      <c r="B792" s="42"/>
      <c r="C792" s="42"/>
      <c r="D792" s="42"/>
      <c r="E792" s="42"/>
      <c r="F792" s="42"/>
      <c r="G792" s="42"/>
      <c r="H792" s="42"/>
      <c r="I792" s="42"/>
    </row>
    <row r="793" spans="2:9" x14ac:dyDescent="0.25">
      <c r="B793" s="42"/>
      <c r="C793" s="42"/>
      <c r="D793" s="42"/>
      <c r="E793" s="42"/>
      <c r="F793" s="42"/>
      <c r="G793" s="42"/>
      <c r="H793" s="42"/>
      <c r="I793" s="42"/>
    </row>
    <row r="794" spans="2:9" x14ac:dyDescent="0.25">
      <c r="B794" s="42"/>
      <c r="C794" s="42"/>
      <c r="D794" s="42"/>
      <c r="E794" s="42"/>
      <c r="F794" s="42"/>
      <c r="G794" s="42"/>
      <c r="H794" s="42"/>
      <c r="I794" s="42"/>
    </row>
    <row r="795" spans="2:9" x14ac:dyDescent="0.25">
      <c r="B795" s="42"/>
      <c r="C795" s="42"/>
      <c r="D795" s="42"/>
      <c r="E795" s="42"/>
      <c r="F795" s="42"/>
      <c r="G795" s="42"/>
      <c r="H795" s="42"/>
      <c r="I795" s="42"/>
    </row>
    <row r="796" spans="2:9" x14ac:dyDescent="0.25">
      <c r="B796" s="42"/>
      <c r="C796" s="42"/>
      <c r="D796" s="42"/>
      <c r="E796" s="42"/>
      <c r="F796" s="42"/>
      <c r="G796" s="42"/>
      <c r="H796" s="42"/>
      <c r="I796" s="42"/>
    </row>
    <row r="797" spans="2:9" x14ac:dyDescent="0.25">
      <c r="B797" s="42"/>
      <c r="C797" s="42"/>
      <c r="D797" s="42"/>
      <c r="E797" s="42"/>
      <c r="F797" s="42"/>
      <c r="G797" s="42"/>
      <c r="H797" s="42"/>
      <c r="I797" s="42"/>
    </row>
    <row r="798" spans="2:9" x14ac:dyDescent="0.25">
      <c r="B798" s="42"/>
      <c r="C798" s="42"/>
      <c r="D798" s="42"/>
      <c r="E798" s="42"/>
      <c r="F798" s="42"/>
      <c r="G798" s="42"/>
      <c r="H798" s="42"/>
      <c r="I798" s="42"/>
    </row>
    <row r="799" spans="2:9" x14ac:dyDescent="0.25">
      <c r="B799" s="42"/>
      <c r="C799" s="42"/>
      <c r="D799" s="42"/>
      <c r="E799" s="42"/>
      <c r="F799" s="42"/>
      <c r="G799" s="42"/>
      <c r="H799" s="42"/>
      <c r="I799" s="42"/>
    </row>
    <row r="800" spans="2:9" x14ac:dyDescent="0.25">
      <c r="B800" s="42"/>
      <c r="C800" s="42"/>
      <c r="D800" s="42"/>
      <c r="E800" s="42"/>
      <c r="F800" s="42"/>
      <c r="G800" s="42"/>
      <c r="H800" s="42"/>
      <c r="I800" s="42"/>
    </row>
    <row r="801" spans="2:9" x14ac:dyDescent="0.25">
      <c r="B801" s="42"/>
      <c r="C801" s="42"/>
      <c r="D801" s="42"/>
      <c r="E801" s="42"/>
      <c r="F801" s="42"/>
      <c r="G801" s="42"/>
      <c r="H801" s="42"/>
      <c r="I801" s="42"/>
    </row>
    <row r="802" spans="2:9" x14ac:dyDescent="0.25">
      <c r="B802" s="42"/>
      <c r="C802" s="42"/>
      <c r="D802" s="42"/>
      <c r="E802" s="42"/>
      <c r="F802" s="42"/>
      <c r="G802" s="42"/>
      <c r="H802" s="42"/>
      <c r="I802" s="42"/>
    </row>
    <row r="803" spans="2:9" x14ac:dyDescent="0.25">
      <c r="B803" s="42"/>
      <c r="C803" s="42"/>
      <c r="D803" s="42"/>
      <c r="E803" s="42"/>
      <c r="F803" s="42"/>
      <c r="G803" s="42"/>
      <c r="H803" s="42"/>
      <c r="I803" s="42"/>
    </row>
    <row r="804" spans="2:9" x14ac:dyDescent="0.25">
      <c r="B804" s="42"/>
      <c r="C804" s="42"/>
      <c r="D804" s="42"/>
      <c r="E804" s="42"/>
      <c r="F804" s="42"/>
      <c r="G804" s="42"/>
      <c r="H804" s="42"/>
      <c r="I804" s="42"/>
    </row>
    <row r="805" spans="2:9" x14ac:dyDescent="0.25">
      <c r="B805" s="42"/>
      <c r="C805" s="42"/>
      <c r="D805" s="42"/>
      <c r="E805" s="42"/>
      <c r="F805" s="42"/>
      <c r="G805" s="42"/>
      <c r="H805" s="42"/>
      <c r="I805" s="42"/>
    </row>
    <row r="806" spans="2:9" x14ac:dyDescent="0.25">
      <c r="B806" s="42"/>
      <c r="C806" s="42"/>
      <c r="D806" s="42"/>
      <c r="E806" s="42"/>
      <c r="F806" s="42"/>
      <c r="G806" s="42"/>
      <c r="H806" s="42"/>
      <c r="I806" s="42"/>
    </row>
    <row r="807" spans="2:9" x14ac:dyDescent="0.25">
      <c r="B807" s="42"/>
      <c r="C807" s="42"/>
      <c r="D807" s="42"/>
      <c r="E807" s="42"/>
      <c r="F807" s="42"/>
      <c r="G807" s="42"/>
      <c r="H807" s="42"/>
      <c r="I807" s="42"/>
    </row>
    <row r="808" spans="2:9" x14ac:dyDescent="0.25">
      <c r="B808" s="42"/>
      <c r="C808" s="42"/>
      <c r="D808" s="42"/>
      <c r="E808" s="42"/>
      <c r="F808" s="42"/>
      <c r="G808" s="42"/>
      <c r="H808" s="42"/>
      <c r="I808" s="42"/>
    </row>
    <row r="809" spans="2:9" x14ac:dyDescent="0.25">
      <c r="B809" s="42"/>
      <c r="C809" s="42"/>
      <c r="D809" s="42"/>
      <c r="E809" s="42"/>
      <c r="F809" s="42"/>
      <c r="G809" s="42"/>
      <c r="H809" s="42"/>
      <c r="I809" s="42"/>
    </row>
    <row r="810" spans="2:9" x14ac:dyDescent="0.25">
      <c r="B810" s="42"/>
      <c r="C810" s="42"/>
      <c r="D810" s="42"/>
      <c r="E810" s="42"/>
      <c r="F810" s="42"/>
      <c r="G810" s="42"/>
      <c r="H810" s="42"/>
      <c r="I810" s="42"/>
    </row>
    <row r="811" spans="2:9" x14ac:dyDescent="0.25">
      <c r="B811" s="42"/>
      <c r="C811" s="42"/>
      <c r="D811" s="42"/>
      <c r="E811" s="42"/>
      <c r="F811" s="42"/>
      <c r="G811" s="42"/>
      <c r="H811" s="42"/>
      <c r="I811" s="42"/>
    </row>
    <row r="812" spans="2:9" x14ac:dyDescent="0.25">
      <c r="B812" s="42"/>
      <c r="C812" s="42"/>
      <c r="D812" s="42"/>
      <c r="E812" s="42"/>
      <c r="F812" s="42"/>
      <c r="G812" s="42"/>
      <c r="H812" s="42"/>
      <c r="I812" s="42"/>
    </row>
    <row r="813" spans="2:9" x14ac:dyDescent="0.25">
      <c r="B813" s="42"/>
      <c r="C813" s="42"/>
      <c r="D813" s="42"/>
      <c r="E813" s="42"/>
      <c r="F813" s="42"/>
      <c r="G813" s="42"/>
      <c r="H813" s="42"/>
      <c r="I813" s="42"/>
    </row>
    <row r="814" spans="2:9" x14ac:dyDescent="0.25">
      <c r="B814" s="42"/>
      <c r="C814" s="42"/>
      <c r="D814" s="42"/>
      <c r="E814" s="42"/>
      <c r="F814" s="42"/>
      <c r="G814" s="42"/>
      <c r="H814" s="42"/>
      <c r="I814" s="42"/>
    </row>
    <row r="815" spans="2:9" x14ac:dyDescent="0.25">
      <c r="B815" s="42"/>
      <c r="C815" s="42"/>
      <c r="D815" s="42"/>
      <c r="E815" s="42"/>
      <c r="F815" s="42"/>
      <c r="G815" s="42"/>
      <c r="H815" s="42"/>
      <c r="I815" s="42"/>
    </row>
    <row r="816" spans="2:9" x14ac:dyDescent="0.25">
      <c r="B816" s="42"/>
      <c r="C816" s="42"/>
      <c r="D816" s="42"/>
      <c r="E816" s="42"/>
      <c r="F816" s="42"/>
      <c r="G816" s="42"/>
      <c r="H816" s="42"/>
      <c r="I816" s="42"/>
    </row>
    <row r="817" spans="2:9" x14ac:dyDescent="0.25">
      <c r="B817" s="42"/>
      <c r="C817" s="42"/>
      <c r="D817" s="42"/>
      <c r="E817" s="42"/>
      <c r="F817" s="42"/>
      <c r="G817" s="42"/>
      <c r="H817" s="42"/>
      <c r="I817" s="42"/>
    </row>
    <row r="818" spans="2:9" x14ac:dyDescent="0.25">
      <c r="B818" s="42"/>
      <c r="C818" s="42"/>
      <c r="D818" s="42"/>
      <c r="E818" s="42"/>
      <c r="F818" s="42"/>
      <c r="G818" s="42"/>
      <c r="H818" s="42"/>
      <c r="I818" s="42"/>
    </row>
    <row r="819" spans="2:9" x14ac:dyDescent="0.25">
      <c r="B819" s="42"/>
      <c r="C819" s="42"/>
      <c r="D819" s="42"/>
      <c r="E819" s="42"/>
      <c r="F819" s="42"/>
      <c r="G819" s="42"/>
      <c r="H819" s="42"/>
      <c r="I819" s="42"/>
    </row>
    <row r="820" spans="2:9" x14ac:dyDescent="0.25">
      <c r="B820" s="42"/>
      <c r="C820" s="42"/>
      <c r="D820" s="42"/>
      <c r="E820" s="42"/>
      <c r="F820" s="42"/>
      <c r="G820" s="42"/>
      <c r="H820" s="42"/>
      <c r="I820" s="42"/>
    </row>
    <row r="821" spans="2:9" x14ac:dyDescent="0.25">
      <c r="C821" s="42"/>
    </row>
    <row r="822" spans="2:9" x14ac:dyDescent="0.25">
      <c r="C822" s="42"/>
    </row>
    <row r="823" spans="2:9" x14ac:dyDescent="0.25">
      <c r="C823" s="42"/>
    </row>
    <row r="824" spans="2:9" x14ac:dyDescent="0.25">
      <c r="C824" s="42"/>
    </row>
    <row r="825" spans="2:9" x14ac:dyDescent="0.25">
      <c r="C825" s="42"/>
    </row>
    <row r="826" spans="2:9" x14ac:dyDescent="0.25">
      <c r="C826" s="42"/>
    </row>
    <row r="827" spans="2:9" x14ac:dyDescent="0.25">
      <c r="C827" s="42"/>
    </row>
    <row r="828" spans="2:9" x14ac:dyDescent="0.25">
      <c r="C828" s="42"/>
    </row>
    <row r="829" spans="2:9" x14ac:dyDescent="0.25">
      <c r="C829" s="42"/>
    </row>
  </sheetData>
  <autoFilter ref="A10:V388" xr:uid="{2FC94385-F66C-476C-ACAB-F5636CD4650F}"/>
  <sortState xmlns:xlrd2="http://schemas.microsoft.com/office/spreadsheetml/2017/richdata2" ref="B57:J159">
    <sortCondition ref="B57:B159"/>
  </sortState>
  <mergeCells count="15">
    <mergeCell ref="F1:H1"/>
    <mergeCell ref="F2:H2"/>
    <mergeCell ref="A5:H5"/>
    <mergeCell ref="A6:H6"/>
    <mergeCell ref="A7:H7"/>
    <mergeCell ref="F9:F10"/>
    <mergeCell ref="H9:H10"/>
    <mergeCell ref="A387:F387"/>
    <mergeCell ref="F390:H390"/>
    <mergeCell ref="F391:H391"/>
    <mergeCell ref="A9:A10"/>
    <mergeCell ref="B9:B10"/>
    <mergeCell ref="C9:C10"/>
    <mergeCell ref="D9:D10"/>
    <mergeCell ref="E9:E10"/>
  </mergeCells>
  <phoneticPr fontId="19" type="noConversion"/>
  <conditionalFormatting sqref="C1:C400 C411:C413 C478:C487 C550:C1048576">
    <cfRule type="duplicateValues" dxfId="1751" priority="117"/>
  </conditionalFormatting>
  <conditionalFormatting sqref="C1:C400 C801:C1048576">
    <cfRule type="duplicateValues" dxfId="1750" priority="118"/>
    <cfRule type="duplicateValues" dxfId="1749" priority="119"/>
  </conditionalFormatting>
  <conditionalFormatting sqref="C1:C413 C478:C487 C550:C1048576">
    <cfRule type="duplicateValues" dxfId="1748" priority="79"/>
  </conditionalFormatting>
  <conditionalFormatting sqref="C1:C487 C550:C1048576">
    <cfRule type="duplicateValues" dxfId="1747" priority="41"/>
  </conditionalFormatting>
  <conditionalFormatting sqref="C1:C1048576">
    <cfRule type="duplicateValues" dxfId="1746" priority="1"/>
  </conditionalFormatting>
  <conditionalFormatting sqref="C11:C14">
    <cfRule type="duplicateValues" dxfId="1745" priority="1585"/>
    <cfRule type="duplicateValues" dxfId="1744" priority="1558"/>
    <cfRule type="duplicateValues" dxfId="1743" priority="1559"/>
    <cfRule type="duplicateValues" dxfId="1742" priority="1560"/>
    <cfRule type="duplicateValues" dxfId="1741" priority="1561"/>
    <cfRule type="duplicateValues" dxfId="1740" priority="1587"/>
    <cfRule type="duplicateValues" dxfId="1739" priority="1562"/>
    <cfRule type="duplicateValues" dxfId="1738" priority="1563"/>
    <cfRule type="duplicateValues" dxfId="1737" priority="1564"/>
    <cfRule type="duplicateValues" dxfId="1736" priority="1565"/>
    <cfRule type="duplicateValues" dxfId="1735" priority="1597"/>
    <cfRule type="duplicateValues" dxfId="1734" priority="1596"/>
    <cfRule type="duplicateValues" dxfId="1733" priority="1595"/>
    <cfRule type="duplicateValues" dxfId="1732" priority="1586"/>
    <cfRule type="duplicateValues" dxfId="1731" priority="1594"/>
    <cfRule type="duplicateValues" dxfId="1730" priority="1593"/>
    <cfRule type="duplicateValues" dxfId="1729" priority="1592"/>
    <cfRule type="duplicateValues" dxfId="1728" priority="1591"/>
    <cfRule type="duplicateValues" dxfId="1727" priority="1590"/>
    <cfRule type="duplicateValues" dxfId="1726" priority="1589"/>
    <cfRule type="duplicateValues" dxfId="1725" priority="1566"/>
    <cfRule type="duplicateValues" dxfId="1724" priority="1567"/>
    <cfRule type="duplicateValues" dxfId="1723" priority="1568"/>
    <cfRule type="duplicateValues" dxfId="1722" priority="1569"/>
    <cfRule type="duplicateValues" dxfId="1721" priority="1570"/>
    <cfRule type="duplicateValues" dxfId="1720" priority="1571"/>
    <cfRule type="duplicateValues" dxfId="1719" priority="1572"/>
    <cfRule type="duplicateValues" dxfId="1718" priority="1573"/>
    <cfRule type="duplicateValues" dxfId="1717" priority="1574"/>
    <cfRule type="duplicateValues" dxfId="1716" priority="1584"/>
    <cfRule type="duplicateValues" dxfId="1715" priority="1576"/>
    <cfRule type="duplicateValues" dxfId="1714" priority="1577"/>
    <cfRule type="duplicateValues" dxfId="1713" priority="1588"/>
    <cfRule type="duplicateValues" dxfId="1712" priority="1578"/>
    <cfRule type="duplicateValues" dxfId="1711" priority="1575"/>
    <cfRule type="duplicateValues" dxfId="1710" priority="1579"/>
    <cfRule type="duplicateValues" dxfId="1709" priority="1580"/>
    <cfRule type="duplicateValues" dxfId="1708" priority="1581"/>
    <cfRule type="duplicateValues" dxfId="1707" priority="1582"/>
    <cfRule type="duplicateValues" dxfId="1706" priority="1583"/>
  </conditionalFormatting>
  <conditionalFormatting sqref="C11:C31">
    <cfRule type="duplicateValues" dxfId="1705" priority="1607"/>
    <cfRule type="duplicateValues" dxfId="1704" priority="1608"/>
    <cfRule type="duplicateValues" dxfId="1703" priority="1609"/>
    <cfRule type="duplicateValues" dxfId="1702" priority="1610"/>
    <cfRule type="duplicateValues" dxfId="1701" priority="1611"/>
    <cfRule type="duplicateValues" dxfId="1700" priority="1612"/>
    <cfRule type="duplicateValues" dxfId="1699" priority="1616"/>
    <cfRule type="duplicateValues" dxfId="1698" priority="1617"/>
    <cfRule type="duplicateValues" dxfId="1697" priority="1618"/>
    <cfRule type="duplicateValues" dxfId="1696" priority="1619"/>
    <cfRule type="duplicateValues" dxfId="1695" priority="1620"/>
    <cfRule type="duplicateValues" dxfId="1694" priority="1621"/>
    <cfRule type="duplicateValues" dxfId="1693" priority="1536"/>
    <cfRule type="duplicateValues" dxfId="1692" priority="1537"/>
    <cfRule type="duplicateValues" dxfId="1691" priority="1538"/>
    <cfRule type="duplicateValues" dxfId="1690" priority="1539"/>
    <cfRule type="duplicateValues" dxfId="1689" priority="1540"/>
    <cfRule type="duplicateValues" dxfId="1688" priority="1541"/>
    <cfRule type="duplicateValues" dxfId="1687" priority="1542"/>
    <cfRule type="duplicateValues" dxfId="1686" priority="1543"/>
    <cfRule type="duplicateValues" dxfId="1685" priority="1544"/>
    <cfRule type="duplicateValues" dxfId="1684" priority="1545"/>
    <cfRule type="duplicateValues" dxfId="1683" priority="1546"/>
    <cfRule type="duplicateValues" dxfId="1682" priority="1547"/>
    <cfRule type="duplicateValues" dxfId="1681" priority="1549"/>
    <cfRule type="duplicateValues" dxfId="1680" priority="1550"/>
    <cfRule type="duplicateValues" dxfId="1679" priority="1551"/>
    <cfRule type="duplicateValues" dxfId="1678" priority="1552"/>
    <cfRule type="duplicateValues" dxfId="1677" priority="1553"/>
    <cfRule type="duplicateValues" dxfId="1676" priority="1554"/>
    <cfRule type="duplicateValues" dxfId="1675" priority="1555"/>
    <cfRule type="duplicateValues" dxfId="1674" priority="1556"/>
    <cfRule type="duplicateValues" dxfId="1673" priority="1557"/>
    <cfRule type="duplicateValues" dxfId="1672" priority="1548"/>
    <cfRule type="duplicateValues" dxfId="1671" priority="1598"/>
    <cfRule type="duplicateValues" dxfId="1670" priority="1599"/>
    <cfRule type="duplicateValues" dxfId="1669" priority="1600"/>
    <cfRule type="duplicateValues" dxfId="1668" priority="1601"/>
    <cfRule type="duplicateValues" dxfId="1667" priority="1602"/>
    <cfRule type="duplicateValues" dxfId="1666" priority="1603"/>
    <cfRule type="duplicateValues" dxfId="1665" priority="1604"/>
    <cfRule type="duplicateValues" dxfId="1664" priority="1605"/>
    <cfRule type="duplicateValues" dxfId="1663" priority="1606"/>
  </conditionalFormatting>
  <conditionalFormatting sqref="C11:C108">
    <cfRule type="duplicateValues" dxfId="1662" priority="2165"/>
    <cfRule type="duplicateValues" dxfId="1661" priority="2151"/>
    <cfRule type="duplicateValues" dxfId="1660" priority="2152"/>
    <cfRule type="duplicateValues" dxfId="1659" priority="2147"/>
    <cfRule type="duplicateValues" dxfId="1658" priority="2148"/>
    <cfRule type="duplicateValues" dxfId="1657" priority="2149"/>
    <cfRule type="duplicateValues" dxfId="1656" priority="2150"/>
  </conditionalFormatting>
  <conditionalFormatting sqref="C20:C31">
    <cfRule type="duplicateValues" dxfId="1655" priority="1525"/>
    <cfRule type="duplicateValues" dxfId="1654" priority="1518"/>
    <cfRule type="duplicateValues" dxfId="1653" priority="1515"/>
    <cfRule type="duplicateValues" dxfId="1652" priority="1514"/>
    <cfRule type="duplicateValues" dxfId="1651" priority="1516"/>
    <cfRule type="duplicateValues" dxfId="1650" priority="1517"/>
    <cfRule type="duplicateValues" dxfId="1649" priority="1523"/>
    <cfRule type="duplicateValues" dxfId="1648" priority="1519"/>
    <cfRule type="duplicateValues" dxfId="1647" priority="1526"/>
    <cfRule type="duplicateValues" dxfId="1646" priority="1524"/>
    <cfRule type="duplicateValues" dxfId="1645" priority="1522"/>
    <cfRule type="duplicateValues" dxfId="1644" priority="1521"/>
    <cfRule type="duplicateValues" dxfId="1643" priority="1520"/>
  </conditionalFormatting>
  <conditionalFormatting sqref="C71">
    <cfRule type="duplicateValues" dxfId="1642" priority="1513"/>
  </conditionalFormatting>
  <conditionalFormatting sqref="C71:C76 C78:C108 C11:C31">
    <cfRule type="duplicateValues" dxfId="1641" priority="1614"/>
    <cfRule type="duplicateValues" dxfId="1640" priority="1615"/>
  </conditionalFormatting>
  <conditionalFormatting sqref="C71:C76 C78:C108 C11:C54">
    <cfRule type="duplicateValues" dxfId="1639" priority="2168"/>
  </conditionalFormatting>
  <conditionalFormatting sqref="C71:C76 C78:C108">
    <cfRule type="duplicateValues" dxfId="1638" priority="2214"/>
    <cfRule type="duplicateValues" dxfId="1637" priority="2213"/>
    <cfRule type="duplicateValues" dxfId="1636" priority="2191"/>
    <cfRule type="duplicateValues" dxfId="1635" priority="2192"/>
    <cfRule type="duplicateValues" dxfId="1634" priority="2193"/>
    <cfRule type="duplicateValues" dxfId="1633" priority="2194"/>
    <cfRule type="duplicateValues" dxfId="1632" priority="2195"/>
    <cfRule type="duplicateValues" dxfId="1631" priority="2197"/>
    <cfRule type="duplicateValues" dxfId="1630" priority="2198"/>
    <cfRule type="duplicateValues" dxfId="1629" priority="2196"/>
    <cfRule type="duplicateValues" dxfId="1628" priority="1674"/>
    <cfRule type="duplicateValues" dxfId="1627" priority="2180"/>
    <cfRule type="duplicateValues" dxfId="1626" priority="2173"/>
    <cfRule type="duplicateValues" dxfId="1625" priority="2174"/>
    <cfRule type="duplicateValues" dxfId="1624" priority="2175"/>
    <cfRule type="duplicateValues" dxfId="1623" priority="2176"/>
    <cfRule type="duplicateValues" dxfId="1622" priority="2177"/>
    <cfRule type="duplicateValues" dxfId="1621" priority="2178"/>
    <cfRule type="duplicateValues" dxfId="1620" priority="2179"/>
    <cfRule type="duplicateValues" dxfId="1619" priority="2181"/>
    <cfRule type="duplicateValues" dxfId="1618" priority="2182"/>
    <cfRule type="duplicateValues" dxfId="1617" priority="2183"/>
    <cfRule type="duplicateValues" dxfId="1616" priority="2184"/>
    <cfRule type="duplicateValues" dxfId="1615" priority="2185"/>
    <cfRule type="duplicateValues" dxfId="1614" priority="2186"/>
    <cfRule type="duplicateValues" dxfId="1613" priority="2187"/>
    <cfRule type="duplicateValues" dxfId="1612" priority="2188"/>
    <cfRule type="duplicateValues" dxfId="1611" priority="2189"/>
    <cfRule type="duplicateValues" dxfId="1610" priority="2190"/>
    <cfRule type="duplicateValues" dxfId="1609" priority="2199"/>
    <cfRule type="duplicateValues" dxfId="1608" priority="2200"/>
    <cfRule type="duplicateValues" dxfId="1607" priority="2201"/>
    <cfRule type="duplicateValues" dxfId="1606" priority="2202"/>
    <cfRule type="duplicateValues" dxfId="1605" priority="2203"/>
    <cfRule type="duplicateValues" dxfId="1604" priority="2204"/>
    <cfRule type="duplicateValues" dxfId="1603" priority="2205"/>
    <cfRule type="duplicateValues" dxfId="1602" priority="2206"/>
    <cfRule type="duplicateValues" dxfId="1601" priority="2207"/>
    <cfRule type="duplicateValues" dxfId="1600" priority="2208"/>
    <cfRule type="duplicateValues" dxfId="1599" priority="2209"/>
    <cfRule type="duplicateValues" dxfId="1598" priority="2210"/>
    <cfRule type="duplicateValues" dxfId="1597" priority="2211"/>
    <cfRule type="duplicateValues" dxfId="1596" priority="2212"/>
  </conditionalFormatting>
  <conditionalFormatting sqref="C78:C85 C72:C76">
    <cfRule type="duplicateValues" dxfId="1595" priority="1512"/>
  </conditionalFormatting>
  <conditionalFormatting sqref="C78:C108 C11:C76">
    <cfRule type="duplicateValues" dxfId="1594" priority="2345"/>
  </conditionalFormatting>
  <conditionalFormatting sqref="C96:C108 C11:C31">
    <cfRule type="duplicateValues" dxfId="1593" priority="1613"/>
  </conditionalFormatting>
  <conditionalFormatting sqref="C109:C118">
    <cfRule type="duplicateValues" dxfId="1592" priority="2395"/>
    <cfRule type="duplicateValues" dxfId="1591" priority="2394"/>
    <cfRule type="duplicateValues" dxfId="1590" priority="2393"/>
    <cfRule type="duplicateValues" dxfId="1589" priority="2392"/>
    <cfRule type="duplicateValues" dxfId="1588" priority="2391"/>
    <cfRule type="duplicateValues" dxfId="1587" priority="2390"/>
    <cfRule type="duplicateValues" dxfId="1586" priority="2389"/>
    <cfRule type="duplicateValues" dxfId="1585" priority="2416"/>
    <cfRule type="duplicateValues" dxfId="1584" priority="783"/>
    <cfRule type="duplicateValues" dxfId="1583" priority="782"/>
    <cfRule type="duplicateValues" dxfId="1582" priority="781"/>
    <cfRule type="duplicateValues" dxfId="1581" priority="2432"/>
    <cfRule type="duplicateValues" dxfId="1580" priority="2430"/>
    <cfRule type="duplicateValues" dxfId="1579" priority="2429"/>
    <cfRule type="duplicateValues" dxfId="1578" priority="2428"/>
    <cfRule type="duplicateValues" dxfId="1577" priority="2427"/>
    <cfRule type="duplicateValues" dxfId="1576" priority="2426"/>
    <cfRule type="duplicateValues" dxfId="1575" priority="2425"/>
    <cfRule type="duplicateValues" dxfId="1574" priority="2424"/>
    <cfRule type="duplicateValues" dxfId="1573" priority="2423"/>
    <cfRule type="duplicateValues" dxfId="1572" priority="2422"/>
    <cfRule type="duplicateValues" dxfId="1571" priority="2421"/>
    <cfRule type="duplicateValues" dxfId="1570" priority="2420"/>
    <cfRule type="duplicateValues" dxfId="1569" priority="2419"/>
    <cfRule type="duplicateValues" dxfId="1568" priority="2418"/>
    <cfRule type="duplicateValues" dxfId="1567" priority="2417"/>
    <cfRule type="duplicateValues" dxfId="1566" priority="2415"/>
    <cfRule type="duplicateValues" dxfId="1565" priority="2414"/>
    <cfRule type="duplicateValues" dxfId="1564" priority="2413"/>
    <cfRule type="duplicateValues" dxfId="1563" priority="2412"/>
    <cfRule type="duplicateValues" dxfId="1562" priority="2411"/>
    <cfRule type="duplicateValues" dxfId="1561" priority="2410"/>
    <cfRule type="duplicateValues" dxfId="1560" priority="2409"/>
    <cfRule type="duplicateValues" dxfId="1559" priority="2408"/>
    <cfRule type="duplicateValues" dxfId="1558" priority="2407"/>
    <cfRule type="duplicateValues" dxfId="1557" priority="2406"/>
    <cfRule type="duplicateValues" dxfId="1556" priority="2405"/>
    <cfRule type="duplicateValues" dxfId="1555" priority="2404"/>
    <cfRule type="duplicateValues" dxfId="1554" priority="2403"/>
    <cfRule type="duplicateValues" dxfId="1553" priority="2402"/>
    <cfRule type="duplicateValues" dxfId="1552" priority="2401"/>
    <cfRule type="duplicateValues" dxfId="1551" priority="2400"/>
    <cfRule type="duplicateValues" dxfId="1550" priority="2399"/>
    <cfRule type="duplicateValues" dxfId="1549" priority="2398"/>
    <cfRule type="duplicateValues" dxfId="1548" priority="2397"/>
    <cfRule type="duplicateValues" dxfId="1547" priority="2396"/>
  </conditionalFormatting>
  <conditionalFormatting sqref="C109:C159">
    <cfRule type="duplicateValues" dxfId="1546" priority="2346"/>
  </conditionalFormatting>
  <conditionalFormatting sqref="C117:C118 C109:C115">
    <cfRule type="duplicateValues" dxfId="1545" priority="758"/>
    <cfRule type="duplicateValues" dxfId="1544" priority="759"/>
    <cfRule type="duplicateValues" dxfId="1543" priority="760"/>
    <cfRule type="duplicateValues" dxfId="1542" priority="761"/>
    <cfRule type="duplicateValues" dxfId="1541" priority="762"/>
    <cfRule type="duplicateValues" dxfId="1540" priority="763"/>
    <cfRule type="duplicateValues" dxfId="1539" priority="764"/>
    <cfRule type="duplicateValues" dxfId="1538" priority="765"/>
    <cfRule type="duplicateValues" dxfId="1537" priority="755"/>
    <cfRule type="duplicateValues" dxfId="1536" priority="757"/>
    <cfRule type="duplicateValues" dxfId="1535" priority="756"/>
    <cfRule type="duplicateValues" dxfId="1534" priority="754"/>
    <cfRule type="duplicateValues" dxfId="1533" priority="753"/>
  </conditionalFormatting>
  <conditionalFormatting sqref="C146:C151">
    <cfRule type="duplicateValues" dxfId="1532" priority="692"/>
    <cfRule type="duplicateValues" dxfId="1531" priority="691"/>
  </conditionalFormatting>
  <conditionalFormatting sqref="C152:C159 C109:C145">
    <cfRule type="duplicateValues" dxfId="1530" priority="2439"/>
    <cfRule type="duplicateValues" dxfId="1529" priority="2440"/>
    <cfRule type="duplicateValues" dxfId="1528" priority="2441"/>
    <cfRule type="duplicateValues" dxfId="1527" priority="2438"/>
    <cfRule type="duplicateValues" dxfId="1526" priority="2442"/>
    <cfRule type="duplicateValues" dxfId="1525" priority="2443"/>
    <cfRule type="duplicateValues" dxfId="1524" priority="2444"/>
    <cfRule type="duplicateValues" dxfId="1523" priority="2445"/>
    <cfRule type="duplicateValues" dxfId="1522" priority="2446"/>
    <cfRule type="duplicateValues" dxfId="1521" priority="2447"/>
    <cfRule type="duplicateValues" dxfId="1520" priority="2448"/>
    <cfRule type="duplicateValues" dxfId="1519" priority="2449"/>
    <cfRule type="duplicateValues" dxfId="1518" priority="2450"/>
    <cfRule type="duplicateValues" dxfId="1517" priority="2451"/>
    <cfRule type="duplicateValues" dxfId="1516" priority="2434"/>
    <cfRule type="duplicateValues" dxfId="1515" priority="2452"/>
    <cfRule type="duplicateValues" dxfId="1514" priority="2454"/>
    <cfRule type="duplicateValues" dxfId="1513" priority="2455"/>
    <cfRule type="duplicateValues" dxfId="1512" priority="2456"/>
    <cfRule type="duplicateValues" dxfId="1511" priority="2457"/>
    <cfRule type="duplicateValues" dxfId="1510" priority="2458"/>
    <cfRule type="duplicateValues" dxfId="1509" priority="2459"/>
    <cfRule type="duplicateValues" dxfId="1508" priority="2460"/>
    <cfRule type="duplicateValues" dxfId="1507" priority="2461"/>
    <cfRule type="duplicateValues" dxfId="1506" priority="2462"/>
    <cfRule type="duplicateValues" dxfId="1505" priority="2463"/>
    <cfRule type="duplicateValues" dxfId="1504" priority="2464"/>
    <cfRule type="duplicateValues" dxfId="1503" priority="2466"/>
    <cfRule type="duplicateValues" dxfId="1502" priority="2468"/>
    <cfRule type="duplicateValues" dxfId="1501" priority="2469"/>
    <cfRule type="duplicateValues" dxfId="1500" priority="2467"/>
    <cfRule type="duplicateValues" dxfId="1499" priority="2465"/>
    <cfRule type="duplicateValues" dxfId="1498" priority="2453"/>
    <cfRule type="duplicateValues" dxfId="1497" priority="2433"/>
    <cfRule type="duplicateValues" dxfId="1496" priority="2435"/>
    <cfRule type="duplicateValues" dxfId="1495" priority="2436"/>
    <cfRule type="duplicateValues" dxfId="1494" priority="2437"/>
  </conditionalFormatting>
  <conditionalFormatting sqref="C152:C159">
    <cfRule type="duplicateValues" dxfId="1493" priority="2360"/>
    <cfRule type="duplicateValues" dxfId="1492" priority="2361"/>
    <cfRule type="duplicateValues" dxfId="1491" priority="2359"/>
    <cfRule type="duplicateValues" dxfId="1490" priority="2357"/>
    <cfRule type="duplicateValues" dxfId="1489" priority="2356"/>
    <cfRule type="duplicateValues" dxfId="1488" priority="2355"/>
    <cfRule type="duplicateValues" dxfId="1487" priority="2354"/>
    <cfRule type="duplicateValues" dxfId="1486" priority="2353"/>
    <cfRule type="duplicateValues" dxfId="1485" priority="2352"/>
    <cfRule type="duplicateValues" dxfId="1484" priority="2351"/>
    <cfRule type="duplicateValues" dxfId="1483" priority="2350"/>
    <cfRule type="duplicateValues" dxfId="1482" priority="2349"/>
    <cfRule type="duplicateValues" dxfId="1481" priority="2348"/>
    <cfRule type="duplicateValues" dxfId="1480" priority="2347"/>
    <cfRule type="duplicateValues" dxfId="1479" priority="2358"/>
    <cfRule type="duplicateValues" dxfId="1478" priority="2364"/>
    <cfRule type="duplicateValues" dxfId="1477" priority="2365"/>
    <cfRule type="duplicateValues" dxfId="1476" priority="2366"/>
    <cfRule type="duplicateValues" dxfId="1475" priority="2367"/>
    <cfRule type="duplicateValues" dxfId="1474" priority="2368"/>
    <cfRule type="duplicateValues" dxfId="1473" priority="2369"/>
    <cfRule type="duplicateValues" dxfId="1472" priority="2370"/>
    <cfRule type="duplicateValues" dxfId="1471" priority="2371"/>
    <cfRule type="duplicateValues" dxfId="1470" priority="2372"/>
    <cfRule type="duplicateValues" dxfId="1469" priority="2373"/>
    <cfRule type="duplicateValues" dxfId="1468" priority="2374"/>
    <cfRule type="duplicateValues" dxfId="1467" priority="2375"/>
    <cfRule type="duplicateValues" dxfId="1466" priority="2376"/>
    <cfRule type="duplicateValues" dxfId="1465" priority="2377"/>
    <cfRule type="duplicateValues" dxfId="1464" priority="2378"/>
    <cfRule type="duplicateValues" dxfId="1463" priority="2379"/>
    <cfRule type="duplicateValues" dxfId="1462" priority="2386"/>
    <cfRule type="duplicateValues" dxfId="1461" priority="789"/>
    <cfRule type="duplicateValues" dxfId="1460" priority="2388"/>
    <cfRule type="duplicateValues" dxfId="1459" priority="2363"/>
    <cfRule type="duplicateValues" dxfId="1458" priority="2362"/>
    <cfRule type="duplicateValues" dxfId="1457" priority="2385"/>
    <cfRule type="duplicateValues" dxfId="1456" priority="2384"/>
    <cfRule type="duplicateValues" dxfId="1455" priority="2383"/>
    <cfRule type="duplicateValues" dxfId="1454" priority="2382"/>
    <cfRule type="duplicateValues" dxfId="1453" priority="2381"/>
    <cfRule type="duplicateValues" dxfId="1452" priority="2380"/>
    <cfRule type="duplicateValues" dxfId="1451" priority="2387"/>
  </conditionalFormatting>
  <conditionalFormatting sqref="C160:C173">
    <cfRule type="duplicateValues" dxfId="1450" priority="623"/>
    <cfRule type="duplicateValues" dxfId="1449" priority="624"/>
    <cfRule type="duplicateValues" dxfId="1448" priority="625"/>
    <cfRule type="duplicateValues" dxfId="1447" priority="626"/>
    <cfRule type="duplicateValues" dxfId="1446" priority="627"/>
    <cfRule type="duplicateValues" dxfId="1445" priority="628"/>
    <cfRule type="duplicateValues" dxfId="1444" priority="629"/>
    <cfRule type="duplicateValues" dxfId="1443" priority="630"/>
    <cfRule type="duplicateValues" dxfId="1442" priority="631"/>
    <cfRule type="duplicateValues" dxfId="1441" priority="632"/>
    <cfRule type="duplicateValues" dxfId="1440" priority="633"/>
    <cfRule type="duplicateValues" dxfId="1439" priority="616"/>
    <cfRule type="duplicateValues" dxfId="1438" priority="634"/>
    <cfRule type="duplicateValues" dxfId="1437" priority="635"/>
    <cfRule type="duplicateValues" dxfId="1436" priority="617"/>
    <cfRule type="duplicateValues" dxfId="1435" priority="601"/>
    <cfRule type="duplicateValues" dxfId="1434" priority="602"/>
    <cfRule type="duplicateValues" dxfId="1433" priority="603"/>
    <cfRule type="duplicateValues" dxfId="1432" priority="604"/>
    <cfRule type="duplicateValues" dxfId="1431" priority="605"/>
    <cfRule type="duplicateValues" dxfId="1430" priority="606"/>
    <cfRule type="duplicateValues" dxfId="1429" priority="607"/>
    <cfRule type="duplicateValues" dxfId="1428" priority="608"/>
    <cfRule type="duplicateValues" dxfId="1427" priority="609"/>
    <cfRule type="duplicateValues" dxfId="1426" priority="610"/>
    <cfRule type="duplicateValues" dxfId="1425" priority="611"/>
    <cfRule type="duplicateValues" dxfId="1424" priority="612"/>
    <cfRule type="duplicateValues" dxfId="1423" priority="613"/>
    <cfRule type="duplicateValues" dxfId="1422" priority="614"/>
    <cfRule type="duplicateValues" dxfId="1421" priority="615"/>
    <cfRule type="duplicateValues" dxfId="1420" priority="618"/>
    <cfRule type="duplicateValues" dxfId="1419" priority="619"/>
    <cfRule type="duplicateValues" dxfId="1418" priority="620"/>
    <cfRule type="duplicateValues" dxfId="1417" priority="621"/>
    <cfRule type="duplicateValues" dxfId="1416" priority="622"/>
  </conditionalFormatting>
  <conditionalFormatting sqref="C164:C165 C168:C170">
    <cfRule type="duplicateValues" dxfId="1415" priority="600"/>
  </conditionalFormatting>
  <conditionalFormatting sqref="C168:C172 C160:C165">
    <cfRule type="duplicateValues" dxfId="1414" priority="686"/>
  </conditionalFormatting>
  <conditionalFormatting sqref="C168:C172">
    <cfRule type="duplicateValues" dxfId="1413" priority="678"/>
    <cfRule type="duplicateValues" dxfId="1412" priority="681"/>
  </conditionalFormatting>
  <conditionalFormatting sqref="C168:C173 C160:C165">
    <cfRule type="duplicateValues" dxfId="1411" priority="668"/>
    <cfRule type="duplicateValues" dxfId="1410" priority="655"/>
    <cfRule type="duplicateValues" dxfId="1409" priority="652"/>
    <cfRule type="duplicateValues" dxfId="1408" priority="650"/>
    <cfRule type="duplicateValues" dxfId="1407" priority="651"/>
    <cfRule type="duplicateValues" dxfId="1406" priority="656"/>
    <cfRule type="duplicateValues" dxfId="1405" priority="659"/>
    <cfRule type="duplicateValues" dxfId="1404" priority="658"/>
    <cfRule type="duplicateValues" dxfId="1403" priority="657"/>
    <cfRule type="duplicateValues" dxfId="1402" priority="667"/>
  </conditionalFormatting>
  <conditionalFormatting sqref="C168:C173">
    <cfRule type="duplicateValues" dxfId="1401" priority="666"/>
    <cfRule type="duplicateValues" dxfId="1400" priority="665"/>
    <cfRule type="duplicateValues" dxfId="1399" priority="664"/>
    <cfRule type="duplicateValues" dxfId="1398" priority="663"/>
    <cfRule type="duplicateValues" dxfId="1397" priority="662"/>
    <cfRule type="duplicateValues" dxfId="1396" priority="661"/>
    <cfRule type="duplicateValues" dxfId="1395" priority="660"/>
    <cfRule type="duplicateValues" dxfId="1394" priority="654"/>
    <cfRule type="duplicateValues" dxfId="1393" priority="676"/>
    <cfRule type="duplicateValues" dxfId="1392" priority="675"/>
    <cfRule type="duplicateValues" dxfId="1391" priority="674"/>
    <cfRule type="duplicateValues" dxfId="1390" priority="673"/>
    <cfRule type="duplicateValues" dxfId="1389" priority="672"/>
    <cfRule type="duplicateValues" dxfId="1388" priority="671"/>
    <cfRule type="duplicateValues" dxfId="1387" priority="670"/>
    <cfRule type="duplicateValues" dxfId="1386" priority="669"/>
    <cfRule type="duplicateValues" dxfId="1385" priority="636"/>
    <cfRule type="duplicateValues" dxfId="1384" priority="637"/>
    <cfRule type="duplicateValues" dxfId="1383" priority="638"/>
    <cfRule type="duplicateValues" dxfId="1382" priority="639"/>
    <cfRule type="duplicateValues" dxfId="1381" priority="640"/>
    <cfRule type="duplicateValues" dxfId="1380" priority="641"/>
    <cfRule type="duplicateValues" dxfId="1379" priority="642"/>
    <cfRule type="duplicateValues" dxfId="1378" priority="643"/>
    <cfRule type="duplicateValues" dxfId="1377" priority="644"/>
    <cfRule type="duplicateValues" dxfId="1376" priority="646"/>
    <cfRule type="duplicateValues" dxfId="1375" priority="647"/>
    <cfRule type="duplicateValues" dxfId="1374" priority="648"/>
    <cfRule type="duplicateValues" dxfId="1373" priority="649"/>
    <cfRule type="duplicateValues" dxfId="1372" priority="653"/>
    <cfRule type="duplicateValues" dxfId="1371" priority="645"/>
    <cfRule type="duplicateValues" dxfId="1370" priority="690"/>
    <cfRule type="duplicateValues" dxfId="1369" priority="689"/>
    <cfRule type="duplicateValues" dxfId="1368" priority="688"/>
    <cfRule type="duplicateValues" dxfId="1367" priority="687"/>
    <cfRule type="duplicateValues" dxfId="1366" priority="677"/>
  </conditionalFormatting>
  <conditionalFormatting sqref="C171:C172 C160:C163">
    <cfRule type="duplicateValues" dxfId="1365" priority="684"/>
    <cfRule type="duplicateValues" dxfId="1364" priority="683"/>
    <cfRule type="duplicateValues" dxfId="1363" priority="682"/>
  </conditionalFormatting>
  <conditionalFormatting sqref="C171:C172">
    <cfRule type="duplicateValues" dxfId="1362" priority="679"/>
    <cfRule type="duplicateValues" dxfId="1361" priority="685"/>
    <cfRule type="duplicateValues" dxfId="1360" priority="680"/>
  </conditionalFormatting>
  <conditionalFormatting sqref="C173">
    <cfRule type="duplicateValues" dxfId="1359" priority="595"/>
    <cfRule type="duplicateValues" dxfId="1358" priority="599"/>
    <cfRule type="duplicateValues" dxfId="1357" priority="598"/>
    <cfRule type="duplicateValues" dxfId="1356" priority="597"/>
    <cfRule type="duplicateValues" dxfId="1355" priority="596"/>
  </conditionalFormatting>
  <conditionalFormatting sqref="C174:C242">
    <cfRule type="duplicateValues" dxfId="1354" priority="2477"/>
    <cfRule type="duplicateValues" dxfId="1353" priority="2476"/>
    <cfRule type="duplicateValues" dxfId="1352" priority="2475"/>
    <cfRule type="duplicateValues" dxfId="1351" priority="2474"/>
    <cfRule type="duplicateValues" dxfId="1350" priority="2473"/>
    <cfRule type="duplicateValues" dxfId="1349" priority="2491"/>
    <cfRule type="duplicateValues" dxfId="1348" priority="2492"/>
    <cfRule type="duplicateValues" dxfId="1347" priority="2490"/>
    <cfRule type="duplicateValues" dxfId="1346" priority="2472"/>
    <cfRule type="duplicateValues" dxfId="1345" priority="2494"/>
    <cfRule type="duplicateValues" dxfId="1344" priority="2495"/>
    <cfRule type="duplicateValues" dxfId="1343" priority="2496"/>
    <cfRule type="duplicateValues" dxfId="1342" priority="2497"/>
    <cfRule type="duplicateValues" dxfId="1341" priority="2493"/>
    <cfRule type="duplicateValues" dxfId="1340" priority="2471"/>
    <cfRule type="duplicateValues" dxfId="1339" priority="2498"/>
    <cfRule type="duplicateValues" dxfId="1338" priority="2479"/>
    <cfRule type="duplicateValues" dxfId="1337" priority="2478"/>
    <cfRule type="duplicateValues" dxfId="1336" priority="2488"/>
    <cfRule type="duplicateValues" dxfId="1335" priority="2487"/>
    <cfRule type="duplicateValues" dxfId="1334" priority="2486"/>
    <cfRule type="duplicateValues" dxfId="1333" priority="2485"/>
    <cfRule type="duplicateValues" dxfId="1332" priority="2484"/>
    <cfRule type="duplicateValues" dxfId="1331" priority="2483"/>
    <cfRule type="duplicateValues" dxfId="1330" priority="2482"/>
    <cfRule type="duplicateValues" dxfId="1329" priority="2481"/>
    <cfRule type="duplicateValues" dxfId="1328" priority="2480"/>
    <cfRule type="duplicateValues" dxfId="1327" priority="2489"/>
  </conditionalFormatting>
  <conditionalFormatting sqref="C178:C180">
    <cfRule type="duplicateValues" dxfId="1326" priority="503"/>
    <cfRule type="duplicateValues" dxfId="1325" priority="500"/>
    <cfRule type="duplicateValues" dxfId="1324" priority="501"/>
    <cfRule type="duplicateValues" dxfId="1323" priority="502"/>
  </conditionalFormatting>
  <conditionalFormatting sqref="C180">
    <cfRule type="duplicateValues" dxfId="1322" priority="496"/>
    <cfRule type="duplicateValues" dxfId="1321" priority="497"/>
    <cfRule type="duplicateValues" dxfId="1320" priority="498"/>
    <cfRule type="duplicateValues" dxfId="1319" priority="499"/>
  </conditionalFormatting>
  <conditionalFormatting sqref="C181:C182">
    <cfRule type="duplicateValues" dxfId="1318" priority="483"/>
    <cfRule type="duplicateValues" dxfId="1317" priority="484"/>
    <cfRule type="duplicateValues" dxfId="1316" priority="486"/>
    <cfRule type="duplicateValues" dxfId="1315" priority="487"/>
    <cfRule type="duplicateValues" dxfId="1314" priority="485"/>
    <cfRule type="duplicateValues" dxfId="1313" priority="488"/>
    <cfRule type="duplicateValues" dxfId="1312" priority="489"/>
  </conditionalFormatting>
  <conditionalFormatting sqref="C181:C184">
    <cfRule type="duplicateValues" dxfId="1311" priority="490"/>
  </conditionalFormatting>
  <conditionalFormatting sqref="C183:C184">
    <cfRule type="duplicateValues" dxfId="1310" priority="480"/>
    <cfRule type="duplicateValues" dxfId="1309" priority="481"/>
    <cfRule type="duplicateValues" dxfId="1308" priority="482"/>
  </conditionalFormatting>
  <conditionalFormatting sqref="C185">
    <cfRule type="duplicateValues" dxfId="1307" priority="479"/>
    <cfRule type="duplicateValues" dxfId="1306" priority="478"/>
    <cfRule type="duplicateValues" dxfId="1305" priority="477"/>
  </conditionalFormatting>
  <conditionalFormatting sqref="C186">
    <cfRule type="duplicateValues" dxfId="1304" priority="472"/>
    <cfRule type="duplicateValues" dxfId="1303" priority="471"/>
    <cfRule type="duplicateValues" dxfId="1302" priority="473"/>
    <cfRule type="duplicateValues" dxfId="1301" priority="474"/>
  </conditionalFormatting>
  <conditionalFormatting sqref="C187 C185">
    <cfRule type="duplicateValues" dxfId="1300" priority="491"/>
  </conditionalFormatting>
  <conditionalFormatting sqref="C187">
    <cfRule type="duplicateValues" dxfId="1299" priority="470"/>
  </conditionalFormatting>
  <conditionalFormatting sqref="C187:C190 C181:C185">
    <cfRule type="duplicateValues" dxfId="1298" priority="495"/>
  </conditionalFormatting>
  <conditionalFormatting sqref="C187:C190 C185">
    <cfRule type="duplicateValues" dxfId="1297" priority="492"/>
  </conditionalFormatting>
  <conditionalFormatting sqref="C187:C192 C181:C185">
    <cfRule type="duplicateValues" dxfId="1296" priority="493"/>
  </conditionalFormatting>
  <conditionalFormatting sqref="C187:C195 C181:C185">
    <cfRule type="duplicateValues" dxfId="1295" priority="494"/>
  </conditionalFormatting>
  <conditionalFormatting sqref="C187:C195">
    <cfRule type="duplicateValues" dxfId="1294" priority="475"/>
    <cfRule type="duplicateValues" dxfId="1293" priority="476"/>
  </conditionalFormatting>
  <conditionalFormatting sqref="C187:C242 C174:C185">
    <cfRule type="duplicateValues" dxfId="1292" priority="2499"/>
  </conditionalFormatting>
  <conditionalFormatting sqref="C187:C242 C181:C185 C174:C177">
    <cfRule type="duplicateValues" dxfId="1291" priority="2503"/>
    <cfRule type="duplicateValues" dxfId="1290" priority="2508"/>
    <cfRule type="duplicateValues" dxfId="1289" priority="2507"/>
    <cfRule type="duplicateValues" dxfId="1288" priority="2506"/>
    <cfRule type="duplicateValues" dxfId="1287" priority="2505"/>
    <cfRule type="duplicateValues" dxfId="1286" priority="2504"/>
    <cfRule type="duplicateValues" dxfId="1285" priority="2501"/>
    <cfRule type="duplicateValues" dxfId="1284" priority="2510"/>
    <cfRule type="duplicateValues" dxfId="1283" priority="2502"/>
    <cfRule type="duplicateValues" dxfId="1282" priority="2509"/>
  </conditionalFormatting>
  <conditionalFormatting sqref="C187:C242">
    <cfRule type="duplicateValues" dxfId="1281" priority="2531"/>
    <cfRule type="duplicateValues" dxfId="1280" priority="2532"/>
    <cfRule type="duplicateValues" dxfId="1279" priority="2535"/>
    <cfRule type="duplicateValues" dxfId="1278" priority="2542"/>
    <cfRule type="duplicateValues" dxfId="1277" priority="2536"/>
    <cfRule type="duplicateValues" dxfId="1276" priority="2537"/>
    <cfRule type="duplicateValues" dxfId="1275" priority="2538"/>
    <cfRule type="duplicateValues" dxfId="1274" priority="2541"/>
    <cfRule type="duplicateValues" dxfId="1273" priority="2540"/>
    <cfRule type="duplicateValues" dxfId="1272" priority="2539"/>
    <cfRule type="duplicateValues" dxfId="1271" priority="2533"/>
    <cfRule type="duplicateValues" dxfId="1270" priority="2565"/>
    <cfRule type="duplicateValues" dxfId="1269" priority="2564"/>
    <cfRule type="duplicateValues" dxfId="1268" priority="2563"/>
    <cfRule type="duplicateValues" dxfId="1267" priority="2562"/>
    <cfRule type="duplicateValues" dxfId="1266" priority="2561"/>
    <cfRule type="duplicateValues" dxfId="1265" priority="2560"/>
    <cfRule type="duplicateValues" dxfId="1264" priority="2559"/>
    <cfRule type="duplicateValues" dxfId="1263" priority="2558"/>
    <cfRule type="duplicateValues" dxfId="1262" priority="2557"/>
    <cfRule type="duplicateValues" dxfId="1261" priority="2556"/>
    <cfRule type="duplicateValues" dxfId="1260" priority="2555"/>
    <cfRule type="duplicateValues" dxfId="1259" priority="2553"/>
    <cfRule type="duplicateValues" dxfId="1258" priority="2552"/>
    <cfRule type="duplicateValues" dxfId="1257" priority="2551"/>
    <cfRule type="duplicateValues" dxfId="1256" priority="2550"/>
    <cfRule type="duplicateValues" dxfId="1255" priority="2549"/>
    <cfRule type="duplicateValues" dxfId="1254" priority="2548"/>
    <cfRule type="duplicateValues" dxfId="1253" priority="2547"/>
    <cfRule type="duplicateValues" dxfId="1252" priority="2546"/>
    <cfRule type="duplicateValues" dxfId="1251" priority="2545"/>
    <cfRule type="duplicateValues" dxfId="1250" priority="2544"/>
    <cfRule type="duplicateValues" dxfId="1249" priority="2543"/>
    <cfRule type="duplicateValues" dxfId="1248" priority="2567"/>
    <cfRule type="duplicateValues" dxfId="1247" priority="2568"/>
    <cfRule type="duplicateValues" dxfId="1246" priority="2534"/>
    <cfRule type="duplicateValues" dxfId="1245" priority="2566"/>
    <cfRule type="duplicateValues" dxfId="1244" priority="2554"/>
  </conditionalFormatting>
  <conditionalFormatting sqref="C188:C190">
    <cfRule type="duplicateValues" dxfId="1243" priority="468"/>
    <cfRule type="duplicateValues" dxfId="1242" priority="467"/>
    <cfRule type="duplicateValues" dxfId="1241" priority="466"/>
    <cfRule type="duplicateValues" dxfId="1240" priority="469"/>
  </conditionalFormatting>
  <conditionalFormatting sqref="C191:C192">
    <cfRule type="duplicateValues" dxfId="1239" priority="464"/>
    <cfRule type="duplicateValues" dxfId="1238" priority="463"/>
    <cfRule type="duplicateValues" dxfId="1237" priority="462"/>
    <cfRule type="duplicateValues" dxfId="1236" priority="461"/>
  </conditionalFormatting>
  <conditionalFormatting sqref="C193:C195">
    <cfRule type="duplicateValues" dxfId="1235" priority="465"/>
  </conditionalFormatting>
  <conditionalFormatting sqref="C196:C242 C174:C177">
    <cfRule type="duplicateValues" dxfId="1234" priority="2570"/>
    <cfRule type="duplicateValues" dxfId="1233" priority="2571"/>
    <cfRule type="duplicateValues" dxfId="1232" priority="2572"/>
    <cfRule type="duplicateValues" dxfId="1231" priority="2573"/>
    <cfRule type="duplicateValues" dxfId="1230" priority="2574"/>
    <cfRule type="duplicateValues" dxfId="1229" priority="2569"/>
  </conditionalFormatting>
  <conditionalFormatting sqref="C196:C242">
    <cfRule type="duplicateValues" dxfId="1228" priority="2583"/>
    <cfRule type="duplicateValues" dxfId="1227" priority="2582"/>
    <cfRule type="duplicateValues" dxfId="1226" priority="2581"/>
    <cfRule type="duplicateValues" dxfId="1225" priority="2586"/>
    <cfRule type="duplicateValues" dxfId="1224" priority="2584"/>
    <cfRule type="duplicateValues" dxfId="1223" priority="2585"/>
    <cfRule type="duplicateValues" dxfId="1222" priority="2587"/>
  </conditionalFormatting>
  <conditionalFormatting sqref="C243:C250">
    <cfRule type="duplicateValues" dxfId="1221" priority="438"/>
    <cfRule type="duplicateValues" dxfId="1220" priority="437"/>
    <cfRule type="duplicateValues" dxfId="1219" priority="436"/>
    <cfRule type="duplicateValues" dxfId="1218" priority="435"/>
    <cfRule type="duplicateValues" dxfId="1217" priority="434"/>
    <cfRule type="duplicateValues" dxfId="1216" priority="433"/>
    <cfRule type="duplicateValues" dxfId="1215" priority="432"/>
    <cfRule type="duplicateValues" dxfId="1214" priority="430"/>
    <cfRule type="duplicateValues" dxfId="1213" priority="429"/>
    <cfRule type="duplicateValues" dxfId="1212" priority="428"/>
    <cfRule type="duplicateValues" dxfId="1211" priority="427"/>
    <cfRule type="duplicateValues" dxfId="1210" priority="426"/>
    <cfRule type="duplicateValues" dxfId="1209" priority="425"/>
    <cfRule type="duplicateValues" dxfId="1208" priority="424"/>
    <cfRule type="duplicateValues" dxfId="1207" priority="423"/>
    <cfRule type="duplicateValues" dxfId="1206" priority="422"/>
    <cfRule type="duplicateValues" dxfId="1205" priority="421"/>
    <cfRule type="duplicateValues" dxfId="1204" priority="420"/>
    <cfRule type="duplicateValues" dxfId="1203" priority="419"/>
    <cfRule type="duplicateValues" dxfId="1202" priority="418"/>
    <cfRule type="duplicateValues" dxfId="1201" priority="417"/>
    <cfRule type="duplicateValues" dxfId="1200" priority="416"/>
    <cfRule type="duplicateValues" dxfId="1199" priority="415"/>
    <cfRule type="duplicateValues" dxfId="1198" priority="414"/>
    <cfRule type="duplicateValues" dxfId="1197" priority="413"/>
    <cfRule type="duplicateValues" dxfId="1196" priority="412"/>
    <cfRule type="duplicateValues" dxfId="1195" priority="411"/>
    <cfRule type="duplicateValues" dxfId="1194" priority="410"/>
    <cfRule type="duplicateValues" dxfId="1193" priority="409"/>
    <cfRule type="duplicateValues" dxfId="1192" priority="408"/>
    <cfRule type="duplicateValues" dxfId="1191" priority="407"/>
    <cfRule type="duplicateValues" dxfId="1190" priority="406"/>
    <cfRule type="duplicateValues" dxfId="1189" priority="405"/>
    <cfRule type="duplicateValues" dxfId="1188" priority="404"/>
    <cfRule type="duplicateValues" dxfId="1187" priority="431"/>
    <cfRule type="duplicateValues" dxfId="1186" priority="459"/>
    <cfRule type="duplicateValues" dxfId="1185" priority="458"/>
    <cfRule type="duplicateValues" dxfId="1184" priority="457"/>
    <cfRule type="duplicateValues" dxfId="1183" priority="456"/>
    <cfRule type="duplicateValues" dxfId="1182" priority="455"/>
    <cfRule type="duplicateValues" dxfId="1181" priority="454"/>
    <cfRule type="duplicateValues" dxfId="1180" priority="453"/>
    <cfRule type="duplicateValues" dxfId="1179" priority="452"/>
    <cfRule type="duplicateValues" dxfId="1178" priority="451"/>
    <cfRule type="duplicateValues" dxfId="1177" priority="450"/>
    <cfRule type="duplicateValues" dxfId="1176" priority="449"/>
    <cfRule type="duplicateValues" dxfId="1175" priority="448"/>
    <cfRule type="duplicateValues" dxfId="1174" priority="447"/>
    <cfRule type="duplicateValues" dxfId="1173" priority="446"/>
    <cfRule type="duplicateValues" dxfId="1172" priority="445"/>
    <cfRule type="duplicateValues" dxfId="1171" priority="444"/>
    <cfRule type="duplicateValues" dxfId="1170" priority="443"/>
    <cfRule type="duplicateValues" dxfId="1169" priority="442"/>
    <cfRule type="duplicateValues" dxfId="1168" priority="441"/>
    <cfRule type="duplicateValues" dxfId="1167" priority="440"/>
    <cfRule type="duplicateValues" dxfId="1166" priority="439"/>
  </conditionalFormatting>
  <conditionalFormatting sqref="C251:C258">
    <cfRule type="duplicateValues" dxfId="1165" priority="395"/>
    <cfRule type="duplicateValues" dxfId="1164" priority="396"/>
  </conditionalFormatting>
  <conditionalFormatting sqref="C251:C262">
    <cfRule type="duplicateValues" dxfId="1163" priority="368"/>
    <cfRule type="duplicateValues" dxfId="1162" priority="367"/>
    <cfRule type="duplicateValues" dxfId="1161" priority="366"/>
    <cfRule type="duplicateValues" dxfId="1160" priority="365"/>
    <cfRule type="duplicateValues" dxfId="1159" priority="363"/>
    <cfRule type="duplicateValues" dxfId="1158" priority="362"/>
    <cfRule type="duplicateValues" dxfId="1157" priority="361"/>
    <cfRule type="duplicateValues" dxfId="1156" priority="360"/>
    <cfRule type="duplicateValues" dxfId="1155" priority="359"/>
    <cfRule type="duplicateValues" dxfId="1154" priority="403"/>
    <cfRule type="duplicateValues" dxfId="1153" priority="402"/>
    <cfRule type="duplicateValues" dxfId="1152" priority="401"/>
    <cfRule type="duplicateValues" dxfId="1151" priority="400"/>
    <cfRule type="duplicateValues" dxfId="1150" priority="399"/>
    <cfRule type="duplicateValues" dxfId="1149" priority="398"/>
    <cfRule type="duplicateValues" dxfId="1148" priority="358"/>
    <cfRule type="duplicateValues" dxfId="1147" priority="397"/>
    <cfRule type="duplicateValues" dxfId="1146" priority="394"/>
    <cfRule type="duplicateValues" dxfId="1145" priority="393"/>
    <cfRule type="duplicateValues" dxfId="1144" priority="392"/>
    <cfRule type="duplicateValues" dxfId="1143" priority="391"/>
    <cfRule type="duplicateValues" dxfId="1142" priority="390"/>
    <cfRule type="duplicateValues" dxfId="1141" priority="389"/>
    <cfRule type="duplicateValues" dxfId="1140" priority="388"/>
    <cfRule type="duplicateValues" dxfId="1139" priority="387"/>
    <cfRule type="duplicateValues" dxfId="1138" priority="386"/>
    <cfRule type="duplicateValues" dxfId="1137" priority="357"/>
    <cfRule type="duplicateValues" dxfId="1136" priority="356"/>
    <cfRule type="duplicateValues" dxfId="1135" priority="355"/>
    <cfRule type="duplicateValues" dxfId="1134" priority="354"/>
    <cfRule type="duplicateValues" dxfId="1133" priority="353"/>
    <cfRule type="duplicateValues" dxfId="1132" priority="352"/>
    <cfRule type="duplicateValues" dxfId="1131" priority="351"/>
    <cfRule type="duplicateValues" dxfId="1130" priority="385"/>
    <cfRule type="duplicateValues" dxfId="1129" priority="376"/>
    <cfRule type="duplicateValues" dxfId="1128" priority="350"/>
    <cfRule type="duplicateValues" dxfId="1127" priority="349"/>
    <cfRule type="duplicateValues" dxfId="1126" priority="348"/>
    <cfRule type="duplicateValues" dxfId="1125" priority="378"/>
    <cfRule type="duplicateValues" dxfId="1124" priority="384"/>
    <cfRule type="duplicateValues" dxfId="1123" priority="383"/>
    <cfRule type="duplicateValues" dxfId="1122" priority="382"/>
    <cfRule type="duplicateValues" dxfId="1121" priority="381"/>
    <cfRule type="duplicateValues" dxfId="1120" priority="380"/>
    <cfRule type="duplicateValues" dxfId="1119" priority="379"/>
    <cfRule type="duplicateValues" dxfId="1118" priority="377"/>
    <cfRule type="duplicateValues" dxfId="1117" priority="364"/>
    <cfRule type="duplicateValues" dxfId="1116" priority="375"/>
    <cfRule type="duplicateValues" dxfId="1115" priority="374"/>
    <cfRule type="duplicateValues" dxfId="1114" priority="373"/>
    <cfRule type="duplicateValues" dxfId="1113" priority="372"/>
    <cfRule type="duplicateValues" dxfId="1112" priority="371"/>
    <cfRule type="duplicateValues" dxfId="1111" priority="370"/>
    <cfRule type="duplicateValues" dxfId="1110" priority="369"/>
  </conditionalFormatting>
  <conditionalFormatting sqref="C263:C266 C268:C270">
    <cfRule type="duplicateValues" dxfId="1109" priority="315"/>
    <cfRule type="duplicateValues" dxfId="1108" priority="314"/>
    <cfRule type="duplicateValues" dxfId="1107" priority="325"/>
    <cfRule type="duplicateValues" dxfId="1106" priority="324"/>
    <cfRule type="duplicateValues" dxfId="1105" priority="307"/>
    <cfRule type="duplicateValues" dxfId="1104" priority="308"/>
    <cfRule type="duplicateValues" dxfId="1103" priority="309"/>
    <cfRule type="duplicateValues" dxfId="1102" priority="316"/>
    <cfRule type="duplicateValues" dxfId="1101" priority="313"/>
    <cfRule type="duplicateValues" dxfId="1100" priority="312"/>
  </conditionalFormatting>
  <conditionalFormatting sqref="C263:C266">
    <cfRule type="duplicateValues" dxfId="1099" priority="323"/>
    <cfRule type="duplicateValues" dxfId="1098" priority="322"/>
    <cfRule type="duplicateValues" dxfId="1097" priority="321"/>
    <cfRule type="duplicateValues" dxfId="1096" priority="320"/>
    <cfRule type="duplicateValues" dxfId="1095" priority="343"/>
    <cfRule type="duplicateValues" dxfId="1094" priority="340"/>
    <cfRule type="duplicateValues" dxfId="1093" priority="319"/>
    <cfRule type="duplicateValues" dxfId="1092" priority="318"/>
    <cfRule type="duplicateValues" dxfId="1091" priority="317"/>
    <cfRule type="duplicateValues" dxfId="1090" priority="310"/>
    <cfRule type="duplicateValues" dxfId="1089" priority="306"/>
    <cfRule type="duplicateValues" dxfId="1088" priority="327"/>
    <cfRule type="duplicateValues" dxfId="1087" priority="346"/>
    <cfRule type="duplicateValues" dxfId="1086" priority="345"/>
    <cfRule type="duplicateValues" dxfId="1085" priority="344"/>
    <cfRule type="duplicateValues" dxfId="1084" priority="311"/>
    <cfRule type="duplicateValues" dxfId="1083" priority="342"/>
    <cfRule type="duplicateValues" dxfId="1082" priority="341"/>
    <cfRule type="duplicateValues" dxfId="1081" priority="326"/>
    <cfRule type="duplicateValues" dxfId="1080" priority="339"/>
    <cfRule type="duplicateValues" dxfId="1079" priority="338"/>
    <cfRule type="duplicateValues" dxfId="1078" priority="337"/>
    <cfRule type="duplicateValues" dxfId="1077" priority="336"/>
    <cfRule type="duplicateValues" dxfId="1076" priority="335"/>
    <cfRule type="duplicateValues" dxfId="1075" priority="334"/>
    <cfRule type="duplicateValues" dxfId="1074" priority="333"/>
    <cfRule type="duplicateValues" dxfId="1073" priority="332"/>
    <cfRule type="duplicateValues" dxfId="1072" priority="331"/>
    <cfRule type="duplicateValues" dxfId="1071" priority="330"/>
    <cfRule type="duplicateValues" dxfId="1070" priority="329"/>
    <cfRule type="duplicateValues" dxfId="1069" priority="328"/>
  </conditionalFormatting>
  <conditionalFormatting sqref="C263:C270">
    <cfRule type="duplicateValues" dxfId="1068" priority="254"/>
    <cfRule type="duplicateValues" dxfId="1067" priority="253"/>
    <cfRule type="duplicateValues" dxfId="1066" priority="251"/>
    <cfRule type="duplicateValues" dxfId="1065" priority="250"/>
    <cfRule type="duplicateValues" dxfId="1064" priority="249"/>
    <cfRule type="duplicateValues" dxfId="1063" priority="248"/>
    <cfRule type="duplicateValues" dxfId="1062" priority="247"/>
    <cfRule type="duplicateValues" dxfId="1061" priority="246"/>
    <cfRule type="duplicateValues" dxfId="1060" priority="240"/>
    <cfRule type="duplicateValues" dxfId="1059" priority="241"/>
    <cfRule type="duplicateValues" dxfId="1058" priority="242"/>
    <cfRule type="duplicateValues" dxfId="1057" priority="243"/>
    <cfRule type="duplicateValues" dxfId="1056" priority="244"/>
    <cfRule type="duplicateValues" dxfId="1055" priority="245"/>
    <cfRule type="duplicateValues" dxfId="1054" priority="347"/>
    <cfRule type="duplicateValues" dxfId="1053" priority="239"/>
    <cfRule type="duplicateValues" dxfId="1052" priority="286"/>
    <cfRule type="duplicateValues" dxfId="1051" priority="252"/>
    <cfRule type="duplicateValues" dxfId="1050" priority="285"/>
    <cfRule type="duplicateValues" dxfId="1049" priority="284"/>
    <cfRule type="duplicateValues" dxfId="1048" priority="258"/>
    <cfRule type="duplicateValues" dxfId="1047" priority="283"/>
    <cfRule type="duplicateValues" dxfId="1046" priority="282"/>
    <cfRule type="duplicateValues" dxfId="1045" priority="281"/>
    <cfRule type="duplicateValues" dxfId="1044" priority="280"/>
    <cfRule type="duplicateValues" dxfId="1043" priority="279"/>
    <cfRule type="duplicateValues" dxfId="1042" priority="278"/>
    <cfRule type="duplicateValues" dxfId="1041" priority="277"/>
    <cfRule type="duplicateValues" dxfId="1040" priority="276"/>
    <cfRule type="duplicateValues" dxfId="1039" priority="275"/>
    <cfRule type="duplicateValues" dxfId="1038" priority="274"/>
    <cfRule type="duplicateValues" dxfId="1037" priority="273"/>
    <cfRule type="duplicateValues" dxfId="1036" priority="272"/>
    <cfRule type="duplicateValues" dxfId="1035" priority="271"/>
    <cfRule type="duplicateValues" dxfId="1034" priority="270"/>
    <cfRule type="duplicateValues" dxfId="1033" priority="269"/>
    <cfRule type="duplicateValues" dxfId="1032" priority="268"/>
    <cfRule type="duplicateValues" dxfId="1031" priority="267"/>
    <cfRule type="duplicateValues" dxfId="1030" priority="266"/>
    <cfRule type="duplicateValues" dxfId="1029" priority="265"/>
    <cfRule type="duplicateValues" dxfId="1028" priority="264"/>
    <cfRule type="duplicateValues" dxfId="1027" priority="263"/>
    <cfRule type="duplicateValues" dxfId="1026" priority="262"/>
    <cfRule type="duplicateValues" dxfId="1025" priority="261"/>
    <cfRule type="duplicateValues" dxfId="1024" priority="260"/>
    <cfRule type="duplicateValues" dxfId="1023" priority="259"/>
    <cfRule type="duplicateValues" dxfId="1022" priority="257"/>
    <cfRule type="duplicateValues" dxfId="1021" priority="256"/>
    <cfRule type="duplicateValues" dxfId="1020" priority="255"/>
  </conditionalFormatting>
  <conditionalFormatting sqref="C267">
    <cfRule type="duplicateValues" dxfId="1019" priority="289"/>
    <cfRule type="duplicateValues" dxfId="1018" priority="304"/>
    <cfRule type="duplicateValues" dxfId="1017" priority="294"/>
    <cfRule type="duplicateValues" dxfId="1016" priority="305"/>
    <cfRule type="duplicateValues" dxfId="1015" priority="290"/>
    <cfRule type="duplicateValues" dxfId="1014" priority="291"/>
    <cfRule type="duplicateValues" dxfId="1013" priority="288"/>
    <cfRule type="duplicateValues" dxfId="1012" priority="293"/>
    <cfRule type="duplicateValues" dxfId="1011" priority="292"/>
    <cfRule type="duplicateValues" dxfId="1010" priority="300"/>
    <cfRule type="duplicateValues" dxfId="1009" priority="303"/>
    <cfRule type="duplicateValues" dxfId="1008" priority="302"/>
    <cfRule type="duplicateValues" dxfId="1007" priority="301"/>
    <cfRule type="duplicateValues" dxfId="1006" priority="299"/>
    <cfRule type="duplicateValues" dxfId="1005" priority="298"/>
    <cfRule type="duplicateValues" dxfId="1004" priority="297"/>
    <cfRule type="duplicateValues" dxfId="1003" priority="296"/>
    <cfRule type="duplicateValues" dxfId="1002" priority="295"/>
    <cfRule type="duplicateValues" dxfId="1001" priority="287"/>
  </conditionalFormatting>
  <conditionalFormatting sqref="C271">
    <cfRule type="duplicateValues" dxfId="1000" priority="211"/>
    <cfRule type="duplicateValues" dxfId="999" priority="185"/>
    <cfRule type="duplicateValues" dxfId="998" priority="238"/>
    <cfRule type="duplicateValues" dxfId="997" priority="237"/>
    <cfRule type="duplicateValues" dxfId="996" priority="236"/>
    <cfRule type="duplicateValues" dxfId="995" priority="235"/>
    <cfRule type="duplicateValues" dxfId="994" priority="234"/>
    <cfRule type="duplicateValues" dxfId="993" priority="233"/>
    <cfRule type="duplicateValues" dxfId="992" priority="232"/>
    <cfRule type="duplicateValues" dxfId="991" priority="231"/>
    <cfRule type="duplicateValues" dxfId="990" priority="230"/>
    <cfRule type="duplicateValues" dxfId="989" priority="229"/>
    <cfRule type="duplicateValues" dxfId="988" priority="228"/>
    <cfRule type="duplicateValues" dxfId="987" priority="226"/>
    <cfRule type="duplicateValues" dxfId="986" priority="225"/>
    <cfRule type="duplicateValues" dxfId="985" priority="224"/>
    <cfRule type="duplicateValues" dxfId="984" priority="223"/>
    <cfRule type="duplicateValues" dxfId="983" priority="222"/>
    <cfRule type="duplicateValues" dxfId="982" priority="221"/>
    <cfRule type="duplicateValues" dxfId="981" priority="220"/>
    <cfRule type="duplicateValues" dxfId="980" priority="212"/>
    <cfRule type="duplicateValues" dxfId="979" priority="213"/>
    <cfRule type="duplicateValues" dxfId="978" priority="214"/>
    <cfRule type="duplicateValues" dxfId="977" priority="227"/>
    <cfRule type="duplicateValues" dxfId="976" priority="215"/>
    <cfRule type="duplicateValues" dxfId="975" priority="216"/>
    <cfRule type="duplicateValues" dxfId="974" priority="217"/>
    <cfRule type="duplicateValues" dxfId="973" priority="218"/>
    <cfRule type="duplicateValues" dxfId="972" priority="219"/>
    <cfRule type="duplicateValues" dxfId="971" priority="186"/>
    <cfRule type="duplicateValues" dxfId="970" priority="209"/>
    <cfRule type="duplicateValues" dxfId="969" priority="208"/>
    <cfRule type="duplicateValues" dxfId="968" priority="207"/>
    <cfRule type="duplicateValues" dxfId="967" priority="206"/>
    <cfRule type="duplicateValues" dxfId="966" priority="205"/>
    <cfRule type="duplicateValues" dxfId="965" priority="204"/>
    <cfRule type="duplicateValues" dxfId="964" priority="203"/>
    <cfRule type="duplicateValues" dxfId="963" priority="202"/>
    <cfRule type="duplicateValues" dxfId="962" priority="201"/>
    <cfRule type="duplicateValues" dxfId="961" priority="200"/>
    <cfRule type="duplicateValues" dxfId="960" priority="199"/>
    <cfRule type="duplicateValues" dxfId="959" priority="198"/>
    <cfRule type="duplicateValues" dxfId="958" priority="197"/>
    <cfRule type="duplicateValues" dxfId="957" priority="196"/>
    <cfRule type="duplicateValues" dxfId="956" priority="195"/>
    <cfRule type="duplicateValues" dxfId="955" priority="194"/>
    <cfRule type="duplicateValues" dxfId="954" priority="193"/>
    <cfRule type="duplicateValues" dxfId="953" priority="192"/>
    <cfRule type="duplicateValues" dxfId="952" priority="191"/>
    <cfRule type="duplicateValues" dxfId="951" priority="190"/>
    <cfRule type="duplicateValues" dxfId="950" priority="189"/>
    <cfRule type="duplicateValues" dxfId="949" priority="188"/>
    <cfRule type="duplicateValues" dxfId="948" priority="187"/>
    <cfRule type="duplicateValues" dxfId="947" priority="210"/>
  </conditionalFormatting>
  <conditionalFormatting sqref="C272:C273">
    <cfRule type="duplicateValues" dxfId="946" priority="181"/>
    <cfRule type="duplicateValues" dxfId="945" priority="182"/>
    <cfRule type="duplicateValues" dxfId="944" priority="183"/>
    <cfRule type="duplicateValues" dxfId="943" priority="178"/>
    <cfRule type="duplicateValues" dxfId="942" priority="179"/>
    <cfRule type="duplicateValues" dxfId="941" priority="180"/>
  </conditionalFormatting>
  <conditionalFormatting sqref="C272:C279">
    <cfRule type="duplicateValues" dxfId="940" priority="157"/>
    <cfRule type="duplicateValues" dxfId="939" priority="156"/>
    <cfRule type="duplicateValues" dxfId="938" priority="155"/>
    <cfRule type="duplicateValues" dxfId="937" priority="154"/>
    <cfRule type="duplicateValues" dxfId="936" priority="153"/>
    <cfRule type="duplicateValues" dxfId="935" priority="152"/>
    <cfRule type="duplicateValues" dxfId="934" priority="151"/>
    <cfRule type="duplicateValues" dxfId="933" priority="150"/>
    <cfRule type="duplicateValues" dxfId="932" priority="149"/>
    <cfRule type="duplicateValues" dxfId="931" priority="148"/>
    <cfRule type="duplicateValues" dxfId="930" priority="147"/>
    <cfRule type="duplicateValues" dxfId="929" priority="146"/>
    <cfRule type="duplicateValues" dxfId="928" priority="145"/>
    <cfRule type="duplicateValues" dxfId="927" priority="127"/>
    <cfRule type="duplicateValues" dxfId="926" priority="144"/>
    <cfRule type="duplicateValues" dxfId="925" priority="143"/>
    <cfRule type="duplicateValues" dxfId="924" priority="142"/>
    <cfRule type="duplicateValues" dxfId="923" priority="141"/>
    <cfRule type="duplicateValues" dxfId="922" priority="140"/>
    <cfRule type="duplicateValues" dxfId="921" priority="139"/>
    <cfRule type="duplicateValues" dxfId="920" priority="138"/>
    <cfRule type="duplicateValues" dxfId="919" priority="137"/>
    <cfRule type="duplicateValues" dxfId="918" priority="136"/>
    <cfRule type="duplicateValues" dxfId="917" priority="135"/>
    <cfRule type="duplicateValues" dxfId="916" priority="134"/>
    <cfRule type="duplicateValues" dxfId="915" priority="133"/>
    <cfRule type="duplicateValues" dxfId="914" priority="132"/>
    <cfRule type="duplicateValues" dxfId="913" priority="131"/>
    <cfRule type="duplicateValues" dxfId="912" priority="130"/>
    <cfRule type="duplicateValues" dxfId="911" priority="129"/>
    <cfRule type="duplicateValues" dxfId="910" priority="128"/>
    <cfRule type="duplicateValues" dxfId="909" priority="126"/>
    <cfRule type="duplicateValues" dxfId="908" priority="125"/>
    <cfRule type="duplicateValues" dxfId="907" priority="124"/>
    <cfRule type="duplicateValues" dxfId="906" priority="123"/>
    <cfRule type="duplicateValues" dxfId="905" priority="184"/>
    <cfRule type="duplicateValues" dxfId="904" priority="169"/>
    <cfRule type="duplicateValues" dxfId="903" priority="168"/>
    <cfRule type="duplicateValues" dxfId="902" priority="167"/>
    <cfRule type="duplicateValues" dxfId="901" priority="166"/>
    <cfRule type="duplicateValues" dxfId="900" priority="165"/>
    <cfRule type="duplicateValues" dxfId="899" priority="164"/>
    <cfRule type="duplicateValues" dxfId="898" priority="163"/>
    <cfRule type="duplicateValues" dxfId="897" priority="162"/>
    <cfRule type="duplicateValues" dxfId="896" priority="161"/>
    <cfRule type="duplicateValues" dxfId="895" priority="160"/>
    <cfRule type="duplicateValues" dxfId="894" priority="159"/>
    <cfRule type="duplicateValues" dxfId="893" priority="158"/>
  </conditionalFormatting>
  <conditionalFormatting sqref="C275">
    <cfRule type="duplicateValues" dxfId="892" priority="171"/>
    <cfRule type="duplicateValues" dxfId="891" priority="172"/>
    <cfRule type="duplicateValues" dxfId="890" priority="173"/>
    <cfRule type="duplicateValues" dxfId="889" priority="170"/>
  </conditionalFormatting>
  <conditionalFormatting sqref="C276:C279 C274">
    <cfRule type="duplicateValues" dxfId="888" priority="174"/>
    <cfRule type="duplicateValues" dxfId="887" priority="175"/>
    <cfRule type="duplicateValues" dxfId="886" priority="176"/>
    <cfRule type="duplicateValues" dxfId="885" priority="177"/>
  </conditionalFormatting>
  <conditionalFormatting sqref="C387:C390 C1:C10 C830:C1048576">
    <cfRule type="duplicateValues" dxfId="884" priority="1622"/>
  </conditionalFormatting>
  <conditionalFormatting sqref="C387:C390">
    <cfRule type="duplicateValues" dxfId="883" priority="1700"/>
  </conditionalFormatting>
  <conditionalFormatting sqref="C388:C390 C1:C10 C830:C1048576">
    <cfRule type="duplicateValues" dxfId="882" priority="1631"/>
    <cfRule type="duplicateValues" dxfId="881" priority="1630"/>
    <cfRule type="duplicateValues" dxfId="880" priority="1629"/>
    <cfRule type="duplicateValues" dxfId="879" priority="1628"/>
    <cfRule type="duplicateValues" dxfId="878" priority="1627"/>
    <cfRule type="duplicateValues" dxfId="877" priority="1625"/>
  </conditionalFormatting>
  <conditionalFormatting sqref="C388:C390 C830:C1048576">
    <cfRule type="duplicateValues" dxfId="876" priority="1624"/>
    <cfRule type="duplicateValues" dxfId="875" priority="1623"/>
  </conditionalFormatting>
  <conditionalFormatting sqref="C401:C410">
    <cfRule type="duplicateValues" dxfId="874" priority="94"/>
    <cfRule type="duplicateValues" dxfId="873" priority="93"/>
    <cfRule type="duplicateValues" dxfId="872" priority="92"/>
    <cfRule type="duplicateValues" dxfId="871" priority="91"/>
    <cfRule type="duplicateValues" dxfId="870" priority="90"/>
    <cfRule type="duplicateValues" dxfId="869" priority="89"/>
    <cfRule type="duplicateValues" dxfId="868" priority="88"/>
    <cfRule type="duplicateValues" dxfId="867" priority="87"/>
    <cfRule type="duplicateValues" dxfId="866" priority="86"/>
    <cfRule type="duplicateValues" dxfId="865" priority="97"/>
    <cfRule type="duplicateValues" dxfId="864" priority="103"/>
    <cfRule type="duplicateValues" dxfId="863" priority="102"/>
    <cfRule type="duplicateValues" dxfId="862" priority="101"/>
    <cfRule type="duplicateValues" dxfId="861" priority="100"/>
    <cfRule type="duplicateValues" dxfId="860" priority="99"/>
    <cfRule type="duplicateValues" dxfId="859" priority="98"/>
    <cfRule type="duplicateValues" dxfId="858" priority="96"/>
    <cfRule type="duplicateValues" dxfId="857" priority="95"/>
    <cfRule type="duplicateValues" dxfId="856" priority="80"/>
    <cfRule type="duplicateValues" dxfId="855" priority="81"/>
    <cfRule type="duplicateValues" dxfId="854" priority="82"/>
    <cfRule type="duplicateValues" dxfId="853" priority="83"/>
    <cfRule type="duplicateValues" dxfId="852" priority="84"/>
    <cfRule type="duplicateValues" dxfId="851" priority="85"/>
    <cfRule type="duplicateValues" dxfId="850" priority="116"/>
    <cfRule type="duplicateValues" dxfId="849" priority="115"/>
    <cfRule type="duplicateValues" dxfId="848" priority="114"/>
    <cfRule type="duplicateValues" dxfId="847" priority="113"/>
    <cfRule type="duplicateValues" dxfId="846" priority="112"/>
    <cfRule type="duplicateValues" dxfId="845" priority="111"/>
    <cfRule type="duplicateValues" dxfId="844" priority="110"/>
    <cfRule type="duplicateValues" dxfId="843" priority="109"/>
    <cfRule type="duplicateValues" dxfId="842" priority="108"/>
    <cfRule type="duplicateValues" dxfId="841" priority="107"/>
    <cfRule type="duplicateValues" dxfId="840" priority="106"/>
    <cfRule type="duplicateValues" dxfId="839" priority="105"/>
    <cfRule type="duplicateValues" dxfId="838" priority="104"/>
  </conditionalFormatting>
  <conditionalFormatting sqref="C414:C477">
    <cfRule type="duplicateValues" dxfId="837" priority="55"/>
    <cfRule type="duplicateValues" dxfId="836" priority="54"/>
    <cfRule type="duplicateValues" dxfId="835" priority="53"/>
    <cfRule type="duplicateValues" dxfId="834" priority="52"/>
    <cfRule type="duplicateValues" dxfId="833" priority="51"/>
    <cfRule type="duplicateValues" dxfId="832" priority="50"/>
    <cfRule type="duplicateValues" dxfId="831" priority="49"/>
    <cfRule type="duplicateValues" dxfId="830" priority="48"/>
    <cfRule type="duplicateValues" dxfId="829" priority="47"/>
    <cfRule type="duplicateValues" dxfId="828" priority="46"/>
    <cfRule type="duplicateValues" dxfId="827" priority="45"/>
    <cfRule type="duplicateValues" dxfId="826" priority="57"/>
    <cfRule type="duplicateValues" dxfId="825" priority="44"/>
    <cfRule type="duplicateValues" dxfId="824" priority="43"/>
    <cfRule type="duplicateValues" dxfId="823" priority="42"/>
    <cfRule type="duplicateValues" dxfId="822" priority="56"/>
    <cfRule type="duplicateValues" dxfId="821" priority="65"/>
    <cfRule type="duplicateValues" dxfId="820" priority="74"/>
    <cfRule type="duplicateValues" dxfId="819" priority="78"/>
    <cfRule type="duplicateValues" dxfId="818" priority="77"/>
    <cfRule type="duplicateValues" dxfId="817" priority="76"/>
    <cfRule type="duplicateValues" dxfId="816" priority="75"/>
    <cfRule type="duplicateValues" dxfId="815" priority="73"/>
    <cfRule type="duplicateValues" dxfId="814" priority="72"/>
    <cfRule type="duplicateValues" dxfId="813" priority="71"/>
    <cfRule type="duplicateValues" dxfId="812" priority="70"/>
    <cfRule type="duplicateValues" dxfId="811" priority="69"/>
    <cfRule type="duplicateValues" dxfId="810" priority="68"/>
    <cfRule type="duplicateValues" dxfId="809" priority="67"/>
    <cfRule type="duplicateValues" dxfId="808" priority="66"/>
    <cfRule type="duplicateValues" dxfId="807" priority="64"/>
    <cfRule type="duplicateValues" dxfId="806" priority="63"/>
    <cfRule type="duplicateValues" dxfId="805" priority="62"/>
    <cfRule type="duplicateValues" dxfId="804" priority="61"/>
    <cfRule type="duplicateValues" dxfId="803" priority="60"/>
    <cfRule type="duplicateValues" dxfId="802" priority="59"/>
    <cfRule type="duplicateValues" dxfId="801" priority="58"/>
  </conditionalFormatting>
  <conditionalFormatting sqref="C488:C549">
    <cfRule type="duplicateValues" dxfId="800" priority="20"/>
    <cfRule type="duplicateValues" dxfId="799" priority="40"/>
    <cfRule type="duplicateValues" dxfId="798" priority="39"/>
    <cfRule type="duplicateValues" dxfId="797" priority="35"/>
    <cfRule type="duplicateValues" dxfId="796" priority="36"/>
    <cfRule type="duplicateValues" dxfId="795" priority="38"/>
    <cfRule type="duplicateValues" dxfId="794" priority="19"/>
    <cfRule type="duplicateValues" dxfId="793" priority="10"/>
    <cfRule type="duplicateValues" dxfId="792" priority="8"/>
    <cfRule type="duplicateValues" dxfId="791" priority="7"/>
    <cfRule type="duplicateValues" dxfId="790" priority="2"/>
    <cfRule type="duplicateValues" dxfId="789" priority="6"/>
    <cfRule type="duplicateValues" dxfId="788" priority="5"/>
    <cfRule type="duplicateValues" dxfId="787" priority="21"/>
    <cfRule type="duplicateValues" dxfId="786" priority="22"/>
    <cfRule type="duplicateValues" dxfId="785" priority="23"/>
    <cfRule type="duplicateValues" dxfId="784" priority="4"/>
    <cfRule type="duplicateValues" dxfId="783" priority="24"/>
    <cfRule type="duplicateValues" dxfId="782" priority="25"/>
    <cfRule type="duplicateValues" dxfId="781" priority="26"/>
    <cfRule type="duplicateValues" dxfId="780" priority="27"/>
    <cfRule type="duplicateValues" dxfId="779" priority="28"/>
    <cfRule type="duplicateValues" dxfId="778" priority="3"/>
    <cfRule type="duplicateValues" dxfId="777" priority="29"/>
    <cfRule type="duplicateValues" dxfId="776" priority="17"/>
    <cfRule type="duplicateValues" dxfId="775" priority="18"/>
    <cfRule type="duplicateValues" dxfId="774" priority="9"/>
    <cfRule type="duplicateValues" dxfId="773" priority="16"/>
    <cfRule type="duplicateValues" dxfId="772" priority="15"/>
    <cfRule type="duplicateValues" dxfId="771" priority="14"/>
    <cfRule type="duplicateValues" dxfId="770" priority="13"/>
    <cfRule type="duplicateValues" dxfId="769" priority="37"/>
    <cfRule type="duplicateValues" dxfId="768" priority="12"/>
    <cfRule type="duplicateValues" dxfId="767" priority="11"/>
    <cfRule type="duplicateValues" dxfId="766" priority="30"/>
    <cfRule type="duplicateValues" dxfId="765" priority="31"/>
    <cfRule type="duplicateValues" dxfId="764" priority="32"/>
    <cfRule type="duplicateValues" dxfId="763" priority="33"/>
    <cfRule type="duplicateValues" dxfId="762" priority="34"/>
  </conditionalFormatting>
  <conditionalFormatting sqref="C821:C1048576 C1:C393">
    <cfRule type="duplicateValues" dxfId="761" priority="120"/>
  </conditionalFormatting>
  <conditionalFormatting sqref="C821:C1048576 C387:C393 C1:C173">
    <cfRule type="duplicateValues" dxfId="760" priority="594"/>
  </conditionalFormatting>
  <conditionalFormatting sqref="C821:C1048576 C387:C393 C1:C242">
    <cfRule type="duplicateValues" dxfId="759" priority="460"/>
  </conditionalFormatting>
  <conditionalFormatting sqref="C821:C1048576 C387:C393 C1:C299">
    <cfRule type="duplicateValues" dxfId="758" priority="122"/>
  </conditionalFormatting>
  <conditionalFormatting sqref="C830:C1048576 C1:C10 C388:C390">
    <cfRule type="duplicateValues" dxfId="757" priority="1626"/>
  </conditionalFormatting>
  <conditionalFormatting sqref="C830:C1048576 C1:C108 C387:C390">
    <cfRule type="duplicateValues" dxfId="756" priority="790"/>
  </conditionalFormatting>
  <conditionalFormatting sqref="C830:C1048576 C387:C390 C1:C108">
    <cfRule type="duplicateValues" dxfId="755" priority="1118"/>
  </conditionalFormatting>
  <conditionalFormatting sqref="C830:C1048576">
    <cfRule type="duplicateValues" dxfId="754" priority="1435"/>
    <cfRule type="duplicateValues" dxfId="753" priority="1157"/>
    <cfRule type="duplicateValues" dxfId="752" priority="1119"/>
    <cfRule type="duplicateValues" dxfId="751" priority="1029"/>
    <cfRule type="duplicateValues" dxfId="750" priority="791"/>
    <cfRule type="duplicateValues" dxfId="749" priority="150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T5</vt:lpstr>
      <vt:lpstr>T4</vt:lpstr>
      <vt:lpstr>t3</vt:lpstr>
      <vt:lpstr>T2</vt:lpstr>
      <vt:lpstr>t1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2026-05-05T04:07:00Z</cp:lastPrinted>
  <dcterms:created xsi:type="dcterms:W3CDTF">2025-05-15T08:28:47Z</dcterms:created>
  <dcterms:modified xsi:type="dcterms:W3CDTF">2026-06-16T02:47:28Z</dcterms:modified>
</cp:coreProperties>
</file>