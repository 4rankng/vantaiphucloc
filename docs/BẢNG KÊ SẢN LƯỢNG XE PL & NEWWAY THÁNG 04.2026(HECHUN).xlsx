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2026\THÁNG 4\ĐNTT\VẬN CHUYỂN T4.26\"/>
    </mc:Choice>
  </mc:AlternateContent>
  <xr:revisionPtr revIDLastSave="0" documentId="13_ncr:1_{44E8A407-5F16-4EC2-8561-544BD64CD99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Tháng 4" sheetId="1" r:id="rId1"/>
    <sheet name="08.04" sheetId="4" r:id="rId2"/>
    <sheet name="10.04" sheetId="2" r:id="rId3"/>
    <sheet name="20.04" sheetId="3" r:id="rId4"/>
    <sheet name="Sheet5" sheetId="6" r:id="rId5"/>
    <sheet name="HĐơn" sheetId="5" r:id="rId6"/>
  </sheets>
  <definedNames>
    <definedName name="_xlnm._FilterDatabase" localSheetId="1" hidden="1">'08.04'!$A$5:$L$31</definedName>
    <definedName name="_xlnm._FilterDatabase" localSheetId="2" hidden="1">'10.04'!$A$5:$L$81</definedName>
    <definedName name="_xlnm._FilterDatabase" localSheetId="3" hidden="1">'20.04'!$A$5:$L$46</definedName>
    <definedName name="_xlnm._FilterDatabase" localSheetId="0" hidden="1">'Tháng 4'!$A$5:$L$136</definedName>
    <definedName name="_xlnm.Print_Titles" localSheetId="1">'08.04'!$5:$7</definedName>
    <definedName name="_xlnm.Print_Titles" localSheetId="2">'10.04'!$5:$7</definedName>
    <definedName name="_xlnm.Print_Titles" localSheetId="3">'20.04'!$5:$7</definedName>
    <definedName name="_xlnm.Print_Titles" localSheetId="0">'Tháng 4'!$5:$7</definedName>
  </definedNames>
  <calcPr calcId="191029"/>
  <pivotCaches>
    <pivotCache cacheId="3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6" l="1"/>
  <c r="G10" i="6"/>
  <c r="G11" i="6"/>
  <c r="G5" i="6"/>
  <c r="G6" i="6"/>
  <c r="G7" i="6"/>
  <c r="G8" i="6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8" i="3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8" i="2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8" i="4"/>
  <c r="H28" i="4"/>
  <c r="G28" i="4"/>
  <c r="F28" i="4"/>
  <c r="E28" i="4"/>
  <c r="I28" i="4" s="1"/>
  <c r="Q27" i="4"/>
  <c r="P27" i="4"/>
  <c r="O27" i="4"/>
  <c r="L27" i="4"/>
  <c r="Q26" i="4"/>
  <c r="P26" i="4"/>
  <c r="O26" i="4"/>
  <c r="L26" i="4"/>
  <c r="Q25" i="4"/>
  <c r="P25" i="4"/>
  <c r="O25" i="4"/>
  <c r="L25" i="4"/>
  <c r="Q24" i="4"/>
  <c r="P24" i="4"/>
  <c r="O24" i="4"/>
  <c r="L24" i="4"/>
  <c r="Q23" i="4"/>
  <c r="P23" i="4"/>
  <c r="O23" i="4"/>
  <c r="L23" i="4"/>
  <c r="Q22" i="4"/>
  <c r="P22" i="4"/>
  <c r="O22" i="4"/>
  <c r="L22" i="4"/>
  <c r="Q21" i="4"/>
  <c r="P21" i="4"/>
  <c r="O21" i="4"/>
  <c r="L21" i="4"/>
  <c r="Q20" i="4"/>
  <c r="P20" i="4"/>
  <c r="O20" i="4"/>
  <c r="L20" i="4"/>
  <c r="Q19" i="4"/>
  <c r="P19" i="4"/>
  <c r="O19" i="4"/>
  <c r="L19" i="4"/>
  <c r="Q18" i="4"/>
  <c r="P18" i="4"/>
  <c r="O18" i="4"/>
  <c r="L18" i="4"/>
  <c r="Q17" i="4"/>
  <c r="P17" i="4"/>
  <c r="O17" i="4"/>
  <c r="L17" i="4"/>
  <c r="Q16" i="4"/>
  <c r="P16" i="4"/>
  <c r="O16" i="4"/>
  <c r="L16" i="4"/>
  <c r="Q15" i="4"/>
  <c r="P15" i="4"/>
  <c r="O15" i="4"/>
  <c r="L15" i="4"/>
  <c r="Q14" i="4"/>
  <c r="P14" i="4"/>
  <c r="O14" i="4"/>
  <c r="L14" i="4"/>
  <c r="Q13" i="4"/>
  <c r="P13" i="4"/>
  <c r="O13" i="4"/>
  <c r="L13" i="4"/>
  <c r="Q12" i="4"/>
  <c r="P12" i="4"/>
  <c r="O12" i="4"/>
  <c r="L12" i="4"/>
  <c r="Q11" i="4"/>
  <c r="P11" i="4"/>
  <c r="O11" i="4"/>
  <c r="L11" i="4"/>
  <c r="Q10" i="4"/>
  <c r="P10" i="4"/>
  <c r="O10" i="4"/>
  <c r="L10" i="4"/>
  <c r="Q9" i="4"/>
  <c r="P9" i="4"/>
  <c r="O9" i="4"/>
  <c r="L9" i="4"/>
  <c r="Q8" i="4"/>
  <c r="P8" i="4"/>
  <c r="O8" i="4"/>
  <c r="L8" i="4"/>
  <c r="L28" i="4" s="1"/>
  <c r="H43" i="3"/>
  <c r="G43" i="3"/>
  <c r="F43" i="3"/>
  <c r="E43" i="3"/>
  <c r="I43" i="3" s="1"/>
  <c r="Q42" i="3"/>
  <c r="P42" i="3"/>
  <c r="O42" i="3"/>
  <c r="L42" i="3"/>
  <c r="Q41" i="3"/>
  <c r="P41" i="3"/>
  <c r="O41" i="3"/>
  <c r="L41" i="3"/>
  <c r="Q40" i="3"/>
  <c r="P40" i="3"/>
  <c r="O40" i="3"/>
  <c r="L40" i="3"/>
  <c r="Q39" i="3"/>
  <c r="P39" i="3"/>
  <c r="O39" i="3"/>
  <c r="L39" i="3"/>
  <c r="Q38" i="3"/>
  <c r="P38" i="3"/>
  <c r="O38" i="3"/>
  <c r="L38" i="3"/>
  <c r="Q37" i="3"/>
  <c r="P37" i="3"/>
  <c r="O37" i="3"/>
  <c r="L37" i="3"/>
  <c r="Q36" i="3"/>
  <c r="P36" i="3"/>
  <c r="O36" i="3"/>
  <c r="L36" i="3"/>
  <c r="Q35" i="3"/>
  <c r="P35" i="3"/>
  <c r="O35" i="3"/>
  <c r="L35" i="3"/>
  <c r="Q34" i="3"/>
  <c r="P34" i="3"/>
  <c r="O34" i="3"/>
  <c r="L34" i="3"/>
  <c r="Q33" i="3"/>
  <c r="P33" i="3"/>
  <c r="O33" i="3"/>
  <c r="L33" i="3"/>
  <c r="Q32" i="3"/>
  <c r="P32" i="3"/>
  <c r="O32" i="3"/>
  <c r="L32" i="3"/>
  <c r="Q31" i="3"/>
  <c r="P31" i="3"/>
  <c r="O31" i="3"/>
  <c r="L31" i="3"/>
  <c r="Q30" i="3"/>
  <c r="P30" i="3"/>
  <c r="O30" i="3"/>
  <c r="L30" i="3"/>
  <c r="Q29" i="3"/>
  <c r="P29" i="3"/>
  <c r="O29" i="3"/>
  <c r="L29" i="3"/>
  <c r="Q28" i="3"/>
  <c r="P28" i="3"/>
  <c r="O28" i="3"/>
  <c r="L28" i="3"/>
  <c r="Q27" i="3"/>
  <c r="P27" i="3"/>
  <c r="O27" i="3"/>
  <c r="L27" i="3"/>
  <c r="Q26" i="3"/>
  <c r="P26" i="3"/>
  <c r="O26" i="3"/>
  <c r="L26" i="3"/>
  <c r="Q25" i="3"/>
  <c r="P25" i="3"/>
  <c r="O25" i="3"/>
  <c r="L25" i="3"/>
  <c r="Q24" i="3"/>
  <c r="P24" i="3"/>
  <c r="O24" i="3"/>
  <c r="L24" i="3"/>
  <c r="Q23" i="3"/>
  <c r="P23" i="3"/>
  <c r="O23" i="3"/>
  <c r="L23" i="3"/>
  <c r="Q22" i="3"/>
  <c r="P22" i="3"/>
  <c r="O22" i="3"/>
  <c r="L22" i="3"/>
  <c r="Q21" i="3"/>
  <c r="P21" i="3"/>
  <c r="O21" i="3"/>
  <c r="L21" i="3"/>
  <c r="Q20" i="3"/>
  <c r="P20" i="3"/>
  <c r="O20" i="3"/>
  <c r="L20" i="3"/>
  <c r="Q19" i="3"/>
  <c r="P19" i="3"/>
  <c r="O19" i="3"/>
  <c r="L19" i="3"/>
  <c r="Q18" i="3"/>
  <c r="P18" i="3"/>
  <c r="O18" i="3"/>
  <c r="L18" i="3"/>
  <c r="Q17" i="3"/>
  <c r="P17" i="3"/>
  <c r="O17" i="3"/>
  <c r="L17" i="3"/>
  <c r="Q16" i="3"/>
  <c r="P16" i="3"/>
  <c r="O16" i="3"/>
  <c r="L16" i="3"/>
  <c r="L43" i="3" s="1"/>
  <c r="Q15" i="3"/>
  <c r="P15" i="3"/>
  <c r="O15" i="3"/>
  <c r="L15" i="3"/>
  <c r="Q14" i="3"/>
  <c r="P14" i="3"/>
  <c r="O14" i="3"/>
  <c r="L14" i="3"/>
  <c r="Q13" i="3"/>
  <c r="P13" i="3"/>
  <c r="O13" i="3"/>
  <c r="L13" i="3"/>
  <c r="Q12" i="3"/>
  <c r="P12" i="3"/>
  <c r="O12" i="3"/>
  <c r="L12" i="3"/>
  <c r="Q11" i="3"/>
  <c r="P11" i="3"/>
  <c r="O11" i="3"/>
  <c r="L11" i="3"/>
  <c r="Q10" i="3"/>
  <c r="P10" i="3"/>
  <c r="O10" i="3"/>
  <c r="L10" i="3"/>
  <c r="Q9" i="3"/>
  <c r="P9" i="3"/>
  <c r="O9" i="3"/>
  <c r="L9" i="3"/>
  <c r="Q8" i="3"/>
  <c r="P8" i="3"/>
  <c r="O8" i="3"/>
  <c r="L8" i="3"/>
  <c r="H78" i="2"/>
  <c r="G78" i="2"/>
  <c r="F78" i="2"/>
  <c r="E78" i="2"/>
  <c r="Q77" i="2"/>
  <c r="P77" i="2"/>
  <c r="O77" i="2"/>
  <c r="L77" i="2"/>
  <c r="Q76" i="2"/>
  <c r="P76" i="2"/>
  <c r="O76" i="2"/>
  <c r="L76" i="2"/>
  <c r="Q75" i="2"/>
  <c r="P75" i="2"/>
  <c r="O75" i="2"/>
  <c r="L75" i="2"/>
  <c r="Q74" i="2"/>
  <c r="P74" i="2"/>
  <c r="O74" i="2"/>
  <c r="L74" i="2"/>
  <c r="Q73" i="2"/>
  <c r="P73" i="2"/>
  <c r="O73" i="2"/>
  <c r="L73" i="2"/>
  <c r="Q72" i="2"/>
  <c r="P72" i="2"/>
  <c r="O72" i="2"/>
  <c r="L72" i="2"/>
  <c r="Q71" i="2"/>
  <c r="P71" i="2"/>
  <c r="O71" i="2"/>
  <c r="L71" i="2"/>
  <c r="Q70" i="2"/>
  <c r="P70" i="2"/>
  <c r="O70" i="2"/>
  <c r="L70" i="2"/>
  <c r="Q69" i="2"/>
  <c r="P69" i="2"/>
  <c r="O69" i="2"/>
  <c r="L69" i="2"/>
  <c r="Q68" i="2"/>
  <c r="P68" i="2"/>
  <c r="O68" i="2"/>
  <c r="L68" i="2"/>
  <c r="Q67" i="2"/>
  <c r="P67" i="2"/>
  <c r="O67" i="2"/>
  <c r="L67" i="2"/>
  <c r="Q66" i="2"/>
  <c r="P66" i="2"/>
  <c r="O66" i="2"/>
  <c r="L66" i="2"/>
  <c r="Q65" i="2"/>
  <c r="P65" i="2"/>
  <c r="O65" i="2"/>
  <c r="L65" i="2"/>
  <c r="Q64" i="2"/>
  <c r="P64" i="2"/>
  <c r="O64" i="2"/>
  <c r="L64" i="2"/>
  <c r="Q63" i="2"/>
  <c r="P63" i="2"/>
  <c r="O63" i="2"/>
  <c r="L63" i="2"/>
  <c r="Q62" i="2"/>
  <c r="P62" i="2"/>
  <c r="O62" i="2"/>
  <c r="L62" i="2"/>
  <c r="Q61" i="2"/>
  <c r="P61" i="2"/>
  <c r="O61" i="2"/>
  <c r="L61" i="2"/>
  <c r="Q60" i="2"/>
  <c r="P60" i="2"/>
  <c r="O60" i="2"/>
  <c r="L60" i="2"/>
  <c r="Q59" i="2"/>
  <c r="P59" i="2"/>
  <c r="O59" i="2"/>
  <c r="L59" i="2"/>
  <c r="Q58" i="2"/>
  <c r="P58" i="2"/>
  <c r="O58" i="2"/>
  <c r="L58" i="2"/>
  <c r="Q57" i="2"/>
  <c r="P57" i="2"/>
  <c r="O57" i="2"/>
  <c r="L57" i="2"/>
  <c r="Q56" i="2"/>
  <c r="P56" i="2"/>
  <c r="O56" i="2"/>
  <c r="L56" i="2"/>
  <c r="Q55" i="2"/>
  <c r="P55" i="2"/>
  <c r="O55" i="2"/>
  <c r="L55" i="2"/>
  <c r="Q54" i="2"/>
  <c r="P54" i="2"/>
  <c r="O54" i="2"/>
  <c r="L54" i="2"/>
  <c r="Q53" i="2"/>
  <c r="P53" i="2"/>
  <c r="O53" i="2"/>
  <c r="L53" i="2"/>
  <c r="Q52" i="2"/>
  <c r="P52" i="2"/>
  <c r="O52" i="2"/>
  <c r="L52" i="2"/>
  <c r="Q51" i="2"/>
  <c r="P51" i="2"/>
  <c r="O51" i="2"/>
  <c r="L51" i="2"/>
  <c r="Q50" i="2"/>
  <c r="P50" i="2"/>
  <c r="O50" i="2"/>
  <c r="L50" i="2"/>
  <c r="Q49" i="2"/>
  <c r="P49" i="2"/>
  <c r="O49" i="2"/>
  <c r="L49" i="2"/>
  <c r="Q48" i="2"/>
  <c r="P48" i="2"/>
  <c r="O48" i="2"/>
  <c r="L48" i="2"/>
  <c r="Q47" i="2"/>
  <c r="P47" i="2"/>
  <c r="O47" i="2"/>
  <c r="L47" i="2"/>
  <c r="Q46" i="2"/>
  <c r="P46" i="2"/>
  <c r="O46" i="2"/>
  <c r="L46" i="2"/>
  <c r="Q45" i="2"/>
  <c r="P45" i="2"/>
  <c r="O45" i="2"/>
  <c r="L45" i="2"/>
  <c r="Q44" i="2"/>
  <c r="P44" i="2"/>
  <c r="O44" i="2"/>
  <c r="L44" i="2"/>
  <c r="Q43" i="2"/>
  <c r="P43" i="2"/>
  <c r="O43" i="2"/>
  <c r="L43" i="2"/>
  <c r="Q42" i="2"/>
  <c r="P42" i="2"/>
  <c r="O42" i="2"/>
  <c r="L42" i="2"/>
  <c r="Q41" i="2"/>
  <c r="P41" i="2"/>
  <c r="O41" i="2"/>
  <c r="L41" i="2"/>
  <c r="Q40" i="2"/>
  <c r="P40" i="2"/>
  <c r="O40" i="2"/>
  <c r="L40" i="2"/>
  <c r="Q39" i="2"/>
  <c r="P39" i="2"/>
  <c r="O39" i="2"/>
  <c r="L39" i="2"/>
  <c r="Q38" i="2"/>
  <c r="P38" i="2"/>
  <c r="O38" i="2"/>
  <c r="L38" i="2"/>
  <c r="Q37" i="2"/>
  <c r="P37" i="2"/>
  <c r="O37" i="2"/>
  <c r="L37" i="2"/>
  <c r="Q36" i="2"/>
  <c r="P36" i="2"/>
  <c r="O36" i="2"/>
  <c r="L36" i="2"/>
  <c r="Q35" i="2"/>
  <c r="P35" i="2"/>
  <c r="O35" i="2"/>
  <c r="L35" i="2"/>
  <c r="Q34" i="2"/>
  <c r="P34" i="2"/>
  <c r="O34" i="2"/>
  <c r="L34" i="2"/>
  <c r="Q33" i="2"/>
  <c r="P33" i="2"/>
  <c r="O33" i="2"/>
  <c r="L33" i="2"/>
  <c r="Q32" i="2"/>
  <c r="P32" i="2"/>
  <c r="O32" i="2"/>
  <c r="L32" i="2"/>
  <c r="Q31" i="2"/>
  <c r="P31" i="2"/>
  <c r="O31" i="2"/>
  <c r="L31" i="2"/>
  <c r="Q30" i="2"/>
  <c r="P30" i="2"/>
  <c r="O30" i="2"/>
  <c r="L30" i="2"/>
  <c r="Q29" i="2"/>
  <c r="P29" i="2"/>
  <c r="O29" i="2"/>
  <c r="L29" i="2"/>
  <c r="Q28" i="2"/>
  <c r="P28" i="2"/>
  <c r="O28" i="2"/>
  <c r="L28" i="2"/>
  <c r="Q27" i="2"/>
  <c r="P27" i="2"/>
  <c r="O27" i="2"/>
  <c r="L27" i="2"/>
  <c r="Q26" i="2"/>
  <c r="P26" i="2"/>
  <c r="O26" i="2"/>
  <c r="L26" i="2"/>
  <c r="Q25" i="2"/>
  <c r="P25" i="2"/>
  <c r="O25" i="2"/>
  <c r="L25" i="2"/>
  <c r="Q24" i="2"/>
  <c r="P24" i="2"/>
  <c r="O24" i="2"/>
  <c r="L24" i="2"/>
  <c r="Q23" i="2"/>
  <c r="P23" i="2"/>
  <c r="O23" i="2"/>
  <c r="L23" i="2"/>
  <c r="Q22" i="2"/>
  <c r="P22" i="2"/>
  <c r="O22" i="2"/>
  <c r="L22" i="2"/>
  <c r="Q21" i="2"/>
  <c r="P21" i="2"/>
  <c r="O21" i="2"/>
  <c r="L21" i="2"/>
  <c r="Q20" i="2"/>
  <c r="P20" i="2"/>
  <c r="O20" i="2"/>
  <c r="L20" i="2"/>
  <c r="Q19" i="2"/>
  <c r="P19" i="2"/>
  <c r="O19" i="2"/>
  <c r="L19" i="2"/>
  <c r="Q18" i="2"/>
  <c r="P18" i="2"/>
  <c r="O18" i="2"/>
  <c r="L18" i="2"/>
  <c r="Q17" i="2"/>
  <c r="P17" i="2"/>
  <c r="O17" i="2"/>
  <c r="L17" i="2"/>
  <c r="Q16" i="2"/>
  <c r="P16" i="2"/>
  <c r="O16" i="2"/>
  <c r="L16" i="2"/>
  <c r="Q15" i="2"/>
  <c r="P15" i="2"/>
  <c r="O15" i="2"/>
  <c r="L15" i="2"/>
  <c r="Q14" i="2"/>
  <c r="P14" i="2"/>
  <c r="O14" i="2"/>
  <c r="L14" i="2"/>
  <c r="Q13" i="2"/>
  <c r="P13" i="2"/>
  <c r="O13" i="2"/>
  <c r="L13" i="2"/>
  <c r="Q12" i="2"/>
  <c r="P12" i="2"/>
  <c r="O12" i="2"/>
  <c r="L12" i="2"/>
  <c r="Q11" i="2"/>
  <c r="P11" i="2"/>
  <c r="O11" i="2"/>
  <c r="L11" i="2"/>
  <c r="Q10" i="2"/>
  <c r="P10" i="2"/>
  <c r="O10" i="2"/>
  <c r="L10" i="2"/>
  <c r="Q9" i="2"/>
  <c r="P9" i="2"/>
  <c r="O9" i="2"/>
  <c r="L9" i="2"/>
  <c r="Q8" i="2"/>
  <c r="P8" i="2"/>
  <c r="O8" i="2"/>
  <c r="L8" i="2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9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2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8" i="1"/>
  <c r="I78" i="2" l="1"/>
  <c r="L78" i="2"/>
  <c r="L29" i="4"/>
  <c r="L30" i="4" s="1"/>
  <c r="L44" i="3"/>
  <c r="L45" i="3" s="1"/>
  <c r="L79" i="2"/>
  <c r="L80" i="2" s="1"/>
  <c r="O9" i="1"/>
  <c r="N9" i="1" s="1"/>
  <c r="P9" i="1"/>
  <c r="O10" i="1"/>
  <c r="N10" i="1" s="1"/>
  <c r="P10" i="1"/>
  <c r="O11" i="1"/>
  <c r="N11" i="1" s="1"/>
  <c r="P11" i="1"/>
  <c r="O12" i="1"/>
  <c r="N12" i="1" s="1"/>
  <c r="P12" i="1"/>
  <c r="O13" i="1"/>
  <c r="N13" i="1" s="1"/>
  <c r="P13" i="1"/>
  <c r="O14" i="1"/>
  <c r="N14" i="1" s="1"/>
  <c r="P14" i="1"/>
  <c r="O15" i="1"/>
  <c r="N15" i="1" s="1"/>
  <c r="P15" i="1"/>
  <c r="O16" i="1"/>
  <c r="P16" i="1"/>
  <c r="N16" i="1" s="1"/>
  <c r="N17" i="1"/>
  <c r="O17" i="1"/>
  <c r="P17" i="1"/>
  <c r="O18" i="1"/>
  <c r="N18" i="1" s="1"/>
  <c r="P18" i="1"/>
  <c r="O19" i="1"/>
  <c r="N19" i="1" s="1"/>
  <c r="P19" i="1"/>
  <c r="N20" i="1"/>
  <c r="O20" i="1"/>
  <c r="P20" i="1"/>
  <c r="O21" i="1"/>
  <c r="N21" i="1" s="1"/>
  <c r="P21" i="1"/>
  <c r="O22" i="1"/>
  <c r="N22" i="1" s="1"/>
  <c r="P22" i="1"/>
  <c r="O23" i="1"/>
  <c r="N23" i="1" s="1"/>
  <c r="P23" i="1"/>
  <c r="O24" i="1"/>
  <c r="P24" i="1"/>
  <c r="N24" i="1" s="1"/>
  <c r="N25" i="1"/>
  <c r="O25" i="1"/>
  <c r="P25" i="1"/>
  <c r="O26" i="1"/>
  <c r="N26" i="1" s="1"/>
  <c r="P26" i="1"/>
  <c r="O27" i="1"/>
  <c r="N27" i="1" s="1"/>
  <c r="P27" i="1"/>
  <c r="N28" i="1"/>
  <c r="O28" i="1"/>
  <c r="P28" i="1"/>
  <c r="O29" i="1"/>
  <c r="N29" i="1" s="1"/>
  <c r="P29" i="1"/>
  <c r="O30" i="1"/>
  <c r="N30" i="1" s="1"/>
  <c r="P30" i="1"/>
  <c r="O31" i="1"/>
  <c r="N31" i="1" s="1"/>
  <c r="P31" i="1"/>
  <c r="O32" i="1"/>
  <c r="P32" i="1"/>
  <c r="N32" i="1" s="1"/>
  <c r="N33" i="1"/>
  <c r="O33" i="1"/>
  <c r="P33" i="1"/>
  <c r="O34" i="1"/>
  <c r="N34" i="1" s="1"/>
  <c r="P34" i="1"/>
  <c r="O35" i="1"/>
  <c r="N35" i="1" s="1"/>
  <c r="P35" i="1"/>
  <c r="N36" i="1"/>
  <c r="O36" i="1"/>
  <c r="P36" i="1"/>
  <c r="O37" i="1"/>
  <c r="N37" i="1" s="1"/>
  <c r="P37" i="1"/>
  <c r="O38" i="1"/>
  <c r="N38" i="1" s="1"/>
  <c r="P38" i="1"/>
  <c r="O39" i="1"/>
  <c r="N39" i="1" s="1"/>
  <c r="P39" i="1"/>
  <c r="O40" i="1"/>
  <c r="P40" i="1"/>
  <c r="N40" i="1" s="1"/>
  <c r="N41" i="1"/>
  <c r="O41" i="1"/>
  <c r="P41" i="1"/>
  <c r="O42" i="1"/>
  <c r="N42" i="1" s="1"/>
  <c r="P42" i="1"/>
  <c r="O43" i="1"/>
  <c r="N43" i="1" s="1"/>
  <c r="P43" i="1"/>
  <c r="N44" i="1"/>
  <c r="O44" i="1"/>
  <c r="P44" i="1"/>
  <c r="O45" i="1"/>
  <c r="N45" i="1" s="1"/>
  <c r="P45" i="1"/>
  <c r="O46" i="1"/>
  <c r="N46" i="1" s="1"/>
  <c r="P46" i="1"/>
  <c r="O47" i="1"/>
  <c r="N47" i="1" s="1"/>
  <c r="P47" i="1"/>
  <c r="O48" i="1"/>
  <c r="P48" i="1"/>
  <c r="N48" i="1" s="1"/>
  <c r="N49" i="1"/>
  <c r="O49" i="1"/>
  <c r="P49" i="1"/>
  <c r="O50" i="1"/>
  <c r="N50" i="1" s="1"/>
  <c r="P50" i="1"/>
  <c r="O51" i="1"/>
  <c r="N51" i="1" s="1"/>
  <c r="P51" i="1"/>
  <c r="N52" i="1"/>
  <c r="O52" i="1"/>
  <c r="P52" i="1"/>
  <c r="O53" i="1"/>
  <c r="N53" i="1" s="1"/>
  <c r="P53" i="1"/>
  <c r="O54" i="1"/>
  <c r="N54" i="1" s="1"/>
  <c r="P54" i="1"/>
  <c r="O55" i="1"/>
  <c r="N55" i="1" s="1"/>
  <c r="P55" i="1"/>
  <c r="O56" i="1"/>
  <c r="P56" i="1"/>
  <c r="N56" i="1" s="1"/>
  <c r="N57" i="1"/>
  <c r="O57" i="1"/>
  <c r="P57" i="1"/>
  <c r="O58" i="1"/>
  <c r="N58" i="1" s="1"/>
  <c r="P58" i="1"/>
  <c r="O59" i="1"/>
  <c r="N59" i="1" s="1"/>
  <c r="P59" i="1"/>
  <c r="N60" i="1"/>
  <c r="O60" i="1"/>
  <c r="P60" i="1"/>
  <c r="O61" i="1"/>
  <c r="N61" i="1" s="1"/>
  <c r="P61" i="1"/>
  <c r="O62" i="1"/>
  <c r="N62" i="1" s="1"/>
  <c r="P62" i="1"/>
  <c r="O63" i="1"/>
  <c r="N63" i="1" s="1"/>
  <c r="P63" i="1"/>
  <c r="O64" i="1"/>
  <c r="P64" i="1"/>
  <c r="N64" i="1" s="1"/>
  <c r="N65" i="1"/>
  <c r="O65" i="1"/>
  <c r="P65" i="1"/>
  <c r="O66" i="1"/>
  <c r="N66" i="1" s="1"/>
  <c r="P66" i="1"/>
  <c r="O67" i="1"/>
  <c r="N67" i="1" s="1"/>
  <c r="P67" i="1"/>
  <c r="N68" i="1"/>
  <c r="O68" i="1"/>
  <c r="P68" i="1"/>
  <c r="O69" i="1"/>
  <c r="N69" i="1" s="1"/>
  <c r="P69" i="1"/>
  <c r="O70" i="1"/>
  <c r="N70" i="1" s="1"/>
  <c r="P70" i="1"/>
  <c r="O71" i="1"/>
  <c r="N71" i="1" s="1"/>
  <c r="P71" i="1"/>
  <c r="O72" i="1"/>
  <c r="P72" i="1"/>
  <c r="N72" i="1" s="1"/>
  <c r="N73" i="1"/>
  <c r="O73" i="1"/>
  <c r="P73" i="1"/>
  <c r="O74" i="1"/>
  <c r="N74" i="1" s="1"/>
  <c r="P74" i="1"/>
  <c r="O75" i="1"/>
  <c r="N75" i="1" s="1"/>
  <c r="P75" i="1"/>
  <c r="N76" i="1"/>
  <c r="O76" i="1"/>
  <c r="P76" i="1"/>
  <c r="O77" i="1"/>
  <c r="N77" i="1" s="1"/>
  <c r="P77" i="1"/>
  <c r="O78" i="1"/>
  <c r="N78" i="1" s="1"/>
  <c r="P78" i="1"/>
  <c r="O79" i="1"/>
  <c r="N79" i="1" s="1"/>
  <c r="P79" i="1"/>
  <c r="O80" i="1"/>
  <c r="P80" i="1"/>
  <c r="N80" i="1" s="1"/>
  <c r="N81" i="1"/>
  <c r="O81" i="1"/>
  <c r="P81" i="1"/>
  <c r="O82" i="1"/>
  <c r="N82" i="1" s="1"/>
  <c r="P82" i="1"/>
  <c r="O83" i="1"/>
  <c r="N83" i="1" s="1"/>
  <c r="P83" i="1"/>
  <c r="N84" i="1"/>
  <c r="O84" i="1"/>
  <c r="P84" i="1"/>
  <c r="O85" i="1"/>
  <c r="N85" i="1" s="1"/>
  <c r="P85" i="1"/>
  <c r="O86" i="1"/>
  <c r="N86" i="1" s="1"/>
  <c r="P86" i="1"/>
  <c r="O87" i="1"/>
  <c r="N87" i="1" s="1"/>
  <c r="P87" i="1"/>
  <c r="O88" i="1"/>
  <c r="P88" i="1"/>
  <c r="N88" i="1" s="1"/>
  <c r="N89" i="1"/>
  <c r="O89" i="1"/>
  <c r="P89" i="1"/>
  <c r="O90" i="1"/>
  <c r="N90" i="1" s="1"/>
  <c r="P90" i="1"/>
  <c r="O91" i="1"/>
  <c r="N91" i="1" s="1"/>
  <c r="P91" i="1"/>
  <c r="N92" i="1"/>
  <c r="O92" i="1"/>
  <c r="P92" i="1"/>
  <c r="O93" i="1"/>
  <c r="N93" i="1" s="1"/>
  <c r="P93" i="1"/>
  <c r="O94" i="1"/>
  <c r="N94" i="1" s="1"/>
  <c r="P94" i="1"/>
  <c r="O95" i="1"/>
  <c r="N95" i="1" s="1"/>
  <c r="P95" i="1"/>
  <c r="O96" i="1"/>
  <c r="P96" i="1"/>
  <c r="N96" i="1" s="1"/>
  <c r="N97" i="1"/>
  <c r="O97" i="1"/>
  <c r="P97" i="1"/>
  <c r="O98" i="1"/>
  <c r="N98" i="1" s="1"/>
  <c r="P98" i="1"/>
  <c r="O99" i="1"/>
  <c r="N99" i="1" s="1"/>
  <c r="P99" i="1"/>
  <c r="N100" i="1"/>
  <c r="O100" i="1"/>
  <c r="P100" i="1"/>
  <c r="O101" i="1"/>
  <c r="N101" i="1" s="1"/>
  <c r="P101" i="1"/>
  <c r="O102" i="1"/>
  <c r="N102" i="1" s="1"/>
  <c r="P102" i="1"/>
  <c r="O103" i="1"/>
  <c r="N103" i="1" s="1"/>
  <c r="P103" i="1"/>
  <c r="O104" i="1"/>
  <c r="P104" i="1"/>
  <c r="N104" i="1" s="1"/>
  <c r="N105" i="1"/>
  <c r="O105" i="1"/>
  <c r="P105" i="1"/>
  <c r="O106" i="1"/>
  <c r="N106" i="1" s="1"/>
  <c r="P106" i="1"/>
  <c r="O107" i="1"/>
  <c r="N107" i="1" s="1"/>
  <c r="P107" i="1"/>
  <c r="N108" i="1"/>
  <c r="O108" i="1"/>
  <c r="P108" i="1"/>
  <c r="O109" i="1"/>
  <c r="N109" i="1" s="1"/>
  <c r="P109" i="1"/>
  <c r="O110" i="1"/>
  <c r="N110" i="1" s="1"/>
  <c r="P110" i="1"/>
  <c r="O111" i="1"/>
  <c r="N111" i="1" s="1"/>
  <c r="P111" i="1"/>
  <c r="O112" i="1"/>
  <c r="P112" i="1"/>
  <c r="N112" i="1" s="1"/>
  <c r="N113" i="1"/>
  <c r="O113" i="1"/>
  <c r="P113" i="1"/>
  <c r="O114" i="1"/>
  <c r="N114" i="1" s="1"/>
  <c r="P114" i="1"/>
  <c r="O115" i="1"/>
  <c r="N115" i="1" s="1"/>
  <c r="P115" i="1"/>
  <c r="N116" i="1"/>
  <c r="O116" i="1"/>
  <c r="P116" i="1"/>
  <c r="O117" i="1"/>
  <c r="N117" i="1" s="1"/>
  <c r="P117" i="1"/>
  <c r="O118" i="1"/>
  <c r="N118" i="1" s="1"/>
  <c r="P118" i="1"/>
  <c r="O119" i="1"/>
  <c r="N119" i="1" s="1"/>
  <c r="P119" i="1"/>
  <c r="O120" i="1"/>
  <c r="P120" i="1"/>
  <c r="N120" i="1" s="1"/>
  <c r="N121" i="1"/>
  <c r="O121" i="1"/>
  <c r="P121" i="1"/>
  <c r="O122" i="1"/>
  <c r="N122" i="1" s="1"/>
  <c r="P122" i="1"/>
  <c r="O123" i="1"/>
  <c r="N123" i="1" s="1"/>
  <c r="P123" i="1"/>
  <c r="N124" i="1"/>
  <c r="O124" i="1"/>
  <c r="P124" i="1"/>
  <c r="O125" i="1"/>
  <c r="N125" i="1" s="1"/>
  <c r="P125" i="1"/>
  <c r="O126" i="1"/>
  <c r="N126" i="1" s="1"/>
  <c r="P126" i="1"/>
  <c r="O127" i="1"/>
  <c r="N127" i="1" s="1"/>
  <c r="P127" i="1"/>
  <c r="O128" i="1"/>
  <c r="P128" i="1"/>
  <c r="N128" i="1" s="1"/>
  <c r="N129" i="1"/>
  <c r="O129" i="1"/>
  <c r="P129" i="1"/>
  <c r="O130" i="1"/>
  <c r="N130" i="1" s="1"/>
  <c r="P130" i="1"/>
  <c r="O131" i="1"/>
  <c r="N131" i="1" s="1"/>
  <c r="P131" i="1"/>
  <c r="N132" i="1"/>
  <c r="O132" i="1"/>
  <c r="P132" i="1"/>
  <c r="N8" i="1"/>
  <c r="Q8" i="1"/>
  <c r="P8" i="1"/>
  <c r="O8" i="1"/>
  <c r="L133" i="1" l="1"/>
  <c r="H133" i="1" l="1"/>
  <c r="L134" i="1" l="1"/>
  <c r="L135" i="1" s="1"/>
  <c r="F133" i="1"/>
  <c r="G133" i="1"/>
  <c r="E133" i="1"/>
  <c r="I133" i="1" l="1"/>
</calcChain>
</file>

<file path=xl/sharedStrings.xml><?xml version="1.0" encoding="utf-8"?>
<sst xmlns="http://schemas.openxmlformats.org/spreadsheetml/2006/main" count="1493" uniqueCount="192">
  <si>
    <t>TT</t>
  </si>
  <si>
    <t>Số xe</t>
  </si>
  <si>
    <t>Ngày</t>
  </si>
  <si>
    <t>Số cont</t>
  </si>
  <si>
    <t>Vỏ</t>
  </si>
  <si>
    <t>Hàng</t>
  </si>
  <si>
    <t>Tàu</t>
  </si>
  <si>
    <t>Tuyến đường</t>
  </si>
  <si>
    <t>Đơn giá</t>
  </si>
  <si>
    <t>20'</t>
  </si>
  <si>
    <t>40'</t>
  </si>
  <si>
    <t>3</t>
  </si>
  <si>
    <t>A</t>
  </si>
  <si>
    <t>B</t>
  </si>
  <si>
    <t>C</t>
  </si>
  <si>
    <t>D</t>
  </si>
  <si>
    <t>(Giá trên đã bao gồm VAT)</t>
  </si>
  <si>
    <t>Khách hàng</t>
  </si>
  <si>
    <t>Khách hàng:</t>
  </si>
  <si>
    <t>ĐẠI DIỆN PHÚC LỘC</t>
  </si>
  <si>
    <t>ĐẠI DIỆN NEW WAY</t>
  </si>
  <si>
    <t>NEWWAY</t>
  </si>
  <si>
    <t>HECHUN-HAIAN</t>
  </si>
  <si>
    <t>BẢNG KÊ SẢN LƯỢNG XE VẬN CHUYỂN THÁNG 04/2026</t>
  </si>
  <si>
    <t>HAIAN ALFA</t>
  </si>
  <si>
    <t>SEKU9185700</t>
  </si>
  <si>
    <t>SEGU9946359</t>
  </si>
  <si>
    <t>SEKU9371140</t>
  </si>
  <si>
    <t>SEKU9164924</t>
  </si>
  <si>
    <t>OTPU6252633</t>
  </si>
  <si>
    <t>OTPU6803952</t>
  </si>
  <si>
    <t>OTPU6755242</t>
  </si>
  <si>
    <t>SEGU9953569</t>
  </si>
  <si>
    <t>SEKU9077666</t>
  </si>
  <si>
    <t>OTPU6803356</t>
  </si>
  <si>
    <t>OTPU6227190</t>
  </si>
  <si>
    <t>OTPU6812126</t>
  </si>
  <si>
    <t>FBIU5116769</t>
  </si>
  <si>
    <t>OTPU6726455</t>
  </si>
  <si>
    <t>OTPU6817719</t>
  </si>
  <si>
    <t>OTPU6256480</t>
  </si>
  <si>
    <t>OTPU6227266</t>
  </si>
  <si>
    <t>OTPU6753091</t>
  </si>
  <si>
    <t>SEGU9925546</t>
  </si>
  <si>
    <t>SEKU9077331</t>
  </si>
  <si>
    <t>SEGU9949912</t>
  </si>
  <si>
    <t>SEGU9675200</t>
  </si>
  <si>
    <t>SZLU9755000</t>
  </si>
  <si>
    <t>FSCU5924726</t>
  </si>
  <si>
    <t>OTPU6198131</t>
  </si>
  <si>
    <t>OTPU6197710</t>
  </si>
  <si>
    <t>SEGU9887805</t>
  </si>
  <si>
    <t>OTPU6691030</t>
  </si>
  <si>
    <t>OTPU6756399</t>
  </si>
  <si>
    <t>OTPU6813652</t>
  </si>
  <si>
    <t>FBIU5293928</t>
  </si>
  <si>
    <t>FBIU5382075</t>
  </si>
  <si>
    <t>SEGU9756317</t>
  </si>
  <si>
    <t>FSCU5929902</t>
  </si>
  <si>
    <t>FSCU5700876</t>
  </si>
  <si>
    <t>FSCU5704193</t>
  </si>
  <si>
    <t>OTPU6681875</t>
  </si>
  <si>
    <t>SZLU9736248</t>
  </si>
  <si>
    <t>SEGU9950810</t>
  </si>
  <si>
    <t>FSCU5700834</t>
  </si>
  <si>
    <t>OTPU6248119</t>
  </si>
  <si>
    <t>OTPU6844822</t>
  </si>
  <si>
    <t>SEKU9164307</t>
  </si>
  <si>
    <t>SEGU9752749</t>
  </si>
  <si>
    <t>OTPU6680122</t>
  </si>
  <si>
    <t>FBIU5360369</t>
  </si>
  <si>
    <t>SEGU9701973</t>
  </si>
  <si>
    <t>SEGU9748040</t>
  </si>
  <si>
    <t>SEGU9619438</t>
  </si>
  <si>
    <t>OTPU6689670</t>
  </si>
  <si>
    <t>OTPU6773462</t>
  </si>
  <si>
    <t>FBIU5301350</t>
  </si>
  <si>
    <t>SEKU9080947</t>
  </si>
  <si>
    <t>FBIU5394482</t>
  </si>
  <si>
    <t>SEGU9920879</t>
  </si>
  <si>
    <t>SEKU9112284</t>
  </si>
  <si>
    <t>SEKU9077820</t>
  </si>
  <si>
    <t>FSCU5927577</t>
  </si>
  <si>
    <t>FBIU5299090</t>
  </si>
  <si>
    <t>SEGU9920945</t>
  </si>
  <si>
    <t>SEGU9704761</t>
  </si>
  <si>
    <t>SEGU9703214</t>
  </si>
  <si>
    <t>OTPU6841021</t>
  </si>
  <si>
    <t>OTPU6759660</t>
  </si>
  <si>
    <t>OTPU6833561</t>
  </si>
  <si>
    <t>FBIU5119428</t>
  </si>
  <si>
    <t>FBIU5360991</t>
  </si>
  <si>
    <t>SEGU9920903</t>
  </si>
  <si>
    <t>SEGU9757170</t>
  </si>
  <si>
    <t>SEKU9155239</t>
  </si>
  <si>
    <t>FBIU5385032</t>
  </si>
  <si>
    <t>OTPU6662371</t>
  </si>
  <si>
    <t>OTPU6805560</t>
  </si>
  <si>
    <t>OTPU6191883</t>
  </si>
  <si>
    <t>OTPU6201493</t>
  </si>
  <si>
    <t>OTPU6839256</t>
  </si>
  <si>
    <t>SEGU9755460</t>
  </si>
  <si>
    <t>SZLU9737413</t>
  </si>
  <si>
    <t>OTPU6809354</t>
  </si>
  <si>
    <t>FBIU5382774</t>
  </si>
  <si>
    <t>OTPU6773647</t>
  </si>
  <si>
    <t>FBIU5324443</t>
  </si>
  <si>
    <t>FBIU5396150</t>
  </si>
  <si>
    <t>SEGU9932123</t>
  </si>
  <si>
    <t>SEGU9928503</t>
  </si>
  <si>
    <t>FBIU5115079</t>
  </si>
  <si>
    <t>OTPU6687214</t>
  </si>
  <si>
    <t>FBIU5396206</t>
  </si>
  <si>
    <t>SEGU9760528</t>
  </si>
  <si>
    <t>SZLU9751725</t>
  </si>
  <si>
    <t>HAIAN BELL</t>
  </si>
  <si>
    <t xml:space="preserve">HECHUN-HAIAN </t>
  </si>
  <si>
    <t>15H15378</t>
  </si>
  <si>
    <t>15H07788</t>
  </si>
  <si>
    <t>15H17403</t>
  </si>
  <si>
    <t>15C17301</t>
  </si>
  <si>
    <t>15H07524</t>
  </si>
  <si>
    <t>15H07644</t>
  </si>
  <si>
    <t>15H18552</t>
  </si>
  <si>
    <t>15C15033</t>
  </si>
  <si>
    <t>15H12925</t>
  </si>
  <si>
    <t>15H07135</t>
  </si>
  <si>
    <t>15H08574</t>
  </si>
  <si>
    <t>15C09877</t>
  </si>
  <si>
    <t>HAIAN LINK</t>
  </si>
  <si>
    <t>OTPU6753888</t>
  </si>
  <si>
    <t>SEGU9756220</t>
  </si>
  <si>
    <t>OTPU6812419</t>
  </si>
  <si>
    <t>SEKU9173757</t>
  </si>
  <si>
    <t>SEGU9919369</t>
  </si>
  <si>
    <t>SEGU9755455</t>
  </si>
  <si>
    <t>SEGU9922594</t>
  </si>
  <si>
    <t>FBIU5361323</t>
  </si>
  <si>
    <t>SEGU9820226</t>
  </si>
  <si>
    <t>SEKU9162460</t>
  </si>
  <si>
    <t>FBIU5393249</t>
  </si>
  <si>
    <t>FSCU5933749</t>
  </si>
  <si>
    <t>OTPU6807330</t>
  </si>
  <si>
    <t>SEKU9303110</t>
  </si>
  <si>
    <t>SEKU9182717</t>
  </si>
  <si>
    <t>OTPU6774854</t>
  </si>
  <si>
    <t>SEKU9191323</t>
  </si>
  <si>
    <t>FBIU5385639</t>
  </si>
  <si>
    <t>OTPU6806674</t>
  </si>
  <si>
    <t>FBIU5300713</t>
  </si>
  <si>
    <t>OTPU6823481</t>
  </si>
  <si>
    <t>SEGU9930120</t>
  </si>
  <si>
    <t>SEGU9920462</t>
  </si>
  <si>
    <t>SEGU9760641</t>
  </si>
  <si>
    <t>OTPU6224950</t>
  </si>
  <si>
    <t>OTPU6205858</t>
  </si>
  <si>
    <t>FBIU5326045</t>
  </si>
  <si>
    <t>OTPU6244788</t>
  </si>
  <si>
    <t>SEKU9371916</t>
  </si>
  <si>
    <t>OTPU6831023</t>
  </si>
  <si>
    <t>OTPU6202972</t>
  </si>
  <si>
    <t>OTPU6821318</t>
  </si>
  <si>
    <t>SEGU9923013</t>
  </si>
  <si>
    <t>SEGU9945500</t>
  </si>
  <si>
    <t>SEGU9922824</t>
  </si>
  <si>
    <t>15H20645</t>
  </si>
  <si>
    <t>15H17112</t>
  </si>
  <si>
    <t>15C17442</t>
  </si>
  <si>
    <t>15H18753</t>
  </si>
  <si>
    <t>15H17712</t>
  </si>
  <si>
    <t>15C21728</t>
  </si>
  <si>
    <t xml:space="preserve">tuyến đường </t>
  </si>
  <si>
    <t>Cước vận chuyển cont</t>
  </si>
  <si>
    <t xml:space="preserve">. Số xe: </t>
  </si>
  <si>
    <t>Số chuyến</t>
  </si>
  <si>
    <t>Giá dầu</t>
  </si>
  <si>
    <t xml:space="preserve"> vỏ </t>
  </si>
  <si>
    <t xml:space="preserve">40' </t>
  </si>
  <si>
    <t>ND</t>
  </si>
  <si>
    <t>loại</t>
  </si>
  <si>
    <t>Row Labels</t>
  </si>
  <si>
    <t>(blank)</t>
  </si>
  <si>
    <t>Grand Total</t>
  </si>
  <si>
    <t>Sum of Số chuyến</t>
  </si>
  <si>
    <t>Sum of Đơn giá</t>
  </si>
  <si>
    <t>Cước vận chuyển cont vỏ 40' tuyến đường HECHUN-HAIAN  - Ngày 20/04/2026. Số xe: 15H18753</t>
  </si>
  <si>
    <t>Cước vận chuyển cont vỏ 40' tuyến đường HECHUN-HAIAN  - Ngày 20/04/2026. Số xe: 15H18552</t>
  </si>
  <si>
    <t>Cước vận chuyển cont vỏ 40' tuyến đường HECHUN-HAIAN  - Ngày 20/04/2026. Số xe: 15C21728</t>
  </si>
  <si>
    <t>Cước vận chuyển cont vỏ 40' tuyến đường HECHUN-HAIAN  - Ngày 20/04/2026. Số xe: 15C15033</t>
  </si>
  <si>
    <t>Cước vận chuyển cont vỏ 40' tuyến đường HECHUN-HAIAN  - Ngày 20/04/2026. Số xe: 15H17712</t>
  </si>
  <si>
    <t>Cước vận chuyển cont vỏ 40' tuyến đường HECHUN-HAIAN  - Ngày 20/04/2026. Số xe: 15H07788</t>
  </si>
  <si>
    <t>Cước vận chuyển cont vỏ 40' tuyến đường HECHUN-HAIAN  - Ngày 20/04/2026. Số xe: 15C09877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</si>
</sst>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XDR&quot;* #,##0.00_-;\-&quot;XDR&quot;* #,##0.00_-;_-&quot;XDR&quot;* &quot;-&quot;??_-;_-@_-"/>
    <numFmt numFmtId="165" formatCode="_(* #,##0_);_(* \(#,##0\);_(* &quot;-&quot;??_);_(@_)"/>
    <numFmt numFmtId="166" formatCode="dd\/mm\/yyyy"/>
  </numFmts>
  <fonts count="13" x14ac:knownFonts="1">
    <font>
      <sz val="12"/>
      <name val="Times New Roman"/>
    </font>
    <font>
      <sz val="12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Helv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name val=".VnTime"/>
      <family val="2"/>
    </font>
    <font>
      <sz val="10"/>
      <name val="Helv"/>
      <family val="2"/>
    </font>
    <font>
      <i/>
      <sz val="12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5" fillId="0" borderId="0"/>
    <xf numFmtId="0" fontId="9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4" fillId="0" borderId="0" xfId="1" applyNumberFormat="1" applyFont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3" fontId="7" fillId="3" borderId="5" xfId="0" applyNumberFormat="1" applyFont="1" applyFill="1" applyBorder="1" applyAlignment="1">
      <alignment horizontal="center" vertical="center"/>
    </xf>
    <xf numFmtId="165" fontId="7" fillId="3" borderId="5" xfId="1" applyNumberFormat="1" applyFont="1" applyFill="1" applyBorder="1" applyAlignment="1">
      <alignment horizontal="left" vertical="center"/>
    </xf>
    <xf numFmtId="3" fontId="7" fillId="3" borderId="5" xfId="0" applyNumberFormat="1" applyFont="1" applyFill="1" applyBorder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14" fontId="10" fillId="5" borderId="0" xfId="0" applyNumberFormat="1" applyFont="1" applyFill="1" applyAlignment="1">
      <alignment vertical="center"/>
    </xf>
    <xf numFmtId="165" fontId="7" fillId="3" borderId="5" xfId="1" applyNumberFormat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center" vertical="center"/>
    </xf>
    <xf numFmtId="166" fontId="11" fillId="2" borderId="5" xfId="0" applyNumberFormat="1" applyFont="1" applyFill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6" fillId="0" borderId="0" xfId="0" applyNumberFormat="1" applyFont="1"/>
    <xf numFmtId="165" fontId="6" fillId="2" borderId="5" xfId="1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166" fontId="11" fillId="6" borderId="5" xfId="0" applyNumberFormat="1" applyFont="1" applyFill="1" applyBorder="1" applyAlignment="1">
      <alignment horizontal="center" vertical="center"/>
    </xf>
    <xf numFmtId="1" fontId="11" fillId="6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0" fontId="1" fillId="0" borderId="0" xfId="0" applyFont="1"/>
    <xf numFmtId="164" fontId="3" fillId="0" borderId="0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5" fontId="2" fillId="3" borderId="4" xfId="1" applyNumberFormat="1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8">
    <cellStyle name="Comma" xfId="1" builtinId="3"/>
    <cellStyle name="Comma 2" xfId="3" xr:uid="{00000000-0005-0000-0000-000001000000}"/>
    <cellStyle name="Currency" xfId="2" builtinId="4"/>
    <cellStyle name="Currency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Style 1" xfId="7" xr:uid="{00000000-0005-0000-0000-000007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41.48460891204" createdVersion="8" refreshedVersion="8" minRefreshableVersion="3" recordCount="71" xr:uid="{EB59E3E4-0A52-44AD-96E5-0B34A1D2480D}">
  <cacheSource type="worksheet">
    <worksheetSource ref="A1:F100" sheet="HĐơn"/>
  </cacheSource>
  <cacheFields count="6">
    <cacheField name="Đơn giá" numFmtId="0">
      <sharedItems containsString="0" containsBlank="1" containsNumber="1" minValue="440000.00000000006" maxValue="440000.00000000006"/>
    </cacheField>
    <cacheField name="Giá dầu" numFmtId="0">
      <sharedItems containsString="0" containsBlank="1" containsNumber="1" containsInteger="1" minValue="31040" maxValue="31040"/>
    </cacheField>
    <cacheField name="ND" numFmtId="0">
      <sharedItems containsBlank="1" count="34">
        <s v="Cước vận chuyển cont vỏ 40' tuyến đường HECHUN-HAIAN  - Ngày 20/04/2026. Số xe: 15H18753"/>
        <s v="Cước vận chuyển cont vỏ 40' tuyến đường HECHUN-HAIAN  - Ngày 20/04/2026. Số xe: 15H18552"/>
        <s v="Cước vận chuyển cont vỏ 40' tuyến đường HECHUN-HAIAN  - Ngày 20/04/2026. Số xe: 15C21728"/>
        <s v="Cước vận chuyển cont vỏ 40' tuyến đường HECHUN-HAIAN  - Ngày 20/04/2026. Số xe: 15C15033"/>
        <s v="Cước vận chuyển cont vỏ 40' tuyến đường HECHUN-HAIAN  - Ngày 20/04/2026. Số xe: 15H17712"/>
        <s v="Cước vận chuyển cont vỏ 40' tuyến đường HECHUN-HAIAN  - Ngày 20/04/2026. Số xe: 15H07788"/>
        <s v="Cước vận chuyển cont vỏ 40' tuyến đường HECHUN-HAIAN  - Ngày 20/04/2026. Số xe: 15C09877"/>
        <m/>
        <s v="Cước vận chuyển cont vỏ 40' tuyến đường HECHUN-HAIAN  - Ngày 10/04/2026. Số xe: 15C09877" u="1"/>
        <s v="Cước vận chuyển cont vỏ 40' tuyến đường HECHUN-HAIAN  - Ngày 10/04/2026. Số xe: 15H17403" u="1"/>
        <s v="Cước vận chuyển cont vỏ 40' tuyến đường HECHUN-HAIAN  - Ngày 10/04/2026. Số xe: 15H07644" u="1"/>
        <s v="Cước vận chuyển cont vỏ 40' tuyến đường HECHUN-HAIAN  - Ngày 10/04/2026. Số xe: 15C17301" u="1"/>
        <s v="Cước vận chuyển cont vỏ 40' tuyến đường HECHUN-HAIAN  - Ngày 10/04/2026. Số xe: 15H08574" u="1"/>
        <s v="Cước vận chuyển cont vỏ 40' tuyến đường HECHUN-HAIAN  - Ngày 10/04/2026. Số xe: 15C15033" u="1"/>
        <s v="Cước vận chuyển cont vỏ 40' tuyến đường HECHUN-HAIAN  - Ngày 10/04/2026. Số xe: 15H07135" u="1"/>
        <s v="Cước vận chuyển cont vỏ 40' tuyến đường HECHUN-HAIAN  - Ngày 10/04/2026. Số xe: 15H20645" u="1"/>
        <s v="Cước vận chuyển cont vỏ 40' tuyến đường HECHUN-HAIAN  - Ngày 10/04/2026. Số xe: 15H18552" u="1"/>
        <s v="Cước vận chuyển cont vỏ 40' tuyến đường HECHUN-HAIAN  - Ngày 10/04/2026. Số xe: 15H07524" u="1"/>
        <s v="Cước vận chuyển cont vỏ 40' tuyến đường HECHUN-HAIAN  - Ngày 10/04/2026. Số xe: 15H17112" u="1"/>
        <s v="Cước vận chuyển cont vỏ 40' tuyến đường HECHUN-HAIAN  - Ngày 10/04/2026. Số xe: 15H12925" u="1"/>
        <s v="Cước vận chuyển cont vỏ 40' tuyến đường HECHUN-HAIAN  - Ngày 10/04/2026. Số xe: 15C17442" u="1"/>
        <s v="Cước vận chuyển cont vỏ 40' tuyến đường HECHUN-HAIAN  - Ngày 10/04/2026. Số xe: 15H15378" u="1"/>
        <s v="Cước vận chuyển cont vỏ 40' tuyến đường HECHUN-HAIAN  - Ngày 10/04/2026. Số xe: 15H07788" u="1"/>
        <s v="Cước vận chuyển cont vỏ 40' tuyến đường HECHUN-HAIAN - Ngày 08/04/2026. Số xe: 15C09877" u="1"/>
        <s v="Cước vận chuyển cont vỏ 40' tuyến đường HECHUN-HAIAN - Ngày 08/04/2026. Số xe: 15C15033" u="1"/>
        <s v="Cước vận chuyển cont vỏ 40' tuyến đường HECHUN-HAIAN - Ngày 08/04/2026. Số xe: 15H18552" u="1"/>
        <s v="Cước vận chuyển cont vỏ 40' tuyến đường HECHUN-HAIAN - Ngày 08/04/2026. Số xe: 15H17403" u="1"/>
        <s v="Cước vận chuyển cont vỏ 40' tuyến đường HECHUN-HAIAN - Ngày 08/04/2026. Số xe: 15H07644" u="1"/>
        <s v="Cước vận chuyển cont vỏ 40' tuyến đường HECHUN-HAIAN - Ngày 08/04/2026. Số xe: 15H07135" u="1"/>
        <s v="Cước vận chuyển cont vỏ 40' tuyến đường HECHUN-HAIAN - Ngày 08/04/2026. Số xe: 15H12925" u="1"/>
        <s v="Cước vận chuyển cont vỏ 40' tuyến đường HECHUN-HAIAN - Ngày 08/04/2026. Số xe: 15H08574" u="1"/>
        <s v="Cước vận chuyển cont vỏ 40' tuyến đường HECHUN-HAIAN - Ngày 08/04/2026. Số xe: 15C17301" u="1"/>
        <s v="Cước vận chuyển cont vỏ 40' tuyến đường HECHUN-HAIAN - Ngày 08/04/2026. Số xe: 15H07524" u="1"/>
        <s v="Cước vận chuyển cont vỏ 40' tuyến đường HECHUN-HAIAN - Ngày 08/04/2026. Số xe: 15H07788" u="1"/>
      </sharedItems>
    </cacheField>
    <cacheField name=". Số xe: " numFmtId="0">
      <sharedItems containsBlank="1"/>
    </cacheField>
    <cacheField name="loại" numFmtId="0">
      <sharedItems containsBlank="1"/>
    </cacheField>
    <cacheField name="Số chuyến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440000.00000000006"/>
    <n v="31040"/>
    <x v="0"/>
    <s v=" vỏ "/>
    <s v="40' "/>
    <n v="1"/>
  </r>
  <r>
    <n v="440000.00000000006"/>
    <n v="31040"/>
    <x v="0"/>
    <s v=" vỏ "/>
    <s v="40' "/>
    <n v="1"/>
  </r>
  <r>
    <n v="440000.00000000006"/>
    <n v="31040"/>
    <x v="1"/>
    <s v=" vỏ "/>
    <s v="40' "/>
    <n v="1"/>
  </r>
  <r>
    <n v="440000.00000000006"/>
    <n v="31040"/>
    <x v="2"/>
    <s v=" vỏ "/>
    <s v="40' "/>
    <n v="1"/>
  </r>
  <r>
    <n v="440000.00000000006"/>
    <n v="31040"/>
    <x v="1"/>
    <s v=" vỏ "/>
    <s v="40' "/>
    <n v="1"/>
  </r>
  <r>
    <n v="440000.00000000006"/>
    <n v="31040"/>
    <x v="3"/>
    <s v=" vỏ "/>
    <s v="40' "/>
    <n v="1"/>
  </r>
  <r>
    <n v="440000.00000000006"/>
    <n v="31040"/>
    <x v="2"/>
    <s v=" vỏ "/>
    <s v="40' "/>
    <n v="1"/>
  </r>
  <r>
    <n v="440000.00000000006"/>
    <n v="31040"/>
    <x v="1"/>
    <s v=" vỏ "/>
    <s v="40' "/>
    <n v="1"/>
  </r>
  <r>
    <n v="440000.00000000006"/>
    <n v="31040"/>
    <x v="0"/>
    <s v=" vỏ "/>
    <s v="40' "/>
    <n v="1"/>
  </r>
  <r>
    <n v="440000.00000000006"/>
    <n v="31040"/>
    <x v="1"/>
    <s v=" vỏ "/>
    <s v="40' "/>
    <n v="1"/>
  </r>
  <r>
    <n v="440000.00000000006"/>
    <n v="31040"/>
    <x v="0"/>
    <s v=" vỏ "/>
    <s v="40' "/>
    <n v="1"/>
  </r>
  <r>
    <n v="440000.00000000006"/>
    <n v="31040"/>
    <x v="1"/>
    <s v=" vỏ "/>
    <s v="40' "/>
    <n v="1"/>
  </r>
  <r>
    <n v="440000.00000000006"/>
    <n v="31040"/>
    <x v="0"/>
    <s v=" vỏ "/>
    <s v="40' "/>
    <n v="1"/>
  </r>
  <r>
    <n v="440000.00000000006"/>
    <n v="31040"/>
    <x v="2"/>
    <s v=" vỏ "/>
    <s v="40' "/>
    <n v="1"/>
  </r>
  <r>
    <n v="440000.00000000006"/>
    <n v="31040"/>
    <x v="1"/>
    <s v=" vỏ "/>
    <s v="40' "/>
    <n v="1"/>
  </r>
  <r>
    <n v="440000.00000000006"/>
    <n v="31040"/>
    <x v="0"/>
    <s v=" vỏ "/>
    <s v="40' "/>
    <n v="1"/>
  </r>
  <r>
    <n v="440000.00000000006"/>
    <n v="31040"/>
    <x v="2"/>
    <s v=" vỏ "/>
    <s v="40' "/>
    <n v="1"/>
  </r>
  <r>
    <n v="440000.00000000006"/>
    <n v="31040"/>
    <x v="1"/>
    <s v=" vỏ "/>
    <s v="40' "/>
    <n v="1"/>
  </r>
  <r>
    <n v="440000.00000000006"/>
    <n v="31040"/>
    <x v="0"/>
    <s v=" vỏ "/>
    <s v="40' "/>
    <n v="1"/>
  </r>
  <r>
    <n v="440000.00000000006"/>
    <n v="31040"/>
    <x v="3"/>
    <s v=" vỏ "/>
    <s v="40' "/>
    <n v="1"/>
  </r>
  <r>
    <n v="440000.00000000006"/>
    <n v="31040"/>
    <x v="4"/>
    <s v=" vỏ "/>
    <s v="40' "/>
    <n v="1"/>
  </r>
  <r>
    <n v="440000.00000000006"/>
    <n v="31040"/>
    <x v="2"/>
    <s v=" vỏ "/>
    <s v="40' "/>
    <n v="1"/>
  </r>
  <r>
    <n v="440000.00000000006"/>
    <n v="31040"/>
    <x v="5"/>
    <s v=" vỏ "/>
    <s v="40' "/>
    <n v="1"/>
  </r>
  <r>
    <n v="440000.00000000006"/>
    <n v="31040"/>
    <x v="2"/>
    <s v=" vỏ "/>
    <s v="40' "/>
    <n v="1"/>
  </r>
  <r>
    <n v="440000.00000000006"/>
    <n v="31040"/>
    <x v="6"/>
    <s v=" vỏ "/>
    <s v="40' "/>
    <n v="1"/>
  </r>
  <r>
    <n v="440000.00000000006"/>
    <n v="31040"/>
    <x v="1"/>
    <s v=" vỏ "/>
    <s v="40' "/>
    <n v="1"/>
  </r>
  <r>
    <n v="440000.00000000006"/>
    <n v="31040"/>
    <x v="4"/>
    <s v=" vỏ "/>
    <s v="40' "/>
    <n v="1"/>
  </r>
  <r>
    <n v="440000.00000000006"/>
    <n v="31040"/>
    <x v="3"/>
    <s v=" vỏ "/>
    <s v="40' "/>
    <n v="1"/>
  </r>
  <r>
    <n v="440000.00000000006"/>
    <n v="31040"/>
    <x v="0"/>
    <s v=" vỏ "/>
    <s v="40' "/>
    <n v="1"/>
  </r>
  <r>
    <n v="440000.00000000006"/>
    <n v="31040"/>
    <x v="2"/>
    <s v=" vỏ "/>
    <s v="40' "/>
    <n v="1"/>
  </r>
  <r>
    <n v="440000.00000000006"/>
    <n v="31040"/>
    <x v="6"/>
    <s v=" vỏ "/>
    <s v="40' "/>
    <n v="1"/>
  </r>
  <r>
    <n v="440000.00000000006"/>
    <n v="31040"/>
    <x v="0"/>
    <s v=" vỏ "/>
    <s v="40' "/>
    <n v="1"/>
  </r>
  <r>
    <n v="440000.00000000006"/>
    <n v="31040"/>
    <x v="3"/>
    <s v=" vỏ "/>
    <s v="40' "/>
    <n v="1"/>
  </r>
  <r>
    <n v="440000.00000000006"/>
    <n v="31040"/>
    <x v="4"/>
    <s v=" vỏ "/>
    <s v="40' "/>
    <n v="1"/>
  </r>
  <r>
    <n v="440000.00000000006"/>
    <n v="31040"/>
    <x v="1"/>
    <s v=" vỏ "/>
    <s v="40' "/>
    <n v="1"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  <r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DD3BD-65A1-434E-A18B-77B96CCBFD4F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6">
    <pivotField dataField="1" showAll="0"/>
    <pivotField showAll="0"/>
    <pivotField axis="axisRow" showAll="0">
      <items count="35">
        <item m="1" x="23"/>
        <item m="1" x="24"/>
        <item m="1" x="31"/>
        <item m="1" x="28"/>
        <item m="1" x="32"/>
        <item m="1" x="27"/>
        <item m="1" x="33"/>
        <item m="1" x="30"/>
        <item m="1" x="29"/>
        <item m="1" x="26"/>
        <item m="1" x="25"/>
        <item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</pivotFields>
  <rowFields count="1">
    <field x="2"/>
  </rowFields>
  <rowItems count="9">
    <i>
      <x v="11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chuyến" fld="5" baseField="0" baseItem="0"/>
    <dataField name="Sum of Đơn giá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"/>
  <sheetViews>
    <sheetView topLeftCell="A2" workbookViewId="0">
      <selection activeCell="D21" sqref="D21"/>
    </sheetView>
  </sheetViews>
  <sheetFormatPr defaultRowHeight="15.75" x14ac:dyDescent="0.25"/>
  <cols>
    <col min="1" max="1" width="4.125" customWidth="1"/>
    <col min="2" max="2" width="10" customWidth="1"/>
    <col min="3" max="3" width="9.375" customWidth="1"/>
    <col min="4" max="4" width="13" customWidth="1"/>
    <col min="5" max="5" width="4.25" customWidth="1"/>
    <col min="6" max="6" width="4.5" customWidth="1"/>
    <col min="7" max="8" width="4.375" customWidth="1"/>
    <col min="9" max="9" width="17.625" customWidth="1"/>
    <col min="10" max="10" width="11.25" customWidth="1"/>
    <col min="11" max="11" width="23.875" bestFit="1" customWidth="1"/>
    <col min="12" max="12" width="12.25" bestFit="1" customWidth="1"/>
    <col min="13" max="13" width="10.875" bestFit="1" customWidth="1"/>
    <col min="14" max="14" width="100.625" bestFit="1" customWidth="1"/>
  </cols>
  <sheetData>
    <row r="1" spans="1:17" ht="33.6" customHeight="1" x14ac:dyDescent="0.25">
      <c r="A1" s="34" t="s">
        <v>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7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7" x14ac:dyDescent="0.25">
      <c r="A3" s="1"/>
      <c r="B3" s="1"/>
      <c r="C3" s="1"/>
      <c r="D3" s="1" t="s">
        <v>18</v>
      </c>
      <c r="E3" s="2" t="s">
        <v>21</v>
      </c>
      <c r="F3" s="1"/>
      <c r="G3" s="1"/>
      <c r="H3" s="1"/>
      <c r="I3" s="1"/>
      <c r="J3" s="1"/>
      <c r="K3" s="1"/>
      <c r="L3" s="1"/>
    </row>
    <row r="4" spans="1:17" x14ac:dyDescent="0.25">
      <c r="A4" s="3"/>
      <c r="B4" s="4"/>
      <c r="C4" s="5"/>
      <c r="D4" s="6"/>
      <c r="E4" s="3"/>
      <c r="F4" s="3"/>
      <c r="G4" s="7"/>
      <c r="H4" s="7"/>
      <c r="I4" s="7"/>
      <c r="J4" s="7"/>
      <c r="K4" s="8"/>
      <c r="L4" s="9"/>
    </row>
    <row r="5" spans="1:17" ht="15.75" customHeight="1" x14ac:dyDescent="0.25">
      <c r="A5" s="36" t="s">
        <v>0</v>
      </c>
      <c r="B5" s="36" t="s">
        <v>1</v>
      </c>
      <c r="C5" s="38" t="s">
        <v>2</v>
      </c>
      <c r="D5" s="36" t="s">
        <v>3</v>
      </c>
      <c r="E5" s="40" t="s">
        <v>4</v>
      </c>
      <c r="F5" s="41"/>
      <c r="G5" s="40" t="s">
        <v>5</v>
      </c>
      <c r="H5" s="41"/>
      <c r="I5" s="36" t="s">
        <v>6</v>
      </c>
      <c r="J5" s="36" t="s">
        <v>17</v>
      </c>
      <c r="K5" s="36" t="s">
        <v>7</v>
      </c>
      <c r="L5" s="42" t="s">
        <v>8</v>
      </c>
    </row>
    <row r="6" spans="1:17" x14ac:dyDescent="0.25">
      <c r="A6" s="37"/>
      <c r="B6" s="37"/>
      <c r="C6" s="39"/>
      <c r="D6" s="37"/>
      <c r="E6" s="10" t="s">
        <v>9</v>
      </c>
      <c r="F6" s="10" t="s">
        <v>10</v>
      </c>
      <c r="G6" s="10" t="s">
        <v>9</v>
      </c>
      <c r="H6" s="10" t="s">
        <v>10</v>
      </c>
      <c r="I6" s="37"/>
      <c r="J6" s="37"/>
      <c r="K6" s="37"/>
      <c r="L6" s="43"/>
      <c r="N6" t="s">
        <v>171</v>
      </c>
    </row>
    <row r="7" spans="1:17" x14ac:dyDescent="0.25">
      <c r="A7" s="11">
        <v>1</v>
      </c>
      <c r="B7" s="11">
        <v>2</v>
      </c>
      <c r="C7" s="12" t="s">
        <v>11</v>
      </c>
      <c r="D7" s="11">
        <v>4</v>
      </c>
      <c r="E7" s="13" t="s">
        <v>12</v>
      </c>
      <c r="F7" s="13" t="s">
        <v>13</v>
      </c>
      <c r="G7" s="13" t="s">
        <v>14</v>
      </c>
      <c r="H7" s="13" t="s">
        <v>15</v>
      </c>
      <c r="I7" s="11">
        <v>5</v>
      </c>
      <c r="J7" s="11"/>
      <c r="K7" s="11">
        <v>6</v>
      </c>
      <c r="L7" s="11">
        <v>7</v>
      </c>
      <c r="M7" s="33" t="s">
        <v>175</v>
      </c>
      <c r="N7" s="33" t="s">
        <v>172</v>
      </c>
      <c r="O7" s="33" t="s">
        <v>173</v>
      </c>
      <c r="Q7" t="s">
        <v>174</v>
      </c>
    </row>
    <row r="8" spans="1:17" x14ac:dyDescent="0.25">
      <c r="A8" s="28">
        <v>1</v>
      </c>
      <c r="B8" s="21" t="s">
        <v>128</v>
      </c>
      <c r="C8" s="22">
        <v>46120</v>
      </c>
      <c r="D8" s="23" t="s">
        <v>25</v>
      </c>
      <c r="E8" s="24"/>
      <c r="F8" s="24">
        <v>1</v>
      </c>
      <c r="G8" s="24"/>
      <c r="H8" s="24"/>
      <c r="I8" s="24" t="s">
        <v>24</v>
      </c>
      <c r="J8" s="24" t="s">
        <v>21</v>
      </c>
      <c r="K8" s="24" t="s">
        <v>22</v>
      </c>
      <c r="L8" s="27">
        <f>400000*130%</f>
        <v>520000</v>
      </c>
      <c r="M8" s="25">
        <v>42840</v>
      </c>
      <c r="N8" s="25" t="str">
        <f>$N$7&amp;O8&amp;P8&amp;$N$6&amp;K8&amp;" - Từ ngày 6/3/2026 tăng cước"&amp;$O$7&amp;B8</f>
        <v>Cước vận chuyển cont vỏ 40' tuyến đường HECHUN-HAIAN - Từ ngày 6/3/2026 tăng cước. Số xe: 15C09877</v>
      </c>
      <c r="O8" t="str">
        <f t="shared" ref="O8" si="0">IF(E8+F8=1," vỏ "," hàng ")</f>
        <v xml:space="preserve"> vỏ </v>
      </c>
      <c r="P8" t="str">
        <f t="shared" ref="P8" si="1">IF(E8+G8=1,"20' ","40' ")</f>
        <v xml:space="preserve">40' </v>
      </c>
      <c r="Q8">
        <f t="shared" ref="Q8:Q71" si="2">E8/2+F8+G8+H8</f>
        <v>1</v>
      </c>
    </row>
    <row r="9" spans="1:17" x14ac:dyDescent="0.25">
      <c r="A9" s="28">
        <v>2</v>
      </c>
      <c r="B9" s="21" t="s">
        <v>124</v>
      </c>
      <c r="C9" s="22">
        <v>46120</v>
      </c>
      <c r="D9" s="23" t="s">
        <v>26</v>
      </c>
      <c r="E9" s="24"/>
      <c r="F9" s="24">
        <v>1</v>
      </c>
      <c r="G9" s="24"/>
      <c r="H9" s="24"/>
      <c r="I9" s="24" t="s">
        <v>24</v>
      </c>
      <c r="J9" s="24" t="s">
        <v>21</v>
      </c>
      <c r="K9" s="24" t="s">
        <v>22</v>
      </c>
      <c r="L9" s="27">
        <f t="shared" ref="L9:L27" si="3">400000*130%</f>
        <v>520000</v>
      </c>
      <c r="M9" s="25">
        <v>42840</v>
      </c>
      <c r="N9" s="25" t="str">
        <f t="shared" ref="N9:N72" si="4">$N$7&amp;O9&amp;P9&amp;$N$6&amp;K9&amp;" - Từ ngày 6/3/2026 tăng cước"&amp;$O$7&amp;B9</f>
        <v>Cước vận chuyển cont vỏ 40' tuyến đường HECHUN-HAIAN - Từ ngày 6/3/2026 tăng cước. Số xe: 15C15033</v>
      </c>
      <c r="O9" t="str">
        <f t="shared" ref="O9:O72" si="5">IF(E9+F9=1," vỏ "," hàng ")</f>
        <v xml:space="preserve"> vỏ </v>
      </c>
      <c r="P9" t="str">
        <f t="shared" ref="P9:P72" si="6">IF(E9+G9=1,"20' ","40' ")</f>
        <v xml:space="preserve">40' </v>
      </c>
      <c r="Q9">
        <f t="shared" si="2"/>
        <v>1</v>
      </c>
    </row>
    <row r="10" spans="1:17" x14ac:dyDescent="0.25">
      <c r="A10" s="28">
        <v>3</v>
      </c>
      <c r="B10" s="21" t="s">
        <v>123</v>
      </c>
      <c r="C10" s="22">
        <v>46120</v>
      </c>
      <c r="D10" s="23" t="s">
        <v>27</v>
      </c>
      <c r="E10" s="24"/>
      <c r="F10" s="24">
        <v>1</v>
      </c>
      <c r="G10" s="24"/>
      <c r="H10" s="24"/>
      <c r="I10" s="24" t="s">
        <v>24</v>
      </c>
      <c r="J10" s="24" t="s">
        <v>21</v>
      </c>
      <c r="K10" s="24" t="s">
        <v>22</v>
      </c>
      <c r="L10" s="27">
        <f t="shared" si="3"/>
        <v>520000</v>
      </c>
      <c r="M10" s="25">
        <v>42840</v>
      </c>
      <c r="N10" s="25" t="str">
        <f t="shared" si="4"/>
        <v>Cước vận chuyển cont vỏ 40' tuyến đường HECHUN-HAIAN - Từ ngày 6/3/2026 tăng cước. Số xe: 15H18552</v>
      </c>
      <c r="O10" t="str">
        <f t="shared" si="5"/>
        <v xml:space="preserve"> vỏ </v>
      </c>
      <c r="P10" t="str">
        <f t="shared" si="6"/>
        <v xml:space="preserve">40' </v>
      </c>
      <c r="Q10">
        <f t="shared" si="2"/>
        <v>1</v>
      </c>
    </row>
    <row r="11" spans="1:17" x14ac:dyDescent="0.25">
      <c r="A11" s="28">
        <v>4</v>
      </c>
      <c r="B11" s="21" t="s">
        <v>119</v>
      </c>
      <c r="C11" s="22">
        <v>46120</v>
      </c>
      <c r="D11" s="23" t="s">
        <v>28</v>
      </c>
      <c r="E11" s="24"/>
      <c r="F11" s="24">
        <v>1</v>
      </c>
      <c r="G11" s="24"/>
      <c r="H11" s="24"/>
      <c r="I11" s="24" t="s">
        <v>24</v>
      </c>
      <c r="J11" s="24" t="s">
        <v>21</v>
      </c>
      <c r="K11" s="24" t="s">
        <v>22</v>
      </c>
      <c r="L11" s="27">
        <f t="shared" si="3"/>
        <v>520000</v>
      </c>
      <c r="M11" s="25">
        <v>42840</v>
      </c>
      <c r="N11" s="25" t="str">
        <f t="shared" si="4"/>
        <v>Cước vận chuyển cont vỏ 40' tuyến đường HECHUN-HAIAN - Từ ngày 6/3/2026 tăng cước. Số xe: 15H17403</v>
      </c>
      <c r="O11" t="str">
        <f t="shared" si="5"/>
        <v xml:space="preserve"> vỏ </v>
      </c>
      <c r="P11" t="str">
        <f t="shared" si="6"/>
        <v xml:space="preserve">40' </v>
      </c>
      <c r="Q11">
        <f t="shared" si="2"/>
        <v>1</v>
      </c>
    </row>
    <row r="12" spans="1:17" x14ac:dyDescent="0.25">
      <c r="A12" s="28">
        <v>5</v>
      </c>
      <c r="B12" s="21" t="s">
        <v>122</v>
      </c>
      <c r="C12" s="22">
        <v>46120</v>
      </c>
      <c r="D12" s="23" t="s">
        <v>29</v>
      </c>
      <c r="E12" s="24"/>
      <c r="F12" s="24">
        <v>1</v>
      </c>
      <c r="G12" s="24"/>
      <c r="H12" s="24"/>
      <c r="I12" s="24" t="s">
        <v>24</v>
      </c>
      <c r="J12" s="24" t="s">
        <v>21</v>
      </c>
      <c r="K12" s="24" t="s">
        <v>22</v>
      </c>
      <c r="L12" s="27">
        <f t="shared" si="3"/>
        <v>520000</v>
      </c>
      <c r="M12" s="25">
        <v>42840</v>
      </c>
      <c r="N12" s="25" t="str">
        <f t="shared" si="4"/>
        <v>Cước vận chuyển cont vỏ 40' tuyến đường HECHUN-HAIAN - Từ ngày 6/3/2026 tăng cước. Số xe: 15H07644</v>
      </c>
      <c r="O12" t="str">
        <f t="shared" si="5"/>
        <v xml:space="preserve"> vỏ </v>
      </c>
      <c r="P12" t="str">
        <f t="shared" si="6"/>
        <v xml:space="preserve">40' </v>
      </c>
      <c r="Q12">
        <f t="shared" si="2"/>
        <v>1</v>
      </c>
    </row>
    <row r="13" spans="1:17" x14ac:dyDescent="0.25">
      <c r="A13" s="28">
        <v>6</v>
      </c>
      <c r="B13" s="21" t="s">
        <v>126</v>
      </c>
      <c r="C13" s="22">
        <v>46120</v>
      </c>
      <c r="D13" s="23" t="s">
        <v>30</v>
      </c>
      <c r="E13" s="24"/>
      <c r="F13" s="24">
        <v>1</v>
      </c>
      <c r="G13" s="24"/>
      <c r="H13" s="24"/>
      <c r="I13" s="24" t="s">
        <v>24</v>
      </c>
      <c r="J13" s="24" t="s">
        <v>21</v>
      </c>
      <c r="K13" s="24" t="s">
        <v>22</v>
      </c>
      <c r="L13" s="27">
        <f t="shared" si="3"/>
        <v>520000</v>
      </c>
      <c r="M13" s="25">
        <v>42840</v>
      </c>
      <c r="N13" s="25" t="str">
        <f t="shared" si="4"/>
        <v>Cước vận chuyển cont vỏ 40' tuyến đường HECHUN-HAIAN - Từ ngày 6/3/2026 tăng cước. Số xe: 15H07135</v>
      </c>
      <c r="O13" t="str">
        <f t="shared" si="5"/>
        <v xml:space="preserve"> vỏ </v>
      </c>
      <c r="P13" t="str">
        <f t="shared" si="6"/>
        <v xml:space="preserve">40' </v>
      </c>
      <c r="Q13">
        <f t="shared" si="2"/>
        <v>1</v>
      </c>
    </row>
    <row r="14" spans="1:17" x14ac:dyDescent="0.25">
      <c r="A14" s="28">
        <v>7</v>
      </c>
      <c r="B14" s="21" t="s">
        <v>125</v>
      </c>
      <c r="C14" s="22">
        <v>46120</v>
      </c>
      <c r="D14" s="23" t="s">
        <v>31</v>
      </c>
      <c r="E14" s="24"/>
      <c r="F14" s="24">
        <v>1</v>
      </c>
      <c r="G14" s="24"/>
      <c r="H14" s="24"/>
      <c r="I14" s="24" t="s">
        <v>24</v>
      </c>
      <c r="J14" s="24" t="s">
        <v>21</v>
      </c>
      <c r="K14" s="24" t="s">
        <v>22</v>
      </c>
      <c r="L14" s="27">
        <f t="shared" si="3"/>
        <v>520000</v>
      </c>
      <c r="M14" s="25">
        <v>42840</v>
      </c>
      <c r="N14" s="25" t="str">
        <f t="shared" si="4"/>
        <v>Cước vận chuyển cont vỏ 40' tuyến đường HECHUN-HAIAN - Từ ngày 6/3/2026 tăng cước. Số xe: 15H12925</v>
      </c>
      <c r="O14" t="str">
        <f t="shared" si="5"/>
        <v xml:space="preserve"> vỏ </v>
      </c>
      <c r="P14" t="str">
        <f t="shared" si="6"/>
        <v xml:space="preserve">40' </v>
      </c>
      <c r="Q14">
        <f t="shared" si="2"/>
        <v>1</v>
      </c>
    </row>
    <row r="15" spans="1:17" x14ac:dyDescent="0.25">
      <c r="A15" s="28">
        <v>8</v>
      </c>
      <c r="B15" s="21" t="s">
        <v>128</v>
      </c>
      <c r="C15" s="22">
        <v>46120</v>
      </c>
      <c r="D15" s="23" t="s">
        <v>32</v>
      </c>
      <c r="E15" s="24"/>
      <c r="F15" s="24">
        <v>1</v>
      </c>
      <c r="G15" s="24"/>
      <c r="H15" s="24"/>
      <c r="I15" s="24" t="s">
        <v>24</v>
      </c>
      <c r="J15" s="24" t="s">
        <v>21</v>
      </c>
      <c r="K15" s="24" t="s">
        <v>22</v>
      </c>
      <c r="L15" s="27">
        <f t="shared" si="3"/>
        <v>520000</v>
      </c>
      <c r="M15" s="25">
        <v>42840</v>
      </c>
      <c r="N15" s="25" t="str">
        <f t="shared" si="4"/>
        <v>Cước vận chuyển cont vỏ 40' tuyến đường HECHUN-HAIAN - Từ ngày 6/3/2026 tăng cước. Số xe: 15C09877</v>
      </c>
      <c r="O15" t="str">
        <f t="shared" si="5"/>
        <v xml:space="preserve"> vỏ </v>
      </c>
      <c r="P15" t="str">
        <f t="shared" si="6"/>
        <v xml:space="preserve">40' </v>
      </c>
      <c r="Q15">
        <f t="shared" si="2"/>
        <v>1</v>
      </c>
    </row>
    <row r="16" spans="1:17" x14ac:dyDescent="0.25">
      <c r="A16" s="28">
        <v>9</v>
      </c>
      <c r="B16" s="21" t="s">
        <v>127</v>
      </c>
      <c r="C16" s="22">
        <v>46120</v>
      </c>
      <c r="D16" s="23" t="s">
        <v>33</v>
      </c>
      <c r="E16" s="24"/>
      <c r="F16" s="24">
        <v>1</v>
      </c>
      <c r="G16" s="24"/>
      <c r="H16" s="24"/>
      <c r="I16" s="24" t="s">
        <v>24</v>
      </c>
      <c r="J16" s="24" t="s">
        <v>21</v>
      </c>
      <c r="K16" s="24" t="s">
        <v>22</v>
      </c>
      <c r="L16" s="27">
        <f t="shared" si="3"/>
        <v>520000</v>
      </c>
      <c r="M16" s="25">
        <v>42840</v>
      </c>
      <c r="N16" s="25" t="str">
        <f t="shared" si="4"/>
        <v>Cước vận chuyển cont vỏ 40' tuyến đường HECHUN-HAIAN - Từ ngày 6/3/2026 tăng cước. Số xe: 15H08574</v>
      </c>
      <c r="O16" t="str">
        <f t="shared" si="5"/>
        <v xml:space="preserve"> vỏ </v>
      </c>
      <c r="P16" t="str">
        <f t="shared" si="6"/>
        <v xml:space="preserve">40' </v>
      </c>
      <c r="Q16">
        <f t="shared" si="2"/>
        <v>1</v>
      </c>
    </row>
    <row r="17" spans="1:17" x14ac:dyDescent="0.25">
      <c r="A17" s="28">
        <v>10</v>
      </c>
      <c r="B17" s="21" t="s">
        <v>125</v>
      </c>
      <c r="C17" s="22">
        <v>46120</v>
      </c>
      <c r="D17" s="23" t="s">
        <v>34</v>
      </c>
      <c r="E17" s="24"/>
      <c r="F17" s="24">
        <v>1</v>
      </c>
      <c r="G17" s="24"/>
      <c r="H17" s="24"/>
      <c r="I17" s="24" t="s">
        <v>24</v>
      </c>
      <c r="J17" s="24" t="s">
        <v>21</v>
      </c>
      <c r="K17" s="24" t="s">
        <v>22</v>
      </c>
      <c r="L17" s="27">
        <f t="shared" si="3"/>
        <v>520000</v>
      </c>
      <c r="M17" s="25">
        <v>42840</v>
      </c>
      <c r="N17" s="25" t="str">
        <f t="shared" si="4"/>
        <v>Cước vận chuyển cont vỏ 40' tuyến đường HECHUN-HAIAN - Từ ngày 6/3/2026 tăng cước. Số xe: 15H12925</v>
      </c>
      <c r="O17" t="str">
        <f t="shared" si="5"/>
        <v xml:space="preserve"> vỏ </v>
      </c>
      <c r="P17" t="str">
        <f t="shared" si="6"/>
        <v xml:space="preserve">40' </v>
      </c>
      <c r="Q17">
        <f t="shared" si="2"/>
        <v>1</v>
      </c>
    </row>
    <row r="18" spans="1:17" x14ac:dyDescent="0.25">
      <c r="A18" s="28">
        <v>11</v>
      </c>
      <c r="B18" s="21" t="s">
        <v>126</v>
      </c>
      <c r="C18" s="22">
        <v>46120</v>
      </c>
      <c r="D18" s="23" t="s">
        <v>35</v>
      </c>
      <c r="E18" s="24"/>
      <c r="F18" s="24">
        <v>1</v>
      </c>
      <c r="G18" s="24"/>
      <c r="H18" s="24"/>
      <c r="I18" s="24" t="s">
        <v>24</v>
      </c>
      <c r="J18" s="24" t="s">
        <v>21</v>
      </c>
      <c r="K18" s="24" t="s">
        <v>22</v>
      </c>
      <c r="L18" s="27">
        <f t="shared" si="3"/>
        <v>520000</v>
      </c>
      <c r="M18" s="25">
        <v>42840</v>
      </c>
      <c r="N18" s="25" t="str">
        <f t="shared" si="4"/>
        <v>Cước vận chuyển cont vỏ 40' tuyến đường HECHUN-HAIAN - Từ ngày 6/3/2026 tăng cước. Số xe: 15H07135</v>
      </c>
      <c r="O18" t="str">
        <f t="shared" si="5"/>
        <v xml:space="preserve"> vỏ </v>
      </c>
      <c r="P18" t="str">
        <f t="shared" si="6"/>
        <v xml:space="preserve">40' </v>
      </c>
      <c r="Q18">
        <f t="shared" si="2"/>
        <v>1</v>
      </c>
    </row>
    <row r="19" spans="1:17" x14ac:dyDescent="0.25">
      <c r="A19" s="28">
        <v>12</v>
      </c>
      <c r="B19" s="21" t="s">
        <v>122</v>
      </c>
      <c r="C19" s="22">
        <v>46120</v>
      </c>
      <c r="D19" s="23" t="s">
        <v>36</v>
      </c>
      <c r="E19" s="24"/>
      <c r="F19" s="24">
        <v>1</v>
      </c>
      <c r="G19" s="24"/>
      <c r="H19" s="24"/>
      <c r="I19" s="24" t="s">
        <v>24</v>
      </c>
      <c r="J19" s="24" t="s">
        <v>21</v>
      </c>
      <c r="K19" s="24" t="s">
        <v>22</v>
      </c>
      <c r="L19" s="27">
        <f t="shared" si="3"/>
        <v>520000</v>
      </c>
      <c r="M19" s="25">
        <v>42840</v>
      </c>
      <c r="N19" s="25" t="str">
        <f t="shared" si="4"/>
        <v>Cước vận chuyển cont vỏ 40' tuyến đường HECHUN-HAIAN - Từ ngày 6/3/2026 tăng cước. Số xe: 15H07644</v>
      </c>
      <c r="O19" t="str">
        <f t="shared" si="5"/>
        <v xml:space="preserve"> vỏ </v>
      </c>
      <c r="P19" t="str">
        <f t="shared" si="6"/>
        <v xml:space="preserve">40' </v>
      </c>
      <c r="Q19">
        <f t="shared" si="2"/>
        <v>1</v>
      </c>
    </row>
    <row r="20" spans="1:17" x14ac:dyDescent="0.25">
      <c r="A20" s="28">
        <v>13</v>
      </c>
      <c r="B20" s="21" t="s">
        <v>123</v>
      </c>
      <c r="C20" s="22">
        <v>46120</v>
      </c>
      <c r="D20" s="23" t="s">
        <v>37</v>
      </c>
      <c r="E20" s="24"/>
      <c r="F20" s="24">
        <v>1</v>
      </c>
      <c r="G20" s="24"/>
      <c r="H20" s="24"/>
      <c r="I20" s="24" t="s">
        <v>24</v>
      </c>
      <c r="J20" s="24" t="s">
        <v>21</v>
      </c>
      <c r="K20" s="24" t="s">
        <v>22</v>
      </c>
      <c r="L20" s="27">
        <f t="shared" si="3"/>
        <v>520000</v>
      </c>
      <c r="M20" s="25">
        <v>42840</v>
      </c>
      <c r="N20" s="25" t="str">
        <f t="shared" si="4"/>
        <v>Cước vận chuyển cont vỏ 40' tuyến đường HECHUN-HAIAN - Từ ngày 6/3/2026 tăng cước. Số xe: 15H18552</v>
      </c>
      <c r="O20" t="str">
        <f t="shared" si="5"/>
        <v xml:space="preserve"> vỏ </v>
      </c>
      <c r="P20" t="str">
        <f t="shared" si="6"/>
        <v xml:space="preserve">40' </v>
      </c>
      <c r="Q20">
        <f t="shared" si="2"/>
        <v>1</v>
      </c>
    </row>
    <row r="21" spans="1:17" x14ac:dyDescent="0.25">
      <c r="A21" s="28">
        <v>14</v>
      </c>
      <c r="B21" s="21" t="s">
        <v>124</v>
      </c>
      <c r="C21" s="22">
        <v>46120</v>
      </c>
      <c r="D21" s="23" t="s">
        <v>38</v>
      </c>
      <c r="E21" s="24"/>
      <c r="F21" s="24">
        <v>1</v>
      </c>
      <c r="G21" s="24"/>
      <c r="H21" s="24"/>
      <c r="I21" s="24" t="s">
        <v>24</v>
      </c>
      <c r="J21" s="24" t="s">
        <v>21</v>
      </c>
      <c r="K21" s="24" t="s">
        <v>22</v>
      </c>
      <c r="L21" s="27">
        <f t="shared" si="3"/>
        <v>520000</v>
      </c>
      <c r="M21" s="25">
        <v>42840</v>
      </c>
      <c r="N21" s="25" t="str">
        <f t="shared" si="4"/>
        <v>Cước vận chuyển cont vỏ 40' tuyến đường HECHUN-HAIAN - Từ ngày 6/3/2026 tăng cước. Số xe: 15C15033</v>
      </c>
      <c r="O21" t="str">
        <f t="shared" si="5"/>
        <v xml:space="preserve"> vỏ </v>
      </c>
      <c r="P21" t="str">
        <f t="shared" si="6"/>
        <v xml:space="preserve">40' </v>
      </c>
      <c r="Q21">
        <f t="shared" si="2"/>
        <v>1</v>
      </c>
    </row>
    <row r="22" spans="1:17" x14ac:dyDescent="0.25">
      <c r="A22" s="28">
        <v>15</v>
      </c>
      <c r="B22" s="21" t="s">
        <v>120</v>
      </c>
      <c r="C22" s="22">
        <v>46120</v>
      </c>
      <c r="D22" s="23" t="s">
        <v>39</v>
      </c>
      <c r="E22" s="24"/>
      <c r="F22" s="24">
        <v>1</v>
      </c>
      <c r="G22" s="24"/>
      <c r="H22" s="24"/>
      <c r="I22" s="24" t="s">
        <v>24</v>
      </c>
      <c r="J22" s="24" t="s">
        <v>21</v>
      </c>
      <c r="K22" s="24" t="s">
        <v>22</v>
      </c>
      <c r="L22" s="27">
        <f t="shared" si="3"/>
        <v>520000</v>
      </c>
      <c r="M22" s="25">
        <v>42840</v>
      </c>
      <c r="N22" s="25" t="str">
        <f t="shared" si="4"/>
        <v>Cước vận chuyển cont vỏ 40' tuyến đường HECHUN-HAIAN - Từ ngày 6/3/2026 tăng cước. Số xe: 15C17301</v>
      </c>
      <c r="O22" t="str">
        <f t="shared" si="5"/>
        <v xml:space="preserve"> vỏ </v>
      </c>
      <c r="P22" t="str">
        <f t="shared" si="6"/>
        <v xml:space="preserve">40' </v>
      </c>
      <c r="Q22">
        <f t="shared" si="2"/>
        <v>1</v>
      </c>
    </row>
    <row r="23" spans="1:17" x14ac:dyDescent="0.25">
      <c r="A23" s="28">
        <v>16</v>
      </c>
      <c r="B23" s="21" t="s">
        <v>121</v>
      </c>
      <c r="C23" s="22">
        <v>46120</v>
      </c>
      <c r="D23" s="23" t="s">
        <v>40</v>
      </c>
      <c r="E23" s="24"/>
      <c r="F23" s="24">
        <v>1</v>
      </c>
      <c r="G23" s="24"/>
      <c r="H23" s="24"/>
      <c r="I23" s="24" t="s">
        <v>24</v>
      </c>
      <c r="J23" s="24" t="s">
        <v>21</v>
      </c>
      <c r="K23" s="24" t="s">
        <v>22</v>
      </c>
      <c r="L23" s="27">
        <f t="shared" si="3"/>
        <v>520000</v>
      </c>
      <c r="M23" s="25">
        <v>42840</v>
      </c>
      <c r="N23" s="25" t="str">
        <f t="shared" si="4"/>
        <v>Cước vận chuyển cont vỏ 40' tuyến đường HECHUN-HAIAN - Từ ngày 6/3/2026 tăng cước. Số xe: 15H07524</v>
      </c>
      <c r="O23" t="str">
        <f t="shared" si="5"/>
        <v xml:space="preserve"> vỏ </v>
      </c>
      <c r="P23" t="str">
        <f t="shared" si="6"/>
        <v xml:space="preserve">40' </v>
      </c>
      <c r="Q23">
        <f t="shared" si="2"/>
        <v>1</v>
      </c>
    </row>
    <row r="24" spans="1:17" x14ac:dyDescent="0.25">
      <c r="A24" s="28">
        <v>17</v>
      </c>
      <c r="B24" s="21" t="s">
        <v>127</v>
      </c>
      <c r="C24" s="22">
        <v>46120</v>
      </c>
      <c r="D24" s="23" t="s">
        <v>41</v>
      </c>
      <c r="E24" s="24"/>
      <c r="F24" s="24">
        <v>1</v>
      </c>
      <c r="G24" s="24"/>
      <c r="H24" s="24"/>
      <c r="I24" s="24" t="s">
        <v>24</v>
      </c>
      <c r="J24" s="24" t="s">
        <v>21</v>
      </c>
      <c r="K24" s="24" t="s">
        <v>22</v>
      </c>
      <c r="L24" s="27">
        <f t="shared" si="3"/>
        <v>520000</v>
      </c>
      <c r="M24" s="25">
        <v>42840</v>
      </c>
      <c r="N24" s="25" t="str">
        <f t="shared" si="4"/>
        <v>Cước vận chuyển cont vỏ 40' tuyến đường HECHUN-HAIAN - Từ ngày 6/3/2026 tăng cước. Số xe: 15H08574</v>
      </c>
      <c r="O24" t="str">
        <f t="shared" si="5"/>
        <v xml:space="preserve"> vỏ </v>
      </c>
      <c r="P24" t="str">
        <f t="shared" si="6"/>
        <v xml:space="preserve">40' </v>
      </c>
      <c r="Q24">
        <f t="shared" si="2"/>
        <v>1</v>
      </c>
    </row>
    <row r="25" spans="1:17" x14ac:dyDescent="0.25">
      <c r="A25" s="28">
        <v>18</v>
      </c>
      <c r="B25" s="21" t="s">
        <v>120</v>
      </c>
      <c r="C25" s="22">
        <v>46120</v>
      </c>
      <c r="D25" s="23" t="s">
        <v>42</v>
      </c>
      <c r="E25" s="24"/>
      <c r="F25" s="24">
        <v>1</v>
      </c>
      <c r="G25" s="24"/>
      <c r="H25" s="24"/>
      <c r="I25" s="24" t="s">
        <v>24</v>
      </c>
      <c r="J25" s="24" t="s">
        <v>21</v>
      </c>
      <c r="K25" s="24" t="s">
        <v>22</v>
      </c>
      <c r="L25" s="27">
        <f t="shared" si="3"/>
        <v>520000</v>
      </c>
      <c r="M25" s="25">
        <v>42840</v>
      </c>
      <c r="N25" s="25" t="str">
        <f t="shared" si="4"/>
        <v>Cước vận chuyển cont vỏ 40' tuyến đường HECHUN-HAIAN - Từ ngày 6/3/2026 tăng cước. Số xe: 15C17301</v>
      </c>
      <c r="O25" t="str">
        <f t="shared" si="5"/>
        <v xml:space="preserve"> vỏ </v>
      </c>
      <c r="P25" t="str">
        <f t="shared" si="6"/>
        <v xml:space="preserve">40' </v>
      </c>
      <c r="Q25">
        <f t="shared" si="2"/>
        <v>1</v>
      </c>
    </row>
    <row r="26" spans="1:17" x14ac:dyDescent="0.25">
      <c r="A26" s="28">
        <v>19</v>
      </c>
      <c r="B26" s="21" t="s">
        <v>128</v>
      </c>
      <c r="C26" s="22">
        <v>46120</v>
      </c>
      <c r="D26" s="23" t="s">
        <v>43</v>
      </c>
      <c r="E26" s="24"/>
      <c r="F26" s="24">
        <v>1</v>
      </c>
      <c r="G26" s="24"/>
      <c r="H26" s="24"/>
      <c r="I26" s="24" t="s">
        <v>24</v>
      </c>
      <c r="J26" s="24" t="s">
        <v>21</v>
      </c>
      <c r="K26" s="24" t="s">
        <v>22</v>
      </c>
      <c r="L26" s="27">
        <f t="shared" si="3"/>
        <v>520000</v>
      </c>
      <c r="M26" s="25">
        <v>42840</v>
      </c>
      <c r="N26" s="25" t="str">
        <f t="shared" si="4"/>
        <v>Cước vận chuyển cont vỏ 40' tuyến đường HECHUN-HAIAN - Từ ngày 6/3/2026 tăng cước. Số xe: 15C09877</v>
      </c>
      <c r="O26" t="str">
        <f t="shared" si="5"/>
        <v xml:space="preserve"> vỏ </v>
      </c>
      <c r="P26" t="str">
        <f t="shared" si="6"/>
        <v xml:space="preserve">40' </v>
      </c>
      <c r="Q26">
        <f t="shared" si="2"/>
        <v>1</v>
      </c>
    </row>
    <row r="27" spans="1:17" x14ac:dyDescent="0.25">
      <c r="A27" s="28">
        <v>20</v>
      </c>
      <c r="B27" s="21" t="s">
        <v>118</v>
      </c>
      <c r="C27" s="30">
        <v>46120</v>
      </c>
      <c r="D27" s="31" t="s">
        <v>44</v>
      </c>
      <c r="E27" s="32"/>
      <c r="F27" s="32">
        <v>1</v>
      </c>
      <c r="G27" s="32"/>
      <c r="H27" s="32"/>
      <c r="I27" s="32" t="s">
        <v>24</v>
      </c>
      <c r="J27" s="32" t="s">
        <v>21</v>
      </c>
      <c r="K27" s="32" t="s">
        <v>22</v>
      </c>
      <c r="L27" s="27">
        <f t="shared" si="3"/>
        <v>520000</v>
      </c>
      <c r="M27" s="25">
        <v>42840</v>
      </c>
      <c r="N27" s="25" t="str">
        <f t="shared" si="4"/>
        <v>Cước vận chuyển cont vỏ 40' tuyến đường HECHUN-HAIAN - Từ ngày 6/3/2026 tăng cước. Số xe: 15H07788</v>
      </c>
      <c r="O27" t="str">
        <f t="shared" si="5"/>
        <v xml:space="preserve"> vỏ </v>
      </c>
      <c r="P27" t="str">
        <f t="shared" si="6"/>
        <v xml:space="preserve">40' </v>
      </c>
      <c r="Q27">
        <f t="shared" si="2"/>
        <v>1</v>
      </c>
    </row>
    <row r="28" spans="1:17" x14ac:dyDescent="0.25">
      <c r="A28" s="28">
        <v>21</v>
      </c>
      <c r="B28" s="21" t="s">
        <v>128</v>
      </c>
      <c r="C28" s="22">
        <v>46122</v>
      </c>
      <c r="D28" s="23" t="s">
        <v>45</v>
      </c>
      <c r="E28" s="24"/>
      <c r="F28" s="24">
        <v>1</v>
      </c>
      <c r="G28" s="24"/>
      <c r="H28" s="24"/>
      <c r="I28" s="24" t="s">
        <v>115</v>
      </c>
      <c r="J28" s="24" t="s">
        <v>21</v>
      </c>
      <c r="K28" s="24" t="s">
        <v>116</v>
      </c>
      <c r="L28" s="27">
        <f>400000*115%</f>
        <v>459999.99999999994</v>
      </c>
      <c r="M28" s="25">
        <v>32960</v>
      </c>
      <c r="N28" s="25" t="str">
        <f t="shared" si="4"/>
        <v>Cước vận chuyển cont vỏ 40' tuyến đường HECHUN-HAIAN  - Từ ngày 6/3/2026 tăng cước. Số xe: 15C09877</v>
      </c>
      <c r="O28" t="str">
        <f t="shared" si="5"/>
        <v xml:space="preserve"> vỏ </v>
      </c>
      <c r="P28" t="str">
        <f t="shared" si="6"/>
        <v xml:space="preserve">40' </v>
      </c>
      <c r="Q28">
        <f t="shared" si="2"/>
        <v>1</v>
      </c>
    </row>
    <row r="29" spans="1:17" x14ac:dyDescent="0.25">
      <c r="A29" s="28">
        <v>22</v>
      </c>
      <c r="B29" s="21" t="s">
        <v>119</v>
      </c>
      <c r="C29" s="22">
        <v>46122</v>
      </c>
      <c r="D29" s="23" t="s">
        <v>46</v>
      </c>
      <c r="E29" s="24"/>
      <c r="F29" s="24">
        <v>1</v>
      </c>
      <c r="G29" s="24"/>
      <c r="H29" s="24"/>
      <c r="I29" s="24" t="s">
        <v>115</v>
      </c>
      <c r="J29" s="24" t="s">
        <v>21</v>
      </c>
      <c r="K29" s="24" t="s">
        <v>116</v>
      </c>
      <c r="L29" s="27">
        <f t="shared" ref="L29:L92" si="7">400000*115%</f>
        <v>459999.99999999994</v>
      </c>
      <c r="M29" s="25">
        <v>32960</v>
      </c>
      <c r="N29" s="25" t="str">
        <f t="shared" si="4"/>
        <v>Cước vận chuyển cont vỏ 40' tuyến đường HECHUN-HAIAN  - Từ ngày 6/3/2026 tăng cước. Số xe: 15H17403</v>
      </c>
      <c r="O29" t="str">
        <f t="shared" si="5"/>
        <v xml:space="preserve"> vỏ </v>
      </c>
      <c r="P29" t="str">
        <f t="shared" si="6"/>
        <v xml:space="preserve">40' </v>
      </c>
      <c r="Q29">
        <f t="shared" si="2"/>
        <v>1</v>
      </c>
    </row>
    <row r="30" spans="1:17" x14ac:dyDescent="0.25">
      <c r="A30" s="28">
        <v>23</v>
      </c>
      <c r="B30" s="21" t="s">
        <v>122</v>
      </c>
      <c r="C30" s="22">
        <v>46122</v>
      </c>
      <c r="D30" s="23" t="s">
        <v>47</v>
      </c>
      <c r="E30" s="24"/>
      <c r="F30" s="24">
        <v>1</v>
      </c>
      <c r="G30" s="24"/>
      <c r="H30" s="24"/>
      <c r="I30" s="24" t="s">
        <v>115</v>
      </c>
      <c r="J30" s="24" t="s">
        <v>21</v>
      </c>
      <c r="K30" s="24" t="s">
        <v>116</v>
      </c>
      <c r="L30" s="27">
        <f t="shared" si="7"/>
        <v>459999.99999999994</v>
      </c>
      <c r="M30" s="25">
        <v>32960</v>
      </c>
      <c r="N30" s="25" t="str">
        <f t="shared" si="4"/>
        <v>Cước vận chuyển cont vỏ 40' tuyến đường HECHUN-HAIAN  - Từ ngày 6/3/2026 tăng cước. Số xe: 15H07644</v>
      </c>
      <c r="O30" t="str">
        <f t="shared" si="5"/>
        <v xml:space="preserve"> vỏ </v>
      </c>
      <c r="P30" t="str">
        <f t="shared" si="6"/>
        <v xml:space="preserve">40' </v>
      </c>
      <c r="Q30">
        <f t="shared" si="2"/>
        <v>1</v>
      </c>
    </row>
    <row r="31" spans="1:17" x14ac:dyDescent="0.25">
      <c r="A31" s="28">
        <v>24</v>
      </c>
      <c r="B31" s="21" t="s">
        <v>120</v>
      </c>
      <c r="C31" s="22">
        <v>46122</v>
      </c>
      <c r="D31" s="23" t="s">
        <v>48</v>
      </c>
      <c r="E31" s="24"/>
      <c r="F31" s="24">
        <v>1</v>
      </c>
      <c r="G31" s="24"/>
      <c r="H31" s="24"/>
      <c r="I31" s="24" t="s">
        <v>115</v>
      </c>
      <c r="J31" s="24" t="s">
        <v>21</v>
      </c>
      <c r="K31" s="24" t="s">
        <v>116</v>
      </c>
      <c r="L31" s="27">
        <f t="shared" si="7"/>
        <v>459999.99999999994</v>
      </c>
      <c r="M31" s="25">
        <v>32960</v>
      </c>
      <c r="N31" s="25" t="str">
        <f t="shared" si="4"/>
        <v>Cước vận chuyển cont vỏ 40' tuyến đường HECHUN-HAIAN  - Từ ngày 6/3/2026 tăng cước. Số xe: 15C17301</v>
      </c>
      <c r="O31" t="str">
        <f t="shared" si="5"/>
        <v xml:space="preserve"> vỏ </v>
      </c>
      <c r="P31" t="str">
        <f t="shared" si="6"/>
        <v xml:space="preserve">40' </v>
      </c>
      <c r="Q31">
        <f t="shared" si="2"/>
        <v>1</v>
      </c>
    </row>
    <row r="32" spans="1:17" x14ac:dyDescent="0.25">
      <c r="A32" s="28">
        <v>25</v>
      </c>
      <c r="B32" s="21" t="s">
        <v>127</v>
      </c>
      <c r="C32" s="22">
        <v>46122</v>
      </c>
      <c r="D32" s="23" t="s">
        <v>49</v>
      </c>
      <c r="E32" s="24"/>
      <c r="F32" s="24">
        <v>1</v>
      </c>
      <c r="G32" s="24"/>
      <c r="H32" s="24"/>
      <c r="I32" s="24" t="s">
        <v>115</v>
      </c>
      <c r="J32" s="24" t="s">
        <v>21</v>
      </c>
      <c r="K32" s="24" t="s">
        <v>116</v>
      </c>
      <c r="L32" s="27">
        <f t="shared" si="7"/>
        <v>459999.99999999994</v>
      </c>
      <c r="M32" s="25">
        <v>32960</v>
      </c>
      <c r="N32" s="25" t="str">
        <f t="shared" si="4"/>
        <v>Cước vận chuyển cont vỏ 40' tuyến đường HECHUN-HAIAN  - Từ ngày 6/3/2026 tăng cước. Số xe: 15H08574</v>
      </c>
      <c r="O32" t="str">
        <f t="shared" si="5"/>
        <v xml:space="preserve"> vỏ </v>
      </c>
      <c r="P32" t="str">
        <f t="shared" si="6"/>
        <v xml:space="preserve">40' </v>
      </c>
      <c r="Q32">
        <f t="shared" si="2"/>
        <v>1</v>
      </c>
    </row>
    <row r="33" spans="1:17" x14ac:dyDescent="0.25">
      <c r="A33" s="28">
        <v>26</v>
      </c>
      <c r="B33" s="21" t="s">
        <v>124</v>
      </c>
      <c r="C33" s="22">
        <v>46122</v>
      </c>
      <c r="D33" s="23" t="s">
        <v>50</v>
      </c>
      <c r="E33" s="24"/>
      <c r="F33" s="24">
        <v>1</v>
      </c>
      <c r="G33" s="24"/>
      <c r="H33" s="24"/>
      <c r="I33" s="24" t="s">
        <v>115</v>
      </c>
      <c r="J33" s="24" t="s">
        <v>21</v>
      </c>
      <c r="K33" s="24" t="s">
        <v>116</v>
      </c>
      <c r="L33" s="27">
        <f t="shared" si="7"/>
        <v>459999.99999999994</v>
      </c>
      <c r="M33" s="25">
        <v>32960</v>
      </c>
      <c r="N33" s="25" t="str">
        <f t="shared" si="4"/>
        <v>Cước vận chuyển cont vỏ 40' tuyến đường HECHUN-HAIAN  - Từ ngày 6/3/2026 tăng cước. Số xe: 15C15033</v>
      </c>
      <c r="O33" t="str">
        <f t="shared" si="5"/>
        <v xml:space="preserve"> vỏ </v>
      </c>
      <c r="P33" t="str">
        <f t="shared" si="6"/>
        <v xml:space="preserve">40' </v>
      </c>
      <c r="Q33">
        <f t="shared" si="2"/>
        <v>1</v>
      </c>
    </row>
    <row r="34" spans="1:17" x14ac:dyDescent="0.25">
      <c r="A34" s="28">
        <v>27</v>
      </c>
      <c r="B34" s="21" t="s">
        <v>126</v>
      </c>
      <c r="C34" s="22">
        <v>46122</v>
      </c>
      <c r="D34" s="23" t="s">
        <v>51</v>
      </c>
      <c r="E34" s="24"/>
      <c r="F34" s="24">
        <v>1</v>
      </c>
      <c r="G34" s="24"/>
      <c r="H34" s="24"/>
      <c r="I34" s="24" t="s">
        <v>115</v>
      </c>
      <c r="J34" s="24" t="s">
        <v>21</v>
      </c>
      <c r="K34" s="24" t="s">
        <v>116</v>
      </c>
      <c r="L34" s="27">
        <f t="shared" si="7"/>
        <v>459999.99999999994</v>
      </c>
      <c r="M34" s="25">
        <v>32960</v>
      </c>
      <c r="N34" s="25" t="str">
        <f t="shared" si="4"/>
        <v>Cước vận chuyển cont vỏ 40' tuyến đường HECHUN-HAIAN  - Từ ngày 6/3/2026 tăng cước. Số xe: 15H07135</v>
      </c>
      <c r="O34" t="str">
        <f t="shared" si="5"/>
        <v xml:space="preserve"> vỏ </v>
      </c>
      <c r="P34" t="str">
        <f t="shared" si="6"/>
        <v xml:space="preserve">40' </v>
      </c>
      <c r="Q34">
        <f t="shared" si="2"/>
        <v>1</v>
      </c>
    </row>
    <row r="35" spans="1:17" x14ac:dyDescent="0.25">
      <c r="A35" s="28">
        <v>28</v>
      </c>
      <c r="B35" s="21" t="s">
        <v>165</v>
      </c>
      <c r="C35" s="22">
        <v>46122</v>
      </c>
      <c r="D35" s="23" t="s">
        <v>52</v>
      </c>
      <c r="E35" s="24"/>
      <c r="F35" s="24">
        <v>1</v>
      </c>
      <c r="G35" s="24"/>
      <c r="H35" s="24"/>
      <c r="I35" s="24" t="s">
        <v>115</v>
      </c>
      <c r="J35" s="24" t="s">
        <v>21</v>
      </c>
      <c r="K35" s="24" t="s">
        <v>116</v>
      </c>
      <c r="L35" s="27">
        <f t="shared" si="7"/>
        <v>459999.99999999994</v>
      </c>
      <c r="M35" s="25">
        <v>32960</v>
      </c>
      <c r="N35" s="25" t="str">
        <f t="shared" si="4"/>
        <v>Cước vận chuyển cont vỏ 40' tuyến đường HECHUN-HAIAN  - Từ ngày 6/3/2026 tăng cước. Số xe: 15H20645</v>
      </c>
      <c r="O35" t="str">
        <f t="shared" si="5"/>
        <v xml:space="preserve"> vỏ </v>
      </c>
      <c r="P35" t="str">
        <f t="shared" si="6"/>
        <v xml:space="preserve">40' </v>
      </c>
      <c r="Q35">
        <f t="shared" si="2"/>
        <v>1</v>
      </c>
    </row>
    <row r="36" spans="1:17" x14ac:dyDescent="0.25">
      <c r="A36" s="28">
        <v>29</v>
      </c>
      <c r="B36" s="21" t="s">
        <v>123</v>
      </c>
      <c r="C36" s="22">
        <v>46122</v>
      </c>
      <c r="D36" s="23" t="s">
        <v>53</v>
      </c>
      <c r="E36" s="24"/>
      <c r="F36" s="24">
        <v>1</v>
      </c>
      <c r="G36" s="24"/>
      <c r="H36" s="24"/>
      <c r="I36" s="24" t="s">
        <v>115</v>
      </c>
      <c r="J36" s="24" t="s">
        <v>21</v>
      </c>
      <c r="K36" s="24" t="s">
        <v>116</v>
      </c>
      <c r="L36" s="27">
        <f t="shared" si="7"/>
        <v>459999.99999999994</v>
      </c>
      <c r="M36" s="25">
        <v>32960</v>
      </c>
      <c r="N36" s="25" t="str">
        <f t="shared" si="4"/>
        <v>Cước vận chuyển cont vỏ 40' tuyến đường HECHUN-HAIAN  - Từ ngày 6/3/2026 tăng cước. Số xe: 15H18552</v>
      </c>
      <c r="O36" t="str">
        <f t="shared" si="5"/>
        <v xml:space="preserve"> vỏ </v>
      </c>
      <c r="P36" t="str">
        <f t="shared" si="6"/>
        <v xml:space="preserve">40' </v>
      </c>
      <c r="Q36">
        <f t="shared" si="2"/>
        <v>1</v>
      </c>
    </row>
    <row r="37" spans="1:17" x14ac:dyDescent="0.25">
      <c r="A37" s="28">
        <v>30</v>
      </c>
      <c r="B37" s="21" t="s">
        <v>121</v>
      </c>
      <c r="C37" s="22">
        <v>46122</v>
      </c>
      <c r="D37" s="23" t="s">
        <v>54</v>
      </c>
      <c r="E37" s="24"/>
      <c r="F37" s="24">
        <v>1</v>
      </c>
      <c r="G37" s="24"/>
      <c r="H37" s="24"/>
      <c r="I37" s="24" t="s">
        <v>115</v>
      </c>
      <c r="J37" s="24" t="s">
        <v>21</v>
      </c>
      <c r="K37" s="24" t="s">
        <v>116</v>
      </c>
      <c r="L37" s="27">
        <f t="shared" si="7"/>
        <v>459999.99999999994</v>
      </c>
      <c r="M37" s="25">
        <v>32960</v>
      </c>
      <c r="N37" s="25" t="str">
        <f t="shared" si="4"/>
        <v>Cước vận chuyển cont vỏ 40' tuyến đường HECHUN-HAIAN  - Từ ngày 6/3/2026 tăng cước. Số xe: 15H07524</v>
      </c>
      <c r="O37" t="str">
        <f t="shared" si="5"/>
        <v xml:space="preserve"> vỏ </v>
      </c>
      <c r="P37" t="str">
        <f t="shared" si="6"/>
        <v xml:space="preserve">40' </v>
      </c>
      <c r="Q37">
        <f t="shared" si="2"/>
        <v>1</v>
      </c>
    </row>
    <row r="38" spans="1:17" x14ac:dyDescent="0.25">
      <c r="A38" s="28">
        <v>31</v>
      </c>
      <c r="B38" s="21" t="s">
        <v>166</v>
      </c>
      <c r="C38" s="22">
        <v>46122</v>
      </c>
      <c r="D38" s="23" t="s">
        <v>55</v>
      </c>
      <c r="E38" s="24"/>
      <c r="F38" s="24">
        <v>1</v>
      </c>
      <c r="G38" s="24"/>
      <c r="H38" s="24"/>
      <c r="I38" s="24" t="s">
        <v>115</v>
      </c>
      <c r="J38" s="24" t="s">
        <v>21</v>
      </c>
      <c r="K38" s="24" t="s">
        <v>116</v>
      </c>
      <c r="L38" s="27">
        <f t="shared" si="7"/>
        <v>459999.99999999994</v>
      </c>
      <c r="M38" s="25">
        <v>32960</v>
      </c>
      <c r="N38" s="25" t="str">
        <f t="shared" si="4"/>
        <v>Cước vận chuyển cont vỏ 40' tuyến đường HECHUN-HAIAN  - Từ ngày 6/3/2026 tăng cước. Số xe: 15H17112</v>
      </c>
      <c r="O38" t="str">
        <f t="shared" si="5"/>
        <v xml:space="preserve"> vỏ </v>
      </c>
      <c r="P38" t="str">
        <f t="shared" si="6"/>
        <v xml:space="preserve">40' </v>
      </c>
      <c r="Q38">
        <f t="shared" si="2"/>
        <v>1</v>
      </c>
    </row>
    <row r="39" spans="1:17" x14ac:dyDescent="0.25">
      <c r="A39" s="28">
        <v>32</v>
      </c>
      <c r="B39" s="21" t="s">
        <v>166</v>
      </c>
      <c r="C39" s="22">
        <v>46122</v>
      </c>
      <c r="D39" s="23" t="s">
        <v>56</v>
      </c>
      <c r="E39" s="24"/>
      <c r="F39" s="24">
        <v>1</v>
      </c>
      <c r="G39" s="24"/>
      <c r="H39" s="24"/>
      <c r="I39" s="24" t="s">
        <v>115</v>
      </c>
      <c r="J39" s="24" t="s">
        <v>21</v>
      </c>
      <c r="K39" s="24" t="s">
        <v>116</v>
      </c>
      <c r="L39" s="27">
        <f t="shared" si="7"/>
        <v>459999.99999999994</v>
      </c>
      <c r="M39" s="25">
        <v>32960</v>
      </c>
      <c r="N39" s="25" t="str">
        <f t="shared" si="4"/>
        <v>Cước vận chuyển cont vỏ 40' tuyến đường HECHUN-HAIAN  - Từ ngày 6/3/2026 tăng cước. Số xe: 15H17112</v>
      </c>
      <c r="O39" t="str">
        <f t="shared" si="5"/>
        <v xml:space="preserve"> vỏ </v>
      </c>
      <c r="P39" t="str">
        <f t="shared" si="6"/>
        <v xml:space="preserve">40' </v>
      </c>
      <c r="Q39">
        <f t="shared" si="2"/>
        <v>1</v>
      </c>
    </row>
    <row r="40" spans="1:17" x14ac:dyDescent="0.25">
      <c r="A40" s="28">
        <v>33</v>
      </c>
      <c r="B40" s="21" t="s">
        <v>119</v>
      </c>
      <c r="C40" s="22">
        <v>46122</v>
      </c>
      <c r="D40" s="23" t="s">
        <v>57</v>
      </c>
      <c r="E40" s="24"/>
      <c r="F40" s="24">
        <v>1</v>
      </c>
      <c r="G40" s="24"/>
      <c r="H40" s="24"/>
      <c r="I40" s="24" t="s">
        <v>115</v>
      </c>
      <c r="J40" s="24" t="s">
        <v>21</v>
      </c>
      <c r="K40" s="24" t="s">
        <v>116</v>
      </c>
      <c r="L40" s="27">
        <f t="shared" si="7"/>
        <v>459999.99999999994</v>
      </c>
      <c r="M40" s="25">
        <v>32960</v>
      </c>
      <c r="N40" s="25" t="str">
        <f t="shared" si="4"/>
        <v>Cước vận chuyển cont vỏ 40' tuyến đường HECHUN-HAIAN  - Từ ngày 6/3/2026 tăng cước. Số xe: 15H17403</v>
      </c>
      <c r="O40" t="str">
        <f t="shared" si="5"/>
        <v xml:space="preserve"> vỏ </v>
      </c>
      <c r="P40" t="str">
        <f t="shared" si="6"/>
        <v xml:space="preserve">40' </v>
      </c>
      <c r="Q40">
        <f t="shared" si="2"/>
        <v>1</v>
      </c>
    </row>
    <row r="41" spans="1:17" x14ac:dyDescent="0.25">
      <c r="A41" s="28">
        <v>34</v>
      </c>
      <c r="B41" s="21" t="s">
        <v>125</v>
      </c>
      <c r="C41" s="22">
        <v>46122</v>
      </c>
      <c r="D41" s="23" t="s">
        <v>58</v>
      </c>
      <c r="E41" s="24"/>
      <c r="F41" s="24">
        <v>1</v>
      </c>
      <c r="G41" s="24"/>
      <c r="H41" s="24"/>
      <c r="I41" s="24" t="s">
        <v>115</v>
      </c>
      <c r="J41" s="24" t="s">
        <v>21</v>
      </c>
      <c r="K41" s="24" t="s">
        <v>116</v>
      </c>
      <c r="L41" s="27">
        <f t="shared" si="7"/>
        <v>459999.99999999994</v>
      </c>
      <c r="M41" s="25">
        <v>32960</v>
      </c>
      <c r="N41" s="25" t="str">
        <f t="shared" si="4"/>
        <v>Cước vận chuyển cont vỏ 40' tuyến đường HECHUN-HAIAN  - Từ ngày 6/3/2026 tăng cước. Số xe: 15H12925</v>
      </c>
      <c r="O41" t="str">
        <f t="shared" si="5"/>
        <v xml:space="preserve"> vỏ </v>
      </c>
      <c r="P41" t="str">
        <f t="shared" si="6"/>
        <v xml:space="preserve">40' </v>
      </c>
      <c r="Q41">
        <f t="shared" si="2"/>
        <v>1</v>
      </c>
    </row>
    <row r="42" spans="1:17" x14ac:dyDescent="0.25">
      <c r="A42" s="28">
        <v>35</v>
      </c>
      <c r="B42" s="21" t="s">
        <v>122</v>
      </c>
      <c r="C42" s="22">
        <v>46122</v>
      </c>
      <c r="D42" s="23" t="s">
        <v>59</v>
      </c>
      <c r="E42" s="24"/>
      <c r="F42" s="24">
        <v>1</v>
      </c>
      <c r="G42" s="24"/>
      <c r="H42" s="24"/>
      <c r="I42" s="24" t="s">
        <v>115</v>
      </c>
      <c r="J42" s="24" t="s">
        <v>21</v>
      </c>
      <c r="K42" s="24" t="s">
        <v>116</v>
      </c>
      <c r="L42" s="27">
        <f t="shared" si="7"/>
        <v>459999.99999999994</v>
      </c>
      <c r="M42" s="25">
        <v>32960</v>
      </c>
      <c r="N42" s="25" t="str">
        <f t="shared" si="4"/>
        <v>Cước vận chuyển cont vỏ 40' tuyến đường HECHUN-HAIAN  - Từ ngày 6/3/2026 tăng cước. Số xe: 15H07644</v>
      </c>
      <c r="O42" t="str">
        <f t="shared" si="5"/>
        <v xml:space="preserve"> vỏ </v>
      </c>
      <c r="P42" t="str">
        <f t="shared" si="6"/>
        <v xml:space="preserve">40' </v>
      </c>
      <c r="Q42">
        <f t="shared" si="2"/>
        <v>1</v>
      </c>
    </row>
    <row r="43" spans="1:17" x14ac:dyDescent="0.25">
      <c r="A43" s="28">
        <v>36</v>
      </c>
      <c r="B43" s="21" t="s">
        <v>127</v>
      </c>
      <c r="C43" s="22">
        <v>46122</v>
      </c>
      <c r="D43" s="23" t="s">
        <v>60</v>
      </c>
      <c r="E43" s="24"/>
      <c r="F43" s="24">
        <v>1</v>
      </c>
      <c r="G43" s="24"/>
      <c r="H43" s="24"/>
      <c r="I43" s="24" t="s">
        <v>115</v>
      </c>
      <c r="J43" s="24" t="s">
        <v>21</v>
      </c>
      <c r="K43" s="24" t="s">
        <v>116</v>
      </c>
      <c r="L43" s="27">
        <f t="shared" si="7"/>
        <v>459999.99999999994</v>
      </c>
      <c r="M43" s="25">
        <v>32960</v>
      </c>
      <c r="N43" s="25" t="str">
        <f t="shared" si="4"/>
        <v>Cước vận chuyển cont vỏ 40' tuyến đường HECHUN-HAIAN  - Từ ngày 6/3/2026 tăng cước. Số xe: 15H08574</v>
      </c>
      <c r="O43" t="str">
        <f t="shared" si="5"/>
        <v xml:space="preserve"> vỏ </v>
      </c>
      <c r="P43" t="str">
        <f t="shared" si="6"/>
        <v xml:space="preserve">40' </v>
      </c>
      <c r="Q43">
        <f t="shared" si="2"/>
        <v>1</v>
      </c>
    </row>
    <row r="44" spans="1:17" x14ac:dyDescent="0.25">
      <c r="A44" s="28">
        <v>37</v>
      </c>
      <c r="B44" s="21" t="s">
        <v>126</v>
      </c>
      <c r="C44" s="22">
        <v>46122</v>
      </c>
      <c r="D44" s="23" t="s">
        <v>61</v>
      </c>
      <c r="E44" s="24"/>
      <c r="F44" s="24">
        <v>1</v>
      </c>
      <c r="G44" s="24"/>
      <c r="H44" s="24"/>
      <c r="I44" s="24" t="s">
        <v>115</v>
      </c>
      <c r="J44" s="24" t="s">
        <v>21</v>
      </c>
      <c r="K44" s="24" t="s">
        <v>116</v>
      </c>
      <c r="L44" s="27">
        <f t="shared" si="7"/>
        <v>459999.99999999994</v>
      </c>
      <c r="M44" s="25">
        <v>32960</v>
      </c>
      <c r="N44" s="25" t="str">
        <f t="shared" si="4"/>
        <v>Cước vận chuyển cont vỏ 40' tuyến đường HECHUN-HAIAN  - Từ ngày 6/3/2026 tăng cước. Số xe: 15H07135</v>
      </c>
      <c r="O44" t="str">
        <f t="shared" si="5"/>
        <v xml:space="preserve"> vỏ </v>
      </c>
      <c r="P44" t="str">
        <f t="shared" si="6"/>
        <v xml:space="preserve">40' </v>
      </c>
      <c r="Q44">
        <f t="shared" si="2"/>
        <v>1</v>
      </c>
    </row>
    <row r="45" spans="1:17" x14ac:dyDescent="0.25">
      <c r="A45" s="28">
        <v>38</v>
      </c>
      <c r="B45" s="21" t="s">
        <v>124</v>
      </c>
      <c r="C45" s="22">
        <v>46122</v>
      </c>
      <c r="D45" s="23" t="s">
        <v>62</v>
      </c>
      <c r="E45" s="24"/>
      <c r="F45" s="24">
        <v>1</v>
      </c>
      <c r="G45" s="24"/>
      <c r="H45" s="24"/>
      <c r="I45" s="24" t="s">
        <v>115</v>
      </c>
      <c r="J45" s="24" t="s">
        <v>21</v>
      </c>
      <c r="K45" s="24" t="s">
        <v>116</v>
      </c>
      <c r="L45" s="27">
        <f t="shared" si="7"/>
        <v>459999.99999999994</v>
      </c>
      <c r="M45" s="25">
        <v>32960</v>
      </c>
      <c r="N45" s="25" t="str">
        <f t="shared" si="4"/>
        <v>Cước vận chuyển cont vỏ 40' tuyến đường HECHUN-HAIAN  - Từ ngày 6/3/2026 tăng cước. Số xe: 15C15033</v>
      </c>
      <c r="O45" t="str">
        <f t="shared" si="5"/>
        <v xml:space="preserve"> vỏ </v>
      </c>
      <c r="P45" t="str">
        <f t="shared" si="6"/>
        <v xml:space="preserve">40' </v>
      </c>
      <c r="Q45">
        <f t="shared" si="2"/>
        <v>1</v>
      </c>
    </row>
    <row r="46" spans="1:17" x14ac:dyDescent="0.25">
      <c r="A46" s="28">
        <v>39</v>
      </c>
      <c r="B46" s="21" t="s">
        <v>128</v>
      </c>
      <c r="C46" s="22">
        <v>46122</v>
      </c>
      <c r="D46" s="23" t="s">
        <v>63</v>
      </c>
      <c r="E46" s="24"/>
      <c r="F46" s="24">
        <v>1</v>
      </c>
      <c r="G46" s="24"/>
      <c r="H46" s="24"/>
      <c r="I46" s="24" t="s">
        <v>115</v>
      </c>
      <c r="J46" s="24" t="s">
        <v>21</v>
      </c>
      <c r="K46" s="24" t="s">
        <v>116</v>
      </c>
      <c r="L46" s="27">
        <f t="shared" si="7"/>
        <v>459999.99999999994</v>
      </c>
      <c r="M46" s="25">
        <v>32960</v>
      </c>
      <c r="N46" s="25" t="str">
        <f t="shared" si="4"/>
        <v>Cước vận chuyển cont vỏ 40' tuyến đường HECHUN-HAIAN  - Từ ngày 6/3/2026 tăng cước. Số xe: 15C09877</v>
      </c>
      <c r="O46" t="str">
        <f t="shared" si="5"/>
        <v xml:space="preserve"> vỏ </v>
      </c>
      <c r="P46" t="str">
        <f t="shared" si="6"/>
        <v xml:space="preserve">40' </v>
      </c>
      <c r="Q46">
        <f t="shared" si="2"/>
        <v>1</v>
      </c>
    </row>
    <row r="47" spans="1:17" x14ac:dyDescent="0.25">
      <c r="A47" s="28">
        <v>40</v>
      </c>
      <c r="B47" s="21" t="s">
        <v>167</v>
      </c>
      <c r="C47" s="22">
        <v>46122</v>
      </c>
      <c r="D47" s="23" t="s">
        <v>64</v>
      </c>
      <c r="E47" s="24"/>
      <c r="F47" s="24">
        <v>1</v>
      </c>
      <c r="G47" s="24"/>
      <c r="H47" s="24"/>
      <c r="I47" s="24" t="s">
        <v>115</v>
      </c>
      <c r="J47" s="24" t="s">
        <v>21</v>
      </c>
      <c r="K47" s="24" t="s">
        <v>116</v>
      </c>
      <c r="L47" s="27">
        <f t="shared" si="7"/>
        <v>459999.99999999994</v>
      </c>
      <c r="M47" s="25">
        <v>32960</v>
      </c>
      <c r="N47" s="25" t="str">
        <f t="shared" si="4"/>
        <v>Cước vận chuyển cont vỏ 40' tuyến đường HECHUN-HAIAN  - Từ ngày 6/3/2026 tăng cước. Số xe: 15C17442</v>
      </c>
      <c r="O47" t="str">
        <f t="shared" si="5"/>
        <v xml:space="preserve"> vỏ </v>
      </c>
      <c r="P47" t="str">
        <f t="shared" si="6"/>
        <v xml:space="preserve">40' </v>
      </c>
      <c r="Q47">
        <f t="shared" si="2"/>
        <v>1</v>
      </c>
    </row>
    <row r="48" spans="1:17" x14ac:dyDescent="0.25">
      <c r="A48" s="28">
        <v>41</v>
      </c>
      <c r="B48" s="21" t="s">
        <v>120</v>
      </c>
      <c r="C48" s="22">
        <v>46122</v>
      </c>
      <c r="D48" s="23" t="s">
        <v>65</v>
      </c>
      <c r="E48" s="24"/>
      <c r="F48" s="24">
        <v>1</v>
      </c>
      <c r="G48" s="24"/>
      <c r="H48" s="24"/>
      <c r="I48" s="24" t="s">
        <v>115</v>
      </c>
      <c r="J48" s="24" t="s">
        <v>21</v>
      </c>
      <c r="K48" s="24" t="s">
        <v>116</v>
      </c>
      <c r="L48" s="27">
        <f t="shared" si="7"/>
        <v>459999.99999999994</v>
      </c>
      <c r="M48" s="25">
        <v>32960</v>
      </c>
      <c r="N48" s="25" t="str">
        <f t="shared" si="4"/>
        <v>Cước vận chuyển cont vỏ 40' tuyến đường HECHUN-HAIAN  - Từ ngày 6/3/2026 tăng cước. Số xe: 15C17301</v>
      </c>
      <c r="O48" t="str">
        <f t="shared" si="5"/>
        <v xml:space="preserve"> vỏ </v>
      </c>
      <c r="P48" t="str">
        <f t="shared" si="6"/>
        <v xml:space="preserve">40' </v>
      </c>
      <c r="Q48">
        <f t="shared" si="2"/>
        <v>1</v>
      </c>
    </row>
    <row r="49" spans="1:17" x14ac:dyDescent="0.25">
      <c r="A49" s="28">
        <v>42</v>
      </c>
      <c r="B49" s="21" t="s">
        <v>121</v>
      </c>
      <c r="C49" s="22">
        <v>46122</v>
      </c>
      <c r="D49" s="23" t="s">
        <v>66</v>
      </c>
      <c r="E49" s="24"/>
      <c r="F49" s="24">
        <v>1</v>
      </c>
      <c r="G49" s="24"/>
      <c r="H49" s="24"/>
      <c r="I49" s="24" t="s">
        <v>115</v>
      </c>
      <c r="J49" s="24" t="s">
        <v>21</v>
      </c>
      <c r="K49" s="24" t="s">
        <v>116</v>
      </c>
      <c r="L49" s="27">
        <f t="shared" si="7"/>
        <v>459999.99999999994</v>
      </c>
      <c r="M49" s="25">
        <v>32960</v>
      </c>
      <c r="N49" s="25" t="str">
        <f t="shared" si="4"/>
        <v>Cước vận chuyển cont vỏ 40' tuyến đường HECHUN-HAIAN  - Từ ngày 6/3/2026 tăng cước. Số xe: 15H07524</v>
      </c>
      <c r="O49" t="str">
        <f t="shared" si="5"/>
        <v xml:space="preserve"> vỏ </v>
      </c>
      <c r="P49" t="str">
        <f t="shared" si="6"/>
        <v xml:space="preserve">40' </v>
      </c>
      <c r="Q49">
        <f t="shared" si="2"/>
        <v>1</v>
      </c>
    </row>
    <row r="50" spans="1:17" x14ac:dyDescent="0.25">
      <c r="A50" s="28">
        <v>43</v>
      </c>
      <c r="B50" s="21" t="s">
        <v>165</v>
      </c>
      <c r="C50" s="22">
        <v>46122</v>
      </c>
      <c r="D50" s="23" t="s">
        <v>67</v>
      </c>
      <c r="E50" s="24"/>
      <c r="F50" s="24">
        <v>1</v>
      </c>
      <c r="G50" s="24"/>
      <c r="H50" s="24"/>
      <c r="I50" s="24" t="s">
        <v>115</v>
      </c>
      <c r="J50" s="24" t="s">
        <v>21</v>
      </c>
      <c r="K50" s="24" t="s">
        <v>116</v>
      </c>
      <c r="L50" s="27">
        <f t="shared" si="7"/>
        <v>459999.99999999994</v>
      </c>
      <c r="M50" s="25">
        <v>32960</v>
      </c>
      <c r="N50" s="25" t="str">
        <f t="shared" si="4"/>
        <v>Cước vận chuyển cont vỏ 40' tuyến đường HECHUN-HAIAN  - Từ ngày 6/3/2026 tăng cước. Số xe: 15H20645</v>
      </c>
      <c r="O50" t="str">
        <f t="shared" si="5"/>
        <v xml:space="preserve"> vỏ </v>
      </c>
      <c r="P50" t="str">
        <f t="shared" si="6"/>
        <v xml:space="preserve">40' </v>
      </c>
      <c r="Q50">
        <f t="shared" si="2"/>
        <v>1</v>
      </c>
    </row>
    <row r="51" spans="1:17" x14ac:dyDescent="0.25">
      <c r="A51" s="28">
        <v>44</v>
      </c>
      <c r="B51" s="21" t="s">
        <v>123</v>
      </c>
      <c r="C51" s="22">
        <v>46122</v>
      </c>
      <c r="D51" s="23" t="s">
        <v>68</v>
      </c>
      <c r="E51" s="24"/>
      <c r="F51" s="24">
        <v>1</v>
      </c>
      <c r="G51" s="24"/>
      <c r="H51" s="24"/>
      <c r="I51" s="24" t="s">
        <v>115</v>
      </c>
      <c r="J51" s="24" t="s">
        <v>21</v>
      </c>
      <c r="K51" s="24" t="s">
        <v>116</v>
      </c>
      <c r="L51" s="27">
        <f t="shared" si="7"/>
        <v>459999.99999999994</v>
      </c>
      <c r="M51" s="25">
        <v>32960</v>
      </c>
      <c r="N51" s="25" t="str">
        <f t="shared" si="4"/>
        <v>Cước vận chuyển cont vỏ 40' tuyến đường HECHUN-HAIAN  - Từ ngày 6/3/2026 tăng cước. Số xe: 15H18552</v>
      </c>
      <c r="O51" t="str">
        <f t="shared" si="5"/>
        <v xml:space="preserve"> vỏ </v>
      </c>
      <c r="P51" t="str">
        <f t="shared" si="6"/>
        <v xml:space="preserve">40' </v>
      </c>
      <c r="Q51">
        <f t="shared" si="2"/>
        <v>1</v>
      </c>
    </row>
    <row r="52" spans="1:17" x14ac:dyDescent="0.25">
      <c r="A52" s="28">
        <v>45</v>
      </c>
      <c r="B52" s="21" t="s">
        <v>122</v>
      </c>
      <c r="C52" s="22">
        <v>46122</v>
      </c>
      <c r="D52" s="23" t="s">
        <v>69</v>
      </c>
      <c r="E52" s="24"/>
      <c r="F52" s="24">
        <v>1</v>
      </c>
      <c r="G52" s="24"/>
      <c r="H52" s="24"/>
      <c r="I52" s="24" t="s">
        <v>115</v>
      </c>
      <c r="J52" s="24" t="s">
        <v>21</v>
      </c>
      <c r="K52" s="24" t="s">
        <v>116</v>
      </c>
      <c r="L52" s="27">
        <f t="shared" si="7"/>
        <v>459999.99999999994</v>
      </c>
      <c r="M52" s="25">
        <v>32960</v>
      </c>
      <c r="N52" s="25" t="str">
        <f t="shared" si="4"/>
        <v>Cước vận chuyển cont vỏ 40' tuyến đường HECHUN-HAIAN  - Từ ngày 6/3/2026 tăng cước. Số xe: 15H07644</v>
      </c>
      <c r="O52" t="str">
        <f t="shared" si="5"/>
        <v xml:space="preserve"> vỏ </v>
      </c>
      <c r="P52" t="str">
        <f t="shared" si="6"/>
        <v xml:space="preserve">40' </v>
      </c>
      <c r="Q52">
        <f t="shared" si="2"/>
        <v>1</v>
      </c>
    </row>
    <row r="53" spans="1:17" x14ac:dyDescent="0.25">
      <c r="A53" s="28">
        <v>46</v>
      </c>
      <c r="B53" s="21" t="s">
        <v>120</v>
      </c>
      <c r="C53" s="22">
        <v>46122</v>
      </c>
      <c r="D53" s="23" t="s">
        <v>70</v>
      </c>
      <c r="E53" s="24"/>
      <c r="F53" s="24">
        <v>1</v>
      </c>
      <c r="G53" s="24"/>
      <c r="H53" s="24"/>
      <c r="I53" s="24" t="s">
        <v>115</v>
      </c>
      <c r="J53" s="24" t="s">
        <v>21</v>
      </c>
      <c r="K53" s="24" t="s">
        <v>116</v>
      </c>
      <c r="L53" s="27">
        <f t="shared" si="7"/>
        <v>459999.99999999994</v>
      </c>
      <c r="M53" s="25">
        <v>32960</v>
      </c>
      <c r="N53" s="25" t="str">
        <f t="shared" si="4"/>
        <v>Cước vận chuyển cont vỏ 40' tuyến đường HECHUN-HAIAN  - Từ ngày 6/3/2026 tăng cước. Số xe: 15C17301</v>
      </c>
      <c r="O53" t="str">
        <f t="shared" si="5"/>
        <v xml:space="preserve"> vỏ </v>
      </c>
      <c r="P53" t="str">
        <f t="shared" si="6"/>
        <v xml:space="preserve">40' </v>
      </c>
      <c r="Q53">
        <f t="shared" si="2"/>
        <v>1</v>
      </c>
    </row>
    <row r="54" spans="1:17" x14ac:dyDescent="0.25">
      <c r="A54" s="28">
        <v>47</v>
      </c>
      <c r="B54" s="21" t="s">
        <v>126</v>
      </c>
      <c r="C54" s="22">
        <v>46122</v>
      </c>
      <c r="D54" s="23" t="s">
        <v>71</v>
      </c>
      <c r="E54" s="24"/>
      <c r="F54" s="24">
        <v>1</v>
      </c>
      <c r="G54" s="24"/>
      <c r="H54" s="24"/>
      <c r="I54" s="24" t="s">
        <v>115</v>
      </c>
      <c r="J54" s="24" t="s">
        <v>21</v>
      </c>
      <c r="K54" s="24" t="s">
        <v>116</v>
      </c>
      <c r="L54" s="27">
        <f t="shared" si="7"/>
        <v>459999.99999999994</v>
      </c>
      <c r="M54" s="25">
        <v>32960</v>
      </c>
      <c r="N54" s="25" t="str">
        <f t="shared" si="4"/>
        <v>Cước vận chuyển cont vỏ 40' tuyến đường HECHUN-HAIAN  - Từ ngày 6/3/2026 tăng cước. Số xe: 15H07135</v>
      </c>
      <c r="O54" t="str">
        <f t="shared" si="5"/>
        <v xml:space="preserve"> vỏ </v>
      </c>
      <c r="P54" t="str">
        <f t="shared" si="6"/>
        <v xml:space="preserve">40' </v>
      </c>
      <c r="Q54">
        <f t="shared" si="2"/>
        <v>1</v>
      </c>
    </row>
    <row r="55" spans="1:17" x14ac:dyDescent="0.25">
      <c r="A55" s="28">
        <v>48</v>
      </c>
      <c r="B55" s="21" t="s">
        <v>125</v>
      </c>
      <c r="C55" s="22">
        <v>46122</v>
      </c>
      <c r="D55" s="23" t="s">
        <v>72</v>
      </c>
      <c r="E55" s="24"/>
      <c r="F55" s="24">
        <v>1</v>
      </c>
      <c r="G55" s="24"/>
      <c r="H55" s="24"/>
      <c r="I55" s="24" t="s">
        <v>115</v>
      </c>
      <c r="J55" s="24" t="s">
        <v>21</v>
      </c>
      <c r="K55" s="24" t="s">
        <v>116</v>
      </c>
      <c r="L55" s="27">
        <f t="shared" si="7"/>
        <v>459999.99999999994</v>
      </c>
      <c r="M55" s="25">
        <v>32960</v>
      </c>
      <c r="N55" s="25" t="str">
        <f t="shared" si="4"/>
        <v>Cước vận chuyển cont vỏ 40' tuyến đường HECHUN-HAIAN  - Từ ngày 6/3/2026 tăng cước. Số xe: 15H12925</v>
      </c>
      <c r="O55" t="str">
        <f t="shared" si="5"/>
        <v xml:space="preserve"> vỏ </v>
      </c>
      <c r="P55" t="str">
        <f t="shared" si="6"/>
        <v xml:space="preserve">40' </v>
      </c>
      <c r="Q55">
        <f t="shared" si="2"/>
        <v>1</v>
      </c>
    </row>
    <row r="56" spans="1:17" x14ac:dyDescent="0.25">
      <c r="A56" s="28">
        <v>49</v>
      </c>
      <c r="B56" s="21" t="s">
        <v>123</v>
      </c>
      <c r="C56" s="22">
        <v>46122</v>
      </c>
      <c r="D56" s="23" t="s">
        <v>73</v>
      </c>
      <c r="E56" s="24"/>
      <c r="F56" s="24">
        <v>1</v>
      </c>
      <c r="G56" s="24"/>
      <c r="H56" s="24"/>
      <c r="I56" s="24" t="s">
        <v>115</v>
      </c>
      <c r="J56" s="24" t="s">
        <v>21</v>
      </c>
      <c r="K56" s="24" t="s">
        <v>116</v>
      </c>
      <c r="L56" s="27">
        <f t="shared" si="7"/>
        <v>459999.99999999994</v>
      </c>
      <c r="M56" s="25">
        <v>32960</v>
      </c>
      <c r="N56" s="25" t="str">
        <f t="shared" si="4"/>
        <v>Cước vận chuyển cont vỏ 40' tuyến đường HECHUN-HAIAN  - Từ ngày 6/3/2026 tăng cước. Số xe: 15H18552</v>
      </c>
      <c r="O56" t="str">
        <f t="shared" si="5"/>
        <v xml:space="preserve"> vỏ </v>
      </c>
      <c r="P56" t="str">
        <f t="shared" si="6"/>
        <v xml:space="preserve">40' </v>
      </c>
      <c r="Q56">
        <f t="shared" si="2"/>
        <v>1</v>
      </c>
    </row>
    <row r="57" spans="1:17" x14ac:dyDescent="0.25">
      <c r="A57" s="28">
        <v>50</v>
      </c>
      <c r="B57" s="21" t="s">
        <v>119</v>
      </c>
      <c r="C57" s="22">
        <v>46122</v>
      </c>
      <c r="D57" s="23" t="s">
        <v>74</v>
      </c>
      <c r="E57" s="24"/>
      <c r="F57" s="24">
        <v>1</v>
      </c>
      <c r="G57" s="24"/>
      <c r="H57" s="24"/>
      <c r="I57" s="24" t="s">
        <v>115</v>
      </c>
      <c r="J57" s="24" t="s">
        <v>21</v>
      </c>
      <c r="K57" s="24" t="s">
        <v>116</v>
      </c>
      <c r="L57" s="27">
        <f t="shared" si="7"/>
        <v>459999.99999999994</v>
      </c>
      <c r="M57" s="25">
        <v>32960</v>
      </c>
      <c r="N57" s="25" t="str">
        <f t="shared" si="4"/>
        <v>Cước vận chuyển cont vỏ 40' tuyến đường HECHUN-HAIAN  - Từ ngày 6/3/2026 tăng cước. Số xe: 15H17403</v>
      </c>
      <c r="O57" t="str">
        <f t="shared" si="5"/>
        <v xml:space="preserve"> vỏ </v>
      </c>
      <c r="P57" t="str">
        <f t="shared" si="6"/>
        <v xml:space="preserve">40' </v>
      </c>
      <c r="Q57">
        <f t="shared" si="2"/>
        <v>1</v>
      </c>
    </row>
    <row r="58" spans="1:17" x14ac:dyDescent="0.25">
      <c r="A58" s="28">
        <v>51</v>
      </c>
      <c r="B58" s="21" t="s">
        <v>127</v>
      </c>
      <c r="C58" s="22">
        <v>46122</v>
      </c>
      <c r="D58" s="23" t="s">
        <v>75</v>
      </c>
      <c r="E58" s="24"/>
      <c r="F58" s="24">
        <v>1</v>
      </c>
      <c r="G58" s="24"/>
      <c r="H58" s="24"/>
      <c r="I58" s="24" t="s">
        <v>115</v>
      </c>
      <c r="J58" s="24" t="s">
        <v>21</v>
      </c>
      <c r="K58" s="24" t="s">
        <v>116</v>
      </c>
      <c r="L58" s="27">
        <f t="shared" si="7"/>
        <v>459999.99999999994</v>
      </c>
      <c r="M58" s="25">
        <v>32960</v>
      </c>
      <c r="N58" s="25" t="str">
        <f t="shared" si="4"/>
        <v>Cước vận chuyển cont vỏ 40' tuyến đường HECHUN-HAIAN  - Từ ngày 6/3/2026 tăng cước. Số xe: 15H08574</v>
      </c>
      <c r="O58" t="str">
        <f t="shared" si="5"/>
        <v xml:space="preserve"> vỏ </v>
      </c>
      <c r="P58" t="str">
        <f t="shared" si="6"/>
        <v xml:space="preserve">40' </v>
      </c>
      <c r="Q58">
        <f t="shared" si="2"/>
        <v>1</v>
      </c>
    </row>
    <row r="59" spans="1:17" x14ac:dyDescent="0.25">
      <c r="A59" s="28">
        <v>52</v>
      </c>
      <c r="B59" s="21" t="s">
        <v>123</v>
      </c>
      <c r="C59" s="22">
        <v>46122</v>
      </c>
      <c r="D59" s="23" t="s">
        <v>76</v>
      </c>
      <c r="E59" s="24"/>
      <c r="F59" s="24">
        <v>1</v>
      </c>
      <c r="G59" s="24"/>
      <c r="H59" s="24"/>
      <c r="I59" s="24" t="s">
        <v>115</v>
      </c>
      <c r="J59" s="24" t="s">
        <v>21</v>
      </c>
      <c r="K59" s="24" t="s">
        <v>116</v>
      </c>
      <c r="L59" s="27">
        <f t="shared" si="7"/>
        <v>459999.99999999994</v>
      </c>
      <c r="M59" s="25">
        <v>32960</v>
      </c>
      <c r="N59" s="25" t="str">
        <f t="shared" si="4"/>
        <v>Cước vận chuyển cont vỏ 40' tuyến đường HECHUN-HAIAN  - Từ ngày 6/3/2026 tăng cước. Số xe: 15H18552</v>
      </c>
      <c r="O59" t="str">
        <f t="shared" si="5"/>
        <v xml:space="preserve"> vỏ </v>
      </c>
      <c r="P59" t="str">
        <f t="shared" si="6"/>
        <v xml:space="preserve">40' </v>
      </c>
      <c r="Q59">
        <f t="shared" si="2"/>
        <v>1</v>
      </c>
    </row>
    <row r="60" spans="1:17" x14ac:dyDescent="0.25">
      <c r="A60" s="28">
        <v>53</v>
      </c>
      <c r="B60" s="21" t="s">
        <v>121</v>
      </c>
      <c r="C60" s="22">
        <v>46122</v>
      </c>
      <c r="D60" s="23" t="s">
        <v>77</v>
      </c>
      <c r="E60" s="24"/>
      <c r="F60" s="24">
        <v>1</v>
      </c>
      <c r="G60" s="24"/>
      <c r="H60" s="24"/>
      <c r="I60" s="24" t="s">
        <v>115</v>
      </c>
      <c r="J60" s="24" t="s">
        <v>21</v>
      </c>
      <c r="K60" s="24" t="s">
        <v>116</v>
      </c>
      <c r="L60" s="27">
        <f t="shared" si="7"/>
        <v>459999.99999999994</v>
      </c>
      <c r="M60" s="25">
        <v>32960</v>
      </c>
      <c r="N60" s="25" t="str">
        <f t="shared" si="4"/>
        <v>Cước vận chuyển cont vỏ 40' tuyến đường HECHUN-HAIAN  - Từ ngày 6/3/2026 tăng cước. Số xe: 15H07524</v>
      </c>
      <c r="O60" t="str">
        <f t="shared" si="5"/>
        <v xml:space="preserve"> vỏ </v>
      </c>
      <c r="P60" t="str">
        <f t="shared" si="6"/>
        <v xml:space="preserve">40' </v>
      </c>
      <c r="Q60">
        <f t="shared" si="2"/>
        <v>1</v>
      </c>
    </row>
    <row r="61" spans="1:17" x14ac:dyDescent="0.25">
      <c r="A61" s="28">
        <v>54</v>
      </c>
      <c r="B61" s="21" t="s">
        <v>117</v>
      </c>
      <c r="C61" s="22">
        <v>46122</v>
      </c>
      <c r="D61" s="23" t="s">
        <v>78</v>
      </c>
      <c r="E61" s="24"/>
      <c r="F61" s="24">
        <v>1</v>
      </c>
      <c r="G61" s="24"/>
      <c r="H61" s="24"/>
      <c r="I61" s="24" t="s">
        <v>115</v>
      </c>
      <c r="J61" s="24" t="s">
        <v>21</v>
      </c>
      <c r="K61" s="24" t="s">
        <v>116</v>
      </c>
      <c r="L61" s="27">
        <f t="shared" si="7"/>
        <v>459999.99999999994</v>
      </c>
      <c r="M61" s="25">
        <v>32960</v>
      </c>
      <c r="N61" s="25" t="str">
        <f t="shared" si="4"/>
        <v>Cước vận chuyển cont vỏ 40' tuyến đường HECHUN-HAIAN  - Từ ngày 6/3/2026 tăng cước. Số xe: 15H15378</v>
      </c>
      <c r="O61" t="str">
        <f t="shared" si="5"/>
        <v xml:space="preserve"> vỏ </v>
      </c>
      <c r="P61" t="str">
        <f t="shared" si="6"/>
        <v xml:space="preserve">40' </v>
      </c>
      <c r="Q61">
        <f t="shared" si="2"/>
        <v>1</v>
      </c>
    </row>
    <row r="62" spans="1:17" x14ac:dyDescent="0.25">
      <c r="A62" s="28">
        <v>55</v>
      </c>
      <c r="B62" s="21" t="s">
        <v>126</v>
      </c>
      <c r="C62" s="22">
        <v>46122</v>
      </c>
      <c r="D62" s="23" t="s">
        <v>79</v>
      </c>
      <c r="E62" s="24"/>
      <c r="F62" s="24">
        <v>1</v>
      </c>
      <c r="G62" s="24"/>
      <c r="H62" s="24"/>
      <c r="I62" s="24" t="s">
        <v>115</v>
      </c>
      <c r="J62" s="24" t="s">
        <v>21</v>
      </c>
      <c r="K62" s="24" t="s">
        <v>116</v>
      </c>
      <c r="L62" s="27">
        <f t="shared" si="7"/>
        <v>459999.99999999994</v>
      </c>
      <c r="M62" s="25">
        <v>32960</v>
      </c>
      <c r="N62" s="25" t="str">
        <f t="shared" si="4"/>
        <v>Cước vận chuyển cont vỏ 40' tuyến đường HECHUN-HAIAN  - Từ ngày 6/3/2026 tăng cước. Số xe: 15H07135</v>
      </c>
      <c r="O62" t="str">
        <f t="shared" si="5"/>
        <v xml:space="preserve"> vỏ </v>
      </c>
      <c r="P62" t="str">
        <f t="shared" si="6"/>
        <v xml:space="preserve">40' </v>
      </c>
      <c r="Q62">
        <f t="shared" si="2"/>
        <v>1</v>
      </c>
    </row>
    <row r="63" spans="1:17" x14ac:dyDescent="0.25">
      <c r="A63" s="28">
        <v>56</v>
      </c>
      <c r="B63" s="21" t="s">
        <v>119</v>
      </c>
      <c r="C63" s="22">
        <v>46122</v>
      </c>
      <c r="D63" s="23" t="s">
        <v>80</v>
      </c>
      <c r="E63" s="24"/>
      <c r="F63" s="24">
        <v>1</v>
      </c>
      <c r="G63" s="24"/>
      <c r="H63" s="24"/>
      <c r="I63" s="24" t="s">
        <v>115</v>
      </c>
      <c r="J63" s="24" t="s">
        <v>21</v>
      </c>
      <c r="K63" s="24" t="s">
        <v>116</v>
      </c>
      <c r="L63" s="27">
        <f t="shared" si="7"/>
        <v>459999.99999999994</v>
      </c>
      <c r="M63" s="25">
        <v>32960</v>
      </c>
      <c r="N63" s="25" t="str">
        <f t="shared" si="4"/>
        <v>Cước vận chuyển cont vỏ 40' tuyến đường HECHUN-HAIAN  - Từ ngày 6/3/2026 tăng cước. Số xe: 15H17403</v>
      </c>
      <c r="O63" t="str">
        <f t="shared" si="5"/>
        <v xml:space="preserve"> vỏ </v>
      </c>
      <c r="P63" t="str">
        <f t="shared" si="6"/>
        <v xml:space="preserve">40' </v>
      </c>
      <c r="Q63">
        <f t="shared" si="2"/>
        <v>1</v>
      </c>
    </row>
    <row r="64" spans="1:17" x14ac:dyDescent="0.25">
      <c r="A64" s="28">
        <v>57</v>
      </c>
      <c r="B64" s="21" t="s">
        <v>128</v>
      </c>
      <c r="C64" s="22">
        <v>46122</v>
      </c>
      <c r="D64" s="23" t="s">
        <v>81</v>
      </c>
      <c r="E64" s="24"/>
      <c r="F64" s="24">
        <v>1</v>
      </c>
      <c r="G64" s="24"/>
      <c r="H64" s="24"/>
      <c r="I64" s="24" t="s">
        <v>115</v>
      </c>
      <c r="J64" s="24" t="s">
        <v>21</v>
      </c>
      <c r="K64" s="24" t="s">
        <v>116</v>
      </c>
      <c r="L64" s="27">
        <f t="shared" si="7"/>
        <v>459999.99999999994</v>
      </c>
      <c r="M64" s="25">
        <v>32960</v>
      </c>
      <c r="N64" s="25" t="str">
        <f t="shared" si="4"/>
        <v>Cước vận chuyển cont vỏ 40' tuyến đường HECHUN-HAIAN  - Từ ngày 6/3/2026 tăng cước. Số xe: 15C09877</v>
      </c>
      <c r="O64" t="str">
        <f t="shared" si="5"/>
        <v xml:space="preserve"> vỏ </v>
      </c>
      <c r="P64" t="str">
        <f t="shared" si="6"/>
        <v xml:space="preserve">40' </v>
      </c>
      <c r="Q64">
        <f t="shared" si="2"/>
        <v>1</v>
      </c>
    </row>
    <row r="65" spans="1:17" x14ac:dyDescent="0.25">
      <c r="A65" s="28">
        <v>58</v>
      </c>
      <c r="B65" s="21" t="s">
        <v>125</v>
      </c>
      <c r="C65" s="22">
        <v>46122</v>
      </c>
      <c r="D65" s="23" t="s">
        <v>82</v>
      </c>
      <c r="E65" s="24"/>
      <c r="F65" s="24">
        <v>1</v>
      </c>
      <c r="G65" s="24"/>
      <c r="H65" s="24"/>
      <c r="I65" s="24" t="s">
        <v>115</v>
      </c>
      <c r="J65" s="24" t="s">
        <v>21</v>
      </c>
      <c r="K65" s="24" t="s">
        <v>116</v>
      </c>
      <c r="L65" s="27">
        <f t="shared" si="7"/>
        <v>459999.99999999994</v>
      </c>
      <c r="M65" s="25">
        <v>32960</v>
      </c>
      <c r="N65" s="25" t="str">
        <f t="shared" si="4"/>
        <v>Cước vận chuyển cont vỏ 40' tuyến đường HECHUN-HAIAN  - Từ ngày 6/3/2026 tăng cước. Số xe: 15H12925</v>
      </c>
      <c r="O65" t="str">
        <f t="shared" si="5"/>
        <v xml:space="preserve"> vỏ </v>
      </c>
      <c r="P65" t="str">
        <f t="shared" si="6"/>
        <v xml:space="preserve">40' </v>
      </c>
      <c r="Q65">
        <f t="shared" si="2"/>
        <v>1</v>
      </c>
    </row>
    <row r="66" spans="1:17" x14ac:dyDescent="0.25">
      <c r="A66" s="28">
        <v>59</v>
      </c>
      <c r="B66" s="21" t="s">
        <v>165</v>
      </c>
      <c r="C66" s="22">
        <v>46122</v>
      </c>
      <c r="D66" s="23" t="s">
        <v>83</v>
      </c>
      <c r="E66" s="24"/>
      <c r="F66" s="24">
        <v>1</v>
      </c>
      <c r="G66" s="24"/>
      <c r="H66" s="24"/>
      <c r="I66" s="24" t="s">
        <v>115</v>
      </c>
      <c r="J66" s="24" t="s">
        <v>21</v>
      </c>
      <c r="K66" s="24" t="s">
        <v>116</v>
      </c>
      <c r="L66" s="27">
        <f t="shared" si="7"/>
        <v>459999.99999999994</v>
      </c>
      <c r="M66" s="25">
        <v>32960</v>
      </c>
      <c r="N66" s="25" t="str">
        <f t="shared" si="4"/>
        <v>Cước vận chuyển cont vỏ 40' tuyến đường HECHUN-HAIAN  - Từ ngày 6/3/2026 tăng cước. Số xe: 15H20645</v>
      </c>
      <c r="O66" t="str">
        <f t="shared" si="5"/>
        <v xml:space="preserve"> vỏ </v>
      </c>
      <c r="P66" t="str">
        <f t="shared" si="6"/>
        <v xml:space="preserve">40' </v>
      </c>
      <c r="Q66">
        <f t="shared" si="2"/>
        <v>1</v>
      </c>
    </row>
    <row r="67" spans="1:17" x14ac:dyDescent="0.25">
      <c r="A67" s="28">
        <v>60</v>
      </c>
      <c r="B67" s="21" t="s">
        <v>122</v>
      </c>
      <c r="C67" s="22">
        <v>46122</v>
      </c>
      <c r="D67" s="23" t="s">
        <v>84</v>
      </c>
      <c r="E67" s="24"/>
      <c r="F67" s="24">
        <v>1</v>
      </c>
      <c r="G67" s="24"/>
      <c r="H67" s="24"/>
      <c r="I67" s="24" t="s">
        <v>115</v>
      </c>
      <c r="J67" s="24" t="s">
        <v>21</v>
      </c>
      <c r="K67" s="24" t="s">
        <v>116</v>
      </c>
      <c r="L67" s="27">
        <f t="shared" si="7"/>
        <v>459999.99999999994</v>
      </c>
      <c r="M67" s="25">
        <v>32960</v>
      </c>
      <c r="N67" s="25" t="str">
        <f t="shared" si="4"/>
        <v>Cước vận chuyển cont vỏ 40' tuyến đường HECHUN-HAIAN  - Từ ngày 6/3/2026 tăng cước. Số xe: 15H07644</v>
      </c>
      <c r="O67" t="str">
        <f t="shared" si="5"/>
        <v xml:space="preserve"> vỏ </v>
      </c>
      <c r="P67" t="str">
        <f t="shared" si="6"/>
        <v xml:space="preserve">40' </v>
      </c>
      <c r="Q67">
        <f t="shared" si="2"/>
        <v>1</v>
      </c>
    </row>
    <row r="68" spans="1:17" x14ac:dyDescent="0.25">
      <c r="A68" s="28">
        <v>61</v>
      </c>
      <c r="B68" s="21" t="s">
        <v>119</v>
      </c>
      <c r="C68" s="22">
        <v>46122</v>
      </c>
      <c r="D68" s="23" t="s">
        <v>85</v>
      </c>
      <c r="E68" s="24"/>
      <c r="F68" s="24">
        <v>1</v>
      </c>
      <c r="G68" s="24"/>
      <c r="H68" s="24"/>
      <c r="I68" s="24" t="s">
        <v>115</v>
      </c>
      <c r="J68" s="24" t="s">
        <v>21</v>
      </c>
      <c r="K68" s="24" t="s">
        <v>116</v>
      </c>
      <c r="L68" s="27">
        <f t="shared" si="7"/>
        <v>459999.99999999994</v>
      </c>
      <c r="M68" s="25">
        <v>32960</v>
      </c>
      <c r="N68" s="25" t="str">
        <f t="shared" si="4"/>
        <v>Cước vận chuyển cont vỏ 40' tuyến đường HECHUN-HAIAN  - Từ ngày 6/3/2026 tăng cước. Số xe: 15H17403</v>
      </c>
      <c r="O68" t="str">
        <f t="shared" si="5"/>
        <v xml:space="preserve"> vỏ </v>
      </c>
      <c r="P68" t="str">
        <f t="shared" si="6"/>
        <v xml:space="preserve">40' </v>
      </c>
      <c r="Q68">
        <f t="shared" si="2"/>
        <v>1</v>
      </c>
    </row>
    <row r="69" spans="1:17" x14ac:dyDescent="0.25">
      <c r="A69" s="28">
        <v>62</v>
      </c>
      <c r="B69" s="21" t="s">
        <v>126</v>
      </c>
      <c r="C69" s="22">
        <v>46122</v>
      </c>
      <c r="D69" s="23" t="s">
        <v>86</v>
      </c>
      <c r="E69" s="24"/>
      <c r="F69" s="24">
        <v>1</v>
      </c>
      <c r="G69" s="24"/>
      <c r="H69" s="24"/>
      <c r="I69" s="24" t="s">
        <v>115</v>
      </c>
      <c r="J69" s="24" t="s">
        <v>21</v>
      </c>
      <c r="K69" s="24" t="s">
        <v>116</v>
      </c>
      <c r="L69" s="27">
        <f t="shared" si="7"/>
        <v>459999.99999999994</v>
      </c>
      <c r="M69" s="25">
        <v>32960</v>
      </c>
      <c r="N69" s="25" t="str">
        <f t="shared" si="4"/>
        <v>Cước vận chuyển cont vỏ 40' tuyến đường HECHUN-HAIAN  - Từ ngày 6/3/2026 tăng cước. Số xe: 15H07135</v>
      </c>
      <c r="O69" t="str">
        <f t="shared" si="5"/>
        <v xml:space="preserve"> vỏ </v>
      </c>
      <c r="P69" t="str">
        <f t="shared" si="6"/>
        <v xml:space="preserve">40' </v>
      </c>
      <c r="Q69">
        <f t="shared" si="2"/>
        <v>1</v>
      </c>
    </row>
    <row r="70" spans="1:17" x14ac:dyDescent="0.25">
      <c r="A70" s="28">
        <v>63</v>
      </c>
      <c r="B70" s="21" t="s">
        <v>166</v>
      </c>
      <c r="C70" s="22">
        <v>46122</v>
      </c>
      <c r="D70" s="23" t="s">
        <v>87</v>
      </c>
      <c r="E70" s="24"/>
      <c r="F70" s="24">
        <v>1</v>
      </c>
      <c r="G70" s="24"/>
      <c r="H70" s="24"/>
      <c r="I70" s="24" t="s">
        <v>115</v>
      </c>
      <c r="J70" s="24" t="s">
        <v>21</v>
      </c>
      <c r="K70" s="24" t="s">
        <v>116</v>
      </c>
      <c r="L70" s="27">
        <f t="shared" si="7"/>
        <v>459999.99999999994</v>
      </c>
      <c r="M70" s="25">
        <v>32960</v>
      </c>
      <c r="N70" s="25" t="str">
        <f t="shared" si="4"/>
        <v>Cước vận chuyển cont vỏ 40' tuyến đường HECHUN-HAIAN  - Từ ngày 6/3/2026 tăng cước. Số xe: 15H17112</v>
      </c>
      <c r="O70" t="str">
        <f t="shared" si="5"/>
        <v xml:space="preserve"> vỏ </v>
      </c>
      <c r="P70" t="str">
        <f t="shared" si="6"/>
        <v xml:space="preserve">40' </v>
      </c>
      <c r="Q70">
        <f t="shared" si="2"/>
        <v>1</v>
      </c>
    </row>
    <row r="71" spans="1:17" x14ac:dyDescent="0.25">
      <c r="A71" s="28">
        <v>64</v>
      </c>
      <c r="B71" s="21" t="s">
        <v>124</v>
      </c>
      <c r="C71" s="22">
        <v>46122</v>
      </c>
      <c r="D71" s="23" t="s">
        <v>88</v>
      </c>
      <c r="E71" s="24"/>
      <c r="F71" s="24">
        <v>1</v>
      </c>
      <c r="G71" s="24"/>
      <c r="H71" s="24"/>
      <c r="I71" s="24" t="s">
        <v>115</v>
      </c>
      <c r="J71" s="24" t="s">
        <v>21</v>
      </c>
      <c r="K71" s="24" t="s">
        <v>116</v>
      </c>
      <c r="L71" s="27">
        <f t="shared" si="7"/>
        <v>459999.99999999994</v>
      </c>
      <c r="M71" s="25">
        <v>32960</v>
      </c>
      <c r="N71" s="25" t="str">
        <f t="shared" si="4"/>
        <v>Cước vận chuyển cont vỏ 40' tuyến đường HECHUN-HAIAN  - Từ ngày 6/3/2026 tăng cước. Số xe: 15C15033</v>
      </c>
      <c r="O71" t="str">
        <f t="shared" si="5"/>
        <v xml:space="preserve"> vỏ </v>
      </c>
      <c r="P71" t="str">
        <f t="shared" si="6"/>
        <v xml:space="preserve">40' </v>
      </c>
      <c r="Q71">
        <f t="shared" si="2"/>
        <v>1</v>
      </c>
    </row>
    <row r="72" spans="1:17" x14ac:dyDescent="0.25">
      <c r="A72" s="28">
        <v>65</v>
      </c>
      <c r="B72" s="21" t="s">
        <v>128</v>
      </c>
      <c r="C72" s="22">
        <v>46122</v>
      </c>
      <c r="D72" s="23" t="s">
        <v>89</v>
      </c>
      <c r="E72" s="24"/>
      <c r="F72" s="24">
        <v>1</v>
      </c>
      <c r="G72" s="24"/>
      <c r="H72" s="24"/>
      <c r="I72" s="24" t="s">
        <v>115</v>
      </c>
      <c r="J72" s="24" t="s">
        <v>21</v>
      </c>
      <c r="K72" s="24" t="s">
        <v>116</v>
      </c>
      <c r="L72" s="27">
        <f t="shared" si="7"/>
        <v>459999.99999999994</v>
      </c>
      <c r="M72" s="25">
        <v>32960</v>
      </c>
      <c r="N72" s="25" t="str">
        <f t="shared" si="4"/>
        <v>Cước vận chuyển cont vỏ 40' tuyến đường HECHUN-HAIAN  - Từ ngày 6/3/2026 tăng cước. Số xe: 15C09877</v>
      </c>
      <c r="O72" t="str">
        <f t="shared" si="5"/>
        <v xml:space="preserve"> vỏ </v>
      </c>
      <c r="P72" t="str">
        <f t="shared" si="6"/>
        <v xml:space="preserve">40' </v>
      </c>
      <c r="Q72">
        <f t="shared" ref="Q72:Q132" si="8">E72/2+F72+G72+H72</f>
        <v>1</v>
      </c>
    </row>
    <row r="73" spans="1:17" x14ac:dyDescent="0.25">
      <c r="A73" s="28">
        <v>66</v>
      </c>
      <c r="B73" s="21" t="s">
        <v>167</v>
      </c>
      <c r="C73" s="22">
        <v>46122</v>
      </c>
      <c r="D73" s="23" t="s">
        <v>90</v>
      </c>
      <c r="E73" s="24"/>
      <c r="F73" s="24">
        <v>1</v>
      </c>
      <c r="G73" s="24"/>
      <c r="H73" s="24"/>
      <c r="I73" s="24" t="s">
        <v>115</v>
      </c>
      <c r="J73" s="24" t="s">
        <v>21</v>
      </c>
      <c r="K73" s="24" t="s">
        <v>116</v>
      </c>
      <c r="L73" s="27">
        <f t="shared" si="7"/>
        <v>459999.99999999994</v>
      </c>
      <c r="M73" s="25">
        <v>32960</v>
      </c>
      <c r="N73" s="25" t="str">
        <f t="shared" ref="N73:N132" si="9">$N$7&amp;O73&amp;P73&amp;$N$6&amp;K73&amp;" - Từ ngày 6/3/2026 tăng cước"&amp;$O$7&amp;B73</f>
        <v>Cước vận chuyển cont vỏ 40' tuyến đường HECHUN-HAIAN  - Từ ngày 6/3/2026 tăng cước. Số xe: 15C17442</v>
      </c>
      <c r="O73" t="str">
        <f t="shared" ref="O73:O132" si="10">IF(E73+F73=1," vỏ "," hàng ")</f>
        <v xml:space="preserve"> vỏ </v>
      </c>
      <c r="P73" t="str">
        <f t="shared" ref="P73:P132" si="11">IF(E73+G73=1,"20' ","40' ")</f>
        <v xml:space="preserve">40' </v>
      </c>
      <c r="Q73">
        <f t="shared" si="8"/>
        <v>1</v>
      </c>
    </row>
    <row r="74" spans="1:17" x14ac:dyDescent="0.25">
      <c r="A74" s="28">
        <v>67</v>
      </c>
      <c r="B74" s="21" t="s">
        <v>123</v>
      </c>
      <c r="C74" s="22">
        <v>46122</v>
      </c>
      <c r="D74" s="23" t="s">
        <v>91</v>
      </c>
      <c r="E74" s="24"/>
      <c r="F74" s="24">
        <v>1</v>
      </c>
      <c r="G74" s="24"/>
      <c r="H74" s="24"/>
      <c r="I74" s="24" t="s">
        <v>115</v>
      </c>
      <c r="J74" s="24" t="s">
        <v>21</v>
      </c>
      <c r="K74" s="24" t="s">
        <v>116</v>
      </c>
      <c r="L74" s="27">
        <f t="shared" si="7"/>
        <v>459999.99999999994</v>
      </c>
      <c r="M74" s="25">
        <v>32960</v>
      </c>
      <c r="N74" s="25" t="str">
        <f t="shared" si="9"/>
        <v>Cước vận chuyển cont vỏ 40' tuyến đường HECHUN-HAIAN  - Từ ngày 6/3/2026 tăng cước. Số xe: 15H18552</v>
      </c>
      <c r="O74" t="str">
        <f t="shared" si="10"/>
        <v xml:space="preserve"> vỏ </v>
      </c>
      <c r="P74" t="str">
        <f t="shared" si="11"/>
        <v xml:space="preserve">40' </v>
      </c>
      <c r="Q74">
        <f t="shared" si="8"/>
        <v>1</v>
      </c>
    </row>
    <row r="75" spans="1:17" x14ac:dyDescent="0.25">
      <c r="A75" s="28">
        <v>68</v>
      </c>
      <c r="B75" s="21" t="s">
        <v>121</v>
      </c>
      <c r="C75" s="22">
        <v>46122</v>
      </c>
      <c r="D75" s="23" t="s">
        <v>92</v>
      </c>
      <c r="E75" s="24"/>
      <c r="F75" s="24">
        <v>1</v>
      </c>
      <c r="G75" s="24"/>
      <c r="H75" s="24"/>
      <c r="I75" s="24" t="s">
        <v>115</v>
      </c>
      <c r="J75" s="24" t="s">
        <v>21</v>
      </c>
      <c r="K75" s="24" t="s">
        <v>116</v>
      </c>
      <c r="L75" s="27">
        <f t="shared" si="7"/>
        <v>459999.99999999994</v>
      </c>
      <c r="M75" s="25">
        <v>32960</v>
      </c>
      <c r="N75" s="25" t="str">
        <f t="shared" si="9"/>
        <v>Cước vận chuyển cont vỏ 40' tuyến đường HECHUN-HAIAN  - Từ ngày 6/3/2026 tăng cước. Số xe: 15H07524</v>
      </c>
      <c r="O75" t="str">
        <f t="shared" si="10"/>
        <v xml:space="preserve"> vỏ </v>
      </c>
      <c r="P75" t="str">
        <f t="shared" si="11"/>
        <v xml:space="preserve">40' </v>
      </c>
      <c r="Q75">
        <f t="shared" si="8"/>
        <v>1</v>
      </c>
    </row>
    <row r="76" spans="1:17" x14ac:dyDescent="0.25">
      <c r="A76" s="28">
        <v>69</v>
      </c>
      <c r="B76" s="21" t="s">
        <v>127</v>
      </c>
      <c r="C76" s="22">
        <v>46122</v>
      </c>
      <c r="D76" s="23" t="s">
        <v>93</v>
      </c>
      <c r="E76" s="24"/>
      <c r="F76" s="24">
        <v>1</v>
      </c>
      <c r="G76" s="24"/>
      <c r="H76" s="24"/>
      <c r="I76" s="24" t="s">
        <v>115</v>
      </c>
      <c r="J76" s="24" t="s">
        <v>21</v>
      </c>
      <c r="K76" s="24" t="s">
        <v>116</v>
      </c>
      <c r="L76" s="27">
        <f t="shared" si="7"/>
        <v>459999.99999999994</v>
      </c>
      <c r="M76" s="25">
        <v>32960</v>
      </c>
      <c r="N76" s="25" t="str">
        <f t="shared" si="9"/>
        <v>Cước vận chuyển cont vỏ 40' tuyến đường HECHUN-HAIAN  - Từ ngày 6/3/2026 tăng cước. Số xe: 15H08574</v>
      </c>
      <c r="O76" t="str">
        <f t="shared" si="10"/>
        <v xml:space="preserve"> vỏ </v>
      </c>
      <c r="P76" t="str">
        <f t="shared" si="11"/>
        <v xml:space="preserve">40' </v>
      </c>
      <c r="Q76">
        <f t="shared" si="8"/>
        <v>1</v>
      </c>
    </row>
    <row r="77" spans="1:17" x14ac:dyDescent="0.25">
      <c r="A77" s="28">
        <v>70</v>
      </c>
      <c r="B77" s="21" t="s">
        <v>121</v>
      </c>
      <c r="C77" s="22">
        <v>46122</v>
      </c>
      <c r="D77" s="23" t="s">
        <v>94</v>
      </c>
      <c r="E77" s="24"/>
      <c r="F77" s="24">
        <v>1</v>
      </c>
      <c r="G77" s="24"/>
      <c r="H77" s="24"/>
      <c r="I77" s="24" t="s">
        <v>115</v>
      </c>
      <c r="J77" s="24" t="s">
        <v>21</v>
      </c>
      <c r="K77" s="24" t="s">
        <v>116</v>
      </c>
      <c r="L77" s="27">
        <f t="shared" si="7"/>
        <v>459999.99999999994</v>
      </c>
      <c r="M77" s="25">
        <v>32960</v>
      </c>
      <c r="N77" s="25" t="str">
        <f t="shared" si="9"/>
        <v>Cước vận chuyển cont vỏ 40' tuyến đường HECHUN-HAIAN  - Từ ngày 6/3/2026 tăng cước. Số xe: 15H07524</v>
      </c>
      <c r="O77" t="str">
        <f t="shared" si="10"/>
        <v xml:space="preserve"> vỏ </v>
      </c>
      <c r="P77" t="str">
        <f t="shared" si="11"/>
        <v xml:space="preserve">40' </v>
      </c>
      <c r="Q77">
        <f t="shared" si="8"/>
        <v>1</v>
      </c>
    </row>
    <row r="78" spans="1:17" x14ac:dyDescent="0.25">
      <c r="A78" s="28">
        <v>71</v>
      </c>
      <c r="B78" s="21" t="s">
        <v>165</v>
      </c>
      <c r="C78" s="22">
        <v>46122</v>
      </c>
      <c r="D78" s="23" t="s">
        <v>95</v>
      </c>
      <c r="E78" s="24"/>
      <c r="F78" s="24">
        <v>1</v>
      </c>
      <c r="G78" s="24"/>
      <c r="H78" s="24"/>
      <c r="I78" s="24" t="s">
        <v>115</v>
      </c>
      <c r="J78" s="24" t="s">
        <v>21</v>
      </c>
      <c r="K78" s="24" t="s">
        <v>116</v>
      </c>
      <c r="L78" s="27">
        <f t="shared" si="7"/>
        <v>459999.99999999994</v>
      </c>
      <c r="M78" s="25">
        <v>32960</v>
      </c>
      <c r="N78" s="25" t="str">
        <f t="shared" si="9"/>
        <v>Cước vận chuyển cont vỏ 40' tuyến đường HECHUN-HAIAN  - Từ ngày 6/3/2026 tăng cước. Số xe: 15H20645</v>
      </c>
      <c r="O78" t="str">
        <f t="shared" si="10"/>
        <v xml:space="preserve"> vỏ </v>
      </c>
      <c r="P78" t="str">
        <f t="shared" si="11"/>
        <v xml:space="preserve">40' </v>
      </c>
      <c r="Q78">
        <f t="shared" si="8"/>
        <v>1</v>
      </c>
    </row>
    <row r="79" spans="1:17" x14ac:dyDescent="0.25">
      <c r="A79" s="28">
        <v>72</v>
      </c>
      <c r="B79" s="21" t="s">
        <v>123</v>
      </c>
      <c r="C79" s="22">
        <v>46122</v>
      </c>
      <c r="D79" s="23" t="s">
        <v>96</v>
      </c>
      <c r="E79" s="24"/>
      <c r="F79" s="24">
        <v>1</v>
      </c>
      <c r="G79" s="24"/>
      <c r="H79" s="24"/>
      <c r="I79" s="24" t="s">
        <v>115</v>
      </c>
      <c r="J79" s="24" t="s">
        <v>21</v>
      </c>
      <c r="K79" s="24" t="s">
        <v>116</v>
      </c>
      <c r="L79" s="27">
        <f t="shared" si="7"/>
        <v>459999.99999999994</v>
      </c>
      <c r="M79" s="25">
        <v>32960</v>
      </c>
      <c r="N79" s="25" t="str">
        <f t="shared" si="9"/>
        <v>Cước vận chuyển cont vỏ 40' tuyến đường HECHUN-HAIAN  - Từ ngày 6/3/2026 tăng cước. Số xe: 15H18552</v>
      </c>
      <c r="O79" t="str">
        <f t="shared" si="10"/>
        <v xml:space="preserve"> vỏ </v>
      </c>
      <c r="P79" t="str">
        <f t="shared" si="11"/>
        <v xml:space="preserve">40' </v>
      </c>
      <c r="Q79">
        <f t="shared" si="8"/>
        <v>1</v>
      </c>
    </row>
    <row r="80" spans="1:17" x14ac:dyDescent="0.25">
      <c r="A80" s="28">
        <v>73</v>
      </c>
      <c r="B80" s="21" t="s">
        <v>120</v>
      </c>
      <c r="C80" s="22">
        <v>46122</v>
      </c>
      <c r="D80" s="23" t="s">
        <v>97</v>
      </c>
      <c r="E80" s="24"/>
      <c r="F80" s="24">
        <v>1</v>
      </c>
      <c r="G80" s="24"/>
      <c r="H80" s="24"/>
      <c r="I80" s="24" t="s">
        <v>115</v>
      </c>
      <c r="J80" s="24" t="s">
        <v>21</v>
      </c>
      <c r="K80" s="24" t="s">
        <v>116</v>
      </c>
      <c r="L80" s="27">
        <f t="shared" si="7"/>
        <v>459999.99999999994</v>
      </c>
      <c r="M80" s="25">
        <v>32960</v>
      </c>
      <c r="N80" s="25" t="str">
        <f t="shared" si="9"/>
        <v>Cước vận chuyển cont vỏ 40' tuyến đường HECHUN-HAIAN  - Từ ngày 6/3/2026 tăng cước. Số xe: 15C17301</v>
      </c>
      <c r="O80" t="str">
        <f t="shared" si="10"/>
        <v xml:space="preserve"> vỏ </v>
      </c>
      <c r="P80" t="str">
        <f t="shared" si="11"/>
        <v xml:space="preserve">40' </v>
      </c>
      <c r="Q80">
        <f t="shared" si="8"/>
        <v>1</v>
      </c>
    </row>
    <row r="81" spans="1:17" x14ac:dyDescent="0.25">
      <c r="A81" s="28">
        <v>74</v>
      </c>
      <c r="B81" s="21" t="s">
        <v>118</v>
      </c>
      <c r="C81" s="22">
        <v>46122</v>
      </c>
      <c r="D81" s="23" t="s">
        <v>98</v>
      </c>
      <c r="E81" s="24"/>
      <c r="F81" s="24">
        <v>1</v>
      </c>
      <c r="G81" s="24"/>
      <c r="H81" s="24"/>
      <c r="I81" s="24" t="s">
        <v>115</v>
      </c>
      <c r="J81" s="24" t="s">
        <v>21</v>
      </c>
      <c r="K81" s="24" t="s">
        <v>116</v>
      </c>
      <c r="L81" s="27">
        <f t="shared" si="7"/>
        <v>459999.99999999994</v>
      </c>
      <c r="M81" s="25">
        <v>32960</v>
      </c>
      <c r="N81" s="25" t="str">
        <f t="shared" si="9"/>
        <v>Cước vận chuyển cont vỏ 40' tuyến đường HECHUN-HAIAN  - Từ ngày 6/3/2026 tăng cước. Số xe: 15H07788</v>
      </c>
      <c r="O81" t="str">
        <f t="shared" si="10"/>
        <v xml:space="preserve"> vỏ </v>
      </c>
      <c r="P81" t="str">
        <f t="shared" si="11"/>
        <v xml:space="preserve">40' </v>
      </c>
      <c r="Q81">
        <f t="shared" si="8"/>
        <v>1</v>
      </c>
    </row>
    <row r="82" spans="1:17" x14ac:dyDescent="0.25">
      <c r="A82" s="28">
        <v>75</v>
      </c>
      <c r="B82" s="21" t="s">
        <v>128</v>
      </c>
      <c r="C82" s="22">
        <v>46122</v>
      </c>
      <c r="D82" s="23" t="s">
        <v>99</v>
      </c>
      <c r="E82" s="24"/>
      <c r="F82" s="24">
        <v>1</v>
      </c>
      <c r="G82" s="24"/>
      <c r="H82" s="24"/>
      <c r="I82" s="24" t="s">
        <v>115</v>
      </c>
      <c r="J82" s="24" t="s">
        <v>21</v>
      </c>
      <c r="K82" s="24" t="s">
        <v>116</v>
      </c>
      <c r="L82" s="27">
        <f t="shared" si="7"/>
        <v>459999.99999999994</v>
      </c>
      <c r="M82" s="25">
        <v>32960</v>
      </c>
      <c r="N82" s="25" t="str">
        <f t="shared" si="9"/>
        <v>Cước vận chuyển cont vỏ 40' tuyến đường HECHUN-HAIAN  - Từ ngày 6/3/2026 tăng cước. Số xe: 15C09877</v>
      </c>
      <c r="O82" t="str">
        <f t="shared" si="10"/>
        <v xml:space="preserve"> vỏ </v>
      </c>
      <c r="P82" t="str">
        <f t="shared" si="11"/>
        <v xml:space="preserve">40' </v>
      </c>
      <c r="Q82">
        <f t="shared" si="8"/>
        <v>1</v>
      </c>
    </row>
    <row r="83" spans="1:17" x14ac:dyDescent="0.25">
      <c r="A83" s="28">
        <v>76</v>
      </c>
      <c r="B83" s="21" t="s">
        <v>124</v>
      </c>
      <c r="C83" s="22">
        <v>46122</v>
      </c>
      <c r="D83" s="23" t="s">
        <v>100</v>
      </c>
      <c r="E83" s="24"/>
      <c r="F83" s="24">
        <v>1</v>
      </c>
      <c r="G83" s="24"/>
      <c r="H83" s="24"/>
      <c r="I83" s="24" t="s">
        <v>115</v>
      </c>
      <c r="J83" s="24" t="s">
        <v>21</v>
      </c>
      <c r="K83" s="24" t="s">
        <v>116</v>
      </c>
      <c r="L83" s="27">
        <f t="shared" si="7"/>
        <v>459999.99999999994</v>
      </c>
      <c r="M83" s="25">
        <v>32960</v>
      </c>
      <c r="N83" s="25" t="str">
        <f t="shared" si="9"/>
        <v>Cước vận chuyển cont vỏ 40' tuyến đường HECHUN-HAIAN  - Từ ngày 6/3/2026 tăng cước. Số xe: 15C15033</v>
      </c>
      <c r="O83" t="str">
        <f t="shared" si="10"/>
        <v xml:space="preserve"> vỏ </v>
      </c>
      <c r="P83" t="str">
        <f t="shared" si="11"/>
        <v xml:space="preserve">40' </v>
      </c>
      <c r="Q83">
        <f t="shared" si="8"/>
        <v>1</v>
      </c>
    </row>
    <row r="84" spans="1:17" x14ac:dyDescent="0.25">
      <c r="A84" s="28">
        <v>77</v>
      </c>
      <c r="B84" s="21" t="s">
        <v>128</v>
      </c>
      <c r="C84" s="22">
        <v>46122</v>
      </c>
      <c r="D84" s="23" t="s">
        <v>101</v>
      </c>
      <c r="E84" s="24"/>
      <c r="F84" s="24">
        <v>1</v>
      </c>
      <c r="G84" s="24"/>
      <c r="H84" s="24"/>
      <c r="I84" s="24" t="s">
        <v>115</v>
      </c>
      <c r="J84" s="24" t="s">
        <v>21</v>
      </c>
      <c r="K84" s="24" t="s">
        <v>116</v>
      </c>
      <c r="L84" s="27">
        <f t="shared" si="7"/>
        <v>459999.99999999994</v>
      </c>
      <c r="M84" s="25">
        <v>32960</v>
      </c>
      <c r="N84" s="25" t="str">
        <f t="shared" si="9"/>
        <v>Cước vận chuyển cont vỏ 40' tuyến đường HECHUN-HAIAN  - Từ ngày 6/3/2026 tăng cước. Số xe: 15C09877</v>
      </c>
      <c r="O84" t="str">
        <f t="shared" si="10"/>
        <v xml:space="preserve"> vỏ </v>
      </c>
      <c r="P84" t="str">
        <f t="shared" si="11"/>
        <v xml:space="preserve">40' </v>
      </c>
      <c r="Q84">
        <f t="shared" si="8"/>
        <v>1</v>
      </c>
    </row>
    <row r="85" spans="1:17" x14ac:dyDescent="0.25">
      <c r="A85" s="28">
        <v>78</v>
      </c>
      <c r="B85" s="21" t="s">
        <v>125</v>
      </c>
      <c r="C85" s="22">
        <v>46122</v>
      </c>
      <c r="D85" s="23" t="s">
        <v>102</v>
      </c>
      <c r="E85" s="24"/>
      <c r="F85" s="24">
        <v>1</v>
      </c>
      <c r="G85" s="24"/>
      <c r="H85" s="24"/>
      <c r="I85" s="24" t="s">
        <v>115</v>
      </c>
      <c r="J85" s="24" t="s">
        <v>21</v>
      </c>
      <c r="K85" s="24" t="s">
        <v>116</v>
      </c>
      <c r="L85" s="27">
        <f t="shared" si="7"/>
        <v>459999.99999999994</v>
      </c>
      <c r="M85" s="25">
        <v>32960</v>
      </c>
      <c r="N85" s="25" t="str">
        <f t="shared" si="9"/>
        <v>Cước vận chuyển cont vỏ 40' tuyến đường HECHUN-HAIAN  - Từ ngày 6/3/2026 tăng cước. Số xe: 15H12925</v>
      </c>
      <c r="O85" t="str">
        <f t="shared" si="10"/>
        <v xml:space="preserve"> vỏ </v>
      </c>
      <c r="P85" t="str">
        <f t="shared" si="11"/>
        <v xml:space="preserve">40' </v>
      </c>
      <c r="Q85">
        <f t="shared" si="8"/>
        <v>1</v>
      </c>
    </row>
    <row r="86" spans="1:17" x14ac:dyDescent="0.25">
      <c r="A86" s="28">
        <v>79</v>
      </c>
      <c r="B86" s="21" t="s">
        <v>166</v>
      </c>
      <c r="C86" s="22">
        <v>46122</v>
      </c>
      <c r="D86" s="23" t="s">
        <v>103</v>
      </c>
      <c r="E86" s="24"/>
      <c r="F86" s="24">
        <v>1</v>
      </c>
      <c r="G86" s="24"/>
      <c r="H86" s="24"/>
      <c r="I86" s="24" t="s">
        <v>115</v>
      </c>
      <c r="J86" s="24" t="s">
        <v>21</v>
      </c>
      <c r="K86" s="24" t="s">
        <v>116</v>
      </c>
      <c r="L86" s="27">
        <f t="shared" si="7"/>
        <v>459999.99999999994</v>
      </c>
      <c r="M86" s="25">
        <v>32960</v>
      </c>
      <c r="N86" s="25" t="str">
        <f t="shared" si="9"/>
        <v>Cước vận chuyển cont vỏ 40' tuyến đường HECHUN-HAIAN  - Từ ngày 6/3/2026 tăng cước. Số xe: 15H17112</v>
      </c>
      <c r="O86" t="str">
        <f t="shared" si="10"/>
        <v xml:space="preserve"> vỏ </v>
      </c>
      <c r="P86" t="str">
        <f t="shared" si="11"/>
        <v xml:space="preserve">40' </v>
      </c>
      <c r="Q86">
        <f t="shared" si="8"/>
        <v>1</v>
      </c>
    </row>
    <row r="87" spans="1:17" x14ac:dyDescent="0.25">
      <c r="A87" s="28">
        <v>80</v>
      </c>
      <c r="B87" s="21" t="s">
        <v>167</v>
      </c>
      <c r="C87" s="22">
        <v>46122</v>
      </c>
      <c r="D87" s="23" t="s">
        <v>104</v>
      </c>
      <c r="E87" s="24"/>
      <c r="F87" s="24">
        <v>1</v>
      </c>
      <c r="G87" s="24"/>
      <c r="H87" s="24"/>
      <c r="I87" s="24" t="s">
        <v>115</v>
      </c>
      <c r="J87" s="24" t="s">
        <v>21</v>
      </c>
      <c r="K87" s="24" t="s">
        <v>116</v>
      </c>
      <c r="L87" s="27">
        <f t="shared" si="7"/>
        <v>459999.99999999994</v>
      </c>
      <c r="M87" s="25">
        <v>32960</v>
      </c>
      <c r="N87" s="25" t="str">
        <f t="shared" si="9"/>
        <v>Cước vận chuyển cont vỏ 40' tuyến đường HECHUN-HAIAN  - Từ ngày 6/3/2026 tăng cước. Số xe: 15C17442</v>
      </c>
      <c r="O87" t="str">
        <f t="shared" si="10"/>
        <v xml:space="preserve"> vỏ </v>
      </c>
      <c r="P87" t="str">
        <f t="shared" si="11"/>
        <v xml:space="preserve">40' </v>
      </c>
      <c r="Q87">
        <f t="shared" si="8"/>
        <v>1</v>
      </c>
    </row>
    <row r="88" spans="1:17" x14ac:dyDescent="0.25">
      <c r="A88" s="28">
        <v>81</v>
      </c>
      <c r="B88" s="21" t="s">
        <v>127</v>
      </c>
      <c r="C88" s="22">
        <v>46122</v>
      </c>
      <c r="D88" s="23" t="s">
        <v>105</v>
      </c>
      <c r="E88" s="24"/>
      <c r="F88" s="24">
        <v>1</v>
      </c>
      <c r="G88" s="24"/>
      <c r="H88" s="24"/>
      <c r="I88" s="24" t="s">
        <v>115</v>
      </c>
      <c r="J88" s="24" t="s">
        <v>21</v>
      </c>
      <c r="K88" s="24" t="s">
        <v>116</v>
      </c>
      <c r="L88" s="27">
        <f t="shared" si="7"/>
        <v>459999.99999999994</v>
      </c>
      <c r="M88" s="25">
        <v>32960</v>
      </c>
      <c r="N88" s="25" t="str">
        <f t="shared" si="9"/>
        <v>Cước vận chuyển cont vỏ 40' tuyến đường HECHUN-HAIAN  - Từ ngày 6/3/2026 tăng cước. Số xe: 15H08574</v>
      </c>
      <c r="O88" t="str">
        <f t="shared" si="10"/>
        <v xml:space="preserve"> vỏ </v>
      </c>
      <c r="P88" t="str">
        <f t="shared" si="11"/>
        <v xml:space="preserve">40' </v>
      </c>
      <c r="Q88">
        <f t="shared" si="8"/>
        <v>1</v>
      </c>
    </row>
    <row r="89" spans="1:17" x14ac:dyDescent="0.25">
      <c r="A89" s="28">
        <v>82</v>
      </c>
      <c r="B89" s="21" t="s">
        <v>126</v>
      </c>
      <c r="C89" s="22">
        <v>46122</v>
      </c>
      <c r="D89" s="23" t="s">
        <v>106</v>
      </c>
      <c r="E89" s="24"/>
      <c r="F89" s="24">
        <v>1</v>
      </c>
      <c r="G89" s="24"/>
      <c r="H89" s="24"/>
      <c r="I89" s="24" t="s">
        <v>115</v>
      </c>
      <c r="J89" s="24" t="s">
        <v>21</v>
      </c>
      <c r="K89" s="24" t="s">
        <v>116</v>
      </c>
      <c r="L89" s="27">
        <f t="shared" si="7"/>
        <v>459999.99999999994</v>
      </c>
      <c r="M89" s="25">
        <v>32960</v>
      </c>
      <c r="N89" s="25" t="str">
        <f t="shared" si="9"/>
        <v>Cước vận chuyển cont vỏ 40' tuyến đường HECHUN-HAIAN  - Từ ngày 6/3/2026 tăng cước. Số xe: 15H07135</v>
      </c>
      <c r="O89" t="str">
        <f t="shared" si="10"/>
        <v xml:space="preserve"> vỏ </v>
      </c>
      <c r="P89" t="str">
        <f t="shared" si="11"/>
        <v xml:space="preserve">40' </v>
      </c>
      <c r="Q89">
        <f t="shared" si="8"/>
        <v>1</v>
      </c>
    </row>
    <row r="90" spans="1:17" x14ac:dyDescent="0.25">
      <c r="A90" s="28">
        <v>83</v>
      </c>
      <c r="B90" s="21" t="s">
        <v>118</v>
      </c>
      <c r="C90" s="22">
        <v>46122</v>
      </c>
      <c r="D90" s="23" t="s">
        <v>107</v>
      </c>
      <c r="E90" s="24"/>
      <c r="F90" s="24">
        <v>1</v>
      </c>
      <c r="G90" s="24"/>
      <c r="H90" s="24"/>
      <c r="I90" s="24" t="s">
        <v>115</v>
      </c>
      <c r="J90" s="24" t="s">
        <v>21</v>
      </c>
      <c r="K90" s="24" t="s">
        <v>116</v>
      </c>
      <c r="L90" s="27">
        <f t="shared" si="7"/>
        <v>459999.99999999994</v>
      </c>
      <c r="M90" s="25">
        <v>32960</v>
      </c>
      <c r="N90" s="25" t="str">
        <f t="shared" si="9"/>
        <v>Cước vận chuyển cont vỏ 40' tuyến đường HECHUN-HAIAN  - Từ ngày 6/3/2026 tăng cước. Số xe: 15H07788</v>
      </c>
      <c r="O90" t="str">
        <f t="shared" si="10"/>
        <v xml:space="preserve"> vỏ </v>
      </c>
      <c r="P90" t="str">
        <f t="shared" si="11"/>
        <v xml:space="preserve">40' </v>
      </c>
      <c r="Q90">
        <f t="shared" si="8"/>
        <v>1</v>
      </c>
    </row>
    <row r="91" spans="1:17" x14ac:dyDescent="0.25">
      <c r="A91" s="28">
        <v>84</v>
      </c>
      <c r="B91" s="21" t="s">
        <v>124</v>
      </c>
      <c r="C91" s="22">
        <v>46122</v>
      </c>
      <c r="D91" s="23" t="s">
        <v>108</v>
      </c>
      <c r="E91" s="24"/>
      <c r="F91" s="24">
        <v>1</v>
      </c>
      <c r="G91" s="24"/>
      <c r="H91" s="24"/>
      <c r="I91" s="24" t="s">
        <v>115</v>
      </c>
      <c r="J91" s="24" t="s">
        <v>21</v>
      </c>
      <c r="K91" s="24" t="s">
        <v>116</v>
      </c>
      <c r="L91" s="27">
        <f t="shared" si="7"/>
        <v>459999.99999999994</v>
      </c>
      <c r="M91" s="25">
        <v>32960</v>
      </c>
      <c r="N91" s="25" t="str">
        <f t="shared" si="9"/>
        <v>Cước vận chuyển cont vỏ 40' tuyến đường HECHUN-HAIAN  - Từ ngày 6/3/2026 tăng cước. Số xe: 15C15033</v>
      </c>
      <c r="O91" t="str">
        <f t="shared" si="10"/>
        <v xml:space="preserve"> vỏ </v>
      </c>
      <c r="P91" t="str">
        <f t="shared" si="11"/>
        <v xml:space="preserve">40' </v>
      </c>
      <c r="Q91">
        <f t="shared" si="8"/>
        <v>1</v>
      </c>
    </row>
    <row r="92" spans="1:17" x14ac:dyDescent="0.25">
      <c r="A92" s="28">
        <v>85</v>
      </c>
      <c r="B92" s="21" t="s">
        <v>121</v>
      </c>
      <c r="C92" s="22">
        <v>46122</v>
      </c>
      <c r="D92" s="23" t="s">
        <v>109</v>
      </c>
      <c r="E92" s="24"/>
      <c r="F92" s="24">
        <v>1</v>
      </c>
      <c r="G92" s="24"/>
      <c r="H92" s="24"/>
      <c r="I92" s="24" t="s">
        <v>115</v>
      </c>
      <c r="J92" s="24" t="s">
        <v>21</v>
      </c>
      <c r="K92" s="24" t="s">
        <v>116</v>
      </c>
      <c r="L92" s="27">
        <f t="shared" si="7"/>
        <v>459999.99999999994</v>
      </c>
      <c r="M92" s="25">
        <v>32960</v>
      </c>
      <c r="N92" s="25" t="str">
        <f t="shared" si="9"/>
        <v>Cước vận chuyển cont vỏ 40' tuyến đường HECHUN-HAIAN  - Từ ngày 6/3/2026 tăng cước. Số xe: 15H07524</v>
      </c>
      <c r="O92" t="str">
        <f t="shared" si="10"/>
        <v xml:space="preserve"> vỏ </v>
      </c>
      <c r="P92" t="str">
        <f t="shared" si="11"/>
        <v xml:space="preserve">40' </v>
      </c>
      <c r="Q92">
        <f t="shared" si="8"/>
        <v>1</v>
      </c>
    </row>
    <row r="93" spans="1:17" x14ac:dyDescent="0.25">
      <c r="A93" s="28">
        <v>86</v>
      </c>
      <c r="B93" s="21" t="s">
        <v>120</v>
      </c>
      <c r="C93" s="22">
        <v>46122</v>
      </c>
      <c r="D93" s="23" t="s">
        <v>110</v>
      </c>
      <c r="E93" s="24"/>
      <c r="F93" s="24">
        <v>1</v>
      </c>
      <c r="G93" s="24"/>
      <c r="H93" s="24"/>
      <c r="I93" s="24" t="s">
        <v>115</v>
      </c>
      <c r="J93" s="24" t="s">
        <v>21</v>
      </c>
      <c r="K93" s="24" t="s">
        <v>116</v>
      </c>
      <c r="L93" s="27">
        <f t="shared" ref="L93:L97" si="12">400000*115%</f>
        <v>459999.99999999994</v>
      </c>
      <c r="M93" s="25">
        <v>32960</v>
      </c>
      <c r="N93" s="25" t="str">
        <f t="shared" si="9"/>
        <v>Cước vận chuyển cont vỏ 40' tuyến đường HECHUN-HAIAN  - Từ ngày 6/3/2026 tăng cước. Số xe: 15C17301</v>
      </c>
      <c r="O93" t="str">
        <f t="shared" si="10"/>
        <v xml:space="preserve"> vỏ </v>
      </c>
      <c r="P93" t="str">
        <f t="shared" si="11"/>
        <v xml:space="preserve">40' </v>
      </c>
      <c r="Q93">
        <f t="shared" si="8"/>
        <v>1</v>
      </c>
    </row>
    <row r="94" spans="1:17" x14ac:dyDescent="0.25">
      <c r="A94" s="28">
        <v>87</v>
      </c>
      <c r="B94" s="21" t="s">
        <v>165</v>
      </c>
      <c r="C94" s="22">
        <v>46122</v>
      </c>
      <c r="D94" s="23" t="s">
        <v>111</v>
      </c>
      <c r="E94" s="24"/>
      <c r="F94" s="24">
        <v>1</v>
      </c>
      <c r="G94" s="24"/>
      <c r="H94" s="24"/>
      <c r="I94" s="24" t="s">
        <v>115</v>
      </c>
      <c r="J94" s="24" t="s">
        <v>21</v>
      </c>
      <c r="K94" s="24" t="s">
        <v>116</v>
      </c>
      <c r="L94" s="27">
        <f t="shared" si="12"/>
        <v>459999.99999999994</v>
      </c>
      <c r="M94" s="25">
        <v>32960</v>
      </c>
      <c r="N94" s="25" t="str">
        <f t="shared" si="9"/>
        <v>Cước vận chuyển cont vỏ 40' tuyến đường HECHUN-HAIAN  - Từ ngày 6/3/2026 tăng cước. Số xe: 15H20645</v>
      </c>
      <c r="O94" t="str">
        <f t="shared" si="10"/>
        <v xml:space="preserve"> vỏ </v>
      </c>
      <c r="P94" t="str">
        <f t="shared" si="11"/>
        <v xml:space="preserve">40' </v>
      </c>
      <c r="Q94">
        <f t="shared" si="8"/>
        <v>1</v>
      </c>
    </row>
    <row r="95" spans="1:17" x14ac:dyDescent="0.25">
      <c r="A95" s="28">
        <v>88</v>
      </c>
      <c r="B95" s="21" t="s">
        <v>123</v>
      </c>
      <c r="C95" s="22">
        <v>46122</v>
      </c>
      <c r="D95" s="23" t="s">
        <v>112</v>
      </c>
      <c r="E95" s="24"/>
      <c r="F95" s="24">
        <v>1</v>
      </c>
      <c r="G95" s="24"/>
      <c r="H95" s="24"/>
      <c r="I95" s="24" t="s">
        <v>115</v>
      </c>
      <c r="J95" s="24" t="s">
        <v>21</v>
      </c>
      <c r="K95" s="24" t="s">
        <v>116</v>
      </c>
      <c r="L95" s="27">
        <f t="shared" si="12"/>
        <v>459999.99999999994</v>
      </c>
      <c r="M95" s="25">
        <v>32960</v>
      </c>
      <c r="N95" s="25" t="str">
        <f t="shared" si="9"/>
        <v>Cước vận chuyển cont vỏ 40' tuyến đường HECHUN-HAIAN  - Từ ngày 6/3/2026 tăng cước. Số xe: 15H18552</v>
      </c>
      <c r="O95" t="str">
        <f t="shared" si="10"/>
        <v xml:space="preserve"> vỏ </v>
      </c>
      <c r="P95" t="str">
        <f t="shared" si="11"/>
        <v xml:space="preserve">40' </v>
      </c>
      <c r="Q95">
        <f t="shared" si="8"/>
        <v>1</v>
      </c>
    </row>
    <row r="96" spans="1:17" x14ac:dyDescent="0.25">
      <c r="A96" s="28">
        <v>89</v>
      </c>
      <c r="B96" s="21" t="s">
        <v>125</v>
      </c>
      <c r="C96" s="22">
        <v>46122</v>
      </c>
      <c r="D96" s="23" t="s">
        <v>113</v>
      </c>
      <c r="E96" s="24"/>
      <c r="F96" s="24">
        <v>1</v>
      </c>
      <c r="G96" s="24"/>
      <c r="H96" s="24"/>
      <c r="I96" s="24" t="s">
        <v>115</v>
      </c>
      <c r="J96" s="24" t="s">
        <v>21</v>
      </c>
      <c r="K96" s="24" t="s">
        <v>116</v>
      </c>
      <c r="L96" s="27">
        <f t="shared" si="12"/>
        <v>459999.99999999994</v>
      </c>
      <c r="M96" s="25">
        <v>32960</v>
      </c>
      <c r="N96" s="25" t="str">
        <f t="shared" si="9"/>
        <v>Cước vận chuyển cont vỏ 40' tuyến đường HECHUN-HAIAN  - Từ ngày 6/3/2026 tăng cước. Số xe: 15H12925</v>
      </c>
      <c r="O96" t="str">
        <f t="shared" si="10"/>
        <v xml:space="preserve"> vỏ </v>
      </c>
      <c r="P96" t="str">
        <f t="shared" si="11"/>
        <v xml:space="preserve">40' </v>
      </c>
      <c r="Q96">
        <f t="shared" si="8"/>
        <v>1</v>
      </c>
    </row>
    <row r="97" spans="1:17" x14ac:dyDescent="0.25">
      <c r="A97" s="28">
        <v>90</v>
      </c>
      <c r="B97" s="21" t="s">
        <v>128</v>
      </c>
      <c r="C97" s="30">
        <v>46122</v>
      </c>
      <c r="D97" s="31" t="s">
        <v>114</v>
      </c>
      <c r="E97" s="32"/>
      <c r="F97" s="32">
        <v>1</v>
      </c>
      <c r="G97" s="32"/>
      <c r="H97" s="32"/>
      <c r="I97" s="32" t="s">
        <v>115</v>
      </c>
      <c r="J97" s="32" t="s">
        <v>21</v>
      </c>
      <c r="K97" s="32" t="s">
        <v>116</v>
      </c>
      <c r="L97" s="27">
        <f t="shared" si="12"/>
        <v>459999.99999999994</v>
      </c>
      <c r="M97" s="25">
        <v>32960</v>
      </c>
      <c r="N97" s="25" t="str">
        <f t="shared" si="9"/>
        <v>Cước vận chuyển cont vỏ 40' tuyến đường HECHUN-HAIAN  - Từ ngày 6/3/2026 tăng cước. Số xe: 15C09877</v>
      </c>
      <c r="O97" t="str">
        <f t="shared" si="10"/>
        <v xml:space="preserve"> vỏ </v>
      </c>
      <c r="P97" t="str">
        <f t="shared" si="11"/>
        <v xml:space="preserve">40' </v>
      </c>
      <c r="Q97">
        <f t="shared" si="8"/>
        <v>1</v>
      </c>
    </row>
    <row r="98" spans="1:17" x14ac:dyDescent="0.25">
      <c r="A98" s="28">
        <v>91</v>
      </c>
      <c r="B98" s="21" t="s">
        <v>168</v>
      </c>
      <c r="C98" s="22">
        <v>46132</v>
      </c>
      <c r="D98" s="23" t="s">
        <v>130</v>
      </c>
      <c r="E98" s="24"/>
      <c r="F98" s="24">
        <v>1</v>
      </c>
      <c r="G98" s="24"/>
      <c r="H98" s="24"/>
      <c r="I98" s="24" t="s">
        <v>129</v>
      </c>
      <c r="J98" s="24" t="s">
        <v>21</v>
      </c>
      <c r="K98" s="24" t="s">
        <v>116</v>
      </c>
      <c r="L98" s="27">
        <f>400000*110%</f>
        <v>440000.00000000006</v>
      </c>
      <c r="M98" s="25">
        <v>31040</v>
      </c>
      <c r="N98" s="25" t="str">
        <f t="shared" si="9"/>
        <v>Cước vận chuyển cont vỏ 40' tuyến đường HECHUN-HAIAN  - Từ ngày 6/3/2026 tăng cước. Số xe: 15H18753</v>
      </c>
      <c r="O98" t="str">
        <f t="shared" si="10"/>
        <v xml:space="preserve"> vỏ </v>
      </c>
      <c r="P98" t="str">
        <f t="shared" si="11"/>
        <v xml:space="preserve">40' </v>
      </c>
      <c r="Q98">
        <f t="shared" si="8"/>
        <v>1</v>
      </c>
    </row>
    <row r="99" spans="1:17" x14ac:dyDescent="0.25">
      <c r="A99" s="28">
        <v>92</v>
      </c>
      <c r="B99" s="21" t="s">
        <v>168</v>
      </c>
      <c r="C99" s="22">
        <v>46132</v>
      </c>
      <c r="D99" s="23" t="s">
        <v>131</v>
      </c>
      <c r="E99" s="24"/>
      <c r="F99" s="24">
        <v>1</v>
      </c>
      <c r="G99" s="24"/>
      <c r="H99" s="24"/>
      <c r="I99" s="24" t="s">
        <v>129</v>
      </c>
      <c r="J99" s="24" t="s">
        <v>21</v>
      </c>
      <c r="K99" s="24" t="s">
        <v>116</v>
      </c>
      <c r="L99" s="27">
        <f t="shared" ref="L99:L132" si="13">400000*110%</f>
        <v>440000.00000000006</v>
      </c>
      <c r="M99" s="25">
        <v>31040</v>
      </c>
      <c r="N99" s="25" t="str">
        <f t="shared" si="9"/>
        <v>Cước vận chuyển cont vỏ 40' tuyến đường HECHUN-HAIAN  - Từ ngày 6/3/2026 tăng cước. Số xe: 15H18753</v>
      </c>
      <c r="O99" t="str">
        <f t="shared" si="10"/>
        <v xml:space="preserve"> vỏ </v>
      </c>
      <c r="P99" t="str">
        <f t="shared" si="11"/>
        <v xml:space="preserve">40' </v>
      </c>
      <c r="Q99">
        <f t="shared" si="8"/>
        <v>1</v>
      </c>
    </row>
    <row r="100" spans="1:17" x14ac:dyDescent="0.25">
      <c r="A100" s="28">
        <v>93</v>
      </c>
      <c r="B100" s="21" t="s">
        <v>123</v>
      </c>
      <c r="C100" s="22">
        <v>46132</v>
      </c>
      <c r="D100" s="23" t="s">
        <v>132</v>
      </c>
      <c r="E100" s="24"/>
      <c r="F100" s="24">
        <v>1</v>
      </c>
      <c r="G100" s="24"/>
      <c r="H100" s="24"/>
      <c r="I100" s="24" t="s">
        <v>129</v>
      </c>
      <c r="J100" s="24" t="s">
        <v>21</v>
      </c>
      <c r="K100" s="24" t="s">
        <v>116</v>
      </c>
      <c r="L100" s="27">
        <f t="shared" si="13"/>
        <v>440000.00000000006</v>
      </c>
      <c r="M100" s="25">
        <v>31040</v>
      </c>
      <c r="N100" s="25" t="str">
        <f t="shared" si="9"/>
        <v>Cước vận chuyển cont vỏ 40' tuyến đường HECHUN-HAIAN  - Từ ngày 6/3/2026 tăng cước. Số xe: 15H18552</v>
      </c>
      <c r="O100" t="str">
        <f t="shared" si="10"/>
        <v xml:space="preserve"> vỏ </v>
      </c>
      <c r="P100" t="str">
        <f t="shared" si="11"/>
        <v xml:space="preserve">40' </v>
      </c>
      <c r="Q100">
        <f t="shared" si="8"/>
        <v>1</v>
      </c>
    </row>
    <row r="101" spans="1:17" x14ac:dyDescent="0.25">
      <c r="A101" s="28">
        <v>94</v>
      </c>
      <c r="B101" s="21" t="s">
        <v>170</v>
      </c>
      <c r="C101" s="22">
        <v>46132</v>
      </c>
      <c r="D101" s="23" t="s">
        <v>133</v>
      </c>
      <c r="E101" s="24"/>
      <c r="F101" s="24">
        <v>1</v>
      </c>
      <c r="G101" s="24"/>
      <c r="H101" s="24"/>
      <c r="I101" s="24" t="s">
        <v>129</v>
      </c>
      <c r="J101" s="24" t="s">
        <v>21</v>
      </c>
      <c r="K101" s="24" t="s">
        <v>116</v>
      </c>
      <c r="L101" s="27">
        <f t="shared" si="13"/>
        <v>440000.00000000006</v>
      </c>
      <c r="M101" s="25">
        <v>31040</v>
      </c>
      <c r="N101" s="25" t="str">
        <f t="shared" si="9"/>
        <v>Cước vận chuyển cont vỏ 40' tuyến đường HECHUN-HAIAN  - Từ ngày 6/3/2026 tăng cước. Số xe: 15C21728</v>
      </c>
      <c r="O101" t="str">
        <f t="shared" si="10"/>
        <v xml:space="preserve"> vỏ </v>
      </c>
      <c r="P101" t="str">
        <f t="shared" si="11"/>
        <v xml:space="preserve">40' </v>
      </c>
      <c r="Q101">
        <f t="shared" si="8"/>
        <v>1</v>
      </c>
    </row>
    <row r="102" spans="1:17" x14ac:dyDescent="0.25">
      <c r="A102" s="28">
        <v>95</v>
      </c>
      <c r="B102" s="21" t="s">
        <v>123</v>
      </c>
      <c r="C102" s="22">
        <v>46132</v>
      </c>
      <c r="D102" s="23" t="s">
        <v>134</v>
      </c>
      <c r="E102" s="24"/>
      <c r="F102" s="24">
        <v>1</v>
      </c>
      <c r="G102" s="24"/>
      <c r="H102" s="24"/>
      <c r="I102" s="24" t="s">
        <v>129</v>
      </c>
      <c r="J102" s="24" t="s">
        <v>21</v>
      </c>
      <c r="K102" s="24" t="s">
        <v>116</v>
      </c>
      <c r="L102" s="27">
        <f t="shared" si="13"/>
        <v>440000.00000000006</v>
      </c>
      <c r="M102" s="25">
        <v>31040</v>
      </c>
      <c r="N102" s="25" t="str">
        <f t="shared" si="9"/>
        <v>Cước vận chuyển cont vỏ 40' tuyến đường HECHUN-HAIAN  - Từ ngày 6/3/2026 tăng cước. Số xe: 15H18552</v>
      </c>
      <c r="O102" t="str">
        <f t="shared" si="10"/>
        <v xml:space="preserve"> vỏ </v>
      </c>
      <c r="P102" t="str">
        <f t="shared" si="11"/>
        <v xml:space="preserve">40' </v>
      </c>
      <c r="Q102">
        <f t="shared" si="8"/>
        <v>1</v>
      </c>
    </row>
    <row r="103" spans="1:17" x14ac:dyDescent="0.25">
      <c r="A103" s="28">
        <v>96</v>
      </c>
      <c r="B103" s="21" t="s">
        <v>124</v>
      </c>
      <c r="C103" s="22">
        <v>46132</v>
      </c>
      <c r="D103" s="23" t="s">
        <v>135</v>
      </c>
      <c r="E103" s="24"/>
      <c r="F103" s="24">
        <v>1</v>
      </c>
      <c r="G103" s="24"/>
      <c r="H103" s="24"/>
      <c r="I103" s="24" t="s">
        <v>129</v>
      </c>
      <c r="J103" s="24" t="s">
        <v>21</v>
      </c>
      <c r="K103" s="24" t="s">
        <v>116</v>
      </c>
      <c r="L103" s="27">
        <f t="shared" si="13"/>
        <v>440000.00000000006</v>
      </c>
      <c r="M103" s="25">
        <v>31040</v>
      </c>
      <c r="N103" s="25" t="str">
        <f t="shared" si="9"/>
        <v>Cước vận chuyển cont vỏ 40' tuyến đường HECHUN-HAIAN  - Từ ngày 6/3/2026 tăng cước. Số xe: 15C15033</v>
      </c>
      <c r="O103" t="str">
        <f t="shared" si="10"/>
        <v xml:space="preserve"> vỏ </v>
      </c>
      <c r="P103" t="str">
        <f t="shared" si="11"/>
        <v xml:space="preserve">40' </v>
      </c>
      <c r="Q103">
        <f t="shared" si="8"/>
        <v>1</v>
      </c>
    </row>
    <row r="104" spans="1:17" x14ac:dyDescent="0.25">
      <c r="A104" s="28">
        <v>97</v>
      </c>
      <c r="B104" s="21" t="s">
        <v>170</v>
      </c>
      <c r="C104" s="22">
        <v>46132</v>
      </c>
      <c r="D104" s="23" t="s">
        <v>136</v>
      </c>
      <c r="E104" s="24"/>
      <c r="F104" s="24">
        <v>1</v>
      </c>
      <c r="G104" s="24"/>
      <c r="H104" s="24"/>
      <c r="I104" s="24" t="s">
        <v>129</v>
      </c>
      <c r="J104" s="24" t="s">
        <v>21</v>
      </c>
      <c r="K104" s="24" t="s">
        <v>116</v>
      </c>
      <c r="L104" s="27">
        <f t="shared" si="13"/>
        <v>440000.00000000006</v>
      </c>
      <c r="M104" s="25">
        <v>31040</v>
      </c>
      <c r="N104" s="25" t="str">
        <f t="shared" si="9"/>
        <v>Cước vận chuyển cont vỏ 40' tuyến đường HECHUN-HAIAN  - Từ ngày 6/3/2026 tăng cước. Số xe: 15C21728</v>
      </c>
      <c r="O104" t="str">
        <f t="shared" si="10"/>
        <v xml:space="preserve"> vỏ </v>
      </c>
      <c r="P104" t="str">
        <f t="shared" si="11"/>
        <v xml:space="preserve">40' </v>
      </c>
      <c r="Q104">
        <f t="shared" si="8"/>
        <v>1</v>
      </c>
    </row>
    <row r="105" spans="1:17" x14ac:dyDescent="0.25">
      <c r="A105" s="28">
        <v>98</v>
      </c>
      <c r="B105" s="21" t="s">
        <v>123</v>
      </c>
      <c r="C105" s="22">
        <v>46132</v>
      </c>
      <c r="D105" s="23" t="s">
        <v>137</v>
      </c>
      <c r="E105" s="24"/>
      <c r="F105" s="24">
        <v>1</v>
      </c>
      <c r="G105" s="24"/>
      <c r="H105" s="24"/>
      <c r="I105" s="24" t="s">
        <v>129</v>
      </c>
      <c r="J105" s="24" t="s">
        <v>21</v>
      </c>
      <c r="K105" s="24" t="s">
        <v>116</v>
      </c>
      <c r="L105" s="27">
        <f t="shared" si="13"/>
        <v>440000.00000000006</v>
      </c>
      <c r="M105" s="25">
        <v>31040</v>
      </c>
      <c r="N105" s="25" t="str">
        <f t="shared" si="9"/>
        <v>Cước vận chuyển cont vỏ 40' tuyến đường HECHUN-HAIAN  - Từ ngày 6/3/2026 tăng cước. Số xe: 15H18552</v>
      </c>
      <c r="O105" t="str">
        <f t="shared" si="10"/>
        <v xml:space="preserve"> vỏ </v>
      </c>
      <c r="P105" t="str">
        <f t="shared" si="11"/>
        <v xml:space="preserve">40' </v>
      </c>
      <c r="Q105">
        <f t="shared" si="8"/>
        <v>1</v>
      </c>
    </row>
    <row r="106" spans="1:17" x14ac:dyDescent="0.25">
      <c r="A106" s="28">
        <v>99</v>
      </c>
      <c r="B106" s="21" t="s">
        <v>168</v>
      </c>
      <c r="C106" s="22">
        <v>46132</v>
      </c>
      <c r="D106" s="23" t="s">
        <v>138</v>
      </c>
      <c r="E106" s="24"/>
      <c r="F106" s="24">
        <v>1</v>
      </c>
      <c r="G106" s="24"/>
      <c r="H106" s="24"/>
      <c r="I106" s="24" t="s">
        <v>129</v>
      </c>
      <c r="J106" s="24" t="s">
        <v>21</v>
      </c>
      <c r="K106" s="24" t="s">
        <v>116</v>
      </c>
      <c r="L106" s="27">
        <f t="shared" si="13"/>
        <v>440000.00000000006</v>
      </c>
      <c r="M106" s="25">
        <v>31040</v>
      </c>
      <c r="N106" s="25" t="str">
        <f t="shared" si="9"/>
        <v>Cước vận chuyển cont vỏ 40' tuyến đường HECHUN-HAIAN  - Từ ngày 6/3/2026 tăng cước. Số xe: 15H18753</v>
      </c>
      <c r="O106" t="str">
        <f t="shared" si="10"/>
        <v xml:space="preserve"> vỏ </v>
      </c>
      <c r="P106" t="str">
        <f t="shared" si="11"/>
        <v xml:space="preserve">40' </v>
      </c>
      <c r="Q106">
        <f t="shared" si="8"/>
        <v>1</v>
      </c>
    </row>
    <row r="107" spans="1:17" x14ac:dyDescent="0.25">
      <c r="A107" s="28">
        <v>100</v>
      </c>
      <c r="B107" s="21" t="s">
        <v>123</v>
      </c>
      <c r="C107" s="22">
        <v>46132</v>
      </c>
      <c r="D107" s="23" t="s">
        <v>139</v>
      </c>
      <c r="E107" s="24"/>
      <c r="F107" s="24">
        <v>1</v>
      </c>
      <c r="G107" s="24"/>
      <c r="H107" s="24"/>
      <c r="I107" s="24" t="s">
        <v>129</v>
      </c>
      <c r="J107" s="24" t="s">
        <v>21</v>
      </c>
      <c r="K107" s="24" t="s">
        <v>116</v>
      </c>
      <c r="L107" s="27">
        <f t="shared" si="13"/>
        <v>440000.00000000006</v>
      </c>
      <c r="M107" s="25">
        <v>31040</v>
      </c>
      <c r="N107" s="25" t="str">
        <f t="shared" si="9"/>
        <v>Cước vận chuyển cont vỏ 40' tuyến đường HECHUN-HAIAN  - Từ ngày 6/3/2026 tăng cước. Số xe: 15H18552</v>
      </c>
      <c r="O107" t="str">
        <f t="shared" si="10"/>
        <v xml:space="preserve"> vỏ </v>
      </c>
      <c r="P107" t="str">
        <f t="shared" si="11"/>
        <v xml:space="preserve">40' </v>
      </c>
      <c r="Q107">
        <f t="shared" si="8"/>
        <v>1</v>
      </c>
    </row>
    <row r="108" spans="1:17" x14ac:dyDescent="0.25">
      <c r="A108" s="28">
        <v>101</v>
      </c>
      <c r="B108" s="21" t="s">
        <v>168</v>
      </c>
      <c r="C108" s="22">
        <v>46132</v>
      </c>
      <c r="D108" s="23" t="s">
        <v>140</v>
      </c>
      <c r="E108" s="24"/>
      <c r="F108" s="24">
        <v>1</v>
      </c>
      <c r="G108" s="24"/>
      <c r="H108" s="24"/>
      <c r="I108" s="24" t="s">
        <v>129</v>
      </c>
      <c r="J108" s="24" t="s">
        <v>21</v>
      </c>
      <c r="K108" s="24" t="s">
        <v>116</v>
      </c>
      <c r="L108" s="27">
        <f t="shared" si="13"/>
        <v>440000.00000000006</v>
      </c>
      <c r="M108" s="25">
        <v>31040</v>
      </c>
      <c r="N108" s="25" t="str">
        <f t="shared" si="9"/>
        <v>Cước vận chuyển cont vỏ 40' tuyến đường HECHUN-HAIAN  - Từ ngày 6/3/2026 tăng cước. Số xe: 15H18753</v>
      </c>
      <c r="O108" t="str">
        <f t="shared" si="10"/>
        <v xml:space="preserve"> vỏ </v>
      </c>
      <c r="P108" t="str">
        <f t="shared" si="11"/>
        <v xml:space="preserve">40' </v>
      </c>
      <c r="Q108">
        <f t="shared" si="8"/>
        <v>1</v>
      </c>
    </row>
    <row r="109" spans="1:17" x14ac:dyDescent="0.25">
      <c r="A109" s="28">
        <v>102</v>
      </c>
      <c r="B109" s="21" t="s">
        <v>123</v>
      </c>
      <c r="C109" s="22">
        <v>46132</v>
      </c>
      <c r="D109" s="23" t="s">
        <v>141</v>
      </c>
      <c r="E109" s="24"/>
      <c r="F109" s="24">
        <v>1</v>
      </c>
      <c r="G109" s="24"/>
      <c r="H109" s="24"/>
      <c r="I109" s="24" t="s">
        <v>129</v>
      </c>
      <c r="J109" s="24" t="s">
        <v>21</v>
      </c>
      <c r="K109" s="24" t="s">
        <v>116</v>
      </c>
      <c r="L109" s="27">
        <f t="shared" si="13"/>
        <v>440000.00000000006</v>
      </c>
      <c r="M109" s="25">
        <v>31040</v>
      </c>
      <c r="N109" s="25" t="str">
        <f t="shared" si="9"/>
        <v>Cước vận chuyển cont vỏ 40' tuyến đường HECHUN-HAIAN  - Từ ngày 6/3/2026 tăng cước. Số xe: 15H18552</v>
      </c>
      <c r="O109" t="str">
        <f t="shared" si="10"/>
        <v xml:space="preserve"> vỏ </v>
      </c>
      <c r="P109" t="str">
        <f t="shared" si="11"/>
        <v xml:space="preserve">40' </v>
      </c>
      <c r="Q109">
        <f t="shared" si="8"/>
        <v>1</v>
      </c>
    </row>
    <row r="110" spans="1:17" x14ac:dyDescent="0.25">
      <c r="A110" s="28">
        <v>103</v>
      </c>
      <c r="B110" s="21" t="s">
        <v>168</v>
      </c>
      <c r="C110" s="22">
        <v>46132</v>
      </c>
      <c r="D110" s="23" t="s">
        <v>142</v>
      </c>
      <c r="E110" s="24"/>
      <c r="F110" s="24">
        <v>1</v>
      </c>
      <c r="G110" s="24"/>
      <c r="H110" s="24"/>
      <c r="I110" s="24" t="s">
        <v>129</v>
      </c>
      <c r="J110" s="24" t="s">
        <v>21</v>
      </c>
      <c r="K110" s="24" t="s">
        <v>116</v>
      </c>
      <c r="L110" s="27">
        <f t="shared" si="13"/>
        <v>440000.00000000006</v>
      </c>
      <c r="M110" s="25">
        <v>31040</v>
      </c>
      <c r="N110" s="25" t="str">
        <f t="shared" si="9"/>
        <v>Cước vận chuyển cont vỏ 40' tuyến đường HECHUN-HAIAN  - Từ ngày 6/3/2026 tăng cước. Số xe: 15H18753</v>
      </c>
      <c r="O110" t="str">
        <f t="shared" si="10"/>
        <v xml:space="preserve"> vỏ </v>
      </c>
      <c r="P110" t="str">
        <f t="shared" si="11"/>
        <v xml:space="preserve">40' </v>
      </c>
      <c r="Q110">
        <f t="shared" si="8"/>
        <v>1</v>
      </c>
    </row>
    <row r="111" spans="1:17" x14ac:dyDescent="0.25">
      <c r="A111" s="28">
        <v>104</v>
      </c>
      <c r="B111" s="21" t="s">
        <v>170</v>
      </c>
      <c r="C111" s="22">
        <v>46132</v>
      </c>
      <c r="D111" s="23" t="s">
        <v>143</v>
      </c>
      <c r="E111" s="24"/>
      <c r="F111" s="24">
        <v>1</v>
      </c>
      <c r="G111" s="24"/>
      <c r="H111" s="24"/>
      <c r="I111" s="24" t="s">
        <v>129</v>
      </c>
      <c r="J111" s="24" t="s">
        <v>21</v>
      </c>
      <c r="K111" s="24" t="s">
        <v>116</v>
      </c>
      <c r="L111" s="27">
        <f t="shared" si="13"/>
        <v>440000.00000000006</v>
      </c>
      <c r="M111" s="25">
        <v>31040</v>
      </c>
      <c r="N111" s="25" t="str">
        <f t="shared" si="9"/>
        <v>Cước vận chuyển cont vỏ 40' tuyến đường HECHUN-HAIAN  - Từ ngày 6/3/2026 tăng cước. Số xe: 15C21728</v>
      </c>
      <c r="O111" t="str">
        <f t="shared" si="10"/>
        <v xml:space="preserve"> vỏ </v>
      </c>
      <c r="P111" t="str">
        <f t="shared" si="11"/>
        <v xml:space="preserve">40' </v>
      </c>
      <c r="Q111">
        <f t="shared" si="8"/>
        <v>1</v>
      </c>
    </row>
    <row r="112" spans="1:17" x14ac:dyDescent="0.25">
      <c r="A112" s="28">
        <v>105</v>
      </c>
      <c r="B112" s="21" t="s">
        <v>123</v>
      </c>
      <c r="C112" s="22">
        <v>46132</v>
      </c>
      <c r="D112" s="23" t="s">
        <v>144</v>
      </c>
      <c r="E112" s="24"/>
      <c r="F112" s="24">
        <v>1</v>
      </c>
      <c r="G112" s="24"/>
      <c r="H112" s="24"/>
      <c r="I112" s="24" t="s">
        <v>129</v>
      </c>
      <c r="J112" s="24" t="s">
        <v>21</v>
      </c>
      <c r="K112" s="24" t="s">
        <v>116</v>
      </c>
      <c r="L112" s="27">
        <f t="shared" si="13"/>
        <v>440000.00000000006</v>
      </c>
      <c r="M112" s="25">
        <v>31040</v>
      </c>
      <c r="N112" s="25" t="str">
        <f t="shared" si="9"/>
        <v>Cước vận chuyển cont vỏ 40' tuyến đường HECHUN-HAIAN  - Từ ngày 6/3/2026 tăng cước. Số xe: 15H18552</v>
      </c>
      <c r="O112" t="str">
        <f t="shared" si="10"/>
        <v xml:space="preserve"> vỏ </v>
      </c>
      <c r="P112" t="str">
        <f t="shared" si="11"/>
        <v xml:space="preserve">40' </v>
      </c>
      <c r="Q112">
        <f t="shared" si="8"/>
        <v>1</v>
      </c>
    </row>
    <row r="113" spans="1:17" x14ac:dyDescent="0.25">
      <c r="A113" s="28">
        <v>106</v>
      </c>
      <c r="B113" s="21" t="s">
        <v>168</v>
      </c>
      <c r="C113" s="22">
        <v>46132</v>
      </c>
      <c r="D113" s="23" t="s">
        <v>145</v>
      </c>
      <c r="E113" s="24"/>
      <c r="F113" s="24">
        <v>1</v>
      </c>
      <c r="G113" s="24"/>
      <c r="H113" s="24"/>
      <c r="I113" s="24" t="s">
        <v>129</v>
      </c>
      <c r="J113" s="24" t="s">
        <v>21</v>
      </c>
      <c r="K113" s="24" t="s">
        <v>116</v>
      </c>
      <c r="L113" s="27">
        <f t="shared" si="13"/>
        <v>440000.00000000006</v>
      </c>
      <c r="M113" s="25">
        <v>31040</v>
      </c>
      <c r="N113" s="25" t="str">
        <f t="shared" si="9"/>
        <v>Cước vận chuyển cont vỏ 40' tuyến đường HECHUN-HAIAN  - Từ ngày 6/3/2026 tăng cước. Số xe: 15H18753</v>
      </c>
      <c r="O113" t="str">
        <f t="shared" si="10"/>
        <v xml:space="preserve"> vỏ </v>
      </c>
      <c r="P113" t="str">
        <f t="shared" si="11"/>
        <v xml:space="preserve">40' </v>
      </c>
      <c r="Q113">
        <f t="shared" si="8"/>
        <v>1</v>
      </c>
    </row>
    <row r="114" spans="1:17" x14ac:dyDescent="0.25">
      <c r="A114" s="28">
        <v>107</v>
      </c>
      <c r="B114" s="21" t="s">
        <v>170</v>
      </c>
      <c r="C114" s="22">
        <v>46132</v>
      </c>
      <c r="D114" s="23" t="s">
        <v>146</v>
      </c>
      <c r="E114" s="24"/>
      <c r="F114" s="24">
        <v>1</v>
      </c>
      <c r="G114" s="24"/>
      <c r="H114" s="24"/>
      <c r="I114" s="24" t="s">
        <v>129</v>
      </c>
      <c r="J114" s="24" t="s">
        <v>21</v>
      </c>
      <c r="K114" s="24" t="s">
        <v>116</v>
      </c>
      <c r="L114" s="27">
        <f t="shared" si="13"/>
        <v>440000.00000000006</v>
      </c>
      <c r="M114" s="25">
        <v>31040</v>
      </c>
      <c r="N114" s="25" t="str">
        <f t="shared" si="9"/>
        <v>Cước vận chuyển cont vỏ 40' tuyến đường HECHUN-HAIAN  - Từ ngày 6/3/2026 tăng cước. Số xe: 15C21728</v>
      </c>
      <c r="O114" t="str">
        <f t="shared" si="10"/>
        <v xml:space="preserve"> vỏ </v>
      </c>
      <c r="P114" t="str">
        <f t="shared" si="11"/>
        <v xml:space="preserve">40' </v>
      </c>
      <c r="Q114">
        <f t="shared" si="8"/>
        <v>1</v>
      </c>
    </row>
    <row r="115" spans="1:17" x14ac:dyDescent="0.25">
      <c r="A115" s="28">
        <v>108</v>
      </c>
      <c r="B115" s="21" t="s">
        <v>123</v>
      </c>
      <c r="C115" s="22">
        <v>46132</v>
      </c>
      <c r="D115" s="23" t="s">
        <v>147</v>
      </c>
      <c r="E115" s="24"/>
      <c r="F115" s="24">
        <v>1</v>
      </c>
      <c r="G115" s="24"/>
      <c r="H115" s="24"/>
      <c r="I115" s="24" t="s">
        <v>129</v>
      </c>
      <c r="J115" s="24" t="s">
        <v>21</v>
      </c>
      <c r="K115" s="24" t="s">
        <v>116</v>
      </c>
      <c r="L115" s="27">
        <f t="shared" si="13"/>
        <v>440000.00000000006</v>
      </c>
      <c r="M115" s="25">
        <v>31040</v>
      </c>
      <c r="N115" s="25" t="str">
        <f t="shared" si="9"/>
        <v>Cước vận chuyển cont vỏ 40' tuyến đường HECHUN-HAIAN  - Từ ngày 6/3/2026 tăng cước. Số xe: 15H18552</v>
      </c>
      <c r="O115" t="str">
        <f t="shared" si="10"/>
        <v xml:space="preserve"> vỏ </v>
      </c>
      <c r="P115" t="str">
        <f t="shared" si="11"/>
        <v xml:space="preserve">40' </v>
      </c>
      <c r="Q115">
        <f t="shared" si="8"/>
        <v>1</v>
      </c>
    </row>
    <row r="116" spans="1:17" x14ac:dyDescent="0.25">
      <c r="A116" s="28">
        <v>109</v>
      </c>
      <c r="B116" s="21" t="s">
        <v>168</v>
      </c>
      <c r="C116" s="22">
        <v>46132</v>
      </c>
      <c r="D116" s="23" t="s">
        <v>148</v>
      </c>
      <c r="E116" s="24"/>
      <c r="F116" s="24">
        <v>1</v>
      </c>
      <c r="G116" s="24"/>
      <c r="H116" s="24"/>
      <c r="I116" s="24" t="s">
        <v>129</v>
      </c>
      <c r="J116" s="24" t="s">
        <v>21</v>
      </c>
      <c r="K116" s="24" t="s">
        <v>116</v>
      </c>
      <c r="L116" s="27">
        <f t="shared" si="13"/>
        <v>440000.00000000006</v>
      </c>
      <c r="M116" s="25">
        <v>31040</v>
      </c>
      <c r="N116" s="25" t="str">
        <f t="shared" si="9"/>
        <v>Cước vận chuyển cont vỏ 40' tuyến đường HECHUN-HAIAN  - Từ ngày 6/3/2026 tăng cước. Số xe: 15H18753</v>
      </c>
      <c r="O116" t="str">
        <f t="shared" si="10"/>
        <v xml:space="preserve"> vỏ </v>
      </c>
      <c r="P116" t="str">
        <f t="shared" si="11"/>
        <v xml:space="preserve">40' </v>
      </c>
      <c r="Q116">
        <f t="shared" si="8"/>
        <v>1</v>
      </c>
    </row>
    <row r="117" spans="1:17" x14ac:dyDescent="0.25">
      <c r="A117" s="28">
        <v>110</v>
      </c>
      <c r="B117" s="21" t="s">
        <v>124</v>
      </c>
      <c r="C117" s="22">
        <v>46132</v>
      </c>
      <c r="D117" s="23" t="s">
        <v>149</v>
      </c>
      <c r="E117" s="24"/>
      <c r="F117" s="24">
        <v>1</v>
      </c>
      <c r="G117" s="24"/>
      <c r="H117" s="24"/>
      <c r="I117" s="24" t="s">
        <v>129</v>
      </c>
      <c r="J117" s="24" t="s">
        <v>21</v>
      </c>
      <c r="K117" s="24" t="s">
        <v>116</v>
      </c>
      <c r="L117" s="27">
        <f t="shared" si="13"/>
        <v>440000.00000000006</v>
      </c>
      <c r="M117" s="25">
        <v>31040</v>
      </c>
      <c r="N117" s="25" t="str">
        <f t="shared" si="9"/>
        <v>Cước vận chuyển cont vỏ 40' tuyến đường HECHUN-HAIAN  - Từ ngày 6/3/2026 tăng cước. Số xe: 15C15033</v>
      </c>
      <c r="O117" t="str">
        <f t="shared" si="10"/>
        <v xml:space="preserve"> vỏ </v>
      </c>
      <c r="P117" t="str">
        <f t="shared" si="11"/>
        <v xml:space="preserve">40' </v>
      </c>
      <c r="Q117">
        <f t="shared" si="8"/>
        <v>1</v>
      </c>
    </row>
    <row r="118" spans="1:17" x14ac:dyDescent="0.25">
      <c r="A118" s="28">
        <v>111</v>
      </c>
      <c r="B118" s="21" t="s">
        <v>169</v>
      </c>
      <c r="C118" s="22">
        <v>46132</v>
      </c>
      <c r="D118" s="23" t="s">
        <v>150</v>
      </c>
      <c r="E118" s="24"/>
      <c r="F118" s="24">
        <v>1</v>
      </c>
      <c r="G118" s="24"/>
      <c r="H118" s="24"/>
      <c r="I118" s="24" t="s">
        <v>129</v>
      </c>
      <c r="J118" s="24" t="s">
        <v>21</v>
      </c>
      <c r="K118" s="24" t="s">
        <v>116</v>
      </c>
      <c r="L118" s="27">
        <f t="shared" si="13"/>
        <v>440000.00000000006</v>
      </c>
      <c r="M118" s="25">
        <v>31040</v>
      </c>
      <c r="N118" s="25" t="str">
        <f t="shared" si="9"/>
        <v>Cước vận chuyển cont vỏ 40' tuyến đường HECHUN-HAIAN  - Từ ngày 6/3/2026 tăng cước. Số xe: 15H17712</v>
      </c>
      <c r="O118" t="str">
        <f t="shared" si="10"/>
        <v xml:space="preserve"> vỏ </v>
      </c>
      <c r="P118" t="str">
        <f t="shared" si="11"/>
        <v xml:space="preserve">40' </v>
      </c>
      <c r="Q118">
        <f t="shared" si="8"/>
        <v>1</v>
      </c>
    </row>
    <row r="119" spans="1:17" x14ac:dyDescent="0.25">
      <c r="A119" s="28">
        <v>112</v>
      </c>
      <c r="B119" s="21" t="s">
        <v>170</v>
      </c>
      <c r="C119" s="22">
        <v>46132</v>
      </c>
      <c r="D119" s="23" t="s">
        <v>151</v>
      </c>
      <c r="E119" s="24"/>
      <c r="F119" s="24">
        <v>1</v>
      </c>
      <c r="G119" s="24"/>
      <c r="H119" s="24"/>
      <c r="I119" s="24" t="s">
        <v>129</v>
      </c>
      <c r="J119" s="24" t="s">
        <v>21</v>
      </c>
      <c r="K119" s="24" t="s">
        <v>116</v>
      </c>
      <c r="L119" s="27">
        <f t="shared" si="13"/>
        <v>440000.00000000006</v>
      </c>
      <c r="M119" s="25">
        <v>31040</v>
      </c>
      <c r="N119" s="25" t="str">
        <f t="shared" si="9"/>
        <v>Cước vận chuyển cont vỏ 40' tuyến đường HECHUN-HAIAN  - Từ ngày 6/3/2026 tăng cước. Số xe: 15C21728</v>
      </c>
      <c r="O119" t="str">
        <f t="shared" si="10"/>
        <v xml:space="preserve"> vỏ </v>
      </c>
      <c r="P119" t="str">
        <f t="shared" si="11"/>
        <v xml:space="preserve">40' </v>
      </c>
      <c r="Q119">
        <f t="shared" si="8"/>
        <v>1</v>
      </c>
    </row>
    <row r="120" spans="1:17" x14ac:dyDescent="0.25">
      <c r="A120" s="28">
        <v>113</v>
      </c>
      <c r="B120" s="21" t="s">
        <v>118</v>
      </c>
      <c r="C120" s="22">
        <v>46132</v>
      </c>
      <c r="D120" s="23" t="s">
        <v>152</v>
      </c>
      <c r="E120" s="24"/>
      <c r="F120" s="24">
        <v>1</v>
      </c>
      <c r="G120" s="24"/>
      <c r="H120" s="24"/>
      <c r="I120" s="24" t="s">
        <v>129</v>
      </c>
      <c r="J120" s="24" t="s">
        <v>21</v>
      </c>
      <c r="K120" s="24" t="s">
        <v>116</v>
      </c>
      <c r="L120" s="27">
        <f t="shared" si="13"/>
        <v>440000.00000000006</v>
      </c>
      <c r="M120" s="25">
        <v>31040</v>
      </c>
      <c r="N120" s="25" t="str">
        <f t="shared" si="9"/>
        <v>Cước vận chuyển cont vỏ 40' tuyến đường HECHUN-HAIAN  - Từ ngày 6/3/2026 tăng cước. Số xe: 15H07788</v>
      </c>
      <c r="O120" t="str">
        <f t="shared" si="10"/>
        <v xml:space="preserve"> vỏ </v>
      </c>
      <c r="P120" t="str">
        <f t="shared" si="11"/>
        <v xml:space="preserve">40' </v>
      </c>
      <c r="Q120">
        <f t="shared" si="8"/>
        <v>1</v>
      </c>
    </row>
    <row r="121" spans="1:17" x14ac:dyDescent="0.25">
      <c r="A121" s="28">
        <v>114</v>
      </c>
      <c r="B121" s="21" t="s">
        <v>170</v>
      </c>
      <c r="C121" s="22">
        <v>46132</v>
      </c>
      <c r="D121" s="23" t="s">
        <v>153</v>
      </c>
      <c r="E121" s="24"/>
      <c r="F121" s="24">
        <v>1</v>
      </c>
      <c r="G121" s="24"/>
      <c r="H121" s="24"/>
      <c r="I121" s="24" t="s">
        <v>129</v>
      </c>
      <c r="J121" s="24" t="s">
        <v>21</v>
      </c>
      <c r="K121" s="24" t="s">
        <v>116</v>
      </c>
      <c r="L121" s="27">
        <f t="shared" si="13"/>
        <v>440000.00000000006</v>
      </c>
      <c r="M121" s="25">
        <v>31040</v>
      </c>
      <c r="N121" s="25" t="str">
        <f t="shared" si="9"/>
        <v>Cước vận chuyển cont vỏ 40' tuyến đường HECHUN-HAIAN  - Từ ngày 6/3/2026 tăng cước. Số xe: 15C21728</v>
      </c>
      <c r="O121" t="str">
        <f t="shared" si="10"/>
        <v xml:space="preserve"> vỏ </v>
      </c>
      <c r="P121" t="str">
        <f t="shared" si="11"/>
        <v xml:space="preserve">40' </v>
      </c>
      <c r="Q121">
        <f t="shared" si="8"/>
        <v>1</v>
      </c>
    </row>
    <row r="122" spans="1:17" x14ac:dyDescent="0.25">
      <c r="A122" s="28">
        <v>115</v>
      </c>
      <c r="B122" s="21" t="s">
        <v>128</v>
      </c>
      <c r="C122" s="22">
        <v>46132</v>
      </c>
      <c r="D122" s="23" t="s">
        <v>154</v>
      </c>
      <c r="E122" s="24"/>
      <c r="F122" s="24">
        <v>1</v>
      </c>
      <c r="G122" s="24"/>
      <c r="H122" s="24"/>
      <c r="I122" s="24" t="s">
        <v>129</v>
      </c>
      <c r="J122" s="24" t="s">
        <v>21</v>
      </c>
      <c r="K122" s="24" t="s">
        <v>116</v>
      </c>
      <c r="L122" s="27">
        <f t="shared" si="13"/>
        <v>440000.00000000006</v>
      </c>
      <c r="M122" s="25">
        <v>31040</v>
      </c>
      <c r="N122" s="25" t="str">
        <f t="shared" si="9"/>
        <v>Cước vận chuyển cont vỏ 40' tuyến đường HECHUN-HAIAN  - Từ ngày 6/3/2026 tăng cước. Số xe: 15C09877</v>
      </c>
      <c r="O122" t="str">
        <f t="shared" si="10"/>
        <v xml:space="preserve"> vỏ </v>
      </c>
      <c r="P122" t="str">
        <f t="shared" si="11"/>
        <v xml:space="preserve">40' </v>
      </c>
      <c r="Q122">
        <f t="shared" si="8"/>
        <v>1</v>
      </c>
    </row>
    <row r="123" spans="1:17" x14ac:dyDescent="0.25">
      <c r="A123" s="28">
        <v>116</v>
      </c>
      <c r="B123" s="21" t="s">
        <v>123</v>
      </c>
      <c r="C123" s="22">
        <v>46132</v>
      </c>
      <c r="D123" s="23" t="s">
        <v>155</v>
      </c>
      <c r="E123" s="24"/>
      <c r="F123" s="24">
        <v>1</v>
      </c>
      <c r="G123" s="24"/>
      <c r="H123" s="24"/>
      <c r="I123" s="24" t="s">
        <v>129</v>
      </c>
      <c r="J123" s="24" t="s">
        <v>21</v>
      </c>
      <c r="K123" s="24" t="s">
        <v>116</v>
      </c>
      <c r="L123" s="27">
        <f t="shared" si="13"/>
        <v>440000.00000000006</v>
      </c>
      <c r="M123" s="25">
        <v>31040</v>
      </c>
      <c r="N123" s="25" t="str">
        <f t="shared" si="9"/>
        <v>Cước vận chuyển cont vỏ 40' tuyến đường HECHUN-HAIAN  - Từ ngày 6/3/2026 tăng cước. Số xe: 15H18552</v>
      </c>
      <c r="O123" t="str">
        <f t="shared" si="10"/>
        <v xml:space="preserve"> vỏ </v>
      </c>
      <c r="P123" t="str">
        <f t="shared" si="11"/>
        <v xml:space="preserve">40' </v>
      </c>
      <c r="Q123">
        <f t="shared" si="8"/>
        <v>1</v>
      </c>
    </row>
    <row r="124" spans="1:17" x14ac:dyDescent="0.25">
      <c r="A124" s="28">
        <v>117</v>
      </c>
      <c r="B124" s="21" t="s">
        <v>169</v>
      </c>
      <c r="C124" s="22">
        <v>46132</v>
      </c>
      <c r="D124" s="23" t="s">
        <v>156</v>
      </c>
      <c r="E124" s="24"/>
      <c r="F124" s="24">
        <v>1</v>
      </c>
      <c r="G124" s="24"/>
      <c r="H124" s="24"/>
      <c r="I124" s="24" t="s">
        <v>129</v>
      </c>
      <c r="J124" s="24" t="s">
        <v>21</v>
      </c>
      <c r="K124" s="24" t="s">
        <v>116</v>
      </c>
      <c r="L124" s="27">
        <f t="shared" si="13"/>
        <v>440000.00000000006</v>
      </c>
      <c r="M124" s="25">
        <v>31040</v>
      </c>
      <c r="N124" s="25" t="str">
        <f t="shared" si="9"/>
        <v>Cước vận chuyển cont vỏ 40' tuyến đường HECHUN-HAIAN  - Từ ngày 6/3/2026 tăng cước. Số xe: 15H17712</v>
      </c>
      <c r="O124" t="str">
        <f t="shared" si="10"/>
        <v xml:space="preserve"> vỏ </v>
      </c>
      <c r="P124" t="str">
        <f t="shared" si="11"/>
        <v xml:space="preserve">40' </v>
      </c>
      <c r="Q124">
        <f t="shared" si="8"/>
        <v>1</v>
      </c>
    </row>
    <row r="125" spans="1:17" x14ac:dyDescent="0.25">
      <c r="A125" s="28">
        <v>118</v>
      </c>
      <c r="B125" s="21" t="s">
        <v>124</v>
      </c>
      <c r="C125" s="22">
        <v>46132</v>
      </c>
      <c r="D125" s="23" t="s">
        <v>157</v>
      </c>
      <c r="E125" s="24"/>
      <c r="F125" s="24">
        <v>1</v>
      </c>
      <c r="G125" s="24"/>
      <c r="H125" s="24"/>
      <c r="I125" s="24" t="s">
        <v>129</v>
      </c>
      <c r="J125" s="24" t="s">
        <v>21</v>
      </c>
      <c r="K125" s="24" t="s">
        <v>116</v>
      </c>
      <c r="L125" s="27">
        <f t="shared" si="13"/>
        <v>440000.00000000006</v>
      </c>
      <c r="M125" s="25">
        <v>31040</v>
      </c>
      <c r="N125" s="25" t="str">
        <f t="shared" si="9"/>
        <v>Cước vận chuyển cont vỏ 40' tuyến đường HECHUN-HAIAN  - Từ ngày 6/3/2026 tăng cước. Số xe: 15C15033</v>
      </c>
      <c r="O125" t="str">
        <f t="shared" si="10"/>
        <v xml:space="preserve"> vỏ </v>
      </c>
      <c r="P125" t="str">
        <f t="shared" si="11"/>
        <v xml:space="preserve">40' </v>
      </c>
      <c r="Q125">
        <f t="shared" si="8"/>
        <v>1</v>
      </c>
    </row>
    <row r="126" spans="1:17" x14ac:dyDescent="0.25">
      <c r="A126" s="28">
        <v>119</v>
      </c>
      <c r="B126" s="21" t="s">
        <v>168</v>
      </c>
      <c r="C126" s="22">
        <v>46132</v>
      </c>
      <c r="D126" s="23" t="s">
        <v>158</v>
      </c>
      <c r="E126" s="24"/>
      <c r="F126" s="24">
        <v>1</v>
      </c>
      <c r="G126" s="24"/>
      <c r="H126" s="24"/>
      <c r="I126" s="24" t="s">
        <v>129</v>
      </c>
      <c r="J126" s="24" t="s">
        <v>21</v>
      </c>
      <c r="K126" s="24" t="s">
        <v>116</v>
      </c>
      <c r="L126" s="27">
        <f t="shared" si="13"/>
        <v>440000.00000000006</v>
      </c>
      <c r="M126" s="25">
        <v>31040</v>
      </c>
      <c r="N126" s="25" t="str">
        <f t="shared" si="9"/>
        <v>Cước vận chuyển cont vỏ 40' tuyến đường HECHUN-HAIAN  - Từ ngày 6/3/2026 tăng cước. Số xe: 15H18753</v>
      </c>
      <c r="O126" t="str">
        <f t="shared" si="10"/>
        <v xml:space="preserve"> vỏ </v>
      </c>
      <c r="P126" t="str">
        <f t="shared" si="11"/>
        <v xml:space="preserve">40' </v>
      </c>
      <c r="Q126">
        <f t="shared" si="8"/>
        <v>1</v>
      </c>
    </row>
    <row r="127" spans="1:17" x14ac:dyDescent="0.25">
      <c r="A127" s="28">
        <v>120</v>
      </c>
      <c r="B127" s="21" t="s">
        <v>170</v>
      </c>
      <c r="C127" s="22">
        <v>46132</v>
      </c>
      <c r="D127" s="23" t="s">
        <v>159</v>
      </c>
      <c r="E127" s="24"/>
      <c r="F127" s="24">
        <v>1</v>
      </c>
      <c r="G127" s="24"/>
      <c r="H127" s="24"/>
      <c r="I127" s="24" t="s">
        <v>129</v>
      </c>
      <c r="J127" s="24" t="s">
        <v>21</v>
      </c>
      <c r="K127" s="24" t="s">
        <v>116</v>
      </c>
      <c r="L127" s="27">
        <f t="shared" si="13"/>
        <v>440000.00000000006</v>
      </c>
      <c r="M127" s="25">
        <v>31040</v>
      </c>
      <c r="N127" s="25" t="str">
        <f t="shared" si="9"/>
        <v>Cước vận chuyển cont vỏ 40' tuyến đường HECHUN-HAIAN  - Từ ngày 6/3/2026 tăng cước. Số xe: 15C21728</v>
      </c>
      <c r="O127" t="str">
        <f t="shared" si="10"/>
        <v xml:space="preserve"> vỏ </v>
      </c>
      <c r="P127" t="str">
        <f t="shared" si="11"/>
        <v xml:space="preserve">40' </v>
      </c>
      <c r="Q127">
        <f t="shared" si="8"/>
        <v>1</v>
      </c>
    </row>
    <row r="128" spans="1:17" x14ac:dyDescent="0.25">
      <c r="A128" s="28">
        <v>121</v>
      </c>
      <c r="B128" s="21" t="s">
        <v>128</v>
      </c>
      <c r="C128" s="22">
        <v>46132</v>
      </c>
      <c r="D128" s="23" t="s">
        <v>160</v>
      </c>
      <c r="E128" s="24"/>
      <c r="F128" s="24">
        <v>1</v>
      </c>
      <c r="G128" s="24"/>
      <c r="H128" s="24"/>
      <c r="I128" s="24" t="s">
        <v>129</v>
      </c>
      <c r="J128" s="24" t="s">
        <v>21</v>
      </c>
      <c r="K128" s="24" t="s">
        <v>116</v>
      </c>
      <c r="L128" s="27">
        <f t="shared" si="13"/>
        <v>440000.00000000006</v>
      </c>
      <c r="M128" s="25">
        <v>31040</v>
      </c>
      <c r="N128" s="25" t="str">
        <f t="shared" si="9"/>
        <v>Cước vận chuyển cont vỏ 40' tuyến đường HECHUN-HAIAN  - Từ ngày 6/3/2026 tăng cước. Số xe: 15C09877</v>
      </c>
      <c r="O128" t="str">
        <f t="shared" si="10"/>
        <v xml:space="preserve"> vỏ </v>
      </c>
      <c r="P128" t="str">
        <f t="shared" si="11"/>
        <v xml:space="preserve">40' </v>
      </c>
      <c r="Q128">
        <f t="shared" si="8"/>
        <v>1</v>
      </c>
    </row>
    <row r="129" spans="1:17" x14ac:dyDescent="0.25">
      <c r="A129" s="28">
        <v>122</v>
      </c>
      <c r="B129" s="21" t="s">
        <v>168</v>
      </c>
      <c r="C129" s="22">
        <v>46132</v>
      </c>
      <c r="D129" s="23" t="s">
        <v>161</v>
      </c>
      <c r="E129" s="24"/>
      <c r="F129" s="24">
        <v>1</v>
      </c>
      <c r="G129" s="24"/>
      <c r="H129" s="24"/>
      <c r="I129" s="24" t="s">
        <v>129</v>
      </c>
      <c r="J129" s="24" t="s">
        <v>21</v>
      </c>
      <c r="K129" s="24" t="s">
        <v>116</v>
      </c>
      <c r="L129" s="27">
        <f t="shared" si="13"/>
        <v>440000.00000000006</v>
      </c>
      <c r="M129" s="25">
        <v>31040</v>
      </c>
      <c r="N129" s="25" t="str">
        <f t="shared" si="9"/>
        <v>Cước vận chuyển cont vỏ 40' tuyến đường HECHUN-HAIAN  - Từ ngày 6/3/2026 tăng cước. Số xe: 15H18753</v>
      </c>
      <c r="O129" t="str">
        <f t="shared" si="10"/>
        <v xml:space="preserve"> vỏ </v>
      </c>
      <c r="P129" t="str">
        <f t="shared" si="11"/>
        <v xml:space="preserve">40' </v>
      </c>
      <c r="Q129">
        <f t="shared" si="8"/>
        <v>1</v>
      </c>
    </row>
    <row r="130" spans="1:17" x14ac:dyDescent="0.25">
      <c r="A130" s="28">
        <v>123</v>
      </c>
      <c r="B130" s="21" t="s">
        <v>124</v>
      </c>
      <c r="C130" s="22">
        <v>46132</v>
      </c>
      <c r="D130" s="23" t="s">
        <v>162</v>
      </c>
      <c r="E130" s="24"/>
      <c r="F130" s="24">
        <v>1</v>
      </c>
      <c r="G130" s="24"/>
      <c r="H130" s="24"/>
      <c r="I130" s="24" t="s">
        <v>129</v>
      </c>
      <c r="J130" s="24" t="s">
        <v>21</v>
      </c>
      <c r="K130" s="24" t="s">
        <v>116</v>
      </c>
      <c r="L130" s="27">
        <f t="shared" si="13"/>
        <v>440000.00000000006</v>
      </c>
      <c r="M130" s="25">
        <v>31040</v>
      </c>
      <c r="N130" s="25" t="str">
        <f t="shared" si="9"/>
        <v>Cước vận chuyển cont vỏ 40' tuyến đường HECHUN-HAIAN  - Từ ngày 6/3/2026 tăng cước. Số xe: 15C15033</v>
      </c>
      <c r="O130" t="str">
        <f t="shared" si="10"/>
        <v xml:space="preserve"> vỏ </v>
      </c>
      <c r="P130" t="str">
        <f t="shared" si="11"/>
        <v xml:space="preserve">40' </v>
      </c>
      <c r="Q130">
        <f t="shared" si="8"/>
        <v>1</v>
      </c>
    </row>
    <row r="131" spans="1:17" x14ac:dyDescent="0.25">
      <c r="A131" s="28">
        <v>124</v>
      </c>
      <c r="B131" s="21" t="s">
        <v>169</v>
      </c>
      <c r="C131" s="22">
        <v>46132</v>
      </c>
      <c r="D131" s="23" t="s">
        <v>163</v>
      </c>
      <c r="E131" s="24"/>
      <c r="F131" s="24">
        <v>1</v>
      </c>
      <c r="G131" s="24"/>
      <c r="H131" s="24"/>
      <c r="I131" s="24" t="s">
        <v>129</v>
      </c>
      <c r="J131" s="24" t="s">
        <v>21</v>
      </c>
      <c r="K131" s="24" t="s">
        <v>116</v>
      </c>
      <c r="L131" s="27">
        <f t="shared" si="13"/>
        <v>440000.00000000006</v>
      </c>
      <c r="M131" s="25">
        <v>31040</v>
      </c>
      <c r="N131" s="25" t="str">
        <f t="shared" si="9"/>
        <v>Cước vận chuyển cont vỏ 40' tuyến đường HECHUN-HAIAN  - Từ ngày 6/3/2026 tăng cước. Số xe: 15H17712</v>
      </c>
      <c r="O131" t="str">
        <f t="shared" si="10"/>
        <v xml:space="preserve"> vỏ </v>
      </c>
      <c r="P131" t="str">
        <f t="shared" si="11"/>
        <v xml:space="preserve">40' </v>
      </c>
      <c r="Q131">
        <f t="shared" si="8"/>
        <v>1</v>
      </c>
    </row>
    <row r="132" spans="1:17" x14ac:dyDescent="0.25">
      <c r="A132" s="28">
        <v>125</v>
      </c>
      <c r="B132" s="21" t="s">
        <v>123</v>
      </c>
      <c r="C132" s="30">
        <v>46132</v>
      </c>
      <c r="D132" s="31" t="s">
        <v>164</v>
      </c>
      <c r="E132" s="32"/>
      <c r="F132" s="32">
        <v>1</v>
      </c>
      <c r="G132" s="32"/>
      <c r="H132" s="32"/>
      <c r="I132" s="32" t="s">
        <v>129</v>
      </c>
      <c r="J132" s="32" t="s">
        <v>21</v>
      </c>
      <c r="K132" s="32" t="s">
        <v>116</v>
      </c>
      <c r="L132" s="27">
        <f t="shared" si="13"/>
        <v>440000.00000000006</v>
      </c>
      <c r="M132" s="25">
        <v>31040</v>
      </c>
      <c r="N132" s="25" t="str">
        <f t="shared" si="9"/>
        <v>Cước vận chuyển cont vỏ 40' tuyến đường HECHUN-HAIAN  - Từ ngày 6/3/2026 tăng cước. Số xe: 15H18552</v>
      </c>
      <c r="O132" t="str">
        <f t="shared" si="10"/>
        <v xml:space="preserve"> vỏ </v>
      </c>
      <c r="P132" t="str">
        <f t="shared" si="11"/>
        <v xml:space="preserve">40' </v>
      </c>
      <c r="Q132">
        <f t="shared" si="8"/>
        <v>1</v>
      </c>
    </row>
    <row r="133" spans="1:17" x14ac:dyDescent="0.25">
      <c r="A133" s="14"/>
      <c r="B133" s="46"/>
      <c r="C133" s="46"/>
      <c r="D133" s="47"/>
      <c r="E133" s="15">
        <f>SUM(E8:E132)</f>
        <v>0</v>
      </c>
      <c r="F133" s="15">
        <f>SUM(F8:F132)</f>
        <v>125</v>
      </c>
      <c r="G133" s="15">
        <f>SUM(G8:G132)</f>
        <v>0</v>
      </c>
      <c r="H133" s="15">
        <f>SUM(H8:H132)</f>
        <v>0</v>
      </c>
      <c r="I133" s="16">
        <f>SUM(E133:H133)</f>
        <v>125</v>
      </c>
      <c r="J133" s="16"/>
      <c r="K133" s="17"/>
      <c r="L133" s="20">
        <f>SUM(L8:L132)</f>
        <v>58000000</v>
      </c>
      <c r="M133" s="25"/>
    </row>
    <row r="134" spans="1:17" x14ac:dyDescent="0.25">
      <c r="A134" s="14"/>
      <c r="B134" s="44"/>
      <c r="C134" s="44"/>
      <c r="D134" s="45"/>
      <c r="E134" s="18"/>
      <c r="F134" s="18"/>
      <c r="G134" s="18"/>
      <c r="H134" s="18"/>
      <c r="I134" s="18"/>
      <c r="J134" s="18"/>
      <c r="K134" s="17"/>
      <c r="L134" s="20">
        <f>L133*8%</f>
        <v>4640000</v>
      </c>
      <c r="M134" s="25"/>
    </row>
    <row r="135" spans="1:17" x14ac:dyDescent="0.25">
      <c r="A135" s="14"/>
      <c r="B135" s="44"/>
      <c r="C135" s="44"/>
      <c r="D135" s="45"/>
      <c r="E135" s="18"/>
      <c r="F135" s="18"/>
      <c r="G135" s="18"/>
      <c r="H135" s="18"/>
      <c r="I135" s="18"/>
      <c r="J135" s="18"/>
      <c r="K135" s="17"/>
      <c r="L135" s="20">
        <f>SUM(L133:L134)</f>
        <v>62640000</v>
      </c>
      <c r="M135" s="29"/>
      <c r="N135" s="26"/>
    </row>
    <row r="136" spans="1:17" x14ac:dyDescent="0.25">
      <c r="B136" s="19" t="s">
        <v>16</v>
      </c>
      <c r="M136" s="25"/>
    </row>
    <row r="137" spans="1:17" x14ac:dyDescent="0.25">
      <c r="M137" s="25"/>
      <c r="N137" s="26"/>
    </row>
    <row r="138" spans="1:17" ht="36.75" customHeight="1" x14ac:dyDescent="0.25">
      <c r="A138" s="48" t="s">
        <v>20</v>
      </c>
      <c r="B138" s="35"/>
      <c r="C138" s="35"/>
      <c r="D138" s="35"/>
      <c r="E138" s="35"/>
      <c r="F138" s="35"/>
      <c r="G138" s="35"/>
      <c r="H138" s="35"/>
      <c r="I138" s="35" t="s">
        <v>19</v>
      </c>
      <c r="J138" s="35"/>
      <c r="K138" s="35"/>
      <c r="L138" s="35"/>
    </row>
  </sheetData>
  <autoFilter ref="A5:L136" xr:uid="{00000000-0009-0000-0000-000000000000}">
    <filterColumn colId="4" showButton="0"/>
    <filterColumn colId="6" showButton="0"/>
  </autoFilter>
  <mergeCells count="17">
    <mergeCell ref="B134:D134"/>
    <mergeCell ref="B133:D133"/>
    <mergeCell ref="B135:D135"/>
    <mergeCell ref="A138:H138"/>
    <mergeCell ref="I138:L138"/>
    <mergeCell ref="A1:L1"/>
    <mergeCell ref="A2:L2"/>
    <mergeCell ref="A5:A6"/>
    <mergeCell ref="B5:B6"/>
    <mergeCell ref="C5:C6"/>
    <mergeCell ref="D5:D6"/>
    <mergeCell ref="E5:F5"/>
    <mergeCell ref="G5:H5"/>
    <mergeCell ref="I5:I6"/>
    <mergeCell ref="K5:K6"/>
    <mergeCell ref="L5:L6"/>
    <mergeCell ref="J5:J6"/>
  </mergeCells>
  <phoneticPr fontId="12" type="noConversion"/>
  <conditionalFormatting sqref="D4:D5">
    <cfRule type="duplicateValues" dxfId="7" priority="6" stopIfTrue="1"/>
    <cfRule type="duplicateValues" priority="7" stopIfTrue="1"/>
  </conditionalFormatting>
  <conditionalFormatting sqref="D8:D132">
    <cfRule type="duplicateValues" priority="297" stopIfTrue="1"/>
    <cfRule type="duplicateValues" dxfId="6" priority="298"/>
  </conditionalFormatting>
  <pageMargins left="0.31496062992125984" right="0.15748031496062992" top="0.55118110236220474" bottom="0.19685039370078741" header="0.31496062992125984" footer="0.15748031496062992"/>
  <pageSetup paperSize="126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B826-BCF3-4ED6-A30C-7ABA3F4F3FB9}">
  <dimension ref="A1:Q33"/>
  <sheetViews>
    <sheetView topLeftCell="E1" workbookViewId="0">
      <selection activeCell="L5" sqref="L5:Q27"/>
    </sheetView>
  </sheetViews>
  <sheetFormatPr defaultRowHeight="15.75" x14ac:dyDescent="0.25"/>
  <cols>
    <col min="1" max="1" width="4.125" customWidth="1"/>
    <col min="2" max="2" width="10" customWidth="1"/>
    <col min="3" max="3" width="9.375" customWidth="1"/>
    <col min="4" max="4" width="13" customWidth="1"/>
    <col min="5" max="5" width="4.25" customWidth="1"/>
    <col min="6" max="6" width="4.5" customWidth="1"/>
    <col min="7" max="8" width="4.375" customWidth="1"/>
    <col min="9" max="9" width="17.625" customWidth="1"/>
    <col min="10" max="10" width="11.25" customWidth="1"/>
    <col min="11" max="11" width="23.875" bestFit="1" customWidth="1"/>
    <col min="12" max="12" width="12.25" bestFit="1" customWidth="1"/>
    <col min="13" max="13" width="10.875" bestFit="1" customWidth="1"/>
    <col min="14" max="14" width="100.625" bestFit="1" customWidth="1"/>
  </cols>
  <sheetData>
    <row r="1" spans="1:17" ht="33.6" customHeight="1" x14ac:dyDescent="0.25">
      <c r="A1" s="34" t="s">
        <v>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7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7" x14ac:dyDescent="0.25">
      <c r="A3" s="1"/>
      <c r="B3" s="1"/>
      <c r="C3" s="1"/>
      <c r="D3" s="1" t="s">
        <v>18</v>
      </c>
      <c r="E3" s="2" t="s">
        <v>21</v>
      </c>
      <c r="F3" s="1"/>
      <c r="G3" s="1"/>
      <c r="H3" s="1"/>
      <c r="I3" s="1"/>
      <c r="J3" s="1"/>
      <c r="K3" s="1"/>
      <c r="L3" s="1"/>
    </row>
    <row r="4" spans="1:17" x14ac:dyDescent="0.25">
      <c r="A4" s="3"/>
      <c r="B4" s="4"/>
      <c r="C4" s="5"/>
      <c r="D4" s="6"/>
      <c r="E4" s="3"/>
      <c r="F4" s="3"/>
      <c r="G4" s="7"/>
      <c r="H4" s="7"/>
      <c r="I4" s="7"/>
      <c r="J4" s="7"/>
      <c r="K4" s="8"/>
      <c r="L4" s="9"/>
    </row>
    <row r="5" spans="1:17" ht="15.75" customHeight="1" x14ac:dyDescent="0.25">
      <c r="A5" s="36" t="s">
        <v>0</v>
      </c>
      <c r="B5" s="36" t="s">
        <v>1</v>
      </c>
      <c r="C5" s="38" t="s">
        <v>2</v>
      </c>
      <c r="D5" s="36" t="s">
        <v>3</v>
      </c>
      <c r="E5" s="40" t="s">
        <v>4</v>
      </c>
      <c r="F5" s="41"/>
      <c r="G5" s="40" t="s">
        <v>5</v>
      </c>
      <c r="H5" s="41"/>
      <c r="I5" s="36" t="s">
        <v>6</v>
      </c>
      <c r="J5" s="36" t="s">
        <v>17</v>
      </c>
      <c r="K5" s="36" t="s">
        <v>7</v>
      </c>
      <c r="L5" s="42" t="s">
        <v>8</v>
      </c>
    </row>
    <row r="6" spans="1:17" x14ac:dyDescent="0.25">
      <c r="A6" s="37"/>
      <c r="B6" s="37"/>
      <c r="C6" s="39"/>
      <c r="D6" s="37"/>
      <c r="E6" s="10" t="s">
        <v>9</v>
      </c>
      <c r="F6" s="10" t="s">
        <v>10</v>
      </c>
      <c r="G6" s="10" t="s">
        <v>9</v>
      </c>
      <c r="H6" s="10" t="s">
        <v>10</v>
      </c>
      <c r="I6" s="37"/>
      <c r="J6" s="37"/>
      <c r="K6" s="37"/>
      <c r="L6" s="43"/>
      <c r="N6" t="s">
        <v>171</v>
      </c>
    </row>
    <row r="7" spans="1:17" x14ac:dyDescent="0.25">
      <c r="A7" s="11">
        <v>1</v>
      </c>
      <c r="B7" s="11">
        <v>2</v>
      </c>
      <c r="C7" s="12" t="s">
        <v>11</v>
      </c>
      <c r="D7" s="11">
        <v>4</v>
      </c>
      <c r="E7" s="13" t="s">
        <v>12</v>
      </c>
      <c r="F7" s="13" t="s">
        <v>13</v>
      </c>
      <c r="G7" s="13" t="s">
        <v>14</v>
      </c>
      <c r="H7" s="13" t="s">
        <v>15</v>
      </c>
      <c r="I7" s="11">
        <v>5</v>
      </c>
      <c r="J7" s="11"/>
      <c r="K7" s="11">
        <v>6</v>
      </c>
      <c r="L7" s="11">
        <v>7</v>
      </c>
      <c r="M7" s="33" t="s">
        <v>175</v>
      </c>
      <c r="N7" s="33" t="s">
        <v>172</v>
      </c>
      <c r="O7" s="33" t="s">
        <v>173</v>
      </c>
      <c r="Q7" t="s">
        <v>174</v>
      </c>
    </row>
    <row r="8" spans="1:17" x14ac:dyDescent="0.25">
      <c r="A8" s="28">
        <v>1</v>
      </c>
      <c r="B8" s="21" t="s">
        <v>128</v>
      </c>
      <c r="C8" s="22">
        <v>46120</v>
      </c>
      <c r="D8" s="23" t="s">
        <v>25</v>
      </c>
      <c r="E8" s="24"/>
      <c r="F8" s="24">
        <v>1</v>
      </c>
      <c r="G8" s="24"/>
      <c r="H8" s="24"/>
      <c r="I8" s="24" t="s">
        <v>24</v>
      </c>
      <c r="J8" s="24" t="s">
        <v>21</v>
      </c>
      <c r="K8" s="24" t="s">
        <v>22</v>
      </c>
      <c r="L8" s="27">
        <f>400000*130%</f>
        <v>520000</v>
      </c>
      <c r="M8" s="25">
        <v>42840</v>
      </c>
      <c r="N8" s="25" t="str">
        <f>$N$7&amp;O8&amp;P8&amp;$N$6&amp;K8&amp;" - Ngày 08/04/2026"&amp;$O$7&amp;B8</f>
        <v>Cước vận chuyển cont vỏ 40' tuyến đường HECHUN-HAIAN - Ngày 08/04/2026. Số xe: 15C09877</v>
      </c>
      <c r="O8" t="str">
        <f t="shared" ref="O8:O27" si="0">IF(E8+F8=1," vỏ "," hàng ")</f>
        <v xml:space="preserve"> vỏ </v>
      </c>
      <c r="P8" t="str">
        <f t="shared" ref="P8:P27" si="1">IF(E8+G8=1,"20' ","40' ")</f>
        <v xml:space="preserve">40' </v>
      </c>
      <c r="Q8">
        <f t="shared" ref="Q8:Q27" si="2">E8/2+F8+G8+H8</f>
        <v>1</v>
      </c>
    </row>
    <row r="9" spans="1:17" x14ac:dyDescent="0.25">
      <c r="A9" s="28">
        <v>2</v>
      </c>
      <c r="B9" s="21" t="s">
        <v>124</v>
      </c>
      <c r="C9" s="22">
        <v>46120</v>
      </c>
      <c r="D9" s="23" t="s">
        <v>26</v>
      </c>
      <c r="E9" s="24"/>
      <c r="F9" s="24">
        <v>1</v>
      </c>
      <c r="G9" s="24"/>
      <c r="H9" s="24"/>
      <c r="I9" s="24" t="s">
        <v>24</v>
      </c>
      <c r="J9" s="24" t="s">
        <v>21</v>
      </c>
      <c r="K9" s="24" t="s">
        <v>22</v>
      </c>
      <c r="L9" s="27">
        <f t="shared" ref="L9:L27" si="3">400000*130%</f>
        <v>520000</v>
      </c>
      <c r="M9" s="25">
        <v>42840</v>
      </c>
      <c r="N9" s="25" t="str">
        <f t="shared" ref="N9:N27" si="4">$N$7&amp;O9&amp;P9&amp;$N$6&amp;K9&amp;" - Ngày 08/04/2026"&amp;$O$7&amp;B9</f>
        <v>Cước vận chuyển cont vỏ 40' tuyến đường HECHUN-HAIAN - Ngày 08/04/2026. Số xe: 15C15033</v>
      </c>
      <c r="O9" t="str">
        <f t="shared" si="0"/>
        <v xml:space="preserve"> vỏ </v>
      </c>
      <c r="P9" t="str">
        <f t="shared" si="1"/>
        <v xml:space="preserve">40' </v>
      </c>
      <c r="Q9">
        <f t="shared" si="2"/>
        <v>1</v>
      </c>
    </row>
    <row r="10" spans="1:17" x14ac:dyDescent="0.25">
      <c r="A10" s="28">
        <v>3</v>
      </c>
      <c r="B10" s="21" t="s">
        <v>123</v>
      </c>
      <c r="C10" s="22">
        <v>46120</v>
      </c>
      <c r="D10" s="23" t="s">
        <v>27</v>
      </c>
      <c r="E10" s="24"/>
      <c r="F10" s="24">
        <v>1</v>
      </c>
      <c r="G10" s="24"/>
      <c r="H10" s="24"/>
      <c r="I10" s="24" t="s">
        <v>24</v>
      </c>
      <c r="J10" s="24" t="s">
        <v>21</v>
      </c>
      <c r="K10" s="24" t="s">
        <v>22</v>
      </c>
      <c r="L10" s="27">
        <f t="shared" si="3"/>
        <v>520000</v>
      </c>
      <c r="M10" s="25">
        <v>42840</v>
      </c>
      <c r="N10" s="25" t="str">
        <f t="shared" si="4"/>
        <v>Cước vận chuyển cont vỏ 40' tuyến đường HECHUN-HAIAN - Ngày 08/04/2026. Số xe: 15H18552</v>
      </c>
      <c r="O10" t="str">
        <f t="shared" si="0"/>
        <v xml:space="preserve"> vỏ </v>
      </c>
      <c r="P10" t="str">
        <f t="shared" si="1"/>
        <v xml:space="preserve">40' </v>
      </c>
      <c r="Q10">
        <f t="shared" si="2"/>
        <v>1</v>
      </c>
    </row>
    <row r="11" spans="1:17" x14ac:dyDescent="0.25">
      <c r="A11" s="28">
        <v>4</v>
      </c>
      <c r="B11" s="21" t="s">
        <v>119</v>
      </c>
      <c r="C11" s="22">
        <v>46120</v>
      </c>
      <c r="D11" s="23" t="s">
        <v>28</v>
      </c>
      <c r="E11" s="24"/>
      <c r="F11" s="24">
        <v>1</v>
      </c>
      <c r="G11" s="24"/>
      <c r="H11" s="24"/>
      <c r="I11" s="24" t="s">
        <v>24</v>
      </c>
      <c r="J11" s="24" t="s">
        <v>21</v>
      </c>
      <c r="K11" s="24" t="s">
        <v>22</v>
      </c>
      <c r="L11" s="27">
        <f t="shared" si="3"/>
        <v>520000</v>
      </c>
      <c r="M11" s="25">
        <v>42840</v>
      </c>
      <c r="N11" s="25" t="str">
        <f t="shared" si="4"/>
        <v>Cước vận chuyển cont vỏ 40' tuyến đường HECHUN-HAIAN - Ngày 08/04/2026. Số xe: 15H17403</v>
      </c>
      <c r="O11" t="str">
        <f t="shared" si="0"/>
        <v xml:space="preserve"> vỏ </v>
      </c>
      <c r="P11" t="str">
        <f t="shared" si="1"/>
        <v xml:space="preserve">40' </v>
      </c>
      <c r="Q11">
        <f t="shared" si="2"/>
        <v>1</v>
      </c>
    </row>
    <row r="12" spans="1:17" x14ac:dyDescent="0.25">
      <c r="A12" s="28">
        <v>5</v>
      </c>
      <c r="B12" s="21" t="s">
        <v>122</v>
      </c>
      <c r="C12" s="22">
        <v>46120</v>
      </c>
      <c r="D12" s="23" t="s">
        <v>29</v>
      </c>
      <c r="E12" s="24"/>
      <c r="F12" s="24">
        <v>1</v>
      </c>
      <c r="G12" s="24"/>
      <c r="H12" s="24"/>
      <c r="I12" s="24" t="s">
        <v>24</v>
      </c>
      <c r="J12" s="24" t="s">
        <v>21</v>
      </c>
      <c r="K12" s="24" t="s">
        <v>22</v>
      </c>
      <c r="L12" s="27">
        <f t="shared" si="3"/>
        <v>520000</v>
      </c>
      <c r="M12" s="25">
        <v>42840</v>
      </c>
      <c r="N12" s="25" t="str">
        <f t="shared" si="4"/>
        <v>Cước vận chuyển cont vỏ 40' tuyến đường HECHUN-HAIAN - Ngày 08/04/2026. Số xe: 15H07644</v>
      </c>
      <c r="O12" t="str">
        <f t="shared" si="0"/>
        <v xml:space="preserve"> vỏ </v>
      </c>
      <c r="P12" t="str">
        <f t="shared" si="1"/>
        <v xml:space="preserve">40' </v>
      </c>
      <c r="Q12">
        <f t="shared" si="2"/>
        <v>1</v>
      </c>
    </row>
    <row r="13" spans="1:17" x14ac:dyDescent="0.25">
      <c r="A13" s="28">
        <v>6</v>
      </c>
      <c r="B13" s="21" t="s">
        <v>126</v>
      </c>
      <c r="C13" s="22">
        <v>46120</v>
      </c>
      <c r="D13" s="23" t="s">
        <v>30</v>
      </c>
      <c r="E13" s="24"/>
      <c r="F13" s="24">
        <v>1</v>
      </c>
      <c r="G13" s="24"/>
      <c r="H13" s="24"/>
      <c r="I13" s="24" t="s">
        <v>24</v>
      </c>
      <c r="J13" s="24" t="s">
        <v>21</v>
      </c>
      <c r="K13" s="24" t="s">
        <v>22</v>
      </c>
      <c r="L13" s="27">
        <f t="shared" si="3"/>
        <v>520000</v>
      </c>
      <c r="M13" s="25">
        <v>42840</v>
      </c>
      <c r="N13" s="25" t="str">
        <f t="shared" si="4"/>
        <v>Cước vận chuyển cont vỏ 40' tuyến đường HECHUN-HAIAN - Ngày 08/04/2026. Số xe: 15H07135</v>
      </c>
      <c r="O13" t="str">
        <f t="shared" si="0"/>
        <v xml:space="preserve"> vỏ </v>
      </c>
      <c r="P13" t="str">
        <f t="shared" si="1"/>
        <v xml:space="preserve">40' </v>
      </c>
      <c r="Q13">
        <f t="shared" si="2"/>
        <v>1</v>
      </c>
    </row>
    <row r="14" spans="1:17" x14ac:dyDescent="0.25">
      <c r="A14" s="28">
        <v>7</v>
      </c>
      <c r="B14" s="21" t="s">
        <v>125</v>
      </c>
      <c r="C14" s="22">
        <v>46120</v>
      </c>
      <c r="D14" s="23" t="s">
        <v>31</v>
      </c>
      <c r="E14" s="24"/>
      <c r="F14" s="24">
        <v>1</v>
      </c>
      <c r="G14" s="24"/>
      <c r="H14" s="24"/>
      <c r="I14" s="24" t="s">
        <v>24</v>
      </c>
      <c r="J14" s="24" t="s">
        <v>21</v>
      </c>
      <c r="K14" s="24" t="s">
        <v>22</v>
      </c>
      <c r="L14" s="27">
        <f t="shared" si="3"/>
        <v>520000</v>
      </c>
      <c r="M14" s="25">
        <v>42840</v>
      </c>
      <c r="N14" s="25" t="str">
        <f t="shared" si="4"/>
        <v>Cước vận chuyển cont vỏ 40' tuyến đường HECHUN-HAIAN - Ngày 08/04/2026. Số xe: 15H12925</v>
      </c>
      <c r="O14" t="str">
        <f t="shared" si="0"/>
        <v xml:space="preserve"> vỏ </v>
      </c>
      <c r="P14" t="str">
        <f t="shared" si="1"/>
        <v xml:space="preserve">40' </v>
      </c>
      <c r="Q14">
        <f t="shared" si="2"/>
        <v>1</v>
      </c>
    </row>
    <row r="15" spans="1:17" x14ac:dyDescent="0.25">
      <c r="A15" s="28">
        <v>8</v>
      </c>
      <c r="B15" s="21" t="s">
        <v>128</v>
      </c>
      <c r="C15" s="22">
        <v>46120</v>
      </c>
      <c r="D15" s="23" t="s">
        <v>32</v>
      </c>
      <c r="E15" s="24"/>
      <c r="F15" s="24">
        <v>1</v>
      </c>
      <c r="G15" s="24"/>
      <c r="H15" s="24"/>
      <c r="I15" s="24" t="s">
        <v>24</v>
      </c>
      <c r="J15" s="24" t="s">
        <v>21</v>
      </c>
      <c r="K15" s="24" t="s">
        <v>22</v>
      </c>
      <c r="L15" s="27">
        <f t="shared" si="3"/>
        <v>520000</v>
      </c>
      <c r="M15" s="25">
        <v>42840</v>
      </c>
      <c r="N15" s="25" t="str">
        <f t="shared" si="4"/>
        <v>Cước vận chuyển cont vỏ 40' tuyến đường HECHUN-HAIAN - Ngày 08/04/2026. Số xe: 15C09877</v>
      </c>
      <c r="O15" t="str">
        <f t="shared" si="0"/>
        <v xml:space="preserve"> vỏ </v>
      </c>
      <c r="P15" t="str">
        <f t="shared" si="1"/>
        <v xml:space="preserve">40' </v>
      </c>
      <c r="Q15">
        <f t="shared" si="2"/>
        <v>1</v>
      </c>
    </row>
    <row r="16" spans="1:17" x14ac:dyDescent="0.25">
      <c r="A16" s="28">
        <v>9</v>
      </c>
      <c r="B16" s="21" t="s">
        <v>127</v>
      </c>
      <c r="C16" s="22">
        <v>46120</v>
      </c>
      <c r="D16" s="23" t="s">
        <v>33</v>
      </c>
      <c r="E16" s="24"/>
      <c r="F16" s="24">
        <v>1</v>
      </c>
      <c r="G16" s="24"/>
      <c r="H16" s="24"/>
      <c r="I16" s="24" t="s">
        <v>24</v>
      </c>
      <c r="J16" s="24" t="s">
        <v>21</v>
      </c>
      <c r="K16" s="24" t="s">
        <v>22</v>
      </c>
      <c r="L16" s="27">
        <f t="shared" si="3"/>
        <v>520000</v>
      </c>
      <c r="M16" s="25">
        <v>42840</v>
      </c>
      <c r="N16" s="25" t="str">
        <f t="shared" si="4"/>
        <v>Cước vận chuyển cont vỏ 40' tuyến đường HECHUN-HAIAN - Ngày 08/04/2026. Số xe: 15H08574</v>
      </c>
      <c r="O16" t="str">
        <f t="shared" si="0"/>
        <v xml:space="preserve"> vỏ </v>
      </c>
      <c r="P16" t="str">
        <f t="shared" si="1"/>
        <v xml:space="preserve">40' </v>
      </c>
      <c r="Q16">
        <f t="shared" si="2"/>
        <v>1</v>
      </c>
    </row>
    <row r="17" spans="1:17" x14ac:dyDescent="0.25">
      <c r="A17" s="28">
        <v>10</v>
      </c>
      <c r="B17" s="21" t="s">
        <v>125</v>
      </c>
      <c r="C17" s="22">
        <v>46120</v>
      </c>
      <c r="D17" s="23" t="s">
        <v>34</v>
      </c>
      <c r="E17" s="24"/>
      <c r="F17" s="24">
        <v>1</v>
      </c>
      <c r="G17" s="24"/>
      <c r="H17" s="24"/>
      <c r="I17" s="24" t="s">
        <v>24</v>
      </c>
      <c r="J17" s="24" t="s">
        <v>21</v>
      </c>
      <c r="K17" s="24" t="s">
        <v>22</v>
      </c>
      <c r="L17" s="27">
        <f t="shared" si="3"/>
        <v>520000</v>
      </c>
      <c r="M17" s="25">
        <v>42840</v>
      </c>
      <c r="N17" s="25" t="str">
        <f t="shared" si="4"/>
        <v>Cước vận chuyển cont vỏ 40' tuyến đường HECHUN-HAIAN - Ngày 08/04/2026. Số xe: 15H12925</v>
      </c>
      <c r="O17" t="str">
        <f t="shared" si="0"/>
        <v xml:space="preserve"> vỏ </v>
      </c>
      <c r="P17" t="str">
        <f t="shared" si="1"/>
        <v xml:space="preserve">40' </v>
      </c>
      <c r="Q17">
        <f t="shared" si="2"/>
        <v>1</v>
      </c>
    </row>
    <row r="18" spans="1:17" x14ac:dyDescent="0.25">
      <c r="A18" s="28">
        <v>11</v>
      </c>
      <c r="B18" s="21" t="s">
        <v>126</v>
      </c>
      <c r="C18" s="22">
        <v>46120</v>
      </c>
      <c r="D18" s="23" t="s">
        <v>35</v>
      </c>
      <c r="E18" s="24"/>
      <c r="F18" s="24">
        <v>1</v>
      </c>
      <c r="G18" s="24"/>
      <c r="H18" s="24"/>
      <c r="I18" s="24" t="s">
        <v>24</v>
      </c>
      <c r="J18" s="24" t="s">
        <v>21</v>
      </c>
      <c r="K18" s="24" t="s">
        <v>22</v>
      </c>
      <c r="L18" s="27">
        <f t="shared" si="3"/>
        <v>520000</v>
      </c>
      <c r="M18" s="25">
        <v>42840</v>
      </c>
      <c r="N18" s="25" t="str">
        <f t="shared" si="4"/>
        <v>Cước vận chuyển cont vỏ 40' tuyến đường HECHUN-HAIAN - Ngày 08/04/2026. Số xe: 15H07135</v>
      </c>
      <c r="O18" t="str">
        <f t="shared" si="0"/>
        <v xml:space="preserve"> vỏ </v>
      </c>
      <c r="P18" t="str">
        <f t="shared" si="1"/>
        <v xml:space="preserve">40' </v>
      </c>
      <c r="Q18">
        <f t="shared" si="2"/>
        <v>1</v>
      </c>
    </row>
    <row r="19" spans="1:17" x14ac:dyDescent="0.25">
      <c r="A19" s="28">
        <v>12</v>
      </c>
      <c r="B19" s="21" t="s">
        <v>122</v>
      </c>
      <c r="C19" s="22">
        <v>46120</v>
      </c>
      <c r="D19" s="23" t="s">
        <v>36</v>
      </c>
      <c r="E19" s="24"/>
      <c r="F19" s="24">
        <v>1</v>
      </c>
      <c r="G19" s="24"/>
      <c r="H19" s="24"/>
      <c r="I19" s="24" t="s">
        <v>24</v>
      </c>
      <c r="J19" s="24" t="s">
        <v>21</v>
      </c>
      <c r="K19" s="24" t="s">
        <v>22</v>
      </c>
      <c r="L19" s="27">
        <f t="shared" si="3"/>
        <v>520000</v>
      </c>
      <c r="M19" s="25">
        <v>42840</v>
      </c>
      <c r="N19" s="25" t="str">
        <f t="shared" si="4"/>
        <v>Cước vận chuyển cont vỏ 40' tuyến đường HECHUN-HAIAN - Ngày 08/04/2026. Số xe: 15H07644</v>
      </c>
      <c r="O19" t="str">
        <f t="shared" si="0"/>
        <v xml:space="preserve"> vỏ </v>
      </c>
      <c r="P19" t="str">
        <f t="shared" si="1"/>
        <v xml:space="preserve">40' </v>
      </c>
      <c r="Q19">
        <f t="shared" si="2"/>
        <v>1</v>
      </c>
    </row>
    <row r="20" spans="1:17" x14ac:dyDescent="0.25">
      <c r="A20" s="28">
        <v>13</v>
      </c>
      <c r="B20" s="21" t="s">
        <v>123</v>
      </c>
      <c r="C20" s="22">
        <v>46120</v>
      </c>
      <c r="D20" s="23" t="s">
        <v>37</v>
      </c>
      <c r="E20" s="24"/>
      <c r="F20" s="24">
        <v>1</v>
      </c>
      <c r="G20" s="24"/>
      <c r="H20" s="24"/>
      <c r="I20" s="24" t="s">
        <v>24</v>
      </c>
      <c r="J20" s="24" t="s">
        <v>21</v>
      </c>
      <c r="K20" s="24" t="s">
        <v>22</v>
      </c>
      <c r="L20" s="27">
        <f t="shared" si="3"/>
        <v>520000</v>
      </c>
      <c r="M20" s="25">
        <v>42840</v>
      </c>
      <c r="N20" s="25" t="str">
        <f t="shared" si="4"/>
        <v>Cước vận chuyển cont vỏ 40' tuyến đường HECHUN-HAIAN - Ngày 08/04/2026. Số xe: 15H18552</v>
      </c>
      <c r="O20" t="str">
        <f t="shared" si="0"/>
        <v xml:space="preserve"> vỏ </v>
      </c>
      <c r="P20" t="str">
        <f t="shared" si="1"/>
        <v xml:space="preserve">40' </v>
      </c>
      <c r="Q20">
        <f t="shared" si="2"/>
        <v>1</v>
      </c>
    </row>
    <row r="21" spans="1:17" x14ac:dyDescent="0.25">
      <c r="A21" s="28">
        <v>14</v>
      </c>
      <c r="B21" s="21" t="s">
        <v>124</v>
      </c>
      <c r="C21" s="22">
        <v>46120</v>
      </c>
      <c r="D21" s="23" t="s">
        <v>38</v>
      </c>
      <c r="E21" s="24"/>
      <c r="F21" s="24">
        <v>1</v>
      </c>
      <c r="G21" s="24"/>
      <c r="H21" s="24"/>
      <c r="I21" s="24" t="s">
        <v>24</v>
      </c>
      <c r="J21" s="24" t="s">
        <v>21</v>
      </c>
      <c r="K21" s="24" t="s">
        <v>22</v>
      </c>
      <c r="L21" s="27">
        <f t="shared" si="3"/>
        <v>520000</v>
      </c>
      <c r="M21" s="25">
        <v>42840</v>
      </c>
      <c r="N21" s="25" t="str">
        <f t="shared" si="4"/>
        <v>Cước vận chuyển cont vỏ 40' tuyến đường HECHUN-HAIAN - Ngày 08/04/2026. Số xe: 15C15033</v>
      </c>
      <c r="O21" t="str">
        <f t="shared" si="0"/>
        <v xml:space="preserve"> vỏ </v>
      </c>
      <c r="P21" t="str">
        <f t="shared" si="1"/>
        <v xml:space="preserve">40' </v>
      </c>
      <c r="Q21">
        <f t="shared" si="2"/>
        <v>1</v>
      </c>
    </row>
    <row r="22" spans="1:17" x14ac:dyDescent="0.25">
      <c r="A22" s="28">
        <v>15</v>
      </c>
      <c r="B22" s="21" t="s">
        <v>120</v>
      </c>
      <c r="C22" s="22">
        <v>46120</v>
      </c>
      <c r="D22" s="23" t="s">
        <v>39</v>
      </c>
      <c r="E22" s="24"/>
      <c r="F22" s="24">
        <v>1</v>
      </c>
      <c r="G22" s="24"/>
      <c r="H22" s="24"/>
      <c r="I22" s="24" t="s">
        <v>24</v>
      </c>
      <c r="J22" s="24" t="s">
        <v>21</v>
      </c>
      <c r="K22" s="24" t="s">
        <v>22</v>
      </c>
      <c r="L22" s="27">
        <f t="shared" si="3"/>
        <v>520000</v>
      </c>
      <c r="M22" s="25">
        <v>42840</v>
      </c>
      <c r="N22" s="25" t="str">
        <f t="shared" si="4"/>
        <v>Cước vận chuyển cont vỏ 40' tuyến đường HECHUN-HAIAN - Ngày 08/04/2026. Số xe: 15C17301</v>
      </c>
      <c r="O22" t="str">
        <f t="shared" si="0"/>
        <v xml:space="preserve"> vỏ </v>
      </c>
      <c r="P22" t="str">
        <f t="shared" si="1"/>
        <v xml:space="preserve">40' </v>
      </c>
      <c r="Q22">
        <f t="shared" si="2"/>
        <v>1</v>
      </c>
    </row>
    <row r="23" spans="1:17" x14ac:dyDescent="0.25">
      <c r="A23" s="28">
        <v>16</v>
      </c>
      <c r="B23" s="21" t="s">
        <v>121</v>
      </c>
      <c r="C23" s="22">
        <v>46120</v>
      </c>
      <c r="D23" s="23" t="s">
        <v>40</v>
      </c>
      <c r="E23" s="24"/>
      <c r="F23" s="24">
        <v>1</v>
      </c>
      <c r="G23" s="24"/>
      <c r="H23" s="24"/>
      <c r="I23" s="24" t="s">
        <v>24</v>
      </c>
      <c r="J23" s="24" t="s">
        <v>21</v>
      </c>
      <c r="K23" s="24" t="s">
        <v>22</v>
      </c>
      <c r="L23" s="27">
        <f t="shared" si="3"/>
        <v>520000</v>
      </c>
      <c r="M23" s="25">
        <v>42840</v>
      </c>
      <c r="N23" s="25" t="str">
        <f t="shared" si="4"/>
        <v>Cước vận chuyển cont vỏ 40' tuyến đường HECHUN-HAIAN - Ngày 08/04/2026. Số xe: 15H07524</v>
      </c>
      <c r="O23" t="str">
        <f t="shared" si="0"/>
        <v xml:space="preserve"> vỏ </v>
      </c>
      <c r="P23" t="str">
        <f t="shared" si="1"/>
        <v xml:space="preserve">40' </v>
      </c>
      <c r="Q23">
        <f t="shared" si="2"/>
        <v>1</v>
      </c>
    </row>
    <row r="24" spans="1:17" x14ac:dyDescent="0.25">
      <c r="A24" s="28">
        <v>17</v>
      </c>
      <c r="B24" s="21" t="s">
        <v>127</v>
      </c>
      <c r="C24" s="22">
        <v>46120</v>
      </c>
      <c r="D24" s="23" t="s">
        <v>41</v>
      </c>
      <c r="E24" s="24"/>
      <c r="F24" s="24">
        <v>1</v>
      </c>
      <c r="G24" s="24"/>
      <c r="H24" s="24"/>
      <c r="I24" s="24" t="s">
        <v>24</v>
      </c>
      <c r="J24" s="24" t="s">
        <v>21</v>
      </c>
      <c r="K24" s="24" t="s">
        <v>22</v>
      </c>
      <c r="L24" s="27">
        <f t="shared" si="3"/>
        <v>520000</v>
      </c>
      <c r="M24" s="25">
        <v>42840</v>
      </c>
      <c r="N24" s="25" t="str">
        <f t="shared" si="4"/>
        <v>Cước vận chuyển cont vỏ 40' tuyến đường HECHUN-HAIAN - Ngày 08/04/2026. Số xe: 15H08574</v>
      </c>
      <c r="O24" t="str">
        <f t="shared" si="0"/>
        <v xml:space="preserve"> vỏ </v>
      </c>
      <c r="P24" t="str">
        <f t="shared" si="1"/>
        <v xml:space="preserve">40' </v>
      </c>
      <c r="Q24">
        <f t="shared" si="2"/>
        <v>1</v>
      </c>
    </row>
    <row r="25" spans="1:17" x14ac:dyDescent="0.25">
      <c r="A25" s="28">
        <v>18</v>
      </c>
      <c r="B25" s="21" t="s">
        <v>120</v>
      </c>
      <c r="C25" s="22">
        <v>46120</v>
      </c>
      <c r="D25" s="23" t="s">
        <v>42</v>
      </c>
      <c r="E25" s="24"/>
      <c r="F25" s="24">
        <v>1</v>
      </c>
      <c r="G25" s="24"/>
      <c r="H25" s="24"/>
      <c r="I25" s="24" t="s">
        <v>24</v>
      </c>
      <c r="J25" s="24" t="s">
        <v>21</v>
      </c>
      <c r="K25" s="24" t="s">
        <v>22</v>
      </c>
      <c r="L25" s="27">
        <f t="shared" si="3"/>
        <v>520000</v>
      </c>
      <c r="M25" s="25">
        <v>42840</v>
      </c>
      <c r="N25" s="25" t="str">
        <f t="shared" si="4"/>
        <v>Cước vận chuyển cont vỏ 40' tuyến đường HECHUN-HAIAN - Ngày 08/04/2026. Số xe: 15C17301</v>
      </c>
      <c r="O25" t="str">
        <f t="shared" si="0"/>
        <v xml:space="preserve"> vỏ </v>
      </c>
      <c r="P25" t="str">
        <f t="shared" si="1"/>
        <v xml:space="preserve">40' </v>
      </c>
      <c r="Q25">
        <f t="shared" si="2"/>
        <v>1</v>
      </c>
    </row>
    <row r="26" spans="1:17" x14ac:dyDescent="0.25">
      <c r="A26" s="28">
        <v>19</v>
      </c>
      <c r="B26" s="21" t="s">
        <v>128</v>
      </c>
      <c r="C26" s="22">
        <v>46120</v>
      </c>
      <c r="D26" s="23" t="s">
        <v>43</v>
      </c>
      <c r="E26" s="24"/>
      <c r="F26" s="24">
        <v>1</v>
      </c>
      <c r="G26" s="24"/>
      <c r="H26" s="24"/>
      <c r="I26" s="24" t="s">
        <v>24</v>
      </c>
      <c r="J26" s="24" t="s">
        <v>21</v>
      </c>
      <c r="K26" s="24" t="s">
        <v>22</v>
      </c>
      <c r="L26" s="27">
        <f t="shared" si="3"/>
        <v>520000</v>
      </c>
      <c r="M26" s="25">
        <v>42840</v>
      </c>
      <c r="N26" s="25" t="str">
        <f t="shared" si="4"/>
        <v>Cước vận chuyển cont vỏ 40' tuyến đường HECHUN-HAIAN - Ngày 08/04/2026. Số xe: 15C09877</v>
      </c>
      <c r="O26" t="str">
        <f t="shared" si="0"/>
        <v xml:space="preserve"> vỏ </v>
      </c>
      <c r="P26" t="str">
        <f t="shared" si="1"/>
        <v xml:space="preserve">40' </v>
      </c>
      <c r="Q26">
        <f t="shared" si="2"/>
        <v>1</v>
      </c>
    </row>
    <row r="27" spans="1:17" x14ac:dyDescent="0.25">
      <c r="A27" s="28">
        <v>20</v>
      </c>
      <c r="B27" s="21" t="s">
        <v>118</v>
      </c>
      <c r="C27" s="30">
        <v>46120</v>
      </c>
      <c r="D27" s="31" t="s">
        <v>44</v>
      </c>
      <c r="E27" s="32"/>
      <c r="F27" s="32">
        <v>1</v>
      </c>
      <c r="G27" s="32"/>
      <c r="H27" s="32"/>
      <c r="I27" s="32" t="s">
        <v>24</v>
      </c>
      <c r="J27" s="32" t="s">
        <v>21</v>
      </c>
      <c r="K27" s="32" t="s">
        <v>22</v>
      </c>
      <c r="L27" s="27">
        <f t="shared" si="3"/>
        <v>520000</v>
      </c>
      <c r="M27" s="25">
        <v>42840</v>
      </c>
      <c r="N27" s="25" t="str">
        <f t="shared" si="4"/>
        <v>Cước vận chuyển cont vỏ 40' tuyến đường HECHUN-HAIAN - Ngày 08/04/2026. Số xe: 15H07788</v>
      </c>
      <c r="O27" t="str">
        <f t="shared" si="0"/>
        <v xml:space="preserve"> vỏ </v>
      </c>
      <c r="P27" t="str">
        <f t="shared" si="1"/>
        <v xml:space="preserve">40' </v>
      </c>
      <c r="Q27">
        <f t="shared" si="2"/>
        <v>1</v>
      </c>
    </row>
    <row r="28" spans="1:17" x14ac:dyDescent="0.25">
      <c r="A28" s="14"/>
      <c r="B28" s="46"/>
      <c r="C28" s="46"/>
      <c r="D28" s="47"/>
      <c r="E28" s="15">
        <f>SUM(E8:E27)</f>
        <v>0</v>
      </c>
      <c r="F28" s="15">
        <f>SUM(F8:F27)</f>
        <v>20</v>
      </c>
      <c r="G28" s="15">
        <f>SUM(G8:G27)</f>
        <v>0</v>
      </c>
      <c r="H28" s="15">
        <f>SUM(H8:H27)</f>
        <v>0</v>
      </c>
      <c r="I28" s="16">
        <f>SUM(E28:H28)</f>
        <v>20</v>
      </c>
      <c r="J28" s="16"/>
      <c r="K28" s="17"/>
      <c r="L28" s="20">
        <f>SUM(L8:L27)</f>
        <v>10400000</v>
      </c>
      <c r="M28" s="25"/>
    </row>
    <row r="29" spans="1:17" x14ac:dyDescent="0.25">
      <c r="A29" s="14"/>
      <c r="B29" s="44"/>
      <c r="C29" s="44"/>
      <c r="D29" s="45"/>
      <c r="E29" s="18"/>
      <c r="F29" s="18"/>
      <c r="G29" s="18"/>
      <c r="H29" s="18"/>
      <c r="I29" s="18"/>
      <c r="J29" s="18"/>
      <c r="K29" s="17"/>
      <c r="L29" s="20">
        <f>L28*8%</f>
        <v>832000</v>
      </c>
      <c r="M29" s="25"/>
    </row>
    <row r="30" spans="1:17" x14ac:dyDescent="0.25">
      <c r="A30" s="14"/>
      <c r="B30" s="44"/>
      <c r="C30" s="44"/>
      <c r="D30" s="45"/>
      <c r="E30" s="18"/>
      <c r="F30" s="18"/>
      <c r="G30" s="18"/>
      <c r="H30" s="18"/>
      <c r="I30" s="18"/>
      <c r="J30" s="18"/>
      <c r="K30" s="17"/>
      <c r="L30" s="20">
        <f>SUM(L28:L29)</f>
        <v>11232000</v>
      </c>
      <c r="M30" s="29"/>
      <c r="N30" s="26"/>
    </row>
    <row r="31" spans="1:17" x14ac:dyDescent="0.25">
      <c r="B31" s="19" t="s">
        <v>16</v>
      </c>
      <c r="M31" s="25"/>
    </row>
    <row r="32" spans="1:17" x14ac:dyDescent="0.25">
      <c r="M32" s="25"/>
      <c r="N32" s="26"/>
    </row>
    <row r="33" spans="1:12" ht="36.75" customHeight="1" x14ac:dyDescent="0.25">
      <c r="A33" s="48" t="s">
        <v>20</v>
      </c>
      <c r="B33" s="35"/>
      <c r="C33" s="35"/>
      <c r="D33" s="35"/>
      <c r="E33" s="35"/>
      <c r="F33" s="35"/>
      <c r="G33" s="35"/>
      <c r="H33" s="35"/>
      <c r="I33" s="35" t="s">
        <v>19</v>
      </c>
      <c r="J33" s="35"/>
      <c r="K33" s="35"/>
      <c r="L33" s="35"/>
    </row>
  </sheetData>
  <autoFilter ref="A5:L31" xr:uid="{00000000-0009-0000-0000-000000000000}">
    <filterColumn colId="4" showButton="0"/>
    <filterColumn colId="6" showButton="0"/>
  </autoFilter>
  <mergeCells count="17">
    <mergeCell ref="K5:K6"/>
    <mergeCell ref="L5:L6"/>
    <mergeCell ref="B28:D28"/>
    <mergeCell ref="B29:D29"/>
    <mergeCell ref="B30:D30"/>
    <mergeCell ref="A33:H33"/>
    <mergeCell ref="I33:L33"/>
    <mergeCell ref="A1:L1"/>
    <mergeCell ref="A2:L2"/>
    <mergeCell ref="A5:A6"/>
    <mergeCell ref="B5:B6"/>
    <mergeCell ref="C5:C6"/>
    <mergeCell ref="D5:D6"/>
    <mergeCell ref="E5:F5"/>
    <mergeCell ref="G5:H5"/>
    <mergeCell ref="I5:I6"/>
    <mergeCell ref="J5:J6"/>
  </mergeCells>
  <conditionalFormatting sqref="D4:D5">
    <cfRule type="duplicateValues" dxfId="5" priority="1" stopIfTrue="1"/>
    <cfRule type="duplicateValues" priority="2" stopIfTrue="1"/>
  </conditionalFormatting>
  <conditionalFormatting sqref="D8:D27">
    <cfRule type="duplicateValues" priority="301" stopIfTrue="1"/>
    <cfRule type="duplicateValues" dxfId="4" priority="302"/>
  </conditionalFormatting>
  <pageMargins left="0.31496062992125984" right="0.15748031496062992" top="0.55118110236220474" bottom="0.19685039370078741" header="0.31496062992125984" footer="0.15748031496062992"/>
  <pageSetup paperSize="126"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5891-A7DB-40BA-A8ED-96E8065AA239}">
  <dimension ref="A1:Q83"/>
  <sheetViews>
    <sheetView topLeftCell="E3" workbookViewId="0">
      <selection activeCell="L77" sqref="L8:Q77"/>
    </sheetView>
  </sheetViews>
  <sheetFormatPr defaultRowHeight="15.75" x14ac:dyDescent="0.25"/>
  <cols>
    <col min="1" max="1" width="4.125" customWidth="1"/>
    <col min="2" max="2" width="10" customWidth="1"/>
    <col min="3" max="3" width="9.375" customWidth="1"/>
    <col min="4" max="4" width="13" customWidth="1"/>
    <col min="5" max="5" width="4.25" customWidth="1"/>
    <col min="6" max="6" width="4.5" customWidth="1"/>
    <col min="7" max="8" width="4.375" customWidth="1"/>
    <col min="9" max="9" width="17.625" customWidth="1"/>
    <col min="10" max="10" width="11.25" customWidth="1"/>
    <col min="11" max="11" width="23.875" bestFit="1" customWidth="1"/>
    <col min="12" max="12" width="12.25" bestFit="1" customWidth="1"/>
    <col min="13" max="13" width="10.875" bestFit="1" customWidth="1"/>
    <col min="14" max="14" width="100.625" bestFit="1" customWidth="1"/>
  </cols>
  <sheetData>
    <row r="1" spans="1:17" ht="33.6" customHeight="1" x14ac:dyDescent="0.25">
      <c r="A1" s="34" t="s">
        <v>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7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7" x14ac:dyDescent="0.25">
      <c r="A3" s="1"/>
      <c r="B3" s="1"/>
      <c r="C3" s="1"/>
      <c r="D3" s="1" t="s">
        <v>18</v>
      </c>
      <c r="E3" s="2" t="s">
        <v>21</v>
      </c>
      <c r="F3" s="1"/>
      <c r="G3" s="1"/>
      <c r="H3" s="1"/>
      <c r="I3" s="1"/>
      <c r="J3" s="1"/>
      <c r="K3" s="1"/>
      <c r="L3" s="1"/>
    </row>
    <row r="4" spans="1:17" x14ac:dyDescent="0.25">
      <c r="A4" s="3"/>
      <c r="B4" s="4"/>
      <c r="C4" s="5"/>
      <c r="D4" s="6"/>
      <c r="E4" s="3"/>
      <c r="F4" s="3"/>
      <c r="G4" s="7"/>
      <c r="H4" s="7"/>
      <c r="I4" s="7"/>
      <c r="J4" s="7"/>
      <c r="K4" s="8"/>
      <c r="L4" s="9"/>
    </row>
    <row r="5" spans="1:17" ht="15.75" customHeight="1" x14ac:dyDescent="0.25">
      <c r="A5" s="36" t="s">
        <v>0</v>
      </c>
      <c r="B5" s="36" t="s">
        <v>1</v>
      </c>
      <c r="C5" s="38" t="s">
        <v>2</v>
      </c>
      <c r="D5" s="36" t="s">
        <v>3</v>
      </c>
      <c r="E5" s="40" t="s">
        <v>4</v>
      </c>
      <c r="F5" s="41"/>
      <c r="G5" s="40" t="s">
        <v>5</v>
      </c>
      <c r="H5" s="41"/>
      <c r="I5" s="36" t="s">
        <v>6</v>
      </c>
      <c r="J5" s="36" t="s">
        <v>17</v>
      </c>
      <c r="K5" s="36" t="s">
        <v>7</v>
      </c>
      <c r="L5" s="42" t="s">
        <v>8</v>
      </c>
    </row>
    <row r="6" spans="1:17" x14ac:dyDescent="0.25">
      <c r="A6" s="37"/>
      <c r="B6" s="37"/>
      <c r="C6" s="39"/>
      <c r="D6" s="37"/>
      <c r="E6" s="10" t="s">
        <v>9</v>
      </c>
      <c r="F6" s="10" t="s">
        <v>10</v>
      </c>
      <c r="G6" s="10" t="s">
        <v>9</v>
      </c>
      <c r="H6" s="10" t="s">
        <v>10</v>
      </c>
      <c r="I6" s="37"/>
      <c r="J6" s="37"/>
      <c r="K6" s="37"/>
      <c r="L6" s="43"/>
      <c r="N6" t="s">
        <v>171</v>
      </c>
    </row>
    <row r="7" spans="1:17" x14ac:dyDescent="0.25">
      <c r="A7" s="11">
        <v>1</v>
      </c>
      <c r="B7" s="11">
        <v>2</v>
      </c>
      <c r="C7" s="12" t="s">
        <v>11</v>
      </c>
      <c r="D7" s="11">
        <v>4</v>
      </c>
      <c r="E7" s="13" t="s">
        <v>12</v>
      </c>
      <c r="F7" s="13" t="s">
        <v>13</v>
      </c>
      <c r="G7" s="13" t="s">
        <v>14</v>
      </c>
      <c r="H7" s="13" t="s">
        <v>15</v>
      </c>
      <c r="I7" s="11">
        <v>5</v>
      </c>
      <c r="J7" s="11"/>
      <c r="K7" s="11">
        <v>6</v>
      </c>
      <c r="L7" s="11">
        <v>7</v>
      </c>
      <c r="M7" s="33" t="s">
        <v>175</v>
      </c>
      <c r="N7" s="33" t="s">
        <v>172</v>
      </c>
      <c r="O7" s="33" t="s">
        <v>173</v>
      </c>
      <c r="Q7" t="s">
        <v>174</v>
      </c>
    </row>
    <row r="8" spans="1:17" x14ac:dyDescent="0.25">
      <c r="A8" s="28">
        <v>1</v>
      </c>
      <c r="B8" s="21" t="s">
        <v>128</v>
      </c>
      <c r="C8" s="22">
        <v>46122</v>
      </c>
      <c r="D8" s="23" t="s">
        <v>45</v>
      </c>
      <c r="E8" s="24"/>
      <c r="F8" s="24">
        <v>1</v>
      </c>
      <c r="G8" s="24"/>
      <c r="H8" s="24"/>
      <c r="I8" s="24" t="s">
        <v>115</v>
      </c>
      <c r="J8" s="24" t="s">
        <v>21</v>
      </c>
      <c r="K8" s="24" t="s">
        <v>116</v>
      </c>
      <c r="L8" s="27">
        <f>400000*115%</f>
        <v>459999.99999999994</v>
      </c>
      <c r="M8" s="25">
        <v>32960</v>
      </c>
      <c r="N8" s="25" t="str">
        <f>$N$7&amp;O8&amp;P8&amp;$N$6&amp;K8&amp;" - Ngày 10/04/2026"&amp;$O$7&amp;B8</f>
        <v>Cước vận chuyển cont vỏ 40' tuyến đường HECHUN-HAIAN  - Ngày 10/04/2026. Số xe: 15C09877</v>
      </c>
      <c r="O8" t="str">
        <f t="shared" ref="O8:O51" si="0">IF(E8+F8=1," vỏ "," hàng ")</f>
        <v xml:space="preserve"> vỏ </v>
      </c>
      <c r="P8" t="str">
        <f t="shared" ref="P8:P51" si="1">IF(E8+G8=1,"20' ","40' ")</f>
        <v xml:space="preserve">40' </v>
      </c>
      <c r="Q8">
        <f t="shared" ref="Q8:Q51" si="2">E8/2+F8+G8+H8</f>
        <v>1</v>
      </c>
    </row>
    <row r="9" spans="1:17" x14ac:dyDescent="0.25">
      <c r="A9" s="28">
        <v>2</v>
      </c>
      <c r="B9" s="21" t="s">
        <v>119</v>
      </c>
      <c r="C9" s="22">
        <v>46122</v>
      </c>
      <c r="D9" s="23" t="s">
        <v>46</v>
      </c>
      <c r="E9" s="24"/>
      <c r="F9" s="24">
        <v>1</v>
      </c>
      <c r="G9" s="24"/>
      <c r="H9" s="24"/>
      <c r="I9" s="24" t="s">
        <v>115</v>
      </c>
      <c r="J9" s="24" t="s">
        <v>21</v>
      </c>
      <c r="K9" s="24" t="s">
        <v>116</v>
      </c>
      <c r="L9" s="27">
        <f t="shared" ref="L9:L72" si="3">400000*115%</f>
        <v>459999.99999999994</v>
      </c>
      <c r="M9" s="25">
        <v>32960</v>
      </c>
      <c r="N9" s="25" t="str">
        <f t="shared" ref="N9:N72" si="4">$N$7&amp;O9&amp;P9&amp;$N$6&amp;K9&amp;" - Ngày 10/04/2026"&amp;$O$7&amp;B9</f>
        <v>Cước vận chuyển cont vỏ 40' tuyến đường HECHUN-HAIAN  - Ngày 10/04/2026. Số xe: 15H17403</v>
      </c>
      <c r="O9" t="str">
        <f t="shared" si="0"/>
        <v xml:space="preserve"> vỏ </v>
      </c>
      <c r="P9" t="str">
        <f t="shared" si="1"/>
        <v xml:space="preserve">40' </v>
      </c>
      <c r="Q9">
        <f t="shared" si="2"/>
        <v>1</v>
      </c>
    </row>
    <row r="10" spans="1:17" x14ac:dyDescent="0.25">
      <c r="A10" s="28">
        <v>3</v>
      </c>
      <c r="B10" s="21" t="s">
        <v>122</v>
      </c>
      <c r="C10" s="22">
        <v>46122</v>
      </c>
      <c r="D10" s="23" t="s">
        <v>47</v>
      </c>
      <c r="E10" s="24"/>
      <c r="F10" s="24">
        <v>1</v>
      </c>
      <c r="G10" s="24"/>
      <c r="H10" s="24"/>
      <c r="I10" s="24" t="s">
        <v>115</v>
      </c>
      <c r="J10" s="24" t="s">
        <v>21</v>
      </c>
      <c r="K10" s="24" t="s">
        <v>116</v>
      </c>
      <c r="L10" s="27">
        <f t="shared" si="3"/>
        <v>459999.99999999994</v>
      </c>
      <c r="M10" s="25">
        <v>32960</v>
      </c>
      <c r="N10" s="25" t="str">
        <f t="shared" si="4"/>
        <v>Cước vận chuyển cont vỏ 40' tuyến đường HECHUN-HAIAN  - Ngày 10/04/2026. Số xe: 15H07644</v>
      </c>
      <c r="O10" t="str">
        <f t="shared" si="0"/>
        <v xml:space="preserve"> vỏ </v>
      </c>
      <c r="P10" t="str">
        <f t="shared" si="1"/>
        <v xml:space="preserve">40' </v>
      </c>
      <c r="Q10">
        <f t="shared" si="2"/>
        <v>1</v>
      </c>
    </row>
    <row r="11" spans="1:17" x14ac:dyDescent="0.25">
      <c r="A11" s="28">
        <v>4</v>
      </c>
      <c r="B11" s="21" t="s">
        <v>120</v>
      </c>
      <c r="C11" s="22">
        <v>46122</v>
      </c>
      <c r="D11" s="23" t="s">
        <v>48</v>
      </c>
      <c r="E11" s="24"/>
      <c r="F11" s="24">
        <v>1</v>
      </c>
      <c r="G11" s="24"/>
      <c r="H11" s="24"/>
      <c r="I11" s="24" t="s">
        <v>115</v>
      </c>
      <c r="J11" s="24" t="s">
        <v>21</v>
      </c>
      <c r="K11" s="24" t="s">
        <v>116</v>
      </c>
      <c r="L11" s="27">
        <f t="shared" si="3"/>
        <v>459999.99999999994</v>
      </c>
      <c r="M11" s="25">
        <v>32960</v>
      </c>
      <c r="N11" s="25" t="str">
        <f t="shared" si="4"/>
        <v>Cước vận chuyển cont vỏ 40' tuyến đường HECHUN-HAIAN  - Ngày 10/04/2026. Số xe: 15C17301</v>
      </c>
      <c r="O11" t="str">
        <f t="shared" si="0"/>
        <v xml:space="preserve"> vỏ </v>
      </c>
      <c r="P11" t="str">
        <f t="shared" si="1"/>
        <v xml:space="preserve">40' </v>
      </c>
      <c r="Q11">
        <f t="shared" si="2"/>
        <v>1</v>
      </c>
    </row>
    <row r="12" spans="1:17" x14ac:dyDescent="0.25">
      <c r="A12" s="28">
        <v>5</v>
      </c>
      <c r="B12" s="21" t="s">
        <v>127</v>
      </c>
      <c r="C12" s="22">
        <v>46122</v>
      </c>
      <c r="D12" s="23" t="s">
        <v>49</v>
      </c>
      <c r="E12" s="24"/>
      <c r="F12" s="24">
        <v>1</v>
      </c>
      <c r="G12" s="24"/>
      <c r="H12" s="24"/>
      <c r="I12" s="24" t="s">
        <v>115</v>
      </c>
      <c r="J12" s="24" t="s">
        <v>21</v>
      </c>
      <c r="K12" s="24" t="s">
        <v>116</v>
      </c>
      <c r="L12" s="27">
        <f t="shared" si="3"/>
        <v>459999.99999999994</v>
      </c>
      <c r="M12" s="25">
        <v>32960</v>
      </c>
      <c r="N12" s="25" t="str">
        <f t="shared" si="4"/>
        <v>Cước vận chuyển cont vỏ 40' tuyến đường HECHUN-HAIAN  - Ngày 10/04/2026. Số xe: 15H08574</v>
      </c>
      <c r="O12" t="str">
        <f t="shared" si="0"/>
        <v xml:space="preserve"> vỏ </v>
      </c>
      <c r="P12" t="str">
        <f t="shared" si="1"/>
        <v xml:space="preserve">40' </v>
      </c>
      <c r="Q12">
        <f t="shared" si="2"/>
        <v>1</v>
      </c>
    </row>
    <row r="13" spans="1:17" x14ac:dyDescent="0.25">
      <c r="A13" s="28">
        <v>6</v>
      </c>
      <c r="B13" s="21" t="s">
        <v>124</v>
      </c>
      <c r="C13" s="22">
        <v>46122</v>
      </c>
      <c r="D13" s="23" t="s">
        <v>50</v>
      </c>
      <c r="E13" s="24"/>
      <c r="F13" s="24">
        <v>1</v>
      </c>
      <c r="G13" s="24"/>
      <c r="H13" s="24"/>
      <c r="I13" s="24" t="s">
        <v>115</v>
      </c>
      <c r="J13" s="24" t="s">
        <v>21</v>
      </c>
      <c r="K13" s="24" t="s">
        <v>116</v>
      </c>
      <c r="L13" s="27">
        <f t="shared" si="3"/>
        <v>459999.99999999994</v>
      </c>
      <c r="M13" s="25">
        <v>32960</v>
      </c>
      <c r="N13" s="25" t="str">
        <f t="shared" si="4"/>
        <v>Cước vận chuyển cont vỏ 40' tuyến đường HECHUN-HAIAN  - Ngày 10/04/2026. Số xe: 15C15033</v>
      </c>
      <c r="O13" t="str">
        <f t="shared" si="0"/>
        <v xml:space="preserve"> vỏ </v>
      </c>
      <c r="P13" t="str">
        <f t="shared" si="1"/>
        <v xml:space="preserve">40' </v>
      </c>
      <c r="Q13">
        <f t="shared" si="2"/>
        <v>1</v>
      </c>
    </row>
    <row r="14" spans="1:17" x14ac:dyDescent="0.25">
      <c r="A14" s="28">
        <v>7</v>
      </c>
      <c r="B14" s="21" t="s">
        <v>126</v>
      </c>
      <c r="C14" s="22">
        <v>46122</v>
      </c>
      <c r="D14" s="23" t="s">
        <v>51</v>
      </c>
      <c r="E14" s="24"/>
      <c r="F14" s="24">
        <v>1</v>
      </c>
      <c r="G14" s="24"/>
      <c r="H14" s="24"/>
      <c r="I14" s="24" t="s">
        <v>115</v>
      </c>
      <c r="J14" s="24" t="s">
        <v>21</v>
      </c>
      <c r="K14" s="24" t="s">
        <v>116</v>
      </c>
      <c r="L14" s="27">
        <f t="shared" si="3"/>
        <v>459999.99999999994</v>
      </c>
      <c r="M14" s="25">
        <v>32960</v>
      </c>
      <c r="N14" s="25" t="str">
        <f t="shared" si="4"/>
        <v>Cước vận chuyển cont vỏ 40' tuyến đường HECHUN-HAIAN  - Ngày 10/04/2026. Số xe: 15H07135</v>
      </c>
      <c r="O14" t="str">
        <f t="shared" si="0"/>
        <v xml:space="preserve"> vỏ </v>
      </c>
      <c r="P14" t="str">
        <f t="shared" si="1"/>
        <v xml:space="preserve">40' </v>
      </c>
      <c r="Q14">
        <f t="shared" si="2"/>
        <v>1</v>
      </c>
    </row>
    <row r="15" spans="1:17" x14ac:dyDescent="0.25">
      <c r="A15" s="28">
        <v>8</v>
      </c>
      <c r="B15" s="21" t="s">
        <v>165</v>
      </c>
      <c r="C15" s="22">
        <v>46122</v>
      </c>
      <c r="D15" s="23" t="s">
        <v>52</v>
      </c>
      <c r="E15" s="24"/>
      <c r="F15" s="24">
        <v>1</v>
      </c>
      <c r="G15" s="24"/>
      <c r="H15" s="24"/>
      <c r="I15" s="24" t="s">
        <v>115</v>
      </c>
      <c r="J15" s="24" t="s">
        <v>21</v>
      </c>
      <c r="K15" s="24" t="s">
        <v>116</v>
      </c>
      <c r="L15" s="27">
        <f t="shared" si="3"/>
        <v>459999.99999999994</v>
      </c>
      <c r="M15" s="25">
        <v>32960</v>
      </c>
      <c r="N15" s="25" t="str">
        <f t="shared" si="4"/>
        <v>Cước vận chuyển cont vỏ 40' tuyến đường HECHUN-HAIAN  - Ngày 10/04/2026. Số xe: 15H20645</v>
      </c>
      <c r="O15" t="str">
        <f t="shared" si="0"/>
        <v xml:space="preserve"> vỏ </v>
      </c>
      <c r="P15" t="str">
        <f t="shared" si="1"/>
        <v xml:space="preserve">40' </v>
      </c>
      <c r="Q15">
        <f t="shared" si="2"/>
        <v>1</v>
      </c>
    </row>
    <row r="16" spans="1:17" x14ac:dyDescent="0.25">
      <c r="A16" s="28">
        <v>9</v>
      </c>
      <c r="B16" s="21" t="s">
        <v>123</v>
      </c>
      <c r="C16" s="22">
        <v>46122</v>
      </c>
      <c r="D16" s="23" t="s">
        <v>53</v>
      </c>
      <c r="E16" s="24"/>
      <c r="F16" s="24">
        <v>1</v>
      </c>
      <c r="G16" s="24"/>
      <c r="H16" s="24"/>
      <c r="I16" s="24" t="s">
        <v>115</v>
      </c>
      <c r="J16" s="24" t="s">
        <v>21</v>
      </c>
      <c r="K16" s="24" t="s">
        <v>116</v>
      </c>
      <c r="L16" s="27">
        <f t="shared" si="3"/>
        <v>459999.99999999994</v>
      </c>
      <c r="M16" s="25">
        <v>32960</v>
      </c>
      <c r="N16" s="25" t="str">
        <f t="shared" si="4"/>
        <v>Cước vận chuyển cont vỏ 40' tuyến đường HECHUN-HAIAN  - Ngày 10/04/2026. Số xe: 15H18552</v>
      </c>
      <c r="O16" t="str">
        <f t="shared" si="0"/>
        <v xml:space="preserve"> vỏ </v>
      </c>
      <c r="P16" t="str">
        <f t="shared" si="1"/>
        <v xml:space="preserve">40' </v>
      </c>
      <c r="Q16">
        <f t="shared" si="2"/>
        <v>1</v>
      </c>
    </row>
    <row r="17" spans="1:17" x14ac:dyDescent="0.25">
      <c r="A17" s="28">
        <v>10</v>
      </c>
      <c r="B17" s="21" t="s">
        <v>121</v>
      </c>
      <c r="C17" s="22">
        <v>46122</v>
      </c>
      <c r="D17" s="23" t="s">
        <v>54</v>
      </c>
      <c r="E17" s="24"/>
      <c r="F17" s="24">
        <v>1</v>
      </c>
      <c r="G17" s="24"/>
      <c r="H17" s="24"/>
      <c r="I17" s="24" t="s">
        <v>115</v>
      </c>
      <c r="J17" s="24" t="s">
        <v>21</v>
      </c>
      <c r="K17" s="24" t="s">
        <v>116</v>
      </c>
      <c r="L17" s="27">
        <f t="shared" si="3"/>
        <v>459999.99999999994</v>
      </c>
      <c r="M17" s="25">
        <v>32960</v>
      </c>
      <c r="N17" s="25" t="str">
        <f t="shared" si="4"/>
        <v>Cước vận chuyển cont vỏ 40' tuyến đường HECHUN-HAIAN  - Ngày 10/04/2026. Số xe: 15H07524</v>
      </c>
      <c r="O17" t="str">
        <f t="shared" si="0"/>
        <v xml:space="preserve"> vỏ </v>
      </c>
      <c r="P17" t="str">
        <f t="shared" si="1"/>
        <v xml:space="preserve">40' </v>
      </c>
      <c r="Q17">
        <f t="shared" si="2"/>
        <v>1</v>
      </c>
    </row>
    <row r="18" spans="1:17" x14ac:dyDescent="0.25">
      <c r="A18" s="28">
        <v>11</v>
      </c>
      <c r="B18" s="21" t="s">
        <v>166</v>
      </c>
      <c r="C18" s="22">
        <v>46122</v>
      </c>
      <c r="D18" s="23" t="s">
        <v>55</v>
      </c>
      <c r="E18" s="24"/>
      <c r="F18" s="24">
        <v>1</v>
      </c>
      <c r="G18" s="24"/>
      <c r="H18" s="24"/>
      <c r="I18" s="24" t="s">
        <v>115</v>
      </c>
      <c r="J18" s="24" t="s">
        <v>21</v>
      </c>
      <c r="K18" s="24" t="s">
        <v>116</v>
      </c>
      <c r="L18" s="27">
        <f t="shared" si="3"/>
        <v>459999.99999999994</v>
      </c>
      <c r="M18" s="25">
        <v>32960</v>
      </c>
      <c r="N18" s="25" t="str">
        <f t="shared" si="4"/>
        <v>Cước vận chuyển cont vỏ 40' tuyến đường HECHUN-HAIAN  - Ngày 10/04/2026. Số xe: 15H17112</v>
      </c>
      <c r="O18" t="str">
        <f t="shared" si="0"/>
        <v xml:space="preserve"> vỏ </v>
      </c>
      <c r="P18" t="str">
        <f t="shared" si="1"/>
        <v xml:space="preserve">40' </v>
      </c>
      <c r="Q18">
        <f t="shared" si="2"/>
        <v>1</v>
      </c>
    </row>
    <row r="19" spans="1:17" x14ac:dyDescent="0.25">
      <c r="A19" s="28">
        <v>12</v>
      </c>
      <c r="B19" s="21" t="s">
        <v>166</v>
      </c>
      <c r="C19" s="22">
        <v>46122</v>
      </c>
      <c r="D19" s="23" t="s">
        <v>56</v>
      </c>
      <c r="E19" s="24"/>
      <c r="F19" s="24">
        <v>1</v>
      </c>
      <c r="G19" s="24"/>
      <c r="H19" s="24"/>
      <c r="I19" s="24" t="s">
        <v>115</v>
      </c>
      <c r="J19" s="24" t="s">
        <v>21</v>
      </c>
      <c r="K19" s="24" t="s">
        <v>116</v>
      </c>
      <c r="L19" s="27">
        <f t="shared" si="3"/>
        <v>459999.99999999994</v>
      </c>
      <c r="M19" s="25">
        <v>32960</v>
      </c>
      <c r="N19" s="25" t="str">
        <f t="shared" si="4"/>
        <v>Cước vận chuyển cont vỏ 40' tuyến đường HECHUN-HAIAN  - Ngày 10/04/2026. Số xe: 15H17112</v>
      </c>
      <c r="O19" t="str">
        <f t="shared" si="0"/>
        <v xml:space="preserve"> vỏ </v>
      </c>
      <c r="P19" t="str">
        <f t="shared" si="1"/>
        <v xml:space="preserve">40' </v>
      </c>
      <c r="Q19">
        <f t="shared" si="2"/>
        <v>1</v>
      </c>
    </row>
    <row r="20" spans="1:17" x14ac:dyDescent="0.25">
      <c r="A20" s="28">
        <v>13</v>
      </c>
      <c r="B20" s="21" t="s">
        <v>119</v>
      </c>
      <c r="C20" s="22">
        <v>46122</v>
      </c>
      <c r="D20" s="23" t="s">
        <v>57</v>
      </c>
      <c r="E20" s="24"/>
      <c r="F20" s="24">
        <v>1</v>
      </c>
      <c r="G20" s="24"/>
      <c r="H20" s="24"/>
      <c r="I20" s="24" t="s">
        <v>115</v>
      </c>
      <c r="J20" s="24" t="s">
        <v>21</v>
      </c>
      <c r="K20" s="24" t="s">
        <v>116</v>
      </c>
      <c r="L20" s="27">
        <f t="shared" si="3"/>
        <v>459999.99999999994</v>
      </c>
      <c r="M20" s="25">
        <v>32960</v>
      </c>
      <c r="N20" s="25" t="str">
        <f t="shared" si="4"/>
        <v>Cước vận chuyển cont vỏ 40' tuyến đường HECHUN-HAIAN  - Ngày 10/04/2026. Số xe: 15H17403</v>
      </c>
      <c r="O20" t="str">
        <f t="shared" si="0"/>
        <v xml:space="preserve"> vỏ </v>
      </c>
      <c r="P20" t="str">
        <f t="shared" si="1"/>
        <v xml:space="preserve">40' </v>
      </c>
      <c r="Q20">
        <f t="shared" si="2"/>
        <v>1</v>
      </c>
    </row>
    <row r="21" spans="1:17" x14ac:dyDescent="0.25">
      <c r="A21" s="28">
        <v>14</v>
      </c>
      <c r="B21" s="21" t="s">
        <v>125</v>
      </c>
      <c r="C21" s="22">
        <v>46122</v>
      </c>
      <c r="D21" s="23" t="s">
        <v>58</v>
      </c>
      <c r="E21" s="24"/>
      <c r="F21" s="24">
        <v>1</v>
      </c>
      <c r="G21" s="24"/>
      <c r="H21" s="24"/>
      <c r="I21" s="24" t="s">
        <v>115</v>
      </c>
      <c r="J21" s="24" t="s">
        <v>21</v>
      </c>
      <c r="K21" s="24" t="s">
        <v>116</v>
      </c>
      <c r="L21" s="27">
        <f t="shared" si="3"/>
        <v>459999.99999999994</v>
      </c>
      <c r="M21" s="25">
        <v>32960</v>
      </c>
      <c r="N21" s="25" t="str">
        <f t="shared" si="4"/>
        <v>Cước vận chuyển cont vỏ 40' tuyến đường HECHUN-HAIAN  - Ngày 10/04/2026. Số xe: 15H12925</v>
      </c>
      <c r="O21" t="str">
        <f t="shared" si="0"/>
        <v xml:space="preserve"> vỏ </v>
      </c>
      <c r="P21" t="str">
        <f t="shared" si="1"/>
        <v xml:space="preserve">40' </v>
      </c>
      <c r="Q21">
        <f t="shared" si="2"/>
        <v>1</v>
      </c>
    </row>
    <row r="22" spans="1:17" x14ac:dyDescent="0.25">
      <c r="A22" s="28">
        <v>15</v>
      </c>
      <c r="B22" s="21" t="s">
        <v>122</v>
      </c>
      <c r="C22" s="22">
        <v>46122</v>
      </c>
      <c r="D22" s="23" t="s">
        <v>59</v>
      </c>
      <c r="E22" s="24"/>
      <c r="F22" s="24">
        <v>1</v>
      </c>
      <c r="G22" s="24"/>
      <c r="H22" s="24"/>
      <c r="I22" s="24" t="s">
        <v>115</v>
      </c>
      <c r="J22" s="24" t="s">
        <v>21</v>
      </c>
      <c r="K22" s="24" t="s">
        <v>116</v>
      </c>
      <c r="L22" s="27">
        <f t="shared" si="3"/>
        <v>459999.99999999994</v>
      </c>
      <c r="M22" s="25">
        <v>32960</v>
      </c>
      <c r="N22" s="25" t="str">
        <f t="shared" si="4"/>
        <v>Cước vận chuyển cont vỏ 40' tuyến đường HECHUN-HAIAN  - Ngày 10/04/2026. Số xe: 15H07644</v>
      </c>
      <c r="O22" t="str">
        <f t="shared" si="0"/>
        <v xml:space="preserve"> vỏ </v>
      </c>
      <c r="P22" t="str">
        <f t="shared" si="1"/>
        <v xml:space="preserve">40' </v>
      </c>
      <c r="Q22">
        <f t="shared" si="2"/>
        <v>1</v>
      </c>
    </row>
    <row r="23" spans="1:17" x14ac:dyDescent="0.25">
      <c r="A23" s="28">
        <v>16</v>
      </c>
      <c r="B23" s="21" t="s">
        <v>127</v>
      </c>
      <c r="C23" s="22">
        <v>46122</v>
      </c>
      <c r="D23" s="23" t="s">
        <v>60</v>
      </c>
      <c r="E23" s="24"/>
      <c r="F23" s="24">
        <v>1</v>
      </c>
      <c r="G23" s="24"/>
      <c r="H23" s="24"/>
      <c r="I23" s="24" t="s">
        <v>115</v>
      </c>
      <c r="J23" s="24" t="s">
        <v>21</v>
      </c>
      <c r="K23" s="24" t="s">
        <v>116</v>
      </c>
      <c r="L23" s="27">
        <f t="shared" si="3"/>
        <v>459999.99999999994</v>
      </c>
      <c r="M23" s="25">
        <v>32960</v>
      </c>
      <c r="N23" s="25" t="str">
        <f t="shared" si="4"/>
        <v>Cước vận chuyển cont vỏ 40' tuyến đường HECHUN-HAIAN  - Ngày 10/04/2026. Số xe: 15H08574</v>
      </c>
      <c r="O23" t="str">
        <f t="shared" si="0"/>
        <v xml:space="preserve"> vỏ </v>
      </c>
      <c r="P23" t="str">
        <f t="shared" si="1"/>
        <v xml:space="preserve">40' </v>
      </c>
      <c r="Q23">
        <f t="shared" si="2"/>
        <v>1</v>
      </c>
    </row>
    <row r="24" spans="1:17" x14ac:dyDescent="0.25">
      <c r="A24" s="28">
        <v>17</v>
      </c>
      <c r="B24" s="21" t="s">
        <v>126</v>
      </c>
      <c r="C24" s="22">
        <v>46122</v>
      </c>
      <c r="D24" s="23" t="s">
        <v>61</v>
      </c>
      <c r="E24" s="24"/>
      <c r="F24" s="24">
        <v>1</v>
      </c>
      <c r="G24" s="24"/>
      <c r="H24" s="24"/>
      <c r="I24" s="24" t="s">
        <v>115</v>
      </c>
      <c r="J24" s="24" t="s">
        <v>21</v>
      </c>
      <c r="K24" s="24" t="s">
        <v>116</v>
      </c>
      <c r="L24" s="27">
        <f t="shared" si="3"/>
        <v>459999.99999999994</v>
      </c>
      <c r="M24" s="25">
        <v>32960</v>
      </c>
      <c r="N24" s="25" t="str">
        <f t="shared" si="4"/>
        <v>Cước vận chuyển cont vỏ 40' tuyến đường HECHUN-HAIAN  - Ngày 10/04/2026. Số xe: 15H07135</v>
      </c>
      <c r="O24" t="str">
        <f t="shared" si="0"/>
        <v xml:space="preserve"> vỏ </v>
      </c>
      <c r="P24" t="str">
        <f t="shared" si="1"/>
        <v xml:space="preserve">40' </v>
      </c>
      <c r="Q24">
        <f t="shared" si="2"/>
        <v>1</v>
      </c>
    </row>
    <row r="25" spans="1:17" x14ac:dyDescent="0.25">
      <c r="A25" s="28">
        <v>18</v>
      </c>
      <c r="B25" s="21" t="s">
        <v>124</v>
      </c>
      <c r="C25" s="22">
        <v>46122</v>
      </c>
      <c r="D25" s="23" t="s">
        <v>62</v>
      </c>
      <c r="E25" s="24"/>
      <c r="F25" s="24">
        <v>1</v>
      </c>
      <c r="G25" s="24"/>
      <c r="H25" s="24"/>
      <c r="I25" s="24" t="s">
        <v>115</v>
      </c>
      <c r="J25" s="24" t="s">
        <v>21</v>
      </c>
      <c r="K25" s="24" t="s">
        <v>116</v>
      </c>
      <c r="L25" s="27">
        <f t="shared" si="3"/>
        <v>459999.99999999994</v>
      </c>
      <c r="M25" s="25">
        <v>32960</v>
      </c>
      <c r="N25" s="25" t="str">
        <f t="shared" si="4"/>
        <v>Cước vận chuyển cont vỏ 40' tuyến đường HECHUN-HAIAN  - Ngày 10/04/2026. Số xe: 15C15033</v>
      </c>
      <c r="O25" t="str">
        <f t="shared" si="0"/>
        <v xml:space="preserve"> vỏ </v>
      </c>
      <c r="P25" t="str">
        <f t="shared" si="1"/>
        <v xml:space="preserve">40' </v>
      </c>
      <c r="Q25">
        <f t="shared" si="2"/>
        <v>1</v>
      </c>
    </row>
    <row r="26" spans="1:17" x14ac:dyDescent="0.25">
      <c r="A26" s="28">
        <v>19</v>
      </c>
      <c r="B26" s="21" t="s">
        <v>128</v>
      </c>
      <c r="C26" s="22">
        <v>46122</v>
      </c>
      <c r="D26" s="23" t="s">
        <v>63</v>
      </c>
      <c r="E26" s="24"/>
      <c r="F26" s="24">
        <v>1</v>
      </c>
      <c r="G26" s="24"/>
      <c r="H26" s="24"/>
      <c r="I26" s="24" t="s">
        <v>115</v>
      </c>
      <c r="J26" s="24" t="s">
        <v>21</v>
      </c>
      <c r="K26" s="24" t="s">
        <v>116</v>
      </c>
      <c r="L26" s="27">
        <f t="shared" si="3"/>
        <v>459999.99999999994</v>
      </c>
      <c r="M26" s="25">
        <v>32960</v>
      </c>
      <c r="N26" s="25" t="str">
        <f t="shared" si="4"/>
        <v>Cước vận chuyển cont vỏ 40' tuyến đường HECHUN-HAIAN  - Ngày 10/04/2026. Số xe: 15C09877</v>
      </c>
      <c r="O26" t="str">
        <f t="shared" si="0"/>
        <v xml:space="preserve"> vỏ </v>
      </c>
      <c r="P26" t="str">
        <f t="shared" si="1"/>
        <v xml:space="preserve">40' </v>
      </c>
      <c r="Q26">
        <f t="shared" si="2"/>
        <v>1</v>
      </c>
    </row>
    <row r="27" spans="1:17" x14ac:dyDescent="0.25">
      <c r="A27" s="28">
        <v>20</v>
      </c>
      <c r="B27" s="21" t="s">
        <v>167</v>
      </c>
      <c r="C27" s="22">
        <v>46122</v>
      </c>
      <c r="D27" s="23" t="s">
        <v>64</v>
      </c>
      <c r="E27" s="24"/>
      <c r="F27" s="24">
        <v>1</v>
      </c>
      <c r="G27" s="24"/>
      <c r="H27" s="24"/>
      <c r="I27" s="24" t="s">
        <v>115</v>
      </c>
      <c r="J27" s="24" t="s">
        <v>21</v>
      </c>
      <c r="K27" s="24" t="s">
        <v>116</v>
      </c>
      <c r="L27" s="27">
        <f t="shared" si="3"/>
        <v>459999.99999999994</v>
      </c>
      <c r="M27" s="25">
        <v>32960</v>
      </c>
      <c r="N27" s="25" t="str">
        <f t="shared" si="4"/>
        <v>Cước vận chuyển cont vỏ 40' tuyến đường HECHUN-HAIAN  - Ngày 10/04/2026. Số xe: 15C17442</v>
      </c>
      <c r="O27" t="str">
        <f t="shared" si="0"/>
        <v xml:space="preserve"> vỏ </v>
      </c>
      <c r="P27" t="str">
        <f t="shared" si="1"/>
        <v xml:space="preserve">40' </v>
      </c>
      <c r="Q27">
        <f t="shared" si="2"/>
        <v>1</v>
      </c>
    </row>
    <row r="28" spans="1:17" x14ac:dyDescent="0.25">
      <c r="A28" s="28">
        <v>21</v>
      </c>
      <c r="B28" s="21" t="s">
        <v>120</v>
      </c>
      <c r="C28" s="22">
        <v>46122</v>
      </c>
      <c r="D28" s="23" t="s">
        <v>65</v>
      </c>
      <c r="E28" s="24"/>
      <c r="F28" s="24">
        <v>1</v>
      </c>
      <c r="G28" s="24"/>
      <c r="H28" s="24"/>
      <c r="I28" s="24" t="s">
        <v>115</v>
      </c>
      <c r="J28" s="24" t="s">
        <v>21</v>
      </c>
      <c r="K28" s="24" t="s">
        <v>116</v>
      </c>
      <c r="L28" s="27">
        <f t="shared" si="3"/>
        <v>459999.99999999994</v>
      </c>
      <c r="M28" s="25">
        <v>32960</v>
      </c>
      <c r="N28" s="25" t="str">
        <f t="shared" si="4"/>
        <v>Cước vận chuyển cont vỏ 40' tuyến đường HECHUN-HAIAN  - Ngày 10/04/2026. Số xe: 15C17301</v>
      </c>
      <c r="O28" t="str">
        <f t="shared" si="0"/>
        <v xml:space="preserve"> vỏ </v>
      </c>
      <c r="P28" t="str">
        <f t="shared" si="1"/>
        <v xml:space="preserve">40' </v>
      </c>
      <c r="Q28">
        <f t="shared" si="2"/>
        <v>1</v>
      </c>
    </row>
    <row r="29" spans="1:17" x14ac:dyDescent="0.25">
      <c r="A29" s="28">
        <v>22</v>
      </c>
      <c r="B29" s="21" t="s">
        <v>121</v>
      </c>
      <c r="C29" s="22">
        <v>46122</v>
      </c>
      <c r="D29" s="23" t="s">
        <v>66</v>
      </c>
      <c r="E29" s="24"/>
      <c r="F29" s="24">
        <v>1</v>
      </c>
      <c r="G29" s="24"/>
      <c r="H29" s="24"/>
      <c r="I29" s="24" t="s">
        <v>115</v>
      </c>
      <c r="J29" s="24" t="s">
        <v>21</v>
      </c>
      <c r="K29" s="24" t="s">
        <v>116</v>
      </c>
      <c r="L29" s="27">
        <f t="shared" si="3"/>
        <v>459999.99999999994</v>
      </c>
      <c r="M29" s="25">
        <v>32960</v>
      </c>
      <c r="N29" s="25" t="str">
        <f t="shared" si="4"/>
        <v>Cước vận chuyển cont vỏ 40' tuyến đường HECHUN-HAIAN  - Ngày 10/04/2026. Số xe: 15H07524</v>
      </c>
      <c r="O29" t="str">
        <f t="shared" si="0"/>
        <v xml:space="preserve"> vỏ </v>
      </c>
      <c r="P29" t="str">
        <f t="shared" si="1"/>
        <v xml:space="preserve">40' </v>
      </c>
      <c r="Q29">
        <f t="shared" si="2"/>
        <v>1</v>
      </c>
    </row>
    <row r="30" spans="1:17" x14ac:dyDescent="0.25">
      <c r="A30" s="28">
        <v>23</v>
      </c>
      <c r="B30" s="21" t="s">
        <v>165</v>
      </c>
      <c r="C30" s="22">
        <v>46122</v>
      </c>
      <c r="D30" s="23" t="s">
        <v>67</v>
      </c>
      <c r="E30" s="24"/>
      <c r="F30" s="24">
        <v>1</v>
      </c>
      <c r="G30" s="24"/>
      <c r="H30" s="24"/>
      <c r="I30" s="24" t="s">
        <v>115</v>
      </c>
      <c r="J30" s="24" t="s">
        <v>21</v>
      </c>
      <c r="K30" s="24" t="s">
        <v>116</v>
      </c>
      <c r="L30" s="27">
        <f t="shared" si="3"/>
        <v>459999.99999999994</v>
      </c>
      <c r="M30" s="25">
        <v>32960</v>
      </c>
      <c r="N30" s="25" t="str">
        <f t="shared" si="4"/>
        <v>Cước vận chuyển cont vỏ 40' tuyến đường HECHUN-HAIAN  - Ngày 10/04/2026. Số xe: 15H20645</v>
      </c>
      <c r="O30" t="str">
        <f t="shared" si="0"/>
        <v xml:space="preserve"> vỏ </v>
      </c>
      <c r="P30" t="str">
        <f t="shared" si="1"/>
        <v xml:space="preserve">40' </v>
      </c>
      <c r="Q30">
        <f t="shared" si="2"/>
        <v>1</v>
      </c>
    </row>
    <row r="31" spans="1:17" x14ac:dyDescent="0.25">
      <c r="A31" s="28">
        <v>24</v>
      </c>
      <c r="B31" s="21" t="s">
        <v>123</v>
      </c>
      <c r="C31" s="22">
        <v>46122</v>
      </c>
      <c r="D31" s="23" t="s">
        <v>68</v>
      </c>
      <c r="E31" s="24"/>
      <c r="F31" s="24">
        <v>1</v>
      </c>
      <c r="G31" s="24"/>
      <c r="H31" s="24"/>
      <c r="I31" s="24" t="s">
        <v>115</v>
      </c>
      <c r="J31" s="24" t="s">
        <v>21</v>
      </c>
      <c r="K31" s="24" t="s">
        <v>116</v>
      </c>
      <c r="L31" s="27">
        <f t="shared" si="3"/>
        <v>459999.99999999994</v>
      </c>
      <c r="M31" s="25">
        <v>32960</v>
      </c>
      <c r="N31" s="25" t="str">
        <f t="shared" si="4"/>
        <v>Cước vận chuyển cont vỏ 40' tuyến đường HECHUN-HAIAN  - Ngày 10/04/2026. Số xe: 15H18552</v>
      </c>
      <c r="O31" t="str">
        <f t="shared" si="0"/>
        <v xml:space="preserve"> vỏ </v>
      </c>
      <c r="P31" t="str">
        <f t="shared" si="1"/>
        <v xml:space="preserve">40' </v>
      </c>
      <c r="Q31">
        <f t="shared" si="2"/>
        <v>1</v>
      </c>
    </row>
    <row r="32" spans="1:17" x14ac:dyDescent="0.25">
      <c r="A32" s="28">
        <v>25</v>
      </c>
      <c r="B32" s="21" t="s">
        <v>122</v>
      </c>
      <c r="C32" s="22">
        <v>46122</v>
      </c>
      <c r="D32" s="23" t="s">
        <v>69</v>
      </c>
      <c r="E32" s="24"/>
      <c r="F32" s="24">
        <v>1</v>
      </c>
      <c r="G32" s="24"/>
      <c r="H32" s="24"/>
      <c r="I32" s="24" t="s">
        <v>115</v>
      </c>
      <c r="J32" s="24" t="s">
        <v>21</v>
      </c>
      <c r="K32" s="24" t="s">
        <v>116</v>
      </c>
      <c r="L32" s="27">
        <f t="shared" si="3"/>
        <v>459999.99999999994</v>
      </c>
      <c r="M32" s="25">
        <v>32960</v>
      </c>
      <c r="N32" s="25" t="str">
        <f t="shared" si="4"/>
        <v>Cước vận chuyển cont vỏ 40' tuyến đường HECHUN-HAIAN  - Ngày 10/04/2026. Số xe: 15H07644</v>
      </c>
      <c r="O32" t="str">
        <f t="shared" si="0"/>
        <v xml:space="preserve"> vỏ </v>
      </c>
      <c r="P32" t="str">
        <f t="shared" si="1"/>
        <v xml:space="preserve">40' </v>
      </c>
      <c r="Q32">
        <f t="shared" si="2"/>
        <v>1</v>
      </c>
    </row>
    <row r="33" spans="1:17" x14ac:dyDescent="0.25">
      <c r="A33" s="28">
        <v>26</v>
      </c>
      <c r="B33" s="21" t="s">
        <v>120</v>
      </c>
      <c r="C33" s="22">
        <v>46122</v>
      </c>
      <c r="D33" s="23" t="s">
        <v>70</v>
      </c>
      <c r="E33" s="24"/>
      <c r="F33" s="24">
        <v>1</v>
      </c>
      <c r="G33" s="24"/>
      <c r="H33" s="24"/>
      <c r="I33" s="24" t="s">
        <v>115</v>
      </c>
      <c r="J33" s="24" t="s">
        <v>21</v>
      </c>
      <c r="K33" s="24" t="s">
        <v>116</v>
      </c>
      <c r="L33" s="27">
        <f t="shared" si="3"/>
        <v>459999.99999999994</v>
      </c>
      <c r="M33" s="25">
        <v>32960</v>
      </c>
      <c r="N33" s="25" t="str">
        <f t="shared" si="4"/>
        <v>Cước vận chuyển cont vỏ 40' tuyến đường HECHUN-HAIAN  - Ngày 10/04/2026. Số xe: 15C17301</v>
      </c>
      <c r="O33" t="str">
        <f t="shared" si="0"/>
        <v xml:space="preserve"> vỏ </v>
      </c>
      <c r="P33" t="str">
        <f t="shared" si="1"/>
        <v xml:space="preserve">40' </v>
      </c>
      <c r="Q33">
        <f t="shared" si="2"/>
        <v>1</v>
      </c>
    </row>
    <row r="34" spans="1:17" x14ac:dyDescent="0.25">
      <c r="A34" s="28">
        <v>27</v>
      </c>
      <c r="B34" s="21" t="s">
        <v>126</v>
      </c>
      <c r="C34" s="22">
        <v>46122</v>
      </c>
      <c r="D34" s="23" t="s">
        <v>71</v>
      </c>
      <c r="E34" s="24"/>
      <c r="F34" s="24">
        <v>1</v>
      </c>
      <c r="G34" s="24"/>
      <c r="H34" s="24"/>
      <c r="I34" s="24" t="s">
        <v>115</v>
      </c>
      <c r="J34" s="24" t="s">
        <v>21</v>
      </c>
      <c r="K34" s="24" t="s">
        <v>116</v>
      </c>
      <c r="L34" s="27">
        <f t="shared" si="3"/>
        <v>459999.99999999994</v>
      </c>
      <c r="M34" s="25">
        <v>32960</v>
      </c>
      <c r="N34" s="25" t="str">
        <f t="shared" si="4"/>
        <v>Cước vận chuyển cont vỏ 40' tuyến đường HECHUN-HAIAN  - Ngày 10/04/2026. Số xe: 15H07135</v>
      </c>
      <c r="O34" t="str">
        <f t="shared" si="0"/>
        <v xml:space="preserve"> vỏ </v>
      </c>
      <c r="P34" t="str">
        <f t="shared" si="1"/>
        <v xml:space="preserve">40' </v>
      </c>
      <c r="Q34">
        <f t="shared" si="2"/>
        <v>1</v>
      </c>
    </row>
    <row r="35" spans="1:17" x14ac:dyDescent="0.25">
      <c r="A35" s="28">
        <v>28</v>
      </c>
      <c r="B35" s="21" t="s">
        <v>125</v>
      </c>
      <c r="C35" s="22">
        <v>46122</v>
      </c>
      <c r="D35" s="23" t="s">
        <v>72</v>
      </c>
      <c r="E35" s="24"/>
      <c r="F35" s="24">
        <v>1</v>
      </c>
      <c r="G35" s="24"/>
      <c r="H35" s="24"/>
      <c r="I35" s="24" t="s">
        <v>115</v>
      </c>
      <c r="J35" s="24" t="s">
        <v>21</v>
      </c>
      <c r="K35" s="24" t="s">
        <v>116</v>
      </c>
      <c r="L35" s="27">
        <f t="shared" si="3"/>
        <v>459999.99999999994</v>
      </c>
      <c r="M35" s="25">
        <v>32960</v>
      </c>
      <c r="N35" s="25" t="str">
        <f t="shared" si="4"/>
        <v>Cước vận chuyển cont vỏ 40' tuyến đường HECHUN-HAIAN  - Ngày 10/04/2026. Số xe: 15H12925</v>
      </c>
      <c r="O35" t="str">
        <f t="shared" si="0"/>
        <v xml:space="preserve"> vỏ </v>
      </c>
      <c r="P35" t="str">
        <f t="shared" si="1"/>
        <v xml:space="preserve">40' </v>
      </c>
      <c r="Q35">
        <f t="shared" si="2"/>
        <v>1</v>
      </c>
    </row>
    <row r="36" spans="1:17" x14ac:dyDescent="0.25">
      <c r="A36" s="28">
        <v>29</v>
      </c>
      <c r="B36" s="21" t="s">
        <v>123</v>
      </c>
      <c r="C36" s="22">
        <v>46122</v>
      </c>
      <c r="D36" s="23" t="s">
        <v>73</v>
      </c>
      <c r="E36" s="24"/>
      <c r="F36" s="24">
        <v>1</v>
      </c>
      <c r="G36" s="24"/>
      <c r="H36" s="24"/>
      <c r="I36" s="24" t="s">
        <v>115</v>
      </c>
      <c r="J36" s="24" t="s">
        <v>21</v>
      </c>
      <c r="K36" s="24" t="s">
        <v>116</v>
      </c>
      <c r="L36" s="27">
        <f t="shared" si="3"/>
        <v>459999.99999999994</v>
      </c>
      <c r="M36" s="25">
        <v>32960</v>
      </c>
      <c r="N36" s="25" t="str">
        <f t="shared" si="4"/>
        <v>Cước vận chuyển cont vỏ 40' tuyến đường HECHUN-HAIAN  - Ngày 10/04/2026. Số xe: 15H18552</v>
      </c>
      <c r="O36" t="str">
        <f t="shared" si="0"/>
        <v xml:space="preserve"> vỏ </v>
      </c>
      <c r="P36" t="str">
        <f t="shared" si="1"/>
        <v xml:space="preserve">40' </v>
      </c>
      <c r="Q36">
        <f t="shared" si="2"/>
        <v>1</v>
      </c>
    </row>
    <row r="37" spans="1:17" x14ac:dyDescent="0.25">
      <c r="A37" s="28">
        <v>30</v>
      </c>
      <c r="B37" s="21" t="s">
        <v>119</v>
      </c>
      <c r="C37" s="22">
        <v>46122</v>
      </c>
      <c r="D37" s="23" t="s">
        <v>74</v>
      </c>
      <c r="E37" s="24"/>
      <c r="F37" s="24">
        <v>1</v>
      </c>
      <c r="G37" s="24"/>
      <c r="H37" s="24"/>
      <c r="I37" s="24" t="s">
        <v>115</v>
      </c>
      <c r="J37" s="24" t="s">
        <v>21</v>
      </c>
      <c r="K37" s="24" t="s">
        <v>116</v>
      </c>
      <c r="L37" s="27">
        <f t="shared" si="3"/>
        <v>459999.99999999994</v>
      </c>
      <c r="M37" s="25">
        <v>32960</v>
      </c>
      <c r="N37" s="25" t="str">
        <f t="shared" si="4"/>
        <v>Cước vận chuyển cont vỏ 40' tuyến đường HECHUN-HAIAN  - Ngày 10/04/2026. Số xe: 15H17403</v>
      </c>
      <c r="O37" t="str">
        <f t="shared" si="0"/>
        <v xml:space="preserve"> vỏ </v>
      </c>
      <c r="P37" t="str">
        <f t="shared" si="1"/>
        <v xml:space="preserve">40' </v>
      </c>
      <c r="Q37">
        <f t="shared" si="2"/>
        <v>1</v>
      </c>
    </row>
    <row r="38" spans="1:17" x14ac:dyDescent="0.25">
      <c r="A38" s="28">
        <v>31</v>
      </c>
      <c r="B38" s="21" t="s">
        <v>127</v>
      </c>
      <c r="C38" s="22">
        <v>46122</v>
      </c>
      <c r="D38" s="23" t="s">
        <v>75</v>
      </c>
      <c r="E38" s="24"/>
      <c r="F38" s="24">
        <v>1</v>
      </c>
      <c r="G38" s="24"/>
      <c r="H38" s="24"/>
      <c r="I38" s="24" t="s">
        <v>115</v>
      </c>
      <c r="J38" s="24" t="s">
        <v>21</v>
      </c>
      <c r="K38" s="24" t="s">
        <v>116</v>
      </c>
      <c r="L38" s="27">
        <f t="shared" si="3"/>
        <v>459999.99999999994</v>
      </c>
      <c r="M38" s="25">
        <v>32960</v>
      </c>
      <c r="N38" s="25" t="str">
        <f t="shared" si="4"/>
        <v>Cước vận chuyển cont vỏ 40' tuyến đường HECHUN-HAIAN  - Ngày 10/04/2026. Số xe: 15H08574</v>
      </c>
      <c r="O38" t="str">
        <f t="shared" si="0"/>
        <v xml:space="preserve"> vỏ </v>
      </c>
      <c r="P38" t="str">
        <f t="shared" si="1"/>
        <v xml:space="preserve">40' </v>
      </c>
      <c r="Q38">
        <f t="shared" si="2"/>
        <v>1</v>
      </c>
    </row>
    <row r="39" spans="1:17" x14ac:dyDescent="0.25">
      <c r="A39" s="28">
        <v>32</v>
      </c>
      <c r="B39" s="21" t="s">
        <v>123</v>
      </c>
      <c r="C39" s="22">
        <v>46122</v>
      </c>
      <c r="D39" s="23" t="s">
        <v>76</v>
      </c>
      <c r="E39" s="24"/>
      <c r="F39" s="24">
        <v>1</v>
      </c>
      <c r="G39" s="24"/>
      <c r="H39" s="24"/>
      <c r="I39" s="24" t="s">
        <v>115</v>
      </c>
      <c r="J39" s="24" t="s">
        <v>21</v>
      </c>
      <c r="K39" s="24" t="s">
        <v>116</v>
      </c>
      <c r="L39" s="27">
        <f t="shared" si="3"/>
        <v>459999.99999999994</v>
      </c>
      <c r="M39" s="25">
        <v>32960</v>
      </c>
      <c r="N39" s="25" t="str">
        <f t="shared" si="4"/>
        <v>Cước vận chuyển cont vỏ 40' tuyến đường HECHUN-HAIAN  - Ngày 10/04/2026. Số xe: 15H18552</v>
      </c>
      <c r="O39" t="str">
        <f t="shared" si="0"/>
        <v xml:space="preserve"> vỏ </v>
      </c>
      <c r="P39" t="str">
        <f t="shared" si="1"/>
        <v xml:space="preserve">40' </v>
      </c>
      <c r="Q39">
        <f t="shared" si="2"/>
        <v>1</v>
      </c>
    </row>
    <row r="40" spans="1:17" x14ac:dyDescent="0.25">
      <c r="A40" s="28">
        <v>33</v>
      </c>
      <c r="B40" s="21" t="s">
        <v>121</v>
      </c>
      <c r="C40" s="22">
        <v>46122</v>
      </c>
      <c r="D40" s="23" t="s">
        <v>77</v>
      </c>
      <c r="E40" s="24"/>
      <c r="F40" s="24">
        <v>1</v>
      </c>
      <c r="G40" s="24"/>
      <c r="H40" s="24"/>
      <c r="I40" s="24" t="s">
        <v>115</v>
      </c>
      <c r="J40" s="24" t="s">
        <v>21</v>
      </c>
      <c r="K40" s="24" t="s">
        <v>116</v>
      </c>
      <c r="L40" s="27">
        <f t="shared" si="3"/>
        <v>459999.99999999994</v>
      </c>
      <c r="M40" s="25">
        <v>32960</v>
      </c>
      <c r="N40" s="25" t="str">
        <f t="shared" si="4"/>
        <v>Cước vận chuyển cont vỏ 40' tuyến đường HECHUN-HAIAN  - Ngày 10/04/2026. Số xe: 15H07524</v>
      </c>
      <c r="O40" t="str">
        <f t="shared" si="0"/>
        <v xml:space="preserve"> vỏ </v>
      </c>
      <c r="P40" t="str">
        <f t="shared" si="1"/>
        <v xml:space="preserve">40' </v>
      </c>
      <c r="Q40">
        <f t="shared" si="2"/>
        <v>1</v>
      </c>
    </row>
    <row r="41" spans="1:17" x14ac:dyDescent="0.25">
      <c r="A41" s="28">
        <v>34</v>
      </c>
      <c r="B41" s="21" t="s">
        <v>117</v>
      </c>
      <c r="C41" s="22">
        <v>46122</v>
      </c>
      <c r="D41" s="23" t="s">
        <v>78</v>
      </c>
      <c r="E41" s="24"/>
      <c r="F41" s="24">
        <v>1</v>
      </c>
      <c r="G41" s="24"/>
      <c r="H41" s="24"/>
      <c r="I41" s="24" t="s">
        <v>115</v>
      </c>
      <c r="J41" s="24" t="s">
        <v>21</v>
      </c>
      <c r="K41" s="24" t="s">
        <v>116</v>
      </c>
      <c r="L41" s="27">
        <f t="shared" si="3"/>
        <v>459999.99999999994</v>
      </c>
      <c r="M41" s="25">
        <v>32960</v>
      </c>
      <c r="N41" s="25" t="str">
        <f t="shared" si="4"/>
        <v>Cước vận chuyển cont vỏ 40' tuyến đường HECHUN-HAIAN  - Ngày 10/04/2026. Số xe: 15H15378</v>
      </c>
      <c r="O41" t="str">
        <f t="shared" si="0"/>
        <v xml:space="preserve"> vỏ </v>
      </c>
      <c r="P41" t="str">
        <f t="shared" si="1"/>
        <v xml:space="preserve">40' </v>
      </c>
      <c r="Q41">
        <f t="shared" si="2"/>
        <v>1</v>
      </c>
    </row>
    <row r="42" spans="1:17" x14ac:dyDescent="0.25">
      <c r="A42" s="28">
        <v>35</v>
      </c>
      <c r="B42" s="21" t="s">
        <v>126</v>
      </c>
      <c r="C42" s="22">
        <v>46122</v>
      </c>
      <c r="D42" s="23" t="s">
        <v>79</v>
      </c>
      <c r="E42" s="24"/>
      <c r="F42" s="24">
        <v>1</v>
      </c>
      <c r="G42" s="24"/>
      <c r="H42" s="24"/>
      <c r="I42" s="24" t="s">
        <v>115</v>
      </c>
      <c r="J42" s="24" t="s">
        <v>21</v>
      </c>
      <c r="K42" s="24" t="s">
        <v>116</v>
      </c>
      <c r="L42" s="27">
        <f t="shared" si="3"/>
        <v>459999.99999999994</v>
      </c>
      <c r="M42" s="25">
        <v>32960</v>
      </c>
      <c r="N42" s="25" t="str">
        <f t="shared" si="4"/>
        <v>Cước vận chuyển cont vỏ 40' tuyến đường HECHUN-HAIAN  - Ngày 10/04/2026. Số xe: 15H07135</v>
      </c>
      <c r="O42" t="str">
        <f t="shared" si="0"/>
        <v xml:space="preserve"> vỏ </v>
      </c>
      <c r="P42" t="str">
        <f t="shared" si="1"/>
        <v xml:space="preserve">40' </v>
      </c>
      <c r="Q42">
        <f t="shared" si="2"/>
        <v>1</v>
      </c>
    </row>
    <row r="43" spans="1:17" x14ac:dyDescent="0.25">
      <c r="A43" s="28">
        <v>36</v>
      </c>
      <c r="B43" s="21" t="s">
        <v>119</v>
      </c>
      <c r="C43" s="22">
        <v>46122</v>
      </c>
      <c r="D43" s="23" t="s">
        <v>80</v>
      </c>
      <c r="E43" s="24"/>
      <c r="F43" s="24">
        <v>1</v>
      </c>
      <c r="G43" s="24"/>
      <c r="H43" s="24"/>
      <c r="I43" s="24" t="s">
        <v>115</v>
      </c>
      <c r="J43" s="24" t="s">
        <v>21</v>
      </c>
      <c r="K43" s="24" t="s">
        <v>116</v>
      </c>
      <c r="L43" s="27">
        <f t="shared" si="3"/>
        <v>459999.99999999994</v>
      </c>
      <c r="M43" s="25">
        <v>32960</v>
      </c>
      <c r="N43" s="25" t="str">
        <f t="shared" si="4"/>
        <v>Cước vận chuyển cont vỏ 40' tuyến đường HECHUN-HAIAN  - Ngày 10/04/2026. Số xe: 15H17403</v>
      </c>
      <c r="O43" t="str">
        <f t="shared" si="0"/>
        <v xml:space="preserve"> vỏ </v>
      </c>
      <c r="P43" t="str">
        <f t="shared" si="1"/>
        <v xml:space="preserve">40' </v>
      </c>
      <c r="Q43">
        <f t="shared" si="2"/>
        <v>1</v>
      </c>
    </row>
    <row r="44" spans="1:17" x14ac:dyDescent="0.25">
      <c r="A44" s="28">
        <v>37</v>
      </c>
      <c r="B44" s="21" t="s">
        <v>128</v>
      </c>
      <c r="C44" s="22">
        <v>46122</v>
      </c>
      <c r="D44" s="23" t="s">
        <v>81</v>
      </c>
      <c r="E44" s="24"/>
      <c r="F44" s="24">
        <v>1</v>
      </c>
      <c r="G44" s="24"/>
      <c r="H44" s="24"/>
      <c r="I44" s="24" t="s">
        <v>115</v>
      </c>
      <c r="J44" s="24" t="s">
        <v>21</v>
      </c>
      <c r="K44" s="24" t="s">
        <v>116</v>
      </c>
      <c r="L44" s="27">
        <f t="shared" si="3"/>
        <v>459999.99999999994</v>
      </c>
      <c r="M44" s="25">
        <v>32960</v>
      </c>
      <c r="N44" s="25" t="str">
        <f t="shared" si="4"/>
        <v>Cước vận chuyển cont vỏ 40' tuyến đường HECHUN-HAIAN  - Ngày 10/04/2026. Số xe: 15C09877</v>
      </c>
      <c r="O44" t="str">
        <f t="shared" si="0"/>
        <v xml:space="preserve"> vỏ </v>
      </c>
      <c r="P44" t="str">
        <f t="shared" si="1"/>
        <v xml:space="preserve">40' </v>
      </c>
      <c r="Q44">
        <f t="shared" si="2"/>
        <v>1</v>
      </c>
    </row>
    <row r="45" spans="1:17" x14ac:dyDescent="0.25">
      <c r="A45" s="28">
        <v>38</v>
      </c>
      <c r="B45" s="21" t="s">
        <v>125</v>
      </c>
      <c r="C45" s="22">
        <v>46122</v>
      </c>
      <c r="D45" s="23" t="s">
        <v>82</v>
      </c>
      <c r="E45" s="24"/>
      <c r="F45" s="24">
        <v>1</v>
      </c>
      <c r="G45" s="24"/>
      <c r="H45" s="24"/>
      <c r="I45" s="24" t="s">
        <v>115</v>
      </c>
      <c r="J45" s="24" t="s">
        <v>21</v>
      </c>
      <c r="K45" s="24" t="s">
        <v>116</v>
      </c>
      <c r="L45" s="27">
        <f t="shared" si="3"/>
        <v>459999.99999999994</v>
      </c>
      <c r="M45" s="25">
        <v>32960</v>
      </c>
      <c r="N45" s="25" t="str">
        <f t="shared" si="4"/>
        <v>Cước vận chuyển cont vỏ 40' tuyến đường HECHUN-HAIAN  - Ngày 10/04/2026. Số xe: 15H12925</v>
      </c>
      <c r="O45" t="str">
        <f t="shared" si="0"/>
        <v xml:space="preserve"> vỏ </v>
      </c>
      <c r="P45" t="str">
        <f t="shared" si="1"/>
        <v xml:space="preserve">40' </v>
      </c>
      <c r="Q45">
        <f t="shared" si="2"/>
        <v>1</v>
      </c>
    </row>
    <row r="46" spans="1:17" x14ac:dyDescent="0.25">
      <c r="A46" s="28">
        <v>39</v>
      </c>
      <c r="B46" s="21" t="s">
        <v>165</v>
      </c>
      <c r="C46" s="22">
        <v>46122</v>
      </c>
      <c r="D46" s="23" t="s">
        <v>83</v>
      </c>
      <c r="E46" s="24"/>
      <c r="F46" s="24">
        <v>1</v>
      </c>
      <c r="G46" s="24"/>
      <c r="H46" s="24"/>
      <c r="I46" s="24" t="s">
        <v>115</v>
      </c>
      <c r="J46" s="24" t="s">
        <v>21</v>
      </c>
      <c r="K46" s="24" t="s">
        <v>116</v>
      </c>
      <c r="L46" s="27">
        <f t="shared" si="3"/>
        <v>459999.99999999994</v>
      </c>
      <c r="M46" s="25">
        <v>32960</v>
      </c>
      <c r="N46" s="25" t="str">
        <f t="shared" si="4"/>
        <v>Cước vận chuyển cont vỏ 40' tuyến đường HECHUN-HAIAN  - Ngày 10/04/2026. Số xe: 15H20645</v>
      </c>
      <c r="O46" t="str">
        <f t="shared" si="0"/>
        <v xml:space="preserve"> vỏ </v>
      </c>
      <c r="P46" t="str">
        <f t="shared" si="1"/>
        <v xml:space="preserve">40' </v>
      </c>
      <c r="Q46">
        <f t="shared" si="2"/>
        <v>1</v>
      </c>
    </row>
    <row r="47" spans="1:17" x14ac:dyDescent="0.25">
      <c r="A47" s="28">
        <v>40</v>
      </c>
      <c r="B47" s="21" t="s">
        <v>122</v>
      </c>
      <c r="C47" s="22">
        <v>46122</v>
      </c>
      <c r="D47" s="23" t="s">
        <v>84</v>
      </c>
      <c r="E47" s="24"/>
      <c r="F47" s="24">
        <v>1</v>
      </c>
      <c r="G47" s="24"/>
      <c r="H47" s="24"/>
      <c r="I47" s="24" t="s">
        <v>115</v>
      </c>
      <c r="J47" s="24" t="s">
        <v>21</v>
      </c>
      <c r="K47" s="24" t="s">
        <v>116</v>
      </c>
      <c r="L47" s="27">
        <f t="shared" si="3"/>
        <v>459999.99999999994</v>
      </c>
      <c r="M47" s="25">
        <v>32960</v>
      </c>
      <c r="N47" s="25" t="str">
        <f t="shared" si="4"/>
        <v>Cước vận chuyển cont vỏ 40' tuyến đường HECHUN-HAIAN  - Ngày 10/04/2026. Số xe: 15H07644</v>
      </c>
      <c r="O47" t="str">
        <f t="shared" si="0"/>
        <v xml:space="preserve"> vỏ </v>
      </c>
      <c r="P47" t="str">
        <f t="shared" si="1"/>
        <v xml:space="preserve">40' </v>
      </c>
      <c r="Q47">
        <f t="shared" si="2"/>
        <v>1</v>
      </c>
    </row>
    <row r="48" spans="1:17" x14ac:dyDescent="0.25">
      <c r="A48" s="28">
        <v>41</v>
      </c>
      <c r="B48" s="21" t="s">
        <v>119</v>
      </c>
      <c r="C48" s="22">
        <v>46122</v>
      </c>
      <c r="D48" s="23" t="s">
        <v>85</v>
      </c>
      <c r="E48" s="24"/>
      <c r="F48" s="24">
        <v>1</v>
      </c>
      <c r="G48" s="24"/>
      <c r="H48" s="24"/>
      <c r="I48" s="24" t="s">
        <v>115</v>
      </c>
      <c r="J48" s="24" t="s">
        <v>21</v>
      </c>
      <c r="K48" s="24" t="s">
        <v>116</v>
      </c>
      <c r="L48" s="27">
        <f t="shared" si="3"/>
        <v>459999.99999999994</v>
      </c>
      <c r="M48" s="25">
        <v>32960</v>
      </c>
      <c r="N48" s="25" t="str">
        <f t="shared" si="4"/>
        <v>Cước vận chuyển cont vỏ 40' tuyến đường HECHUN-HAIAN  - Ngày 10/04/2026. Số xe: 15H17403</v>
      </c>
      <c r="O48" t="str">
        <f t="shared" si="0"/>
        <v xml:space="preserve"> vỏ </v>
      </c>
      <c r="P48" t="str">
        <f t="shared" si="1"/>
        <v xml:space="preserve">40' </v>
      </c>
      <c r="Q48">
        <f t="shared" si="2"/>
        <v>1</v>
      </c>
    </row>
    <row r="49" spans="1:17" x14ac:dyDescent="0.25">
      <c r="A49" s="28">
        <v>42</v>
      </c>
      <c r="B49" s="21" t="s">
        <v>126</v>
      </c>
      <c r="C49" s="22">
        <v>46122</v>
      </c>
      <c r="D49" s="23" t="s">
        <v>86</v>
      </c>
      <c r="E49" s="24"/>
      <c r="F49" s="24">
        <v>1</v>
      </c>
      <c r="G49" s="24"/>
      <c r="H49" s="24"/>
      <c r="I49" s="24" t="s">
        <v>115</v>
      </c>
      <c r="J49" s="24" t="s">
        <v>21</v>
      </c>
      <c r="K49" s="24" t="s">
        <v>116</v>
      </c>
      <c r="L49" s="27">
        <f t="shared" si="3"/>
        <v>459999.99999999994</v>
      </c>
      <c r="M49" s="25">
        <v>32960</v>
      </c>
      <c r="N49" s="25" t="str">
        <f t="shared" si="4"/>
        <v>Cước vận chuyển cont vỏ 40' tuyến đường HECHUN-HAIAN  - Ngày 10/04/2026. Số xe: 15H07135</v>
      </c>
      <c r="O49" t="str">
        <f t="shared" si="0"/>
        <v xml:space="preserve"> vỏ </v>
      </c>
      <c r="P49" t="str">
        <f t="shared" si="1"/>
        <v xml:space="preserve">40' </v>
      </c>
      <c r="Q49">
        <f t="shared" si="2"/>
        <v>1</v>
      </c>
    </row>
    <row r="50" spans="1:17" x14ac:dyDescent="0.25">
      <c r="A50" s="28">
        <v>43</v>
      </c>
      <c r="B50" s="21" t="s">
        <v>166</v>
      </c>
      <c r="C50" s="22">
        <v>46122</v>
      </c>
      <c r="D50" s="23" t="s">
        <v>87</v>
      </c>
      <c r="E50" s="24"/>
      <c r="F50" s="24">
        <v>1</v>
      </c>
      <c r="G50" s="24"/>
      <c r="H50" s="24"/>
      <c r="I50" s="24" t="s">
        <v>115</v>
      </c>
      <c r="J50" s="24" t="s">
        <v>21</v>
      </c>
      <c r="K50" s="24" t="s">
        <v>116</v>
      </c>
      <c r="L50" s="27">
        <f t="shared" si="3"/>
        <v>459999.99999999994</v>
      </c>
      <c r="M50" s="25">
        <v>32960</v>
      </c>
      <c r="N50" s="25" t="str">
        <f t="shared" si="4"/>
        <v>Cước vận chuyển cont vỏ 40' tuyến đường HECHUN-HAIAN  - Ngày 10/04/2026. Số xe: 15H17112</v>
      </c>
      <c r="O50" t="str">
        <f t="shared" si="0"/>
        <v xml:space="preserve"> vỏ </v>
      </c>
      <c r="P50" t="str">
        <f t="shared" si="1"/>
        <v xml:space="preserve">40' </v>
      </c>
      <c r="Q50">
        <f t="shared" si="2"/>
        <v>1</v>
      </c>
    </row>
    <row r="51" spans="1:17" x14ac:dyDescent="0.25">
      <c r="A51" s="28">
        <v>44</v>
      </c>
      <c r="B51" s="21" t="s">
        <v>124</v>
      </c>
      <c r="C51" s="22">
        <v>46122</v>
      </c>
      <c r="D51" s="23" t="s">
        <v>88</v>
      </c>
      <c r="E51" s="24"/>
      <c r="F51" s="24">
        <v>1</v>
      </c>
      <c r="G51" s="24"/>
      <c r="H51" s="24"/>
      <c r="I51" s="24" t="s">
        <v>115</v>
      </c>
      <c r="J51" s="24" t="s">
        <v>21</v>
      </c>
      <c r="K51" s="24" t="s">
        <v>116</v>
      </c>
      <c r="L51" s="27">
        <f t="shared" si="3"/>
        <v>459999.99999999994</v>
      </c>
      <c r="M51" s="25">
        <v>32960</v>
      </c>
      <c r="N51" s="25" t="str">
        <f t="shared" si="4"/>
        <v>Cước vận chuyển cont vỏ 40' tuyến đường HECHUN-HAIAN  - Ngày 10/04/2026. Số xe: 15C15033</v>
      </c>
      <c r="O51" t="str">
        <f t="shared" si="0"/>
        <v xml:space="preserve"> vỏ </v>
      </c>
      <c r="P51" t="str">
        <f t="shared" si="1"/>
        <v xml:space="preserve">40' </v>
      </c>
      <c r="Q51">
        <f t="shared" si="2"/>
        <v>1</v>
      </c>
    </row>
    <row r="52" spans="1:17" x14ac:dyDescent="0.25">
      <c r="A52" s="28">
        <v>45</v>
      </c>
      <c r="B52" s="21" t="s">
        <v>128</v>
      </c>
      <c r="C52" s="22">
        <v>46122</v>
      </c>
      <c r="D52" s="23" t="s">
        <v>89</v>
      </c>
      <c r="E52" s="24"/>
      <c r="F52" s="24">
        <v>1</v>
      </c>
      <c r="G52" s="24"/>
      <c r="H52" s="24"/>
      <c r="I52" s="24" t="s">
        <v>115</v>
      </c>
      <c r="J52" s="24" t="s">
        <v>21</v>
      </c>
      <c r="K52" s="24" t="s">
        <v>116</v>
      </c>
      <c r="L52" s="27">
        <f t="shared" si="3"/>
        <v>459999.99999999994</v>
      </c>
      <c r="M52" s="25">
        <v>32960</v>
      </c>
      <c r="N52" s="25" t="str">
        <f t="shared" si="4"/>
        <v>Cước vận chuyển cont vỏ 40' tuyến đường HECHUN-HAIAN  - Ngày 10/04/2026. Số xe: 15C09877</v>
      </c>
      <c r="O52" t="str">
        <f t="shared" ref="O52:O77" si="5">IF(E52+F52=1," vỏ "," hàng ")</f>
        <v xml:space="preserve"> vỏ </v>
      </c>
      <c r="P52" t="str">
        <f t="shared" ref="P52:P77" si="6">IF(E52+G52=1,"20' ","40' ")</f>
        <v xml:space="preserve">40' </v>
      </c>
      <c r="Q52">
        <f t="shared" ref="Q52:Q77" si="7">E52/2+F52+G52+H52</f>
        <v>1</v>
      </c>
    </row>
    <row r="53" spans="1:17" x14ac:dyDescent="0.25">
      <c r="A53" s="28">
        <v>46</v>
      </c>
      <c r="B53" s="21" t="s">
        <v>167</v>
      </c>
      <c r="C53" s="22">
        <v>46122</v>
      </c>
      <c r="D53" s="23" t="s">
        <v>90</v>
      </c>
      <c r="E53" s="24"/>
      <c r="F53" s="24">
        <v>1</v>
      </c>
      <c r="G53" s="24"/>
      <c r="H53" s="24"/>
      <c r="I53" s="24" t="s">
        <v>115</v>
      </c>
      <c r="J53" s="24" t="s">
        <v>21</v>
      </c>
      <c r="K53" s="24" t="s">
        <v>116</v>
      </c>
      <c r="L53" s="27">
        <f t="shared" si="3"/>
        <v>459999.99999999994</v>
      </c>
      <c r="M53" s="25">
        <v>32960</v>
      </c>
      <c r="N53" s="25" t="str">
        <f t="shared" si="4"/>
        <v>Cước vận chuyển cont vỏ 40' tuyến đường HECHUN-HAIAN  - Ngày 10/04/2026. Số xe: 15C17442</v>
      </c>
      <c r="O53" t="str">
        <f t="shared" si="5"/>
        <v xml:space="preserve"> vỏ </v>
      </c>
      <c r="P53" t="str">
        <f t="shared" si="6"/>
        <v xml:space="preserve">40' </v>
      </c>
      <c r="Q53">
        <f t="shared" si="7"/>
        <v>1</v>
      </c>
    </row>
    <row r="54" spans="1:17" x14ac:dyDescent="0.25">
      <c r="A54" s="28">
        <v>47</v>
      </c>
      <c r="B54" s="21" t="s">
        <v>123</v>
      </c>
      <c r="C54" s="22">
        <v>46122</v>
      </c>
      <c r="D54" s="23" t="s">
        <v>91</v>
      </c>
      <c r="E54" s="24"/>
      <c r="F54" s="24">
        <v>1</v>
      </c>
      <c r="G54" s="24"/>
      <c r="H54" s="24"/>
      <c r="I54" s="24" t="s">
        <v>115</v>
      </c>
      <c r="J54" s="24" t="s">
        <v>21</v>
      </c>
      <c r="K54" s="24" t="s">
        <v>116</v>
      </c>
      <c r="L54" s="27">
        <f t="shared" si="3"/>
        <v>459999.99999999994</v>
      </c>
      <c r="M54" s="25">
        <v>32960</v>
      </c>
      <c r="N54" s="25" t="str">
        <f t="shared" si="4"/>
        <v>Cước vận chuyển cont vỏ 40' tuyến đường HECHUN-HAIAN  - Ngày 10/04/2026. Số xe: 15H18552</v>
      </c>
      <c r="O54" t="str">
        <f t="shared" si="5"/>
        <v xml:space="preserve"> vỏ </v>
      </c>
      <c r="P54" t="str">
        <f t="shared" si="6"/>
        <v xml:space="preserve">40' </v>
      </c>
      <c r="Q54">
        <f t="shared" si="7"/>
        <v>1</v>
      </c>
    </row>
    <row r="55" spans="1:17" x14ac:dyDescent="0.25">
      <c r="A55" s="28">
        <v>48</v>
      </c>
      <c r="B55" s="21" t="s">
        <v>121</v>
      </c>
      <c r="C55" s="22">
        <v>46122</v>
      </c>
      <c r="D55" s="23" t="s">
        <v>92</v>
      </c>
      <c r="E55" s="24"/>
      <c r="F55" s="24">
        <v>1</v>
      </c>
      <c r="G55" s="24"/>
      <c r="H55" s="24"/>
      <c r="I55" s="24" t="s">
        <v>115</v>
      </c>
      <c r="J55" s="24" t="s">
        <v>21</v>
      </c>
      <c r="K55" s="24" t="s">
        <v>116</v>
      </c>
      <c r="L55" s="27">
        <f t="shared" si="3"/>
        <v>459999.99999999994</v>
      </c>
      <c r="M55" s="25">
        <v>32960</v>
      </c>
      <c r="N55" s="25" t="str">
        <f t="shared" si="4"/>
        <v>Cước vận chuyển cont vỏ 40' tuyến đường HECHUN-HAIAN  - Ngày 10/04/2026. Số xe: 15H07524</v>
      </c>
      <c r="O55" t="str">
        <f t="shared" si="5"/>
        <v xml:space="preserve"> vỏ </v>
      </c>
      <c r="P55" t="str">
        <f t="shared" si="6"/>
        <v xml:space="preserve">40' </v>
      </c>
      <c r="Q55">
        <f t="shared" si="7"/>
        <v>1</v>
      </c>
    </row>
    <row r="56" spans="1:17" x14ac:dyDescent="0.25">
      <c r="A56" s="28">
        <v>49</v>
      </c>
      <c r="B56" s="21" t="s">
        <v>127</v>
      </c>
      <c r="C56" s="22">
        <v>46122</v>
      </c>
      <c r="D56" s="23" t="s">
        <v>93</v>
      </c>
      <c r="E56" s="24"/>
      <c r="F56" s="24">
        <v>1</v>
      </c>
      <c r="G56" s="24"/>
      <c r="H56" s="24"/>
      <c r="I56" s="24" t="s">
        <v>115</v>
      </c>
      <c r="J56" s="24" t="s">
        <v>21</v>
      </c>
      <c r="K56" s="24" t="s">
        <v>116</v>
      </c>
      <c r="L56" s="27">
        <f t="shared" si="3"/>
        <v>459999.99999999994</v>
      </c>
      <c r="M56" s="25">
        <v>32960</v>
      </c>
      <c r="N56" s="25" t="str">
        <f t="shared" si="4"/>
        <v>Cước vận chuyển cont vỏ 40' tuyến đường HECHUN-HAIAN  - Ngày 10/04/2026. Số xe: 15H08574</v>
      </c>
      <c r="O56" t="str">
        <f t="shared" si="5"/>
        <v xml:space="preserve"> vỏ </v>
      </c>
      <c r="P56" t="str">
        <f t="shared" si="6"/>
        <v xml:space="preserve">40' </v>
      </c>
      <c r="Q56">
        <f t="shared" si="7"/>
        <v>1</v>
      </c>
    </row>
    <row r="57" spans="1:17" x14ac:dyDescent="0.25">
      <c r="A57" s="28">
        <v>50</v>
      </c>
      <c r="B57" s="21" t="s">
        <v>121</v>
      </c>
      <c r="C57" s="22">
        <v>46122</v>
      </c>
      <c r="D57" s="23" t="s">
        <v>94</v>
      </c>
      <c r="E57" s="24"/>
      <c r="F57" s="24">
        <v>1</v>
      </c>
      <c r="G57" s="24"/>
      <c r="H57" s="24"/>
      <c r="I57" s="24" t="s">
        <v>115</v>
      </c>
      <c r="J57" s="24" t="s">
        <v>21</v>
      </c>
      <c r="K57" s="24" t="s">
        <v>116</v>
      </c>
      <c r="L57" s="27">
        <f t="shared" si="3"/>
        <v>459999.99999999994</v>
      </c>
      <c r="M57" s="25">
        <v>32960</v>
      </c>
      <c r="N57" s="25" t="str">
        <f t="shared" si="4"/>
        <v>Cước vận chuyển cont vỏ 40' tuyến đường HECHUN-HAIAN  - Ngày 10/04/2026. Số xe: 15H07524</v>
      </c>
      <c r="O57" t="str">
        <f t="shared" si="5"/>
        <v xml:space="preserve"> vỏ </v>
      </c>
      <c r="P57" t="str">
        <f t="shared" si="6"/>
        <v xml:space="preserve">40' </v>
      </c>
      <c r="Q57">
        <f t="shared" si="7"/>
        <v>1</v>
      </c>
    </row>
    <row r="58" spans="1:17" x14ac:dyDescent="0.25">
      <c r="A58" s="28">
        <v>51</v>
      </c>
      <c r="B58" s="21" t="s">
        <v>165</v>
      </c>
      <c r="C58" s="22">
        <v>46122</v>
      </c>
      <c r="D58" s="23" t="s">
        <v>95</v>
      </c>
      <c r="E58" s="24"/>
      <c r="F58" s="24">
        <v>1</v>
      </c>
      <c r="G58" s="24"/>
      <c r="H58" s="24"/>
      <c r="I58" s="24" t="s">
        <v>115</v>
      </c>
      <c r="J58" s="24" t="s">
        <v>21</v>
      </c>
      <c r="K58" s="24" t="s">
        <v>116</v>
      </c>
      <c r="L58" s="27">
        <f t="shared" si="3"/>
        <v>459999.99999999994</v>
      </c>
      <c r="M58" s="25">
        <v>32960</v>
      </c>
      <c r="N58" s="25" t="str">
        <f t="shared" si="4"/>
        <v>Cước vận chuyển cont vỏ 40' tuyến đường HECHUN-HAIAN  - Ngày 10/04/2026. Số xe: 15H20645</v>
      </c>
      <c r="O58" t="str">
        <f t="shared" si="5"/>
        <v xml:space="preserve"> vỏ </v>
      </c>
      <c r="P58" t="str">
        <f t="shared" si="6"/>
        <v xml:space="preserve">40' </v>
      </c>
      <c r="Q58">
        <f t="shared" si="7"/>
        <v>1</v>
      </c>
    </row>
    <row r="59" spans="1:17" x14ac:dyDescent="0.25">
      <c r="A59" s="28">
        <v>52</v>
      </c>
      <c r="B59" s="21" t="s">
        <v>123</v>
      </c>
      <c r="C59" s="22">
        <v>46122</v>
      </c>
      <c r="D59" s="23" t="s">
        <v>96</v>
      </c>
      <c r="E59" s="24"/>
      <c r="F59" s="24">
        <v>1</v>
      </c>
      <c r="G59" s="24"/>
      <c r="H59" s="24"/>
      <c r="I59" s="24" t="s">
        <v>115</v>
      </c>
      <c r="J59" s="24" t="s">
        <v>21</v>
      </c>
      <c r="K59" s="24" t="s">
        <v>116</v>
      </c>
      <c r="L59" s="27">
        <f t="shared" si="3"/>
        <v>459999.99999999994</v>
      </c>
      <c r="M59" s="25">
        <v>32960</v>
      </c>
      <c r="N59" s="25" t="str">
        <f t="shared" si="4"/>
        <v>Cước vận chuyển cont vỏ 40' tuyến đường HECHUN-HAIAN  - Ngày 10/04/2026. Số xe: 15H18552</v>
      </c>
      <c r="O59" t="str">
        <f t="shared" si="5"/>
        <v xml:space="preserve"> vỏ </v>
      </c>
      <c r="P59" t="str">
        <f t="shared" si="6"/>
        <v xml:space="preserve">40' </v>
      </c>
      <c r="Q59">
        <f t="shared" si="7"/>
        <v>1</v>
      </c>
    </row>
    <row r="60" spans="1:17" x14ac:dyDescent="0.25">
      <c r="A60" s="28">
        <v>53</v>
      </c>
      <c r="B60" s="21" t="s">
        <v>120</v>
      </c>
      <c r="C60" s="22">
        <v>46122</v>
      </c>
      <c r="D60" s="23" t="s">
        <v>97</v>
      </c>
      <c r="E60" s="24"/>
      <c r="F60" s="24">
        <v>1</v>
      </c>
      <c r="G60" s="24"/>
      <c r="H60" s="24"/>
      <c r="I60" s="24" t="s">
        <v>115</v>
      </c>
      <c r="J60" s="24" t="s">
        <v>21</v>
      </c>
      <c r="K60" s="24" t="s">
        <v>116</v>
      </c>
      <c r="L60" s="27">
        <f t="shared" si="3"/>
        <v>459999.99999999994</v>
      </c>
      <c r="M60" s="25">
        <v>32960</v>
      </c>
      <c r="N60" s="25" t="str">
        <f t="shared" si="4"/>
        <v>Cước vận chuyển cont vỏ 40' tuyến đường HECHUN-HAIAN  - Ngày 10/04/2026. Số xe: 15C17301</v>
      </c>
      <c r="O60" t="str">
        <f t="shared" si="5"/>
        <v xml:space="preserve"> vỏ </v>
      </c>
      <c r="P60" t="str">
        <f t="shared" si="6"/>
        <v xml:space="preserve">40' </v>
      </c>
      <c r="Q60">
        <f t="shared" si="7"/>
        <v>1</v>
      </c>
    </row>
    <row r="61" spans="1:17" x14ac:dyDescent="0.25">
      <c r="A61" s="28">
        <v>54</v>
      </c>
      <c r="B61" s="21" t="s">
        <v>118</v>
      </c>
      <c r="C61" s="22">
        <v>46122</v>
      </c>
      <c r="D61" s="23" t="s">
        <v>98</v>
      </c>
      <c r="E61" s="24"/>
      <c r="F61" s="24">
        <v>1</v>
      </c>
      <c r="G61" s="24"/>
      <c r="H61" s="24"/>
      <c r="I61" s="24" t="s">
        <v>115</v>
      </c>
      <c r="J61" s="24" t="s">
        <v>21</v>
      </c>
      <c r="K61" s="24" t="s">
        <v>116</v>
      </c>
      <c r="L61" s="27">
        <f t="shared" si="3"/>
        <v>459999.99999999994</v>
      </c>
      <c r="M61" s="25">
        <v>32960</v>
      </c>
      <c r="N61" s="25" t="str">
        <f t="shared" si="4"/>
        <v>Cước vận chuyển cont vỏ 40' tuyến đường HECHUN-HAIAN  - Ngày 10/04/2026. Số xe: 15H07788</v>
      </c>
      <c r="O61" t="str">
        <f t="shared" si="5"/>
        <v xml:space="preserve"> vỏ </v>
      </c>
      <c r="P61" t="str">
        <f t="shared" si="6"/>
        <v xml:space="preserve">40' </v>
      </c>
      <c r="Q61">
        <f t="shared" si="7"/>
        <v>1</v>
      </c>
    </row>
    <row r="62" spans="1:17" x14ac:dyDescent="0.25">
      <c r="A62" s="28">
        <v>55</v>
      </c>
      <c r="B62" s="21" t="s">
        <v>128</v>
      </c>
      <c r="C62" s="22">
        <v>46122</v>
      </c>
      <c r="D62" s="23" t="s">
        <v>99</v>
      </c>
      <c r="E62" s="24"/>
      <c r="F62" s="24">
        <v>1</v>
      </c>
      <c r="G62" s="24"/>
      <c r="H62" s="24"/>
      <c r="I62" s="24" t="s">
        <v>115</v>
      </c>
      <c r="J62" s="24" t="s">
        <v>21</v>
      </c>
      <c r="K62" s="24" t="s">
        <v>116</v>
      </c>
      <c r="L62" s="27">
        <f t="shared" si="3"/>
        <v>459999.99999999994</v>
      </c>
      <c r="M62" s="25">
        <v>32960</v>
      </c>
      <c r="N62" s="25" t="str">
        <f t="shared" si="4"/>
        <v>Cước vận chuyển cont vỏ 40' tuyến đường HECHUN-HAIAN  - Ngày 10/04/2026. Số xe: 15C09877</v>
      </c>
      <c r="O62" t="str">
        <f t="shared" si="5"/>
        <v xml:space="preserve"> vỏ </v>
      </c>
      <c r="P62" t="str">
        <f t="shared" si="6"/>
        <v xml:space="preserve">40' </v>
      </c>
      <c r="Q62">
        <f t="shared" si="7"/>
        <v>1</v>
      </c>
    </row>
    <row r="63" spans="1:17" x14ac:dyDescent="0.25">
      <c r="A63" s="28">
        <v>56</v>
      </c>
      <c r="B63" s="21" t="s">
        <v>124</v>
      </c>
      <c r="C63" s="22">
        <v>46122</v>
      </c>
      <c r="D63" s="23" t="s">
        <v>100</v>
      </c>
      <c r="E63" s="24"/>
      <c r="F63" s="24">
        <v>1</v>
      </c>
      <c r="G63" s="24"/>
      <c r="H63" s="24"/>
      <c r="I63" s="24" t="s">
        <v>115</v>
      </c>
      <c r="J63" s="24" t="s">
        <v>21</v>
      </c>
      <c r="K63" s="24" t="s">
        <v>116</v>
      </c>
      <c r="L63" s="27">
        <f t="shared" si="3"/>
        <v>459999.99999999994</v>
      </c>
      <c r="M63" s="25">
        <v>32960</v>
      </c>
      <c r="N63" s="25" t="str">
        <f t="shared" si="4"/>
        <v>Cước vận chuyển cont vỏ 40' tuyến đường HECHUN-HAIAN  - Ngày 10/04/2026. Số xe: 15C15033</v>
      </c>
      <c r="O63" t="str">
        <f t="shared" si="5"/>
        <v xml:space="preserve"> vỏ </v>
      </c>
      <c r="P63" t="str">
        <f t="shared" si="6"/>
        <v xml:space="preserve">40' </v>
      </c>
      <c r="Q63">
        <f t="shared" si="7"/>
        <v>1</v>
      </c>
    </row>
    <row r="64" spans="1:17" x14ac:dyDescent="0.25">
      <c r="A64" s="28">
        <v>57</v>
      </c>
      <c r="B64" s="21" t="s">
        <v>128</v>
      </c>
      <c r="C64" s="22">
        <v>46122</v>
      </c>
      <c r="D64" s="23" t="s">
        <v>101</v>
      </c>
      <c r="E64" s="24"/>
      <c r="F64" s="24">
        <v>1</v>
      </c>
      <c r="G64" s="24"/>
      <c r="H64" s="24"/>
      <c r="I64" s="24" t="s">
        <v>115</v>
      </c>
      <c r="J64" s="24" t="s">
        <v>21</v>
      </c>
      <c r="K64" s="24" t="s">
        <v>116</v>
      </c>
      <c r="L64" s="27">
        <f t="shared" si="3"/>
        <v>459999.99999999994</v>
      </c>
      <c r="M64" s="25">
        <v>32960</v>
      </c>
      <c r="N64" s="25" t="str">
        <f t="shared" si="4"/>
        <v>Cước vận chuyển cont vỏ 40' tuyến đường HECHUN-HAIAN  - Ngày 10/04/2026. Số xe: 15C09877</v>
      </c>
      <c r="O64" t="str">
        <f t="shared" si="5"/>
        <v xml:space="preserve"> vỏ </v>
      </c>
      <c r="P64" t="str">
        <f t="shared" si="6"/>
        <v xml:space="preserve">40' </v>
      </c>
      <c r="Q64">
        <f t="shared" si="7"/>
        <v>1</v>
      </c>
    </row>
    <row r="65" spans="1:17" x14ac:dyDescent="0.25">
      <c r="A65" s="28">
        <v>58</v>
      </c>
      <c r="B65" s="21" t="s">
        <v>125</v>
      </c>
      <c r="C65" s="22">
        <v>46122</v>
      </c>
      <c r="D65" s="23" t="s">
        <v>102</v>
      </c>
      <c r="E65" s="24"/>
      <c r="F65" s="24">
        <v>1</v>
      </c>
      <c r="G65" s="24"/>
      <c r="H65" s="24"/>
      <c r="I65" s="24" t="s">
        <v>115</v>
      </c>
      <c r="J65" s="24" t="s">
        <v>21</v>
      </c>
      <c r="K65" s="24" t="s">
        <v>116</v>
      </c>
      <c r="L65" s="27">
        <f t="shared" si="3"/>
        <v>459999.99999999994</v>
      </c>
      <c r="M65" s="25">
        <v>32960</v>
      </c>
      <c r="N65" s="25" t="str">
        <f t="shared" si="4"/>
        <v>Cước vận chuyển cont vỏ 40' tuyến đường HECHUN-HAIAN  - Ngày 10/04/2026. Số xe: 15H12925</v>
      </c>
      <c r="O65" t="str">
        <f t="shared" si="5"/>
        <v xml:space="preserve"> vỏ </v>
      </c>
      <c r="P65" t="str">
        <f t="shared" si="6"/>
        <v xml:space="preserve">40' </v>
      </c>
      <c r="Q65">
        <f t="shared" si="7"/>
        <v>1</v>
      </c>
    </row>
    <row r="66" spans="1:17" x14ac:dyDescent="0.25">
      <c r="A66" s="28">
        <v>59</v>
      </c>
      <c r="B66" s="21" t="s">
        <v>166</v>
      </c>
      <c r="C66" s="22">
        <v>46122</v>
      </c>
      <c r="D66" s="23" t="s">
        <v>103</v>
      </c>
      <c r="E66" s="24"/>
      <c r="F66" s="24">
        <v>1</v>
      </c>
      <c r="G66" s="24"/>
      <c r="H66" s="24"/>
      <c r="I66" s="24" t="s">
        <v>115</v>
      </c>
      <c r="J66" s="24" t="s">
        <v>21</v>
      </c>
      <c r="K66" s="24" t="s">
        <v>116</v>
      </c>
      <c r="L66" s="27">
        <f t="shared" si="3"/>
        <v>459999.99999999994</v>
      </c>
      <c r="M66" s="25">
        <v>32960</v>
      </c>
      <c r="N66" s="25" t="str">
        <f t="shared" si="4"/>
        <v>Cước vận chuyển cont vỏ 40' tuyến đường HECHUN-HAIAN  - Ngày 10/04/2026. Số xe: 15H17112</v>
      </c>
      <c r="O66" t="str">
        <f t="shared" si="5"/>
        <v xml:space="preserve"> vỏ </v>
      </c>
      <c r="P66" t="str">
        <f t="shared" si="6"/>
        <v xml:space="preserve">40' </v>
      </c>
      <c r="Q66">
        <f t="shared" si="7"/>
        <v>1</v>
      </c>
    </row>
    <row r="67" spans="1:17" x14ac:dyDescent="0.25">
      <c r="A67" s="28">
        <v>60</v>
      </c>
      <c r="B67" s="21" t="s">
        <v>167</v>
      </c>
      <c r="C67" s="22">
        <v>46122</v>
      </c>
      <c r="D67" s="23" t="s">
        <v>104</v>
      </c>
      <c r="E67" s="24"/>
      <c r="F67" s="24">
        <v>1</v>
      </c>
      <c r="G67" s="24"/>
      <c r="H67" s="24"/>
      <c r="I67" s="24" t="s">
        <v>115</v>
      </c>
      <c r="J67" s="24" t="s">
        <v>21</v>
      </c>
      <c r="K67" s="24" t="s">
        <v>116</v>
      </c>
      <c r="L67" s="27">
        <f t="shared" si="3"/>
        <v>459999.99999999994</v>
      </c>
      <c r="M67" s="25">
        <v>32960</v>
      </c>
      <c r="N67" s="25" t="str">
        <f t="shared" si="4"/>
        <v>Cước vận chuyển cont vỏ 40' tuyến đường HECHUN-HAIAN  - Ngày 10/04/2026. Số xe: 15C17442</v>
      </c>
      <c r="O67" t="str">
        <f t="shared" si="5"/>
        <v xml:space="preserve"> vỏ </v>
      </c>
      <c r="P67" t="str">
        <f t="shared" si="6"/>
        <v xml:space="preserve">40' </v>
      </c>
      <c r="Q67">
        <f t="shared" si="7"/>
        <v>1</v>
      </c>
    </row>
    <row r="68" spans="1:17" x14ac:dyDescent="0.25">
      <c r="A68" s="28">
        <v>61</v>
      </c>
      <c r="B68" s="21" t="s">
        <v>127</v>
      </c>
      <c r="C68" s="22">
        <v>46122</v>
      </c>
      <c r="D68" s="23" t="s">
        <v>105</v>
      </c>
      <c r="E68" s="24"/>
      <c r="F68" s="24">
        <v>1</v>
      </c>
      <c r="G68" s="24"/>
      <c r="H68" s="24"/>
      <c r="I68" s="24" t="s">
        <v>115</v>
      </c>
      <c r="J68" s="24" t="s">
        <v>21</v>
      </c>
      <c r="K68" s="24" t="s">
        <v>116</v>
      </c>
      <c r="L68" s="27">
        <f t="shared" si="3"/>
        <v>459999.99999999994</v>
      </c>
      <c r="M68" s="25">
        <v>32960</v>
      </c>
      <c r="N68" s="25" t="str">
        <f t="shared" si="4"/>
        <v>Cước vận chuyển cont vỏ 40' tuyến đường HECHUN-HAIAN  - Ngày 10/04/2026. Số xe: 15H08574</v>
      </c>
      <c r="O68" t="str">
        <f t="shared" si="5"/>
        <v xml:space="preserve"> vỏ </v>
      </c>
      <c r="P68" t="str">
        <f t="shared" si="6"/>
        <v xml:space="preserve">40' </v>
      </c>
      <c r="Q68">
        <f t="shared" si="7"/>
        <v>1</v>
      </c>
    </row>
    <row r="69" spans="1:17" x14ac:dyDescent="0.25">
      <c r="A69" s="28">
        <v>62</v>
      </c>
      <c r="B69" s="21" t="s">
        <v>126</v>
      </c>
      <c r="C69" s="22">
        <v>46122</v>
      </c>
      <c r="D69" s="23" t="s">
        <v>106</v>
      </c>
      <c r="E69" s="24"/>
      <c r="F69" s="24">
        <v>1</v>
      </c>
      <c r="G69" s="24"/>
      <c r="H69" s="24"/>
      <c r="I69" s="24" t="s">
        <v>115</v>
      </c>
      <c r="J69" s="24" t="s">
        <v>21</v>
      </c>
      <c r="K69" s="24" t="s">
        <v>116</v>
      </c>
      <c r="L69" s="27">
        <f t="shared" si="3"/>
        <v>459999.99999999994</v>
      </c>
      <c r="M69" s="25">
        <v>32960</v>
      </c>
      <c r="N69" s="25" t="str">
        <f t="shared" si="4"/>
        <v>Cước vận chuyển cont vỏ 40' tuyến đường HECHUN-HAIAN  - Ngày 10/04/2026. Số xe: 15H07135</v>
      </c>
      <c r="O69" t="str">
        <f t="shared" si="5"/>
        <v xml:space="preserve"> vỏ </v>
      </c>
      <c r="P69" t="str">
        <f t="shared" si="6"/>
        <v xml:space="preserve">40' </v>
      </c>
      <c r="Q69">
        <f t="shared" si="7"/>
        <v>1</v>
      </c>
    </row>
    <row r="70" spans="1:17" x14ac:dyDescent="0.25">
      <c r="A70" s="28">
        <v>63</v>
      </c>
      <c r="B70" s="21" t="s">
        <v>118</v>
      </c>
      <c r="C70" s="22">
        <v>46122</v>
      </c>
      <c r="D70" s="23" t="s">
        <v>107</v>
      </c>
      <c r="E70" s="24"/>
      <c r="F70" s="24">
        <v>1</v>
      </c>
      <c r="G70" s="24"/>
      <c r="H70" s="24"/>
      <c r="I70" s="24" t="s">
        <v>115</v>
      </c>
      <c r="J70" s="24" t="s">
        <v>21</v>
      </c>
      <c r="K70" s="24" t="s">
        <v>116</v>
      </c>
      <c r="L70" s="27">
        <f t="shared" si="3"/>
        <v>459999.99999999994</v>
      </c>
      <c r="M70" s="25">
        <v>32960</v>
      </c>
      <c r="N70" s="25" t="str">
        <f t="shared" si="4"/>
        <v>Cước vận chuyển cont vỏ 40' tuyến đường HECHUN-HAIAN  - Ngày 10/04/2026. Số xe: 15H07788</v>
      </c>
      <c r="O70" t="str">
        <f t="shared" si="5"/>
        <v xml:space="preserve"> vỏ </v>
      </c>
      <c r="P70" t="str">
        <f t="shared" si="6"/>
        <v xml:space="preserve">40' </v>
      </c>
      <c r="Q70">
        <f t="shared" si="7"/>
        <v>1</v>
      </c>
    </row>
    <row r="71" spans="1:17" x14ac:dyDescent="0.25">
      <c r="A71" s="28">
        <v>64</v>
      </c>
      <c r="B71" s="21" t="s">
        <v>124</v>
      </c>
      <c r="C71" s="22">
        <v>46122</v>
      </c>
      <c r="D71" s="23" t="s">
        <v>108</v>
      </c>
      <c r="E71" s="24"/>
      <c r="F71" s="24">
        <v>1</v>
      </c>
      <c r="G71" s="24"/>
      <c r="H71" s="24"/>
      <c r="I71" s="24" t="s">
        <v>115</v>
      </c>
      <c r="J71" s="24" t="s">
        <v>21</v>
      </c>
      <c r="K71" s="24" t="s">
        <v>116</v>
      </c>
      <c r="L71" s="27">
        <f t="shared" si="3"/>
        <v>459999.99999999994</v>
      </c>
      <c r="M71" s="25">
        <v>32960</v>
      </c>
      <c r="N71" s="25" t="str">
        <f t="shared" si="4"/>
        <v>Cước vận chuyển cont vỏ 40' tuyến đường HECHUN-HAIAN  - Ngày 10/04/2026. Số xe: 15C15033</v>
      </c>
      <c r="O71" t="str">
        <f t="shared" si="5"/>
        <v xml:space="preserve"> vỏ </v>
      </c>
      <c r="P71" t="str">
        <f t="shared" si="6"/>
        <v xml:space="preserve">40' </v>
      </c>
      <c r="Q71">
        <f t="shared" si="7"/>
        <v>1</v>
      </c>
    </row>
    <row r="72" spans="1:17" x14ac:dyDescent="0.25">
      <c r="A72" s="28">
        <v>65</v>
      </c>
      <c r="B72" s="21" t="s">
        <v>121</v>
      </c>
      <c r="C72" s="22">
        <v>46122</v>
      </c>
      <c r="D72" s="23" t="s">
        <v>109</v>
      </c>
      <c r="E72" s="24"/>
      <c r="F72" s="24">
        <v>1</v>
      </c>
      <c r="G72" s="24"/>
      <c r="H72" s="24"/>
      <c r="I72" s="24" t="s">
        <v>115</v>
      </c>
      <c r="J72" s="24" t="s">
        <v>21</v>
      </c>
      <c r="K72" s="24" t="s">
        <v>116</v>
      </c>
      <c r="L72" s="27">
        <f t="shared" si="3"/>
        <v>459999.99999999994</v>
      </c>
      <c r="M72" s="25">
        <v>32960</v>
      </c>
      <c r="N72" s="25" t="str">
        <f t="shared" si="4"/>
        <v>Cước vận chuyển cont vỏ 40' tuyến đường HECHUN-HAIAN  - Ngày 10/04/2026. Số xe: 15H07524</v>
      </c>
      <c r="O72" t="str">
        <f t="shared" si="5"/>
        <v xml:space="preserve"> vỏ </v>
      </c>
      <c r="P72" t="str">
        <f t="shared" si="6"/>
        <v xml:space="preserve">40' </v>
      </c>
      <c r="Q72">
        <f t="shared" si="7"/>
        <v>1</v>
      </c>
    </row>
    <row r="73" spans="1:17" x14ac:dyDescent="0.25">
      <c r="A73" s="28">
        <v>66</v>
      </c>
      <c r="B73" s="21" t="s">
        <v>120</v>
      </c>
      <c r="C73" s="22">
        <v>46122</v>
      </c>
      <c r="D73" s="23" t="s">
        <v>110</v>
      </c>
      <c r="E73" s="24"/>
      <c r="F73" s="24">
        <v>1</v>
      </c>
      <c r="G73" s="24"/>
      <c r="H73" s="24"/>
      <c r="I73" s="24" t="s">
        <v>115</v>
      </c>
      <c r="J73" s="24" t="s">
        <v>21</v>
      </c>
      <c r="K73" s="24" t="s">
        <v>116</v>
      </c>
      <c r="L73" s="27">
        <f t="shared" ref="L73:L77" si="8">400000*115%</f>
        <v>459999.99999999994</v>
      </c>
      <c r="M73" s="25">
        <v>32960</v>
      </c>
      <c r="N73" s="25" t="str">
        <f t="shared" ref="N73:N77" si="9">$N$7&amp;O73&amp;P73&amp;$N$6&amp;K73&amp;" - Ngày 10/04/2026"&amp;$O$7&amp;B73</f>
        <v>Cước vận chuyển cont vỏ 40' tuyến đường HECHUN-HAIAN  - Ngày 10/04/2026. Số xe: 15C17301</v>
      </c>
      <c r="O73" t="str">
        <f t="shared" si="5"/>
        <v xml:space="preserve"> vỏ </v>
      </c>
      <c r="P73" t="str">
        <f t="shared" si="6"/>
        <v xml:space="preserve">40' </v>
      </c>
      <c r="Q73">
        <f t="shared" si="7"/>
        <v>1</v>
      </c>
    </row>
    <row r="74" spans="1:17" x14ac:dyDescent="0.25">
      <c r="A74" s="28">
        <v>67</v>
      </c>
      <c r="B74" s="21" t="s">
        <v>165</v>
      </c>
      <c r="C74" s="22">
        <v>46122</v>
      </c>
      <c r="D74" s="23" t="s">
        <v>111</v>
      </c>
      <c r="E74" s="24"/>
      <c r="F74" s="24">
        <v>1</v>
      </c>
      <c r="G74" s="24"/>
      <c r="H74" s="24"/>
      <c r="I74" s="24" t="s">
        <v>115</v>
      </c>
      <c r="J74" s="24" t="s">
        <v>21</v>
      </c>
      <c r="K74" s="24" t="s">
        <v>116</v>
      </c>
      <c r="L74" s="27">
        <f t="shared" si="8"/>
        <v>459999.99999999994</v>
      </c>
      <c r="M74" s="25">
        <v>32960</v>
      </c>
      <c r="N74" s="25" t="str">
        <f t="shared" si="9"/>
        <v>Cước vận chuyển cont vỏ 40' tuyến đường HECHUN-HAIAN  - Ngày 10/04/2026. Số xe: 15H20645</v>
      </c>
      <c r="O74" t="str">
        <f t="shared" si="5"/>
        <v xml:space="preserve"> vỏ </v>
      </c>
      <c r="P74" t="str">
        <f t="shared" si="6"/>
        <v xml:space="preserve">40' </v>
      </c>
      <c r="Q74">
        <f t="shared" si="7"/>
        <v>1</v>
      </c>
    </row>
    <row r="75" spans="1:17" x14ac:dyDescent="0.25">
      <c r="A75" s="28">
        <v>68</v>
      </c>
      <c r="B75" s="21" t="s">
        <v>123</v>
      </c>
      <c r="C75" s="22">
        <v>46122</v>
      </c>
      <c r="D75" s="23" t="s">
        <v>112</v>
      </c>
      <c r="E75" s="24"/>
      <c r="F75" s="24">
        <v>1</v>
      </c>
      <c r="G75" s="24"/>
      <c r="H75" s="24"/>
      <c r="I75" s="24" t="s">
        <v>115</v>
      </c>
      <c r="J75" s="24" t="s">
        <v>21</v>
      </c>
      <c r="K75" s="24" t="s">
        <v>116</v>
      </c>
      <c r="L75" s="27">
        <f t="shared" si="8"/>
        <v>459999.99999999994</v>
      </c>
      <c r="M75" s="25">
        <v>32960</v>
      </c>
      <c r="N75" s="25" t="str">
        <f t="shared" si="9"/>
        <v>Cước vận chuyển cont vỏ 40' tuyến đường HECHUN-HAIAN  - Ngày 10/04/2026. Số xe: 15H18552</v>
      </c>
      <c r="O75" t="str">
        <f t="shared" si="5"/>
        <v xml:space="preserve"> vỏ </v>
      </c>
      <c r="P75" t="str">
        <f t="shared" si="6"/>
        <v xml:space="preserve">40' </v>
      </c>
      <c r="Q75">
        <f t="shared" si="7"/>
        <v>1</v>
      </c>
    </row>
    <row r="76" spans="1:17" x14ac:dyDescent="0.25">
      <c r="A76" s="28">
        <v>69</v>
      </c>
      <c r="B76" s="21" t="s">
        <v>125</v>
      </c>
      <c r="C76" s="22">
        <v>46122</v>
      </c>
      <c r="D76" s="23" t="s">
        <v>113</v>
      </c>
      <c r="E76" s="24"/>
      <c r="F76" s="24">
        <v>1</v>
      </c>
      <c r="G76" s="24"/>
      <c r="H76" s="24"/>
      <c r="I76" s="24" t="s">
        <v>115</v>
      </c>
      <c r="J76" s="24" t="s">
        <v>21</v>
      </c>
      <c r="K76" s="24" t="s">
        <v>116</v>
      </c>
      <c r="L76" s="27">
        <f t="shared" si="8"/>
        <v>459999.99999999994</v>
      </c>
      <c r="M76" s="25">
        <v>32960</v>
      </c>
      <c r="N76" s="25" t="str">
        <f t="shared" si="9"/>
        <v>Cước vận chuyển cont vỏ 40' tuyến đường HECHUN-HAIAN  - Ngày 10/04/2026. Số xe: 15H12925</v>
      </c>
      <c r="O76" t="str">
        <f t="shared" si="5"/>
        <v xml:space="preserve"> vỏ </v>
      </c>
      <c r="P76" t="str">
        <f t="shared" si="6"/>
        <v xml:space="preserve">40' </v>
      </c>
      <c r="Q76">
        <f t="shared" si="7"/>
        <v>1</v>
      </c>
    </row>
    <row r="77" spans="1:17" x14ac:dyDescent="0.25">
      <c r="A77" s="28">
        <v>70</v>
      </c>
      <c r="B77" s="21" t="s">
        <v>128</v>
      </c>
      <c r="C77" s="30">
        <v>46122</v>
      </c>
      <c r="D77" s="31" t="s">
        <v>114</v>
      </c>
      <c r="E77" s="32"/>
      <c r="F77" s="32">
        <v>1</v>
      </c>
      <c r="G77" s="32"/>
      <c r="H77" s="32"/>
      <c r="I77" s="32" t="s">
        <v>115</v>
      </c>
      <c r="J77" s="32" t="s">
        <v>21</v>
      </c>
      <c r="K77" s="32" t="s">
        <v>116</v>
      </c>
      <c r="L77" s="27">
        <f t="shared" si="8"/>
        <v>459999.99999999994</v>
      </c>
      <c r="M77" s="25">
        <v>32960</v>
      </c>
      <c r="N77" s="25" t="str">
        <f t="shared" si="9"/>
        <v>Cước vận chuyển cont vỏ 40' tuyến đường HECHUN-HAIAN  - Ngày 10/04/2026. Số xe: 15C09877</v>
      </c>
      <c r="O77" t="str">
        <f t="shared" si="5"/>
        <v xml:space="preserve"> vỏ </v>
      </c>
      <c r="P77" t="str">
        <f t="shared" si="6"/>
        <v xml:space="preserve">40' </v>
      </c>
      <c r="Q77">
        <f t="shared" si="7"/>
        <v>1</v>
      </c>
    </row>
    <row r="78" spans="1:17" x14ac:dyDescent="0.25">
      <c r="A78" s="14"/>
      <c r="B78" s="46"/>
      <c r="C78" s="46"/>
      <c r="D78" s="47"/>
      <c r="E78" s="15">
        <f>SUM(E8:E77)</f>
        <v>0</v>
      </c>
      <c r="F78" s="15">
        <f>SUM(F8:F77)</f>
        <v>70</v>
      </c>
      <c r="G78" s="15">
        <f>SUM(G8:G77)</f>
        <v>0</v>
      </c>
      <c r="H78" s="15">
        <f>SUM(H8:H77)</f>
        <v>0</v>
      </c>
      <c r="I78" s="16">
        <f>SUM(E78:H78)</f>
        <v>70</v>
      </c>
      <c r="J78" s="16"/>
      <c r="K78" s="17"/>
      <c r="L78" s="20">
        <f>SUM(L8:L77)</f>
        <v>32199999.999999996</v>
      </c>
      <c r="M78" s="25"/>
    </row>
    <row r="79" spans="1:17" x14ac:dyDescent="0.25">
      <c r="A79" s="14"/>
      <c r="B79" s="44"/>
      <c r="C79" s="44"/>
      <c r="D79" s="45"/>
      <c r="E79" s="18"/>
      <c r="F79" s="18"/>
      <c r="G79" s="18"/>
      <c r="H79" s="18"/>
      <c r="I79" s="18"/>
      <c r="J79" s="18"/>
      <c r="K79" s="17"/>
      <c r="L79" s="20">
        <f>L78*8%</f>
        <v>2575999.9999999995</v>
      </c>
      <c r="M79" s="25"/>
    </row>
    <row r="80" spans="1:17" x14ac:dyDescent="0.25">
      <c r="A80" s="14"/>
      <c r="B80" s="44"/>
      <c r="C80" s="44"/>
      <c r="D80" s="45"/>
      <c r="E80" s="18"/>
      <c r="F80" s="18"/>
      <c r="G80" s="18"/>
      <c r="H80" s="18"/>
      <c r="I80" s="18"/>
      <c r="J80" s="18"/>
      <c r="K80" s="17"/>
      <c r="L80" s="20">
        <f>SUM(L78:L79)</f>
        <v>34775999.999999993</v>
      </c>
      <c r="M80" s="29"/>
      <c r="N80" s="26"/>
    </row>
    <row r="81" spans="1:14" x14ac:dyDescent="0.25">
      <c r="B81" s="19" t="s">
        <v>16</v>
      </c>
      <c r="M81" s="25"/>
    </row>
    <row r="82" spans="1:14" x14ac:dyDescent="0.25">
      <c r="M82" s="25"/>
      <c r="N82" s="26"/>
    </row>
    <row r="83" spans="1:14" ht="36.75" customHeight="1" x14ac:dyDescent="0.25">
      <c r="A83" s="48" t="s">
        <v>20</v>
      </c>
      <c r="B83" s="35"/>
      <c r="C83" s="35"/>
      <c r="D83" s="35"/>
      <c r="E83" s="35"/>
      <c r="F83" s="35"/>
      <c r="G83" s="35"/>
      <c r="H83" s="35"/>
      <c r="I83" s="35" t="s">
        <v>19</v>
      </c>
      <c r="J83" s="35"/>
      <c r="K83" s="35"/>
      <c r="L83" s="35"/>
    </row>
  </sheetData>
  <autoFilter ref="A5:L81" xr:uid="{00000000-0009-0000-0000-000000000000}">
    <filterColumn colId="4" showButton="0"/>
    <filterColumn colId="6" showButton="0"/>
  </autoFilter>
  <mergeCells count="17">
    <mergeCell ref="K5:K6"/>
    <mergeCell ref="L5:L6"/>
    <mergeCell ref="B78:D78"/>
    <mergeCell ref="B79:D79"/>
    <mergeCell ref="B80:D80"/>
    <mergeCell ref="A83:H83"/>
    <mergeCell ref="I83:L83"/>
    <mergeCell ref="A1:L1"/>
    <mergeCell ref="A2:L2"/>
    <mergeCell ref="A5:A6"/>
    <mergeCell ref="B5:B6"/>
    <mergeCell ref="C5:C6"/>
    <mergeCell ref="D5:D6"/>
    <mergeCell ref="E5:F5"/>
    <mergeCell ref="G5:H5"/>
    <mergeCell ref="I5:I6"/>
    <mergeCell ref="J5:J6"/>
  </mergeCells>
  <conditionalFormatting sqref="D4:D5">
    <cfRule type="duplicateValues" dxfId="3" priority="1" stopIfTrue="1"/>
    <cfRule type="duplicateValues" priority="2" stopIfTrue="1"/>
  </conditionalFormatting>
  <conditionalFormatting sqref="D8:D77">
    <cfRule type="duplicateValues" priority="305" stopIfTrue="1"/>
    <cfRule type="duplicateValues" dxfId="2" priority="306"/>
  </conditionalFormatting>
  <pageMargins left="0.31496062992125984" right="0.15748031496062992" top="0.55118110236220474" bottom="0.19685039370078741" header="0.31496062992125984" footer="0.15748031496062992"/>
  <pageSetup paperSize="126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61E0-E8C6-403A-B99A-321D0A89D240}">
  <dimension ref="A1:Q48"/>
  <sheetViews>
    <sheetView topLeftCell="E28" workbookViewId="0">
      <selection activeCell="L8" sqref="L8:Q42"/>
    </sheetView>
  </sheetViews>
  <sheetFormatPr defaultRowHeight="15.75" x14ac:dyDescent="0.25"/>
  <cols>
    <col min="1" max="1" width="4.125" customWidth="1"/>
    <col min="2" max="2" width="10" customWidth="1"/>
    <col min="3" max="3" width="9.375" customWidth="1"/>
    <col min="4" max="4" width="13" customWidth="1"/>
    <col min="5" max="5" width="4.25" customWidth="1"/>
    <col min="6" max="6" width="4.5" customWidth="1"/>
    <col min="7" max="8" width="4.375" customWidth="1"/>
    <col min="9" max="9" width="17.625" customWidth="1"/>
    <col min="10" max="10" width="11.25" customWidth="1"/>
    <col min="11" max="11" width="23.875" bestFit="1" customWidth="1"/>
    <col min="12" max="12" width="12.25" bestFit="1" customWidth="1"/>
    <col min="13" max="13" width="10.875" bestFit="1" customWidth="1"/>
    <col min="14" max="14" width="100.625" bestFit="1" customWidth="1"/>
  </cols>
  <sheetData>
    <row r="1" spans="1:17" ht="33.6" customHeight="1" x14ac:dyDescent="0.25">
      <c r="A1" s="34" t="s">
        <v>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7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7" x14ac:dyDescent="0.25">
      <c r="A3" s="1"/>
      <c r="B3" s="1"/>
      <c r="C3" s="1"/>
      <c r="D3" s="1" t="s">
        <v>18</v>
      </c>
      <c r="E3" s="2" t="s">
        <v>21</v>
      </c>
      <c r="F3" s="1"/>
      <c r="G3" s="1"/>
      <c r="H3" s="1"/>
      <c r="I3" s="1"/>
      <c r="J3" s="1"/>
      <c r="K3" s="1"/>
      <c r="L3" s="1"/>
    </row>
    <row r="4" spans="1:17" x14ac:dyDescent="0.25">
      <c r="A4" s="3"/>
      <c r="B4" s="4"/>
      <c r="C4" s="5"/>
      <c r="D4" s="6"/>
      <c r="E4" s="3"/>
      <c r="F4" s="3"/>
      <c r="G4" s="7"/>
      <c r="H4" s="7"/>
      <c r="I4" s="7"/>
      <c r="J4" s="7"/>
      <c r="K4" s="8"/>
      <c r="L4" s="9"/>
    </row>
    <row r="5" spans="1:17" ht="15.75" customHeight="1" x14ac:dyDescent="0.25">
      <c r="A5" s="36" t="s">
        <v>0</v>
      </c>
      <c r="B5" s="36" t="s">
        <v>1</v>
      </c>
      <c r="C5" s="38" t="s">
        <v>2</v>
      </c>
      <c r="D5" s="36" t="s">
        <v>3</v>
      </c>
      <c r="E5" s="40" t="s">
        <v>4</v>
      </c>
      <c r="F5" s="41"/>
      <c r="G5" s="40" t="s">
        <v>5</v>
      </c>
      <c r="H5" s="41"/>
      <c r="I5" s="36" t="s">
        <v>6</v>
      </c>
      <c r="J5" s="36" t="s">
        <v>17</v>
      </c>
      <c r="K5" s="36" t="s">
        <v>7</v>
      </c>
      <c r="L5" s="42" t="s">
        <v>8</v>
      </c>
    </row>
    <row r="6" spans="1:17" x14ac:dyDescent="0.25">
      <c r="A6" s="37"/>
      <c r="B6" s="37"/>
      <c r="C6" s="39"/>
      <c r="D6" s="37"/>
      <c r="E6" s="10" t="s">
        <v>9</v>
      </c>
      <c r="F6" s="10" t="s">
        <v>10</v>
      </c>
      <c r="G6" s="10" t="s">
        <v>9</v>
      </c>
      <c r="H6" s="10" t="s">
        <v>10</v>
      </c>
      <c r="I6" s="37"/>
      <c r="J6" s="37"/>
      <c r="K6" s="37"/>
      <c r="L6" s="43"/>
      <c r="N6" t="s">
        <v>171</v>
      </c>
    </row>
    <row r="7" spans="1:17" x14ac:dyDescent="0.25">
      <c r="A7" s="11">
        <v>1</v>
      </c>
      <c r="B7" s="11">
        <v>2</v>
      </c>
      <c r="C7" s="12" t="s">
        <v>11</v>
      </c>
      <c r="D7" s="11">
        <v>4</v>
      </c>
      <c r="E7" s="13" t="s">
        <v>12</v>
      </c>
      <c r="F7" s="13" t="s">
        <v>13</v>
      </c>
      <c r="G7" s="13" t="s">
        <v>14</v>
      </c>
      <c r="H7" s="13" t="s">
        <v>15</v>
      </c>
      <c r="I7" s="11">
        <v>5</v>
      </c>
      <c r="J7" s="11"/>
      <c r="K7" s="11">
        <v>6</v>
      </c>
      <c r="L7" s="11">
        <v>7</v>
      </c>
      <c r="M7" s="33" t="s">
        <v>175</v>
      </c>
      <c r="N7" s="33" t="s">
        <v>172</v>
      </c>
      <c r="O7" s="33" t="s">
        <v>173</v>
      </c>
      <c r="Q7" t="s">
        <v>174</v>
      </c>
    </row>
    <row r="8" spans="1:17" x14ac:dyDescent="0.25">
      <c r="A8" s="28">
        <v>1</v>
      </c>
      <c r="B8" s="21" t="s">
        <v>168</v>
      </c>
      <c r="C8" s="22">
        <v>46132</v>
      </c>
      <c r="D8" s="23" t="s">
        <v>130</v>
      </c>
      <c r="E8" s="24"/>
      <c r="F8" s="24">
        <v>1</v>
      </c>
      <c r="G8" s="24"/>
      <c r="H8" s="24"/>
      <c r="I8" s="24" t="s">
        <v>129</v>
      </c>
      <c r="J8" s="24" t="s">
        <v>21</v>
      </c>
      <c r="K8" s="24" t="s">
        <v>116</v>
      </c>
      <c r="L8" s="27">
        <f>400000*110%</f>
        <v>440000.00000000006</v>
      </c>
      <c r="M8" s="25">
        <v>31040</v>
      </c>
      <c r="N8" s="25" t="str">
        <f>$N$7&amp;O8&amp;P8&amp;$N$6&amp;K8&amp;" - Ngày 20/04/2026"&amp;$O$7&amp;B8</f>
        <v>Cước vận chuyển cont vỏ 40' tuyến đường HECHUN-HAIAN  - Ngày 20/04/2026. Số xe: 15H18753</v>
      </c>
      <c r="O8" t="str">
        <f t="shared" ref="O8:O42" si="0">IF(E8+F8=1," vỏ "," hàng ")</f>
        <v xml:space="preserve"> vỏ </v>
      </c>
      <c r="P8" t="str">
        <f t="shared" ref="P8:P42" si="1">IF(E8+G8=1,"20' ","40' ")</f>
        <v xml:space="preserve">40' </v>
      </c>
      <c r="Q8">
        <f t="shared" ref="Q8:Q42" si="2">E8/2+F8+G8+H8</f>
        <v>1</v>
      </c>
    </row>
    <row r="9" spans="1:17" x14ac:dyDescent="0.25">
      <c r="A9" s="28">
        <v>2</v>
      </c>
      <c r="B9" s="21" t="s">
        <v>168</v>
      </c>
      <c r="C9" s="22">
        <v>46132</v>
      </c>
      <c r="D9" s="23" t="s">
        <v>131</v>
      </c>
      <c r="E9" s="24"/>
      <c r="F9" s="24">
        <v>1</v>
      </c>
      <c r="G9" s="24"/>
      <c r="H9" s="24"/>
      <c r="I9" s="24" t="s">
        <v>129</v>
      </c>
      <c r="J9" s="24" t="s">
        <v>21</v>
      </c>
      <c r="K9" s="24" t="s">
        <v>116</v>
      </c>
      <c r="L9" s="27">
        <f t="shared" ref="L9:L42" si="3">400000*110%</f>
        <v>440000.00000000006</v>
      </c>
      <c r="M9" s="25">
        <v>31040</v>
      </c>
      <c r="N9" s="25" t="str">
        <f t="shared" ref="N9:N42" si="4">$N$7&amp;O9&amp;P9&amp;$N$6&amp;K9&amp;" - Ngày 20/04/2026"&amp;$O$7&amp;B9</f>
        <v>Cước vận chuyển cont vỏ 40' tuyến đường HECHUN-HAIAN  - Ngày 20/04/2026. Số xe: 15H18753</v>
      </c>
      <c r="O9" t="str">
        <f t="shared" si="0"/>
        <v xml:space="preserve"> vỏ </v>
      </c>
      <c r="P9" t="str">
        <f t="shared" si="1"/>
        <v xml:space="preserve">40' </v>
      </c>
      <c r="Q9">
        <f t="shared" si="2"/>
        <v>1</v>
      </c>
    </row>
    <row r="10" spans="1:17" x14ac:dyDescent="0.25">
      <c r="A10" s="28">
        <v>3</v>
      </c>
      <c r="B10" s="21" t="s">
        <v>123</v>
      </c>
      <c r="C10" s="22">
        <v>46132</v>
      </c>
      <c r="D10" s="23" t="s">
        <v>132</v>
      </c>
      <c r="E10" s="24"/>
      <c r="F10" s="24">
        <v>1</v>
      </c>
      <c r="G10" s="24"/>
      <c r="H10" s="24"/>
      <c r="I10" s="24" t="s">
        <v>129</v>
      </c>
      <c r="J10" s="24" t="s">
        <v>21</v>
      </c>
      <c r="K10" s="24" t="s">
        <v>116</v>
      </c>
      <c r="L10" s="27">
        <f t="shared" si="3"/>
        <v>440000.00000000006</v>
      </c>
      <c r="M10" s="25">
        <v>31040</v>
      </c>
      <c r="N10" s="25" t="str">
        <f t="shared" si="4"/>
        <v>Cước vận chuyển cont vỏ 40' tuyến đường HECHUN-HAIAN  - Ngày 20/04/2026. Số xe: 15H18552</v>
      </c>
      <c r="O10" t="str">
        <f t="shared" si="0"/>
        <v xml:space="preserve"> vỏ </v>
      </c>
      <c r="P10" t="str">
        <f t="shared" si="1"/>
        <v xml:space="preserve">40' </v>
      </c>
      <c r="Q10">
        <f t="shared" si="2"/>
        <v>1</v>
      </c>
    </row>
    <row r="11" spans="1:17" x14ac:dyDescent="0.25">
      <c r="A11" s="28">
        <v>4</v>
      </c>
      <c r="B11" s="21" t="s">
        <v>170</v>
      </c>
      <c r="C11" s="22">
        <v>46132</v>
      </c>
      <c r="D11" s="23" t="s">
        <v>133</v>
      </c>
      <c r="E11" s="24"/>
      <c r="F11" s="24">
        <v>1</v>
      </c>
      <c r="G11" s="24"/>
      <c r="H11" s="24"/>
      <c r="I11" s="24" t="s">
        <v>129</v>
      </c>
      <c r="J11" s="24" t="s">
        <v>21</v>
      </c>
      <c r="K11" s="24" t="s">
        <v>116</v>
      </c>
      <c r="L11" s="27">
        <f t="shared" si="3"/>
        <v>440000.00000000006</v>
      </c>
      <c r="M11" s="25">
        <v>31040</v>
      </c>
      <c r="N11" s="25" t="str">
        <f t="shared" si="4"/>
        <v>Cước vận chuyển cont vỏ 40' tuyến đường HECHUN-HAIAN  - Ngày 20/04/2026. Số xe: 15C21728</v>
      </c>
      <c r="O11" t="str">
        <f t="shared" si="0"/>
        <v xml:space="preserve"> vỏ </v>
      </c>
      <c r="P11" t="str">
        <f t="shared" si="1"/>
        <v xml:space="preserve">40' </v>
      </c>
      <c r="Q11">
        <f t="shared" si="2"/>
        <v>1</v>
      </c>
    </row>
    <row r="12" spans="1:17" x14ac:dyDescent="0.25">
      <c r="A12" s="28">
        <v>5</v>
      </c>
      <c r="B12" s="21" t="s">
        <v>123</v>
      </c>
      <c r="C12" s="22">
        <v>46132</v>
      </c>
      <c r="D12" s="23" t="s">
        <v>134</v>
      </c>
      <c r="E12" s="24"/>
      <c r="F12" s="24">
        <v>1</v>
      </c>
      <c r="G12" s="24"/>
      <c r="H12" s="24"/>
      <c r="I12" s="24" t="s">
        <v>129</v>
      </c>
      <c r="J12" s="24" t="s">
        <v>21</v>
      </c>
      <c r="K12" s="24" t="s">
        <v>116</v>
      </c>
      <c r="L12" s="27">
        <f t="shared" si="3"/>
        <v>440000.00000000006</v>
      </c>
      <c r="M12" s="25">
        <v>31040</v>
      </c>
      <c r="N12" s="25" t="str">
        <f t="shared" si="4"/>
        <v>Cước vận chuyển cont vỏ 40' tuyến đường HECHUN-HAIAN  - Ngày 20/04/2026. Số xe: 15H18552</v>
      </c>
      <c r="O12" t="str">
        <f t="shared" si="0"/>
        <v xml:space="preserve"> vỏ </v>
      </c>
      <c r="P12" t="str">
        <f t="shared" si="1"/>
        <v xml:space="preserve">40' </v>
      </c>
      <c r="Q12">
        <f t="shared" si="2"/>
        <v>1</v>
      </c>
    </row>
    <row r="13" spans="1:17" x14ac:dyDescent="0.25">
      <c r="A13" s="28">
        <v>6</v>
      </c>
      <c r="B13" s="21" t="s">
        <v>124</v>
      </c>
      <c r="C13" s="22">
        <v>46132</v>
      </c>
      <c r="D13" s="23" t="s">
        <v>135</v>
      </c>
      <c r="E13" s="24"/>
      <c r="F13" s="24">
        <v>1</v>
      </c>
      <c r="G13" s="24"/>
      <c r="H13" s="24"/>
      <c r="I13" s="24" t="s">
        <v>129</v>
      </c>
      <c r="J13" s="24" t="s">
        <v>21</v>
      </c>
      <c r="K13" s="24" t="s">
        <v>116</v>
      </c>
      <c r="L13" s="27">
        <f t="shared" si="3"/>
        <v>440000.00000000006</v>
      </c>
      <c r="M13" s="25">
        <v>31040</v>
      </c>
      <c r="N13" s="25" t="str">
        <f t="shared" si="4"/>
        <v>Cước vận chuyển cont vỏ 40' tuyến đường HECHUN-HAIAN  - Ngày 20/04/2026. Số xe: 15C15033</v>
      </c>
      <c r="O13" t="str">
        <f t="shared" si="0"/>
        <v xml:space="preserve"> vỏ </v>
      </c>
      <c r="P13" t="str">
        <f t="shared" si="1"/>
        <v xml:space="preserve">40' </v>
      </c>
      <c r="Q13">
        <f t="shared" si="2"/>
        <v>1</v>
      </c>
    </row>
    <row r="14" spans="1:17" x14ac:dyDescent="0.25">
      <c r="A14" s="28">
        <v>7</v>
      </c>
      <c r="B14" s="21" t="s">
        <v>170</v>
      </c>
      <c r="C14" s="22">
        <v>46132</v>
      </c>
      <c r="D14" s="23" t="s">
        <v>136</v>
      </c>
      <c r="E14" s="24"/>
      <c r="F14" s="24">
        <v>1</v>
      </c>
      <c r="G14" s="24"/>
      <c r="H14" s="24"/>
      <c r="I14" s="24" t="s">
        <v>129</v>
      </c>
      <c r="J14" s="24" t="s">
        <v>21</v>
      </c>
      <c r="K14" s="24" t="s">
        <v>116</v>
      </c>
      <c r="L14" s="27">
        <f t="shared" si="3"/>
        <v>440000.00000000006</v>
      </c>
      <c r="M14" s="25">
        <v>31040</v>
      </c>
      <c r="N14" s="25" t="str">
        <f t="shared" si="4"/>
        <v>Cước vận chuyển cont vỏ 40' tuyến đường HECHUN-HAIAN  - Ngày 20/04/2026. Số xe: 15C21728</v>
      </c>
      <c r="O14" t="str">
        <f t="shared" si="0"/>
        <v xml:space="preserve"> vỏ </v>
      </c>
      <c r="P14" t="str">
        <f t="shared" si="1"/>
        <v xml:space="preserve">40' </v>
      </c>
      <c r="Q14">
        <f t="shared" si="2"/>
        <v>1</v>
      </c>
    </row>
    <row r="15" spans="1:17" x14ac:dyDescent="0.25">
      <c r="A15" s="28">
        <v>8</v>
      </c>
      <c r="B15" s="21" t="s">
        <v>123</v>
      </c>
      <c r="C15" s="22">
        <v>46132</v>
      </c>
      <c r="D15" s="23" t="s">
        <v>137</v>
      </c>
      <c r="E15" s="24"/>
      <c r="F15" s="24">
        <v>1</v>
      </c>
      <c r="G15" s="24"/>
      <c r="H15" s="24"/>
      <c r="I15" s="24" t="s">
        <v>129</v>
      </c>
      <c r="J15" s="24" t="s">
        <v>21</v>
      </c>
      <c r="K15" s="24" t="s">
        <v>116</v>
      </c>
      <c r="L15" s="27">
        <f t="shared" si="3"/>
        <v>440000.00000000006</v>
      </c>
      <c r="M15" s="25">
        <v>31040</v>
      </c>
      <c r="N15" s="25" t="str">
        <f t="shared" si="4"/>
        <v>Cước vận chuyển cont vỏ 40' tuyến đường HECHUN-HAIAN  - Ngày 20/04/2026. Số xe: 15H18552</v>
      </c>
      <c r="O15" t="str">
        <f t="shared" si="0"/>
        <v xml:space="preserve"> vỏ </v>
      </c>
      <c r="P15" t="str">
        <f t="shared" si="1"/>
        <v xml:space="preserve">40' </v>
      </c>
      <c r="Q15">
        <f t="shared" si="2"/>
        <v>1</v>
      </c>
    </row>
    <row r="16" spans="1:17" x14ac:dyDescent="0.25">
      <c r="A16" s="28">
        <v>9</v>
      </c>
      <c r="B16" s="21" t="s">
        <v>168</v>
      </c>
      <c r="C16" s="22">
        <v>46132</v>
      </c>
      <c r="D16" s="23" t="s">
        <v>138</v>
      </c>
      <c r="E16" s="24"/>
      <c r="F16" s="24">
        <v>1</v>
      </c>
      <c r="G16" s="24"/>
      <c r="H16" s="24"/>
      <c r="I16" s="24" t="s">
        <v>129</v>
      </c>
      <c r="J16" s="24" t="s">
        <v>21</v>
      </c>
      <c r="K16" s="24" t="s">
        <v>116</v>
      </c>
      <c r="L16" s="27">
        <f t="shared" si="3"/>
        <v>440000.00000000006</v>
      </c>
      <c r="M16" s="25">
        <v>31040</v>
      </c>
      <c r="N16" s="25" t="str">
        <f t="shared" si="4"/>
        <v>Cước vận chuyển cont vỏ 40' tuyến đường HECHUN-HAIAN  - Ngày 20/04/2026. Số xe: 15H18753</v>
      </c>
      <c r="O16" t="str">
        <f t="shared" si="0"/>
        <v xml:space="preserve"> vỏ </v>
      </c>
      <c r="P16" t="str">
        <f t="shared" si="1"/>
        <v xml:space="preserve">40' </v>
      </c>
      <c r="Q16">
        <f t="shared" si="2"/>
        <v>1</v>
      </c>
    </row>
    <row r="17" spans="1:17" x14ac:dyDescent="0.25">
      <c r="A17" s="28">
        <v>10</v>
      </c>
      <c r="B17" s="21" t="s">
        <v>123</v>
      </c>
      <c r="C17" s="22">
        <v>46132</v>
      </c>
      <c r="D17" s="23" t="s">
        <v>139</v>
      </c>
      <c r="E17" s="24"/>
      <c r="F17" s="24">
        <v>1</v>
      </c>
      <c r="G17" s="24"/>
      <c r="H17" s="24"/>
      <c r="I17" s="24" t="s">
        <v>129</v>
      </c>
      <c r="J17" s="24" t="s">
        <v>21</v>
      </c>
      <c r="K17" s="24" t="s">
        <v>116</v>
      </c>
      <c r="L17" s="27">
        <f t="shared" si="3"/>
        <v>440000.00000000006</v>
      </c>
      <c r="M17" s="25">
        <v>31040</v>
      </c>
      <c r="N17" s="25" t="str">
        <f t="shared" si="4"/>
        <v>Cước vận chuyển cont vỏ 40' tuyến đường HECHUN-HAIAN  - Ngày 20/04/2026. Số xe: 15H18552</v>
      </c>
      <c r="O17" t="str">
        <f t="shared" si="0"/>
        <v xml:space="preserve"> vỏ </v>
      </c>
      <c r="P17" t="str">
        <f t="shared" si="1"/>
        <v xml:space="preserve">40' </v>
      </c>
      <c r="Q17">
        <f t="shared" si="2"/>
        <v>1</v>
      </c>
    </row>
    <row r="18" spans="1:17" x14ac:dyDescent="0.25">
      <c r="A18" s="28">
        <v>11</v>
      </c>
      <c r="B18" s="21" t="s">
        <v>168</v>
      </c>
      <c r="C18" s="22">
        <v>46132</v>
      </c>
      <c r="D18" s="23" t="s">
        <v>140</v>
      </c>
      <c r="E18" s="24"/>
      <c r="F18" s="24">
        <v>1</v>
      </c>
      <c r="G18" s="24"/>
      <c r="H18" s="24"/>
      <c r="I18" s="24" t="s">
        <v>129</v>
      </c>
      <c r="J18" s="24" t="s">
        <v>21</v>
      </c>
      <c r="K18" s="24" t="s">
        <v>116</v>
      </c>
      <c r="L18" s="27">
        <f t="shared" si="3"/>
        <v>440000.00000000006</v>
      </c>
      <c r="M18" s="25">
        <v>31040</v>
      </c>
      <c r="N18" s="25" t="str">
        <f t="shared" si="4"/>
        <v>Cước vận chuyển cont vỏ 40' tuyến đường HECHUN-HAIAN  - Ngày 20/04/2026. Số xe: 15H18753</v>
      </c>
      <c r="O18" t="str">
        <f t="shared" si="0"/>
        <v xml:space="preserve"> vỏ </v>
      </c>
      <c r="P18" t="str">
        <f t="shared" si="1"/>
        <v xml:space="preserve">40' </v>
      </c>
      <c r="Q18">
        <f t="shared" si="2"/>
        <v>1</v>
      </c>
    </row>
    <row r="19" spans="1:17" x14ac:dyDescent="0.25">
      <c r="A19" s="28">
        <v>12</v>
      </c>
      <c r="B19" s="21" t="s">
        <v>123</v>
      </c>
      <c r="C19" s="22">
        <v>46132</v>
      </c>
      <c r="D19" s="23" t="s">
        <v>141</v>
      </c>
      <c r="E19" s="24"/>
      <c r="F19" s="24">
        <v>1</v>
      </c>
      <c r="G19" s="24"/>
      <c r="H19" s="24"/>
      <c r="I19" s="24" t="s">
        <v>129</v>
      </c>
      <c r="J19" s="24" t="s">
        <v>21</v>
      </c>
      <c r="K19" s="24" t="s">
        <v>116</v>
      </c>
      <c r="L19" s="27">
        <f t="shared" si="3"/>
        <v>440000.00000000006</v>
      </c>
      <c r="M19" s="25">
        <v>31040</v>
      </c>
      <c r="N19" s="25" t="str">
        <f t="shared" si="4"/>
        <v>Cước vận chuyển cont vỏ 40' tuyến đường HECHUN-HAIAN  - Ngày 20/04/2026. Số xe: 15H18552</v>
      </c>
      <c r="O19" t="str">
        <f t="shared" si="0"/>
        <v xml:space="preserve"> vỏ </v>
      </c>
      <c r="P19" t="str">
        <f t="shared" si="1"/>
        <v xml:space="preserve">40' </v>
      </c>
      <c r="Q19">
        <f t="shared" si="2"/>
        <v>1</v>
      </c>
    </row>
    <row r="20" spans="1:17" x14ac:dyDescent="0.25">
      <c r="A20" s="28">
        <v>13</v>
      </c>
      <c r="B20" s="21" t="s">
        <v>168</v>
      </c>
      <c r="C20" s="22">
        <v>46132</v>
      </c>
      <c r="D20" s="23" t="s">
        <v>142</v>
      </c>
      <c r="E20" s="24"/>
      <c r="F20" s="24">
        <v>1</v>
      </c>
      <c r="G20" s="24"/>
      <c r="H20" s="24"/>
      <c r="I20" s="24" t="s">
        <v>129</v>
      </c>
      <c r="J20" s="24" t="s">
        <v>21</v>
      </c>
      <c r="K20" s="24" t="s">
        <v>116</v>
      </c>
      <c r="L20" s="27">
        <f t="shared" si="3"/>
        <v>440000.00000000006</v>
      </c>
      <c r="M20" s="25">
        <v>31040</v>
      </c>
      <c r="N20" s="25" t="str">
        <f t="shared" si="4"/>
        <v>Cước vận chuyển cont vỏ 40' tuyến đường HECHUN-HAIAN  - Ngày 20/04/2026. Số xe: 15H18753</v>
      </c>
      <c r="O20" t="str">
        <f t="shared" si="0"/>
        <v xml:space="preserve"> vỏ </v>
      </c>
      <c r="P20" t="str">
        <f t="shared" si="1"/>
        <v xml:space="preserve">40' </v>
      </c>
      <c r="Q20">
        <f t="shared" si="2"/>
        <v>1</v>
      </c>
    </row>
    <row r="21" spans="1:17" x14ac:dyDescent="0.25">
      <c r="A21" s="28">
        <v>14</v>
      </c>
      <c r="B21" s="21" t="s">
        <v>170</v>
      </c>
      <c r="C21" s="22">
        <v>46132</v>
      </c>
      <c r="D21" s="23" t="s">
        <v>143</v>
      </c>
      <c r="E21" s="24"/>
      <c r="F21" s="24">
        <v>1</v>
      </c>
      <c r="G21" s="24"/>
      <c r="H21" s="24"/>
      <c r="I21" s="24" t="s">
        <v>129</v>
      </c>
      <c r="J21" s="24" t="s">
        <v>21</v>
      </c>
      <c r="K21" s="24" t="s">
        <v>116</v>
      </c>
      <c r="L21" s="27">
        <f t="shared" si="3"/>
        <v>440000.00000000006</v>
      </c>
      <c r="M21" s="25">
        <v>31040</v>
      </c>
      <c r="N21" s="25" t="str">
        <f t="shared" si="4"/>
        <v>Cước vận chuyển cont vỏ 40' tuyến đường HECHUN-HAIAN  - Ngày 20/04/2026. Số xe: 15C21728</v>
      </c>
      <c r="O21" t="str">
        <f t="shared" si="0"/>
        <v xml:space="preserve"> vỏ </v>
      </c>
      <c r="P21" t="str">
        <f t="shared" si="1"/>
        <v xml:space="preserve">40' </v>
      </c>
      <c r="Q21">
        <f t="shared" si="2"/>
        <v>1</v>
      </c>
    </row>
    <row r="22" spans="1:17" x14ac:dyDescent="0.25">
      <c r="A22" s="28">
        <v>15</v>
      </c>
      <c r="B22" s="21" t="s">
        <v>123</v>
      </c>
      <c r="C22" s="22">
        <v>46132</v>
      </c>
      <c r="D22" s="23" t="s">
        <v>144</v>
      </c>
      <c r="E22" s="24"/>
      <c r="F22" s="24">
        <v>1</v>
      </c>
      <c r="G22" s="24"/>
      <c r="H22" s="24"/>
      <c r="I22" s="24" t="s">
        <v>129</v>
      </c>
      <c r="J22" s="24" t="s">
        <v>21</v>
      </c>
      <c r="K22" s="24" t="s">
        <v>116</v>
      </c>
      <c r="L22" s="27">
        <f t="shared" si="3"/>
        <v>440000.00000000006</v>
      </c>
      <c r="M22" s="25">
        <v>31040</v>
      </c>
      <c r="N22" s="25" t="str">
        <f t="shared" si="4"/>
        <v>Cước vận chuyển cont vỏ 40' tuyến đường HECHUN-HAIAN  - Ngày 20/04/2026. Số xe: 15H18552</v>
      </c>
      <c r="O22" t="str">
        <f t="shared" si="0"/>
        <v xml:space="preserve"> vỏ </v>
      </c>
      <c r="P22" t="str">
        <f t="shared" si="1"/>
        <v xml:space="preserve">40' </v>
      </c>
      <c r="Q22">
        <f t="shared" si="2"/>
        <v>1</v>
      </c>
    </row>
    <row r="23" spans="1:17" x14ac:dyDescent="0.25">
      <c r="A23" s="28">
        <v>16</v>
      </c>
      <c r="B23" s="21" t="s">
        <v>168</v>
      </c>
      <c r="C23" s="22">
        <v>46132</v>
      </c>
      <c r="D23" s="23" t="s">
        <v>145</v>
      </c>
      <c r="E23" s="24"/>
      <c r="F23" s="24">
        <v>1</v>
      </c>
      <c r="G23" s="24"/>
      <c r="H23" s="24"/>
      <c r="I23" s="24" t="s">
        <v>129</v>
      </c>
      <c r="J23" s="24" t="s">
        <v>21</v>
      </c>
      <c r="K23" s="24" t="s">
        <v>116</v>
      </c>
      <c r="L23" s="27">
        <f t="shared" si="3"/>
        <v>440000.00000000006</v>
      </c>
      <c r="M23" s="25">
        <v>31040</v>
      </c>
      <c r="N23" s="25" t="str">
        <f t="shared" si="4"/>
        <v>Cước vận chuyển cont vỏ 40' tuyến đường HECHUN-HAIAN  - Ngày 20/04/2026. Số xe: 15H18753</v>
      </c>
      <c r="O23" t="str">
        <f t="shared" si="0"/>
        <v xml:space="preserve"> vỏ </v>
      </c>
      <c r="P23" t="str">
        <f t="shared" si="1"/>
        <v xml:space="preserve">40' </v>
      </c>
      <c r="Q23">
        <f t="shared" si="2"/>
        <v>1</v>
      </c>
    </row>
    <row r="24" spans="1:17" x14ac:dyDescent="0.25">
      <c r="A24" s="28">
        <v>17</v>
      </c>
      <c r="B24" s="21" t="s">
        <v>170</v>
      </c>
      <c r="C24" s="22">
        <v>46132</v>
      </c>
      <c r="D24" s="23" t="s">
        <v>146</v>
      </c>
      <c r="E24" s="24"/>
      <c r="F24" s="24">
        <v>1</v>
      </c>
      <c r="G24" s="24"/>
      <c r="H24" s="24"/>
      <c r="I24" s="24" t="s">
        <v>129</v>
      </c>
      <c r="J24" s="24" t="s">
        <v>21</v>
      </c>
      <c r="K24" s="24" t="s">
        <v>116</v>
      </c>
      <c r="L24" s="27">
        <f t="shared" si="3"/>
        <v>440000.00000000006</v>
      </c>
      <c r="M24" s="25">
        <v>31040</v>
      </c>
      <c r="N24" s="25" t="str">
        <f t="shared" si="4"/>
        <v>Cước vận chuyển cont vỏ 40' tuyến đường HECHUN-HAIAN  - Ngày 20/04/2026. Số xe: 15C21728</v>
      </c>
      <c r="O24" t="str">
        <f t="shared" si="0"/>
        <v xml:space="preserve"> vỏ </v>
      </c>
      <c r="P24" t="str">
        <f t="shared" si="1"/>
        <v xml:space="preserve">40' </v>
      </c>
      <c r="Q24">
        <f t="shared" si="2"/>
        <v>1</v>
      </c>
    </row>
    <row r="25" spans="1:17" x14ac:dyDescent="0.25">
      <c r="A25" s="28">
        <v>18</v>
      </c>
      <c r="B25" s="21" t="s">
        <v>123</v>
      </c>
      <c r="C25" s="22">
        <v>46132</v>
      </c>
      <c r="D25" s="23" t="s">
        <v>147</v>
      </c>
      <c r="E25" s="24"/>
      <c r="F25" s="24">
        <v>1</v>
      </c>
      <c r="G25" s="24"/>
      <c r="H25" s="24"/>
      <c r="I25" s="24" t="s">
        <v>129</v>
      </c>
      <c r="J25" s="24" t="s">
        <v>21</v>
      </c>
      <c r="K25" s="24" t="s">
        <v>116</v>
      </c>
      <c r="L25" s="27">
        <f t="shared" si="3"/>
        <v>440000.00000000006</v>
      </c>
      <c r="M25" s="25">
        <v>31040</v>
      </c>
      <c r="N25" s="25" t="str">
        <f t="shared" si="4"/>
        <v>Cước vận chuyển cont vỏ 40' tuyến đường HECHUN-HAIAN  - Ngày 20/04/2026. Số xe: 15H18552</v>
      </c>
      <c r="O25" t="str">
        <f t="shared" si="0"/>
        <v xml:space="preserve"> vỏ </v>
      </c>
      <c r="P25" t="str">
        <f t="shared" si="1"/>
        <v xml:space="preserve">40' </v>
      </c>
      <c r="Q25">
        <f t="shared" si="2"/>
        <v>1</v>
      </c>
    </row>
    <row r="26" spans="1:17" x14ac:dyDescent="0.25">
      <c r="A26" s="28">
        <v>19</v>
      </c>
      <c r="B26" s="21" t="s">
        <v>168</v>
      </c>
      <c r="C26" s="22">
        <v>46132</v>
      </c>
      <c r="D26" s="23" t="s">
        <v>148</v>
      </c>
      <c r="E26" s="24"/>
      <c r="F26" s="24">
        <v>1</v>
      </c>
      <c r="G26" s="24"/>
      <c r="H26" s="24"/>
      <c r="I26" s="24" t="s">
        <v>129</v>
      </c>
      <c r="J26" s="24" t="s">
        <v>21</v>
      </c>
      <c r="K26" s="24" t="s">
        <v>116</v>
      </c>
      <c r="L26" s="27">
        <f t="shared" si="3"/>
        <v>440000.00000000006</v>
      </c>
      <c r="M26" s="25">
        <v>31040</v>
      </c>
      <c r="N26" s="25" t="str">
        <f t="shared" si="4"/>
        <v>Cước vận chuyển cont vỏ 40' tuyến đường HECHUN-HAIAN  - Ngày 20/04/2026. Số xe: 15H18753</v>
      </c>
      <c r="O26" t="str">
        <f t="shared" si="0"/>
        <v xml:space="preserve"> vỏ </v>
      </c>
      <c r="P26" t="str">
        <f t="shared" si="1"/>
        <v xml:space="preserve">40' </v>
      </c>
      <c r="Q26">
        <f t="shared" si="2"/>
        <v>1</v>
      </c>
    </row>
    <row r="27" spans="1:17" x14ac:dyDescent="0.25">
      <c r="A27" s="28">
        <v>20</v>
      </c>
      <c r="B27" s="21" t="s">
        <v>124</v>
      </c>
      <c r="C27" s="22">
        <v>46132</v>
      </c>
      <c r="D27" s="23" t="s">
        <v>149</v>
      </c>
      <c r="E27" s="24"/>
      <c r="F27" s="24">
        <v>1</v>
      </c>
      <c r="G27" s="24"/>
      <c r="H27" s="24"/>
      <c r="I27" s="24" t="s">
        <v>129</v>
      </c>
      <c r="J27" s="24" t="s">
        <v>21</v>
      </c>
      <c r="K27" s="24" t="s">
        <v>116</v>
      </c>
      <c r="L27" s="27">
        <f t="shared" si="3"/>
        <v>440000.00000000006</v>
      </c>
      <c r="M27" s="25">
        <v>31040</v>
      </c>
      <c r="N27" s="25" t="str">
        <f t="shared" si="4"/>
        <v>Cước vận chuyển cont vỏ 40' tuyến đường HECHUN-HAIAN  - Ngày 20/04/2026. Số xe: 15C15033</v>
      </c>
      <c r="O27" t="str">
        <f t="shared" si="0"/>
        <v xml:space="preserve"> vỏ </v>
      </c>
      <c r="P27" t="str">
        <f t="shared" si="1"/>
        <v xml:space="preserve">40' </v>
      </c>
      <c r="Q27">
        <f t="shared" si="2"/>
        <v>1</v>
      </c>
    </row>
    <row r="28" spans="1:17" x14ac:dyDescent="0.25">
      <c r="A28" s="28">
        <v>21</v>
      </c>
      <c r="B28" s="21" t="s">
        <v>169</v>
      </c>
      <c r="C28" s="22">
        <v>46132</v>
      </c>
      <c r="D28" s="23" t="s">
        <v>150</v>
      </c>
      <c r="E28" s="24"/>
      <c r="F28" s="24">
        <v>1</v>
      </c>
      <c r="G28" s="24"/>
      <c r="H28" s="24"/>
      <c r="I28" s="24" t="s">
        <v>129</v>
      </c>
      <c r="J28" s="24" t="s">
        <v>21</v>
      </c>
      <c r="K28" s="24" t="s">
        <v>116</v>
      </c>
      <c r="L28" s="27">
        <f t="shared" si="3"/>
        <v>440000.00000000006</v>
      </c>
      <c r="M28" s="25">
        <v>31040</v>
      </c>
      <c r="N28" s="25" t="str">
        <f t="shared" si="4"/>
        <v>Cước vận chuyển cont vỏ 40' tuyến đường HECHUN-HAIAN  - Ngày 20/04/2026. Số xe: 15H17712</v>
      </c>
      <c r="O28" t="str">
        <f t="shared" si="0"/>
        <v xml:space="preserve"> vỏ </v>
      </c>
      <c r="P28" t="str">
        <f t="shared" si="1"/>
        <v xml:space="preserve">40' </v>
      </c>
      <c r="Q28">
        <f t="shared" si="2"/>
        <v>1</v>
      </c>
    </row>
    <row r="29" spans="1:17" x14ac:dyDescent="0.25">
      <c r="A29" s="28">
        <v>22</v>
      </c>
      <c r="B29" s="21" t="s">
        <v>170</v>
      </c>
      <c r="C29" s="22">
        <v>46132</v>
      </c>
      <c r="D29" s="23" t="s">
        <v>151</v>
      </c>
      <c r="E29" s="24"/>
      <c r="F29" s="24">
        <v>1</v>
      </c>
      <c r="G29" s="24"/>
      <c r="H29" s="24"/>
      <c r="I29" s="24" t="s">
        <v>129</v>
      </c>
      <c r="J29" s="24" t="s">
        <v>21</v>
      </c>
      <c r="K29" s="24" t="s">
        <v>116</v>
      </c>
      <c r="L29" s="27">
        <f t="shared" si="3"/>
        <v>440000.00000000006</v>
      </c>
      <c r="M29" s="25">
        <v>31040</v>
      </c>
      <c r="N29" s="25" t="str">
        <f t="shared" si="4"/>
        <v>Cước vận chuyển cont vỏ 40' tuyến đường HECHUN-HAIAN  - Ngày 20/04/2026. Số xe: 15C21728</v>
      </c>
      <c r="O29" t="str">
        <f t="shared" si="0"/>
        <v xml:space="preserve"> vỏ </v>
      </c>
      <c r="P29" t="str">
        <f t="shared" si="1"/>
        <v xml:space="preserve">40' </v>
      </c>
      <c r="Q29">
        <f t="shared" si="2"/>
        <v>1</v>
      </c>
    </row>
    <row r="30" spans="1:17" x14ac:dyDescent="0.25">
      <c r="A30" s="28">
        <v>23</v>
      </c>
      <c r="B30" s="21" t="s">
        <v>118</v>
      </c>
      <c r="C30" s="22">
        <v>46132</v>
      </c>
      <c r="D30" s="23" t="s">
        <v>152</v>
      </c>
      <c r="E30" s="24"/>
      <c r="F30" s="24">
        <v>1</v>
      </c>
      <c r="G30" s="24"/>
      <c r="H30" s="24"/>
      <c r="I30" s="24" t="s">
        <v>129</v>
      </c>
      <c r="J30" s="24" t="s">
        <v>21</v>
      </c>
      <c r="K30" s="24" t="s">
        <v>116</v>
      </c>
      <c r="L30" s="27">
        <f t="shared" si="3"/>
        <v>440000.00000000006</v>
      </c>
      <c r="M30" s="25">
        <v>31040</v>
      </c>
      <c r="N30" s="25" t="str">
        <f t="shared" si="4"/>
        <v>Cước vận chuyển cont vỏ 40' tuyến đường HECHUN-HAIAN  - Ngày 20/04/2026. Số xe: 15H07788</v>
      </c>
      <c r="O30" t="str">
        <f t="shared" si="0"/>
        <v xml:space="preserve"> vỏ </v>
      </c>
      <c r="P30" t="str">
        <f t="shared" si="1"/>
        <v xml:space="preserve">40' </v>
      </c>
      <c r="Q30">
        <f t="shared" si="2"/>
        <v>1</v>
      </c>
    </row>
    <row r="31" spans="1:17" x14ac:dyDescent="0.25">
      <c r="A31" s="28">
        <v>24</v>
      </c>
      <c r="B31" s="21" t="s">
        <v>170</v>
      </c>
      <c r="C31" s="22">
        <v>46132</v>
      </c>
      <c r="D31" s="23" t="s">
        <v>153</v>
      </c>
      <c r="E31" s="24"/>
      <c r="F31" s="24">
        <v>1</v>
      </c>
      <c r="G31" s="24"/>
      <c r="H31" s="24"/>
      <c r="I31" s="24" t="s">
        <v>129</v>
      </c>
      <c r="J31" s="24" t="s">
        <v>21</v>
      </c>
      <c r="K31" s="24" t="s">
        <v>116</v>
      </c>
      <c r="L31" s="27">
        <f t="shared" si="3"/>
        <v>440000.00000000006</v>
      </c>
      <c r="M31" s="25">
        <v>31040</v>
      </c>
      <c r="N31" s="25" t="str">
        <f t="shared" si="4"/>
        <v>Cước vận chuyển cont vỏ 40' tuyến đường HECHUN-HAIAN  - Ngày 20/04/2026. Số xe: 15C21728</v>
      </c>
      <c r="O31" t="str">
        <f t="shared" si="0"/>
        <v xml:space="preserve"> vỏ </v>
      </c>
      <c r="P31" t="str">
        <f t="shared" si="1"/>
        <v xml:space="preserve">40' </v>
      </c>
      <c r="Q31">
        <f t="shared" si="2"/>
        <v>1</v>
      </c>
    </row>
    <row r="32" spans="1:17" x14ac:dyDescent="0.25">
      <c r="A32" s="28">
        <v>25</v>
      </c>
      <c r="B32" s="21" t="s">
        <v>128</v>
      </c>
      <c r="C32" s="22">
        <v>46132</v>
      </c>
      <c r="D32" s="23" t="s">
        <v>154</v>
      </c>
      <c r="E32" s="24"/>
      <c r="F32" s="24">
        <v>1</v>
      </c>
      <c r="G32" s="24"/>
      <c r="H32" s="24"/>
      <c r="I32" s="24" t="s">
        <v>129</v>
      </c>
      <c r="J32" s="24" t="s">
        <v>21</v>
      </c>
      <c r="K32" s="24" t="s">
        <v>116</v>
      </c>
      <c r="L32" s="27">
        <f t="shared" si="3"/>
        <v>440000.00000000006</v>
      </c>
      <c r="M32" s="25">
        <v>31040</v>
      </c>
      <c r="N32" s="25" t="str">
        <f t="shared" si="4"/>
        <v>Cước vận chuyển cont vỏ 40' tuyến đường HECHUN-HAIAN  - Ngày 20/04/2026. Số xe: 15C09877</v>
      </c>
      <c r="O32" t="str">
        <f t="shared" si="0"/>
        <v xml:space="preserve"> vỏ </v>
      </c>
      <c r="P32" t="str">
        <f t="shared" si="1"/>
        <v xml:space="preserve">40' </v>
      </c>
      <c r="Q32">
        <f t="shared" si="2"/>
        <v>1</v>
      </c>
    </row>
    <row r="33" spans="1:17" x14ac:dyDescent="0.25">
      <c r="A33" s="28">
        <v>26</v>
      </c>
      <c r="B33" s="21" t="s">
        <v>123</v>
      </c>
      <c r="C33" s="22">
        <v>46132</v>
      </c>
      <c r="D33" s="23" t="s">
        <v>155</v>
      </c>
      <c r="E33" s="24"/>
      <c r="F33" s="24">
        <v>1</v>
      </c>
      <c r="G33" s="24"/>
      <c r="H33" s="24"/>
      <c r="I33" s="24" t="s">
        <v>129</v>
      </c>
      <c r="J33" s="24" t="s">
        <v>21</v>
      </c>
      <c r="K33" s="24" t="s">
        <v>116</v>
      </c>
      <c r="L33" s="27">
        <f t="shared" si="3"/>
        <v>440000.00000000006</v>
      </c>
      <c r="M33" s="25">
        <v>31040</v>
      </c>
      <c r="N33" s="25" t="str">
        <f t="shared" si="4"/>
        <v>Cước vận chuyển cont vỏ 40' tuyến đường HECHUN-HAIAN  - Ngày 20/04/2026. Số xe: 15H18552</v>
      </c>
      <c r="O33" t="str">
        <f t="shared" si="0"/>
        <v xml:space="preserve"> vỏ </v>
      </c>
      <c r="P33" t="str">
        <f t="shared" si="1"/>
        <v xml:space="preserve">40' </v>
      </c>
      <c r="Q33">
        <f t="shared" si="2"/>
        <v>1</v>
      </c>
    </row>
    <row r="34" spans="1:17" x14ac:dyDescent="0.25">
      <c r="A34" s="28">
        <v>27</v>
      </c>
      <c r="B34" s="21" t="s">
        <v>169</v>
      </c>
      <c r="C34" s="22">
        <v>46132</v>
      </c>
      <c r="D34" s="23" t="s">
        <v>156</v>
      </c>
      <c r="E34" s="24"/>
      <c r="F34" s="24">
        <v>1</v>
      </c>
      <c r="G34" s="24"/>
      <c r="H34" s="24"/>
      <c r="I34" s="24" t="s">
        <v>129</v>
      </c>
      <c r="J34" s="24" t="s">
        <v>21</v>
      </c>
      <c r="K34" s="24" t="s">
        <v>116</v>
      </c>
      <c r="L34" s="27">
        <f t="shared" si="3"/>
        <v>440000.00000000006</v>
      </c>
      <c r="M34" s="25">
        <v>31040</v>
      </c>
      <c r="N34" s="25" t="str">
        <f t="shared" si="4"/>
        <v>Cước vận chuyển cont vỏ 40' tuyến đường HECHUN-HAIAN  - Ngày 20/04/2026. Số xe: 15H17712</v>
      </c>
      <c r="O34" t="str">
        <f t="shared" si="0"/>
        <v xml:space="preserve"> vỏ </v>
      </c>
      <c r="P34" t="str">
        <f t="shared" si="1"/>
        <v xml:space="preserve">40' </v>
      </c>
      <c r="Q34">
        <f t="shared" si="2"/>
        <v>1</v>
      </c>
    </row>
    <row r="35" spans="1:17" x14ac:dyDescent="0.25">
      <c r="A35" s="28">
        <v>28</v>
      </c>
      <c r="B35" s="21" t="s">
        <v>124</v>
      </c>
      <c r="C35" s="22">
        <v>46132</v>
      </c>
      <c r="D35" s="23" t="s">
        <v>157</v>
      </c>
      <c r="E35" s="24"/>
      <c r="F35" s="24">
        <v>1</v>
      </c>
      <c r="G35" s="24"/>
      <c r="H35" s="24"/>
      <c r="I35" s="24" t="s">
        <v>129</v>
      </c>
      <c r="J35" s="24" t="s">
        <v>21</v>
      </c>
      <c r="K35" s="24" t="s">
        <v>116</v>
      </c>
      <c r="L35" s="27">
        <f t="shared" si="3"/>
        <v>440000.00000000006</v>
      </c>
      <c r="M35" s="25">
        <v>31040</v>
      </c>
      <c r="N35" s="25" t="str">
        <f t="shared" si="4"/>
        <v>Cước vận chuyển cont vỏ 40' tuyến đường HECHUN-HAIAN  - Ngày 20/04/2026. Số xe: 15C15033</v>
      </c>
      <c r="O35" t="str">
        <f t="shared" si="0"/>
        <v xml:space="preserve"> vỏ </v>
      </c>
      <c r="P35" t="str">
        <f t="shared" si="1"/>
        <v xml:space="preserve">40' </v>
      </c>
      <c r="Q35">
        <f t="shared" si="2"/>
        <v>1</v>
      </c>
    </row>
    <row r="36" spans="1:17" x14ac:dyDescent="0.25">
      <c r="A36" s="28">
        <v>29</v>
      </c>
      <c r="B36" s="21" t="s">
        <v>168</v>
      </c>
      <c r="C36" s="22">
        <v>46132</v>
      </c>
      <c r="D36" s="23" t="s">
        <v>158</v>
      </c>
      <c r="E36" s="24"/>
      <c r="F36" s="24">
        <v>1</v>
      </c>
      <c r="G36" s="24"/>
      <c r="H36" s="24"/>
      <c r="I36" s="24" t="s">
        <v>129</v>
      </c>
      <c r="J36" s="24" t="s">
        <v>21</v>
      </c>
      <c r="K36" s="24" t="s">
        <v>116</v>
      </c>
      <c r="L36" s="27">
        <f t="shared" si="3"/>
        <v>440000.00000000006</v>
      </c>
      <c r="M36" s="25">
        <v>31040</v>
      </c>
      <c r="N36" s="25" t="str">
        <f t="shared" si="4"/>
        <v>Cước vận chuyển cont vỏ 40' tuyến đường HECHUN-HAIAN  - Ngày 20/04/2026. Số xe: 15H18753</v>
      </c>
      <c r="O36" t="str">
        <f t="shared" si="0"/>
        <v xml:space="preserve"> vỏ </v>
      </c>
      <c r="P36" t="str">
        <f t="shared" si="1"/>
        <v xml:space="preserve">40' </v>
      </c>
      <c r="Q36">
        <f t="shared" si="2"/>
        <v>1</v>
      </c>
    </row>
    <row r="37" spans="1:17" x14ac:dyDescent="0.25">
      <c r="A37" s="28">
        <v>30</v>
      </c>
      <c r="B37" s="21" t="s">
        <v>170</v>
      </c>
      <c r="C37" s="22">
        <v>46132</v>
      </c>
      <c r="D37" s="23" t="s">
        <v>159</v>
      </c>
      <c r="E37" s="24"/>
      <c r="F37" s="24">
        <v>1</v>
      </c>
      <c r="G37" s="24"/>
      <c r="H37" s="24"/>
      <c r="I37" s="24" t="s">
        <v>129</v>
      </c>
      <c r="J37" s="24" t="s">
        <v>21</v>
      </c>
      <c r="K37" s="24" t="s">
        <v>116</v>
      </c>
      <c r="L37" s="27">
        <f t="shared" si="3"/>
        <v>440000.00000000006</v>
      </c>
      <c r="M37" s="25">
        <v>31040</v>
      </c>
      <c r="N37" s="25" t="str">
        <f t="shared" si="4"/>
        <v>Cước vận chuyển cont vỏ 40' tuyến đường HECHUN-HAIAN  - Ngày 20/04/2026. Số xe: 15C21728</v>
      </c>
      <c r="O37" t="str">
        <f t="shared" si="0"/>
        <v xml:space="preserve"> vỏ </v>
      </c>
      <c r="P37" t="str">
        <f t="shared" si="1"/>
        <v xml:space="preserve">40' </v>
      </c>
      <c r="Q37">
        <f t="shared" si="2"/>
        <v>1</v>
      </c>
    </row>
    <row r="38" spans="1:17" x14ac:dyDescent="0.25">
      <c r="A38" s="28">
        <v>31</v>
      </c>
      <c r="B38" s="21" t="s">
        <v>128</v>
      </c>
      <c r="C38" s="22">
        <v>46132</v>
      </c>
      <c r="D38" s="23" t="s">
        <v>160</v>
      </c>
      <c r="E38" s="24"/>
      <c r="F38" s="24">
        <v>1</v>
      </c>
      <c r="G38" s="24"/>
      <c r="H38" s="24"/>
      <c r="I38" s="24" t="s">
        <v>129</v>
      </c>
      <c r="J38" s="24" t="s">
        <v>21</v>
      </c>
      <c r="K38" s="24" t="s">
        <v>116</v>
      </c>
      <c r="L38" s="27">
        <f t="shared" si="3"/>
        <v>440000.00000000006</v>
      </c>
      <c r="M38" s="25">
        <v>31040</v>
      </c>
      <c r="N38" s="25" t="str">
        <f t="shared" si="4"/>
        <v>Cước vận chuyển cont vỏ 40' tuyến đường HECHUN-HAIAN  - Ngày 20/04/2026. Số xe: 15C09877</v>
      </c>
      <c r="O38" t="str">
        <f t="shared" si="0"/>
        <v xml:space="preserve"> vỏ </v>
      </c>
      <c r="P38" t="str">
        <f t="shared" si="1"/>
        <v xml:space="preserve">40' </v>
      </c>
      <c r="Q38">
        <f t="shared" si="2"/>
        <v>1</v>
      </c>
    </row>
    <row r="39" spans="1:17" x14ac:dyDescent="0.25">
      <c r="A39" s="28">
        <v>32</v>
      </c>
      <c r="B39" s="21" t="s">
        <v>168</v>
      </c>
      <c r="C39" s="22">
        <v>46132</v>
      </c>
      <c r="D39" s="23" t="s">
        <v>161</v>
      </c>
      <c r="E39" s="24"/>
      <c r="F39" s="24">
        <v>1</v>
      </c>
      <c r="G39" s="24"/>
      <c r="H39" s="24"/>
      <c r="I39" s="24" t="s">
        <v>129</v>
      </c>
      <c r="J39" s="24" t="s">
        <v>21</v>
      </c>
      <c r="K39" s="24" t="s">
        <v>116</v>
      </c>
      <c r="L39" s="27">
        <f t="shared" si="3"/>
        <v>440000.00000000006</v>
      </c>
      <c r="M39" s="25">
        <v>31040</v>
      </c>
      <c r="N39" s="25" t="str">
        <f t="shared" si="4"/>
        <v>Cước vận chuyển cont vỏ 40' tuyến đường HECHUN-HAIAN  - Ngày 20/04/2026. Số xe: 15H18753</v>
      </c>
      <c r="O39" t="str">
        <f t="shared" si="0"/>
        <v xml:space="preserve"> vỏ </v>
      </c>
      <c r="P39" t="str">
        <f t="shared" si="1"/>
        <v xml:space="preserve">40' </v>
      </c>
      <c r="Q39">
        <f t="shared" si="2"/>
        <v>1</v>
      </c>
    </row>
    <row r="40" spans="1:17" x14ac:dyDescent="0.25">
      <c r="A40" s="28">
        <v>33</v>
      </c>
      <c r="B40" s="21" t="s">
        <v>124</v>
      </c>
      <c r="C40" s="22">
        <v>46132</v>
      </c>
      <c r="D40" s="23" t="s">
        <v>162</v>
      </c>
      <c r="E40" s="24"/>
      <c r="F40" s="24">
        <v>1</v>
      </c>
      <c r="G40" s="24"/>
      <c r="H40" s="24"/>
      <c r="I40" s="24" t="s">
        <v>129</v>
      </c>
      <c r="J40" s="24" t="s">
        <v>21</v>
      </c>
      <c r="K40" s="24" t="s">
        <v>116</v>
      </c>
      <c r="L40" s="27">
        <f t="shared" si="3"/>
        <v>440000.00000000006</v>
      </c>
      <c r="M40" s="25">
        <v>31040</v>
      </c>
      <c r="N40" s="25" t="str">
        <f t="shared" si="4"/>
        <v>Cước vận chuyển cont vỏ 40' tuyến đường HECHUN-HAIAN  - Ngày 20/04/2026. Số xe: 15C15033</v>
      </c>
      <c r="O40" t="str">
        <f t="shared" si="0"/>
        <v xml:space="preserve"> vỏ </v>
      </c>
      <c r="P40" t="str">
        <f t="shared" si="1"/>
        <v xml:space="preserve">40' </v>
      </c>
      <c r="Q40">
        <f t="shared" si="2"/>
        <v>1</v>
      </c>
    </row>
    <row r="41" spans="1:17" x14ac:dyDescent="0.25">
      <c r="A41" s="28">
        <v>34</v>
      </c>
      <c r="B41" s="21" t="s">
        <v>169</v>
      </c>
      <c r="C41" s="22">
        <v>46132</v>
      </c>
      <c r="D41" s="23" t="s">
        <v>163</v>
      </c>
      <c r="E41" s="24"/>
      <c r="F41" s="24">
        <v>1</v>
      </c>
      <c r="G41" s="24"/>
      <c r="H41" s="24"/>
      <c r="I41" s="24" t="s">
        <v>129</v>
      </c>
      <c r="J41" s="24" t="s">
        <v>21</v>
      </c>
      <c r="K41" s="24" t="s">
        <v>116</v>
      </c>
      <c r="L41" s="27">
        <f t="shared" si="3"/>
        <v>440000.00000000006</v>
      </c>
      <c r="M41" s="25">
        <v>31040</v>
      </c>
      <c r="N41" s="25" t="str">
        <f t="shared" si="4"/>
        <v>Cước vận chuyển cont vỏ 40' tuyến đường HECHUN-HAIAN  - Ngày 20/04/2026. Số xe: 15H17712</v>
      </c>
      <c r="O41" t="str">
        <f t="shared" si="0"/>
        <v xml:space="preserve"> vỏ </v>
      </c>
      <c r="P41" t="str">
        <f t="shared" si="1"/>
        <v xml:space="preserve">40' </v>
      </c>
      <c r="Q41">
        <f t="shared" si="2"/>
        <v>1</v>
      </c>
    </row>
    <row r="42" spans="1:17" x14ac:dyDescent="0.25">
      <c r="A42" s="28">
        <v>35</v>
      </c>
      <c r="B42" s="21" t="s">
        <v>123</v>
      </c>
      <c r="C42" s="30">
        <v>46132</v>
      </c>
      <c r="D42" s="31" t="s">
        <v>164</v>
      </c>
      <c r="E42" s="32"/>
      <c r="F42" s="32">
        <v>1</v>
      </c>
      <c r="G42" s="32"/>
      <c r="H42" s="32"/>
      <c r="I42" s="32" t="s">
        <v>129</v>
      </c>
      <c r="J42" s="32" t="s">
        <v>21</v>
      </c>
      <c r="K42" s="32" t="s">
        <v>116</v>
      </c>
      <c r="L42" s="27">
        <f t="shared" si="3"/>
        <v>440000.00000000006</v>
      </c>
      <c r="M42" s="25">
        <v>31040</v>
      </c>
      <c r="N42" s="25" t="str">
        <f t="shared" si="4"/>
        <v>Cước vận chuyển cont vỏ 40' tuyến đường HECHUN-HAIAN  - Ngày 20/04/2026. Số xe: 15H18552</v>
      </c>
      <c r="O42" t="str">
        <f t="shared" si="0"/>
        <v xml:space="preserve"> vỏ </v>
      </c>
      <c r="P42" t="str">
        <f t="shared" si="1"/>
        <v xml:space="preserve">40' </v>
      </c>
      <c r="Q42">
        <f t="shared" si="2"/>
        <v>1</v>
      </c>
    </row>
    <row r="43" spans="1:17" x14ac:dyDescent="0.25">
      <c r="A43" s="14"/>
      <c r="B43" s="46"/>
      <c r="C43" s="46"/>
      <c r="D43" s="47"/>
      <c r="E43" s="15">
        <f>SUM(E8:E42)</f>
        <v>0</v>
      </c>
      <c r="F43" s="15">
        <f>SUM(F8:F42)</f>
        <v>35</v>
      </c>
      <c r="G43" s="15">
        <f>SUM(G8:G42)</f>
        <v>0</v>
      </c>
      <c r="H43" s="15">
        <f>SUM(H8:H42)</f>
        <v>0</v>
      </c>
      <c r="I43" s="16">
        <f>SUM(E43:H43)</f>
        <v>35</v>
      </c>
      <c r="J43" s="16"/>
      <c r="K43" s="17"/>
      <c r="L43" s="20">
        <f>SUM(L8:L42)</f>
        <v>15400000.000000002</v>
      </c>
      <c r="M43" s="25"/>
    </row>
    <row r="44" spans="1:17" x14ac:dyDescent="0.25">
      <c r="A44" s="14"/>
      <c r="B44" s="44"/>
      <c r="C44" s="44"/>
      <c r="D44" s="45"/>
      <c r="E44" s="18"/>
      <c r="F44" s="18"/>
      <c r="G44" s="18"/>
      <c r="H44" s="18"/>
      <c r="I44" s="18"/>
      <c r="J44" s="18"/>
      <c r="K44" s="17"/>
      <c r="L44" s="20">
        <f>L43*8%</f>
        <v>1232000.0000000002</v>
      </c>
      <c r="M44" s="25"/>
    </row>
    <row r="45" spans="1:17" x14ac:dyDescent="0.25">
      <c r="A45" s="14"/>
      <c r="B45" s="44"/>
      <c r="C45" s="44"/>
      <c r="D45" s="45"/>
      <c r="E45" s="18"/>
      <c r="F45" s="18"/>
      <c r="G45" s="18"/>
      <c r="H45" s="18"/>
      <c r="I45" s="18"/>
      <c r="J45" s="18"/>
      <c r="K45" s="17"/>
      <c r="L45" s="20">
        <f>SUM(L43:L44)</f>
        <v>16632000.000000002</v>
      </c>
      <c r="M45" s="29"/>
      <c r="N45" s="26"/>
    </row>
    <row r="46" spans="1:17" x14ac:dyDescent="0.25">
      <c r="B46" s="19" t="s">
        <v>16</v>
      </c>
      <c r="M46" s="25"/>
    </row>
    <row r="47" spans="1:17" x14ac:dyDescent="0.25">
      <c r="M47" s="25"/>
      <c r="N47" s="26"/>
    </row>
    <row r="48" spans="1:17" ht="36.75" customHeight="1" x14ac:dyDescent="0.25">
      <c r="A48" s="48" t="s">
        <v>20</v>
      </c>
      <c r="B48" s="35"/>
      <c r="C48" s="35"/>
      <c r="D48" s="35"/>
      <c r="E48" s="35"/>
      <c r="F48" s="35"/>
      <c r="G48" s="35"/>
      <c r="H48" s="35"/>
      <c r="I48" s="35" t="s">
        <v>19</v>
      </c>
      <c r="J48" s="35"/>
      <c r="K48" s="35"/>
      <c r="L48" s="35"/>
    </row>
  </sheetData>
  <autoFilter ref="A5:L46" xr:uid="{00000000-0009-0000-0000-000000000000}">
    <filterColumn colId="4" showButton="0"/>
    <filterColumn colId="6" showButton="0"/>
  </autoFilter>
  <mergeCells count="17">
    <mergeCell ref="K5:K6"/>
    <mergeCell ref="L5:L6"/>
    <mergeCell ref="B43:D43"/>
    <mergeCell ref="B44:D44"/>
    <mergeCell ref="B45:D45"/>
    <mergeCell ref="A48:H48"/>
    <mergeCell ref="I48:L48"/>
    <mergeCell ref="A1:L1"/>
    <mergeCell ref="A2:L2"/>
    <mergeCell ref="A5:A6"/>
    <mergeCell ref="B5:B6"/>
    <mergeCell ref="C5:C6"/>
    <mergeCell ref="D5:D6"/>
    <mergeCell ref="E5:F5"/>
    <mergeCell ref="G5:H5"/>
    <mergeCell ref="I5:I6"/>
    <mergeCell ref="J5:J6"/>
  </mergeCells>
  <conditionalFormatting sqref="D4:D5">
    <cfRule type="duplicateValues" dxfId="1" priority="1" stopIfTrue="1"/>
    <cfRule type="duplicateValues" priority="2" stopIfTrue="1"/>
  </conditionalFormatting>
  <conditionalFormatting sqref="D8:D42">
    <cfRule type="duplicateValues" priority="299" stopIfTrue="1"/>
    <cfRule type="duplicateValues" dxfId="0" priority="300"/>
  </conditionalFormatting>
  <pageMargins left="0.31496062992125984" right="0.15748031496062992" top="0.55118110236220474" bottom="0.19685039370078741" header="0.31496062992125984" footer="0.15748031496062992"/>
  <pageSetup paperSize="126" orientation="landscape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F9CC-DAAF-4AC4-B7AC-19A40E3B7625}">
  <dimension ref="A3:G12"/>
  <sheetViews>
    <sheetView tabSelected="1" workbookViewId="0">
      <selection activeCell="G5" activeCellId="1" sqref="E5:E11 G5:G11"/>
    </sheetView>
  </sheetViews>
  <sheetFormatPr defaultRowHeight="15.75" x14ac:dyDescent="0.25"/>
  <cols>
    <col min="1" max="1" width="81.25" bestFit="1" customWidth="1"/>
    <col min="2" max="2" width="15.75" bestFit="1" customWidth="1"/>
    <col min="3" max="3" width="13.875" bestFit="1" customWidth="1"/>
  </cols>
  <sheetData>
    <row r="3" spans="1:7" x14ac:dyDescent="0.25">
      <c r="A3" s="49" t="s">
        <v>180</v>
      </c>
      <c r="B3" t="s">
        <v>183</v>
      </c>
      <c r="C3" t="s">
        <v>184</v>
      </c>
    </row>
    <row r="4" spans="1:7" x14ac:dyDescent="0.25">
      <c r="A4" s="50" t="s">
        <v>181</v>
      </c>
      <c r="B4" s="51"/>
      <c r="C4" s="51"/>
    </row>
    <row r="5" spans="1:7" x14ac:dyDescent="0.25">
      <c r="A5" s="50" t="s">
        <v>185</v>
      </c>
      <c r="B5" s="51">
        <v>9</v>
      </c>
      <c r="C5" s="51">
        <v>3960000.0000000005</v>
      </c>
      <c r="E5">
        <v>9</v>
      </c>
      <c r="F5">
        <v>3960000.0000000005</v>
      </c>
      <c r="G5">
        <f t="shared" ref="G5:G19" si="0">F5/E5</f>
        <v>440000.00000000006</v>
      </c>
    </row>
    <row r="6" spans="1:7" x14ac:dyDescent="0.25">
      <c r="A6" s="50" t="s">
        <v>186</v>
      </c>
      <c r="B6" s="51">
        <v>9</v>
      </c>
      <c r="C6" s="51">
        <v>3960000.0000000005</v>
      </c>
      <c r="E6">
        <v>9</v>
      </c>
      <c r="F6">
        <v>3960000.0000000005</v>
      </c>
      <c r="G6">
        <f t="shared" si="0"/>
        <v>440000.00000000006</v>
      </c>
    </row>
    <row r="7" spans="1:7" x14ac:dyDescent="0.25">
      <c r="A7" s="50" t="s">
        <v>187</v>
      </c>
      <c r="B7" s="51">
        <v>7</v>
      </c>
      <c r="C7" s="51">
        <v>3080000.0000000005</v>
      </c>
      <c r="E7">
        <v>7</v>
      </c>
      <c r="F7">
        <v>3080000.0000000005</v>
      </c>
      <c r="G7">
        <f t="shared" si="0"/>
        <v>440000.00000000006</v>
      </c>
    </row>
    <row r="8" spans="1:7" x14ac:dyDescent="0.25">
      <c r="A8" s="50" t="s">
        <v>188</v>
      </c>
      <c r="B8" s="51">
        <v>4</v>
      </c>
      <c r="C8" s="51">
        <v>1760000.0000000002</v>
      </c>
      <c r="E8">
        <v>4</v>
      </c>
      <c r="F8">
        <v>1760000.0000000002</v>
      </c>
      <c r="G8">
        <f t="shared" si="0"/>
        <v>440000.00000000006</v>
      </c>
    </row>
    <row r="9" spans="1:7" x14ac:dyDescent="0.25">
      <c r="A9" s="50" t="s">
        <v>189</v>
      </c>
      <c r="B9" s="51">
        <v>3</v>
      </c>
      <c r="C9" s="51">
        <v>1320000.0000000002</v>
      </c>
      <c r="E9">
        <v>3</v>
      </c>
      <c r="F9">
        <v>1320000.0000000002</v>
      </c>
      <c r="G9">
        <f t="shared" si="0"/>
        <v>440000.00000000006</v>
      </c>
    </row>
    <row r="10" spans="1:7" x14ac:dyDescent="0.25">
      <c r="A10" s="50" t="s">
        <v>190</v>
      </c>
      <c r="B10" s="51">
        <v>1</v>
      </c>
      <c r="C10" s="51">
        <v>440000.00000000006</v>
      </c>
      <c r="E10">
        <v>1</v>
      </c>
      <c r="F10">
        <v>440000.00000000006</v>
      </c>
      <c r="G10">
        <f t="shared" si="0"/>
        <v>440000.00000000006</v>
      </c>
    </row>
    <row r="11" spans="1:7" x14ac:dyDescent="0.25">
      <c r="A11" s="50" t="s">
        <v>191</v>
      </c>
      <c r="B11" s="51">
        <v>2</v>
      </c>
      <c r="C11" s="51">
        <v>880000.00000000012</v>
      </c>
      <c r="E11">
        <v>2</v>
      </c>
      <c r="F11">
        <v>880000.00000000012</v>
      </c>
      <c r="G11">
        <f t="shared" si="0"/>
        <v>440000.00000000006</v>
      </c>
    </row>
    <row r="12" spans="1:7" x14ac:dyDescent="0.25">
      <c r="A12" s="50" t="s">
        <v>182</v>
      </c>
      <c r="B12" s="51">
        <v>35</v>
      </c>
      <c r="C12" s="51">
        <v>15400000.000000002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FEC7-391C-4D07-8F75-F4F2D0F67391}">
  <dimension ref="A1:F36"/>
  <sheetViews>
    <sheetView topLeftCell="A21" workbookViewId="0">
      <selection activeCell="A37" sqref="A37:XFD71"/>
    </sheetView>
  </sheetViews>
  <sheetFormatPr defaultRowHeight="15.75" x14ac:dyDescent="0.25"/>
  <cols>
    <col min="3" max="3" width="80.75" bestFit="1" customWidth="1"/>
  </cols>
  <sheetData>
    <row r="1" spans="1:6" x14ac:dyDescent="0.25">
      <c r="A1" t="s">
        <v>8</v>
      </c>
      <c r="B1" t="s">
        <v>175</v>
      </c>
      <c r="C1" s="33" t="s">
        <v>178</v>
      </c>
      <c r="D1" t="s">
        <v>173</v>
      </c>
      <c r="E1" s="33" t="s">
        <v>179</v>
      </c>
      <c r="F1" t="s">
        <v>174</v>
      </c>
    </row>
    <row r="2" spans="1:6" x14ac:dyDescent="0.25">
      <c r="A2">
        <v>440000.00000000006</v>
      </c>
      <c r="B2">
        <v>31040</v>
      </c>
      <c r="C2" t="s">
        <v>185</v>
      </c>
      <c r="D2" t="s">
        <v>176</v>
      </c>
      <c r="E2" t="s">
        <v>177</v>
      </c>
      <c r="F2">
        <v>1</v>
      </c>
    </row>
    <row r="3" spans="1:6" x14ac:dyDescent="0.25">
      <c r="A3">
        <v>440000.00000000006</v>
      </c>
      <c r="B3">
        <v>31040</v>
      </c>
      <c r="C3" t="s">
        <v>185</v>
      </c>
      <c r="D3" t="s">
        <v>176</v>
      </c>
      <c r="E3" t="s">
        <v>177</v>
      </c>
      <c r="F3">
        <v>1</v>
      </c>
    </row>
    <row r="4" spans="1:6" x14ac:dyDescent="0.25">
      <c r="A4">
        <v>440000.00000000006</v>
      </c>
      <c r="B4">
        <v>31040</v>
      </c>
      <c r="C4" t="s">
        <v>186</v>
      </c>
      <c r="D4" t="s">
        <v>176</v>
      </c>
      <c r="E4" t="s">
        <v>177</v>
      </c>
      <c r="F4">
        <v>1</v>
      </c>
    </row>
    <row r="5" spans="1:6" x14ac:dyDescent="0.25">
      <c r="A5">
        <v>440000.00000000006</v>
      </c>
      <c r="B5">
        <v>31040</v>
      </c>
      <c r="C5" t="s">
        <v>187</v>
      </c>
      <c r="D5" t="s">
        <v>176</v>
      </c>
      <c r="E5" t="s">
        <v>177</v>
      </c>
      <c r="F5">
        <v>1</v>
      </c>
    </row>
    <row r="6" spans="1:6" x14ac:dyDescent="0.25">
      <c r="A6">
        <v>440000.00000000006</v>
      </c>
      <c r="B6">
        <v>31040</v>
      </c>
      <c r="C6" t="s">
        <v>186</v>
      </c>
      <c r="D6" t="s">
        <v>176</v>
      </c>
      <c r="E6" t="s">
        <v>177</v>
      </c>
      <c r="F6">
        <v>1</v>
      </c>
    </row>
    <row r="7" spans="1:6" x14ac:dyDescent="0.25">
      <c r="A7">
        <v>440000.00000000006</v>
      </c>
      <c r="B7">
        <v>31040</v>
      </c>
      <c r="C7" t="s">
        <v>188</v>
      </c>
      <c r="D7" t="s">
        <v>176</v>
      </c>
      <c r="E7" t="s">
        <v>177</v>
      </c>
      <c r="F7">
        <v>1</v>
      </c>
    </row>
    <row r="8" spans="1:6" x14ac:dyDescent="0.25">
      <c r="A8">
        <v>440000.00000000006</v>
      </c>
      <c r="B8">
        <v>31040</v>
      </c>
      <c r="C8" t="s">
        <v>187</v>
      </c>
      <c r="D8" t="s">
        <v>176</v>
      </c>
      <c r="E8" t="s">
        <v>177</v>
      </c>
      <c r="F8">
        <v>1</v>
      </c>
    </row>
    <row r="9" spans="1:6" x14ac:dyDescent="0.25">
      <c r="A9">
        <v>440000.00000000006</v>
      </c>
      <c r="B9">
        <v>31040</v>
      </c>
      <c r="C9" t="s">
        <v>186</v>
      </c>
      <c r="D9" t="s">
        <v>176</v>
      </c>
      <c r="E9" t="s">
        <v>177</v>
      </c>
      <c r="F9">
        <v>1</v>
      </c>
    </row>
    <row r="10" spans="1:6" x14ac:dyDescent="0.25">
      <c r="A10">
        <v>440000.00000000006</v>
      </c>
      <c r="B10">
        <v>31040</v>
      </c>
      <c r="C10" t="s">
        <v>185</v>
      </c>
      <c r="D10" t="s">
        <v>176</v>
      </c>
      <c r="E10" t="s">
        <v>177</v>
      </c>
      <c r="F10">
        <v>1</v>
      </c>
    </row>
    <row r="11" spans="1:6" x14ac:dyDescent="0.25">
      <c r="A11">
        <v>440000.00000000006</v>
      </c>
      <c r="B11">
        <v>31040</v>
      </c>
      <c r="C11" t="s">
        <v>186</v>
      </c>
      <c r="D11" t="s">
        <v>176</v>
      </c>
      <c r="E11" t="s">
        <v>177</v>
      </c>
      <c r="F11">
        <v>1</v>
      </c>
    </row>
    <row r="12" spans="1:6" x14ac:dyDescent="0.25">
      <c r="A12">
        <v>440000.00000000006</v>
      </c>
      <c r="B12">
        <v>31040</v>
      </c>
      <c r="C12" t="s">
        <v>185</v>
      </c>
      <c r="D12" t="s">
        <v>176</v>
      </c>
      <c r="E12" t="s">
        <v>177</v>
      </c>
      <c r="F12">
        <v>1</v>
      </c>
    </row>
    <row r="13" spans="1:6" x14ac:dyDescent="0.25">
      <c r="A13">
        <v>440000.00000000006</v>
      </c>
      <c r="B13">
        <v>31040</v>
      </c>
      <c r="C13" t="s">
        <v>186</v>
      </c>
      <c r="D13" t="s">
        <v>176</v>
      </c>
      <c r="E13" t="s">
        <v>177</v>
      </c>
      <c r="F13">
        <v>1</v>
      </c>
    </row>
    <row r="14" spans="1:6" x14ac:dyDescent="0.25">
      <c r="A14">
        <v>440000.00000000006</v>
      </c>
      <c r="B14">
        <v>31040</v>
      </c>
      <c r="C14" t="s">
        <v>185</v>
      </c>
      <c r="D14" t="s">
        <v>176</v>
      </c>
      <c r="E14" t="s">
        <v>177</v>
      </c>
      <c r="F14">
        <v>1</v>
      </c>
    </row>
    <row r="15" spans="1:6" x14ac:dyDescent="0.25">
      <c r="A15">
        <v>440000.00000000006</v>
      </c>
      <c r="B15">
        <v>31040</v>
      </c>
      <c r="C15" t="s">
        <v>187</v>
      </c>
      <c r="D15" t="s">
        <v>176</v>
      </c>
      <c r="E15" t="s">
        <v>177</v>
      </c>
      <c r="F15">
        <v>1</v>
      </c>
    </row>
    <row r="16" spans="1:6" x14ac:dyDescent="0.25">
      <c r="A16">
        <v>440000.00000000006</v>
      </c>
      <c r="B16">
        <v>31040</v>
      </c>
      <c r="C16" t="s">
        <v>186</v>
      </c>
      <c r="D16" t="s">
        <v>176</v>
      </c>
      <c r="E16" t="s">
        <v>177</v>
      </c>
      <c r="F16">
        <v>1</v>
      </c>
    </row>
    <row r="17" spans="1:6" x14ac:dyDescent="0.25">
      <c r="A17">
        <v>440000.00000000006</v>
      </c>
      <c r="B17">
        <v>31040</v>
      </c>
      <c r="C17" t="s">
        <v>185</v>
      </c>
      <c r="D17" t="s">
        <v>176</v>
      </c>
      <c r="E17" t="s">
        <v>177</v>
      </c>
      <c r="F17">
        <v>1</v>
      </c>
    </row>
    <row r="18" spans="1:6" x14ac:dyDescent="0.25">
      <c r="A18">
        <v>440000.00000000006</v>
      </c>
      <c r="B18">
        <v>31040</v>
      </c>
      <c r="C18" t="s">
        <v>187</v>
      </c>
      <c r="D18" t="s">
        <v>176</v>
      </c>
      <c r="E18" t="s">
        <v>177</v>
      </c>
      <c r="F18">
        <v>1</v>
      </c>
    </row>
    <row r="19" spans="1:6" x14ac:dyDescent="0.25">
      <c r="A19">
        <v>440000.00000000006</v>
      </c>
      <c r="B19">
        <v>31040</v>
      </c>
      <c r="C19" t="s">
        <v>186</v>
      </c>
      <c r="D19" t="s">
        <v>176</v>
      </c>
      <c r="E19" t="s">
        <v>177</v>
      </c>
      <c r="F19">
        <v>1</v>
      </c>
    </row>
    <row r="20" spans="1:6" x14ac:dyDescent="0.25">
      <c r="A20">
        <v>440000.00000000006</v>
      </c>
      <c r="B20">
        <v>31040</v>
      </c>
      <c r="C20" t="s">
        <v>185</v>
      </c>
      <c r="D20" t="s">
        <v>176</v>
      </c>
      <c r="E20" t="s">
        <v>177</v>
      </c>
      <c r="F20">
        <v>1</v>
      </c>
    </row>
    <row r="21" spans="1:6" x14ac:dyDescent="0.25">
      <c r="A21">
        <v>440000.00000000006</v>
      </c>
      <c r="B21">
        <v>31040</v>
      </c>
      <c r="C21" t="s">
        <v>188</v>
      </c>
      <c r="D21" t="s">
        <v>176</v>
      </c>
      <c r="E21" t="s">
        <v>177</v>
      </c>
      <c r="F21">
        <v>1</v>
      </c>
    </row>
    <row r="22" spans="1:6" x14ac:dyDescent="0.25">
      <c r="A22">
        <v>440000.00000000006</v>
      </c>
      <c r="B22">
        <v>31040</v>
      </c>
      <c r="C22" t="s">
        <v>189</v>
      </c>
      <c r="D22" t="s">
        <v>176</v>
      </c>
      <c r="E22" t="s">
        <v>177</v>
      </c>
      <c r="F22">
        <v>1</v>
      </c>
    </row>
    <row r="23" spans="1:6" x14ac:dyDescent="0.25">
      <c r="A23">
        <v>440000.00000000006</v>
      </c>
      <c r="B23">
        <v>31040</v>
      </c>
      <c r="C23" t="s">
        <v>187</v>
      </c>
      <c r="D23" t="s">
        <v>176</v>
      </c>
      <c r="E23" t="s">
        <v>177</v>
      </c>
      <c r="F23">
        <v>1</v>
      </c>
    </row>
    <row r="24" spans="1:6" x14ac:dyDescent="0.25">
      <c r="A24">
        <v>440000.00000000006</v>
      </c>
      <c r="B24">
        <v>31040</v>
      </c>
      <c r="C24" t="s">
        <v>190</v>
      </c>
      <c r="D24" t="s">
        <v>176</v>
      </c>
      <c r="E24" t="s">
        <v>177</v>
      </c>
      <c r="F24">
        <v>1</v>
      </c>
    </row>
    <row r="25" spans="1:6" x14ac:dyDescent="0.25">
      <c r="A25">
        <v>440000.00000000006</v>
      </c>
      <c r="B25">
        <v>31040</v>
      </c>
      <c r="C25" t="s">
        <v>187</v>
      </c>
      <c r="D25" t="s">
        <v>176</v>
      </c>
      <c r="E25" t="s">
        <v>177</v>
      </c>
      <c r="F25">
        <v>1</v>
      </c>
    </row>
    <row r="26" spans="1:6" x14ac:dyDescent="0.25">
      <c r="A26">
        <v>440000.00000000006</v>
      </c>
      <c r="B26">
        <v>31040</v>
      </c>
      <c r="C26" t="s">
        <v>191</v>
      </c>
      <c r="D26" t="s">
        <v>176</v>
      </c>
      <c r="E26" t="s">
        <v>177</v>
      </c>
      <c r="F26">
        <v>1</v>
      </c>
    </row>
    <row r="27" spans="1:6" x14ac:dyDescent="0.25">
      <c r="A27">
        <v>440000.00000000006</v>
      </c>
      <c r="B27">
        <v>31040</v>
      </c>
      <c r="C27" t="s">
        <v>186</v>
      </c>
      <c r="D27" t="s">
        <v>176</v>
      </c>
      <c r="E27" t="s">
        <v>177</v>
      </c>
      <c r="F27">
        <v>1</v>
      </c>
    </row>
    <row r="28" spans="1:6" x14ac:dyDescent="0.25">
      <c r="A28">
        <v>440000.00000000006</v>
      </c>
      <c r="B28">
        <v>31040</v>
      </c>
      <c r="C28" t="s">
        <v>189</v>
      </c>
      <c r="D28" t="s">
        <v>176</v>
      </c>
      <c r="E28" t="s">
        <v>177</v>
      </c>
      <c r="F28">
        <v>1</v>
      </c>
    </row>
    <row r="29" spans="1:6" x14ac:dyDescent="0.25">
      <c r="A29">
        <v>440000.00000000006</v>
      </c>
      <c r="B29">
        <v>31040</v>
      </c>
      <c r="C29" t="s">
        <v>188</v>
      </c>
      <c r="D29" t="s">
        <v>176</v>
      </c>
      <c r="E29" t="s">
        <v>177</v>
      </c>
      <c r="F29">
        <v>1</v>
      </c>
    </row>
    <row r="30" spans="1:6" x14ac:dyDescent="0.25">
      <c r="A30">
        <v>440000.00000000006</v>
      </c>
      <c r="B30">
        <v>31040</v>
      </c>
      <c r="C30" t="s">
        <v>185</v>
      </c>
      <c r="D30" t="s">
        <v>176</v>
      </c>
      <c r="E30" t="s">
        <v>177</v>
      </c>
      <c r="F30">
        <v>1</v>
      </c>
    </row>
    <row r="31" spans="1:6" x14ac:dyDescent="0.25">
      <c r="A31">
        <v>440000.00000000006</v>
      </c>
      <c r="B31">
        <v>31040</v>
      </c>
      <c r="C31" t="s">
        <v>187</v>
      </c>
      <c r="D31" t="s">
        <v>176</v>
      </c>
      <c r="E31" t="s">
        <v>177</v>
      </c>
      <c r="F31">
        <v>1</v>
      </c>
    </row>
    <row r="32" spans="1:6" x14ac:dyDescent="0.25">
      <c r="A32">
        <v>440000.00000000006</v>
      </c>
      <c r="B32">
        <v>31040</v>
      </c>
      <c r="C32" t="s">
        <v>191</v>
      </c>
      <c r="D32" t="s">
        <v>176</v>
      </c>
      <c r="E32" t="s">
        <v>177</v>
      </c>
      <c r="F32">
        <v>1</v>
      </c>
    </row>
    <row r="33" spans="1:6" x14ac:dyDescent="0.25">
      <c r="A33">
        <v>440000.00000000006</v>
      </c>
      <c r="B33">
        <v>31040</v>
      </c>
      <c r="C33" t="s">
        <v>185</v>
      </c>
      <c r="D33" t="s">
        <v>176</v>
      </c>
      <c r="E33" t="s">
        <v>177</v>
      </c>
      <c r="F33">
        <v>1</v>
      </c>
    </row>
    <row r="34" spans="1:6" x14ac:dyDescent="0.25">
      <c r="A34">
        <v>440000.00000000006</v>
      </c>
      <c r="B34">
        <v>31040</v>
      </c>
      <c r="C34" t="s">
        <v>188</v>
      </c>
      <c r="D34" t="s">
        <v>176</v>
      </c>
      <c r="E34" t="s">
        <v>177</v>
      </c>
      <c r="F34">
        <v>1</v>
      </c>
    </row>
    <row r="35" spans="1:6" x14ac:dyDescent="0.25">
      <c r="A35">
        <v>440000.00000000006</v>
      </c>
      <c r="B35">
        <v>31040</v>
      </c>
      <c r="C35" t="s">
        <v>189</v>
      </c>
      <c r="D35" t="s">
        <v>176</v>
      </c>
      <c r="E35" t="s">
        <v>177</v>
      </c>
      <c r="F35">
        <v>1</v>
      </c>
    </row>
    <row r="36" spans="1:6" x14ac:dyDescent="0.25">
      <c r="A36">
        <v>440000.00000000006</v>
      </c>
      <c r="B36">
        <v>31040</v>
      </c>
      <c r="C36" t="s">
        <v>186</v>
      </c>
      <c r="D36" t="s">
        <v>176</v>
      </c>
      <c r="E36" t="s">
        <v>177</v>
      </c>
      <c r="F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Tháng 4</vt:lpstr>
      <vt:lpstr>08.04</vt:lpstr>
      <vt:lpstr>10.04</vt:lpstr>
      <vt:lpstr>20.04</vt:lpstr>
      <vt:lpstr>Sheet5</vt:lpstr>
      <vt:lpstr>HĐơn</vt:lpstr>
      <vt:lpstr>'08.04'!Print_Titles</vt:lpstr>
      <vt:lpstr>'10.04'!Print_Titles</vt:lpstr>
      <vt:lpstr>'20.04'!Print_Titles</vt:lpstr>
      <vt:lpstr>'Tháng 4'!Print_Titles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2023-06-29T07:27:29Z</cp:lastPrinted>
  <dcterms:created xsi:type="dcterms:W3CDTF">2023-06-29T07:25:10Z</dcterms:created>
  <dcterms:modified xsi:type="dcterms:W3CDTF">2026-04-29T05:05:27Z</dcterms:modified>
</cp:coreProperties>
</file>